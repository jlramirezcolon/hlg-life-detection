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/"/>
    </mc:Choice>
  </mc:AlternateContent>
  <xr:revisionPtr revIDLastSave="0" documentId="13_ncr:1_{3FF63911-B67A-134F-8AE0-99F03B9C730D}" xr6:coauthVersionLast="47" xr6:coauthVersionMax="47" xr10:uidLastSave="{00000000-0000-0000-0000-000000000000}"/>
  <bookViews>
    <workbookView xWindow="33680" yWindow="2160" windowWidth="29260" windowHeight="17440" activeTab="6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Extraterrestrial Samples Info" sheetId="3" r:id="rId7"/>
    <sheet name="Terrestrial Samples Info" sheetId="4" r:id="rId8"/>
    <sheet name="Legends" sheetId="2" r:id="rId9"/>
    <sheet name="pH Analysis" sheetId="54" r:id="rId10"/>
    <sheet name="References" sheetId="5" r:id="rId11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0" l="1" a="1"/>
  <c r="E4" i="28" s="1"/>
  <c r="K85" i="51"/>
  <c r="K84" i="51"/>
  <c r="K83" i="51"/>
  <c r="K82" i="51"/>
  <c r="K78" i="51"/>
  <c r="K81" i="51"/>
  <c r="K80" i="51"/>
  <c r="K79" i="51"/>
  <c r="K77" i="51"/>
  <c r="K76" i="51"/>
  <c r="K75" i="51"/>
  <c r="C75" i="51"/>
  <c r="E75" i="5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F76" i="51"/>
  <c r="D75" i="51"/>
  <c r="F75" i="51"/>
  <c r="D76" i="51"/>
  <c r="E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4" i="51"/>
  <c r="E84" i="51"/>
  <c r="F84" i="51"/>
  <c r="D83" i="51"/>
  <c r="E83" i="51"/>
  <c r="F83" i="51"/>
  <c r="D85" i="51"/>
  <c r="E85" i="51"/>
  <c r="F85" i="51"/>
  <c r="C83" i="51"/>
  <c r="C85" i="51"/>
  <c r="C84" i="51"/>
  <c r="C82" i="51"/>
  <c r="C81" i="51"/>
  <c r="C80" i="51"/>
  <c r="C79" i="51"/>
  <c r="C78" i="51"/>
  <c r="C77" i="51"/>
  <c r="C76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<sst xmlns="http://schemas.openxmlformats.org/spreadsheetml/2006/main" count="40931" uniqueCount="1642">
  <si>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</si>
  <si>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</si>
  <si>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</si>
  <si>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</si>
  <si>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</si>
  <si>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</si>
  <si>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</si>
  <si>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</si>
  <si>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</si>
  <si>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</si>
  <si>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</si>
  <si>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</si>
  <si>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</si>
  <si>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</si>
  <si>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</si>
  <si>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</si>
  <si>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</si>
  <si>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</si>
  <si>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</si>
  <si>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</si>
  <si>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</si>
  <si>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</si>
  <si>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</si>
  <si>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</si>
  <si>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</si>
  <si>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</si>
  <si>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</si>
  <si>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</si>
  <si>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</si>
  <si>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</si>
  <si>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</si>
  <si>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</si>
  <si>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</si>
  <si>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</si>
  <si>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</si>
  <si>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</si>
  <si>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</si>
  <si>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</si>
  <si>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</si>
  <si>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</si>
  <si>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</si>
  <si>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</si>
  <si>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</si>
  <si>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</si>
  <si>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</si>
  <si>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</si>
  <si>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</si>
  <si>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</si>
  <si>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</si>
  <si>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</si>
  <si>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</si>
  <si>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</si>
  <si>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</si>
  <si>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</si>
  <si>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</si>
  <si>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</si>
  <si>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</si>
  <si>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</si>
  <si>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</si>
  <si>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</si>
  <si>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</si>
  <si>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</si>
  <si>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</si>
  <si>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</si>
  <si>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</si>
  <si>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</si>
  <si>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</si>
  <si>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</si>
  <si>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</si>
  <si>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</si>
  <si>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</si>
  <si>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</si>
  <si>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</si>
  <si>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</si>
  <si>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</si>
  <si>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</si>
  <si>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</si>
  <si>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</si>
  <si>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</si>
  <si>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</si>
  <si>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</si>
  <si>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</si>
  <si>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</si>
  <si>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</si>
  <si>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</si>
  <si>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</si>
  <si>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</si>
  <si>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</si>
  <si>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</si>
  <si>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</si>
  <si>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</si>
  <si>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</si>
  <si>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</si>
  <si>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</si>
  <si>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</si>
  <si>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</si>
  <si>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</si>
  <si>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</si>
  <si>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</si>
  <si>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</si>
  <si>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</si>
  <si>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</si>
  <si>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</si>
  <si>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</si>
  <si>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</si>
  <si>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</si>
  <si>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</si>
  <si>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</si>
  <si>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</si>
  <si>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</si>
  <si>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</si>
  <si>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</si>
  <si>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</si>
  <si>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</si>
  <si>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</si>
  <si>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</si>
  <si>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</si>
  <si>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</si>
  <si>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</si>
  <si>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</si>
  <si>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</si>
  <si>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</si>
  <si>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</si>
  <si>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</si>
  <si>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</si>
  <si>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</si>
  <si>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</si>
  <si>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</si>
  <si>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</si>
  <si>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</si>
  <si>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</si>
  <si>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</si>
  <si>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</si>
  <si>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</si>
  <si>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</si>
  <si>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</si>
  <si>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</si>
  <si>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</si>
  <si>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</si>
  <si>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</si>
  <si>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</si>
  <si>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</si>
  <si>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</si>
  <si>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</si>
  <si>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</si>
  <si>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</si>
  <si>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</si>
  <si>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</si>
  <si>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</si>
  <si>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</si>
  <si>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</si>
  <si>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</si>
  <si>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</si>
  <si>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</si>
  <si>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</si>
  <si>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</si>
  <si>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</si>
  <si>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</si>
  <si>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</si>
  <si>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</si>
  <si>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</si>
  <si>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</si>
  <si>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</si>
  <si>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</si>
  <si>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</si>
  <si>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</si>
  <si>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</si>
  <si>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</si>
  <si>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</si>
  <si>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</si>
  <si>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</si>
  <si>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</si>
  <si>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</si>
  <si>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</si>
  <si>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</si>
  <si>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</si>
  <si>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</si>
  <si>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</si>
  <si>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</si>
  <si>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</si>
  <si>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</si>
  <si>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</si>
  <si>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</si>
  <si>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</si>
  <si>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</si>
  <si>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</si>
  <si>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</si>
  <si>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</si>
  <si>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</si>
  <si>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</si>
  <si>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</si>
  <si>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</si>
  <si>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</si>
  <si>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</si>
  <si>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</si>
  <si>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</si>
  <si>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</si>
  <si>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</si>
  <si>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</si>
  <si>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</si>
  <si>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</si>
  <si>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</si>
  <si>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</si>
  <si>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</si>
  <si>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</si>
  <si>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</si>
  <si>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</si>
  <si>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</si>
  <si>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</si>
  <si>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</si>
  <si>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</si>
  <si>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</si>
  <si>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</si>
  <si>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</si>
  <si>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</si>
  <si>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</si>
  <si>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</si>
  <si>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</si>
  <si>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</si>
  <si>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</si>
  <si>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</si>
  <si>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</si>
  <si>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</si>
  <si>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</si>
  <si>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</si>
  <si>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</si>
  <si>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</si>
  <si>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</si>
  <si>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</si>
  <si>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</si>
  <si>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</si>
  <si>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</si>
  <si>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</si>
  <si>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</si>
  <si>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</si>
  <si>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</si>
  <si>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</si>
  <si>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</si>
  <si>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</si>
  <si>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</si>
  <si>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</si>
  <si>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</si>
  <si>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</si>
  <si>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</si>
  <si>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</si>
  <si>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</si>
  <si>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</si>
  <si>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</si>
  <si>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</si>
  <si>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</si>
  <si>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</si>
  <si>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</si>
  <si>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</si>
  <si>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</si>
  <si>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</si>
  <si>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</si>
  <si>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</si>
  <si>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</si>
  <si>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</si>
  <si>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</si>
  <si>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</si>
  <si>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</si>
  <si>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</si>
  <si>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</si>
  <si>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</si>
  <si>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</si>
  <si>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</si>
  <si>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</si>
  <si>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</si>
  <si>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</si>
  <si>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</si>
  <si>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</si>
  <si>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</si>
  <si>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</si>
  <si>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</si>
  <si>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</si>
  <si>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</si>
  <si>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</si>
  <si>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</si>
  <si>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</si>
  <si>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</si>
  <si>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</si>
  <si>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</si>
  <si>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</si>
  <si>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</si>
  <si>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</si>
  <si>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</si>
  <si>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</si>
  <si>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</si>
  <si>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</si>
  <si>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</si>
  <si>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</si>
  <si>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</si>
  <si>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</si>
  <si>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</si>
  <si>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</si>
  <si>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</si>
  <si>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</si>
  <si>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</si>
  <si>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</si>
  <si>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</si>
  <si>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</si>
  <si>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</si>
  <si>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</si>
  <si>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</si>
  <si>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</si>
  <si>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</si>
  <si>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</si>
  <si>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</si>
  <si>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</si>
  <si>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</si>
  <si>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</si>
  <si>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</si>
  <si>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</si>
  <si>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</si>
  <si>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</si>
  <si>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</si>
  <si>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</si>
  <si>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</si>
  <si>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</si>
  <si>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</si>
  <si>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</si>
  <si>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</si>
  <si>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</si>
  <si>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</si>
  <si>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</si>
  <si>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</si>
  <si>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</si>
  <si>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</si>
  <si>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</si>
  <si>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</si>
  <si>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</si>
  <si>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</si>
  <si>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</si>
  <si>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</si>
  <si>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</si>
  <si>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</si>
  <si>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</si>
  <si>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</si>
  <si>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</si>
  <si>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</si>
  <si>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</si>
  <si>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</si>
  <si>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</si>
  <si>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</si>
  <si>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</si>
  <si>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</si>
  <si>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</si>
  <si>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</si>
  <si>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</si>
  <si>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</si>
  <si>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</si>
  <si>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</si>
  <si>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</si>
  <si>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</si>
  <si>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</si>
  <si>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</si>
  <si>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</si>
  <si>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</si>
  <si>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</si>
  <si>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</si>
  <si>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</si>
  <si>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</si>
  <si>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</si>
  <si>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</si>
  <si>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</si>
  <si>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</si>
  <si>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</si>
  <si>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</si>
  <si>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</si>
  <si>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</si>
  <si>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</si>
  <si>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</si>
  <si>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</si>
  <si>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</si>
  <si>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</si>
  <si>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</si>
  <si>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</si>
  <si>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</si>
  <si>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</si>
  <si>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</si>
  <si>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</si>
  <si>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</si>
  <si>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</si>
  <si>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</si>
  <si>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</si>
  <si>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</si>
  <si>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</si>
  <si>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</si>
  <si>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</si>
  <si>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</si>
  <si>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</si>
  <si>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</si>
  <si>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</si>
  <si>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</si>
  <si>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</si>
  <si>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</si>
  <si>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</si>
  <si>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</si>
  <si>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</si>
  <si>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</si>
  <si>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</si>
  <si>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</si>
  <si>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</si>
  <si>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</si>
  <si>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</si>
  <si>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</si>
  <si>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</si>
  <si>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</si>
  <si>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</si>
  <si>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</si>
  <si>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</si>
  <si>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</si>
  <si>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</si>
  <si>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</si>
  <si>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</si>
  <si>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</si>
  <si>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</si>
  <si>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</si>
  <si>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</si>
  <si>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</si>
  <si>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</si>
  <si>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</si>
  <si>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</si>
  <si>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</si>
  <si>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</si>
  <si>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</si>
  <si>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</si>
  <si>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</si>
  <si>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</si>
  <si>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</si>
  <si>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</si>
  <si>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</si>
  <si>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</si>
  <si>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</si>
  <si>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</si>
  <si>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</si>
  <si>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</si>
  <si>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</si>
  <si>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</si>
  <si>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</si>
  <si>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</si>
  <si>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</si>
  <si>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</si>
  <si>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</si>
  <si>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</si>
  <si>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</si>
  <si>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</si>
  <si>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</si>
  <si>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</si>
  <si>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</si>
  <si>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</si>
  <si>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</si>
  <si>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</si>
  <si>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</si>
  <si>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</si>
  <si>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</si>
  <si>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</si>
  <si>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</si>
  <si>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</si>
  <si>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</si>
  <si>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</si>
  <si>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</si>
  <si>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</si>
  <si>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</si>
  <si>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</si>
  <si>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</si>
  <si>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</si>
  <si>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</si>
  <si>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</si>
  <si>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</si>
  <si>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</si>
  <si>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</si>
  <si>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</si>
  <si>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</si>
  <si>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</si>
  <si>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</si>
  <si>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</si>
  <si>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</si>
  <si>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</si>
  <si>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</si>
  <si>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</si>
  <si>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</si>
  <si>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</si>
  <si>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</si>
  <si>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</si>
  <si>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</si>
  <si>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</si>
  <si>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</si>
  <si>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</si>
  <si>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</si>
  <si>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</si>
  <si>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</si>
  <si>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</si>
  <si>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</si>
  <si>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</si>
  <si>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</si>
  <si>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</si>
  <si>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</si>
  <si>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</si>
  <si>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</si>
  <si>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</si>
  <si>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</si>
  <si>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</si>
  <si>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</si>
  <si>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</si>
  <si>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</si>
  <si>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</si>
  <si>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</si>
  <si>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</si>
  <si>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</si>
  <si>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</si>
  <si>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</si>
  <si>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</si>
  <si>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</si>
  <si>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</si>
  <si>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</si>
  <si>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</si>
  <si>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</si>
  <si>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</si>
  <si>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</si>
  <si>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</si>
  <si>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</si>
  <si>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</si>
  <si>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</si>
  <si>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</si>
  <si>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</si>
  <si>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</si>
  <si>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</si>
  <si>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</si>
  <si>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</si>
  <si>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</si>
  <si>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</si>
  <si>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</si>
  <si>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</si>
  <si>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</si>
  <si>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</si>
  <si>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</si>
  <si>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</si>
  <si>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</si>
  <si>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</si>
  <si>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</si>
  <si>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</si>
  <si>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</si>
  <si>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</si>
  <si>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</si>
  <si>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</si>
  <si>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</si>
  <si>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</si>
  <si>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</si>
  <si>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</si>
  <si>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</si>
  <si>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</si>
  <si>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</si>
  <si>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</si>
  <si>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</si>
  <si>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</si>
  <si>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</si>
  <si>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</si>
  <si>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</si>
  <si>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</si>
  <si>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</si>
  <si>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</si>
  <si>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</si>
  <si>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</si>
  <si>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</si>
  <si>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</si>
  <si>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</si>
  <si>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</si>
  <si>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</si>
  <si>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</si>
  <si>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</si>
  <si>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</si>
  <si>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</si>
  <si>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</si>
  <si>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</si>
  <si>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</si>
  <si>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</si>
  <si>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</si>
  <si>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</si>
  <si>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</si>
  <si>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</si>
  <si>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</si>
  <si>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</si>
  <si>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</si>
  <si>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</si>
  <si>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</si>
  <si>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</si>
  <si>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</si>
  <si>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</si>
  <si>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</si>
  <si>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</si>
  <si>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</si>
  <si>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</si>
  <si>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</si>
  <si>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</si>
  <si>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</si>
  <si>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</si>
  <si>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</si>
  <si>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</si>
  <si>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</si>
  <si>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</si>
  <si>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</si>
  <si>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</si>
  <si>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</si>
  <si>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</si>
  <si>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</si>
  <si>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</si>
  <si>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</si>
  <si>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</si>
  <si>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</si>
  <si>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</si>
  <si>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</si>
  <si>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</si>
  <si>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</si>
  <si>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</si>
  <si>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</si>
  <si>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</si>
  <si>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</si>
  <si>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</si>
  <si>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</si>
  <si>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</si>
  <si>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</si>
  <si>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</si>
  <si>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</si>
  <si>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</si>
  <si>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</si>
  <si>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</si>
  <si>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</si>
  <si>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</si>
  <si>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</si>
  <si>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</si>
  <si>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</si>
  <si>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</si>
  <si>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</si>
  <si>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</si>
  <si>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</si>
  <si>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</si>
  <si>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</si>
  <si>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</si>
  <si>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</si>
  <si>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</si>
  <si>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</si>
  <si>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</si>
  <si>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</si>
  <si>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</si>
  <si>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</si>
  <si>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</si>
  <si>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</si>
  <si>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</si>
  <si>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</si>
  <si>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</si>
  <si>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</si>
  <si>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</si>
  <si>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</si>
  <si>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</si>
  <si>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</si>
  <si>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</si>
  <si>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</si>
  <si>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</si>
  <si>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</si>
  <si>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</si>
  <si>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</si>
  <si>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</si>
  <si>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</si>
  <si>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</si>
  <si>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</si>
  <si>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</si>
  <si>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</si>
  <si>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</si>
  <si>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</si>
  <si>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</si>
  <si>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</si>
  <si>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</si>
  <si>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</si>
  <si>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</si>
  <si>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</si>
  <si>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</si>
  <si>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</si>
  <si>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</si>
  <si>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</si>
  <si>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</si>
  <si>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</si>
  <si>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</si>
  <si>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</si>
  <si>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</si>
  <si>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</si>
  <si>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</si>
  <si>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</si>
  <si>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</si>
  <si>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</si>
  <si>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</si>
  <si>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</si>
  <si>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</si>
  <si>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</si>
  <si>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</si>
  <si>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</si>
  <si>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</si>
  <si>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</si>
  <si>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</si>
  <si>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</si>
  <si>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</si>
  <si>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</si>
  <si>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</si>
  <si>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</si>
  <si>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</si>
  <si>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</si>
  <si>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</si>
  <si>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</si>
  <si>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</si>
  <si>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</si>
  <si>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</si>
  <si>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</si>
  <si>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</si>
  <si>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</si>
  <si>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</si>
  <si>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</si>
  <si>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</si>
  <si>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</si>
  <si>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</si>
  <si>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</si>
  <si>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</si>
  <si>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</si>
  <si>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</si>
  <si>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</si>
  <si>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</si>
  <si>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</si>
  <si>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</si>
  <si>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</si>
  <si>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</si>
  <si>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</si>
  <si>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</si>
  <si>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</si>
  <si>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</si>
  <si>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</si>
  <si>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</si>
  <si>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</si>
  <si>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</si>
  <si>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</si>
  <si>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</si>
  <si>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</si>
  <si>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</si>
  <si>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</si>
  <si>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</si>
  <si>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</si>
  <si>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</si>
  <si>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</si>
  <si>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</si>
  <si>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</si>
  <si>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</si>
  <si>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</si>
  <si>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</si>
  <si>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</si>
  <si>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</si>
  <si>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</si>
  <si>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</si>
  <si>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</si>
  <si>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</si>
  <si>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</si>
  <si>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</si>
  <si>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</si>
  <si>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</si>
  <si>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</si>
  <si>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</si>
  <si>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</si>
  <si>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</si>
  <si>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</si>
  <si>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</si>
  <si>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</si>
  <si>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</si>
  <si>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</si>
  <si>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</si>
  <si>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</si>
  <si>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</si>
  <si>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</si>
  <si>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</si>
  <si>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</si>
  <si>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</si>
  <si>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</si>
  <si>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</si>
  <si>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</si>
  <si>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</si>
  <si>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</si>
  <si>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</si>
  <si>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</si>
  <si>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</si>
  <si>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</si>
  <si>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</si>
  <si>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</si>
  <si>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</si>
  <si>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</si>
  <si>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</si>
  <si>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</si>
  <si>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</si>
  <si>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</si>
  <si>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</si>
  <si>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</si>
  <si>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</si>
  <si>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</si>
  <si>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</si>
  <si>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</si>
  <si>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</si>
  <si>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</si>
  <si>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</si>
  <si>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</si>
  <si>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</si>
  <si>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</si>
  <si>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</si>
  <si>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</si>
  <si>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</si>
  <si>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</si>
  <si>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</si>
  <si>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</si>
  <si>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</si>
  <si>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</si>
  <si>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</si>
  <si>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</si>
  <si>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</si>
  <si>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</si>
  <si>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</si>
  <si>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</si>
  <si>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</si>
  <si>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</si>
  <si>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</si>
  <si>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</si>
  <si>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</si>
  <si>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</si>
  <si>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</si>
  <si>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</si>
  <si>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</si>
  <si>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</si>
  <si>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</si>
  <si>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</si>
  <si>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</si>
  <si>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</si>
  <si>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</si>
  <si>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</si>
  <si>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</si>
  <si>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</si>
  <si>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</si>
  <si>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</si>
  <si>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</si>
  <si>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</si>
  <si>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</si>
  <si>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</si>
  <si>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</si>
  <si>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</si>
  <si>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</si>
  <si>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</si>
  <si>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</si>
  <si>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</si>
  <si>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</si>
  <si>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</si>
  <si>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</si>
  <si>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</si>
  <si>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</si>
  <si>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</si>
  <si>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</si>
  <si>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</si>
  <si>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</si>
  <si>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</si>
  <si>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</si>
  <si>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</si>
  <si>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</si>
  <si>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</si>
  <si>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</si>
  <si>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</si>
  <si>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</si>
  <si>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</si>
  <si>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</si>
  <si>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</si>
  <si>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</si>
  <si>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</si>
  <si>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</si>
  <si>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</si>
  <si>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</si>
  <si>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</si>
  <si>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</si>
  <si>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</si>
  <si>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</si>
  <si>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</si>
  <si>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</si>
  <si>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</si>
  <si>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</si>
  <si>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</si>
  <si>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</si>
  <si>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</si>
  <si>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</si>
  <si>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</si>
  <si>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</si>
  <si>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</si>
  <si>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</si>
  <si>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</si>
  <si>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</si>
  <si>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</si>
  <si>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</si>
  <si>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</si>
  <si>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</si>
  <si>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</si>
  <si>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</si>
  <si>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</si>
  <si>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</si>
  <si>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</si>
  <si>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</si>
  <si>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</si>
  <si>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</si>
  <si>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</si>
  <si>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</si>
  <si>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</si>
  <si>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</si>
  <si>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</si>
  <si>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</si>
  <si>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</si>
  <si>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</si>
  <si>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</si>
  <si>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</si>
  <si>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</si>
  <si>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</si>
  <si>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</si>
  <si>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</si>
  <si>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</si>
  <si>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</si>
  <si>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</si>
  <si>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</si>
  <si>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</si>
  <si>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</si>
  <si>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</si>
  <si>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</si>
  <si>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</si>
  <si>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</si>
  <si>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</si>
  <si>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</si>
  <si>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</si>
  <si>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</si>
  <si>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</si>
  <si>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</si>
  <si>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</si>
  <si>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</si>
  <si>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</si>
  <si>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</si>
  <si>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</si>
  <si>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</si>
  <si>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</si>
  <si>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</si>
  <si>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</si>
  <si>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</si>
  <si>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</si>
  <si>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</si>
  <si>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</si>
  <si>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</si>
  <si>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</si>
  <si>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</si>
  <si>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</si>
  <si>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</si>
  <si>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</si>
  <si>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</si>
  <si>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</si>
  <si>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</si>
  <si>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</si>
  <si>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</si>
  <si>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</si>
  <si>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</si>
  <si>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</si>
  <si>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</si>
  <si>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</si>
  <si>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</si>
  <si>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</si>
  <si>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</si>
  <si>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</si>
  <si>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</si>
  <si>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</si>
  <si>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</si>
  <si>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</si>
  <si>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</si>
  <si>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</si>
  <si>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</si>
  <si>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</si>
  <si>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</si>
  <si>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</si>
  <si>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</si>
  <si>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</si>
  <si>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</si>
  <si>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</si>
  <si>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</si>
  <si>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</si>
  <si>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</si>
  <si>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</si>
  <si>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</si>
  <si>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</si>
  <si>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</si>
  <si>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</si>
  <si>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</si>
  <si>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</si>
  <si>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</si>
  <si>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</si>
  <si>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</si>
  <si>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</si>
  <si>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</si>
  <si>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</si>
  <si>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</si>
  <si>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</si>
  <si>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</si>
  <si>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</si>
  <si>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</si>
  <si>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</si>
  <si>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</si>
  <si>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</si>
  <si>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</si>
  <si>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</si>
  <si>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</si>
  <si>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</si>
  <si>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</si>
  <si>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</si>
  <si>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</si>
  <si>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</si>
  <si>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</si>
  <si>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</si>
  <si>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</si>
  <si>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</si>
  <si>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</si>
  <si>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</si>
  <si>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</si>
  <si>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</si>
  <si>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</si>
  <si>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</si>
  <si>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</si>
  <si>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</si>
  <si>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</si>
  <si>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</si>
  <si>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</si>
  <si>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</si>
  <si>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</si>
  <si>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</si>
  <si>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</si>
  <si>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</si>
  <si>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</si>
  <si>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</si>
  <si>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</si>
  <si>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</si>
  <si>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</si>
  <si>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</si>
  <si>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</si>
  <si>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</si>
  <si>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</si>
  <si>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</si>
  <si>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</si>
  <si>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</si>
  <si>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</si>
  <si>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</si>
  <si>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</si>
  <si>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</si>
  <si>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</si>
  <si>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</si>
  <si>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</si>
  <si>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</si>
  <si>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</si>
  <si>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</si>
  <si>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</si>
  <si>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</si>
  <si>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</si>
  <si>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</si>
  <si>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</si>
  <si>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</si>
  <si>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</si>
  <si>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</si>
  <si>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</si>
  <si>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</si>
  <si>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</si>
  <si>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</si>
  <si>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</si>
  <si>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</si>
  <si>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</si>
  <si>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</si>
  <si>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</si>
  <si>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</si>
  <si>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</si>
  <si>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</si>
  <si>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</si>
  <si>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</si>
  <si>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</si>
  <si>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</si>
  <si>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</si>
  <si>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</si>
  <si>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</si>
  <si>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</si>
  <si>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</si>
  <si>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</si>
  <si>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</si>
  <si>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</si>
  <si>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</si>
  <si>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</si>
  <si>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</si>
  <si>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</si>
  <si>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</si>
  <si>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</si>
  <si>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</si>
  <si>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</si>
  <si>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</si>
  <si>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</si>
  <si>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</si>
  <si>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</si>
  <si>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</si>
  <si>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</si>
  <si>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</si>
  <si>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</si>
  <si>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</si>
  <si>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</si>
  <si>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</si>
  <si>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</si>
  <si>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</si>
  <si>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</si>
  <si>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</si>
  <si>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</si>
  <si>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</si>
  <si>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</si>
  <si>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</si>
  <si>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</si>
  <si>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</si>
  <si>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</si>
  <si>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</si>
  <si>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</si>
  <si>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</si>
  <si>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</si>
  <si>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</si>
  <si>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</si>
  <si>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</si>
  <si>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</si>
  <si>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</si>
  <si>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</si>
  <si>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</si>
  <si>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</si>
  <si>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</si>
  <si>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</si>
  <si>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</si>
  <si>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</si>
  <si>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</si>
  <si>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</si>
  <si>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</si>
  <si>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</si>
  <si>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</si>
  <si>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</si>
  <si>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</si>
  <si>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</si>
  <si>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</si>
  <si>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</si>
  <si>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</si>
  <si>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</si>
  <si>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</si>
  <si>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</si>
  <si>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</si>
  <si>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</si>
  <si>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</si>
  <si>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</si>
  <si>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</si>
  <si>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</si>
  <si>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</si>
  <si>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</si>
  <si>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</si>
  <si>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</si>
  <si>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</si>
  <si>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</si>
  <si>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</si>
  <si>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</si>
  <si>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</si>
  <si>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</si>
  <si>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</si>
  <si>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</si>
  <si>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</si>
  <si>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</si>
  <si>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</si>
  <si>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</si>
  <si>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</si>
  <si>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</si>
  <si>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</si>
  <si>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</si>
  <si>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</si>
  <si>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</si>
  <si>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</si>
  <si>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</si>
  <si>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</si>
  <si>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</si>
  <si>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</si>
  <si>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</si>
  <si>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</si>
  <si>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</si>
  <si>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</si>
  <si>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</si>
  <si>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</si>
  <si>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</si>
  <si>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</si>
  <si>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</si>
  <si>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</si>
  <si>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</si>
  <si>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</si>
  <si>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</si>
  <si>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</si>
  <si>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</si>
  <si>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</si>
  <si>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</si>
  <si>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</si>
  <si>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</si>
  <si>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</si>
  <si>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</si>
  <si>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</si>
  <si>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</si>
  <si>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</si>
  <si>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</si>
  <si>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</si>
  <si>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</si>
  <si>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</si>
  <si>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</si>
  <si>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</si>
  <si>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</si>
  <si>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</si>
  <si>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</si>
  <si>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</si>
  <si>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</si>
  <si>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</si>
  <si>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</si>
  <si>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</si>
  <si>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</si>
  <si>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</si>
  <si>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</si>
  <si>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</si>
  <si>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</si>
  <si>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</si>
  <si>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</si>
  <si>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</si>
  <si>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</si>
  <si>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</si>
  <si>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</si>
  <si>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</si>
  <si>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</si>
  <si>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</si>
  <si>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</si>
  <si>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</si>
  <si>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</si>
  <si>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</si>
  <si>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</si>
  <si>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</si>
  <si>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</si>
  <si>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</si>
  <si>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</si>
  <si>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</si>
  <si>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</si>
  <si>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</si>
  <si>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</si>
  <si>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</si>
  <si>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</si>
  <si>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</si>
  <si>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</si>
  <si>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</si>
  <si>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</si>
  <si>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</si>
  <si>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</si>
  <si>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</si>
  <si>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</si>
  <si>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</si>
  <si>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</si>
  <si>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</si>
  <si>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</si>
  <si>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</si>
  <si>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</si>
  <si>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</si>
  <si>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</si>
  <si>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</si>
  <si>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</si>
  <si>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</si>
  <si>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</si>
  <si>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</si>
  <si>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</si>
  <si>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</si>
  <si>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</si>
  <si>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</si>
  <si>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</si>
  <si>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</si>
  <si>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</si>
  <si>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</si>
  <si>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</si>
  <si>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</si>
  <si>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</si>
  <si>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</si>
  <si>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</si>
  <si>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</si>
  <si>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</si>
  <si>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</si>
  <si>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</si>
  <si>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</si>
  <si>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</si>
  <si>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</si>
  <si>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</si>
  <si>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</si>
  <si>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</si>
  <si>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</si>
  <si>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</si>
  <si>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</si>
  <si>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</si>
  <si>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</si>
  <si>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</si>
  <si>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</si>
  <si>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</si>
  <si>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</si>
  <si>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</si>
  <si>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</si>
  <si>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</si>
  <si>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</si>
  <si>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</si>
  <si>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</si>
  <si>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</si>
  <si>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</si>
  <si>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</si>
  <si>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</si>
  <si>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</si>
  <si>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</si>
  <si>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</si>
  <si>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</si>
  <si>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</si>
  <si>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</si>
  <si>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</si>
  <si>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</si>
  <si>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</si>
  <si>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</si>
  <si>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</si>
  <si>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</si>
  <si>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</si>
  <si>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</si>
  <si>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</si>
  <si>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</si>
  <si>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</si>
  <si>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</si>
  <si>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</si>
  <si>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</si>
  <si>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</si>
  <si>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</si>
  <si>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</si>
  <si>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</si>
  <si>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</si>
  <si>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</si>
  <si>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</si>
  <si>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</si>
  <si>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</si>
  <si>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</si>
  <si>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</si>
  <si>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</si>
  <si>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</si>
  <si>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</si>
  <si>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</si>
  <si>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</si>
  <si>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</si>
  <si>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</si>
  <si>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</si>
  <si>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</si>
  <si>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</si>
  <si>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</si>
  <si>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</si>
  <si>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</si>
  <si>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</si>
  <si>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</si>
  <si>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</si>
  <si>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</si>
  <si>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</si>
  <si>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</si>
  <si>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</si>
  <si>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</si>
  <si>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</si>
  <si>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</si>
  <si>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</si>
  <si>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</si>
  <si>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</si>
  <si>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</si>
  <si>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</si>
  <si>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</si>
  <si>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</si>
  <si>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</si>
  <si>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</si>
  <si>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</si>
  <si>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</si>
  <si>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</si>
  <si>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</si>
  <si>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</si>
  <si>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</si>
  <si>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</si>
  <si>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</si>
  <si>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</si>
  <si>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</si>
  <si>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</si>
  <si>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</si>
  <si>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</si>
  <si>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</si>
  <si>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</si>
  <si>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</si>
  <si>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</si>
  <si>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</si>
  <si>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</si>
  <si>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</si>
  <si>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</si>
  <si>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</si>
  <si>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</si>
  <si>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</si>
  <si>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</si>
  <si>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</si>
  <si>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</si>
  <si>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</si>
  <si>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</si>
  <si>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</si>
  <si>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</si>
  <si>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</si>
  <si>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</si>
  <si>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</si>
  <si>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</si>
  <si>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</si>
  <si>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</si>
  <si>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</si>
  <si>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</si>
  <si>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</si>
  <si>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</si>
  <si>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</si>
  <si>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</si>
  <si>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</si>
  <si>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</si>
  <si>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</si>
  <si>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</si>
  <si>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</si>
  <si>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</si>
  <si>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</si>
  <si>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</si>
  <si>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</si>
  <si>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</si>
  <si>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</si>
  <si>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</si>
  <si>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</si>
  <si>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</si>
  <si>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</si>
  <si>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</si>
  <si>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</si>
  <si>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</si>
  <si>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</si>
  <si>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</si>
  <si>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</si>
  <si>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</si>
  <si>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</si>
  <si>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</si>
  <si>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</si>
  <si>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</si>
  <si>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</si>
  <si>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</si>
  <si>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</si>
  <si>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</si>
  <si>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</si>
  <si>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</si>
  <si>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</si>
  <si>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</si>
  <si>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</si>
  <si>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</si>
  <si>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</si>
  <si>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</si>
  <si>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</si>
  <si>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</si>
  <si>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</si>
  <si>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</si>
  <si>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</si>
  <si>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</si>
  <si>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</si>
  <si>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</si>
  <si>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</si>
  <si>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</si>
  <si>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</si>
  <si>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</si>
  <si>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</si>
  <si>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</si>
  <si>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</si>
  <si>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</si>
  <si>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</si>
  <si>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</si>
  <si>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</si>
  <si>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</si>
  <si>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 xml:space="preserve">gini 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</si>
  <si>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</si>
  <si>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</si>
  <si>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</si>
  <si>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</si>
  <si>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</si>
  <si>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</si>
  <si>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</si>
  <si>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</si>
  <si>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</si>
  <si>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</si>
  <si>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</si>
  <si>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</si>
  <si>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</si>
  <si>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</si>
  <si>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</si>
  <si>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</si>
  <si>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</si>
  <si>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</si>
  <si>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</si>
  <si>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</si>
  <si>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</si>
  <si>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</si>
  <si>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</si>
  <si>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</si>
  <si>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</si>
  <si>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</si>
  <si>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</si>
  <si>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</si>
  <si>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</si>
  <si>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Heat of Formation (kJ/mol)</t>
  </si>
  <si>
    <t>Gibbs Free Energy (kJ/mol)</t>
  </si>
  <si>
    <t>St. dev.</t>
  </si>
  <si>
    <t>St.dev.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</si>
  <si>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</si>
  <si>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</si>
  <si>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</si>
  <si>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</si>
  <si>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</si>
  <si>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</si>
  <si>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</si>
  <si>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</si>
  <si>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</si>
  <si>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</si>
  <si>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</si>
  <si>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</si>
  <si>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</si>
  <si>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</si>
  <si>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</si>
  <si>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</si>
  <si>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</si>
  <si>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</si>
  <si>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</si>
  <si>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</si>
  <si>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</si>
  <si>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</si>
  <si>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</si>
  <si>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</si>
  <si>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</si>
  <si>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</si>
  <si>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</si>
  <si>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</si>
  <si>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</si>
  <si>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</si>
  <si>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</si>
  <si>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</si>
  <si>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</si>
  <si>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</si>
  <si>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</si>
  <si>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</si>
  <si>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</si>
  <si>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</si>
  <si>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</si>
  <si>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</si>
  <si>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</si>
  <si>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</si>
  <si>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</si>
  <si>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</si>
  <si>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</si>
  <si>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</si>
  <si>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</si>
  <si>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</si>
  <si>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</si>
  <si>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</si>
  <si>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</si>
  <si>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</si>
  <si>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</si>
  <si>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</si>
  <si>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</si>
  <si>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</si>
  <si>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</si>
  <si>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</si>
  <si>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</si>
  <si>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</si>
  <si>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</si>
  <si>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</si>
  <si>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</si>
  <si>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</si>
  <si>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</si>
  <si>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</si>
  <si>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</si>
  <si>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</si>
  <si>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</si>
  <si>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 xml:space="preserve">Carbon number 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</si>
  <si>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</si>
  <si>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</si>
  <si>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</si>
  <si>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</si>
  <si>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</si>
  <si>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</si>
  <si>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</si>
  <si>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</si>
  <si>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</si>
  <si>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</si>
  <si>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</si>
  <si>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</si>
  <si>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</si>
  <si>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</si>
  <si>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</si>
  <si>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</si>
  <si>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</si>
  <si>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</si>
  <si>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</si>
  <si>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</si>
  <si>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</si>
  <si>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</si>
  <si>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</si>
  <si>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</si>
  <si>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</si>
  <si>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</si>
  <si>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</si>
  <si>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</si>
  <si>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</si>
  <si>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</si>
  <si>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</si>
  <si>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</si>
  <si>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</si>
  <si>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</si>
  <si>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</si>
  <si>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</si>
  <si>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</si>
  <si>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</si>
  <si>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</si>
  <si>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</si>
  <si>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</si>
  <si>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</si>
  <si>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</si>
  <si>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</si>
  <si>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</si>
  <si>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</si>
  <si>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</si>
  <si>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</si>
  <si>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</si>
  <si>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</si>
  <si>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</si>
  <si>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</si>
  <si>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</si>
  <si>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</si>
  <si>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</si>
  <si>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</si>
  <si>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</si>
  <si>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</si>
  <si>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</si>
  <si>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Moderate-to-Strong</t>
  </si>
  <si>
    <t>Weak-to-Moderate</t>
  </si>
  <si>
    <t>Relative Entropy (nats)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</si>
</sst>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6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" fillId="14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0" fillId="14" borderId="0" xfId="0" applyFill="1" applyAlignment="1">
      <alignment horizontal="left"/>
    </xf>
    <xf numFmtId="0" fontId="2" fillId="14" borderId="8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14" borderId="7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2" fontId="0" fillId="14" borderId="0" xfId="0" applyNumberFormat="1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823</v>
      </c>
      <c r="H1" s="1" t="s">
        <v>436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824</v>
      </c>
      <c r="H2" s="1" t="s">
        <v>825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826</v>
      </c>
      <c r="B3" s="1" t="s">
        <v>820</v>
      </c>
      <c r="C3" s="4" t="s">
        <v>1080</v>
      </c>
      <c r="D3" s="4" t="s">
        <v>827</v>
      </c>
      <c r="E3" s="4" t="s">
        <v>996</v>
      </c>
      <c r="F3" s="1" t="s">
        <v>828</v>
      </c>
      <c r="G3" s="1" t="s">
        <v>864</v>
      </c>
      <c r="H3" s="1" t="s">
        <v>829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830</v>
      </c>
      <c r="C4" s="4" t="str">
        <f>Database!B4</f>
        <v>ɑ</v>
      </c>
      <c r="D4" s="4" t="str">
        <f>Database!C4</f>
        <v>Achiral</v>
      </c>
      <c r="E4" s="96">
        <f>Database!D4</f>
        <v>182</v>
      </c>
      <c r="F4" s="1" t="s">
        <v>831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15.6157</v>
      </c>
      <c r="DU4" s="8" t="str">
        <f ca="1">OFFSET(Database!$F4,0,COLUMN(Database!DR4)*2-12)</f>
        <v>b.b.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832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872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833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875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1.1592</v>
      </c>
      <c r="DU6" s="8">
        <f ca="1">OFFSET(Database!$F6,0,COLUMN(Database!DR6)*2-12)</f>
        <v>1.6400000000000001E-2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833</v>
      </c>
      <c r="C7" s="4" t="str">
        <f>Database!B7</f>
        <v>ɑ</v>
      </c>
      <c r="D7" s="4" t="str">
        <f>Database!C7</f>
        <v>L</v>
      </c>
      <c r="E7" s="96">
        <f>Database!D7</f>
        <v>116</v>
      </c>
      <c r="F7" s="1" t="s">
        <v>876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5.6111000000000004</v>
      </c>
      <c r="DU7" s="8" t="str">
        <f ca="1">OFFSET(Database!$F7,0,COLUMN(Database!DR7)*2-12)</f>
        <v>b.b.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833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968</v>
      </c>
      <c r="G8" s="1" t="s">
        <v>1111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836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873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837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874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838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877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0.1283</v>
      </c>
      <c r="DU11" s="8">
        <f ca="1">OFFSET(Database!$F11,0,COLUMN(Database!DR11)*2-12)</f>
        <v>8.9999999999999998E-4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838</v>
      </c>
      <c r="C12" s="4" t="str">
        <f>Database!B12</f>
        <v>ɑ</v>
      </c>
      <c r="D12" s="4" t="str">
        <f>Database!C12</f>
        <v>L</v>
      </c>
      <c r="E12" s="96">
        <f>Database!D12</f>
        <v>96</v>
      </c>
      <c r="F12" s="1" t="s">
        <v>878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 t="str">
        <f ca="1">OFFSET(Database!$F12,0,COLUMN(Database!DR12)*2-12)</f>
        <v>b.b.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838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994</v>
      </c>
      <c r="G13" s="1" t="s">
        <v>1110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839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879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839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880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839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995</v>
      </c>
      <c r="G16" s="1" t="s">
        <v>1109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840</v>
      </c>
      <c r="C17" s="4" t="str">
        <f>Database!B17</f>
        <v>ɑ</v>
      </c>
      <c r="D17" s="4" t="str">
        <f>Database!C17</f>
        <v>D</v>
      </c>
      <c r="E17" s="96">
        <f>Database!D17</f>
        <v>92</v>
      </c>
      <c r="F17" s="1" t="s">
        <v>1112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0.25030000000000002</v>
      </c>
      <c r="DU17" s="8" t="str">
        <f ca="1">OFFSET(Database!$F17,0,COLUMN(Database!DR17)*2-12)</f>
        <v>b.b.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840</v>
      </c>
      <c r="C18" s="4" t="str">
        <f>Database!B18</f>
        <v>ɑ</v>
      </c>
      <c r="D18" s="4" t="str">
        <f>Database!C18</f>
        <v>L</v>
      </c>
      <c r="E18" s="96">
        <f>Database!D18</f>
        <v>103</v>
      </c>
      <c r="F18" s="1" t="s">
        <v>1113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0.98170000000000002</v>
      </c>
      <c r="DU18" s="8" t="str">
        <f ca="1">OFFSET(Database!$F18,0,COLUMN(Database!DR18)*2-12)</f>
        <v>b.b.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840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834</v>
      </c>
      <c r="G19" s="1" t="s">
        <v>1108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841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881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841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882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841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967</v>
      </c>
      <c r="G22" s="1" t="s">
        <v>1107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842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883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843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884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843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885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865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886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865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887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865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1031</v>
      </c>
      <c r="G28" s="1" t="s">
        <v>1106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866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888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866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889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n.dt.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866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1032</v>
      </c>
      <c r="G31" s="1" t="s">
        <v>1105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n.r.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891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890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867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892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868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893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868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894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868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1033</v>
      </c>
      <c r="G36" s="1" t="s">
        <v>1104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987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895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988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917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989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916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989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915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869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896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870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897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870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898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980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899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990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914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844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901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844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996</v>
      </c>
      <c r="G47" s="4" t="s">
        <v>1103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845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902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3.9600000000000003E-2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845</v>
      </c>
      <c r="C49" s="4" t="str">
        <f>Database!B49</f>
        <v>ɑ</v>
      </c>
      <c r="D49" s="4" t="str">
        <f>Database!C49</f>
        <v>L</v>
      </c>
      <c r="E49" s="96">
        <f>Database!D49</f>
        <v>102</v>
      </c>
      <c r="F49" s="1" t="s">
        <v>903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2.9622000000000002</v>
      </c>
      <c r="DU49" s="8" t="str">
        <f ca="1">OFFSET(Database!$F49,0,COLUMN(Database!DR49)*2-12)</f>
        <v>b.b.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845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997</v>
      </c>
      <c r="G50" s="4" t="s">
        <v>1102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846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904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846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905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846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1034</v>
      </c>
      <c r="G53" s="1" t="s">
        <v>1101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847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906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847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979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847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1035</v>
      </c>
      <c r="G56" s="1" t="s">
        <v>1100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981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913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981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912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981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1036</v>
      </c>
      <c r="G59" s="1" t="s">
        <v>1099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1081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908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982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911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983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909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983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910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983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1037</v>
      </c>
      <c r="G64" s="1" t="s">
        <v>1098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985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907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986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958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984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918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848</v>
      </c>
      <c r="C68" s="4" t="str">
        <f>Database!B68</f>
        <v>ɑ</v>
      </c>
      <c r="D68" s="4" t="str">
        <f>Database!C68</f>
        <v>D</v>
      </c>
      <c r="E68" s="96">
        <f>Database!D68</f>
        <v>71</v>
      </c>
      <c r="F68" s="1" t="s">
        <v>919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0.40660000000000002</v>
      </c>
      <c r="DU68" s="8" t="str">
        <f ca="1">OFFSET(Database!$F68,0,COLUMN(Database!DR68)*2-12)</f>
        <v>b.b.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848</v>
      </c>
      <c r="C69" s="4" t="str">
        <f>Database!B69</f>
        <v>ɑ</v>
      </c>
      <c r="D69" s="4" t="str">
        <f>Database!C69</f>
        <v>L</v>
      </c>
      <c r="E69" s="96">
        <f>Database!D69</f>
        <v>89</v>
      </c>
      <c r="F69" s="1" t="s">
        <v>920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3.0371999999999999</v>
      </c>
      <c r="DU69" s="8" t="str">
        <f ca="1">OFFSET(Database!$F69,0,COLUMN(Database!DR69)*2-12)</f>
        <v>b.b.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848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998</v>
      </c>
      <c r="G70" s="1" t="s">
        <v>1097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849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922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849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970</v>
      </c>
      <c r="G72" s="1" t="s">
        <v>1096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991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923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850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924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850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925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850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999</v>
      </c>
      <c r="G76" s="1" t="s">
        <v>1095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851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926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851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927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851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1000</v>
      </c>
      <c r="G79" s="1" t="s">
        <v>1094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852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1038</v>
      </c>
      <c r="G80" s="1" t="s">
        <v>1093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992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930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992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931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853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932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853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933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854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1040</v>
      </c>
      <c r="G85" s="1" t="s">
        <v>1092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993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936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871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937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855</v>
      </c>
      <c r="C88" s="4" t="str">
        <f>Database!B88</f>
        <v>ɑ</v>
      </c>
      <c r="D88" s="4" t="str">
        <f>Database!C88</f>
        <v>D</v>
      </c>
      <c r="E88" s="96">
        <f>Database!D88</f>
        <v>16</v>
      </c>
      <c r="F88" s="1" t="s">
        <v>938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>
        <f ca="1">OFFSET(Database!$F88,0,COLUMN(Database!DK88)*2-12)</f>
        <v>7.7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855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939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855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835</v>
      </c>
      <c r="G90" s="1" t="s">
        <v>1091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856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940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856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941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856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1001</v>
      </c>
      <c r="G93" s="1" t="s">
        <v>1090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857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1041</v>
      </c>
      <c r="G94" s="1" t="s">
        <v>1089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858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944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858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945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858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1002</v>
      </c>
      <c r="G97" s="1" t="s">
        <v>1088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859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1042</v>
      </c>
      <c r="G98" s="1" t="s">
        <v>1086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860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949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860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1003</v>
      </c>
      <c r="G100" s="1" t="s">
        <v>1087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861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950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861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951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861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1004</v>
      </c>
      <c r="G103" s="1" t="s">
        <v>1085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1028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952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1028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953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1028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969</v>
      </c>
      <c r="G106" s="1" t="s">
        <v>1084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862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954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862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955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862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1005</v>
      </c>
      <c r="G109" s="1" t="s">
        <v>1083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863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956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863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957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863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1006</v>
      </c>
      <c r="G112" s="1" t="s">
        <v>1082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zoomScale="157" zoomScaleNormal="69" workbookViewId="0">
      <pane xSplit="1" topLeftCell="D1" activePane="topRight" state="frozen"/>
      <selection pane="topRight" activeCell="A54" sqref="A54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1264</v>
      </c>
      <c r="B1" s="56" t="s">
        <v>109</v>
      </c>
      <c r="C1" s="56" t="s">
        <v>1265</v>
      </c>
      <c r="D1" s="31" t="s">
        <v>1266</v>
      </c>
      <c r="E1" s="57" t="s">
        <v>830</v>
      </c>
      <c r="F1" s="57" t="s">
        <v>832</v>
      </c>
      <c r="G1" s="57" t="s">
        <v>1011</v>
      </c>
      <c r="H1" s="57" t="s">
        <v>1012</v>
      </c>
      <c r="I1" s="57" t="s">
        <v>833</v>
      </c>
      <c r="J1" s="57" t="s">
        <v>2</v>
      </c>
      <c r="K1" s="57" t="s">
        <v>837</v>
      </c>
      <c r="L1" s="57" t="s">
        <v>3</v>
      </c>
      <c r="M1" s="57" t="s">
        <v>4</v>
      </c>
      <c r="N1" s="57" t="s">
        <v>838</v>
      </c>
      <c r="O1" s="57" t="s">
        <v>1231</v>
      </c>
      <c r="P1" s="57" t="s">
        <v>5</v>
      </c>
      <c r="Q1" s="57" t="s">
        <v>6</v>
      </c>
      <c r="R1" s="57" t="s">
        <v>839</v>
      </c>
      <c r="S1" s="57" t="s">
        <v>7</v>
      </c>
      <c r="T1" s="57" t="s">
        <v>8</v>
      </c>
      <c r="U1" s="57" t="s">
        <v>840</v>
      </c>
      <c r="V1" s="57" t="s">
        <v>1232</v>
      </c>
      <c r="W1" s="57" t="s">
        <v>9</v>
      </c>
      <c r="X1" s="57" t="s">
        <v>10</v>
      </c>
      <c r="Y1" s="57" t="s">
        <v>841</v>
      </c>
      <c r="Z1" s="57" t="s">
        <v>842</v>
      </c>
      <c r="AA1" s="57" t="s">
        <v>606</v>
      </c>
      <c r="AB1" s="57" t="s">
        <v>607</v>
      </c>
      <c r="AC1" s="57" t="s">
        <v>843</v>
      </c>
      <c r="AD1" s="57" t="s">
        <v>1233</v>
      </c>
      <c r="AE1" s="57" t="s">
        <v>1234</v>
      </c>
      <c r="AF1" s="57" t="s">
        <v>1235</v>
      </c>
      <c r="AG1" s="57" t="s">
        <v>1236</v>
      </c>
      <c r="AH1" s="57" t="s">
        <v>1237</v>
      </c>
      <c r="AI1" s="57" t="s">
        <v>1238</v>
      </c>
      <c r="AJ1" s="57" t="s">
        <v>890</v>
      </c>
      <c r="AK1" s="57" t="s">
        <v>1239</v>
      </c>
      <c r="AL1" s="57" t="s">
        <v>1240</v>
      </c>
      <c r="AM1" s="57" t="s">
        <v>1241</v>
      </c>
      <c r="AN1" s="57" t="s">
        <v>1242</v>
      </c>
      <c r="AO1" s="57" t="s">
        <v>1243</v>
      </c>
      <c r="AP1" s="57" t="s">
        <v>988</v>
      </c>
      <c r="AQ1" s="57" t="s">
        <v>1244</v>
      </c>
      <c r="AR1" s="57" t="s">
        <v>1245</v>
      </c>
      <c r="AS1" s="57" t="s">
        <v>1246</v>
      </c>
      <c r="AT1" s="57" t="s">
        <v>604</v>
      </c>
      <c r="AU1" s="57" t="s">
        <v>605</v>
      </c>
      <c r="AV1" s="57" t="s">
        <v>870</v>
      </c>
      <c r="AW1" s="57" t="s">
        <v>1019</v>
      </c>
      <c r="AX1" s="57" t="s">
        <v>990</v>
      </c>
      <c r="AY1" s="57" t="s">
        <v>551</v>
      </c>
      <c r="AZ1" s="57" t="s">
        <v>844</v>
      </c>
      <c r="BA1" s="57" t="s">
        <v>1247</v>
      </c>
      <c r="BB1" s="57" t="s">
        <v>1248</v>
      </c>
      <c r="BC1" s="57" t="s">
        <v>13</v>
      </c>
      <c r="BD1" s="57" t="s">
        <v>14</v>
      </c>
      <c r="BE1" s="57" t="s">
        <v>845</v>
      </c>
      <c r="BF1" s="57" t="s">
        <v>21</v>
      </c>
      <c r="BG1" s="57" t="s">
        <v>22</v>
      </c>
      <c r="BH1" s="57" t="s">
        <v>846</v>
      </c>
      <c r="BI1" s="57" t="s">
        <v>23</v>
      </c>
      <c r="BJ1" s="57" t="s">
        <v>24</v>
      </c>
      <c r="BK1" s="57" t="s">
        <v>847</v>
      </c>
      <c r="BL1" s="57" t="s">
        <v>1249</v>
      </c>
      <c r="BM1" s="57" t="s">
        <v>1250</v>
      </c>
      <c r="BN1" s="57" t="s">
        <v>981</v>
      </c>
      <c r="BO1" s="57" t="s">
        <v>1081</v>
      </c>
      <c r="BP1" s="57" t="s">
        <v>1251</v>
      </c>
      <c r="BQ1" s="57" t="s">
        <v>1252</v>
      </c>
      <c r="BR1" s="57" t="s">
        <v>1253</v>
      </c>
      <c r="BS1" s="57" t="s">
        <v>983</v>
      </c>
      <c r="BT1" s="57" t="s">
        <v>985</v>
      </c>
      <c r="BU1" s="57" t="s">
        <v>986</v>
      </c>
      <c r="BV1" s="57" t="s">
        <v>984</v>
      </c>
      <c r="BW1" s="57" t="s">
        <v>15</v>
      </c>
      <c r="BX1" s="57" t="s">
        <v>16</v>
      </c>
      <c r="BY1" s="57" t="s">
        <v>848</v>
      </c>
      <c r="BZ1" s="57" t="s">
        <v>18</v>
      </c>
      <c r="CA1" s="57" t="s">
        <v>849</v>
      </c>
      <c r="CB1" s="57" t="s">
        <v>991</v>
      </c>
      <c r="CC1" s="57" t="s">
        <v>19</v>
      </c>
      <c r="CD1" s="57" t="s">
        <v>20</v>
      </c>
      <c r="CE1" s="57" t="s">
        <v>850</v>
      </c>
      <c r="CF1" s="57" t="s">
        <v>1254</v>
      </c>
      <c r="CG1" s="57" t="s">
        <v>1255</v>
      </c>
      <c r="CH1" s="57" t="s">
        <v>571</v>
      </c>
      <c r="CI1" s="57" t="s">
        <v>579</v>
      </c>
      <c r="CJ1" s="57" t="s">
        <v>851</v>
      </c>
      <c r="CK1" s="57" t="s">
        <v>852</v>
      </c>
      <c r="CL1" s="57" t="s">
        <v>1256</v>
      </c>
      <c r="CM1" s="57" t="s">
        <v>1257</v>
      </c>
      <c r="CN1" s="57" t="s">
        <v>1430</v>
      </c>
      <c r="CO1" s="57" t="s">
        <v>1258</v>
      </c>
      <c r="CP1" s="57" t="s">
        <v>1259</v>
      </c>
      <c r="CQ1" s="57" t="s">
        <v>1260</v>
      </c>
      <c r="CR1" s="57" t="s">
        <v>854</v>
      </c>
      <c r="CS1" s="57" t="s">
        <v>993</v>
      </c>
      <c r="CT1" s="57" t="s">
        <v>1261</v>
      </c>
      <c r="CU1" s="57" t="s">
        <v>26</v>
      </c>
      <c r="CV1" s="57" t="s">
        <v>27</v>
      </c>
      <c r="CW1" s="57" t="s">
        <v>855</v>
      </c>
      <c r="CX1" s="57" t="s">
        <v>28</v>
      </c>
      <c r="CY1" s="57" t="s">
        <v>29</v>
      </c>
      <c r="CZ1" s="57" t="s">
        <v>856</v>
      </c>
      <c r="DA1" s="57" t="s">
        <v>1262</v>
      </c>
      <c r="DB1" s="57" t="s">
        <v>363</v>
      </c>
      <c r="DC1" s="57" t="s">
        <v>311</v>
      </c>
      <c r="DD1" s="57" t="s">
        <v>858</v>
      </c>
      <c r="DE1" s="57" t="s">
        <v>1226</v>
      </c>
      <c r="DF1" s="57" t="s">
        <v>1263</v>
      </c>
      <c r="DG1" s="57" t="s">
        <v>31</v>
      </c>
      <c r="DH1" s="57" t="s">
        <v>860</v>
      </c>
      <c r="DI1" s="57" t="s">
        <v>32</v>
      </c>
      <c r="DJ1" s="57" t="s">
        <v>33</v>
      </c>
      <c r="DK1" s="57" t="s">
        <v>861</v>
      </c>
      <c r="DL1" s="57" t="s">
        <v>34</v>
      </c>
      <c r="DM1" s="57" t="s">
        <v>35</v>
      </c>
      <c r="DN1" s="57" t="s">
        <v>1028</v>
      </c>
      <c r="DO1" s="57" t="s">
        <v>36</v>
      </c>
      <c r="DP1" s="57" t="s">
        <v>37</v>
      </c>
      <c r="DQ1" s="57" t="s">
        <v>862</v>
      </c>
      <c r="DR1" s="57" t="s">
        <v>38</v>
      </c>
      <c r="DS1" s="57" t="s">
        <v>39</v>
      </c>
      <c r="DT1" s="57" t="s">
        <v>863</v>
      </c>
      <c r="DU1" s="31" t="s">
        <v>108</v>
      </c>
    </row>
    <row r="2" spans="1:125" ht="18" x14ac:dyDescent="0.25">
      <c r="A2" s="52" t="s">
        <v>1267</v>
      </c>
      <c r="B2" s="1" t="s">
        <v>1268</v>
      </c>
      <c r="C2" s="1" t="s">
        <v>1269</v>
      </c>
      <c r="D2" t="s">
        <v>1270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1271</v>
      </c>
    </row>
    <row r="3" spans="1:125" ht="18" x14ac:dyDescent="0.25">
      <c r="A3" s="52" t="s">
        <v>1272</v>
      </c>
      <c r="B3" s="1" t="s">
        <v>1268</v>
      </c>
      <c r="C3" s="1" t="s">
        <v>1273</v>
      </c>
      <c r="D3" t="s">
        <v>1274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1271</v>
      </c>
    </row>
    <row r="4" spans="1:125" ht="18" x14ac:dyDescent="0.25">
      <c r="A4" s="52" t="s">
        <v>1275</v>
      </c>
      <c r="B4" s="1" t="s">
        <v>1268</v>
      </c>
      <c r="C4" s="1" t="s">
        <v>1276</v>
      </c>
      <c r="D4" t="s">
        <v>1277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1271</v>
      </c>
    </row>
    <row r="5" spans="1:125" x14ac:dyDescent="0.2">
      <c r="A5" s="52" t="s">
        <v>1278</v>
      </c>
      <c r="B5" s="1" t="s">
        <v>1268</v>
      </c>
      <c r="C5" s="1" t="s">
        <v>1279</v>
      </c>
      <c r="D5" t="s">
        <v>1280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1281</v>
      </c>
    </row>
    <row r="6" spans="1:125" x14ac:dyDescent="0.2">
      <c r="A6" s="52" t="s">
        <v>1282</v>
      </c>
      <c r="B6" s="1" t="s">
        <v>1268</v>
      </c>
      <c r="C6" s="1" t="s">
        <v>1283</v>
      </c>
      <c r="D6" t="s">
        <v>1284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1285</v>
      </c>
    </row>
    <row r="7" spans="1:125" x14ac:dyDescent="0.2">
      <c r="A7" s="52" t="s">
        <v>1286</v>
      </c>
      <c r="B7" s="1" t="s">
        <v>1268</v>
      </c>
      <c r="C7" s="1" t="s">
        <v>1287</v>
      </c>
      <c r="D7" t="s">
        <v>1288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1289</v>
      </c>
    </row>
    <row r="8" spans="1:125" x14ac:dyDescent="0.2">
      <c r="A8" s="52" t="s">
        <v>1290</v>
      </c>
      <c r="B8" s="1" t="s">
        <v>1268</v>
      </c>
      <c r="C8" s="1" t="s">
        <v>1287</v>
      </c>
      <c r="D8" t="s">
        <v>1291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1289</v>
      </c>
    </row>
    <row r="9" spans="1:125" x14ac:dyDescent="0.2">
      <c r="A9" s="52" t="s">
        <v>1292</v>
      </c>
      <c r="B9" s="1" t="s">
        <v>1268</v>
      </c>
      <c r="C9" s="1" t="s">
        <v>1287</v>
      </c>
      <c r="D9" t="s">
        <v>1293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1289</v>
      </c>
    </row>
    <row r="10" spans="1:125" x14ac:dyDescent="0.2">
      <c r="A10" s="52" t="s">
        <v>1294</v>
      </c>
      <c r="B10" s="1" t="s">
        <v>1268</v>
      </c>
      <c r="C10" s="1" t="s">
        <v>1287</v>
      </c>
      <c r="D10" t="s">
        <v>1295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1289</v>
      </c>
    </row>
    <row r="11" spans="1:125" x14ac:dyDescent="0.2">
      <c r="A11" s="52" t="s">
        <v>1296</v>
      </c>
      <c r="B11" s="1" t="s">
        <v>1268</v>
      </c>
      <c r="C11" s="1" t="s">
        <v>1287</v>
      </c>
      <c r="D11" t="s">
        <v>1297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1289</v>
      </c>
    </row>
    <row r="12" spans="1:125" x14ac:dyDescent="0.2">
      <c r="A12" s="52" t="s">
        <v>1298</v>
      </c>
      <c r="B12" s="1" t="s">
        <v>1268</v>
      </c>
      <c r="C12" s="1" t="s">
        <v>1287</v>
      </c>
      <c r="D12" t="s">
        <v>1299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1289</v>
      </c>
    </row>
    <row r="13" spans="1:125" x14ac:dyDescent="0.2">
      <c r="A13" s="52" t="s">
        <v>1300</v>
      </c>
      <c r="B13" s="1" t="s">
        <v>1268</v>
      </c>
      <c r="C13" s="1" t="s">
        <v>1287</v>
      </c>
      <c r="D13" t="s">
        <v>1301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1289</v>
      </c>
    </row>
    <row r="14" spans="1:125" x14ac:dyDescent="0.2">
      <c r="A14" s="52" t="s">
        <v>1302</v>
      </c>
      <c r="B14" s="1" t="s">
        <v>1268</v>
      </c>
      <c r="C14" s="1" t="s">
        <v>1287</v>
      </c>
      <c r="D14" t="s">
        <v>1303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1289</v>
      </c>
    </row>
    <row r="15" spans="1:125" x14ac:dyDescent="0.2">
      <c r="A15" s="52" t="s">
        <v>1304</v>
      </c>
      <c r="B15" s="1" t="s">
        <v>1268</v>
      </c>
      <c r="C15" s="1" t="s">
        <v>1287</v>
      </c>
      <c r="D15" t="s">
        <v>1305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1289</v>
      </c>
    </row>
    <row r="16" spans="1:125" x14ac:dyDescent="0.2">
      <c r="A16" s="52" t="s">
        <v>1306</v>
      </c>
      <c r="B16" s="1" t="s">
        <v>1268</v>
      </c>
      <c r="C16" s="1" t="s">
        <v>1287</v>
      </c>
      <c r="D16" t="s">
        <v>1307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1289</v>
      </c>
    </row>
    <row r="17" spans="1:125" x14ac:dyDescent="0.2">
      <c r="A17" s="52" t="s">
        <v>1308</v>
      </c>
      <c r="B17" s="1" t="s">
        <v>1268</v>
      </c>
      <c r="C17" s="1" t="s">
        <v>1287</v>
      </c>
      <c r="D17" t="s">
        <v>1309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1289</v>
      </c>
    </row>
    <row r="18" spans="1:125" x14ac:dyDescent="0.2">
      <c r="A18" s="52" t="s">
        <v>1310</v>
      </c>
      <c r="B18" s="1" t="s">
        <v>1268</v>
      </c>
      <c r="C18" s="1" t="s">
        <v>1287</v>
      </c>
      <c r="D18" t="s">
        <v>1311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1289</v>
      </c>
    </row>
    <row r="19" spans="1:125" x14ac:dyDescent="0.2">
      <c r="A19" s="52" t="s">
        <v>1312</v>
      </c>
      <c r="B19" s="1" t="s">
        <v>1268</v>
      </c>
      <c r="C19" s="1" t="s">
        <v>1287</v>
      </c>
      <c r="D19" t="s">
        <v>1313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1289</v>
      </c>
    </row>
    <row r="20" spans="1:125" x14ac:dyDescent="0.2">
      <c r="A20" s="52" t="s">
        <v>1314</v>
      </c>
      <c r="B20" s="1" t="s">
        <v>1268</v>
      </c>
      <c r="C20" s="1" t="s">
        <v>1287</v>
      </c>
      <c r="D20" t="s">
        <v>1315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1289</v>
      </c>
    </row>
    <row r="21" spans="1:125" x14ac:dyDescent="0.2">
      <c r="A21" s="52" t="s">
        <v>1316</v>
      </c>
      <c r="B21" s="1" t="s">
        <v>1268</v>
      </c>
      <c r="C21" s="1" t="s">
        <v>1287</v>
      </c>
      <c r="D21" t="s">
        <v>1317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1289</v>
      </c>
    </row>
    <row r="22" spans="1:125" x14ac:dyDescent="0.2">
      <c r="A22" s="52" t="s">
        <v>1318</v>
      </c>
      <c r="B22" s="1" t="s">
        <v>1268</v>
      </c>
      <c r="C22" s="1" t="s">
        <v>1287</v>
      </c>
      <c r="D22" t="s">
        <v>1319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1289</v>
      </c>
    </row>
    <row r="23" spans="1:125" x14ac:dyDescent="0.2">
      <c r="A23" s="52" t="s">
        <v>1320</v>
      </c>
      <c r="B23" s="1" t="s">
        <v>1268</v>
      </c>
      <c r="C23" s="1" t="s">
        <v>1287</v>
      </c>
      <c r="D23" t="s">
        <v>1321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1289</v>
      </c>
    </row>
    <row r="24" spans="1:125" x14ac:dyDescent="0.2">
      <c r="A24" s="52" t="s">
        <v>1322</v>
      </c>
      <c r="B24" s="1" t="s">
        <v>1268</v>
      </c>
      <c r="C24" s="1" t="s">
        <v>1287</v>
      </c>
      <c r="D24" t="s">
        <v>1323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1289</v>
      </c>
    </row>
    <row r="25" spans="1:125" x14ac:dyDescent="0.2">
      <c r="A25" s="52" t="s">
        <v>1324</v>
      </c>
      <c r="B25" s="1" t="s">
        <v>1268</v>
      </c>
      <c r="C25" s="1" t="s">
        <v>1287</v>
      </c>
      <c r="D25" t="s">
        <v>1325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1289</v>
      </c>
    </row>
    <row r="26" spans="1:125" x14ac:dyDescent="0.2">
      <c r="A26" s="52" t="s">
        <v>1326</v>
      </c>
      <c r="B26" s="1" t="s">
        <v>1268</v>
      </c>
      <c r="C26" s="1" t="s">
        <v>1287</v>
      </c>
      <c r="D26" t="s">
        <v>1327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1289</v>
      </c>
    </row>
    <row r="27" spans="1:125" x14ac:dyDescent="0.2">
      <c r="A27" s="52" t="s">
        <v>1328</v>
      </c>
      <c r="B27" s="1" t="s">
        <v>1268</v>
      </c>
      <c r="C27" s="1" t="s">
        <v>1287</v>
      </c>
      <c r="D27" t="s">
        <v>1329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1289</v>
      </c>
    </row>
    <row r="28" spans="1:125" ht="18" x14ac:dyDescent="0.25">
      <c r="A28" s="52" t="s">
        <v>1330</v>
      </c>
      <c r="B28" s="1" t="s">
        <v>1331</v>
      </c>
      <c r="D28" t="s">
        <v>1332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1333</v>
      </c>
    </row>
    <row r="29" spans="1:125" ht="18" x14ac:dyDescent="0.25">
      <c r="A29" s="52" t="s">
        <v>1334</v>
      </c>
      <c r="B29" s="1" t="s">
        <v>1331</v>
      </c>
      <c r="D29" t="s">
        <v>1335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1333</v>
      </c>
    </row>
    <row r="30" spans="1:125" ht="18" x14ac:dyDescent="0.25">
      <c r="A30" s="52" t="s">
        <v>1336</v>
      </c>
      <c r="B30" s="1" t="s">
        <v>1331</v>
      </c>
      <c r="D30" t="s">
        <v>1337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1333</v>
      </c>
    </row>
    <row r="31" spans="1:125" x14ac:dyDescent="0.2">
      <c r="A31" s="52" t="s">
        <v>1338</v>
      </c>
      <c r="B31" s="1" t="s">
        <v>1331</v>
      </c>
      <c r="D31" t="s">
        <v>1339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1333</v>
      </c>
    </row>
    <row r="32" spans="1:125" x14ac:dyDescent="0.2">
      <c r="A32" s="52" t="s">
        <v>1340</v>
      </c>
      <c r="B32" s="1" t="s">
        <v>1341</v>
      </c>
      <c r="D32" t="s">
        <v>1342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1343</v>
      </c>
    </row>
    <row r="33" spans="1:125" x14ac:dyDescent="0.2">
      <c r="A33" s="52" t="s">
        <v>1344</v>
      </c>
      <c r="B33" s="1" t="s">
        <v>1341</v>
      </c>
      <c r="D33" t="s">
        <v>1345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1343</v>
      </c>
    </row>
    <row r="34" spans="1:125" x14ac:dyDescent="0.2">
      <c r="A34" s="52" t="s">
        <v>1346</v>
      </c>
      <c r="B34" s="1" t="s">
        <v>1341</v>
      </c>
      <c r="D34" t="s">
        <v>1347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1343</v>
      </c>
    </row>
    <row r="35" spans="1:125" x14ac:dyDescent="0.2">
      <c r="A35" s="52" t="s">
        <v>1348</v>
      </c>
      <c r="B35" s="1" t="s">
        <v>1341</v>
      </c>
      <c r="D35" t="s">
        <v>1349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1343</v>
      </c>
    </row>
    <row r="36" spans="1:125" x14ac:dyDescent="0.2">
      <c r="A36" s="52" t="s">
        <v>1350</v>
      </c>
      <c r="B36" s="1" t="s">
        <v>1341</v>
      </c>
      <c r="D36" t="s">
        <v>1351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1343</v>
      </c>
    </row>
    <row r="37" spans="1:125" x14ac:dyDescent="0.2">
      <c r="A37" s="52" t="s">
        <v>1352</v>
      </c>
      <c r="B37" s="1" t="s">
        <v>1341</v>
      </c>
      <c r="D37" t="s">
        <v>1353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1343</v>
      </c>
    </row>
    <row r="38" spans="1:125" x14ac:dyDescent="0.2">
      <c r="A38" s="52" t="s">
        <v>1354</v>
      </c>
      <c r="B38" s="1" t="s">
        <v>1355</v>
      </c>
      <c r="C38" s="1" t="s">
        <v>1287</v>
      </c>
      <c r="D38" t="s">
        <v>1356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1357</v>
      </c>
    </row>
    <row r="39" spans="1:125" x14ac:dyDescent="0.2">
      <c r="A39" s="52" t="s">
        <v>1358</v>
      </c>
      <c r="B39" s="1" t="s">
        <v>1355</v>
      </c>
      <c r="C39" s="1" t="s">
        <v>1287</v>
      </c>
      <c r="D39" t="s">
        <v>1359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1357</v>
      </c>
    </row>
    <row r="40" spans="1:125" x14ac:dyDescent="0.2">
      <c r="A40" s="52" t="s">
        <v>1360</v>
      </c>
      <c r="B40" s="1" t="s">
        <v>1355</v>
      </c>
      <c r="C40" s="1" t="s">
        <v>1287</v>
      </c>
      <c r="D40" t="s">
        <v>1361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1357</v>
      </c>
    </row>
    <row r="41" spans="1:125" x14ac:dyDescent="0.2">
      <c r="A41" s="52" t="s">
        <v>1362</v>
      </c>
      <c r="B41" s="1" t="s">
        <v>1355</v>
      </c>
      <c r="C41" s="1" t="s">
        <v>1287</v>
      </c>
      <c r="D41" t="s">
        <v>1363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1357</v>
      </c>
    </row>
    <row r="42" spans="1:125" x14ac:dyDescent="0.2">
      <c r="A42" s="52" t="s">
        <v>1364</v>
      </c>
      <c r="B42" s="1" t="s">
        <v>1355</v>
      </c>
      <c r="C42" s="1" t="s">
        <v>1365</v>
      </c>
      <c r="D42" t="s">
        <v>1366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1367</v>
      </c>
    </row>
    <row r="43" spans="1:125" x14ac:dyDescent="0.2">
      <c r="A43" s="52" t="s">
        <v>1368</v>
      </c>
      <c r="B43" s="1" t="s">
        <v>1355</v>
      </c>
      <c r="C43" s="1" t="s">
        <v>1369</v>
      </c>
      <c r="D43" t="s">
        <v>1370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1371</v>
      </c>
    </row>
    <row r="44" spans="1:125" x14ac:dyDescent="0.2">
      <c r="A44" s="52" t="s">
        <v>1372</v>
      </c>
      <c r="B44" s="1" t="s">
        <v>1355</v>
      </c>
      <c r="C44" s="1" t="s">
        <v>1369</v>
      </c>
      <c r="D44" t="s">
        <v>1373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1371</v>
      </c>
    </row>
    <row r="45" spans="1:125" x14ac:dyDescent="0.2">
      <c r="A45" t="s">
        <v>615</v>
      </c>
      <c r="B45" s="1" t="s">
        <v>1374</v>
      </c>
      <c r="D45" s="52" t="s">
        <v>1622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601</v>
      </c>
    </row>
    <row r="46" spans="1:125" x14ac:dyDescent="0.2">
      <c r="A46" t="s">
        <v>616</v>
      </c>
      <c r="B46" s="1" t="s">
        <v>1374</v>
      </c>
      <c r="D46" s="52" t="s">
        <v>1623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601</v>
      </c>
    </row>
    <row r="47" spans="1:125" x14ac:dyDescent="0.2">
      <c r="A47" t="s">
        <v>45</v>
      </c>
      <c r="B47" s="1" t="s">
        <v>1375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1375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1375</v>
      </c>
      <c r="C49" s="1" t="s">
        <v>1376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1375</v>
      </c>
      <c r="C50" s="1" t="s">
        <v>1376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1375</v>
      </c>
      <c r="C51" s="1" t="s">
        <v>1376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1377</v>
      </c>
      <c r="B52" s="1" t="s">
        <v>1375</v>
      </c>
      <c r="C52" s="1" t="s">
        <v>1219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1378</v>
      </c>
      <c r="B53" s="1" t="s">
        <v>1375</v>
      </c>
      <c r="C53" s="1" t="s">
        <v>1219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1375</v>
      </c>
      <c r="C54" s="1" t="s">
        <v>1219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1375</v>
      </c>
      <c r="C55" s="1" t="s">
        <v>1219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1375</v>
      </c>
      <c r="C56" s="1" t="s">
        <v>1219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1379</v>
      </c>
      <c r="B57" s="1" t="s">
        <v>1375</v>
      </c>
      <c r="C57" s="1" t="s">
        <v>1219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1380</v>
      </c>
      <c r="B58" s="1" t="s">
        <v>1375</v>
      </c>
      <c r="C58" s="1" t="s">
        <v>1219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1375</v>
      </c>
      <c r="C59" s="1" t="s">
        <v>1219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1375</v>
      </c>
      <c r="C60" s="1" t="s">
        <v>1217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1375</v>
      </c>
      <c r="C61" s="1" t="s">
        <v>1217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1375</v>
      </c>
      <c r="C62" s="1" t="s">
        <v>1217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1044</v>
      </c>
      <c r="B63" s="1" t="s">
        <v>1375</v>
      </c>
      <c r="C63" s="1" t="s">
        <v>1217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1045</v>
      </c>
      <c r="B64" s="1" t="s">
        <v>1375</v>
      </c>
      <c r="C64" s="1" t="s">
        <v>1217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533</v>
      </c>
      <c r="B65" s="1" t="s">
        <v>1375</v>
      </c>
      <c r="C65" s="1" t="s">
        <v>1217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529</v>
      </c>
    </row>
    <row r="66" spans="1:125" x14ac:dyDescent="0.2">
      <c r="A66" t="s">
        <v>92</v>
      </c>
      <c r="B66" s="1" t="s">
        <v>1375</v>
      </c>
      <c r="C66" s="1" t="s">
        <v>1217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601</v>
      </c>
    </row>
    <row r="67" spans="1:125" x14ac:dyDescent="0.2">
      <c r="A67" t="s">
        <v>94</v>
      </c>
      <c r="B67" s="1" t="s">
        <v>1375</v>
      </c>
      <c r="C67" s="1" t="s">
        <v>1217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1375</v>
      </c>
      <c r="C68" s="1" t="s">
        <v>1217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1375</v>
      </c>
      <c r="C69" s="1" t="s">
        <v>1217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1375</v>
      </c>
      <c r="C70" s="1" t="s">
        <v>1217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1375</v>
      </c>
      <c r="C71" s="1" t="s">
        <v>1217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451</v>
      </c>
      <c r="B72" s="1" t="s">
        <v>1375</v>
      </c>
      <c r="C72" s="1" t="s">
        <v>1217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452</v>
      </c>
    </row>
    <row r="73" spans="1:125" x14ac:dyDescent="0.2">
      <c r="A73" t="s">
        <v>1381</v>
      </c>
      <c r="B73" s="1" t="s">
        <v>1375</v>
      </c>
      <c r="C73" s="1" t="s">
        <v>1217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1624</v>
      </c>
    </row>
    <row r="74" spans="1:125" x14ac:dyDescent="0.2">
      <c r="A74" t="s">
        <v>1382</v>
      </c>
      <c r="B74" s="1" t="s">
        <v>1375</v>
      </c>
      <c r="C74" s="1" t="s">
        <v>1217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1624</v>
      </c>
    </row>
    <row r="75" spans="1:125" x14ac:dyDescent="0.2">
      <c r="A75" t="s">
        <v>1383</v>
      </c>
      <c r="B75" s="1" t="s">
        <v>1375</v>
      </c>
      <c r="C75" s="1" t="s">
        <v>1217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1624</v>
      </c>
    </row>
    <row r="76" spans="1:125" x14ac:dyDescent="0.2">
      <c r="A76" t="s">
        <v>103</v>
      </c>
      <c r="B76" s="1" t="s">
        <v>1375</v>
      </c>
      <c r="C76" s="1" t="s">
        <v>1217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1375</v>
      </c>
      <c r="C77" s="1" t="s">
        <v>1217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1375</v>
      </c>
      <c r="C78" s="1" t="s">
        <v>1217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1375</v>
      </c>
      <c r="C79" s="1" t="s">
        <v>1216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440</v>
      </c>
    </row>
    <row r="80" spans="1:125" x14ac:dyDescent="0.2">
      <c r="A80" t="s">
        <v>157</v>
      </c>
      <c r="B80" s="1" t="s">
        <v>1375</v>
      </c>
      <c r="C80" s="1" t="s">
        <v>1216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528</v>
      </c>
    </row>
    <row r="81" spans="1:125" x14ac:dyDescent="0.2">
      <c r="A81" t="s">
        <v>158</v>
      </c>
      <c r="B81" s="1" t="s">
        <v>1375</v>
      </c>
      <c r="C81" s="1" t="s">
        <v>1216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528</v>
      </c>
    </row>
    <row r="82" spans="1:125" x14ac:dyDescent="0.2">
      <c r="A82" t="s">
        <v>159</v>
      </c>
      <c r="B82" s="1" t="s">
        <v>1375</v>
      </c>
      <c r="C82" s="1" t="s">
        <v>1216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528</v>
      </c>
    </row>
    <row r="83" spans="1:125" x14ac:dyDescent="0.2">
      <c r="A83" t="s">
        <v>190</v>
      </c>
      <c r="B83" s="1" t="s">
        <v>1375</v>
      </c>
      <c r="C83" s="1" t="s">
        <v>1198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1199</v>
      </c>
    </row>
    <row r="84" spans="1:125" x14ac:dyDescent="0.2">
      <c r="A84" t="s">
        <v>163</v>
      </c>
      <c r="B84" s="1" t="s">
        <v>1375</v>
      </c>
      <c r="C84" s="1" t="s">
        <v>1198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1199</v>
      </c>
    </row>
    <row r="85" spans="1:125" x14ac:dyDescent="0.2">
      <c r="A85" t="s">
        <v>165</v>
      </c>
      <c r="B85" s="1" t="s">
        <v>1375</v>
      </c>
      <c r="C85" s="1" t="s">
        <v>1198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1199</v>
      </c>
    </row>
    <row r="86" spans="1:125" x14ac:dyDescent="0.2">
      <c r="A86" t="s">
        <v>167</v>
      </c>
      <c r="B86" s="1" t="s">
        <v>1375</v>
      </c>
      <c r="C86" s="1" t="s">
        <v>1198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1199</v>
      </c>
    </row>
    <row r="87" spans="1:125" x14ac:dyDescent="0.2">
      <c r="A87" t="s">
        <v>169</v>
      </c>
      <c r="B87" s="1" t="s">
        <v>1375</v>
      </c>
      <c r="C87" s="1" t="s">
        <v>1198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1199</v>
      </c>
    </row>
    <row r="88" spans="1:125" x14ac:dyDescent="0.2">
      <c r="A88" t="s">
        <v>438</v>
      </c>
      <c r="B88" s="1" t="s">
        <v>1375</v>
      </c>
      <c r="C88" s="1" t="s">
        <v>1198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439</v>
      </c>
    </row>
    <row r="89" spans="1:125" x14ac:dyDescent="0.2">
      <c r="A89" t="s">
        <v>171</v>
      </c>
      <c r="B89" s="1" t="s">
        <v>1375</v>
      </c>
      <c r="C89" s="1" t="s">
        <v>1215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1199</v>
      </c>
    </row>
    <row r="90" spans="1:125" x14ac:dyDescent="0.2">
      <c r="A90" t="s">
        <v>175</v>
      </c>
      <c r="B90" s="1" t="s">
        <v>1375</v>
      </c>
      <c r="C90" s="1" t="s">
        <v>1215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1199</v>
      </c>
    </row>
    <row r="91" spans="1:125" x14ac:dyDescent="0.2">
      <c r="A91" t="s">
        <v>177</v>
      </c>
      <c r="B91" s="1" t="s">
        <v>1375</v>
      </c>
      <c r="C91" s="1" t="s">
        <v>1215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1199</v>
      </c>
    </row>
    <row r="92" spans="1:125" x14ac:dyDescent="0.2">
      <c r="A92" t="s">
        <v>180</v>
      </c>
      <c r="B92" s="1" t="s">
        <v>1375</v>
      </c>
      <c r="C92" s="1" t="s">
        <v>1215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1199</v>
      </c>
    </row>
    <row r="93" spans="1:125" x14ac:dyDescent="0.2">
      <c r="A93" t="s">
        <v>179</v>
      </c>
      <c r="B93" s="1" t="s">
        <v>1375</v>
      </c>
      <c r="C93" s="1" t="s">
        <v>1215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1199</v>
      </c>
    </row>
    <row r="94" spans="1:125" x14ac:dyDescent="0.2">
      <c r="A94" t="s">
        <v>198</v>
      </c>
      <c r="B94" s="1" t="s">
        <v>1375</v>
      </c>
      <c r="C94" s="1" t="s">
        <v>1215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1199</v>
      </c>
    </row>
    <row r="95" spans="1:125" x14ac:dyDescent="0.2">
      <c r="A95" t="s">
        <v>185</v>
      </c>
      <c r="B95" s="1" t="s">
        <v>1375</v>
      </c>
      <c r="C95" s="1" t="s">
        <v>1210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1199</v>
      </c>
    </row>
    <row r="96" spans="1:125" x14ac:dyDescent="0.2">
      <c r="A96" t="s">
        <v>186</v>
      </c>
      <c r="B96" s="1" t="s">
        <v>1375</v>
      </c>
      <c r="C96" s="1" t="s">
        <v>1210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1199</v>
      </c>
    </row>
    <row r="97" spans="1:125" x14ac:dyDescent="0.2">
      <c r="A97" t="s">
        <v>188</v>
      </c>
      <c r="B97" s="1" t="s">
        <v>1375</v>
      </c>
      <c r="C97" s="1" t="s">
        <v>1210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1199</v>
      </c>
    </row>
    <row r="98" spans="1:125" x14ac:dyDescent="0.2">
      <c r="A98" t="s">
        <v>283</v>
      </c>
      <c r="B98" s="1" t="s">
        <v>1375</v>
      </c>
      <c r="C98" s="1" t="s">
        <v>1210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516</v>
      </c>
    </row>
    <row r="99" spans="1:125" x14ac:dyDescent="0.2">
      <c r="A99" t="s">
        <v>284</v>
      </c>
      <c r="B99" s="1" t="s">
        <v>1375</v>
      </c>
      <c r="C99" s="1" t="s">
        <v>1210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516</v>
      </c>
    </row>
    <row r="100" spans="1:125" x14ac:dyDescent="0.2">
      <c r="A100" t="s">
        <v>204</v>
      </c>
      <c r="B100" s="1" t="s">
        <v>1375</v>
      </c>
      <c r="C100" s="1" t="s">
        <v>1214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1200</v>
      </c>
    </row>
    <row r="101" spans="1:125" x14ac:dyDescent="0.2">
      <c r="A101" t="s">
        <v>207</v>
      </c>
      <c r="B101" s="1" t="s">
        <v>1375</v>
      </c>
      <c r="C101" s="1" t="s">
        <v>1214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1200</v>
      </c>
    </row>
    <row r="102" spans="1:125" x14ac:dyDescent="0.2">
      <c r="A102" t="s">
        <v>208</v>
      </c>
      <c r="B102" s="1" t="s">
        <v>1375</v>
      </c>
      <c r="C102" s="1" t="s">
        <v>1214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1200</v>
      </c>
    </row>
    <row r="103" spans="1:125" x14ac:dyDescent="0.2">
      <c r="A103" t="s">
        <v>209</v>
      </c>
      <c r="B103" s="1" t="s">
        <v>1375</v>
      </c>
      <c r="C103" s="1" t="s">
        <v>1213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1200</v>
      </c>
    </row>
    <row r="104" spans="1:125" x14ac:dyDescent="0.2">
      <c r="A104" t="s">
        <v>210</v>
      </c>
      <c r="B104" s="1" t="s">
        <v>1375</v>
      </c>
      <c r="C104" s="1" t="s">
        <v>1213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1200</v>
      </c>
    </row>
    <row r="105" spans="1:125" x14ac:dyDescent="0.2">
      <c r="A105" t="s">
        <v>211</v>
      </c>
      <c r="B105" s="1" t="s">
        <v>1375</v>
      </c>
      <c r="C105" s="1" t="s">
        <v>1213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1200</v>
      </c>
    </row>
    <row r="106" spans="1:125" x14ac:dyDescent="0.2">
      <c r="A106" t="s">
        <v>244</v>
      </c>
      <c r="B106" s="1" t="s">
        <v>1375</v>
      </c>
      <c r="C106" s="1" t="s">
        <v>1212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1375</v>
      </c>
      <c r="C107" s="1" t="s">
        <v>1212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1375</v>
      </c>
      <c r="C108" s="1" t="s">
        <v>1212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1375</v>
      </c>
      <c r="C109" s="1" t="s">
        <v>1212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1375</v>
      </c>
      <c r="C110" s="1" t="s">
        <v>1212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1375</v>
      </c>
      <c r="C111" s="1" t="s">
        <v>1212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1375</v>
      </c>
      <c r="C112" s="1" t="s">
        <v>1212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1375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1375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1375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1375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516</v>
      </c>
    </row>
    <row r="117" spans="1:125" x14ac:dyDescent="0.2">
      <c r="A117" t="s">
        <v>288</v>
      </c>
      <c r="B117" s="1" t="s">
        <v>1375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516</v>
      </c>
    </row>
    <row r="118" spans="1:125" x14ac:dyDescent="0.2">
      <c r="A118" t="s">
        <v>592</v>
      </c>
      <c r="B118" s="1" t="s">
        <v>1375</v>
      </c>
      <c r="C118" s="1" t="s">
        <v>593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594</v>
      </c>
    </row>
    <row r="119" spans="1:125" x14ac:dyDescent="0.2">
      <c r="A119" t="s">
        <v>387</v>
      </c>
      <c r="B119" s="1" t="s">
        <v>1209</v>
      </c>
      <c r="C119" s="1" t="s">
        <v>1209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400</v>
      </c>
    </row>
    <row r="120" spans="1:125" x14ac:dyDescent="0.2">
      <c r="A120" t="s">
        <v>388</v>
      </c>
      <c r="B120" s="1" t="s">
        <v>1209</v>
      </c>
      <c r="C120" s="1" t="s">
        <v>1209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400</v>
      </c>
    </row>
    <row r="121" spans="1:125" x14ac:dyDescent="0.2">
      <c r="A121" t="s">
        <v>389</v>
      </c>
      <c r="B121" s="1" t="s">
        <v>1209</v>
      </c>
      <c r="C121" s="1" t="s">
        <v>1209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400</v>
      </c>
    </row>
    <row r="122" spans="1:125" x14ac:dyDescent="0.2">
      <c r="A122" t="s">
        <v>390</v>
      </c>
      <c r="B122" s="1" t="s">
        <v>1209</v>
      </c>
      <c r="C122" s="1" t="s">
        <v>1209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400</v>
      </c>
    </row>
    <row r="123" spans="1:125" x14ac:dyDescent="0.2">
      <c r="A123" t="s">
        <v>391</v>
      </c>
      <c r="B123" s="1" t="s">
        <v>1209</v>
      </c>
      <c r="C123" s="1" t="s">
        <v>1209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400</v>
      </c>
    </row>
    <row r="124" spans="1:125" x14ac:dyDescent="0.2">
      <c r="A124" t="s">
        <v>1384</v>
      </c>
      <c r="B124" s="1" t="s">
        <v>1209</v>
      </c>
      <c r="C124" s="1" t="s">
        <v>1209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400</v>
      </c>
    </row>
    <row r="125" spans="1:125" x14ac:dyDescent="0.2">
      <c r="A125" t="s">
        <v>1385</v>
      </c>
      <c r="B125" s="1" t="s">
        <v>1209</v>
      </c>
      <c r="C125" s="1" t="s">
        <v>1209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400</v>
      </c>
    </row>
    <row r="126" spans="1:125" x14ac:dyDescent="0.2">
      <c r="A126" t="s">
        <v>405</v>
      </c>
      <c r="B126" s="1" t="s">
        <v>1209</v>
      </c>
      <c r="C126" s="1" t="s">
        <v>1209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400</v>
      </c>
    </row>
    <row r="127" spans="1:125" x14ac:dyDescent="0.2">
      <c r="A127" t="s">
        <v>404</v>
      </c>
      <c r="B127" s="1" t="s">
        <v>1209</v>
      </c>
      <c r="C127" s="1" t="s">
        <v>1209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400</v>
      </c>
    </row>
    <row r="128" spans="1:125" x14ac:dyDescent="0.2">
      <c r="A128" t="s">
        <v>401</v>
      </c>
      <c r="B128" s="1" t="s">
        <v>1209</v>
      </c>
      <c r="C128" s="1" t="s">
        <v>1209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400</v>
      </c>
    </row>
    <row r="129" spans="1:125" x14ac:dyDescent="0.2">
      <c r="A129" t="s">
        <v>1386</v>
      </c>
      <c r="B129" s="1" t="s">
        <v>1209</v>
      </c>
      <c r="C129" s="1" t="s">
        <v>1209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400</v>
      </c>
    </row>
    <row r="130" spans="1:125" x14ac:dyDescent="0.2">
      <c r="A130" t="s">
        <v>402</v>
      </c>
      <c r="B130" s="1" t="s">
        <v>1209</v>
      </c>
      <c r="C130" s="1" t="s">
        <v>1209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400</v>
      </c>
    </row>
    <row r="131" spans="1:125" x14ac:dyDescent="0.2">
      <c r="A131" t="s">
        <v>403</v>
      </c>
      <c r="B131" s="1" t="s">
        <v>1209</v>
      </c>
      <c r="C131" s="1" t="s">
        <v>1209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400</v>
      </c>
    </row>
    <row r="132" spans="1:125" x14ac:dyDescent="0.2">
      <c r="A132" t="s">
        <v>1387</v>
      </c>
      <c r="B132" s="1" t="s">
        <v>1209</v>
      </c>
      <c r="C132" s="1" t="s">
        <v>1209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400</v>
      </c>
    </row>
    <row r="133" spans="1:125" x14ac:dyDescent="0.2">
      <c r="A133" t="s">
        <v>418</v>
      </c>
      <c r="B133" s="1" t="s">
        <v>1209</v>
      </c>
      <c r="C133" s="1" t="s">
        <v>1209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419</v>
      </c>
      <c r="B134" s="1" t="s">
        <v>1209</v>
      </c>
      <c r="C134" s="1" t="s">
        <v>1209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420</v>
      </c>
      <c r="B135" s="1" t="s">
        <v>1209</v>
      </c>
      <c r="C135" s="1" t="s">
        <v>1209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421</v>
      </c>
      <c r="B136" s="1" t="s">
        <v>1209</v>
      </c>
      <c r="C136" s="1" t="s">
        <v>1209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423</v>
      </c>
      <c r="B137" s="1" t="s">
        <v>1209</v>
      </c>
      <c r="C137" s="1" t="s">
        <v>1209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424</v>
      </c>
      <c r="B138" s="1" t="s">
        <v>1209</v>
      </c>
      <c r="C138" s="1" t="s">
        <v>1209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425</v>
      </c>
      <c r="B139" s="1" t="s">
        <v>1209</v>
      </c>
      <c r="C139" s="1" t="s">
        <v>1209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426</v>
      </c>
      <c r="B140" s="1" t="s">
        <v>1209</v>
      </c>
      <c r="C140" s="1" t="s">
        <v>1209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1388</v>
      </c>
      <c r="B141" s="1" t="s">
        <v>1209</v>
      </c>
      <c r="C141" s="1" t="s">
        <v>1209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1389</v>
      </c>
      <c r="B142" s="1" t="s">
        <v>1209</v>
      </c>
      <c r="C142" s="1" t="s">
        <v>1209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429</v>
      </c>
      <c r="B143" s="1" t="s">
        <v>1209</v>
      </c>
      <c r="C143" s="1" t="s">
        <v>1209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414</v>
      </c>
      <c r="B144" s="1" t="s">
        <v>1390</v>
      </c>
      <c r="C144" s="1" t="s">
        <v>1208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417</v>
      </c>
    </row>
    <row r="145" spans="1:125" x14ac:dyDescent="0.2">
      <c r="A145" t="s">
        <v>415</v>
      </c>
      <c r="B145" s="1" t="s">
        <v>1390</v>
      </c>
      <c r="C145" s="1" t="s">
        <v>1208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417</v>
      </c>
    </row>
    <row r="146" spans="1:125" x14ac:dyDescent="0.2">
      <c r="A146" t="s">
        <v>1222</v>
      </c>
      <c r="B146" s="1" t="s">
        <v>1390</v>
      </c>
      <c r="C146" s="1" t="s">
        <v>1224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1625</v>
      </c>
    </row>
    <row r="147" spans="1:125" x14ac:dyDescent="0.2">
      <c r="A147" t="s">
        <v>293</v>
      </c>
      <c r="B147" s="1" t="s">
        <v>1391</v>
      </c>
      <c r="C147" s="1" t="s">
        <v>1392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1391</v>
      </c>
      <c r="C148" s="1" t="s">
        <v>1392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1391</v>
      </c>
      <c r="C149" s="1" t="s">
        <v>1392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1391</v>
      </c>
      <c r="C150" s="1" t="s">
        <v>1392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1391</v>
      </c>
      <c r="C151" s="1" t="s">
        <v>1392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1391</v>
      </c>
      <c r="C152" s="1" t="s">
        <v>1392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1391</v>
      </c>
      <c r="C153" s="1" t="s">
        <v>1392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1391</v>
      </c>
      <c r="C154" s="1" t="s">
        <v>1392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1391</v>
      </c>
      <c r="C155" s="1" t="s">
        <v>1392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1391</v>
      </c>
      <c r="C156" s="1" t="s">
        <v>1392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1391</v>
      </c>
      <c r="C157" s="1" t="s">
        <v>1392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1391</v>
      </c>
      <c r="C158" s="1" t="s">
        <v>1392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1391</v>
      </c>
      <c r="C159" s="1" t="s">
        <v>1392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1391</v>
      </c>
      <c r="C160" s="1" t="s">
        <v>1392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1391</v>
      </c>
      <c r="C161" s="1" t="s">
        <v>1392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332</v>
      </c>
      <c r="B162" s="1" t="s">
        <v>1391</v>
      </c>
      <c r="C162" s="1" t="s">
        <v>1392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1626</v>
      </c>
    </row>
    <row r="163" spans="1:125" x14ac:dyDescent="0.2">
      <c r="A163" t="s">
        <v>333</v>
      </c>
      <c r="B163" s="1" t="s">
        <v>1391</v>
      </c>
      <c r="C163" s="1" t="s">
        <v>1392</v>
      </c>
      <c r="E163" s="4">
        <v>3</v>
      </c>
      <c r="F163" s="1">
        <v>4</v>
      </c>
      <c r="G163" s="4">
        <v>1</v>
      </c>
      <c r="H163" s="4">
        <v>3</v>
      </c>
      <c r="I163" s="4">
        <v>4</v>
      </c>
      <c r="J163" s="4">
        <v>1</v>
      </c>
      <c r="K163" s="4">
        <v>4</v>
      </c>
      <c r="L163" s="4">
        <v>1</v>
      </c>
      <c r="M163" s="4">
        <v>3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4">
        <v>3</v>
      </c>
      <c r="T163" s="4">
        <v>3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3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4">
        <v>3</v>
      </c>
      <c r="BX163" s="4">
        <v>3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1626</v>
      </c>
    </row>
    <row r="164" spans="1:125" x14ac:dyDescent="0.2">
      <c r="A164" t="s">
        <v>1393</v>
      </c>
      <c r="B164" s="1" t="s">
        <v>1391</v>
      </c>
      <c r="C164" s="1" t="s">
        <v>1392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343</v>
      </c>
    </row>
    <row r="165" spans="1:125" x14ac:dyDescent="0.2">
      <c r="A165" t="s">
        <v>355</v>
      </c>
      <c r="B165" s="1" t="s">
        <v>1391</v>
      </c>
      <c r="C165" s="1" t="s">
        <v>1392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343</v>
      </c>
    </row>
    <row r="166" spans="1:125" x14ac:dyDescent="0.2">
      <c r="A166" t="s">
        <v>356</v>
      </c>
      <c r="B166" s="1" t="s">
        <v>1391</v>
      </c>
      <c r="C166" s="1" t="s">
        <v>1392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343</v>
      </c>
    </row>
    <row r="167" spans="1:125" x14ac:dyDescent="0.2">
      <c r="A167" t="s">
        <v>357</v>
      </c>
      <c r="B167" s="1" t="s">
        <v>1391</v>
      </c>
      <c r="C167" s="1" t="s">
        <v>1392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343</v>
      </c>
    </row>
    <row r="168" spans="1:125" x14ac:dyDescent="0.2">
      <c r="A168" t="s">
        <v>358</v>
      </c>
      <c r="B168" s="1" t="s">
        <v>1391</v>
      </c>
      <c r="C168" s="1" t="s">
        <v>1392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343</v>
      </c>
    </row>
    <row r="169" spans="1:125" x14ac:dyDescent="0.2">
      <c r="A169" t="s">
        <v>359</v>
      </c>
      <c r="B169" s="1" t="s">
        <v>1391</v>
      </c>
      <c r="C169" s="1" t="s">
        <v>1392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361</v>
      </c>
    </row>
    <row r="170" spans="1:125" x14ac:dyDescent="0.2">
      <c r="A170" t="s">
        <v>366</v>
      </c>
      <c r="B170" s="1" t="s">
        <v>1391</v>
      </c>
      <c r="C170" s="1" t="s">
        <v>1394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365</v>
      </c>
    </row>
    <row r="171" spans="1:125" x14ac:dyDescent="0.2">
      <c r="A171" t="s">
        <v>370</v>
      </c>
      <c r="B171" s="1" t="s">
        <v>1391</v>
      </c>
      <c r="C171" s="1" t="s">
        <v>1394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361</v>
      </c>
    </row>
    <row r="172" spans="1:125" x14ac:dyDescent="0.2">
      <c r="A172" t="s">
        <v>375</v>
      </c>
      <c r="B172" s="1" t="s">
        <v>377</v>
      </c>
      <c r="C172" s="1" t="s">
        <v>377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378</v>
      </c>
    </row>
    <row r="173" spans="1:125" x14ac:dyDescent="0.2">
      <c r="A173" t="s">
        <v>376</v>
      </c>
      <c r="B173" s="1" t="s">
        <v>377</v>
      </c>
      <c r="C173" s="1" t="s">
        <v>377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378</v>
      </c>
    </row>
    <row r="174" spans="1:125" x14ac:dyDescent="0.2">
      <c r="A174" t="s">
        <v>541</v>
      </c>
      <c r="B174" s="1" t="s">
        <v>377</v>
      </c>
      <c r="C174" s="1" t="s">
        <v>377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378</v>
      </c>
    </row>
    <row r="175" spans="1:125" x14ac:dyDescent="0.2">
      <c r="A175" t="s">
        <v>542</v>
      </c>
      <c r="B175" s="1" t="s">
        <v>377</v>
      </c>
      <c r="C175" s="1" t="s">
        <v>377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378</v>
      </c>
    </row>
    <row r="176" spans="1:125" x14ac:dyDescent="0.2">
      <c r="A176" t="s">
        <v>458</v>
      </c>
      <c r="B176" s="1" t="s">
        <v>377</v>
      </c>
      <c r="C176" s="1" t="s">
        <v>377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467</v>
      </c>
    </row>
    <row r="177" spans="1:125" x14ac:dyDescent="0.2">
      <c r="A177" t="s">
        <v>459</v>
      </c>
      <c r="B177" s="1" t="s">
        <v>377</v>
      </c>
      <c r="C177" s="1" t="s">
        <v>377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467</v>
      </c>
    </row>
    <row r="178" spans="1:125" x14ac:dyDescent="0.2">
      <c r="A178" t="s">
        <v>460</v>
      </c>
      <c r="B178" s="1" t="s">
        <v>377</v>
      </c>
      <c r="C178" s="1" t="s">
        <v>377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467</v>
      </c>
    </row>
    <row r="179" spans="1:125" x14ac:dyDescent="0.2">
      <c r="A179" t="s">
        <v>461</v>
      </c>
      <c r="B179" s="1" t="s">
        <v>377</v>
      </c>
      <c r="C179" s="1" t="s">
        <v>377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467</v>
      </c>
    </row>
    <row r="180" spans="1:125" x14ac:dyDescent="0.2">
      <c r="A180" t="s">
        <v>462</v>
      </c>
      <c r="B180" s="1" t="s">
        <v>377</v>
      </c>
      <c r="C180" s="1" t="s">
        <v>377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467</v>
      </c>
    </row>
    <row r="181" spans="1:125" x14ac:dyDescent="0.2">
      <c r="A181" t="s">
        <v>463</v>
      </c>
      <c r="B181" s="1" t="s">
        <v>377</v>
      </c>
      <c r="C181" s="1" t="s">
        <v>377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467</v>
      </c>
    </row>
    <row r="182" spans="1:125" x14ac:dyDescent="0.2">
      <c r="A182" t="s">
        <v>464</v>
      </c>
      <c r="B182" s="1" t="s">
        <v>377</v>
      </c>
      <c r="C182" s="1" t="s">
        <v>377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467</v>
      </c>
    </row>
    <row r="183" spans="1:125" x14ac:dyDescent="0.2">
      <c r="A183" t="s">
        <v>465</v>
      </c>
      <c r="B183" s="1" t="s">
        <v>377</v>
      </c>
      <c r="C183" s="1" t="s">
        <v>377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467</v>
      </c>
    </row>
    <row r="184" spans="1:125" x14ac:dyDescent="0.2">
      <c r="A184" t="s">
        <v>587</v>
      </c>
      <c r="B184" s="1" t="s">
        <v>377</v>
      </c>
      <c r="C184" s="1" t="s">
        <v>377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589</v>
      </c>
    </row>
    <row r="185" spans="1:125" x14ac:dyDescent="0.2">
      <c r="A185" t="s">
        <v>379</v>
      </c>
      <c r="B185" s="1" t="s">
        <v>1391</v>
      </c>
      <c r="C185" s="1" t="s">
        <v>412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411</v>
      </c>
    </row>
    <row r="186" spans="1:125" x14ac:dyDescent="0.2">
      <c r="A186" t="s">
        <v>380</v>
      </c>
      <c r="B186" s="1" t="s">
        <v>1391</v>
      </c>
      <c r="C186" s="1" t="s">
        <v>412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411</v>
      </c>
    </row>
    <row r="187" spans="1:125" x14ac:dyDescent="0.2">
      <c r="A187" t="s">
        <v>381</v>
      </c>
      <c r="B187" s="1" t="s">
        <v>1391</v>
      </c>
      <c r="C187" s="1" t="s">
        <v>381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411</v>
      </c>
    </row>
    <row r="188" spans="1:125" x14ac:dyDescent="0.2">
      <c r="A188" t="s">
        <v>1395</v>
      </c>
      <c r="B188" s="1" t="s">
        <v>1391</v>
      </c>
      <c r="C188" s="1" t="s">
        <v>413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411</v>
      </c>
    </row>
    <row r="189" spans="1:125" x14ac:dyDescent="0.2">
      <c r="A189" t="s">
        <v>1396</v>
      </c>
      <c r="B189" s="1" t="s">
        <v>1391</v>
      </c>
      <c r="C189" s="1" t="s">
        <v>413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411</v>
      </c>
    </row>
    <row r="190" spans="1:125" x14ac:dyDescent="0.2">
      <c r="A190" t="s">
        <v>371</v>
      </c>
      <c r="B190" s="1" t="s">
        <v>1391</v>
      </c>
      <c r="C190" s="1" t="s">
        <v>372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374</v>
      </c>
    </row>
    <row r="191" spans="1:125" x14ac:dyDescent="0.2">
      <c r="A191" t="s">
        <v>556</v>
      </c>
      <c r="B191" s="1" t="s">
        <v>1391</v>
      </c>
      <c r="C191" s="1" t="s">
        <v>372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374</v>
      </c>
    </row>
    <row r="192" spans="1:125" x14ac:dyDescent="0.2">
      <c r="A192" t="s">
        <v>553</v>
      </c>
      <c r="B192" s="1" t="s">
        <v>1391</v>
      </c>
      <c r="C192" s="1" t="s">
        <v>557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374</v>
      </c>
    </row>
    <row r="193" spans="1:125" x14ac:dyDescent="0.2">
      <c r="A193" t="s">
        <v>554</v>
      </c>
      <c r="B193" s="1" t="s">
        <v>1391</v>
      </c>
      <c r="C193" s="1" t="s">
        <v>558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374</v>
      </c>
    </row>
    <row r="194" spans="1:125" x14ac:dyDescent="0.2">
      <c r="A194" t="s">
        <v>555</v>
      </c>
      <c r="B194" s="1" t="s">
        <v>1391</v>
      </c>
      <c r="C194" s="1" t="s">
        <v>559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374</v>
      </c>
    </row>
    <row r="195" spans="1:125" x14ac:dyDescent="0.2">
      <c r="A195" t="s">
        <v>455</v>
      </c>
      <c r="B195" s="1" t="s">
        <v>1397</v>
      </c>
      <c r="C195" s="1" t="s">
        <v>619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457</v>
      </c>
    </row>
    <row r="196" spans="1:125" x14ac:dyDescent="0.2">
      <c r="A196" t="s">
        <v>456</v>
      </c>
      <c r="B196" s="1" t="s">
        <v>1397</v>
      </c>
      <c r="C196" s="1" t="s">
        <v>619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457</v>
      </c>
    </row>
    <row r="197" spans="1:125" x14ac:dyDescent="0.2">
      <c r="A197" t="s">
        <v>433</v>
      </c>
      <c r="B197" s="1" t="s">
        <v>1397</v>
      </c>
      <c r="C197" s="1" t="s">
        <v>619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437</v>
      </c>
    </row>
    <row r="198" spans="1:125" x14ac:dyDescent="0.2">
      <c r="A198" t="s">
        <v>434</v>
      </c>
      <c r="B198" s="1" t="s">
        <v>1397</v>
      </c>
      <c r="C198" s="1" t="s">
        <v>619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437</v>
      </c>
    </row>
    <row r="199" spans="1:125" x14ac:dyDescent="0.2">
      <c r="A199" t="s">
        <v>435</v>
      </c>
      <c r="B199" s="1" t="s">
        <v>1397</v>
      </c>
      <c r="C199" s="1" t="s">
        <v>619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437</v>
      </c>
    </row>
    <row r="200" spans="1:125" x14ac:dyDescent="0.2">
      <c r="A200" t="s">
        <v>644</v>
      </c>
      <c r="B200" s="1" t="s">
        <v>1397</v>
      </c>
      <c r="C200" s="1" t="s">
        <v>619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646</v>
      </c>
    </row>
    <row r="201" spans="1:125" x14ac:dyDescent="0.2">
      <c r="A201" t="s">
        <v>648</v>
      </c>
      <c r="B201" s="1" t="s">
        <v>1397</v>
      </c>
      <c r="C201" s="1" t="s">
        <v>619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1133</v>
      </c>
    </row>
    <row r="202" spans="1:125" x14ac:dyDescent="0.2">
      <c r="A202" t="s">
        <v>650</v>
      </c>
      <c r="B202" s="1" t="s">
        <v>1397</v>
      </c>
      <c r="C202" s="1" t="s">
        <v>619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654</v>
      </c>
    </row>
    <row r="203" spans="1:125" x14ac:dyDescent="0.2">
      <c r="A203" t="s">
        <v>652</v>
      </c>
      <c r="B203" s="1" t="s">
        <v>1397</v>
      </c>
      <c r="C203" s="1" t="s">
        <v>619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1137</v>
      </c>
    </row>
    <row r="204" spans="1:125" x14ac:dyDescent="0.2">
      <c r="A204" t="s">
        <v>655</v>
      </c>
      <c r="B204" s="1" t="s">
        <v>1397</v>
      </c>
      <c r="C204" s="1" t="s">
        <v>619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1627</v>
      </c>
    </row>
    <row r="205" spans="1:125" x14ac:dyDescent="0.2">
      <c r="A205" t="s">
        <v>656</v>
      </c>
      <c r="B205" s="1" t="s">
        <v>1397</v>
      </c>
      <c r="C205" s="1" t="s">
        <v>619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664</v>
      </c>
    </row>
    <row r="206" spans="1:125" x14ac:dyDescent="0.2">
      <c r="A206" t="s">
        <v>657</v>
      </c>
      <c r="B206" s="1" t="s">
        <v>1397</v>
      </c>
      <c r="C206" s="1" t="s">
        <v>619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666</v>
      </c>
    </row>
    <row r="207" spans="1:125" x14ac:dyDescent="0.2">
      <c r="A207" t="s">
        <v>658</v>
      </c>
      <c r="B207" s="1" t="s">
        <v>1397</v>
      </c>
      <c r="C207" s="1" t="s">
        <v>619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668</v>
      </c>
    </row>
    <row r="208" spans="1:125" x14ac:dyDescent="0.2">
      <c r="A208" t="s">
        <v>659</v>
      </c>
      <c r="B208" s="1" t="s">
        <v>1397</v>
      </c>
      <c r="C208" s="1" t="s">
        <v>619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671</v>
      </c>
    </row>
    <row r="209" spans="1:125" x14ac:dyDescent="0.2">
      <c r="A209" t="s">
        <v>660</v>
      </c>
      <c r="B209" s="1" t="s">
        <v>1397</v>
      </c>
      <c r="C209" s="1" t="s">
        <v>619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672</v>
      </c>
    </row>
    <row r="210" spans="1:125" x14ac:dyDescent="0.2">
      <c r="A210" t="s">
        <v>674</v>
      </c>
      <c r="B210" s="1" t="s">
        <v>1397</v>
      </c>
      <c r="C210" s="1" t="s">
        <v>673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686</v>
      </c>
    </row>
    <row r="211" spans="1:125" x14ac:dyDescent="0.2">
      <c r="A211" t="s">
        <v>675</v>
      </c>
      <c r="B211" s="1" t="s">
        <v>1397</v>
      </c>
      <c r="C211" s="1" t="s">
        <v>673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686</v>
      </c>
    </row>
    <row r="212" spans="1:125" x14ac:dyDescent="0.2">
      <c r="A212" t="s">
        <v>676</v>
      </c>
      <c r="B212" s="1" t="s">
        <v>1397</v>
      </c>
      <c r="C212" s="1" t="s">
        <v>673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686</v>
      </c>
    </row>
    <row r="213" spans="1:125" x14ac:dyDescent="0.2">
      <c r="A213" t="s">
        <v>677</v>
      </c>
      <c r="B213" s="1" t="s">
        <v>1397</v>
      </c>
      <c r="C213" s="1" t="s">
        <v>673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686</v>
      </c>
    </row>
    <row r="214" spans="1:125" x14ac:dyDescent="0.2">
      <c r="A214" t="s">
        <v>573</v>
      </c>
      <c r="B214" s="1" t="s">
        <v>1397</v>
      </c>
      <c r="C214" s="1" t="s">
        <v>620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1202</v>
      </c>
    </row>
    <row r="215" spans="1:125" x14ac:dyDescent="0.2">
      <c r="A215" t="s">
        <v>1398</v>
      </c>
      <c r="B215" s="1" t="s">
        <v>1397</v>
      </c>
      <c r="C215" s="1" t="s">
        <v>620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1202</v>
      </c>
    </row>
    <row r="216" spans="1:125" x14ac:dyDescent="0.2">
      <c r="A216" t="s">
        <v>443</v>
      </c>
      <c r="B216" s="1" t="s">
        <v>1397</v>
      </c>
      <c r="C216" s="1" t="s">
        <v>620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1202</v>
      </c>
    </row>
    <row r="217" spans="1:125" x14ac:dyDescent="0.2">
      <c r="A217" t="s">
        <v>450</v>
      </c>
      <c r="B217" s="1" t="s">
        <v>1397</v>
      </c>
      <c r="C217" s="1" t="s">
        <v>620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1202</v>
      </c>
    </row>
    <row r="218" spans="1:125" x14ac:dyDescent="0.2">
      <c r="A218" t="s">
        <v>444</v>
      </c>
      <c r="B218" s="1" t="s">
        <v>1397</v>
      </c>
      <c r="C218" s="1" t="s">
        <v>620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1202</v>
      </c>
    </row>
    <row r="219" spans="1:125" x14ac:dyDescent="0.2">
      <c r="A219" t="s">
        <v>445</v>
      </c>
      <c r="B219" s="1" t="s">
        <v>1397</v>
      </c>
      <c r="C219" s="1" t="s">
        <v>620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1202</v>
      </c>
    </row>
    <row r="220" spans="1:125" x14ac:dyDescent="0.2">
      <c r="A220" t="s">
        <v>446</v>
      </c>
      <c r="B220" s="1" t="s">
        <v>1397</v>
      </c>
      <c r="C220" s="1" t="s">
        <v>620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1202</v>
      </c>
    </row>
    <row r="221" spans="1:125" x14ac:dyDescent="0.2">
      <c r="A221" t="s">
        <v>582</v>
      </c>
      <c r="B221" s="1" t="s">
        <v>1397</v>
      </c>
      <c r="C221" s="1" t="s">
        <v>620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1202</v>
      </c>
    </row>
    <row r="222" spans="1:125" x14ac:dyDescent="0.2">
      <c r="A222" t="s">
        <v>449</v>
      </c>
      <c r="B222" s="1" t="s">
        <v>1397</v>
      </c>
      <c r="C222" s="1" t="s">
        <v>620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1202</v>
      </c>
    </row>
    <row r="223" spans="1:125" x14ac:dyDescent="0.2">
      <c r="A223" t="s">
        <v>448</v>
      </c>
      <c r="B223" s="1" t="s">
        <v>1397</v>
      </c>
      <c r="C223" s="1" t="s">
        <v>620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1202</v>
      </c>
    </row>
    <row r="224" spans="1:125" x14ac:dyDescent="0.2">
      <c r="A224" t="s">
        <v>447</v>
      </c>
      <c r="B224" s="1" t="s">
        <v>1397</v>
      </c>
      <c r="C224" s="1" t="s">
        <v>620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1202</v>
      </c>
    </row>
    <row r="225" spans="1:125" x14ac:dyDescent="0.2">
      <c r="A225" t="s">
        <v>583</v>
      </c>
      <c r="B225" s="1" t="s">
        <v>1397</v>
      </c>
      <c r="C225" s="1" t="s">
        <v>620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1202</v>
      </c>
    </row>
    <row r="226" spans="1:125" x14ac:dyDescent="0.2">
      <c r="A226" t="s">
        <v>621</v>
      </c>
      <c r="B226" s="1" t="s">
        <v>1397</v>
      </c>
      <c r="C226" s="1" t="s">
        <v>620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633</v>
      </c>
    </row>
    <row r="227" spans="1:125" x14ac:dyDescent="0.2">
      <c r="A227" t="s">
        <v>622</v>
      </c>
      <c r="B227" s="1" t="s">
        <v>1397</v>
      </c>
      <c r="C227" s="1" t="s">
        <v>620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633</v>
      </c>
    </row>
    <row r="228" spans="1:125" x14ac:dyDescent="0.2">
      <c r="A228" t="s">
        <v>623</v>
      </c>
      <c r="B228" s="1" t="s">
        <v>1397</v>
      </c>
      <c r="C228" s="1" t="s">
        <v>620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633</v>
      </c>
    </row>
    <row r="229" spans="1:125" x14ac:dyDescent="0.2">
      <c r="A229" t="s">
        <v>624</v>
      </c>
      <c r="B229" s="1" t="s">
        <v>1397</v>
      </c>
      <c r="C229" s="1" t="s">
        <v>620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633</v>
      </c>
    </row>
    <row r="230" spans="1:125" x14ac:dyDescent="0.2">
      <c r="A230" t="s">
        <v>625</v>
      </c>
      <c r="B230" s="1" t="s">
        <v>1397</v>
      </c>
      <c r="C230" s="1" t="s">
        <v>620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633</v>
      </c>
    </row>
    <row r="231" spans="1:125" x14ac:dyDescent="0.2">
      <c r="A231" t="s">
        <v>626</v>
      </c>
      <c r="B231" s="1" t="s">
        <v>1397</v>
      </c>
      <c r="C231" s="1" t="s">
        <v>620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633</v>
      </c>
    </row>
    <row r="232" spans="1:125" x14ac:dyDescent="0.2">
      <c r="A232" t="s">
        <v>1399</v>
      </c>
      <c r="B232" s="1" t="s">
        <v>1397</v>
      </c>
      <c r="C232" s="1" t="s">
        <v>620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642</v>
      </c>
    </row>
    <row r="233" spans="1:125" x14ac:dyDescent="0.2">
      <c r="A233" t="s">
        <v>636</v>
      </c>
      <c r="B233" s="1" t="s">
        <v>1397</v>
      </c>
      <c r="C233" s="1" t="s">
        <v>637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1203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AD137:BP233 CO137:DT233">
    <cfRule type="expression" dxfId="7" priority="1" stopIfTrue="1">
      <formula>AD137:ER316=1</formula>
    </cfRule>
    <cfRule type="expression" dxfId="6" priority="2" stopIfTrue="1">
      <formula>AD137:ER316=3</formula>
    </cfRule>
    <cfRule type="expression" dxfId="5" priority="3" stopIfTrue="1">
      <formula>AD137:ER316=4</formula>
    </cfRule>
    <cfRule type="expression" dxfId="4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3" priority="69" stopIfTrue="1">
      <formula>E55:DT233=1</formula>
    </cfRule>
    <cfRule type="expression" dxfId="2" priority="70" stopIfTrue="1">
      <formula>E55:DT233=3</formula>
    </cfRule>
    <cfRule type="expression" dxfId="1" priority="71" stopIfTrue="1">
      <formula>E55:DT233=4</formula>
    </cfRule>
    <cfRule type="expression" dxfId="0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zoomScale="125" zoomScaleNormal="110" workbookViewId="0">
      <pane xSplit="5" ySplit="3" topLeftCell="HM4" activePane="bottomRight" state="frozen"/>
      <selection pane="topRight" activeCell="C1" sqref="C1"/>
      <selection pane="bottomLeft" activeCell="A4" sqref="A4"/>
      <selection pane="bottomRight" activeCell="B86" sqref="B86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36" t="s">
        <v>0</v>
      </c>
      <c r="B1" s="141" t="s">
        <v>1009</v>
      </c>
      <c r="C1" s="137" t="s">
        <v>827</v>
      </c>
      <c r="D1" s="142" t="s">
        <v>1030</v>
      </c>
      <c r="E1" s="137" t="s">
        <v>89</v>
      </c>
      <c r="F1" s="138" t="s">
        <v>49</v>
      </c>
      <c r="G1" s="139"/>
      <c r="H1" s="139"/>
      <c r="I1" s="140"/>
      <c r="J1" s="138" t="s">
        <v>50</v>
      </c>
      <c r="K1" s="139"/>
      <c r="L1" s="139"/>
      <c r="M1" s="139"/>
      <c r="N1" s="139"/>
      <c r="O1" s="140"/>
      <c r="P1" s="139" t="s">
        <v>1218</v>
      </c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40"/>
      <c r="AF1" s="138" t="s">
        <v>142</v>
      </c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8" t="s">
        <v>1229</v>
      </c>
      <c r="BS1" s="139"/>
      <c r="BT1" s="139"/>
      <c r="BU1" s="139"/>
      <c r="BV1" s="139"/>
      <c r="BW1" s="139"/>
      <c r="BX1" s="139"/>
      <c r="BY1" s="140"/>
      <c r="BZ1" s="138" t="s">
        <v>1198</v>
      </c>
      <c r="CA1" s="139"/>
      <c r="CB1" s="139"/>
      <c r="CC1" s="139"/>
      <c r="CD1" s="139"/>
      <c r="CE1" s="139"/>
      <c r="CF1" s="139"/>
      <c r="CG1" s="139"/>
      <c r="CH1" s="139"/>
      <c r="CI1" s="139"/>
      <c r="CJ1" s="139"/>
      <c r="CK1" s="140"/>
      <c r="CL1" s="138" t="s">
        <v>200</v>
      </c>
      <c r="CM1" s="139"/>
      <c r="CN1" s="139"/>
      <c r="CO1" s="139"/>
      <c r="CP1" s="139"/>
      <c r="CQ1" s="139"/>
      <c r="CR1" s="139"/>
      <c r="CS1" s="139"/>
      <c r="CT1" s="139"/>
      <c r="CU1" s="139"/>
      <c r="CV1" s="139"/>
      <c r="CW1" s="140"/>
      <c r="CX1" s="138" t="s">
        <v>203</v>
      </c>
      <c r="CY1" s="139"/>
      <c r="CZ1" s="139"/>
      <c r="DA1" s="139"/>
      <c r="DB1" s="139"/>
      <c r="DC1" s="139"/>
      <c r="DD1" s="139"/>
      <c r="DE1" s="139"/>
      <c r="DF1" s="139"/>
      <c r="DG1" s="140"/>
      <c r="DH1" s="138" t="s">
        <v>220</v>
      </c>
      <c r="DI1" s="139"/>
      <c r="DJ1" s="139"/>
      <c r="DK1" s="139"/>
      <c r="DL1" s="139"/>
      <c r="DM1" s="139"/>
      <c r="DN1" s="138" t="s">
        <v>1201</v>
      </c>
      <c r="DO1" s="139"/>
      <c r="DP1" s="139"/>
      <c r="DQ1" s="139"/>
      <c r="DR1" s="139"/>
      <c r="DS1" s="140"/>
      <c r="DT1" s="138" t="s">
        <v>262</v>
      </c>
      <c r="DU1" s="139"/>
      <c r="DV1" s="139"/>
      <c r="DW1" s="139"/>
      <c r="DX1" s="139"/>
      <c r="DY1" s="139"/>
      <c r="DZ1" s="139"/>
      <c r="EA1" s="139"/>
      <c r="EB1" s="139"/>
      <c r="EC1" s="139"/>
      <c r="ED1" s="139"/>
      <c r="EE1" s="139"/>
      <c r="EF1" s="139"/>
      <c r="EG1" s="140"/>
      <c r="EH1" s="138" t="s">
        <v>282</v>
      </c>
      <c r="EI1" s="139"/>
      <c r="EJ1" s="139"/>
      <c r="EK1" s="139"/>
      <c r="EL1" s="139"/>
      <c r="EM1" s="140"/>
      <c r="EN1" s="138" t="s">
        <v>286</v>
      </c>
      <c r="EO1" s="139"/>
      <c r="EP1" s="139"/>
      <c r="EQ1" s="140"/>
      <c r="ER1" s="138" t="s">
        <v>393</v>
      </c>
      <c r="ES1" s="139"/>
      <c r="ET1" s="139"/>
      <c r="EU1" s="139"/>
      <c r="EV1" s="139"/>
      <c r="EW1" s="139"/>
      <c r="EX1" s="139"/>
      <c r="EY1" s="139"/>
      <c r="EZ1" s="139"/>
      <c r="FA1" s="139"/>
      <c r="FB1" s="139"/>
      <c r="FC1" s="139"/>
      <c r="FD1" s="139"/>
      <c r="FE1" s="139"/>
      <c r="FF1" s="139"/>
      <c r="FG1" s="139"/>
      <c r="FH1" s="139"/>
      <c r="FI1" s="139"/>
      <c r="FJ1" s="139"/>
      <c r="FK1" s="139"/>
      <c r="FL1" s="139"/>
      <c r="FM1" s="139"/>
      <c r="FN1" s="139"/>
      <c r="FO1" s="139"/>
      <c r="FP1" s="139"/>
      <c r="FQ1" s="139"/>
      <c r="FR1" s="139"/>
      <c r="FS1" s="139"/>
      <c r="FT1" s="139"/>
      <c r="FU1" s="139"/>
      <c r="FV1" s="139"/>
      <c r="FW1" s="139"/>
      <c r="FX1" s="139"/>
      <c r="FY1" s="139"/>
      <c r="FZ1" s="139"/>
      <c r="GA1" s="139"/>
      <c r="GB1" s="139"/>
      <c r="GC1" s="139"/>
      <c r="GD1" s="139"/>
      <c r="GE1" s="139"/>
      <c r="GF1" s="139"/>
      <c r="GG1" s="139"/>
      <c r="GH1" s="139"/>
      <c r="GI1" s="139"/>
      <c r="GJ1" s="139"/>
      <c r="GK1" s="139"/>
      <c r="GL1" s="139"/>
      <c r="GM1" s="139"/>
      <c r="GN1" s="139"/>
      <c r="GO1" s="140"/>
      <c r="GP1" s="139" t="s">
        <v>416</v>
      </c>
      <c r="GQ1" s="139"/>
      <c r="GR1" s="139"/>
      <c r="GS1" s="140"/>
      <c r="GT1" s="138" t="s">
        <v>1221</v>
      </c>
      <c r="GU1" s="140"/>
      <c r="GV1" s="138" t="s">
        <v>595</v>
      </c>
      <c r="GW1" s="140"/>
      <c r="GX1" s="127" t="s">
        <v>568</v>
      </c>
      <c r="GY1" s="128"/>
      <c r="GZ1" s="128"/>
      <c r="HA1" s="128"/>
      <c r="HB1" s="128"/>
      <c r="HC1" s="128"/>
      <c r="HD1" s="128"/>
      <c r="HE1" s="128"/>
      <c r="HF1" s="128"/>
      <c r="HG1" s="128"/>
      <c r="HH1" s="128"/>
      <c r="HI1" s="128"/>
      <c r="HJ1" s="128"/>
      <c r="HK1" s="128"/>
      <c r="HL1" s="128"/>
      <c r="HM1" s="128"/>
      <c r="HN1" s="128"/>
      <c r="HO1" s="128"/>
      <c r="HP1" s="128"/>
      <c r="HQ1" s="128"/>
      <c r="HR1" s="128"/>
      <c r="HS1" s="128"/>
      <c r="HT1" s="128"/>
      <c r="HU1" s="128"/>
      <c r="HV1" s="128"/>
      <c r="HW1" s="128"/>
      <c r="HX1" s="128"/>
      <c r="HY1" s="128"/>
      <c r="HZ1" s="128"/>
      <c r="IA1" s="128"/>
      <c r="IB1" s="128"/>
      <c r="IC1" s="128"/>
      <c r="ID1" s="128"/>
      <c r="IE1" s="128"/>
      <c r="IF1" s="128"/>
      <c r="IG1" s="128"/>
      <c r="IH1" s="128"/>
      <c r="II1" s="128"/>
      <c r="IJ1" s="128"/>
      <c r="IK1" s="128"/>
      <c r="IL1" s="128"/>
      <c r="IM1" s="128"/>
      <c r="IN1" s="128"/>
      <c r="IO1" s="128"/>
      <c r="IP1" s="128"/>
      <c r="IQ1" s="129"/>
      <c r="IR1" s="127" t="s">
        <v>567</v>
      </c>
      <c r="IS1" s="128"/>
      <c r="IT1" s="128"/>
      <c r="IU1" s="129"/>
      <c r="IV1" s="133" t="s">
        <v>377</v>
      </c>
      <c r="IW1" s="134"/>
      <c r="IX1" s="134"/>
      <c r="IY1" s="134"/>
      <c r="IZ1" s="134"/>
      <c r="JA1" s="134"/>
      <c r="JB1" s="134"/>
      <c r="JC1" s="134"/>
      <c r="JD1" s="134"/>
      <c r="JE1" s="134"/>
      <c r="JF1" s="134"/>
      <c r="JG1" s="134"/>
      <c r="JH1" s="134"/>
      <c r="JI1" s="134"/>
      <c r="JJ1" s="134"/>
      <c r="JK1" s="134"/>
      <c r="JL1" s="134"/>
      <c r="JM1" s="134"/>
      <c r="JN1" s="134"/>
      <c r="JO1" s="134"/>
      <c r="JP1" s="134"/>
      <c r="JQ1" s="134"/>
      <c r="JR1" s="134"/>
      <c r="JS1" s="134"/>
      <c r="JT1" s="134"/>
      <c r="JU1" s="135"/>
      <c r="JV1" s="127" t="s">
        <v>412</v>
      </c>
      <c r="JW1" s="128"/>
      <c r="JX1" s="128"/>
      <c r="JY1" s="129"/>
      <c r="JZ1" s="127" t="s">
        <v>381</v>
      </c>
      <c r="KA1" s="129"/>
      <c r="KB1" s="127" t="s">
        <v>413</v>
      </c>
      <c r="KC1" s="128"/>
      <c r="KD1" s="128"/>
      <c r="KE1" s="129"/>
      <c r="KF1" s="127" t="s">
        <v>372</v>
      </c>
      <c r="KG1" s="128"/>
      <c r="KH1" s="128"/>
      <c r="KI1" s="129"/>
      <c r="KJ1" s="127" t="s">
        <v>557</v>
      </c>
      <c r="KK1" s="129"/>
      <c r="KL1" s="127" t="s">
        <v>558</v>
      </c>
      <c r="KM1" s="129"/>
      <c r="KN1" s="127" t="s">
        <v>559</v>
      </c>
      <c r="KO1" s="129"/>
      <c r="KP1" s="127" t="s">
        <v>619</v>
      </c>
      <c r="KQ1" s="128"/>
      <c r="KR1" s="128"/>
      <c r="KS1" s="128"/>
      <c r="KT1" s="128"/>
      <c r="KU1" s="128"/>
      <c r="KV1" s="128"/>
      <c r="KW1" s="128"/>
      <c r="KX1" s="128"/>
      <c r="KY1" s="128"/>
      <c r="KZ1" s="128"/>
      <c r="LA1" s="128"/>
      <c r="LB1" s="128"/>
      <c r="LC1" s="128"/>
      <c r="LD1" s="128"/>
      <c r="LE1" s="128"/>
      <c r="LF1" s="128"/>
      <c r="LG1" s="128"/>
      <c r="LH1" s="128"/>
      <c r="LI1" s="128"/>
      <c r="LJ1" s="128"/>
      <c r="LK1" s="128"/>
      <c r="LL1" s="128"/>
      <c r="LM1" s="128"/>
      <c r="LN1" s="128"/>
      <c r="LO1" s="128"/>
      <c r="LP1" s="128"/>
      <c r="LQ1" s="128"/>
      <c r="LR1" s="128"/>
      <c r="LS1" s="129"/>
      <c r="LT1" s="127" t="s">
        <v>673</v>
      </c>
      <c r="LU1" s="128"/>
      <c r="LV1" s="128"/>
      <c r="LW1" s="128"/>
      <c r="LX1" s="128"/>
      <c r="LY1" s="128"/>
      <c r="LZ1" s="128"/>
      <c r="MA1" s="129"/>
      <c r="MB1" s="133" t="s">
        <v>620</v>
      </c>
      <c r="MC1" s="134"/>
      <c r="MD1" s="134"/>
      <c r="ME1" s="134"/>
      <c r="MF1" s="134"/>
      <c r="MG1" s="134"/>
      <c r="MH1" s="134"/>
      <c r="MI1" s="134"/>
      <c r="MJ1" s="134"/>
      <c r="MK1" s="134"/>
      <c r="ML1" s="134"/>
      <c r="MM1" s="134"/>
      <c r="MN1" s="134"/>
      <c r="MO1" s="134"/>
      <c r="MP1" s="134"/>
      <c r="MQ1" s="134"/>
      <c r="MR1" s="134"/>
      <c r="MS1" s="134"/>
      <c r="MT1" s="134"/>
      <c r="MU1" s="134"/>
      <c r="MV1" s="134"/>
      <c r="MW1" s="134"/>
      <c r="MX1" s="134"/>
      <c r="MY1" s="134"/>
      <c r="MZ1" s="134"/>
      <c r="NA1" s="134"/>
      <c r="NB1" s="134"/>
      <c r="NC1" s="134"/>
      <c r="ND1" s="134"/>
      <c r="NE1" s="134"/>
      <c r="NF1" s="134"/>
      <c r="NG1" s="134"/>
      <c r="NH1" s="134"/>
      <c r="NI1" s="134"/>
      <c r="NJ1" s="134"/>
      <c r="NK1" s="134"/>
      <c r="NL1" s="134"/>
      <c r="NM1" s="135"/>
      <c r="NN1" s="133" t="s">
        <v>637</v>
      </c>
      <c r="NO1" s="134"/>
      <c r="NP1" s="121" t="s">
        <v>617</v>
      </c>
      <c r="NQ1" s="122"/>
      <c r="NR1" s="122"/>
      <c r="NS1" s="123"/>
    </row>
    <row r="2" spans="1:383" x14ac:dyDescent="0.2">
      <c r="A2" s="136"/>
      <c r="B2" s="141"/>
      <c r="C2" s="137"/>
      <c r="D2" s="142"/>
      <c r="E2" s="137"/>
      <c r="F2" s="124" t="s">
        <v>1514</v>
      </c>
      <c r="G2" s="125"/>
      <c r="H2" s="125"/>
      <c r="I2" s="126"/>
      <c r="J2" s="124" t="s">
        <v>1514</v>
      </c>
      <c r="K2" s="125"/>
      <c r="L2" s="125"/>
      <c r="M2" s="125"/>
      <c r="N2" s="125"/>
      <c r="O2" s="126"/>
      <c r="P2" s="124" t="s">
        <v>1515</v>
      </c>
      <c r="Q2" s="126"/>
      <c r="R2" s="124" t="s">
        <v>1516</v>
      </c>
      <c r="S2" s="126"/>
      <c r="T2" s="124" t="s">
        <v>1517</v>
      </c>
      <c r="U2" s="125"/>
      <c r="V2" s="125"/>
      <c r="W2" s="126"/>
      <c r="X2" s="124" t="s">
        <v>1515</v>
      </c>
      <c r="Y2" s="125"/>
      <c r="Z2" s="125"/>
      <c r="AA2" s="126"/>
      <c r="AB2" s="124" t="s">
        <v>1516</v>
      </c>
      <c r="AC2" s="125"/>
      <c r="AD2" s="125"/>
      <c r="AE2" s="126"/>
      <c r="AF2" s="124" t="s">
        <v>1516</v>
      </c>
      <c r="AG2" s="125"/>
      <c r="AH2" s="125"/>
      <c r="AI2" s="125"/>
      <c r="AJ2" s="125"/>
      <c r="AK2" s="126"/>
      <c r="AL2" s="124" t="s">
        <v>1518</v>
      </c>
      <c r="AM2" s="125"/>
      <c r="AN2" s="125"/>
      <c r="AO2" s="126"/>
      <c r="AP2" s="124" t="s">
        <v>1519</v>
      </c>
      <c r="AQ2" s="126"/>
      <c r="AR2" s="124" t="s">
        <v>1520</v>
      </c>
      <c r="AS2" s="126"/>
      <c r="AT2" s="125" t="s">
        <v>1521</v>
      </c>
      <c r="AU2" s="125"/>
      <c r="AV2" s="125"/>
      <c r="AW2" s="126"/>
      <c r="AX2" s="125" t="s">
        <v>1516</v>
      </c>
      <c r="AY2" s="126"/>
      <c r="AZ2" s="124" t="s">
        <v>1522</v>
      </c>
      <c r="BA2" s="125"/>
      <c r="BB2" s="125"/>
      <c r="BC2" s="126"/>
      <c r="BD2" s="124" t="s">
        <v>1523</v>
      </c>
      <c r="BE2" s="126"/>
      <c r="BF2" s="124" t="s">
        <v>1524</v>
      </c>
      <c r="BG2" s="125"/>
      <c r="BH2" s="125"/>
      <c r="BI2" s="125"/>
      <c r="BJ2" s="125"/>
      <c r="BK2" s="126"/>
      <c r="BL2" s="124" t="s">
        <v>1525</v>
      </c>
      <c r="BM2" s="126"/>
      <c r="BN2" s="125" t="s">
        <v>1526</v>
      </c>
      <c r="BO2" s="125"/>
      <c r="BP2" s="125"/>
      <c r="BQ2" s="125"/>
      <c r="BR2" s="124" t="s">
        <v>1527</v>
      </c>
      <c r="BS2" s="126"/>
      <c r="BT2" s="130" t="s">
        <v>1528</v>
      </c>
      <c r="BU2" s="131"/>
      <c r="BV2" s="131"/>
      <c r="BW2" s="131"/>
      <c r="BX2" s="131"/>
      <c r="BY2" s="132"/>
      <c r="BZ2" s="124" t="s">
        <v>1529</v>
      </c>
      <c r="CA2" s="125"/>
      <c r="CB2" s="125"/>
      <c r="CC2" s="125"/>
      <c r="CD2" s="125"/>
      <c r="CE2" s="125"/>
      <c r="CF2" s="125"/>
      <c r="CG2" s="125"/>
      <c r="CH2" s="125"/>
      <c r="CI2" s="126"/>
      <c r="CJ2" s="124" t="s">
        <v>1530</v>
      </c>
      <c r="CK2" s="126"/>
      <c r="CL2" s="124" t="s">
        <v>1529</v>
      </c>
      <c r="CM2" s="125"/>
      <c r="CN2" s="125"/>
      <c r="CO2" s="125"/>
      <c r="CP2" s="125"/>
      <c r="CQ2" s="125"/>
      <c r="CR2" s="125"/>
      <c r="CS2" s="125"/>
      <c r="CT2" s="125"/>
      <c r="CU2" s="125"/>
      <c r="CV2" s="125"/>
      <c r="CW2" s="126"/>
      <c r="CX2" s="124" t="s">
        <v>1529</v>
      </c>
      <c r="CY2" s="125"/>
      <c r="CZ2" s="125"/>
      <c r="DA2" s="125"/>
      <c r="DB2" s="125"/>
      <c r="DC2" s="126"/>
      <c r="DD2" s="124" t="s">
        <v>1531</v>
      </c>
      <c r="DE2" s="125"/>
      <c r="DF2" s="125"/>
      <c r="DG2" s="126"/>
      <c r="DH2" s="124" t="s">
        <v>1532</v>
      </c>
      <c r="DI2" s="125"/>
      <c r="DJ2" s="125"/>
      <c r="DK2" s="125"/>
      <c r="DL2" s="125"/>
      <c r="DM2" s="126"/>
      <c r="DN2" s="124" t="s">
        <v>1532</v>
      </c>
      <c r="DO2" s="125"/>
      <c r="DP2" s="125"/>
      <c r="DQ2" s="125"/>
      <c r="DR2" s="125"/>
      <c r="DS2" s="126"/>
      <c r="DT2" s="124" t="s">
        <v>1533</v>
      </c>
      <c r="DU2" s="125"/>
      <c r="DV2" s="125"/>
      <c r="DW2" s="125"/>
      <c r="DX2" s="125"/>
      <c r="DY2" s="125"/>
      <c r="DZ2" s="125"/>
      <c r="EA2" s="125"/>
      <c r="EB2" s="125"/>
      <c r="EC2" s="125"/>
      <c r="ED2" s="125"/>
      <c r="EE2" s="125"/>
      <c r="EF2" s="125"/>
      <c r="EG2" s="126"/>
      <c r="EH2" s="124" t="s">
        <v>1534</v>
      </c>
      <c r="EI2" s="125"/>
      <c r="EJ2" s="125"/>
      <c r="EK2" s="125"/>
      <c r="EL2" s="125"/>
      <c r="EM2" s="126"/>
      <c r="EN2" s="124" t="s">
        <v>1531</v>
      </c>
      <c r="EO2" s="125"/>
      <c r="EP2" s="125"/>
      <c r="EQ2" s="126"/>
      <c r="ER2" s="124" t="s">
        <v>1535</v>
      </c>
      <c r="ES2" s="125"/>
      <c r="ET2" s="125"/>
      <c r="EU2" s="125"/>
      <c r="EV2" s="125"/>
      <c r="EW2" s="125"/>
      <c r="EX2" s="125"/>
      <c r="EY2" s="125"/>
      <c r="EZ2" s="125"/>
      <c r="FA2" s="125"/>
      <c r="FB2" s="125"/>
      <c r="FC2" s="125"/>
      <c r="FD2" s="125"/>
      <c r="FE2" s="125"/>
      <c r="FF2" s="125"/>
      <c r="FG2" s="125"/>
      <c r="FH2" s="125"/>
      <c r="FI2" s="125"/>
      <c r="FJ2" s="125"/>
      <c r="FK2" s="125"/>
      <c r="FL2" s="125"/>
      <c r="FM2" s="125"/>
      <c r="FN2" s="125"/>
      <c r="FO2" s="125"/>
      <c r="FP2" s="125"/>
      <c r="FQ2" s="125"/>
      <c r="FR2" s="125"/>
      <c r="FS2" s="126"/>
      <c r="FT2" s="125" t="s">
        <v>1536</v>
      </c>
      <c r="FU2" s="125"/>
      <c r="FV2" s="125"/>
      <c r="FW2" s="125"/>
      <c r="FX2" s="125"/>
      <c r="FY2" s="125"/>
      <c r="FZ2" s="125"/>
      <c r="GA2" s="125"/>
      <c r="GB2" s="125"/>
      <c r="GC2" s="125"/>
      <c r="GD2" s="125"/>
      <c r="GE2" s="125"/>
      <c r="GF2" s="125"/>
      <c r="GG2" s="125"/>
      <c r="GH2" s="125"/>
      <c r="GI2" s="125"/>
      <c r="GJ2" s="125"/>
      <c r="GK2" s="125"/>
      <c r="GL2" s="125"/>
      <c r="GM2" s="125"/>
      <c r="GN2" s="125"/>
      <c r="GO2" s="126"/>
      <c r="GP2" s="125" t="s">
        <v>1537</v>
      </c>
      <c r="GQ2" s="125"/>
      <c r="GR2" s="125"/>
      <c r="GS2" s="126"/>
      <c r="GT2" s="124" t="s">
        <v>1538</v>
      </c>
      <c r="GU2" s="126"/>
      <c r="GV2" s="124" t="s">
        <v>1539</v>
      </c>
      <c r="GW2" s="126"/>
      <c r="GX2" s="115" t="s">
        <v>1540</v>
      </c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16"/>
      <c r="IB2" s="115" t="s">
        <v>1079</v>
      </c>
      <c r="IC2" s="120"/>
      <c r="ID2" s="120"/>
      <c r="IE2" s="116"/>
      <c r="IF2" s="115" t="s">
        <v>1541</v>
      </c>
      <c r="IG2" s="120"/>
      <c r="IH2" s="120"/>
      <c r="II2" s="120"/>
      <c r="IJ2" s="120"/>
      <c r="IK2" s="120"/>
      <c r="IL2" s="120"/>
      <c r="IM2" s="120"/>
      <c r="IN2" s="120"/>
      <c r="IO2" s="116"/>
      <c r="IP2" s="115" t="s">
        <v>1542</v>
      </c>
      <c r="IQ2" s="116"/>
      <c r="IR2" s="115" t="s">
        <v>1543</v>
      </c>
      <c r="IS2" s="116"/>
      <c r="IT2" s="115" t="s">
        <v>1544</v>
      </c>
      <c r="IU2" s="116"/>
      <c r="IV2" s="115" t="s">
        <v>1545</v>
      </c>
      <c r="IW2" s="120"/>
      <c r="IX2" s="120"/>
      <c r="IY2" s="120"/>
      <c r="IZ2" s="120"/>
      <c r="JA2" s="120"/>
      <c r="JB2" s="120"/>
      <c r="JC2" s="116"/>
      <c r="JD2" s="115" t="s">
        <v>1546</v>
      </c>
      <c r="JE2" s="120"/>
      <c r="JF2" s="120"/>
      <c r="JG2" s="120"/>
      <c r="JH2" s="120"/>
      <c r="JI2" s="120"/>
      <c r="JJ2" s="120"/>
      <c r="JK2" s="120"/>
      <c r="JL2" s="120"/>
      <c r="JM2" s="120"/>
      <c r="JN2" s="120"/>
      <c r="JO2" s="120"/>
      <c r="JP2" s="120"/>
      <c r="JQ2" s="120"/>
      <c r="JR2" s="120"/>
      <c r="JS2" s="116"/>
      <c r="JT2" s="115" t="s">
        <v>1547</v>
      </c>
      <c r="JU2" s="116"/>
      <c r="JV2" s="115" t="s">
        <v>1548</v>
      </c>
      <c r="JW2" s="120"/>
      <c r="JX2" s="120"/>
      <c r="JY2" s="120"/>
      <c r="JZ2" s="120"/>
      <c r="KA2" s="120"/>
      <c r="KB2" s="120"/>
      <c r="KC2" s="120"/>
      <c r="KD2" s="120"/>
      <c r="KE2" s="116"/>
      <c r="KF2" s="115" t="s">
        <v>1549</v>
      </c>
      <c r="KG2" s="120"/>
      <c r="KH2" s="120"/>
      <c r="KI2" s="120"/>
      <c r="KJ2" s="120"/>
      <c r="KK2" s="120"/>
      <c r="KL2" s="120"/>
      <c r="KM2" s="120"/>
      <c r="KN2" s="120"/>
      <c r="KO2" s="116"/>
      <c r="KP2" s="115" t="s">
        <v>1550</v>
      </c>
      <c r="KQ2" s="120"/>
      <c r="KR2" s="120"/>
      <c r="KS2" s="116"/>
      <c r="KT2" s="115" t="s">
        <v>1551</v>
      </c>
      <c r="KU2" s="120"/>
      <c r="KV2" s="120"/>
      <c r="KW2" s="120"/>
      <c r="KX2" s="120"/>
      <c r="KY2" s="116"/>
      <c r="KZ2" s="115" t="s">
        <v>1552</v>
      </c>
      <c r="LA2" s="116"/>
      <c r="LB2" s="115" t="s">
        <v>1553</v>
      </c>
      <c r="LC2" s="116"/>
      <c r="LD2" s="115" t="s">
        <v>1554</v>
      </c>
      <c r="LE2" s="116"/>
      <c r="LF2" s="115" t="s">
        <v>1555</v>
      </c>
      <c r="LG2" s="116"/>
      <c r="LH2" s="115" t="s">
        <v>1556</v>
      </c>
      <c r="LI2" s="116"/>
      <c r="LJ2" s="115" t="s">
        <v>1557</v>
      </c>
      <c r="LK2" s="116"/>
      <c r="LL2" s="115" t="s">
        <v>1558</v>
      </c>
      <c r="LM2" s="116"/>
      <c r="LN2" s="115" t="s">
        <v>1559</v>
      </c>
      <c r="LO2" s="116"/>
      <c r="LP2" s="115" t="s">
        <v>1560</v>
      </c>
      <c r="LQ2" s="116"/>
      <c r="LR2" s="115" t="s">
        <v>1561</v>
      </c>
      <c r="LS2" s="116"/>
      <c r="LT2" s="115" t="s">
        <v>1562</v>
      </c>
      <c r="LU2" s="120"/>
      <c r="LV2" s="120"/>
      <c r="LW2" s="120"/>
      <c r="LX2" s="120"/>
      <c r="LY2" s="120"/>
      <c r="LZ2" s="120"/>
      <c r="MA2" s="116"/>
      <c r="MB2" s="115" t="s">
        <v>1563</v>
      </c>
      <c r="MC2" s="120"/>
      <c r="MD2" s="120"/>
      <c r="ME2" s="120"/>
      <c r="MF2" s="120"/>
      <c r="MG2" s="120"/>
      <c r="MH2" s="120"/>
      <c r="MI2" s="120"/>
      <c r="MJ2" s="120"/>
      <c r="MK2" s="120"/>
      <c r="ML2" s="120"/>
      <c r="MM2" s="120"/>
      <c r="MN2" s="120"/>
      <c r="MO2" s="120"/>
      <c r="MP2" s="120"/>
      <c r="MQ2" s="120"/>
      <c r="MR2" s="120"/>
      <c r="MS2" s="120"/>
      <c r="MT2" s="120"/>
      <c r="MU2" s="120"/>
      <c r="MV2" s="120"/>
      <c r="MW2" s="120"/>
      <c r="MX2" s="120"/>
      <c r="MY2" s="116"/>
      <c r="MZ2" s="115" t="s">
        <v>1564</v>
      </c>
      <c r="NA2" s="120"/>
      <c r="NB2" s="120"/>
      <c r="NC2" s="120"/>
      <c r="ND2" s="120"/>
      <c r="NE2" s="120"/>
      <c r="NF2" s="120"/>
      <c r="NG2" s="120"/>
      <c r="NH2" s="120"/>
      <c r="NI2" s="120"/>
      <c r="NJ2" s="120"/>
      <c r="NK2" s="116"/>
      <c r="NL2" s="115" t="s">
        <v>1565</v>
      </c>
      <c r="NM2" s="116"/>
      <c r="NN2" s="115" t="s">
        <v>1566</v>
      </c>
      <c r="NO2" s="116"/>
      <c r="NP2" s="117" t="s">
        <v>1567</v>
      </c>
      <c r="NQ2" s="118"/>
      <c r="NR2" s="118"/>
      <c r="NS2" s="119"/>
    </row>
    <row r="3" spans="1:383" x14ac:dyDescent="0.2">
      <c r="A3" s="136"/>
      <c r="B3" s="141"/>
      <c r="C3" s="137"/>
      <c r="D3" s="142"/>
      <c r="E3" s="137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1044</v>
      </c>
      <c r="AM3" s="7" t="s">
        <v>43</v>
      </c>
      <c r="AN3" s="46" t="s">
        <v>1045</v>
      </c>
      <c r="AO3" s="7" t="s">
        <v>43</v>
      </c>
      <c r="AP3" s="46" t="s">
        <v>533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451</v>
      </c>
      <c r="BE3" s="7" t="s">
        <v>43</v>
      </c>
      <c r="BF3" s="46" t="s">
        <v>530</v>
      </c>
      <c r="BG3" s="7" t="s">
        <v>43</v>
      </c>
      <c r="BH3" s="46" t="s">
        <v>531</v>
      </c>
      <c r="BI3" s="7" t="s">
        <v>43</v>
      </c>
      <c r="BJ3" s="46" t="s">
        <v>532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438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387</v>
      </c>
      <c r="ES3" s="7" t="s">
        <v>43</v>
      </c>
      <c r="ET3" s="46" t="s">
        <v>388</v>
      </c>
      <c r="EU3" s="7" t="s">
        <v>43</v>
      </c>
      <c r="EV3" s="46" t="s">
        <v>389</v>
      </c>
      <c r="EW3" s="7" t="s">
        <v>43</v>
      </c>
      <c r="EX3" s="45" t="s">
        <v>390</v>
      </c>
      <c r="EY3" s="6" t="s">
        <v>43</v>
      </c>
      <c r="EZ3" s="46" t="s">
        <v>391</v>
      </c>
      <c r="FA3" s="7" t="s">
        <v>43</v>
      </c>
      <c r="FB3" s="46" t="s">
        <v>392</v>
      </c>
      <c r="FC3" s="7" t="s">
        <v>43</v>
      </c>
      <c r="FD3" s="46" t="s">
        <v>1048</v>
      </c>
      <c r="FE3" s="7" t="s">
        <v>43</v>
      </c>
      <c r="FF3" s="46" t="s">
        <v>405</v>
      </c>
      <c r="FG3" s="7" t="s">
        <v>43</v>
      </c>
      <c r="FH3" s="46" t="s">
        <v>404</v>
      </c>
      <c r="FI3" s="7" t="s">
        <v>43</v>
      </c>
      <c r="FJ3" s="46" t="s">
        <v>401</v>
      </c>
      <c r="FK3" s="7" t="s">
        <v>43</v>
      </c>
      <c r="FL3" s="46" t="s">
        <v>392</v>
      </c>
      <c r="FM3" s="7" t="s">
        <v>43</v>
      </c>
      <c r="FN3" s="46" t="s">
        <v>402</v>
      </c>
      <c r="FO3" s="7" t="s">
        <v>43</v>
      </c>
      <c r="FP3" s="46" t="s">
        <v>403</v>
      </c>
      <c r="FQ3" s="7" t="s">
        <v>43</v>
      </c>
      <c r="FR3" s="46" t="s">
        <v>1049</v>
      </c>
      <c r="FS3" s="7" t="s">
        <v>43</v>
      </c>
      <c r="FT3" s="46" t="s">
        <v>418</v>
      </c>
      <c r="FU3" s="7" t="s">
        <v>43</v>
      </c>
      <c r="FV3" s="46" t="s">
        <v>419</v>
      </c>
      <c r="FW3" s="7" t="s">
        <v>43</v>
      </c>
      <c r="FX3" s="46" t="s">
        <v>420</v>
      </c>
      <c r="FY3" s="7" t="s">
        <v>43</v>
      </c>
      <c r="FZ3" s="46" t="s">
        <v>421</v>
      </c>
      <c r="GA3" s="7" t="s">
        <v>43</v>
      </c>
      <c r="GB3" s="46" t="s">
        <v>423</v>
      </c>
      <c r="GC3" s="7" t="s">
        <v>43</v>
      </c>
      <c r="GD3" s="46" t="s">
        <v>424</v>
      </c>
      <c r="GE3" s="7" t="s">
        <v>43</v>
      </c>
      <c r="GF3" s="46" t="s">
        <v>425</v>
      </c>
      <c r="GG3" s="7" t="s">
        <v>43</v>
      </c>
      <c r="GH3" s="45" t="s">
        <v>426</v>
      </c>
      <c r="GI3" s="7" t="s">
        <v>43</v>
      </c>
      <c r="GJ3" s="45" t="s">
        <v>427</v>
      </c>
      <c r="GK3" s="6" t="s">
        <v>43</v>
      </c>
      <c r="GL3" s="46" t="s">
        <v>428</v>
      </c>
      <c r="GM3" s="7" t="s">
        <v>43</v>
      </c>
      <c r="GN3" s="46" t="s">
        <v>429</v>
      </c>
      <c r="GO3" s="7" t="s">
        <v>43</v>
      </c>
      <c r="GP3" s="46" t="s">
        <v>414</v>
      </c>
      <c r="GQ3" s="7" t="s">
        <v>43</v>
      </c>
      <c r="GR3" s="46" t="s">
        <v>415</v>
      </c>
      <c r="GS3" s="7" t="s">
        <v>43</v>
      </c>
      <c r="GT3" s="6" t="s">
        <v>1222</v>
      </c>
      <c r="GU3" s="7" t="s">
        <v>43</v>
      </c>
      <c r="GV3" s="45" t="s">
        <v>592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332</v>
      </c>
      <c r="IC3" s="22" t="s">
        <v>43</v>
      </c>
      <c r="ID3" s="48" t="s">
        <v>333</v>
      </c>
      <c r="IE3" s="22" t="s">
        <v>43</v>
      </c>
      <c r="IF3" s="48" t="s">
        <v>337</v>
      </c>
      <c r="IG3" s="22" t="s">
        <v>43</v>
      </c>
      <c r="IH3" s="48" t="s">
        <v>355</v>
      </c>
      <c r="II3" s="22" t="s">
        <v>43</v>
      </c>
      <c r="IJ3" s="48" t="s">
        <v>356</v>
      </c>
      <c r="IK3" s="22" t="s">
        <v>43</v>
      </c>
      <c r="IL3" s="48" t="s">
        <v>357</v>
      </c>
      <c r="IM3" s="22" t="s">
        <v>43</v>
      </c>
      <c r="IN3" s="48" t="s">
        <v>358</v>
      </c>
      <c r="IO3" s="22" t="s">
        <v>43</v>
      </c>
      <c r="IP3" s="48" t="s">
        <v>359</v>
      </c>
      <c r="IQ3" s="22" t="s">
        <v>43</v>
      </c>
      <c r="IR3" s="48" t="s">
        <v>366</v>
      </c>
      <c r="IS3" s="22" t="s">
        <v>43</v>
      </c>
      <c r="IT3" s="48" t="s">
        <v>534</v>
      </c>
      <c r="IU3" s="22" t="s">
        <v>43</v>
      </c>
      <c r="IV3" s="48" t="s">
        <v>375</v>
      </c>
      <c r="IW3" s="22" t="s">
        <v>43</v>
      </c>
      <c r="IX3" s="48" t="s">
        <v>376</v>
      </c>
      <c r="IY3" s="22" t="s">
        <v>43</v>
      </c>
      <c r="IZ3" s="49" t="s">
        <v>541</v>
      </c>
      <c r="JA3" s="22" t="s">
        <v>43</v>
      </c>
      <c r="JB3" s="49" t="s">
        <v>542</v>
      </c>
      <c r="JC3" s="22" t="s">
        <v>43</v>
      </c>
      <c r="JD3" s="48" t="s">
        <v>458</v>
      </c>
      <c r="JE3" s="22" t="s">
        <v>43</v>
      </c>
      <c r="JF3" s="49" t="s">
        <v>459</v>
      </c>
      <c r="JG3" s="22" t="s">
        <v>43</v>
      </c>
      <c r="JH3" s="49" t="s">
        <v>460</v>
      </c>
      <c r="JI3" s="22" t="s">
        <v>43</v>
      </c>
      <c r="JJ3" s="49" t="s">
        <v>461</v>
      </c>
      <c r="JK3" s="22" t="s">
        <v>43</v>
      </c>
      <c r="JL3" s="49" t="s">
        <v>462</v>
      </c>
      <c r="JM3" s="22" t="s">
        <v>43</v>
      </c>
      <c r="JN3" s="49" t="s">
        <v>463</v>
      </c>
      <c r="JO3" s="22" t="s">
        <v>43</v>
      </c>
      <c r="JP3" s="49" t="s">
        <v>464</v>
      </c>
      <c r="JQ3" s="22" t="s">
        <v>43</v>
      </c>
      <c r="JR3" s="49" t="s">
        <v>465</v>
      </c>
      <c r="JS3" s="22" t="s">
        <v>43</v>
      </c>
      <c r="JT3" s="49" t="s">
        <v>587</v>
      </c>
      <c r="JU3" s="22" t="s">
        <v>43</v>
      </c>
      <c r="JV3" s="48" t="s">
        <v>379</v>
      </c>
      <c r="JW3" s="22" t="s">
        <v>43</v>
      </c>
      <c r="JX3" s="49" t="s">
        <v>380</v>
      </c>
      <c r="JY3" s="22" t="s">
        <v>43</v>
      </c>
      <c r="JZ3" s="49" t="s">
        <v>381</v>
      </c>
      <c r="KA3" s="22" t="s">
        <v>43</v>
      </c>
      <c r="KB3" s="49" t="s">
        <v>382</v>
      </c>
      <c r="KC3" s="22" t="s">
        <v>43</v>
      </c>
      <c r="KD3" s="49" t="s">
        <v>383</v>
      </c>
      <c r="KE3" s="22" t="s">
        <v>43</v>
      </c>
      <c r="KF3" s="48" t="s">
        <v>371</v>
      </c>
      <c r="KG3" s="22" t="s">
        <v>43</v>
      </c>
      <c r="KH3" s="49" t="s">
        <v>556</v>
      </c>
      <c r="KI3" s="22" t="s">
        <v>43</v>
      </c>
      <c r="KJ3" s="48" t="s">
        <v>553</v>
      </c>
      <c r="KK3" s="22" t="s">
        <v>43</v>
      </c>
      <c r="KL3" s="48" t="s">
        <v>554</v>
      </c>
      <c r="KM3" s="22" t="s">
        <v>43</v>
      </c>
      <c r="KN3" s="48" t="s">
        <v>555</v>
      </c>
      <c r="KO3" s="22" t="s">
        <v>43</v>
      </c>
      <c r="KP3" s="48" t="s">
        <v>455</v>
      </c>
      <c r="KQ3" s="22" t="s">
        <v>43</v>
      </c>
      <c r="KR3" s="49" t="s">
        <v>456</v>
      </c>
      <c r="KS3" s="22" t="s">
        <v>43</v>
      </c>
      <c r="KT3" s="49" t="s">
        <v>433</v>
      </c>
      <c r="KU3" s="21" t="s">
        <v>43</v>
      </c>
      <c r="KV3" s="49" t="s">
        <v>434</v>
      </c>
      <c r="KW3" s="21" t="s">
        <v>43</v>
      </c>
      <c r="KX3" s="49" t="s">
        <v>435</v>
      </c>
      <c r="KY3" s="22" t="s">
        <v>43</v>
      </c>
      <c r="KZ3" s="48" t="s">
        <v>644</v>
      </c>
      <c r="LA3" s="22" t="s">
        <v>43</v>
      </c>
      <c r="LB3" s="48" t="s">
        <v>648</v>
      </c>
      <c r="LC3" s="22" t="s">
        <v>43</v>
      </c>
      <c r="LD3" s="48" t="s">
        <v>650</v>
      </c>
      <c r="LE3" s="22" t="s">
        <v>43</v>
      </c>
      <c r="LF3" s="49" t="s">
        <v>652</v>
      </c>
      <c r="LG3" s="22" t="s">
        <v>43</v>
      </c>
      <c r="LH3" s="48" t="s">
        <v>689</v>
      </c>
      <c r="LI3" s="22" t="s">
        <v>43</v>
      </c>
      <c r="LJ3" s="48" t="s">
        <v>690</v>
      </c>
      <c r="LK3" s="22" t="s">
        <v>43</v>
      </c>
      <c r="LL3" s="48" t="s">
        <v>691</v>
      </c>
      <c r="LM3" s="22" t="s">
        <v>43</v>
      </c>
      <c r="LN3" s="48" t="s">
        <v>692</v>
      </c>
      <c r="LO3" s="22" t="s">
        <v>43</v>
      </c>
      <c r="LP3" s="48" t="s">
        <v>693</v>
      </c>
      <c r="LQ3" s="22" t="s">
        <v>43</v>
      </c>
      <c r="LR3" s="49" t="s">
        <v>694</v>
      </c>
      <c r="LS3" s="21" t="s">
        <v>43</v>
      </c>
      <c r="LT3" s="48" t="s">
        <v>674</v>
      </c>
      <c r="LU3" s="22" t="s">
        <v>43</v>
      </c>
      <c r="LV3" s="48" t="s">
        <v>675</v>
      </c>
      <c r="LW3" s="22" t="s">
        <v>43</v>
      </c>
      <c r="LX3" s="48" t="s">
        <v>676</v>
      </c>
      <c r="LY3" s="22" t="s">
        <v>43</v>
      </c>
      <c r="LZ3" s="48" t="s">
        <v>677</v>
      </c>
      <c r="MA3" s="22" t="s">
        <v>43</v>
      </c>
      <c r="MB3" s="50" t="s">
        <v>573</v>
      </c>
      <c r="MC3" s="27" t="s">
        <v>43</v>
      </c>
      <c r="MD3" s="49" t="s">
        <v>442</v>
      </c>
      <c r="ME3" s="22" t="s">
        <v>43</v>
      </c>
      <c r="MF3" s="49" t="s">
        <v>443</v>
      </c>
      <c r="MG3" s="22" t="s">
        <v>43</v>
      </c>
      <c r="MH3" s="49" t="s">
        <v>450</v>
      </c>
      <c r="MI3" s="22" t="s">
        <v>43</v>
      </c>
      <c r="MJ3" s="49" t="s">
        <v>444</v>
      </c>
      <c r="MK3" s="22" t="s">
        <v>43</v>
      </c>
      <c r="ML3" s="49" t="s">
        <v>445</v>
      </c>
      <c r="MM3" s="22" t="s">
        <v>43</v>
      </c>
      <c r="MN3" s="49" t="s">
        <v>446</v>
      </c>
      <c r="MO3" s="22" t="s">
        <v>43</v>
      </c>
      <c r="MP3" s="49" t="s">
        <v>582</v>
      </c>
      <c r="MQ3" s="22" t="s">
        <v>43</v>
      </c>
      <c r="MR3" s="49" t="s">
        <v>449</v>
      </c>
      <c r="MS3" s="22" t="s">
        <v>43</v>
      </c>
      <c r="MT3" s="49" t="s">
        <v>448</v>
      </c>
      <c r="MU3" s="22" t="s">
        <v>43</v>
      </c>
      <c r="MV3" s="49" t="s">
        <v>447</v>
      </c>
      <c r="MW3" s="22" t="s">
        <v>43</v>
      </c>
      <c r="MX3" s="49" t="s">
        <v>583</v>
      </c>
      <c r="MY3" s="22" t="s">
        <v>43</v>
      </c>
      <c r="MZ3" s="48" t="s">
        <v>621</v>
      </c>
      <c r="NA3" s="22" t="s">
        <v>43</v>
      </c>
      <c r="NB3" s="49" t="s">
        <v>622</v>
      </c>
      <c r="NC3" s="22" t="s">
        <v>43</v>
      </c>
      <c r="ND3" s="49" t="s">
        <v>623</v>
      </c>
      <c r="NE3" s="22" t="s">
        <v>43</v>
      </c>
      <c r="NF3" s="49" t="s">
        <v>624</v>
      </c>
      <c r="NG3" s="22" t="s">
        <v>43</v>
      </c>
      <c r="NH3" s="49" t="s">
        <v>625</v>
      </c>
      <c r="NI3" s="22" t="s">
        <v>43</v>
      </c>
      <c r="NJ3" s="49" t="s">
        <v>626</v>
      </c>
      <c r="NK3" s="22" t="s">
        <v>43</v>
      </c>
      <c r="NL3" s="48" t="s">
        <v>640</v>
      </c>
      <c r="NM3" s="22" t="s">
        <v>43</v>
      </c>
      <c r="NN3" s="48" t="s">
        <v>636</v>
      </c>
      <c r="NO3" s="22" t="s">
        <v>43</v>
      </c>
      <c r="NP3" s="51" t="s">
        <v>615</v>
      </c>
      <c r="NQ3" s="28" t="s">
        <v>43</v>
      </c>
      <c r="NR3" s="51" t="s">
        <v>616</v>
      </c>
      <c r="NS3" s="28" t="s">
        <v>43</v>
      </c>
    </row>
    <row r="4" spans="1:383" x14ac:dyDescent="0.2">
      <c r="A4" t="s">
        <v>1</v>
      </c>
      <c r="B4" s="1" t="s">
        <v>1010</v>
      </c>
      <c r="C4" s="1" t="s">
        <v>1008</v>
      </c>
      <c r="D4" s="40" cm="1">
        <f t="array" ref="D4">SUMPRODUCT((ISNUMBER(F4:NS4))*(MOD(COLUMN(F4:NS4),2)=0))</f>
        <v>182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15.6157</v>
      </c>
      <c r="IC4" s="10">
        <v>6.8861999999999997</v>
      </c>
      <c r="ID4" s="4" t="s">
        <v>70</v>
      </c>
      <c r="IE4" s="4" t="s">
        <v>53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683</v>
      </c>
      <c r="B5" s="1" t="s">
        <v>1013</v>
      </c>
      <c r="C5" s="1" t="s">
        <v>1008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1011</v>
      </c>
      <c r="B6" s="1" t="s">
        <v>1010</v>
      </c>
      <c r="C6" s="1" t="s">
        <v>834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475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1.1592</v>
      </c>
      <c r="IC6" s="10">
        <v>0.40050000000000002</v>
      </c>
      <c r="ID6" s="10">
        <v>1.6400000000000001E-2</v>
      </c>
      <c r="IE6" s="10">
        <v>8.0000000000000002E-3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1012</v>
      </c>
      <c r="B7" s="1" t="s">
        <v>1010</v>
      </c>
      <c r="C7" s="1" t="s">
        <v>835</v>
      </c>
      <c r="D7" s="40" cm="1">
        <f t="array" ref="D7">SUMPRODUCT((ISNUMBER(F7:NS7))*(MOD(COLUMN(F7:NS7),2)=0))</f>
        <v>116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475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496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5.6111000000000004</v>
      </c>
      <c r="IC7" s="10">
        <v>2.6831999999999998</v>
      </c>
      <c r="ID7" s="4" t="s">
        <v>70</v>
      </c>
      <c r="IE7" s="4" t="s">
        <v>53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833</v>
      </c>
      <c r="B8" s="1" t="s">
        <v>1010</v>
      </c>
      <c r="C8" s="1" t="s">
        <v>819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1029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1013</v>
      </c>
      <c r="C9" s="1" t="s">
        <v>819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1.6E-2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539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602</v>
      </c>
      <c r="B10" s="1" t="s">
        <v>1010</v>
      </c>
      <c r="C10" s="1" t="s">
        <v>1008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1010</v>
      </c>
      <c r="C11" s="1" t="s">
        <v>834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468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476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476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596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0.1283</v>
      </c>
      <c r="IC11" s="10">
        <v>8.2600000000000007E-2</v>
      </c>
      <c r="ID11" s="4">
        <v>8.9999999999999998E-4</v>
      </c>
      <c r="IE11" s="10">
        <v>1.2999999999999999E-3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1010</v>
      </c>
      <c r="C12" s="1" t="s">
        <v>835</v>
      </c>
      <c r="D12" s="40" cm="1">
        <f t="array" ref="D12">SUMPRODUCT((ISNUMBER(F12:NS12))*(MOD(COLUMN(F12:NS12),2)=0))</f>
        <v>96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469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477</v>
      </c>
      <c r="ES12" s="10" t="s">
        <v>53</v>
      </c>
      <c r="ET12" s="10" t="s">
        <v>478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476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596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 t="s">
        <v>70</v>
      </c>
      <c r="IE12" s="10" t="s">
        <v>53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838</v>
      </c>
      <c r="B13" s="1" t="s">
        <v>1010</v>
      </c>
      <c r="C13" s="1" t="s">
        <v>819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1010</v>
      </c>
      <c r="C14" s="1" t="s">
        <v>834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539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1010</v>
      </c>
      <c r="C15" s="1" t="s">
        <v>835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539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839</v>
      </c>
      <c r="B16" s="1" t="s">
        <v>1010</v>
      </c>
      <c r="C16" s="1" t="s">
        <v>819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1010</v>
      </c>
      <c r="C17" s="1" t="s">
        <v>834</v>
      </c>
      <c r="D17" s="40" cm="1">
        <f t="array" ref="D17">SUMPRODUCT((ISNUMBER(F17:NS17))*(MOD(COLUMN(F17:NS17),2)=0))</f>
        <v>92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479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481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0.25030000000000002</v>
      </c>
      <c r="IC17" s="1">
        <v>8.1100000000000005E-2</v>
      </c>
      <c r="ID17" s="10" t="s">
        <v>70</v>
      </c>
      <c r="IE17" s="10" t="s">
        <v>53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539</v>
      </c>
      <c r="IU17" s="4" t="s">
        <v>53</v>
      </c>
      <c r="IV17" s="4" t="s">
        <v>539</v>
      </c>
      <c r="IW17" s="4" t="s">
        <v>53</v>
      </c>
      <c r="IX17" s="4" t="s">
        <v>539</v>
      </c>
      <c r="IY17" s="4" t="s">
        <v>53</v>
      </c>
      <c r="IZ17" s="4" t="s">
        <v>539</v>
      </c>
      <c r="JA17" s="4" t="s">
        <v>53</v>
      </c>
      <c r="JB17" s="4" t="s">
        <v>539</v>
      </c>
      <c r="JC17" s="4" t="s">
        <v>53</v>
      </c>
      <c r="JD17" s="4" t="s">
        <v>539</v>
      </c>
      <c r="JE17" s="4" t="s">
        <v>53</v>
      </c>
      <c r="JF17" s="4" t="s">
        <v>539</v>
      </c>
      <c r="JG17" s="4" t="s">
        <v>53</v>
      </c>
      <c r="JH17" s="4" t="s">
        <v>539</v>
      </c>
      <c r="JI17" s="4" t="s">
        <v>53</v>
      </c>
      <c r="JJ17" s="4" t="s">
        <v>539</v>
      </c>
      <c r="JK17" s="4" t="s">
        <v>53</v>
      </c>
      <c r="JL17" s="4" t="s">
        <v>539</v>
      </c>
      <c r="JM17" s="4" t="s">
        <v>53</v>
      </c>
      <c r="JN17" s="4" t="s">
        <v>539</v>
      </c>
      <c r="JO17" s="4" t="s">
        <v>53</v>
      </c>
      <c r="JP17" s="4" t="s">
        <v>539</v>
      </c>
      <c r="JQ17" s="4" t="s">
        <v>53</v>
      </c>
      <c r="JR17" s="4" t="s">
        <v>539</v>
      </c>
      <c r="JS17" s="4" t="s">
        <v>53</v>
      </c>
      <c r="JT17" s="4" t="s">
        <v>539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1010</v>
      </c>
      <c r="C18" s="1" t="s">
        <v>835</v>
      </c>
      <c r="D18" s="40" cm="1">
        <f t="array" ref="D18">SUMPRODUCT((ISNUMBER(F18:NS18))*(MOD(COLUMN(F18:NS18),2)=0))</f>
        <v>103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480</v>
      </c>
      <c r="ES18" s="8" t="s">
        <v>53</v>
      </c>
      <c r="ET18" s="8" t="s">
        <v>480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481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481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0.98170000000000002</v>
      </c>
      <c r="IC18" s="1">
        <v>0.41510000000000002</v>
      </c>
      <c r="ID18" s="10" t="s">
        <v>70</v>
      </c>
      <c r="IE18" s="10" t="s">
        <v>53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603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840</v>
      </c>
      <c r="B19" s="1" t="s">
        <v>1010</v>
      </c>
      <c r="C19" s="1" t="s">
        <v>819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1010</v>
      </c>
      <c r="C20" s="1" t="s">
        <v>834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603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470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482</v>
      </c>
      <c r="ES20" s="10" t="s">
        <v>53</v>
      </c>
      <c r="ET20" s="10" t="s">
        <v>483</v>
      </c>
      <c r="EU20" s="10" t="s">
        <v>53</v>
      </c>
      <c r="EV20" s="10" t="s">
        <v>223</v>
      </c>
      <c r="EW20" s="10" t="s">
        <v>53</v>
      </c>
      <c r="EX20" s="10" t="s">
        <v>484</v>
      </c>
      <c r="EY20" s="10" t="s">
        <v>53</v>
      </c>
      <c r="EZ20" s="10" t="s">
        <v>484</v>
      </c>
      <c r="FA20" s="10" t="s">
        <v>53</v>
      </c>
      <c r="FB20" s="10" t="s">
        <v>482</v>
      </c>
      <c r="FC20" s="10" t="s">
        <v>53</v>
      </c>
      <c r="FD20" s="10" t="s">
        <v>482</v>
      </c>
      <c r="FE20" s="10" t="s">
        <v>53</v>
      </c>
      <c r="FF20" s="10" t="s">
        <v>482</v>
      </c>
      <c r="FG20" s="10" t="s">
        <v>53</v>
      </c>
      <c r="FH20" s="10" t="s">
        <v>494</v>
      </c>
      <c r="FI20" s="10" t="s">
        <v>53</v>
      </c>
      <c r="FJ20" s="10" t="s">
        <v>494</v>
      </c>
      <c r="FK20" s="10" t="s">
        <v>53</v>
      </c>
      <c r="FL20" s="10" t="s">
        <v>482</v>
      </c>
      <c r="FM20" s="10" t="s">
        <v>53</v>
      </c>
      <c r="FN20" s="10" t="s">
        <v>495</v>
      </c>
      <c r="FO20" s="10" t="s">
        <v>53</v>
      </c>
      <c r="FP20" s="10" t="s">
        <v>482</v>
      </c>
      <c r="FQ20" s="10" t="s">
        <v>53</v>
      </c>
      <c r="FR20" s="10" t="s">
        <v>495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1223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1010</v>
      </c>
      <c r="C21" s="1" t="s">
        <v>835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471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483</v>
      </c>
      <c r="ES21" s="10" t="s">
        <v>53</v>
      </c>
      <c r="ET21" s="10" t="s">
        <v>483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482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1223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603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841</v>
      </c>
      <c r="B22" s="1" t="s">
        <v>1010</v>
      </c>
      <c r="C22" s="1" t="s">
        <v>819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842</v>
      </c>
      <c r="B23" s="1" t="s">
        <v>1013</v>
      </c>
      <c r="C23" s="1" t="s">
        <v>819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606</v>
      </c>
      <c r="B24" s="1" t="s">
        <v>1013</v>
      </c>
      <c r="C24" s="1" t="s">
        <v>834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603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607</v>
      </c>
      <c r="B25" s="1" t="s">
        <v>1013</v>
      </c>
      <c r="C25" s="1" t="s">
        <v>835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603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1010</v>
      </c>
      <c r="C26" s="1" t="s">
        <v>834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539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1010</v>
      </c>
      <c r="C27" s="1" t="s">
        <v>835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539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1014</v>
      </c>
      <c r="B28" s="1" t="s">
        <v>1010</v>
      </c>
      <c r="C28" s="1" t="s">
        <v>819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486</v>
      </c>
      <c r="EW28" s="10" t="s">
        <v>53</v>
      </c>
      <c r="EX28" s="10" t="s">
        <v>487</v>
      </c>
      <c r="EY28" s="10" t="s">
        <v>53</v>
      </c>
      <c r="EZ28" s="10" t="s">
        <v>486</v>
      </c>
      <c r="FA28" s="10" t="s">
        <v>53</v>
      </c>
      <c r="FB28" s="10" t="s">
        <v>486</v>
      </c>
      <c r="FC28" s="10" t="s">
        <v>53</v>
      </c>
      <c r="FD28" s="10" t="s">
        <v>486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597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362</v>
      </c>
      <c r="II28" s="4" t="s">
        <v>53</v>
      </c>
      <c r="IJ28" s="4" t="s">
        <v>362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539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1013</v>
      </c>
      <c r="C29" s="1" t="s">
        <v>834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488</v>
      </c>
      <c r="FA29" s="10" t="s">
        <v>53</v>
      </c>
      <c r="FB29" s="10" t="s">
        <v>486</v>
      </c>
      <c r="FC29" s="10" t="s">
        <v>53</v>
      </c>
      <c r="FD29" s="10" t="s">
        <v>486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598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539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1013</v>
      </c>
      <c r="C30" s="1" t="s">
        <v>835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486</v>
      </c>
      <c r="FC30" s="10" t="s">
        <v>53</v>
      </c>
      <c r="FD30" s="10" t="s">
        <v>486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598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362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539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1015</v>
      </c>
      <c r="B31" s="1" t="s">
        <v>1013</v>
      </c>
      <c r="C31" s="1" t="s">
        <v>819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10" t="s">
        <v>54</v>
      </c>
      <c r="IE31" s="10" t="s">
        <v>53</v>
      </c>
      <c r="IF31" s="4" t="s">
        <v>70</v>
      </c>
      <c r="IG31" s="4" t="s">
        <v>53</v>
      </c>
      <c r="IH31" s="4" t="s">
        <v>362</v>
      </c>
      <c r="II31" s="4" t="s">
        <v>53</v>
      </c>
      <c r="IJ31" s="4" t="s">
        <v>362</v>
      </c>
      <c r="IK31" s="4" t="s">
        <v>53</v>
      </c>
      <c r="IL31" s="4">
        <v>0.1</v>
      </c>
      <c r="IM31" s="4" t="s">
        <v>53</v>
      </c>
      <c r="IN31" s="4" t="s">
        <v>362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1016</v>
      </c>
      <c r="C32" s="1" t="s">
        <v>819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486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489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539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603</v>
      </c>
      <c r="NS32" s="10" t="s">
        <v>53</v>
      </c>
    </row>
    <row r="33" spans="1:383" x14ac:dyDescent="0.2">
      <c r="A33" t="s">
        <v>12</v>
      </c>
      <c r="B33" s="1" t="s">
        <v>1010</v>
      </c>
      <c r="C33" s="1" t="s">
        <v>819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486</v>
      </c>
      <c r="FC33" s="10" t="s">
        <v>53</v>
      </c>
      <c r="FD33" s="10" t="s">
        <v>486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597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539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497</v>
      </c>
      <c r="B34" s="1" t="s">
        <v>1013</v>
      </c>
      <c r="C34" s="1" t="s">
        <v>834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539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498</v>
      </c>
      <c r="B35" s="1" t="s">
        <v>1013</v>
      </c>
      <c r="C35" s="1" t="s">
        <v>835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1017</v>
      </c>
      <c r="B36" s="1" t="s">
        <v>1013</v>
      </c>
      <c r="C36" s="1" t="s">
        <v>819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597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578</v>
      </c>
      <c r="B37" s="1" t="s">
        <v>1010</v>
      </c>
      <c r="C37" s="1" t="s">
        <v>1008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1018</v>
      </c>
      <c r="B38" s="1" t="s">
        <v>1016</v>
      </c>
      <c r="C38" s="1" t="s">
        <v>819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608</v>
      </c>
      <c r="B39" s="1" t="s">
        <v>1016</v>
      </c>
      <c r="C39" s="1" t="s">
        <v>834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609</v>
      </c>
      <c r="B40" s="1" t="s">
        <v>1016</v>
      </c>
      <c r="C40" s="1" t="s">
        <v>835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869</v>
      </c>
      <c r="B41" s="1" t="s">
        <v>1010</v>
      </c>
      <c r="C41" s="1" t="s">
        <v>819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604</v>
      </c>
      <c r="B42" s="1" t="s">
        <v>1010</v>
      </c>
      <c r="C42" s="1" t="s">
        <v>834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605</v>
      </c>
      <c r="B43" s="1" t="s">
        <v>1010</v>
      </c>
      <c r="C43" s="1" t="s">
        <v>835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1019</v>
      </c>
      <c r="B44" s="1" t="s">
        <v>1013</v>
      </c>
      <c r="C44" s="1" t="s">
        <v>819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1020</v>
      </c>
      <c r="B45" s="1" t="s">
        <v>1013</v>
      </c>
      <c r="C45" s="1" t="s">
        <v>819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551</v>
      </c>
      <c r="B46" s="1" t="s">
        <v>1010</v>
      </c>
      <c r="C46" s="1" t="s">
        <v>835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844</v>
      </c>
      <c r="B47" s="1" t="s">
        <v>1010</v>
      </c>
      <c r="C47" s="1" t="s">
        <v>819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1010</v>
      </c>
      <c r="C48" s="1" t="s">
        <v>834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485</v>
      </c>
      <c r="ES48" s="8" t="s">
        <v>53</v>
      </c>
      <c r="ET48" s="8" t="s">
        <v>473</v>
      </c>
      <c r="EU48" s="8" t="s">
        <v>53</v>
      </c>
      <c r="EV48" s="8" t="s">
        <v>485</v>
      </c>
      <c r="EW48" s="8" t="s">
        <v>53</v>
      </c>
      <c r="EX48" s="8" t="s">
        <v>485</v>
      </c>
      <c r="EY48" s="8" t="s">
        <v>53</v>
      </c>
      <c r="EZ48" s="8" t="s">
        <v>232</v>
      </c>
      <c r="FA48" s="8" t="s">
        <v>53</v>
      </c>
      <c r="FB48" s="8" t="s">
        <v>485</v>
      </c>
      <c r="FC48" s="8" t="s">
        <v>53</v>
      </c>
      <c r="FD48" s="8" t="s">
        <v>485</v>
      </c>
      <c r="FE48" s="8" t="s">
        <v>53</v>
      </c>
      <c r="FF48" s="10" t="s">
        <v>485</v>
      </c>
      <c r="FG48" s="10" t="s">
        <v>53</v>
      </c>
      <c r="FH48" s="10" t="s">
        <v>485</v>
      </c>
      <c r="FI48" s="10" t="s">
        <v>53</v>
      </c>
      <c r="FJ48" s="10" t="s">
        <v>485</v>
      </c>
      <c r="FK48" s="10" t="s">
        <v>53</v>
      </c>
      <c r="FL48" s="10" t="s">
        <v>485</v>
      </c>
      <c r="FM48" s="10" t="s">
        <v>53</v>
      </c>
      <c r="FN48" s="10" t="s">
        <v>485</v>
      </c>
      <c r="FO48" s="10" t="s">
        <v>53</v>
      </c>
      <c r="FP48" s="10" t="s">
        <v>485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485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3.9600000000000003E-2</v>
      </c>
      <c r="IC48" s="1">
        <v>3.9600000000000003E-2</v>
      </c>
      <c r="ID48" s="4" t="s">
        <v>362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1010</v>
      </c>
      <c r="C49" s="1" t="s">
        <v>835</v>
      </c>
      <c r="D49" s="40" cm="1">
        <f t="array" ref="D49">SUMPRODUCT((ISNUMBER(F49:NS49))*(MOD(COLUMN(F49:NS49),2)=0))</f>
        <v>102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490</v>
      </c>
      <c r="ES49" s="8" t="s">
        <v>53</v>
      </c>
      <c r="ET49" s="8" t="s">
        <v>473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485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485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2.9622000000000002</v>
      </c>
      <c r="IC49" s="1">
        <v>1.2125999999999999</v>
      </c>
      <c r="ID49" s="4" t="s">
        <v>70</v>
      </c>
      <c r="IE49" s="4" t="s">
        <v>53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845</v>
      </c>
      <c r="B50" s="1" t="s">
        <v>1010</v>
      </c>
      <c r="C50" s="1" t="s">
        <v>819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1010</v>
      </c>
      <c r="C51" s="1" t="s">
        <v>834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362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539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1010</v>
      </c>
      <c r="C52" s="1" t="s">
        <v>835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362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539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846</v>
      </c>
      <c r="B53" s="1" t="s">
        <v>1010</v>
      </c>
      <c r="C53" s="1" t="s">
        <v>819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473</v>
      </c>
      <c r="ES53" s="10" t="s">
        <v>53</v>
      </c>
      <c r="ET53" s="10" t="s">
        <v>473</v>
      </c>
      <c r="EU53" s="10" t="s">
        <v>53</v>
      </c>
      <c r="EV53" s="10" t="s">
        <v>473</v>
      </c>
      <c r="EW53" s="10" t="s">
        <v>53</v>
      </c>
      <c r="EX53" s="10" t="s">
        <v>473</v>
      </c>
      <c r="EY53" s="10" t="s">
        <v>53</v>
      </c>
      <c r="EZ53" s="10" t="s">
        <v>473</v>
      </c>
      <c r="FA53" s="10" t="s">
        <v>53</v>
      </c>
      <c r="FB53" s="10" t="s">
        <v>485</v>
      </c>
      <c r="FC53" s="10" t="s">
        <v>53</v>
      </c>
      <c r="FD53" s="10" t="s">
        <v>485</v>
      </c>
      <c r="FE53" s="10" t="s">
        <v>53</v>
      </c>
      <c r="FF53" s="10" t="s">
        <v>485</v>
      </c>
      <c r="FG53" s="10" t="s">
        <v>53</v>
      </c>
      <c r="FH53" s="10" t="s">
        <v>485</v>
      </c>
      <c r="FI53" s="10" t="s">
        <v>53</v>
      </c>
      <c r="FJ53" s="10" t="s">
        <v>485</v>
      </c>
      <c r="FK53" s="10" t="s">
        <v>53</v>
      </c>
      <c r="FL53" s="10" t="s">
        <v>485</v>
      </c>
      <c r="FM53" s="10" t="s">
        <v>53</v>
      </c>
      <c r="FN53" s="10" t="s">
        <v>485</v>
      </c>
      <c r="FO53" s="10" t="s">
        <v>53</v>
      </c>
      <c r="FP53" s="10" t="s">
        <v>485</v>
      </c>
      <c r="FQ53" s="10" t="s">
        <v>53</v>
      </c>
      <c r="FR53" s="10" t="s">
        <v>485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599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1010</v>
      </c>
      <c r="C54" s="1" t="s">
        <v>834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362</v>
      </c>
      <c r="IC54" s="1" t="s">
        <v>53</v>
      </c>
      <c r="ID54" s="10" t="s">
        <v>362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539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1010</v>
      </c>
      <c r="C55" s="1" t="s">
        <v>835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362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539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847</v>
      </c>
      <c r="B56" s="1" t="s">
        <v>1010</v>
      </c>
      <c r="C56" s="1" t="s">
        <v>819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817</v>
      </c>
      <c r="B57" s="1" t="s">
        <v>1013</v>
      </c>
      <c r="C57" s="1" t="s">
        <v>834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499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539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818</v>
      </c>
      <c r="B58" s="1" t="s">
        <v>1013</v>
      </c>
      <c r="C58" s="1" t="s">
        <v>835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500</v>
      </c>
      <c r="GQ58" s="10" t="s">
        <v>53</v>
      </c>
      <c r="GR58" s="10" t="s">
        <v>500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539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1021</v>
      </c>
      <c r="B59" s="1" t="s">
        <v>1013</v>
      </c>
      <c r="C59" s="1" t="s">
        <v>819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499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1013</v>
      </c>
      <c r="C60" s="1" t="s">
        <v>819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472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539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1013</v>
      </c>
      <c r="C61" s="1" t="s">
        <v>819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485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539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1016</v>
      </c>
      <c r="C62" s="1" t="s">
        <v>834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539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1016</v>
      </c>
      <c r="C63" s="1" t="s">
        <v>835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539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1022</v>
      </c>
      <c r="B64" s="1" t="s">
        <v>1016</v>
      </c>
      <c r="C64" s="1" t="s">
        <v>819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1023</v>
      </c>
      <c r="B65" s="1" t="s">
        <v>1016</v>
      </c>
      <c r="C65" s="1" t="s">
        <v>819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501</v>
      </c>
      <c r="GQ65" s="10" t="s">
        <v>53</v>
      </c>
      <c r="GR65" s="10" t="s">
        <v>501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539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1024</v>
      </c>
      <c r="B66" s="1" t="s">
        <v>1016</v>
      </c>
      <c r="C66" s="1" t="s">
        <v>819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539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1025</v>
      </c>
      <c r="C67" s="1" t="s">
        <v>819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539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1010</v>
      </c>
      <c r="C68" s="1" t="s">
        <v>834</v>
      </c>
      <c r="D68" s="40" cm="1">
        <f t="array" ref="D68">SUMPRODUCT((ISNUMBER(F68:NS68))*(MOD(COLUMN(F68:NS68),2)=0))</f>
        <v>71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491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0.40660000000000002</v>
      </c>
      <c r="IC68" s="1">
        <v>0.13300000000000001</v>
      </c>
      <c r="ID68" s="4" t="s">
        <v>70</v>
      </c>
      <c r="IE68" s="4" t="s">
        <v>53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536</v>
      </c>
      <c r="IS68" s="18" t="s">
        <v>53</v>
      </c>
      <c r="IT68" s="4" t="s">
        <v>539</v>
      </c>
      <c r="IU68" s="4" t="s">
        <v>53</v>
      </c>
      <c r="IV68" s="4" t="s">
        <v>539</v>
      </c>
      <c r="IW68" s="4" t="s">
        <v>53</v>
      </c>
      <c r="IX68" s="4" t="s">
        <v>539</v>
      </c>
      <c r="IY68" s="4" t="s">
        <v>53</v>
      </c>
      <c r="IZ68" s="4" t="s">
        <v>539</v>
      </c>
      <c r="JA68" s="4" t="s">
        <v>53</v>
      </c>
      <c r="JB68" s="4" t="s">
        <v>539</v>
      </c>
      <c r="JC68" s="4" t="s">
        <v>53</v>
      </c>
      <c r="JD68" s="4" t="s">
        <v>539</v>
      </c>
      <c r="JE68" s="4" t="s">
        <v>53</v>
      </c>
      <c r="JF68" s="4" t="s">
        <v>539</v>
      </c>
      <c r="JG68" s="4" t="s">
        <v>53</v>
      </c>
      <c r="JH68" s="4" t="s">
        <v>539</v>
      </c>
      <c r="JI68" s="4" t="s">
        <v>53</v>
      </c>
      <c r="JJ68" s="4" t="s">
        <v>539</v>
      </c>
      <c r="JK68" s="4" t="s">
        <v>53</v>
      </c>
      <c r="JL68" s="4" t="s">
        <v>539</v>
      </c>
      <c r="JM68" s="4" t="s">
        <v>53</v>
      </c>
      <c r="JN68" s="4" t="s">
        <v>539</v>
      </c>
      <c r="JO68" s="4" t="s">
        <v>53</v>
      </c>
      <c r="JP68" s="4" t="s">
        <v>539</v>
      </c>
      <c r="JQ68" s="4" t="s">
        <v>53</v>
      </c>
      <c r="JR68" s="4" t="s">
        <v>539</v>
      </c>
      <c r="JS68" s="4" t="s">
        <v>53</v>
      </c>
      <c r="JT68" s="4" t="s">
        <v>539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1010</v>
      </c>
      <c r="C69" s="1" t="s">
        <v>835</v>
      </c>
      <c r="D69" s="40" cm="1">
        <f t="array" ref="D69">SUMPRODUCT((ISNUMBER(F69:NS69))*(MOD(COLUMN(F69:NS69),2)=0))</f>
        <v>89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492</v>
      </c>
      <c r="ES69" s="8" t="s">
        <v>53</v>
      </c>
      <c r="ET69" s="8" t="s">
        <v>493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3.0371999999999999</v>
      </c>
      <c r="IC69" s="1">
        <v>1.0988</v>
      </c>
      <c r="ID69" s="4" t="s">
        <v>70</v>
      </c>
      <c r="IE69" s="4" t="s">
        <v>53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539</v>
      </c>
      <c r="IU69" s="4" t="s">
        <v>53</v>
      </c>
      <c r="IV69" s="4" t="s">
        <v>539</v>
      </c>
      <c r="IW69" s="4" t="s">
        <v>53</v>
      </c>
      <c r="IX69" s="4" t="s">
        <v>539</v>
      </c>
      <c r="IY69" s="4" t="s">
        <v>53</v>
      </c>
      <c r="IZ69" s="4" t="s">
        <v>539</v>
      </c>
      <c r="JA69" s="4" t="s">
        <v>53</v>
      </c>
      <c r="JB69" s="4" t="s">
        <v>539</v>
      </c>
      <c r="JC69" s="4" t="s">
        <v>53</v>
      </c>
      <c r="JD69" s="4" t="s">
        <v>539</v>
      </c>
      <c r="JE69" s="4" t="s">
        <v>53</v>
      </c>
      <c r="JF69" s="4" t="s">
        <v>539</v>
      </c>
      <c r="JG69" s="4" t="s">
        <v>53</v>
      </c>
      <c r="JH69" s="4" t="s">
        <v>539</v>
      </c>
      <c r="JI69" s="4" t="s">
        <v>53</v>
      </c>
      <c r="JJ69" s="4" t="s">
        <v>539</v>
      </c>
      <c r="JK69" s="4" t="s">
        <v>53</v>
      </c>
      <c r="JL69" s="4" t="s">
        <v>539</v>
      </c>
      <c r="JM69" s="4" t="s">
        <v>53</v>
      </c>
      <c r="JN69" s="4" t="s">
        <v>539</v>
      </c>
      <c r="JO69" s="4" t="s">
        <v>53</v>
      </c>
      <c r="JP69" s="4" t="s">
        <v>539</v>
      </c>
      <c r="JQ69" s="4" t="s">
        <v>53</v>
      </c>
      <c r="JR69" s="4" t="s">
        <v>539</v>
      </c>
      <c r="JS69" s="4" t="s">
        <v>53</v>
      </c>
      <c r="JT69" s="4" t="s">
        <v>539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603</v>
      </c>
      <c r="NQ69" s="10" t="s">
        <v>53</v>
      </c>
      <c r="NR69" s="10" t="s">
        <v>603</v>
      </c>
      <c r="NS69" s="10" t="s">
        <v>53</v>
      </c>
    </row>
    <row r="70" spans="1:383" x14ac:dyDescent="0.2">
      <c r="A70" t="s">
        <v>848</v>
      </c>
      <c r="B70" s="1" t="s">
        <v>1010</v>
      </c>
      <c r="C70" s="1" t="s">
        <v>819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536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634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1010</v>
      </c>
      <c r="C71" s="1" t="s">
        <v>835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849</v>
      </c>
      <c r="B72" s="1" t="s">
        <v>1010</v>
      </c>
      <c r="C72" s="1" t="s">
        <v>819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574</v>
      </c>
      <c r="B73" s="32" t="s">
        <v>1010</v>
      </c>
      <c r="C73" s="1" t="s">
        <v>835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1010</v>
      </c>
      <c r="C74" s="1" t="s">
        <v>834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539</v>
      </c>
      <c r="IU74" s="4" t="s">
        <v>53</v>
      </c>
      <c r="IV74" s="4" t="s">
        <v>539</v>
      </c>
      <c r="IW74" s="4" t="s">
        <v>53</v>
      </c>
      <c r="IX74" s="4" t="s">
        <v>539</v>
      </c>
      <c r="IY74" s="4" t="s">
        <v>53</v>
      </c>
      <c r="IZ74" s="4" t="s">
        <v>539</v>
      </c>
      <c r="JA74" s="4" t="s">
        <v>53</v>
      </c>
      <c r="JB74" s="4" t="s">
        <v>539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1010</v>
      </c>
      <c r="C75" s="1" t="s">
        <v>835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850</v>
      </c>
      <c r="B76" s="1" t="s">
        <v>1010</v>
      </c>
      <c r="C76" s="1" t="s">
        <v>819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362</v>
      </c>
      <c r="IG76" s="4" t="s">
        <v>53</v>
      </c>
      <c r="IH76" s="4" t="s">
        <v>362</v>
      </c>
      <c r="II76" s="4" t="s">
        <v>53</v>
      </c>
      <c r="IJ76" s="4">
        <v>0.1</v>
      </c>
      <c r="IK76" s="4" t="s">
        <v>53</v>
      </c>
      <c r="IL76" s="4" t="s">
        <v>362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634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571</v>
      </c>
      <c r="B77" s="1" t="s">
        <v>1010</v>
      </c>
      <c r="C77" s="1" t="s">
        <v>834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579</v>
      </c>
      <c r="B78" s="1" t="s">
        <v>1010</v>
      </c>
      <c r="C78" s="1" t="s">
        <v>835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851</v>
      </c>
      <c r="B79" s="1" t="s">
        <v>1010</v>
      </c>
      <c r="C79" s="1" t="s">
        <v>819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852</v>
      </c>
      <c r="B80" s="1" t="s">
        <v>1010</v>
      </c>
      <c r="C80" s="1" t="s">
        <v>819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610</v>
      </c>
      <c r="B81" s="1" t="s">
        <v>1013</v>
      </c>
      <c r="C81" s="1" t="s">
        <v>834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611</v>
      </c>
      <c r="B82" s="1" t="s">
        <v>1013</v>
      </c>
      <c r="C82" s="1" t="s">
        <v>835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612</v>
      </c>
      <c r="B83" s="1" t="s">
        <v>1010</v>
      </c>
      <c r="C83" s="1" t="s">
        <v>834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613</v>
      </c>
      <c r="B84" s="1" t="s">
        <v>1010</v>
      </c>
      <c r="C84" s="1" t="s">
        <v>835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1039</v>
      </c>
      <c r="B85" s="1" t="s">
        <v>1010</v>
      </c>
      <c r="C85" s="1" t="s">
        <v>1026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575</v>
      </c>
      <c r="B86" s="159" t="s">
        <v>1010</v>
      </c>
      <c r="C86" s="1" t="s">
        <v>835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1027</v>
      </c>
      <c r="C87" s="1" t="s">
        <v>819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474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502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539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1010</v>
      </c>
      <c r="C88" s="1" t="s">
        <v>834</v>
      </c>
      <c r="D88" s="40" cm="1">
        <f t="array" ref="D88">SUMPRODUCT((ISNUMBER(F88:NS88))*(MOD(COLUMN(F88:NS88),2)=0))</f>
        <v>16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>
        <v>7.7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362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1010</v>
      </c>
      <c r="C89" s="1" t="s">
        <v>835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499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603</v>
      </c>
      <c r="NS89" s="10" t="s">
        <v>53</v>
      </c>
    </row>
    <row r="90" spans="1:383" x14ac:dyDescent="0.2">
      <c r="A90" t="s">
        <v>855</v>
      </c>
      <c r="B90" s="1" t="s">
        <v>1010</v>
      </c>
      <c r="C90" s="1" t="s">
        <v>1026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634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1010</v>
      </c>
      <c r="C91" s="1" t="s">
        <v>834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362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1010</v>
      </c>
      <c r="C92" s="1" t="s">
        <v>835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603</v>
      </c>
      <c r="NS92" s="10" t="s">
        <v>53</v>
      </c>
    </row>
    <row r="93" spans="1:383" x14ac:dyDescent="0.2">
      <c r="A93" t="s">
        <v>856</v>
      </c>
      <c r="B93" s="1" t="s">
        <v>1010</v>
      </c>
      <c r="C93" s="1" t="s">
        <v>1026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857</v>
      </c>
      <c r="B94" s="1" t="s">
        <v>1010</v>
      </c>
      <c r="C94" s="1" t="s">
        <v>819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363</v>
      </c>
      <c r="B95" s="1" t="s">
        <v>1010</v>
      </c>
      <c r="C95" s="1" t="s">
        <v>834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570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311</v>
      </c>
      <c r="B96" s="1" t="s">
        <v>1010</v>
      </c>
      <c r="C96" s="1" t="s">
        <v>835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858</v>
      </c>
      <c r="B97" s="1" t="s">
        <v>1010</v>
      </c>
      <c r="C97" s="1" t="s">
        <v>819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1226</v>
      </c>
      <c r="B98" s="1" t="s">
        <v>1010</v>
      </c>
      <c r="C98" s="1" t="s">
        <v>819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1010</v>
      </c>
      <c r="C99" s="1" t="s">
        <v>835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860</v>
      </c>
      <c r="B100" s="1" t="s">
        <v>1010</v>
      </c>
      <c r="C100" s="1" t="s">
        <v>819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1010</v>
      </c>
      <c r="C101" s="1" t="s">
        <v>834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539</v>
      </c>
      <c r="KG101" s="4" t="s">
        <v>53</v>
      </c>
      <c r="KH101" s="4" t="s">
        <v>539</v>
      </c>
      <c r="KI101" s="4" t="s">
        <v>53</v>
      </c>
      <c r="KJ101" s="4" t="s">
        <v>539</v>
      </c>
      <c r="KK101" s="4" t="s">
        <v>53</v>
      </c>
      <c r="KL101" s="4" t="s">
        <v>539</v>
      </c>
      <c r="KM101" s="4" t="s">
        <v>53</v>
      </c>
      <c r="KN101" s="4" t="s">
        <v>539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1010</v>
      </c>
      <c r="C102" s="1" t="s">
        <v>835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861</v>
      </c>
      <c r="B103" s="1" t="s">
        <v>1010</v>
      </c>
      <c r="C103" s="1" t="s">
        <v>819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634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1010</v>
      </c>
      <c r="C104" s="1" t="s">
        <v>834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1010</v>
      </c>
      <c r="C105" s="1" t="s">
        <v>835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1028</v>
      </c>
      <c r="B106" s="1" t="s">
        <v>1010</v>
      </c>
      <c r="C106" s="1" t="s">
        <v>819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1010</v>
      </c>
      <c r="C107" s="1" t="s">
        <v>834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1010</v>
      </c>
      <c r="C108" s="1" t="s">
        <v>835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862</v>
      </c>
      <c r="B109" s="1" t="s">
        <v>1010</v>
      </c>
      <c r="C109" s="1" t="s">
        <v>819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1010</v>
      </c>
      <c r="C110" s="1" t="s">
        <v>834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1010</v>
      </c>
      <c r="C111" s="1" t="s">
        <v>835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863</v>
      </c>
      <c r="B112" s="1" t="s">
        <v>1010</v>
      </c>
      <c r="C112" s="1" t="s">
        <v>819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823</v>
      </c>
      <c r="E113" t="s">
        <v>436</v>
      </c>
      <c r="F113" s="1" t="s">
        <v>964</v>
      </c>
      <c r="G113" s="1" t="s">
        <v>964</v>
      </c>
      <c r="H113" s="1" t="s">
        <v>964</v>
      </c>
      <c r="I113" s="1" t="s">
        <v>964</v>
      </c>
      <c r="J113" s="1" t="s">
        <v>965</v>
      </c>
      <c r="K113" s="1" t="s">
        <v>965</v>
      </c>
      <c r="L113" s="1" t="s">
        <v>965</v>
      </c>
      <c r="M113" s="1" t="s">
        <v>965</v>
      </c>
      <c r="N113" s="1" t="s">
        <v>965</v>
      </c>
      <c r="O113" s="1" t="s">
        <v>965</v>
      </c>
      <c r="P113" s="1" t="s">
        <v>1219</v>
      </c>
      <c r="Q113" s="1" t="s">
        <v>1219</v>
      </c>
      <c r="R113" s="1" t="s">
        <v>1219</v>
      </c>
      <c r="S113" s="1" t="s">
        <v>1219</v>
      </c>
      <c r="T113" s="1" t="s">
        <v>1219</v>
      </c>
      <c r="U113" s="1" t="s">
        <v>1219</v>
      </c>
      <c r="V113" s="1" t="s">
        <v>1219</v>
      </c>
      <c r="W113" s="1" t="s">
        <v>1219</v>
      </c>
      <c r="X113" s="1" t="s">
        <v>1219</v>
      </c>
      <c r="Y113" s="1" t="s">
        <v>1219</v>
      </c>
      <c r="Z113" s="1" t="s">
        <v>1219</v>
      </c>
      <c r="AA113" s="1" t="s">
        <v>1219</v>
      </c>
      <c r="AB113" s="1" t="s">
        <v>1219</v>
      </c>
      <c r="AC113" s="1" t="s">
        <v>1219</v>
      </c>
      <c r="AD113" s="1" t="s">
        <v>1219</v>
      </c>
      <c r="AE113" s="1" t="s">
        <v>1219</v>
      </c>
      <c r="AF113" s="1" t="s">
        <v>1217</v>
      </c>
      <c r="AG113" s="1" t="s">
        <v>1217</v>
      </c>
      <c r="AH113" s="1" t="s">
        <v>1217</v>
      </c>
      <c r="AI113" s="1" t="s">
        <v>1217</v>
      </c>
      <c r="AJ113" s="1" t="s">
        <v>1217</v>
      </c>
      <c r="AK113" s="1" t="s">
        <v>1217</v>
      </c>
      <c r="AL113" s="1" t="s">
        <v>1217</v>
      </c>
      <c r="AM113" s="1" t="s">
        <v>1217</v>
      </c>
      <c r="AN113" s="1" t="s">
        <v>1217</v>
      </c>
      <c r="AO113" s="1" t="s">
        <v>1217</v>
      </c>
      <c r="AP113" s="1" t="s">
        <v>1217</v>
      </c>
      <c r="AQ113" s="1" t="s">
        <v>1217</v>
      </c>
      <c r="AR113" s="1" t="s">
        <v>1217</v>
      </c>
      <c r="AS113" s="1" t="s">
        <v>1217</v>
      </c>
      <c r="AT113" s="1" t="s">
        <v>1217</v>
      </c>
      <c r="AU113" s="1" t="s">
        <v>1217</v>
      </c>
      <c r="AV113" s="1" t="s">
        <v>1217</v>
      </c>
      <c r="AW113" s="1" t="s">
        <v>1217</v>
      </c>
      <c r="AX113" s="1" t="s">
        <v>1217</v>
      </c>
      <c r="AY113" s="1" t="s">
        <v>1217</v>
      </c>
      <c r="AZ113" s="1" t="s">
        <v>1217</v>
      </c>
      <c r="BA113" s="1" t="s">
        <v>1217</v>
      </c>
      <c r="BB113" s="1" t="s">
        <v>1217</v>
      </c>
      <c r="BC113" s="1" t="s">
        <v>1217</v>
      </c>
      <c r="BD113" s="1" t="s">
        <v>1217</v>
      </c>
      <c r="BE113" s="1" t="s">
        <v>1217</v>
      </c>
      <c r="BF113" s="1" t="s">
        <v>1217</v>
      </c>
      <c r="BG113" s="1" t="s">
        <v>1217</v>
      </c>
      <c r="BH113" s="1" t="s">
        <v>1217</v>
      </c>
      <c r="BI113" s="1" t="s">
        <v>1217</v>
      </c>
      <c r="BJ113" s="1" t="s">
        <v>1217</v>
      </c>
      <c r="BK113" s="1" t="s">
        <v>1217</v>
      </c>
      <c r="BL113" s="1" t="s">
        <v>1217</v>
      </c>
      <c r="BM113" s="1" t="s">
        <v>1217</v>
      </c>
      <c r="BN113" s="1" t="s">
        <v>1217</v>
      </c>
      <c r="BO113" s="1" t="s">
        <v>1217</v>
      </c>
      <c r="BP113" s="1" t="s">
        <v>1217</v>
      </c>
      <c r="BQ113" s="1" t="s">
        <v>1217</v>
      </c>
      <c r="BR113" s="1" t="s">
        <v>1216</v>
      </c>
      <c r="BS113" s="1" t="s">
        <v>1216</v>
      </c>
      <c r="BT113" s="1" t="s">
        <v>1216</v>
      </c>
      <c r="BU113" s="1" t="s">
        <v>1216</v>
      </c>
      <c r="BV113" s="1" t="s">
        <v>1216</v>
      </c>
      <c r="BW113" s="1" t="s">
        <v>1216</v>
      </c>
      <c r="BX113" s="1" t="s">
        <v>1216</v>
      </c>
      <c r="BY113" s="1" t="s">
        <v>1216</v>
      </c>
      <c r="BZ113" s="4" t="s">
        <v>1198</v>
      </c>
      <c r="CA113" s="4" t="s">
        <v>1198</v>
      </c>
      <c r="CB113" s="4" t="s">
        <v>1198</v>
      </c>
      <c r="CC113" s="4" t="s">
        <v>1198</v>
      </c>
      <c r="CD113" s="4" t="s">
        <v>1198</v>
      </c>
      <c r="CE113" s="4" t="s">
        <v>1198</v>
      </c>
      <c r="CF113" s="4" t="s">
        <v>1198</v>
      </c>
      <c r="CG113" s="4" t="s">
        <v>1198</v>
      </c>
      <c r="CH113" s="4" t="s">
        <v>1198</v>
      </c>
      <c r="CI113" s="4" t="s">
        <v>1198</v>
      </c>
      <c r="CJ113" s="4" t="s">
        <v>1198</v>
      </c>
      <c r="CK113" s="4" t="s">
        <v>1198</v>
      </c>
      <c r="CL113" s="4" t="s">
        <v>1215</v>
      </c>
      <c r="CM113" s="4" t="s">
        <v>1215</v>
      </c>
      <c r="CN113" s="4" t="s">
        <v>1215</v>
      </c>
      <c r="CO113" s="4" t="s">
        <v>1215</v>
      </c>
      <c r="CP113" s="4" t="s">
        <v>1215</v>
      </c>
      <c r="CQ113" s="4" t="s">
        <v>1215</v>
      </c>
      <c r="CR113" s="4" t="s">
        <v>1215</v>
      </c>
      <c r="CS113" s="4" t="s">
        <v>1215</v>
      </c>
      <c r="CT113" s="4" t="s">
        <v>1215</v>
      </c>
      <c r="CU113" s="4" t="s">
        <v>1215</v>
      </c>
      <c r="CV113" s="4" t="s">
        <v>1215</v>
      </c>
      <c r="CW113" s="4" t="s">
        <v>1215</v>
      </c>
      <c r="CX113" s="4" t="s">
        <v>1210</v>
      </c>
      <c r="CY113" s="4" t="s">
        <v>1210</v>
      </c>
      <c r="CZ113" s="4" t="s">
        <v>1210</v>
      </c>
      <c r="DA113" s="4" t="s">
        <v>1210</v>
      </c>
      <c r="DB113" s="4" t="s">
        <v>1210</v>
      </c>
      <c r="DC113" s="4" t="s">
        <v>1210</v>
      </c>
      <c r="DD113" s="4" t="s">
        <v>1210</v>
      </c>
      <c r="DE113" s="4" t="s">
        <v>1210</v>
      </c>
      <c r="DF113" s="4" t="s">
        <v>1210</v>
      </c>
      <c r="DG113" s="4" t="s">
        <v>1210</v>
      </c>
      <c r="DH113" s="10" t="s">
        <v>1214</v>
      </c>
      <c r="DI113" s="10" t="s">
        <v>1214</v>
      </c>
      <c r="DJ113" s="10" t="s">
        <v>1214</v>
      </c>
      <c r="DK113" s="10" t="s">
        <v>1214</v>
      </c>
      <c r="DL113" s="10" t="s">
        <v>1214</v>
      </c>
      <c r="DM113" s="10" t="s">
        <v>1214</v>
      </c>
      <c r="DN113" s="10" t="s">
        <v>1213</v>
      </c>
      <c r="DO113" s="10" t="s">
        <v>1213</v>
      </c>
      <c r="DP113" s="10" t="s">
        <v>1213</v>
      </c>
      <c r="DQ113" s="10" t="s">
        <v>1213</v>
      </c>
      <c r="DR113" s="10" t="s">
        <v>1213</v>
      </c>
      <c r="DS113" s="10" t="s">
        <v>1213</v>
      </c>
      <c r="DT113" s="10" t="s">
        <v>1212</v>
      </c>
      <c r="DU113" s="10" t="s">
        <v>1212</v>
      </c>
      <c r="DV113" s="10" t="s">
        <v>1212</v>
      </c>
      <c r="DW113" s="10" t="s">
        <v>1212</v>
      </c>
      <c r="DX113" s="10" t="s">
        <v>1212</v>
      </c>
      <c r="DY113" s="10" t="s">
        <v>1212</v>
      </c>
      <c r="DZ113" s="10" t="s">
        <v>1212</v>
      </c>
      <c r="EA113" s="10" t="s">
        <v>1212</v>
      </c>
      <c r="EB113" s="10" t="s">
        <v>1212</v>
      </c>
      <c r="EC113" s="10" t="s">
        <v>1212</v>
      </c>
      <c r="ED113" s="10" t="s">
        <v>1212</v>
      </c>
      <c r="EE113" s="10" t="s">
        <v>1212</v>
      </c>
      <c r="EF113" s="10" t="s">
        <v>1212</v>
      </c>
      <c r="EG113" s="10" t="s">
        <v>1212</v>
      </c>
      <c r="EH113" s="10" t="s">
        <v>1211</v>
      </c>
      <c r="EI113" s="10" t="s">
        <v>1211</v>
      </c>
      <c r="EJ113" s="10" t="s">
        <v>1211</v>
      </c>
      <c r="EK113" s="10" t="s">
        <v>1211</v>
      </c>
      <c r="EL113" s="10" t="s">
        <v>1211</v>
      </c>
      <c r="EM113" s="10" t="s">
        <v>1211</v>
      </c>
      <c r="EN113" s="10" t="s">
        <v>1210</v>
      </c>
      <c r="EO113" s="10" t="s">
        <v>1210</v>
      </c>
      <c r="EP113" s="10" t="s">
        <v>1210</v>
      </c>
      <c r="EQ113" s="10" t="s">
        <v>1210</v>
      </c>
      <c r="ER113" s="10" t="s">
        <v>1209</v>
      </c>
      <c r="ES113" s="10" t="s">
        <v>1209</v>
      </c>
      <c r="ET113" s="10" t="s">
        <v>1209</v>
      </c>
      <c r="EU113" s="10" t="s">
        <v>1209</v>
      </c>
      <c r="EV113" s="10" t="s">
        <v>1209</v>
      </c>
      <c r="EW113" s="10" t="s">
        <v>1209</v>
      </c>
      <c r="EX113" s="10" t="s">
        <v>1209</v>
      </c>
      <c r="EY113" s="10" t="s">
        <v>1209</v>
      </c>
      <c r="EZ113" s="10" t="s">
        <v>1209</v>
      </c>
      <c r="FA113" s="10" t="s">
        <v>1209</v>
      </c>
      <c r="FB113" s="10" t="s">
        <v>1209</v>
      </c>
      <c r="FC113" s="10" t="s">
        <v>1209</v>
      </c>
      <c r="FD113" s="10" t="s">
        <v>1209</v>
      </c>
      <c r="FE113" s="10" t="s">
        <v>1209</v>
      </c>
      <c r="FF113" s="10" t="s">
        <v>1209</v>
      </c>
      <c r="FG113" s="10" t="s">
        <v>1209</v>
      </c>
      <c r="FH113" s="10" t="s">
        <v>1209</v>
      </c>
      <c r="FI113" s="10" t="s">
        <v>1209</v>
      </c>
      <c r="FJ113" s="10" t="s">
        <v>1209</v>
      </c>
      <c r="FK113" s="10" t="s">
        <v>1209</v>
      </c>
      <c r="FL113" s="10" t="s">
        <v>1209</v>
      </c>
      <c r="FM113" s="10" t="s">
        <v>1209</v>
      </c>
      <c r="FN113" s="10" t="s">
        <v>1209</v>
      </c>
      <c r="FO113" s="10" t="s">
        <v>1209</v>
      </c>
      <c r="FP113" s="10" t="s">
        <v>1209</v>
      </c>
      <c r="FQ113" s="10" t="s">
        <v>1209</v>
      </c>
      <c r="FR113" s="10" t="s">
        <v>1209</v>
      </c>
      <c r="FS113" s="10" t="s">
        <v>1209</v>
      </c>
      <c r="FT113" s="10" t="s">
        <v>1209</v>
      </c>
      <c r="FU113" s="10" t="s">
        <v>1209</v>
      </c>
      <c r="FV113" s="10" t="s">
        <v>1209</v>
      </c>
      <c r="FW113" s="10" t="s">
        <v>1209</v>
      </c>
      <c r="FX113" s="10" t="s">
        <v>1209</v>
      </c>
      <c r="FY113" s="10" t="s">
        <v>1209</v>
      </c>
      <c r="FZ113" s="10" t="s">
        <v>1209</v>
      </c>
      <c r="GA113" s="10" t="s">
        <v>1209</v>
      </c>
      <c r="GB113" s="10" t="s">
        <v>1209</v>
      </c>
      <c r="GC113" s="10" t="s">
        <v>1209</v>
      </c>
      <c r="GD113" s="10" t="s">
        <v>1209</v>
      </c>
      <c r="GE113" s="10" t="s">
        <v>1209</v>
      </c>
      <c r="GF113" s="10" t="s">
        <v>1209</v>
      </c>
      <c r="GG113" s="10" t="s">
        <v>1209</v>
      </c>
      <c r="GH113" s="10" t="s">
        <v>1209</v>
      </c>
      <c r="GI113" s="10" t="s">
        <v>1209</v>
      </c>
      <c r="GJ113" s="10" t="s">
        <v>1209</v>
      </c>
      <c r="GK113" s="10" t="s">
        <v>1209</v>
      </c>
      <c r="GL113" s="10" t="s">
        <v>1209</v>
      </c>
      <c r="GM113" s="10" t="s">
        <v>1209</v>
      </c>
      <c r="GN113" s="10" t="s">
        <v>1209</v>
      </c>
      <c r="GO113" s="10" t="s">
        <v>1209</v>
      </c>
      <c r="GP113" s="10" t="s">
        <v>1208</v>
      </c>
      <c r="GQ113" s="10" t="s">
        <v>1208</v>
      </c>
      <c r="GR113" s="10" t="s">
        <v>1208</v>
      </c>
      <c r="GS113" s="10" t="s">
        <v>1208</v>
      </c>
      <c r="GT113" s="10" t="s">
        <v>1224</v>
      </c>
      <c r="GU113" s="10" t="s">
        <v>1224</v>
      </c>
      <c r="GV113" s="10" t="s">
        <v>966</v>
      </c>
      <c r="GW113" s="10" t="s">
        <v>966</v>
      </c>
      <c r="GX113" s="10" t="s">
        <v>1207</v>
      </c>
      <c r="GY113" s="10" t="s">
        <v>1207</v>
      </c>
      <c r="GZ113" s="10" t="s">
        <v>1207</v>
      </c>
      <c r="HA113" s="10" t="s">
        <v>1207</v>
      </c>
      <c r="HB113" s="10" t="s">
        <v>1207</v>
      </c>
      <c r="HC113" s="10" t="s">
        <v>1207</v>
      </c>
      <c r="HD113" s="10" t="s">
        <v>1207</v>
      </c>
      <c r="HE113" s="10" t="s">
        <v>1207</v>
      </c>
      <c r="HF113" s="10" t="s">
        <v>1207</v>
      </c>
      <c r="HG113" s="10" t="s">
        <v>1207</v>
      </c>
      <c r="HH113" s="10" t="s">
        <v>1207</v>
      </c>
      <c r="HI113" s="10" t="s">
        <v>1207</v>
      </c>
      <c r="HJ113" s="10" t="s">
        <v>1207</v>
      </c>
      <c r="HK113" s="10" t="s">
        <v>1207</v>
      </c>
      <c r="HL113" s="10" t="s">
        <v>1207</v>
      </c>
      <c r="HM113" s="10" t="s">
        <v>1207</v>
      </c>
      <c r="HN113" s="10" t="s">
        <v>1207</v>
      </c>
      <c r="HO113" s="10" t="s">
        <v>1207</v>
      </c>
      <c r="HP113" s="10" t="s">
        <v>1207</v>
      </c>
      <c r="HQ113" s="10" t="s">
        <v>1207</v>
      </c>
      <c r="HR113" s="10" t="s">
        <v>1207</v>
      </c>
      <c r="HS113" s="10" t="s">
        <v>1207</v>
      </c>
      <c r="HT113" s="10" t="s">
        <v>1207</v>
      </c>
      <c r="HU113" s="10" t="s">
        <v>1207</v>
      </c>
      <c r="HV113" s="10" t="s">
        <v>1207</v>
      </c>
      <c r="HW113" s="10" t="s">
        <v>1207</v>
      </c>
      <c r="HX113" s="10" t="s">
        <v>1207</v>
      </c>
      <c r="HY113" s="10" t="s">
        <v>1207</v>
      </c>
      <c r="HZ113" s="10" t="s">
        <v>1207</v>
      </c>
      <c r="IA113" s="10" t="s">
        <v>1207</v>
      </c>
      <c r="IB113" s="10" t="s">
        <v>1207</v>
      </c>
      <c r="IC113" s="10" t="s">
        <v>1207</v>
      </c>
      <c r="ID113" s="10" t="s">
        <v>1207</v>
      </c>
      <c r="IE113" s="10" t="s">
        <v>1207</v>
      </c>
      <c r="IF113" s="10" t="s">
        <v>1207</v>
      </c>
      <c r="IG113" s="10" t="s">
        <v>1207</v>
      </c>
      <c r="IH113" s="10" t="s">
        <v>1207</v>
      </c>
      <c r="II113" s="10" t="s">
        <v>1207</v>
      </c>
      <c r="IJ113" s="10" t="s">
        <v>1207</v>
      </c>
      <c r="IK113" s="10" t="s">
        <v>1207</v>
      </c>
      <c r="IL113" s="10" t="s">
        <v>1207</v>
      </c>
      <c r="IM113" s="10" t="s">
        <v>1207</v>
      </c>
      <c r="IN113" s="10" t="s">
        <v>1207</v>
      </c>
      <c r="IO113" s="10" t="s">
        <v>1207</v>
      </c>
      <c r="IP113" s="10" t="s">
        <v>1207</v>
      </c>
      <c r="IQ113" s="10" t="s">
        <v>1207</v>
      </c>
      <c r="IR113" s="10" t="s">
        <v>1207</v>
      </c>
      <c r="IS113" s="18" t="s">
        <v>1206</v>
      </c>
      <c r="IT113" s="18" t="s">
        <v>1206</v>
      </c>
      <c r="IU113" s="18" t="s">
        <v>1206</v>
      </c>
      <c r="IV113" s="18" t="s">
        <v>377</v>
      </c>
      <c r="IW113" s="18" t="s">
        <v>377</v>
      </c>
      <c r="IX113" s="18" t="s">
        <v>377</v>
      </c>
      <c r="IY113" s="18" t="s">
        <v>377</v>
      </c>
      <c r="IZ113" s="18" t="s">
        <v>377</v>
      </c>
      <c r="JA113" s="18" t="s">
        <v>377</v>
      </c>
      <c r="JB113" s="18" t="s">
        <v>377</v>
      </c>
      <c r="JC113" s="18" t="s">
        <v>377</v>
      </c>
      <c r="JD113" s="18" t="s">
        <v>377</v>
      </c>
      <c r="JE113" s="18" t="s">
        <v>377</v>
      </c>
      <c r="JF113" s="18" t="s">
        <v>377</v>
      </c>
      <c r="JG113" s="18" t="s">
        <v>377</v>
      </c>
      <c r="JH113" s="18" t="s">
        <v>377</v>
      </c>
      <c r="JI113" s="18" t="s">
        <v>377</v>
      </c>
      <c r="JJ113" s="18" t="s">
        <v>377</v>
      </c>
      <c r="JK113" s="18" t="s">
        <v>377</v>
      </c>
      <c r="JL113" s="18" t="s">
        <v>377</v>
      </c>
      <c r="JM113" s="18" t="s">
        <v>377</v>
      </c>
      <c r="JN113" s="18" t="s">
        <v>377</v>
      </c>
      <c r="JO113" s="18" t="s">
        <v>377</v>
      </c>
      <c r="JP113" s="18" t="s">
        <v>377</v>
      </c>
      <c r="JQ113" s="18" t="s">
        <v>377</v>
      </c>
      <c r="JR113" s="18" t="s">
        <v>377</v>
      </c>
      <c r="JS113" s="18" t="s">
        <v>377</v>
      </c>
      <c r="JT113" s="18" t="s">
        <v>377</v>
      </c>
      <c r="JU113" s="18" t="s">
        <v>377</v>
      </c>
      <c r="JV113" s="36" t="s">
        <v>412</v>
      </c>
      <c r="JW113" s="36" t="s">
        <v>412</v>
      </c>
      <c r="JX113" s="36" t="s">
        <v>412</v>
      </c>
      <c r="JY113" s="36" t="s">
        <v>412</v>
      </c>
      <c r="JZ113" s="36" t="s">
        <v>381</v>
      </c>
      <c r="KA113" s="36" t="s">
        <v>381</v>
      </c>
      <c r="KB113" s="36" t="s">
        <v>413</v>
      </c>
      <c r="KC113" s="36" t="s">
        <v>413</v>
      </c>
      <c r="KD113" s="36" t="s">
        <v>413</v>
      </c>
      <c r="KE113" s="36" t="s">
        <v>413</v>
      </c>
      <c r="KF113" s="36" t="s">
        <v>372</v>
      </c>
      <c r="KG113" s="36" t="s">
        <v>372</v>
      </c>
      <c r="KH113" s="36" t="s">
        <v>372</v>
      </c>
      <c r="KI113" s="36" t="s">
        <v>372</v>
      </c>
      <c r="KJ113" s="36" t="s">
        <v>557</v>
      </c>
      <c r="KK113" s="36" t="s">
        <v>557</v>
      </c>
      <c r="KL113" s="36" t="s">
        <v>1205</v>
      </c>
      <c r="KM113" s="36" t="s">
        <v>1205</v>
      </c>
      <c r="KN113" s="36" t="s">
        <v>559</v>
      </c>
      <c r="KO113" s="36" t="s">
        <v>559</v>
      </c>
      <c r="KP113" s="17" t="s">
        <v>619</v>
      </c>
      <c r="KQ113" s="17" t="s">
        <v>619</v>
      </c>
      <c r="KR113" s="17" t="s">
        <v>619</v>
      </c>
      <c r="KS113" s="17" t="s">
        <v>619</v>
      </c>
      <c r="KT113" s="17" t="s">
        <v>619</v>
      </c>
      <c r="KU113" s="17" t="s">
        <v>619</v>
      </c>
      <c r="KV113" s="17" t="s">
        <v>619</v>
      </c>
      <c r="KW113" s="17" t="s">
        <v>619</v>
      </c>
      <c r="KX113" s="17" t="s">
        <v>619</v>
      </c>
      <c r="KY113" s="17" t="s">
        <v>619</v>
      </c>
      <c r="KZ113" s="17" t="s">
        <v>619</v>
      </c>
      <c r="LA113" s="17" t="s">
        <v>619</v>
      </c>
      <c r="LB113" s="17" t="s">
        <v>619</v>
      </c>
      <c r="LC113" s="17" t="s">
        <v>619</v>
      </c>
      <c r="LD113" s="17" t="s">
        <v>619</v>
      </c>
      <c r="LE113" s="17" t="s">
        <v>619</v>
      </c>
      <c r="LF113" s="17" t="s">
        <v>619</v>
      </c>
      <c r="LG113" s="17" t="s">
        <v>619</v>
      </c>
      <c r="LH113" s="17" t="s">
        <v>619</v>
      </c>
      <c r="LI113" s="17" t="s">
        <v>619</v>
      </c>
      <c r="LJ113" s="17" t="s">
        <v>619</v>
      </c>
      <c r="LK113" s="17" t="s">
        <v>619</v>
      </c>
      <c r="LL113" s="17" t="s">
        <v>619</v>
      </c>
      <c r="LM113" s="17" t="s">
        <v>619</v>
      </c>
      <c r="LN113" s="17" t="s">
        <v>619</v>
      </c>
      <c r="LO113" s="17" t="s">
        <v>619</v>
      </c>
      <c r="LP113" s="17" t="s">
        <v>619</v>
      </c>
      <c r="LQ113" s="17" t="s">
        <v>619</v>
      </c>
      <c r="LR113" s="17" t="s">
        <v>619</v>
      </c>
      <c r="LS113" s="17" t="s">
        <v>619</v>
      </c>
      <c r="LT113" s="17" t="s">
        <v>673</v>
      </c>
      <c r="LU113" s="17" t="s">
        <v>673</v>
      </c>
      <c r="LV113" s="17" t="s">
        <v>673</v>
      </c>
      <c r="LW113" s="17" t="s">
        <v>673</v>
      </c>
      <c r="LX113" s="17" t="s">
        <v>673</v>
      </c>
      <c r="LY113" s="17" t="s">
        <v>673</v>
      </c>
      <c r="LZ113" s="17" t="s">
        <v>673</v>
      </c>
      <c r="MA113" s="17" t="s">
        <v>673</v>
      </c>
      <c r="MB113" s="4" t="s">
        <v>620</v>
      </c>
      <c r="MC113" s="4" t="s">
        <v>620</v>
      </c>
      <c r="MD113" s="4" t="s">
        <v>620</v>
      </c>
      <c r="ME113" s="4" t="s">
        <v>620</v>
      </c>
      <c r="MF113" s="4" t="s">
        <v>620</v>
      </c>
      <c r="MG113" s="4" t="s">
        <v>620</v>
      </c>
      <c r="MH113" s="4" t="s">
        <v>620</v>
      </c>
      <c r="MI113" s="4" t="s">
        <v>620</v>
      </c>
      <c r="MJ113" s="4" t="s">
        <v>620</v>
      </c>
      <c r="MK113" s="4" t="s">
        <v>620</v>
      </c>
      <c r="ML113" s="4" t="s">
        <v>620</v>
      </c>
      <c r="MM113" s="4" t="s">
        <v>620</v>
      </c>
      <c r="MN113" s="4" t="s">
        <v>620</v>
      </c>
      <c r="MO113" s="4" t="s">
        <v>620</v>
      </c>
      <c r="MP113" s="4" t="s">
        <v>620</v>
      </c>
      <c r="MQ113" s="4" t="s">
        <v>620</v>
      </c>
      <c r="MR113" s="4" t="s">
        <v>620</v>
      </c>
      <c r="MS113" s="4" t="s">
        <v>620</v>
      </c>
      <c r="MT113" s="4" t="s">
        <v>620</v>
      </c>
      <c r="MU113" s="4" t="s">
        <v>620</v>
      </c>
      <c r="MV113" s="4" t="s">
        <v>620</v>
      </c>
      <c r="MW113" s="4" t="s">
        <v>620</v>
      </c>
      <c r="MX113" s="4" t="s">
        <v>620</v>
      </c>
      <c r="MY113" s="4" t="s">
        <v>620</v>
      </c>
      <c r="MZ113" s="4" t="s">
        <v>620</v>
      </c>
      <c r="NA113" s="4" t="s">
        <v>620</v>
      </c>
      <c r="NB113" s="4" t="s">
        <v>620</v>
      </c>
      <c r="NC113" s="4" t="s">
        <v>620</v>
      </c>
      <c r="ND113" s="4" t="s">
        <v>620</v>
      </c>
      <c r="NE113" s="4" t="s">
        <v>620</v>
      </c>
      <c r="NF113" s="4" t="s">
        <v>620</v>
      </c>
      <c r="NG113" s="4" t="s">
        <v>620</v>
      </c>
      <c r="NH113" s="4" t="s">
        <v>620</v>
      </c>
      <c r="NI113" s="4" t="s">
        <v>620</v>
      </c>
      <c r="NJ113" s="4" t="s">
        <v>620</v>
      </c>
      <c r="NK113" s="4" t="s">
        <v>620</v>
      </c>
      <c r="NL113" s="4" t="s">
        <v>620</v>
      </c>
      <c r="NM113" s="4" t="s">
        <v>620</v>
      </c>
      <c r="NN113" s="4" t="s">
        <v>637</v>
      </c>
      <c r="NO113" s="4" t="s">
        <v>637</v>
      </c>
      <c r="NP113" s="10" t="s">
        <v>971</v>
      </c>
      <c r="NQ113" s="10" t="s">
        <v>971</v>
      </c>
      <c r="NR113" s="10" t="s">
        <v>971</v>
      </c>
      <c r="NS113" s="10" t="s">
        <v>971</v>
      </c>
    </row>
    <row r="114" spans="1:383" x14ac:dyDescent="0.2">
      <c r="A114" t="s">
        <v>824</v>
      </c>
      <c r="E114" t="s">
        <v>825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1220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19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7</v>
      </c>
      <c r="IE115" s="1">
        <f t="shared" si="3"/>
        <v>7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101" zoomScale="110" zoomScaleNormal="400" workbookViewId="0">
      <pane xSplit="1" topLeftCell="M1" activePane="topRight" state="frozen"/>
      <selection pane="topRight" activeCell="M93" sqref="M93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820</v>
      </c>
      <c r="B3" s="31" t="s">
        <v>828</v>
      </c>
      <c r="C3" s="41" t="s">
        <v>1007</v>
      </c>
      <c r="D3" s="31" t="s">
        <v>864</v>
      </c>
      <c r="E3" s="31" t="s">
        <v>972</v>
      </c>
      <c r="F3" s="31" t="s">
        <v>821</v>
      </c>
      <c r="G3" s="31" t="s">
        <v>822</v>
      </c>
      <c r="H3" s="31" t="s">
        <v>960</v>
      </c>
      <c r="I3" s="31" t="s">
        <v>961</v>
      </c>
      <c r="J3" s="31" t="s">
        <v>962</v>
      </c>
      <c r="K3" s="31" t="s">
        <v>963</v>
      </c>
      <c r="L3" s="55" t="s">
        <v>1510</v>
      </c>
      <c r="M3" s="55" t="s">
        <v>1511</v>
      </c>
      <c r="N3" s="31" t="s">
        <v>959</v>
      </c>
      <c r="O3" s="53" t="s">
        <v>1512</v>
      </c>
      <c r="P3" s="31" t="s">
        <v>1513</v>
      </c>
      <c r="Q3" s="31" t="s">
        <v>1427</v>
      </c>
      <c r="R3" s="31" t="s">
        <v>1492</v>
      </c>
    </row>
    <row r="4" spans="1:18" x14ac:dyDescent="0.2">
      <c r="A4" t="s">
        <v>1</v>
      </c>
      <c r="B4" s="1" t="s">
        <v>831</v>
      </c>
      <c r="C4" s="42" t="s">
        <v>831</v>
      </c>
      <c r="D4" s="1">
        <v>750</v>
      </c>
      <c r="E4" s="29" t="s">
        <v>695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683</v>
      </c>
      <c r="B5" s="1" t="s">
        <v>872</v>
      </c>
      <c r="D5" s="1">
        <v>1123</v>
      </c>
      <c r="E5" s="29" t="s">
        <v>696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1011</v>
      </c>
      <c r="B6" s="1" t="s">
        <v>875</v>
      </c>
      <c r="C6" s="42"/>
      <c r="D6" s="1">
        <v>71080</v>
      </c>
      <c r="E6" s="1" t="s">
        <v>697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1012</v>
      </c>
      <c r="B7" s="1" t="s">
        <v>876</v>
      </c>
      <c r="C7" s="42" t="s">
        <v>968</v>
      </c>
      <c r="D7" s="1">
        <v>5950</v>
      </c>
      <c r="E7" s="1" t="s">
        <v>698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833</v>
      </c>
      <c r="B8" s="1" t="s">
        <v>968</v>
      </c>
      <c r="C8" s="42"/>
      <c r="D8" s="1">
        <v>602</v>
      </c>
      <c r="E8" s="1" t="s">
        <v>786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873</v>
      </c>
      <c r="C9" s="42"/>
      <c r="D9" s="1">
        <v>239</v>
      </c>
      <c r="E9" s="29" t="s">
        <v>699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602</v>
      </c>
      <c r="B10" s="1" t="s">
        <v>874</v>
      </c>
      <c r="C10" s="42"/>
      <c r="D10" s="1">
        <v>1088</v>
      </c>
      <c r="E10" s="29" t="s">
        <v>700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877</v>
      </c>
      <c r="C11" s="42"/>
      <c r="D11" s="1">
        <v>71077</v>
      </c>
      <c r="E11" s="1" t="s">
        <v>701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878</v>
      </c>
      <c r="C12" s="42" t="s">
        <v>994</v>
      </c>
      <c r="D12" s="1">
        <v>5951</v>
      </c>
      <c r="E12" s="1" t="s">
        <v>702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838</v>
      </c>
      <c r="B13" s="1" t="s">
        <v>994</v>
      </c>
      <c r="C13" s="42"/>
      <c r="D13" s="1">
        <v>617</v>
      </c>
      <c r="E13" s="1" t="s">
        <v>787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879</v>
      </c>
      <c r="C14" s="42"/>
      <c r="D14" s="1">
        <v>92851</v>
      </c>
      <c r="E14" s="1" t="s">
        <v>703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880</v>
      </c>
      <c r="C15" s="44" t="s">
        <v>995</v>
      </c>
      <c r="D15" s="1">
        <v>5862</v>
      </c>
      <c r="E15" s="1" t="s">
        <v>704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839</v>
      </c>
      <c r="B16" s="34" t="s">
        <v>995</v>
      </c>
      <c r="C16" s="44"/>
      <c r="D16" s="1">
        <v>594</v>
      </c>
      <c r="E16" s="1" t="s">
        <v>788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1112</v>
      </c>
      <c r="C17" s="42"/>
      <c r="D17" s="1">
        <v>83887</v>
      </c>
      <c r="E17" s="1" t="s">
        <v>705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1113</v>
      </c>
      <c r="C18" s="42" t="s">
        <v>834</v>
      </c>
      <c r="D18" s="1">
        <v>5960</v>
      </c>
      <c r="E18" s="1" t="s">
        <v>706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840</v>
      </c>
      <c r="B19" s="1" t="s">
        <v>834</v>
      </c>
      <c r="C19" s="42"/>
      <c r="D19" s="1">
        <v>424</v>
      </c>
      <c r="E19" s="1" t="s">
        <v>789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881</v>
      </c>
      <c r="C20" s="42"/>
      <c r="D20" s="1">
        <v>69435</v>
      </c>
      <c r="E20" s="1" t="s">
        <v>707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882</v>
      </c>
      <c r="C21" s="44" t="s">
        <v>967</v>
      </c>
      <c r="D21" s="1">
        <v>6288</v>
      </c>
      <c r="E21" s="1" t="s">
        <v>708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841</v>
      </c>
      <c r="B22" s="1" t="s">
        <v>967</v>
      </c>
      <c r="C22" s="44"/>
      <c r="D22" s="1">
        <v>205</v>
      </c>
      <c r="E22" s="1" t="s">
        <v>785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842</v>
      </c>
      <c r="B23" s="1" t="s">
        <v>883</v>
      </c>
      <c r="C23" s="42"/>
      <c r="D23" s="1">
        <v>12647</v>
      </c>
      <c r="E23" s="29" t="s">
        <v>771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606</v>
      </c>
      <c r="B24" s="1" t="s">
        <v>884</v>
      </c>
      <c r="C24" s="42"/>
      <c r="D24" s="1">
        <v>90624</v>
      </c>
      <c r="E24" s="1" t="s">
        <v>763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607</v>
      </c>
      <c r="B25" s="1" t="s">
        <v>885</v>
      </c>
      <c r="C25" s="42"/>
      <c r="D25" s="1">
        <v>99289</v>
      </c>
      <c r="E25" s="1" t="s">
        <v>762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886</v>
      </c>
      <c r="C26" s="42"/>
      <c r="D26" s="1">
        <v>439691</v>
      </c>
      <c r="E26" s="1" t="s">
        <v>764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887</v>
      </c>
      <c r="C27" s="42"/>
      <c r="D27" s="1">
        <v>80283</v>
      </c>
      <c r="E27" s="1" t="s">
        <v>709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1014</v>
      </c>
      <c r="B28" s="1" t="s">
        <v>1031</v>
      </c>
      <c r="C28" s="42"/>
      <c r="D28" s="1">
        <v>6657</v>
      </c>
      <c r="E28" s="1" t="s">
        <v>791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888</v>
      </c>
      <c r="C29" s="42"/>
      <c r="D29" s="1">
        <v>5706670</v>
      </c>
      <c r="E29" s="1" t="s">
        <v>765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889</v>
      </c>
      <c r="C30" s="42"/>
      <c r="D30" s="1">
        <v>5706671</v>
      </c>
      <c r="E30" s="1" t="s">
        <v>766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1015</v>
      </c>
      <c r="B31" s="1" t="s">
        <v>1032</v>
      </c>
      <c r="C31" s="42"/>
      <c r="D31" s="1">
        <v>10932</v>
      </c>
      <c r="E31" s="1" t="s">
        <v>812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890</v>
      </c>
      <c r="C32" s="42"/>
      <c r="D32" s="1">
        <v>119</v>
      </c>
      <c r="E32" s="29" t="s">
        <v>790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892</v>
      </c>
      <c r="C33" s="38"/>
      <c r="D33" s="1">
        <v>6119</v>
      </c>
      <c r="E33" s="29" t="s">
        <v>811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497</v>
      </c>
      <c r="B34" s="1" t="s">
        <v>893</v>
      </c>
      <c r="C34" s="38"/>
      <c r="D34" s="1">
        <v>439433</v>
      </c>
      <c r="E34" s="1" t="s">
        <v>767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498</v>
      </c>
      <c r="B35" s="1" t="s">
        <v>894</v>
      </c>
      <c r="C35" s="38"/>
      <c r="D35" s="1">
        <v>439434</v>
      </c>
      <c r="E35" s="1" t="s">
        <v>768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1017</v>
      </c>
      <c r="B36" s="1" t="s">
        <v>1033</v>
      </c>
      <c r="C36" s="38"/>
      <c r="D36" s="1">
        <v>64956</v>
      </c>
      <c r="E36" s="1" t="s">
        <v>813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578</v>
      </c>
      <c r="B37" s="1" t="s">
        <v>895</v>
      </c>
      <c r="C37" s="38"/>
      <c r="D37" s="1">
        <v>535</v>
      </c>
      <c r="E37" s="29" t="s">
        <v>710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1018</v>
      </c>
      <c r="B38" s="1" t="s">
        <v>917</v>
      </c>
      <c r="C38" s="38"/>
      <c r="D38" s="1">
        <v>26062</v>
      </c>
      <c r="E38" s="29" t="s">
        <v>711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608</v>
      </c>
      <c r="B39" s="1" t="s">
        <v>916</v>
      </c>
      <c r="C39" s="38"/>
      <c r="D39" s="1">
        <v>2733883</v>
      </c>
      <c r="E39" s="1" t="s">
        <v>769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609</v>
      </c>
      <c r="B40" s="1" t="s">
        <v>915</v>
      </c>
      <c r="C40" s="38"/>
      <c r="D40" s="1">
        <v>6971281</v>
      </c>
      <c r="E40" s="1" t="s">
        <v>770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869</v>
      </c>
      <c r="B41" s="1" t="s">
        <v>896</v>
      </c>
      <c r="C41" s="38"/>
      <c r="D41" s="1">
        <v>7009640</v>
      </c>
      <c r="E41" s="1" t="s">
        <v>712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604</v>
      </c>
      <c r="B42" s="1" t="s">
        <v>897</v>
      </c>
      <c r="C42" s="38"/>
      <c r="D42" s="1">
        <v>2724170</v>
      </c>
      <c r="E42" s="1" t="s">
        <v>713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605</v>
      </c>
      <c r="B43" s="1" t="s">
        <v>898</v>
      </c>
      <c r="C43" s="38"/>
      <c r="D43" s="1">
        <v>12647</v>
      </c>
      <c r="E43" s="1" t="s">
        <v>714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1019</v>
      </c>
      <c r="B44" s="1" t="s">
        <v>899</v>
      </c>
      <c r="C44" s="38"/>
      <c r="D44" s="1">
        <v>1502076</v>
      </c>
      <c r="E44" s="29" t="s">
        <v>772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614</v>
      </c>
      <c r="B45" s="1" t="s">
        <v>914</v>
      </c>
      <c r="C45" s="38"/>
      <c r="D45" s="1">
        <v>23644509</v>
      </c>
      <c r="E45" s="29" t="s">
        <v>773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550</v>
      </c>
      <c r="B46" s="1" t="s">
        <v>900</v>
      </c>
      <c r="C46" s="38"/>
      <c r="D46" s="1">
        <v>439600</v>
      </c>
      <c r="E46" s="1" t="s">
        <v>715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551</v>
      </c>
      <c r="B47" s="34" t="s">
        <v>901</v>
      </c>
      <c r="C47" s="44" t="s">
        <v>996</v>
      </c>
      <c r="D47" s="1">
        <v>6267</v>
      </c>
      <c r="E47" s="1" t="s">
        <v>716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844</v>
      </c>
      <c r="B48" s="34" t="s">
        <v>996</v>
      </c>
      <c r="C48" s="44"/>
      <c r="D48" s="1">
        <v>236</v>
      </c>
      <c r="E48" s="1" t="s">
        <v>792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902</v>
      </c>
      <c r="C49" s="38"/>
      <c r="D49" s="1">
        <v>71563</v>
      </c>
      <c r="E49" s="1" t="s">
        <v>717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903</v>
      </c>
      <c r="C50" s="38" t="s">
        <v>997</v>
      </c>
      <c r="D50" s="1">
        <v>6287</v>
      </c>
      <c r="E50" s="1" t="s">
        <v>718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845</v>
      </c>
      <c r="B51" s="1" t="s">
        <v>997</v>
      </c>
      <c r="C51" s="38"/>
      <c r="D51" s="1">
        <v>1182</v>
      </c>
      <c r="E51" s="1" t="s">
        <v>793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904</v>
      </c>
      <c r="C52" s="38"/>
      <c r="D52" s="1">
        <v>2724877</v>
      </c>
      <c r="E52" s="1" t="s">
        <v>774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905</v>
      </c>
      <c r="C53" s="38"/>
      <c r="D53" s="1">
        <v>6971276</v>
      </c>
      <c r="E53" s="1" t="s">
        <v>775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846</v>
      </c>
      <c r="B54" s="1" t="s">
        <v>1034</v>
      </c>
      <c r="C54" s="38"/>
      <c r="D54" s="1">
        <v>94744</v>
      </c>
      <c r="E54" s="1" t="s">
        <v>794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906</v>
      </c>
      <c r="C55" s="38"/>
      <c r="D55" s="1">
        <v>439575</v>
      </c>
      <c r="E55" s="1" t="s">
        <v>720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979</v>
      </c>
      <c r="C56" s="38"/>
      <c r="D56" s="1">
        <v>65098</v>
      </c>
      <c r="E56" s="1" t="s">
        <v>719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847</v>
      </c>
      <c r="B57" s="1" t="s">
        <v>1035</v>
      </c>
      <c r="C57" s="38"/>
      <c r="D57" s="1">
        <v>824</v>
      </c>
      <c r="E57" s="1" t="s">
        <v>795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817</v>
      </c>
      <c r="B58" s="1" t="s">
        <v>913</v>
      </c>
      <c r="C58" s="38"/>
      <c r="D58" s="4">
        <v>14731979</v>
      </c>
      <c r="E58" s="4" t="s">
        <v>777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818</v>
      </c>
      <c r="B59" s="1" t="s">
        <v>912</v>
      </c>
      <c r="C59" s="38"/>
      <c r="D59" s="4">
        <v>11320932</v>
      </c>
      <c r="E59" s="4" t="s">
        <v>776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1021</v>
      </c>
      <c r="B60" s="1" t="s">
        <v>1036</v>
      </c>
      <c r="C60" s="38"/>
      <c r="D60" s="4">
        <v>14731978</v>
      </c>
      <c r="E60" s="4" t="s">
        <v>814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908</v>
      </c>
      <c r="C61" s="38"/>
      <c r="D61" s="1">
        <v>2760933</v>
      </c>
      <c r="E61" s="29" t="s">
        <v>721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911</v>
      </c>
      <c r="C62" s="38"/>
      <c r="D62" s="1">
        <v>95739</v>
      </c>
      <c r="E62" s="29" t="s">
        <v>722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909</v>
      </c>
      <c r="C63" s="38"/>
      <c r="D63" s="4">
        <v>444458</v>
      </c>
      <c r="E63" s="4" t="s">
        <v>778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910</v>
      </c>
      <c r="C64" s="38"/>
      <c r="D64" s="4">
        <v>5312968</v>
      </c>
      <c r="E64" s="4" t="s">
        <v>779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1022</v>
      </c>
      <c r="B65" s="1" t="s">
        <v>1037</v>
      </c>
      <c r="C65" s="38"/>
      <c r="D65" s="4">
        <v>223130</v>
      </c>
      <c r="E65" s="4" t="s">
        <v>796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1023</v>
      </c>
      <c r="B66" s="1" t="s">
        <v>907</v>
      </c>
      <c r="C66" s="38"/>
      <c r="D66" s="1">
        <v>928193</v>
      </c>
      <c r="E66" s="29" t="s">
        <v>780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1024</v>
      </c>
      <c r="B67" s="1" t="s">
        <v>958</v>
      </c>
      <c r="C67" s="38"/>
      <c r="D67" s="1">
        <v>3539719</v>
      </c>
      <c r="E67" s="29" t="s">
        <v>781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918</v>
      </c>
      <c r="C68" s="38"/>
      <c r="D68" s="1">
        <v>138</v>
      </c>
      <c r="E68" s="29" t="s">
        <v>782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919</v>
      </c>
      <c r="C69" s="38"/>
      <c r="D69" s="1">
        <v>23327</v>
      </c>
      <c r="E69" s="1" t="s">
        <v>723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920</v>
      </c>
      <c r="C70" s="44" t="s">
        <v>998</v>
      </c>
      <c r="D70" s="1">
        <v>33032</v>
      </c>
      <c r="E70" s="1" t="s">
        <v>724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848</v>
      </c>
      <c r="B71" s="1" t="s">
        <v>998</v>
      </c>
      <c r="C71" s="44"/>
      <c r="D71" s="1">
        <v>611</v>
      </c>
      <c r="E71" s="1" t="s">
        <v>797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921</v>
      </c>
      <c r="C72" s="38"/>
      <c r="D72" s="1">
        <v>8988</v>
      </c>
      <c r="E72" s="1" t="s">
        <v>726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922</v>
      </c>
      <c r="C73" s="44" t="s">
        <v>970</v>
      </c>
      <c r="D73" s="1">
        <v>145742</v>
      </c>
      <c r="E73" s="1" t="s">
        <v>725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849</v>
      </c>
      <c r="B74" s="34" t="s">
        <v>970</v>
      </c>
      <c r="C74" s="44"/>
      <c r="D74" s="1">
        <v>614</v>
      </c>
      <c r="E74" s="1" t="s">
        <v>798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574</v>
      </c>
      <c r="B75" s="1" t="s">
        <v>923</v>
      </c>
      <c r="C75" s="38"/>
      <c r="D75" s="1">
        <v>5810</v>
      </c>
      <c r="E75" s="1" t="s">
        <v>727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924</v>
      </c>
      <c r="C76" s="38"/>
      <c r="D76" s="1">
        <v>84815</v>
      </c>
      <c r="E76" s="1" t="s">
        <v>728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925</v>
      </c>
      <c r="C77" s="38" t="s">
        <v>999</v>
      </c>
      <c r="D77" s="1">
        <v>6137</v>
      </c>
      <c r="E77" s="1" t="s">
        <v>729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850</v>
      </c>
      <c r="B78" s="1" t="s">
        <v>999</v>
      </c>
      <c r="C78" s="38"/>
      <c r="D78" s="1">
        <v>876</v>
      </c>
      <c r="E78" s="1" t="s">
        <v>799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571</v>
      </c>
      <c r="B79" s="1" t="s">
        <v>926</v>
      </c>
      <c r="C79" s="38"/>
      <c r="D79" s="1">
        <v>145815</v>
      </c>
      <c r="E79" s="1" t="s">
        <v>730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579</v>
      </c>
      <c r="B80" s="34" t="s">
        <v>927</v>
      </c>
      <c r="C80" s="44" t="s">
        <v>1000</v>
      </c>
      <c r="D80" s="1">
        <v>5961</v>
      </c>
      <c r="E80" s="1" t="s">
        <v>731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851</v>
      </c>
      <c r="B81" s="34" t="s">
        <v>1000</v>
      </c>
      <c r="C81" s="44"/>
      <c r="D81" s="1">
        <v>738</v>
      </c>
      <c r="E81" s="1" t="s">
        <v>800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580</v>
      </c>
      <c r="B82" s="1" t="s">
        <v>928</v>
      </c>
      <c r="C82" s="38"/>
      <c r="D82" s="1">
        <v>71082</v>
      </c>
      <c r="E82" s="1" t="s">
        <v>732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581</v>
      </c>
      <c r="B83" s="1" t="s">
        <v>929</v>
      </c>
      <c r="C83" s="38"/>
      <c r="D83" s="1">
        <v>6262</v>
      </c>
      <c r="E83" s="1" t="s">
        <v>733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852</v>
      </c>
      <c r="B84" s="1" t="s">
        <v>1038</v>
      </c>
      <c r="C84" s="38"/>
      <c r="D84" s="1">
        <v>389</v>
      </c>
      <c r="E84" s="1" t="s">
        <v>801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610</v>
      </c>
      <c r="B85" s="1" t="s">
        <v>930</v>
      </c>
      <c r="C85" s="38"/>
      <c r="D85" s="1">
        <v>2424</v>
      </c>
      <c r="E85" s="1" t="s">
        <v>783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611</v>
      </c>
      <c r="B86" s="1" t="s">
        <v>931</v>
      </c>
      <c r="C86" s="38"/>
      <c r="D86" s="1">
        <v>2425</v>
      </c>
      <c r="E86" s="1" t="s">
        <v>784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612</v>
      </c>
      <c r="B87" s="1" t="s">
        <v>932</v>
      </c>
      <c r="C87" s="38"/>
      <c r="D87" s="1">
        <v>165627</v>
      </c>
      <c r="E87" s="1" t="s">
        <v>734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613</v>
      </c>
      <c r="B88" s="1" t="s">
        <v>933</v>
      </c>
      <c r="C88" s="38"/>
      <c r="D88" s="1">
        <v>92136</v>
      </c>
      <c r="E88" s="1" t="s">
        <v>735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759</v>
      </c>
      <c r="B89" s="1" t="s">
        <v>934</v>
      </c>
      <c r="C89" s="38"/>
      <c r="D89" s="1">
        <v>736316</v>
      </c>
      <c r="E89" s="1" t="s">
        <v>760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758</v>
      </c>
      <c r="B90" s="1" t="s">
        <v>935</v>
      </c>
      <c r="C90" s="38"/>
      <c r="D90" s="1">
        <v>439227</v>
      </c>
      <c r="E90" s="1" t="s">
        <v>761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1039</v>
      </c>
      <c r="B91" s="1" t="s">
        <v>1040</v>
      </c>
      <c r="C91" s="38"/>
      <c r="D91" s="1">
        <v>849</v>
      </c>
      <c r="E91" s="1" t="s">
        <v>802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575</v>
      </c>
      <c r="B92" s="1" t="s">
        <v>936</v>
      </c>
      <c r="C92" s="38"/>
      <c r="D92" s="1">
        <v>11367380</v>
      </c>
      <c r="E92" s="1" t="s">
        <v>736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937</v>
      </c>
      <c r="C93" s="38"/>
      <c r="D93" s="1">
        <v>564</v>
      </c>
      <c r="E93" s="29" t="s">
        <v>757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938</v>
      </c>
      <c r="C94" s="38"/>
      <c r="D94" s="1">
        <v>439524</v>
      </c>
      <c r="E94" s="1" t="s">
        <v>737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939</v>
      </c>
      <c r="C95" s="44" t="s">
        <v>835</v>
      </c>
      <c r="D95" s="1">
        <v>6106</v>
      </c>
      <c r="E95" s="1" t="s">
        <v>738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855</v>
      </c>
      <c r="B96" s="34" t="s">
        <v>835</v>
      </c>
      <c r="C96" s="44"/>
      <c r="D96" s="1">
        <v>857</v>
      </c>
      <c r="E96" s="1" t="s">
        <v>803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940</v>
      </c>
      <c r="C97" s="38"/>
      <c r="D97" s="1">
        <v>76551</v>
      </c>
      <c r="E97" s="1" t="s">
        <v>739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941</v>
      </c>
      <c r="C98" s="44" t="s">
        <v>1001</v>
      </c>
      <c r="D98" s="1">
        <v>6306</v>
      </c>
      <c r="E98" s="1" t="s">
        <v>740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856</v>
      </c>
      <c r="B99" s="1" t="s">
        <v>1001</v>
      </c>
      <c r="C99" s="44"/>
      <c r="D99" s="1">
        <v>791</v>
      </c>
      <c r="E99" s="1" t="s">
        <v>804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576</v>
      </c>
      <c r="B100" s="1" t="s">
        <v>942</v>
      </c>
      <c r="C100" s="38"/>
      <c r="D100" s="1">
        <v>94206</v>
      </c>
      <c r="E100" s="1" t="s">
        <v>741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577</v>
      </c>
      <c r="B101" s="1" t="s">
        <v>943</v>
      </c>
      <c r="C101" s="38"/>
      <c r="D101" s="1">
        <v>99288</v>
      </c>
      <c r="E101" s="1" t="s">
        <v>742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857</v>
      </c>
      <c r="B102" s="1" t="s">
        <v>1041</v>
      </c>
      <c r="C102" s="38"/>
      <c r="D102" s="1">
        <v>791</v>
      </c>
      <c r="E102" s="1" t="s">
        <v>803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363</v>
      </c>
      <c r="B103" s="1" t="s">
        <v>944</v>
      </c>
      <c r="C103" s="38"/>
      <c r="D103" s="1">
        <v>57449</v>
      </c>
      <c r="E103" s="1" t="s">
        <v>743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311</v>
      </c>
      <c r="B104" s="34" t="s">
        <v>945</v>
      </c>
      <c r="C104" s="44" t="s">
        <v>1002</v>
      </c>
      <c r="D104" s="1">
        <v>5962</v>
      </c>
      <c r="E104" s="1" t="s">
        <v>744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858</v>
      </c>
      <c r="B105" s="34" t="s">
        <v>1002</v>
      </c>
      <c r="C105" s="44"/>
      <c r="D105" s="1">
        <v>866</v>
      </c>
      <c r="E105" s="1" t="s">
        <v>805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1228</v>
      </c>
      <c r="B106" s="1" t="s">
        <v>946</v>
      </c>
      <c r="C106" s="38"/>
      <c r="D106" s="1">
        <v>3032849</v>
      </c>
      <c r="E106" s="1" t="s">
        <v>756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1227</v>
      </c>
      <c r="B107" s="1" t="s">
        <v>947</v>
      </c>
      <c r="C107" s="38"/>
      <c r="D107" s="1">
        <v>3032850</v>
      </c>
      <c r="E107" s="1" t="s">
        <v>745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1226</v>
      </c>
      <c r="B108" s="1" t="s">
        <v>1042</v>
      </c>
      <c r="C108" s="38"/>
      <c r="D108" s="1" t="s">
        <v>1043</v>
      </c>
      <c r="E108" s="1" t="s">
        <v>815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948</v>
      </c>
      <c r="C109" s="42"/>
      <c r="D109" s="1">
        <v>71083</v>
      </c>
      <c r="E109" s="1" t="s">
        <v>746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949</v>
      </c>
      <c r="C110" s="38" t="s">
        <v>1003</v>
      </c>
      <c r="D110" s="1">
        <v>6274</v>
      </c>
      <c r="E110" s="1" t="s">
        <v>747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860</v>
      </c>
      <c r="B111" s="34" t="s">
        <v>1003</v>
      </c>
      <c r="C111" s="38"/>
      <c r="D111" s="1">
        <v>773</v>
      </c>
      <c r="E111" s="1" t="s">
        <v>806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950</v>
      </c>
      <c r="C112" s="38"/>
      <c r="D112" s="1">
        <v>71070</v>
      </c>
      <c r="E112" s="1" t="s">
        <v>748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951</v>
      </c>
      <c r="C113" s="44" t="s">
        <v>1004</v>
      </c>
      <c r="D113" s="1">
        <v>6322</v>
      </c>
      <c r="E113" s="1" t="s">
        <v>749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861</v>
      </c>
      <c r="B114" s="1" t="s">
        <v>1004</v>
      </c>
      <c r="C114" s="44"/>
      <c r="D114" s="1">
        <v>232</v>
      </c>
      <c r="E114" s="1" t="s">
        <v>807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952</v>
      </c>
      <c r="C115" s="38"/>
      <c r="D115" s="1">
        <v>71567</v>
      </c>
      <c r="E115" s="1" t="s">
        <v>750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953</v>
      </c>
      <c r="C116" s="44" t="s">
        <v>969</v>
      </c>
      <c r="D116" s="1">
        <v>6140</v>
      </c>
      <c r="E116" s="1" t="s">
        <v>751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1028</v>
      </c>
      <c r="B117" s="1" t="s">
        <v>969</v>
      </c>
      <c r="C117" s="44"/>
      <c r="D117" s="1">
        <v>994</v>
      </c>
      <c r="E117" s="1" t="s">
        <v>808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954</v>
      </c>
      <c r="C118" s="38"/>
      <c r="D118" s="1">
        <v>71098</v>
      </c>
      <c r="E118" s="1" t="s">
        <v>752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955</v>
      </c>
      <c r="C119" s="38" t="s">
        <v>1005</v>
      </c>
      <c r="D119" s="1">
        <v>6057</v>
      </c>
      <c r="E119" s="1" t="s">
        <v>753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862</v>
      </c>
      <c r="B120" s="1" t="s">
        <v>1005</v>
      </c>
      <c r="C120" s="38"/>
      <c r="D120" s="1">
        <v>1153</v>
      </c>
      <c r="E120" s="1" t="s">
        <v>809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956</v>
      </c>
      <c r="C121" s="38"/>
      <c r="D121" s="1">
        <v>9060</v>
      </c>
      <c r="E121" s="1" t="s">
        <v>754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957</v>
      </c>
      <c r="C122" s="44" t="s">
        <v>1006</v>
      </c>
      <c r="D122" s="1">
        <v>6305</v>
      </c>
      <c r="E122" s="1" t="s">
        <v>755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863</v>
      </c>
      <c r="B123" s="1" t="s">
        <v>1006</v>
      </c>
      <c r="D123" s="1">
        <v>1148</v>
      </c>
      <c r="E123" s="1" t="s">
        <v>810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1230</v>
      </c>
      <c r="B1" s="57" t="s">
        <v>830</v>
      </c>
      <c r="C1" s="57" t="s">
        <v>832</v>
      </c>
      <c r="D1" s="57" t="s">
        <v>1011</v>
      </c>
      <c r="E1" s="57" t="s">
        <v>1012</v>
      </c>
      <c r="F1" s="57" t="s">
        <v>833</v>
      </c>
      <c r="G1" s="57" t="s">
        <v>2</v>
      </c>
      <c r="H1" s="57" t="s">
        <v>837</v>
      </c>
      <c r="I1" s="57" t="s">
        <v>3</v>
      </c>
      <c r="J1" s="57" t="s">
        <v>4</v>
      </c>
      <c r="K1" s="57" t="s">
        <v>838</v>
      </c>
      <c r="L1" s="57" t="s">
        <v>1231</v>
      </c>
      <c r="M1" s="57" t="s">
        <v>5</v>
      </c>
      <c r="N1" s="57" t="s">
        <v>6</v>
      </c>
      <c r="O1" s="57" t="s">
        <v>839</v>
      </c>
      <c r="P1" s="57" t="s">
        <v>7</v>
      </c>
      <c r="Q1" s="57" t="s">
        <v>8</v>
      </c>
      <c r="R1" s="57" t="s">
        <v>840</v>
      </c>
      <c r="S1" s="57" t="s">
        <v>1232</v>
      </c>
      <c r="T1" s="57" t="s">
        <v>9</v>
      </c>
      <c r="U1" s="57" t="s">
        <v>10</v>
      </c>
      <c r="V1" s="57" t="s">
        <v>841</v>
      </c>
      <c r="W1" s="57" t="s">
        <v>842</v>
      </c>
      <c r="X1" s="57" t="s">
        <v>606</v>
      </c>
      <c r="Y1" s="57" t="s">
        <v>607</v>
      </c>
      <c r="Z1" s="57" t="s">
        <v>843</v>
      </c>
      <c r="AA1" s="57" t="s">
        <v>1233</v>
      </c>
      <c r="AB1" s="57" t="s">
        <v>1234</v>
      </c>
      <c r="AC1" s="57" t="s">
        <v>1235</v>
      </c>
      <c r="AD1" s="57" t="s">
        <v>1236</v>
      </c>
      <c r="AE1" s="57" t="s">
        <v>1237</v>
      </c>
      <c r="AF1" s="57" t="s">
        <v>1238</v>
      </c>
      <c r="AG1" s="57" t="s">
        <v>890</v>
      </c>
      <c r="AH1" s="57" t="s">
        <v>1239</v>
      </c>
      <c r="AI1" s="57" t="s">
        <v>1240</v>
      </c>
      <c r="AJ1" s="57" t="s">
        <v>1241</v>
      </c>
      <c r="AK1" s="57" t="s">
        <v>1242</v>
      </c>
      <c r="AL1" s="57" t="s">
        <v>1243</v>
      </c>
      <c r="AM1" s="57" t="s">
        <v>988</v>
      </c>
      <c r="AN1" s="57" t="s">
        <v>1244</v>
      </c>
      <c r="AO1" s="57" t="s">
        <v>1245</v>
      </c>
      <c r="AP1" s="57" t="s">
        <v>1246</v>
      </c>
      <c r="AQ1" s="57" t="s">
        <v>604</v>
      </c>
      <c r="AR1" s="57" t="s">
        <v>605</v>
      </c>
      <c r="AS1" s="57" t="s">
        <v>870</v>
      </c>
      <c r="AT1" s="57" t="s">
        <v>1019</v>
      </c>
      <c r="AU1" s="57" t="s">
        <v>990</v>
      </c>
      <c r="AV1" s="57" t="s">
        <v>551</v>
      </c>
      <c r="AW1" s="57" t="s">
        <v>844</v>
      </c>
      <c r="AX1" s="57" t="s">
        <v>1247</v>
      </c>
      <c r="AY1" s="57" t="s">
        <v>1248</v>
      </c>
      <c r="AZ1" s="57" t="s">
        <v>13</v>
      </c>
      <c r="BA1" s="57" t="s">
        <v>14</v>
      </c>
      <c r="BB1" s="57" t="s">
        <v>845</v>
      </c>
      <c r="BC1" s="57" t="s">
        <v>21</v>
      </c>
      <c r="BD1" s="57" t="s">
        <v>22</v>
      </c>
      <c r="BE1" s="57" t="s">
        <v>846</v>
      </c>
      <c r="BF1" s="57" t="s">
        <v>23</v>
      </c>
      <c r="BG1" s="57" t="s">
        <v>24</v>
      </c>
      <c r="BH1" s="57" t="s">
        <v>847</v>
      </c>
      <c r="BI1" s="57" t="s">
        <v>1249</v>
      </c>
      <c r="BJ1" s="57" t="s">
        <v>1250</v>
      </c>
      <c r="BK1" s="57" t="s">
        <v>981</v>
      </c>
      <c r="BL1" s="57" t="s">
        <v>1081</v>
      </c>
      <c r="BM1" s="57" t="s">
        <v>1251</v>
      </c>
      <c r="BN1" s="57" t="s">
        <v>1252</v>
      </c>
      <c r="BO1" s="57" t="s">
        <v>1253</v>
      </c>
      <c r="BP1" s="57" t="s">
        <v>983</v>
      </c>
      <c r="BQ1" s="57" t="s">
        <v>985</v>
      </c>
      <c r="BR1" s="57" t="s">
        <v>986</v>
      </c>
      <c r="BS1" s="57" t="s">
        <v>984</v>
      </c>
      <c r="BT1" s="57" t="s">
        <v>15</v>
      </c>
      <c r="BU1" s="57" t="s">
        <v>16</v>
      </c>
      <c r="BV1" s="57" t="s">
        <v>848</v>
      </c>
      <c r="BW1" s="57" t="s">
        <v>18</v>
      </c>
      <c r="BX1" s="57" t="s">
        <v>849</v>
      </c>
      <c r="BY1" s="57" t="s">
        <v>991</v>
      </c>
      <c r="BZ1" s="57" t="s">
        <v>19</v>
      </c>
      <c r="CA1" s="57" t="s">
        <v>20</v>
      </c>
      <c r="CB1" s="57" t="s">
        <v>850</v>
      </c>
      <c r="CC1" s="57" t="s">
        <v>1254</v>
      </c>
      <c r="CD1" s="57" t="s">
        <v>1255</v>
      </c>
      <c r="CE1" s="57" t="s">
        <v>571</v>
      </c>
      <c r="CF1" s="57" t="s">
        <v>579</v>
      </c>
      <c r="CG1" s="57" t="s">
        <v>851</v>
      </c>
      <c r="CH1" s="57" t="s">
        <v>852</v>
      </c>
      <c r="CI1" s="57" t="s">
        <v>1256</v>
      </c>
      <c r="CJ1" s="57" t="s">
        <v>1257</v>
      </c>
      <c r="CK1" s="57" t="s">
        <v>1430</v>
      </c>
      <c r="CL1" s="57" t="s">
        <v>1258</v>
      </c>
      <c r="CM1" s="57" t="s">
        <v>1259</v>
      </c>
      <c r="CN1" s="57" t="s">
        <v>1260</v>
      </c>
      <c r="CO1" s="57" t="s">
        <v>854</v>
      </c>
      <c r="CP1" s="57" t="s">
        <v>993</v>
      </c>
      <c r="CQ1" s="57" t="s">
        <v>1261</v>
      </c>
      <c r="CR1" s="57" t="s">
        <v>26</v>
      </c>
      <c r="CS1" s="57" t="s">
        <v>27</v>
      </c>
      <c r="CT1" s="57" t="s">
        <v>855</v>
      </c>
      <c r="CU1" s="57" t="s">
        <v>28</v>
      </c>
      <c r="CV1" s="57" t="s">
        <v>29</v>
      </c>
      <c r="CW1" s="57" t="s">
        <v>856</v>
      </c>
      <c r="CX1" s="57" t="s">
        <v>1262</v>
      </c>
      <c r="CY1" s="57" t="s">
        <v>363</v>
      </c>
      <c r="CZ1" s="57" t="s">
        <v>311</v>
      </c>
      <c r="DA1" s="57" t="s">
        <v>858</v>
      </c>
      <c r="DB1" s="57" t="s">
        <v>859</v>
      </c>
      <c r="DC1" s="57" t="s">
        <v>1263</v>
      </c>
      <c r="DD1" s="57" t="s">
        <v>31</v>
      </c>
      <c r="DE1" s="57" t="s">
        <v>860</v>
      </c>
      <c r="DF1" s="57" t="s">
        <v>32</v>
      </c>
      <c r="DG1" s="57" t="s">
        <v>33</v>
      </c>
      <c r="DH1" s="57" t="s">
        <v>861</v>
      </c>
      <c r="DI1" s="57" t="s">
        <v>34</v>
      </c>
      <c r="DJ1" s="57" t="s">
        <v>35</v>
      </c>
      <c r="DK1" s="57" t="s">
        <v>1028</v>
      </c>
      <c r="DL1" s="57" t="s">
        <v>36</v>
      </c>
      <c r="DM1" s="57" t="s">
        <v>37</v>
      </c>
      <c r="DN1" s="57" t="s">
        <v>862</v>
      </c>
      <c r="DO1" s="57" t="s">
        <v>38</v>
      </c>
      <c r="DP1" s="57" t="s">
        <v>39</v>
      </c>
      <c r="DQ1" s="57" t="s">
        <v>863</v>
      </c>
    </row>
    <row r="2" spans="1:121" s="1" customFormat="1" x14ac:dyDescent="0.2">
      <c r="A2" s="52" t="s">
        <v>1510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1511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822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1426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959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1427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1429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960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961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962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963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1512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1513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opLeftCell="N1" zoomScale="125" workbookViewId="0">
      <selection activeCell="Q4" sqref="Q4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1568</v>
      </c>
    </row>
    <row r="2" spans="1:28" x14ac:dyDescent="0.2">
      <c r="A2" s="77" t="s">
        <v>824</v>
      </c>
      <c r="B2" s="78" t="s">
        <v>1451</v>
      </c>
      <c r="C2" s="78" t="s">
        <v>1454</v>
      </c>
      <c r="D2" s="78" t="s">
        <v>1459</v>
      </c>
      <c r="E2" s="78" t="s">
        <v>1455</v>
      </c>
      <c r="F2" s="78" t="s">
        <v>1456</v>
      </c>
      <c r="G2" s="78" t="s">
        <v>1457</v>
      </c>
      <c r="H2" s="78" t="s">
        <v>1458</v>
      </c>
    </row>
    <row r="3" spans="1:28" x14ac:dyDescent="0.2">
      <c r="A3" s="79" t="s">
        <v>1452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1453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1460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1427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1480</v>
      </c>
      <c r="Z8" s="76" t="s">
        <v>1488</v>
      </c>
    </row>
    <row r="9" spans="1:28" x14ac:dyDescent="0.2">
      <c r="A9" s="149" t="s">
        <v>1482</v>
      </c>
      <c r="B9" s="157" t="s">
        <v>1572</v>
      </c>
      <c r="C9" s="143"/>
      <c r="D9" s="143"/>
      <c r="E9" s="143"/>
      <c r="F9" s="143"/>
      <c r="G9" s="158"/>
      <c r="H9" s="157" t="s">
        <v>1440</v>
      </c>
      <c r="I9" s="143"/>
      <c r="J9" s="143"/>
      <c r="K9" s="143"/>
      <c r="L9" s="143"/>
      <c r="M9" s="158"/>
      <c r="N9" s="157" t="s">
        <v>1573</v>
      </c>
      <c r="O9" s="143"/>
      <c r="P9" s="143"/>
      <c r="Q9" s="143"/>
      <c r="R9" s="143"/>
      <c r="S9" s="158"/>
      <c r="T9" s="157" t="s">
        <v>1441</v>
      </c>
      <c r="U9" s="143"/>
      <c r="V9" s="143"/>
      <c r="W9" s="143"/>
      <c r="X9" s="143"/>
      <c r="Y9" s="158"/>
      <c r="Z9" s="155" t="s">
        <v>1574</v>
      </c>
      <c r="AA9" s="148"/>
      <c r="AB9" s="156"/>
    </row>
    <row r="10" spans="1:28" x14ac:dyDescent="0.2">
      <c r="A10" s="150"/>
      <c r="B10" s="87" t="s">
        <v>1431</v>
      </c>
      <c r="C10" s="78" t="s">
        <v>1432</v>
      </c>
      <c r="D10" s="78" t="s">
        <v>1433</v>
      </c>
      <c r="E10" s="78" t="s">
        <v>1434</v>
      </c>
      <c r="F10" s="78" t="s">
        <v>1461</v>
      </c>
      <c r="G10" s="102" t="s">
        <v>1508</v>
      </c>
      <c r="H10" s="87" t="s">
        <v>1431</v>
      </c>
      <c r="I10" s="78" t="s">
        <v>1432</v>
      </c>
      <c r="J10" s="78" t="s">
        <v>1433</v>
      </c>
      <c r="K10" s="78" t="s">
        <v>1434</v>
      </c>
      <c r="L10" s="78" t="s">
        <v>1462</v>
      </c>
      <c r="M10" s="88" t="s">
        <v>1509</v>
      </c>
      <c r="N10" s="87" t="s">
        <v>1431</v>
      </c>
      <c r="O10" s="78" t="s">
        <v>1432</v>
      </c>
      <c r="P10" s="78" t="s">
        <v>1433</v>
      </c>
      <c r="Q10" s="78" t="s">
        <v>1434</v>
      </c>
      <c r="R10" s="78" t="s">
        <v>1461</v>
      </c>
      <c r="S10" s="88" t="s">
        <v>1508</v>
      </c>
      <c r="T10" s="87" t="s">
        <v>1431</v>
      </c>
      <c r="U10" s="78" t="s">
        <v>1432</v>
      </c>
      <c r="V10" s="78" t="s">
        <v>1433</v>
      </c>
      <c r="W10" s="78" t="s">
        <v>1434</v>
      </c>
      <c r="X10" s="78" t="s">
        <v>1461</v>
      </c>
      <c r="Y10" s="88" t="s">
        <v>1508</v>
      </c>
      <c r="Z10" s="87" t="s">
        <v>1435</v>
      </c>
      <c r="AA10" s="78" t="s">
        <v>1436</v>
      </c>
      <c r="AB10" s="88" t="s">
        <v>1437</v>
      </c>
    </row>
    <row r="11" spans="1:28" x14ac:dyDescent="0.2">
      <c r="A11" s="79" t="s">
        <v>1569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0.65290000000000004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1447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1507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-370.30650000000003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1439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1506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638.64520000000005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962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160">
        <v>-2.1703000000000001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1570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1571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963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1485</v>
      </c>
    </row>
    <row r="23" spans="1:28" x14ac:dyDescent="0.2">
      <c r="A23" s="77" t="s">
        <v>109</v>
      </c>
      <c r="B23" s="78" t="s">
        <v>1443</v>
      </c>
      <c r="C23" s="78" t="s">
        <v>1431</v>
      </c>
      <c r="D23" s="78" t="s">
        <v>1442</v>
      </c>
      <c r="E23" s="78" t="s">
        <v>1432</v>
      </c>
      <c r="F23" s="78" t="s">
        <v>1433</v>
      </c>
      <c r="G23" s="78" t="s">
        <v>1434</v>
      </c>
      <c r="H23" s="78" t="s">
        <v>1461</v>
      </c>
      <c r="I23" s="78" t="s">
        <v>1446</v>
      </c>
    </row>
    <row r="24" spans="1:28" x14ac:dyDescent="0.2">
      <c r="A24" s="79" t="s">
        <v>1374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1375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1444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1268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1341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1445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25</v>
      </c>
    </row>
    <row r="30" spans="1:28" x14ac:dyDescent="0.2">
      <c r="A30" s="79" t="s">
        <v>1355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1331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377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1397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1391</v>
      </c>
      <c r="B34" s="82">
        <v>533</v>
      </c>
      <c r="C34" s="90">
        <v>11.954000000000001</v>
      </c>
      <c r="D34" s="90">
        <v>0.55993000000000004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1481</v>
      </c>
      <c r="H36" s="105"/>
    </row>
    <row r="37" spans="1:40" x14ac:dyDescent="0.2">
      <c r="A37" s="77" t="s">
        <v>1230</v>
      </c>
      <c r="B37" s="78" t="s">
        <v>1463</v>
      </c>
      <c r="C37" s="78" t="s">
        <v>1641</v>
      </c>
      <c r="D37" s="78" t="s">
        <v>1473</v>
      </c>
      <c r="E37" s="78" t="s">
        <v>1475</v>
      </c>
      <c r="F37" s="78" t="s">
        <v>1474</v>
      </c>
    </row>
    <row r="38" spans="1:40" x14ac:dyDescent="0.2">
      <c r="A38" s="79" t="s">
        <v>1575</v>
      </c>
      <c r="B38" s="80" t="s">
        <v>1466</v>
      </c>
      <c r="C38" s="91">
        <v>1165.3503497701499</v>
      </c>
      <c r="D38" s="111">
        <v>0.96788370520622102</v>
      </c>
      <c r="E38" s="111">
        <v>63.516945072019901</v>
      </c>
      <c r="F38" s="112">
        <v>0.50383398798543599</v>
      </c>
      <c r="AL38" s="114"/>
      <c r="AM38" s="114"/>
      <c r="AN38" s="114"/>
    </row>
    <row r="39" spans="1:40" x14ac:dyDescent="0.2">
      <c r="A39" s="79" t="s">
        <v>1576</v>
      </c>
      <c r="B39" s="80" t="s">
        <v>1466</v>
      </c>
      <c r="C39" s="89">
        <v>146.71111467113499</v>
      </c>
      <c r="D39" s="112">
        <v>0.970137480279468</v>
      </c>
      <c r="E39" s="112">
        <v>64.123871844903803</v>
      </c>
      <c r="F39" s="111">
        <v>0.24924187370310399</v>
      </c>
      <c r="H39" s="104"/>
    </row>
    <row r="40" spans="1:40" x14ac:dyDescent="0.2">
      <c r="A40" s="79" t="s">
        <v>1575</v>
      </c>
      <c r="B40" s="80" t="s">
        <v>1467</v>
      </c>
      <c r="C40" s="89">
        <v>66.108629007728794</v>
      </c>
      <c r="D40" s="111">
        <v>0.947712418300654</v>
      </c>
      <c r="E40" s="111">
        <v>61.8996403649492</v>
      </c>
      <c r="F40" s="111">
        <v>0.23603349163866</v>
      </c>
      <c r="H40" s="104"/>
    </row>
    <row r="41" spans="1:40" x14ac:dyDescent="0.2">
      <c r="A41" s="79" t="s">
        <v>1577</v>
      </c>
      <c r="B41" s="80" t="s">
        <v>1466</v>
      </c>
      <c r="C41" s="89">
        <v>20.047157982723899</v>
      </c>
      <c r="D41" s="111">
        <v>0.92956952896100997</v>
      </c>
      <c r="E41" s="111">
        <v>52.436345882020902</v>
      </c>
      <c r="F41" s="111">
        <v>0.21415230820405401</v>
      </c>
      <c r="H41" s="104"/>
    </row>
    <row r="42" spans="1:40" x14ac:dyDescent="0.2">
      <c r="A42" s="79" t="s">
        <v>1576</v>
      </c>
      <c r="B42" s="80" t="s">
        <v>1467</v>
      </c>
      <c r="C42" s="89">
        <v>13.5138991334253</v>
      </c>
      <c r="D42" s="111">
        <v>0.95041694838855095</v>
      </c>
      <c r="E42" s="111">
        <v>57.662791688241697</v>
      </c>
      <c r="F42" s="111">
        <v>0.18639932886852201</v>
      </c>
      <c r="H42" s="104"/>
    </row>
    <row r="43" spans="1:40" x14ac:dyDescent="0.2">
      <c r="A43" s="79" t="s">
        <v>1575</v>
      </c>
      <c r="B43" s="80" t="s">
        <v>1468</v>
      </c>
      <c r="C43" s="89">
        <v>7.8065117704701201</v>
      </c>
      <c r="D43" s="111">
        <v>0.93024566148298404</v>
      </c>
      <c r="E43" s="111">
        <v>45.639730315397998</v>
      </c>
      <c r="F43" s="111">
        <v>0.45259565300205401</v>
      </c>
      <c r="H43" s="104"/>
    </row>
    <row r="44" spans="1:40" x14ac:dyDescent="0.2">
      <c r="A44" s="79" t="s">
        <v>1578</v>
      </c>
      <c r="B44" s="80" t="s">
        <v>1466</v>
      </c>
      <c r="C44" s="89">
        <v>6.4552784371966103</v>
      </c>
      <c r="D44" s="111">
        <v>0.940274960558936</v>
      </c>
      <c r="E44" s="111">
        <v>50.432519427808103</v>
      </c>
      <c r="F44" s="111">
        <v>0.17540217507025299</v>
      </c>
      <c r="H44" s="104"/>
    </row>
    <row r="45" spans="1:40" x14ac:dyDescent="0.2">
      <c r="A45" s="79" t="s">
        <v>1578</v>
      </c>
      <c r="B45" s="80" t="s">
        <v>1467</v>
      </c>
      <c r="C45" s="89">
        <v>6.0947995063838301</v>
      </c>
      <c r="D45" s="111">
        <v>0.94072571557358597</v>
      </c>
      <c r="E45" s="111">
        <v>49.8321180911826</v>
      </c>
      <c r="F45" s="111">
        <v>0.14918243355643801</v>
      </c>
      <c r="H45" s="104"/>
    </row>
    <row r="46" spans="1:40" x14ac:dyDescent="0.2">
      <c r="A46" s="79" t="s">
        <v>1449</v>
      </c>
      <c r="B46" s="80" t="s">
        <v>1466</v>
      </c>
      <c r="C46" s="89">
        <v>5.8713484049620197</v>
      </c>
      <c r="D46" s="111">
        <v>0.92404778003155297</v>
      </c>
      <c r="E46" s="111">
        <v>43.650298491094702</v>
      </c>
      <c r="F46" s="111">
        <v>0.20492601979463601</v>
      </c>
      <c r="H46" s="104"/>
    </row>
    <row r="47" spans="1:40" x14ac:dyDescent="0.2">
      <c r="A47" s="79" t="s">
        <v>1449</v>
      </c>
      <c r="B47" s="80" t="s">
        <v>1467</v>
      </c>
      <c r="C47" s="89">
        <v>5.7498691506851598</v>
      </c>
      <c r="D47" s="111">
        <v>0.94500788821275705</v>
      </c>
      <c r="E47" s="111">
        <v>51.634364880489997</v>
      </c>
      <c r="F47" s="111">
        <v>0.25132468140783398</v>
      </c>
      <c r="H47" s="104"/>
    </row>
    <row r="48" spans="1:40" x14ac:dyDescent="0.2">
      <c r="A48" s="79" t="s">
        <v>1448</v>
      </c>
      <c r="B48" s="80" t="s">
        <v>1467</v>
      </c>
      <c r="C48" s="89">
        <v>4.6277917387902399</v>
      </c>
      <c r="D48" s="111">
        <v>0.92968221771467197</v>
      </c>
      <c r="E48" s="111">
        <v>47.234599747774801</v>
      </c>
      <c r="F48" s="111">
        <v>0.14820422133823399</v>
      </c>
      <c r="H48" s="104"/>
    </row>
    <row r="49" spans="1:8" x14ac:dyDescent="0.2">
      <c r="A49" s="79" t="s">
        <v>1578</v>
      </c>
      <c r="B49" s="80" t="s">
        <v>1468</v>
      </c>
      <c r="C49" s="89">
        <v>4.3653752471023797</v>
      </c>
      <c r="D49" s="111">
        <v>0.88646608068514798</v>
      </c>
      <c r="E49" s="111">
        <v>43.0544164879636</v>
      </c>
      <c r="F49" s="111">
        <v>0.135928733629848</v>
      </c>
      <c r="H49" s="104"/>
    </row>
    <row r="50" spans="1:8" x14ac:dyDescent="0.2">
      <c r="A50" s="79" t="s">
        <v>1579</v>
      </c>
      <c r="B50" s="80" t="s">
        <v>1466</v>
      </c>
      <c r="C50" s="89">
        <v>3.8006991796097198</v>
      </c>
      <c r="D50" s="111">
        <v>0.86128014424160504</v>
      </c>
      <c r="E50" s="111">
        <v>31.638430684959101</v>
      </c>
      <c r="F50" s="111">
        <v>0.166287897049712</v>
      </c>
      <c r="H50" s="104"/>
    </row>
    <row r="51" spans="1:8" x14ac:dyDescent="0.2">
      <c r="A51" s="79" t="s">
        <v>1450</v>
      </c>
      <c r="B51" s="80" t="s">
        <v>1468</v>
      </c>
      <c r="C51" s="89">
        <v>3.7050041368335198</v>
      </c>
      <c r="D51" s="111">
        <v>0.89869281045751703</v>
      </c>
      <c r="E51" s="111">
        <v>36.341118482693801</v>
      </c>
      <c r="F51" s="111">
        <v>0.22952821429866099</v>
      </c>
      <c r="H51" s="104"/>
    </row>
    <row r="52" spans="1:8" x14ac:dyDescent="0.2">
      <c r="A52" s="79" t="s">
        <v>1448</v>
      </c>
      <c r="B52" s="80" t="s">
        <v>1466</v>
      </c>
      <c r="C52" s="89">
        <v>3.6477072593073001</v>
      </c>
      <c r="D52" s="111">
        <v>0.89226955149876097</v>
      </c>
      <c r="E52" s="111">
        <v>38.112969197972902</v>
      </c>
      <c r="F52" s="111">
        <v>0.120211293602952</v>
      </c>
      <c r="H52" s="104"/>
    </row>
    <row r="53" spans="1:8" x14ac:dyDescent="0.2">
      <c r="A53" s="79" t="s">
        <v>1438</v>
      </c>
      <c r="B53" s="80" t="s">
        <v>1466</v>
      </c>
      <c r="C53" s="89">
        <v>3.2296689637064602</v>
      </c>
      <c r="D53" s="111">
        <v>0.86860491322966005</v>
      </c>
      <c r="E53" s="111">
        <v>34.177464186945699</v>
      </c>
      <c r="F53" s="111">
        <v>0.36652263175323202</v>
      </c>
      <c r="H53" s="104"/>
    </row>
    <row r="54" spans="1:8" x14ac:dyDescent="0.2">
      <c r="A54" s="79" t="s">
        <v>962</v>
      </c>
      <c r="B54" s="80" t="s">
        <v>1467</v>
      </c>
      <c r="C54" s="89">
        <v>2.94051542197254</v>
      </c>
      <c r="D54" s="111">
        <v>0.72413793103448298</v>
      </c>
      <c r="E54" s="111">
        <v>18.088424268591101</v>
      </c>
      <c r="F54" s="111">
        <v>0.122260959729813</v>
      </c>
      <c r="H54" s="104"/>
    </row>
    <row r="55" spans="1:8" x14ac:dyDescent="0.2">
      <c r="A55" s="79" t="s">
        <v>1438</v>
      </c>
      <c r="B55" s="80" t="s">
        <v>1468</v>
      </c>
      <c r="C55" s="89">
        <v>2.5833127108292899</v>
      </c>
      <c r="D55" s="111">
        <v>0.85891368041469496</v>
      </c>
      <c r="E55" s="111">
        <v>30.859937658959002</v>
      </c>
      <c r="F55" s="111">
        <v>0.153853054827151</v>
      </c>
      <c r="H55" s="104"/>
    </row>
    <row r="56" spans="1:8" x14ac:dyDescent="0.2">
      <c r="A56" s="79" t="s">
        <v>962</v>
      </c>
      <c r="B56" s="80" t="s">
        <v>1468</v>
      </c>
      <c r="C56" s="89">
        <v>2.4270730178763098</v>
      </c>
      <c r="D56" s="111">
        <v>0.72470137480279495</v>
      </c>
      <c r="E56" s="111">
        <v>19.206529594878301</v>
      </c>
      <c r="F56" s="111">
        <v>0.100422653291232</v>
      </c>
      <c r="H56" s="104"/>
    </row>
    <row r="57" spans="1:8" x14ac:dyDescent="0.2">
      <c r="A57" s="79" t="s">
        <v>1577</v>
      </c>
      <c r="B57" s="80" t="s">
        <v>1467</v>
      </c>
      <c r="C57" s="89">
        <v>2.2852694097395898</v>
      </c>
      <c r="D57" s="111">
        <v>0.85699797160243396</v>
      </c>
      <c r="E57" s="111">
        <v>36.925689875976197</v>
      </c>
      <c r="F57" s="111">
        <v>0.15971942120412799</v>
      </c>
      <c r="H57" s="104"/>
    </row>
    <row r="58" spans="1:8" x14ac:dyDescent="0.2">
      <c r="A58" s="79" t="s">
        <v>963</v>
      </c>
      <c r="B58" s="80" t="s">
        <v>1468</v>
      </c>
      <c r="C58" s="89">
        <v>1.5630842213629901</v>
      </c>
      <c r="D58" s="111">
        <v>0.64390353842686499</v>
      </c>
      <c r="E58" s="111">
        <v>17.794506410168101</v>
      </c>
      <c r="F58" s="111">
        <v>6.78500565592876E-15</v>
      </c>
      <c r="H58" s="104"/>
    </row>
    <row r="59" spans="1:8" x14ac:dyDescent="0.2">
      <c r="A59" s="79" t="s">
        <v>1576</v>
      </c>
      <c r="B59" s="80" t="s">
        <v>1468</v>
      </c>
      <c r="C59" s="89">
        <v>1.5202149117847701</v>
      </c>
      <c r="D59" s="111">
        <v>0.79501915708812299</v>
      </c>
      <c r="E59" s="111">
        <v>21.6450992281369</v>
      </c>
      <c r="F59" s="111">
        <v>0.14040248520587201</v>
      </c>
      <c r="H59" s="104"/>
    </row>
    <row r="60" spans="1:8" x14ac:dyDescent="0.2">
      <c r="A60" s="79" t="s">
        <v>1577</v>
      </c>
      <c r="B60" s="80" t="s">
        <v>1468</v>
      </c>
      <c r="C60" s="89">
        <v>1.33952204144551</v>
      </c>
      <c r="D60" s="111">
        <v>0.78893396439035401</v>
      </c>
      <c r="E60" s="111">
        <v>20.372793706491102</v>
      </c>
      <c r="F60" s="111">
        <v>0.11801542213415001</v>
      </c>
      <c r="H60" s="104"/>
    </row>
    <row r="61" spans="1:8" x14ac:dyDescent="0.2">
      <c r="A61" s="79" t="s">
        <v>1450</v>
      </c>
      <c r="B61" s="80" t="s">
        <v>1467</v>
      </c>
      <c r="C61" s="89">
        <v>1.3131604852099601</v>
      </c>
      <c r="D61" s="111">
        <v>0.79907595221996897</v>
      </c>
      <c r="E61" s="111">
        <v>17.609129346095798</v>
      </c>
      <c r="F61" s="111">
        <v>0.110706912692773</v>
      </c>
      <c r="H61" s="104"/>
    </row>
    <row r="62" spans="1:8" x14ac:dyDescent="0.2">
      <c r="A62" s="79" t="s">
        <v>1579</v>
      </c>
      <c r="B62" s="80" t="s">
        <v>1468</v>
      </c>
      <c r="C62" s="89">
        <v>0.940491456290938</v>
      </c>
      <c r="D62" s="111">
        <v>0.71455938697318</v>
      </c>
      <c r="E62" s="111">
        <v>17.115782511718301</v>
      </c>
      <c r="F62" s="111">
        <v>0.20207549427175001</v>
      </c>
      <c r="H62" s="104"/>
    </row>
    <row r="63" spans="1:8" x14ac:dyDescent="0.2">
      <c r="A63" s="79" t="s">
        <v>1450</v>
      </c>
      <c r="B63" s="80" t="s">
        <v>1466</v>
      </c>
      <c r="C63" s="89">
        <v>0.83861634856002099</v>
      </c>
      <c r="D63" s="111">
        <v>0.74543610547667405</v>
      </c>
      <c r="E63" s="111">
        <v>14.476130402635601</v>
      </c>
      <c r="F63" s="111">
        <v>9.8171914176230904E-2</v>
      </c>
      <c r="H63" s="104"/>
    </row>
    <row r="64" spans="1:8" x14ac:dyDescent="0.2">
      <c r="A64" s="79" t="s">
        <v>1438</v>
      </c>
      <c r="B64" s="80" t="s">
        <v>1467</v>
      </c>
      <c r="C64" s="89">
        <v>0.79054704032900602</v>
      </c>
      <c r="D64" s="111">
        <v>0.75997295469912096</v>
      </c>
      <c r="E64" s="111">
        <v>16.8081936258905</v>
      </c>
      <c r="F64" s="111">
        <v>0.109922444373384</v>
      </c>
      <c r="H64" s="104"/>
    </row>
    <row r="65" spans="1:23" x14ac:dyDescent="0.2">
      <c r="A65" s="79" t="s">
        <v>1448</v>
      </c>
      <c r="B65" s="80" t="s">
        <v>1468</v>
      </c>
      <c r="C65" s="89">
        <v>0.77062318956814102</v>
      </c>
      <c r="D65" s="111">
        <v>0.69697994140184805</v>
      </c>
      <c r="E65" s="111">
        <v>25.069611651958098</v>
      </c>
      <c r="F65" s="111">
        <v>0.14237389528750199</v>
      </c>
      <c r="H65" s="104"/>
    </row>
    <row r="66" spans="1:23" x14ac:dyDescent="0.2">
      <c r="A66" s="79" t="s">
        <v>963</v>
      </c>
      <c r="B66" s="80" t="s">
        <v>1466</v>
      </c>
      <c r="C66" s="89">
        <v>0.76548500344384396</v>
      </c>
      <c r="D66" s="111">
        <v>0.54744196529186395</v>
      </c>
      <c r="E66" s="111">
        <v>13.168742363308899</v>
      </c>
      <c r="F66" s="111">
        <v>2.1738660473144599E-14</v>
      </c>
      <c r="H66" s="104"/>
    </row>
    <row r="67" spans="1:23" x14ac:dyDescent="0.2">
      <c r="A67" s="79" t="s">
        <v>963</v>
      </c>
      <c r="B67" s="80" t="s">
        <v>1467</v>
      </c>
      <c r="C67" s="89">
        <v>0.64018880002477097</v>
      </c>
      <c r="D67" s="111">
        <v>0.59837728194726203</v>
      </c>
      <c r="E67" s="111">
        <v>13.014472614204999</v>
      </c>
      <c r="F67" s="111">
        <v>1.35442480786035E-14</v>
      </c>
      <c r="H67" s="104"/>
    </row>
    <row r="68" spans="1:23" x14ac:dyDescent="0.2">
      <c r="A68" s="79" t="s">
        <v>962</v>
      </c>
      <c r="B68" s="80" t="s">
        <v>1466</v>
      </c>
      <c r="C68" s="89">
        <v>0.59646759920237102</v>
      </c>
      <c r="D68" s="111">
        <v>0.57888212756366897</v>
      </c>
      <c r="E68" s="111">
        <v>9.9966743975664496</v>
      </c>
      <c r="F68" s="111">
        <v>0.46987587500266798</v>
      </c>
      <c r="G68" s="114"/>
      <c r="H68" s="104"/>
    </row>
    <row r="69" spans="1:23" x14ac:dyDescent="0.2">
      <c r="A69" s="79" t="s">
        <v>1579</v>
      </c>
      <c r="B69" s="80" t="s">
        <v>1467</v>
      </c>
      <c r="C69" s="89">
        <v>0.425926052003336</v>
      </c>
      <c r="D69" s="111">
        <v>0.70193824656299297</v>
      </c>
      <c r="E69" s="111">
        <v>10.7493191861216</v>
      </c>
      <c r="F69" s="111">
        <v>3.9706480987284E-2</v>
      </c>
      <c r="G69" s="114"/>
      <c r="H69" s="104"/>
    </row>
    <row r="70" spans="1:23" x14ac:dyDescent="0.2">
      <c r="A70" s="81" t="s">
        <v>1449</v>
      </c>
      <c r="B70" s="82" t="s">
        <v>1468</v>
      </c>
      <c r="C70" s="90">
        <v>0.415307942624699</v>
      </c>
      <c r="D70" s="113">
        <v>0.65562316880775295</v>
      </c>
      <c r="E70" s="113">
        <v>23.293834214417299</v>
      </c>
      <c r="F70" s="113">
        <v>0.46987587500266798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1484</v>
      </c>
      <c r="B72" s="1"/>
      <c r="C72" s="30"/>
      <c r="D72" s="30"/>
      <c r="E72" s="30"/>
      <c r="F72" s="30"/>
    </row>
    <row r="73" spans="1:23" x14ac:dyDescent="0.2">
      <c r="A73" s="149" t="s">
        <v>1482</v>
      </c>
      <c r="B73" s="151" t="s">
        <v>1463</v>
      </c>
      <c r="C73" s="151" t="s">
        <v>1641</v>
      </c>
      <c r="D73" s="151" t="s">
        <v>1473</v>
      </c>
      <c r="E73" s="151" t="s">
        <v>1475</v>
      </c>
      <c r="F73" s="151" t="s">
        <v>1474</v>
      </c>
      <c r="G73" s="148" t="s">
        <v>1490</v>
      </c>
      <c r="H73" s="148"/>
      <c r="I73" s="148"/>
      <c r="J73" s="148"/>
      <c r="K73" s="98"/>
      <c r="L73" s="98"/>
      <c r="N73" s="144" t="s">
        <v>1502</v>
      </c>
      <c r="O73" s="144"/>
      <c r="P73" s="143" t="s">
        <v>1478</v>
      </c>
      <c r="Q73" s="143"/>
      <c r="R73" s="143" t="s">
        <v>1479</v>
      </c>
      <c r="S73" s="143"/>
      <c r="T73" s="143" t="s">
        <v>1475</v>
      </c>
      <c r="U73" s="143"/>
      <c r="V73" s="143" t="s">
        <v>1474</v>
      </c>
      <c r="W73" s="143"/>
    </row>
    <row r="74" spans="1:23" x14ac:dyDescent="0.2">
      <c r="A74" s="150"/>
      <c r="B74" s="152"/>
      <c r="C74" s="152"/>
      <c r="D74" s="152"/>
      <c r="E74" s="152"/>
      <c r="F74" s="152"/>
      <c r="G74" s="84" t="s">
        <v>1478</v>
      </c>
      <c r="H74" s="84" t="s">
        <v>1479</v>
      </c>
      <c r="I74" s="84" t="s">
        <v>1489</v>
      </c>
      <c r="J74" s="84" t="s">
        <v>1474</v>
      </c>
      <c r="K74" s="84" t="s">
        <v>1493</v>
      </c>
      <c r="L74" s="84" t="s">
        <v>1502</v>
      </c>
      <c r="N74" s="78" t="s">
        <v>1495</v>
      </c>
      <c r="O74" s="78" t="s">
        <v>1494</v>
      </c>
      <c r="P74" s="84" t="s">
        <v>1495</v>
      </c>
      <c r="Q74" s="84" t="s">
        <v>1496</v>
      </c>
      <c r="R74" s="84" t="s">
        <v>1495</v>
      </c>
      <c r="S74" s="84" t="s">
        <v>1496</v>
      </c>
      <c r="T74" s="84" t="s">
        <v>1495</v>
      </c>
      <c r="U74" s="84" t="s">
        <v>1496</v>
      </c>
      <c r="V74" s="84" t="s">
        <v>1495</v>
      </c>
      <c r="W74" s="84" t="s">
        <v>1496</v>
      </c>
    </row>
    <row r="75" spans="1:23" x14ac:dyDescent="0.2">
      <c r="A75" s="79" t="s">
        <v>1465</v>
      </c>
      <c r="B75" s="80" t="s">
        <v>1469</v>
      </c>
      <c r="C75" s="91">
        <f>AVERAGE(C38,C40,C43)</f>
        <v>413.08849684944954</v>
      </c>
      <c r="D75" s="91">
        <f t="shared" ref="D75:F75" si="0">AVERAGE(D38,D40,D43)</f>
        <v>0.94861392832995295</v>
      </c>
      <c r="E75" s="91">
        <f>AVERAGE(E38,E40,E43)</f>
        <v>57.018771917455695</v>
      </c>
      <c r="F75" s="91">
        <f t="shared" si="0"/>
        <v>0.39748771087538337</v>
      </c>
      <c r="G75" s="80" t="s">
        <v>1470</v>
      </c>
      <c r="H75" s="80" t="s">
        <v>1470</v>
      </c>
      <c r="I75" s="80" t="s">
        <v>1470</v>
      </c>
      <c r="J75" s="80" t="s">
        <v>1470</v>
      </c>
      <c r="K75" s="80">
        <f>AVERAGE(1,1,1,1)</f>
        <v>1</v>
      </c>
      <c r="L75" s="80" t="s">
        <v>1470</v>
      </c>
      <c r="N75" s="80" t="s">
        <v>1470</v>
      </c>
      <c r="O75" s="80">
        <v>1</v>
      </c>
      <c r="P75" s="80" t="s">
        <v>1470</v>
      </c>
      <c r="Q75" s="80" t="s">
        <v>1503</v>
      </c>
      <c r="R75" s="80" t="s">
        <v>1470</v>
      </c>
      <c r="S75" s="80" t="s">
        <v>1497</v>
      </c>
      <c r="T75" s="80" t="s">
        <v>1470</v>
      </c>
      <c r="U75" s="80" t="s">
        <v>1632</v>
      </c>
      <c r="V75" s="80" t="s">
        <v>1470</v>
      </c>
      <c r="W75" s="80" t="s">
        <v>1637</v>
      </c>
    </row>
    <row r="76" spans="1:23" x14ac:dyDescent="0.2">
      <c r="A76" s="79" t="s">
        <v>1576</v>
      </c>
      <c r="B76" s="80" t="s">
        <v>1469</v>
      </c>
      <c r="C76" s="89">
        <f>AVERAGE(C39,C59,C42)</f>
        <v>53.915076238781687</v>
      </c>
      <c r="D76" s="89">
        <f t="shared" ref="D76:E76" si="1">AVERAGE(D39,D59,D42)</f>
        <v>0.90519119525204728</v>
      </c>
      <c r="E76" s="89">
        <f t="shared" si="1"/>
        <v>47.81058758709414</v>
      </c>
      <c r="F76" s="89">
        <f>AVERAGE(F39,F59,F42)</f>
        <v>0.1920145625924993</v>
      </c>
      <c r="G76" s="80" t="s">
        <v>1477</v>
      </c>
      <c r="H76" s="80" t="s">
        <v>1470</v>
      </c>
      <c r="I76" s="80" t="s">
        <v>1470</v>
      </c>
      <c r="J76" s="80" t="s">
        <v>1472</v>
      </c>
      <c r="K76" s="80">
        <f>AVERAGE(2,1,1,4)</f>
        <v>2</v>
      </c>
      <c r="L76" s="80" t="s">
        <v>1477</v>
      </c>
      <c r="N76" s="80" t="s">
        <v>1477</v>
      </c>
      <c r="O76" s="80">
        <v>2</v>
      </c>
      <c r="P76" s="80" t="s">
        <v>1477</v>
      </c>
      <c r="Q76" s="80" t="s">
        <v>1504</v>
      </c>
      <c r="R76" s="80" t="s">
        <v>1477</v>
      </c>
      <c r="S76" s="80" t="s">
        <v>1498</v>
      </c>
      <c r="T76" s="80" t="s">
        <v>1477</v>
      </c>
      <c r="U76" s="99" t="s">
        <v>1633</v>
      </c>
      <c r="V76" s="80" t="s">
        <v>1477</v>
      </c>
      <c r="W76" s="80" t="s">
        <v>1638</v>
      </c>
    </row>
    <row r="77" spans="1:23" x14ac:dyDescent="0.2">
      <c r="A77" s="79" t="s">
        <v>1577</v>
      </c>
      <c r="B77" s="80" t="s">
        <v>1469</v>
      </c>
      <c r="C77" s="89">
        <f>AVERAGE(C41,C60,C57)</f>
        <v>7.8906498113029997</v>
      </c>
      <c r="D77" s="89">
        <f t="shared" ref="D77:F77" si="2">AVERAGE(D41,D60,D57)</f>
        <v>0.85850048831793258</v>
      </c>
      <c r="E77" s="89">
        <f t="shared" si="2"/>
        <v>36.578276488162736</v>
      </c>
      <c r="F77" s="89">
        <f t="shared" si="2"/>
        <v>0.16396238384744399</v>
      </c>
      <c r="G77" s="80" t="s">
        <v>1471</v>
      </c>
      <c r="H77" s="80" t="s">
        <v>1477</v>
      </c>
      <c r="I77" s="80" t="s">
        <v>1470</v>
      </c>
      <c r="J77" s="80" t="s">
        <v>1472</v>
      </c>
      <c r="K77" s="80">
        <f>AVERAGE(3,2,1,4)</f>
        <v>2.5</v>
      </c>
      <c r="L77" s="80" t="s">
        <v>1639</v>
      </c>
      <c r="N77" s="80" t="s">
        <v>1471</v>
      </c>
      <c r="O77" s="80">
        <v>3</v>
      </c>
      <c r="P77" s="80" t="s">
        <v>1471</v>
      </c>
      <c r="Q77" s="99" t="s">
        <v>1505</v>
      </c>
      <c r="R77" s="80" t="s">
        <v>1471</v>
      </c>
      <c r="S77" s="80" t="s">
        <v>1499</v>
      </c>
      <c r="T77" s="80" t="s">
        <v>1471</v>
      </c>
      <c r="U77" s="99" t="s">
        <v>1634</v>
      </c>
      <c r="V77" s="80" t="s">
        <v>1471</v>
      </c>
      <c r="W77" s="80" t="s">
        <v>1500</v>
      </c>
    </row>
    <row r="78" spans="1:23" x14ac:dyDescent="0.2">
      <c r="A78" s="79" t="s">
        <v>1578</v>
      </c>
      <c r="B78" s="80" t="s">
        <v>1469</v>
      </c>
      <c r="C78" s="89">
        <f>AVERAGE(C44,C45,C49)</f>
        <v>5.6384843968942731</v>
      </c>
      <c r="D78" s="89">
        <f t="shared" ref="D78:F78" si="3">AVERAGE(D44,D45,D49)</f>
        <v>0.92248891893922336</v>
      </c>
      <c r="E78" s="89">
        <f t="shared" si="3"/>
        <v>47.773018002318103</v>
      </c>
      <c r="F78" s="89">
        <f t="shared" si="3"/>
        <v>0.15350444741884636</v>
      </c>
      <c r="G78" s="80" t="s">
        <v>1471</v>
      </c>
      <c r="H78" s="80" t="s">
        <v>1470</v>
      </c>
      <c r="I78" s="80" t="s">
        <v>1470</v>
      </c>
      <c r="J78" s="80" t="s">
        <v>1472</v>
      </c>
      <c r="K78" s="80">
        <f>AVERAGE(3,1,1,4)</f>
        <v>2.25</v>
      </c>
      <c r="L78" s="80" t="s">
        <v>1477</v>
      </c>
      <c r="N78" s="80" t="s">
        <v>1472</v>
      </c>
      <c r="O78" s="80">
        <v>4</v>
      </c>
      <c r="P78" s="80" t="s">
        <v>1472</v>
      </c>
      <c r="Q78" s="80" t="s">
        <v>1631</v>
      </c>
      <c r="R78" s="80" t="s">
        <v>1472</v>
      </c>
      <c r="S78" s="80" t="s">
        <v>192</v>
      </c>
      <c r="T78" s="80" t="s">
        <v>1472</v>
      </c>
      <c r="U78" s="80" t="s">
        <v>1635</v>
      </c>
      <c r="V78" s="80" t="s">
        <v>1472</v>
      </c>
      <c r="W78" s="80" t="s">
        <v>1501</v>
      </c>
    </row>
    <row r="79" spans="1:23" x14ac:dyDescent="0.2">
      <c r="A79" s="79" t="s">
        <v>1449</v>
      </c>
      <c r="B79" s="80" t="s">
        <v>1469</v>
      </c>
      <c r="C79" s="89">
        <f>AVERAGE(C46,C47,C70)</f>
        <v>4.0121751660906257</v>
      </c>
      <c r="D79" s="89">
        <f t="shared" ref="D79:F79" si="4">AVERAGE(D46,D47,D70)</f>
        <v>0.84155961235068766</v>
      </c>
      <c r="E79" s="89">
        <f t="shared" si="4"/>
        <v>39.526165862000667</v>
      </c>
      <c r="F79" s="89">
        <f t="shared" si="4"/>
        <v>0.308708858735046</v>
      </c>
      <c r="G79" s="80" t="s">
        <v>1471</v>
      </c>
      <c r="H79" s="80" t="s">
        <v>1477</v>
      </c>
      <c r="I79" s="80" t="s">
        <v>1470</v>
      </c>
      <c r="J79" s="80" t="s">
        <v>1477</v>
      </c>
      <c r="K79" s="80">
        <f>AVERAGE(3,2,1,2)</f>
        <v>2</v>
      </c>
      <c r="L79" s="80" t="s">
        <v>1477</v>
      </c>
      <c r="N79" s="82" t="s">
        <v>1118</v>
      </c>
      <c r="O79" s="82">
        <v>5</v>
      </c>
      <c r="P79" s="82" t="s">
        <v>1118</v>
      </c>
      <c r="Q79" s="82" t="s">
        <v>150</v>
      </c>
      <c r="R79" s="82" t="s">
        <v>1118</v>
      </c>
      <c r="S79" s="82" t="s">
        <v>146</v>
      </c>
      <c r="T79" s="82" t="s">
        <v>1118</v>
      </c>
      <c r="U79" s="82" t="s">
        <v>1636</v>
      </c>
      <c r="V79" s="82" t="s">
        <v>1118</v>
      </c>
      <c r="W79" s="82" t="s">
        <v>150</v>
      </c>
    </row>
    <row r="80" spans="1:23" x14ac:dyDescent="0.2">
      <c r="A80" s="79" t="s">
        <v>1448</v>
      </c>
      <c r="B80" s="80" t="s">
        <v>1469</v>
      </c>
      <c r="C80" s="89">
        <f>AVERAGE(C48,C52,C66)</f>
        <v>3.0136613338471281</v>
      </c>
      <c r="D80" s="89">
        <f t="shared" ref="D80:F80" si="5">AVERAGE(D48,D52,D66)</f>
        <v>0.78979791150176559</v>
      </c>
      <c r="E80" s="89">
        <f t="shared" si="5"/>
        <v>32.838770436352199</v>
      </c>
      <c r="F80" s="89">
        <f t="shared" si="5"/>
        <v>8.947183831373591E-2</v>
      </c>
      <c r="G80" s="80" t="s">
        <v>1471</v>
      </c>
      <c r="H80" s="80" t="s">
        <v>1471</v>
      </c>
      <c r="I80" s="80" t="s">
        <v>1470</v>
      </c>
      <c r="J80" s="80" t="s">
        <v>1118</v>
      </c>
      <c r="K80" s="80">
        <f>AVERAGE(3,3,1,5)</f>
        <v>3</v>
      </c>
      <c r="L80" s="80" t="s">
        <v>1471</v>
      </c>
    </row>
    <row r="81" spans="1:12" x14ac:dyDescent="0.2">
      <c r="A81" s="79" t="s">
        <v>1438</v>
      </c>
      <c r="B81" s="80" t="s">
        <v>1469</v>
      </c>
      <c r="C81" s="89">
        <f>AVERAGE(C55,C53,C64)</f>
        <v>2.201176238288252</v>
      </c>
      <c r="D81" s="89">
        <f t="shared" ref="D81:F81" si="6">AVERAGE(D55,D53,D64)</f>
        <v>0.82916384944782529</v>
      </c>
      <c r="E81" s="89">
        <f t="shared" si="6"/>
        <v>27.281865157265063</v>
      </c>
      <c r="F81" s="89">
        <f t="shared" si="6"/>
        <v>0.210099376984589</v>
      </c>
      <c r="G81" s="80" t="s">
        <v>1471</v>
      </c>
      <c r="H81" s="80" t="s">
        <v>1477</v>
      </c>
      <c r="I81" s="80" t="s">
        <v>1477</v>
      </c>
      <c r="J81" s="80" t="s">
        <v>1471</v>
      </c>
      <c r="K81" s="80">
        <f>AVERAGE(3,2,2,3)</f>
        <v>2.5</v>
      </c>
      <c r="L81" s="80" t="s">
        <v>1639</v>
      </c>
    </row>
    <row r="82" spans="1:12" x14ac:dyDescent="0.2">
      <c r="A82" s="79" t="s">
        <v>962</v>
      </c>
      <c r="B82" s="80" t="s">
        <v>1469</v>
      </c>
      <c r="C82" s="89">
        <f>AVERAGE(C68,C54,C56)</f>
        <v>1.98801867968374</v>
      </c>
      <c r="D82" s="89">
        <f t="shared" ref="D82:F82" si="7">AVERAGE(D68,D54,D56)</f>
        <v>0.6759071444669823</v>
      </c>
      <c r="E82" s="89">
        <f t="shared" si="7"/>
        <v>15.763876087011951</v>
      </c>
      <c r="F82" s="89">
        <f t="shared" si="7"/>
        <v>0.23085316267457101</v>
      </c>
      <c r="G82" s="80" t="s">
        <v>1471</v>
      </c>
      <c r="H82" s="80" t="s">
        <v>1472</v>
      </c>
      <c r="I82" s="80" t="s">
        <v>1477</v>
      </c>
      <c r="J82" s="80" t="s">
        <v>1471</v>
      </c>
      <c r="K82" s="80">
        <f>AVERAGE(3,4,2,3)</f>
        <v>3</v>
      </c>
      <c r="L82" s="80" t="s">
        <v>1471</v>
      </c>
    </row>
    <row r="83" spans="1:12" x14ac:dyDescent="0.2">
      <c r="A83" s="79" t="s">
        <v>1450</v>
      </c>
      <c r="B83" s="80" t="s">
        <v>1469</v>
      </c>
      <c r="C83" s="89">
        <f>AVERAGE(C63,C61,C51)</f>
        <v>1.9522603235345002</v>
      </c>
      <c r="D83" s="89">
        <f>AVERAGE(D63,D61,D51)</f>
        <v>0.81440162271805339</v>
      </c>
      <c r="E83" s="89">
        <f>AVERAGE(E63,E61,E51)</f>
        <v>22.8087927438084</v>
      </c>
      <c r="F83" s="89">
        <f>AVERAGE(F63,F61,F51)</f>
        <v>0.14613568038922162</v>
      </c>
      <c r="G83" s="80" t="s">
        <v>1471</v>
      </c>
      <c r="H83" s="80" t="s">
        <v>1477</v>
      </c>
      <c r="I83" s="80" t="s">
        <v>1477</v>
      </c>
      <c r="J83" s="80" t="s">
        <v>1472</v>
      </c>
      <c r="K83" s="80">
        <f>AVERAGE(3,2,2,4)</f>
        <v>2.75</v>
      </c>
      <c r="L83" s="80" t="s">
        <v>1639</v>
      </c>
    </row>
    <row r="84" spans="1:12" x14ac:dyDescent="0.2">
      <c r="A84" s="79" t="s">
        <v>1447</v>
      </c>
      <c r="B84" s="80" t="s">
        <v>1469</v>
      </c>
      <c r="C84" s="89">
        <f>AVERAGE(C50,C69,C62)</f>
        <v>1.7223722293013315</v>
      </c>
      <c r="D84" s="89">
        <f t="shared" ref="D84:F84" si="8">AVERAGE(D50,D69,D62)</f>
        <v>0.75925925925925941</v>
      </c>
      <c r="E84" s="89">
        <f t="shared" si="8"/>
        <v>19.834510794266333</v>
      </c>
      <c r="F84" s="89">
        <f t="shared" si="8"/>
        <v>0.136023290769582</v>
      </c>
      <c r="G84" s="80" t="s">
        <v>1471</v>
      </c>
      <c r="H84" s="80" t="s">
        <v>1471</v>
      </c>
      <c r="I84" s="80" t="s">
        <v>1477</v>
      </c>
      <c r="J84" s="80" t="s">
        <v>1472</v>
      </c>
      <c r="K84" s="80">
        <f>AVERAGE(3,3,2,4)</f>
        <v>3</v>
      </c>
      <c r="L84" s="80" t="s">
        <v>1471</v>
      </c>
    </row>
    <row r="85" spans="1:12" x14ac:dyDescent="0.2">
      <c r="A85" s="81" t="s">
        <v>963</v>
      </c>
      <c r="B85" s="82" t="s">
        <v>1469</v>
      </c>
      <c r="C85" s="90">
        <f>AVERAGE(C67,C58,C65)</f>
        <v>0.9912987369853008</v>
      </c>
      <c r="D85" s="90">
        <f t="shared" ref="D85:F85" si="9">AVERAGE(D67,D58,D65)</f>
        <v>0.64642025392532498</v>
      </c>
      <c r="E85" s="90">
        <f t="shared" si="9"/>
        <v>18.6261968921104</v>
      </c>
      <c r="F85" s="90">
        <f t="shared" si="9"/>
        <v>4.7457965095840771E-2</v>
      </c>
      <c r="G85" s="82" t="s">
        <v>1472</v>
      </c>
      <c r="H85" s="82" t="s">
        <v>1472</v>
      </c>
      <c r="I85" s="82" t="s">
        <v>1477</v>
      </c>
      <c r="J85" s="82" t="s">
        <v>1118</v>
      </c>
      <c r="K85" s="82">
        <f>AVERAGE(4,4,2,5)</f>
        <v>3.75</v>
      </c>
      <c r="L85" s="82" t="s">
        <v>1640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1486</v>
      </c>
    </row>
    <row r="88" spans="1:12" x14ac:dyDescent="0.2">
      <c r="A88" s="153" t="s">
        <v>1482</v>
      </c>
      <c r="B88" s="153"/>
      <c r="C88" s="78" t="s">
        <v>1464</v>
      </c>
      <c r="D88" s="78" t="s">
        <v>1473</v>
      </c>
      <c r="E88" s="78" t="s">
        <v>1475</v>
      </c>
      <c r="F88" s="78" t="s">
        <v>1474</v>
      </c>
    </row>
    <row r="89" spans="1:12" x14ac:dyDescent="0.2">
      <c r="A89" s="147" t="s">
        <v>1465</v>
      </c>
      <c r="B89" s="147"/>
      <c r="C89" s="80" t="s">
        <v>1466</v>
      </c>
      <c r="D89" s="80" t="s">
        <v>1466</v>
      </c>
      <c r="E89" s="80" t="s">
        <v>1466</v>
      </c>
      <c r="F89" s="80" t="s">
        <v>1466</v>
      </c>
    </row>
    <row r="90" spans="1:12" x14ac:dyDescent="0.2">
      <c r="A90" s="147" t="s">
        <v>1576</v>
      </c>
      <c r="B90" s="147"/>
      <c r="C90" s="80" t="s">
        <v>1466</v>
      </c>
      <c r="D90" s="80" t="s">
        <v>1466</v>
      </c>
      <c r="E90" s="80" t="s">
        <v>1466</v>
      </c>
      <c r="F90" s="80" t="s">
        <v>1466</v>
      </c>
    </row>
    <row r="91" spans="1:12" x14ac:dyDescent="0.2">
      <c r="A91" s="147" t="s">
        <v>1577</v>
      </c>
      <c r="B91" s="147"/>
      <c r="C91" s="80" t="s">
        <v>1466</v>
      </c>
      <c r="D91" s="80" t="s">
        <v>1466</v>
      </c>
      <c r="E91" s="80" t="s">
        <v>1466</v>
      </c>
      <c r="F91" s="80" t="s">
        <v>1466</v>
      </c>
    </row>
    <row r="92" spans="1:12" x14ac:dyDescent="0.2">
      <c r="A92" s="147" t="s">
        <v>1578</v>
      </c>
      <c r="B92" s="147"/>
      <c r="C92" s="80" t="s">
        <v>1466</v>
      </c>
      <c r="D92" s="80" t="s">
        <v>1467</v>
      </c>
      <c r="E92" s="80" t="s">
        <v>1466</v>
      </c>
      <c r="F92" s="80" t="s">
        <v>1466</v>
      </c>
    </row>
    <row r="93" spans="1:12" x14ac:dyDescent="0.2">
      <c r="A93" s="147" t="s">
        <v>1449</v>
      </c>
      <c r="B93" s="147"/>
      <c r="C93" s="80" t="s">
        <v>1466</v>
      </c>
      <c r="D93" s="80" t="s">
        <v>1467</v>
      </c>
      <c r="E93" s="80" t="s">
        <v>1467</v>
      </c>
      <c r="F93" s="80" t="s">
        <v>1467</v>
      </c>
    </row>
    <row r="94" spans="1:12" x14ac:dyDescent="0.2">
      <c r="A94" s="147" t="s">
        <v>1448</v>
      </c>
      <c r="B94" s="147"/>
      <c r="C94" s="80" t="s">
        <v>1467</v>
      </c>
      <c r="D94" s="80" t="s">
        <v>1467</v>
      </c>
      <c r="E94" s="80" t="s">
        <v>1476</v>
      </c>
      <c r="F94" s="80" t="s">
        <v>1467</v>
      </c>
    </row>
    <row r="95" spans="1:12" x14ac:dyDescent="0.2">
      <c r="A95" s="147" t="s">
        <v>1438</v>
      </c>
      <c r="B95" s="147"/>
      <c r="C95" s="80" t="s">
        <v>1466</v>
      </c>
      <c r="D95" s="80" t="s">
        <v>1466</v>
      </c>
      <c r="E95" s="80" t="s">
        <v>1466</v>
      </c>
      <c r="F95" s="80" t="s">
        <v>1466</v>
      </c>
    </row>
    <row r="96" spans="1:12" x14ac:dyDescent="0.2">
      <c r="A96" s="147" t="s">
        <v>962</v>
      </c>
      <c r="B96" s="147"/>
      <c r="C96" s="80" t="s">
        <v>1467</v>
      </c>
      <c r="D96" s="80" t="s">
        <v>1468</v>
      </c>
      <c r="E96" s="80" t="s">
        <v>1468</v>
      </c>
      <c r="F96" s="80" t="s">
        <v>1466</v>
      </c>
    </row>
    <row r="97" spans="1:6" x14ac:dyDescent="0.2">
      <c r="A97" s="147" t="s">
        <v>1447</v>
      </c>
      <c r="B97" s="147"/>
      <c r="C97" s="80" t="s">
        <v>1466</v>
      </c>
      <c r="D97" s="80" t="s">
        <v>1466</v>
      </c>
      <c r="E97" s="80" t="s">
        <v>1466</v>
      </c>
      <c r="F97" s="80" t="s">
        <v>1468</v>
      </c>
    </row>
    <row r="98" spans="1:6" x14ac:dyDescent="0.2">
      <c r="A98" s="147" t="s">
        <v>963</v>
      </c>
      <c r="B98" s="147"/>
      <c r="C98" s="80" t="s">
        <v>1468</v>
      </c>
      <c r="D98" s="80" t="s">
        <v>1468</v>
      </c>
      <c r="E98" s="80" t="s">
        <v>1468</v>
      </c>
      <c r="F98" s="80" t="s">
        <v>1466</v>
      </c>
    </row>
    <row r="99" spans="1:6" x14ac:dyDescent="0.2">
      <c r="A99" s="145" t="s">
        <v>1450</v>
      </c>
      <c r="B99" s="145"/>
      <c r="C99" s="82" t="s">
        <v>1468</v>
      </c>
      <c r="D99" s="82" t="s">
        <v>1468</v>
      </c>
      <c r="E99" s="82" t="s">
        <v>1468</v>
      </c>
      <c r="F99" s="82" t="s">
        <v>1468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1487</v>
      </c>
      <c r="B101" s="52"/>
    </row>
    <row r="102" spans="1:6" x14ac:dyDescent="0.2">
      <c r="A102" s="154" t="s">
        <v>1483</v>
      </c>
      <c r="B102" s="154"/>
      <c r="C102" s="83" t="s">
        <v>1464</v>
      </c>
      <c r="D102" s="83" t="s">
        <v>1473</v>
      </c>
      <c r="E102" s="83" t="s">
        <v>1475</v>
      </c>
      <c r="F102" s="83" t="s">
        <v>1474</v>
      </c>
    </row>
    <row r="103" spans="1:6" x14ac:dyDescent="0.2">
      <c r="A103" s="146" t="s">
        <v>1466</v>
      </c>
      <c r="B103" s="146"/>
      <c r="C103" s="93">
        <v>7</v>
      </c>
      <c r="D103" s="93">
        <v>5</v>
      </c>
      <c r="E103" s="93">
        <v>6</v>
      </c>
      <c r="F103" s="93">
        <v>7</v>
      </c>
    </row>
    <row r="104" spans="1:6" x14ac:dyDescent="0.2">
      <c r="A104" s="147" t="s">
        <v>1467</v>
      </c>
      <c r="B104" s="147"/>
      <c r="C104" s="80">
        <v>2</v>
      </c>
      <c r="D104" s="80">
        <v>3</v>
      </c>
      <c r="E104" s="80">
        <v>2</v>
      </c>
      <c r="F104" s="80">
        <v>2</v>
      </c>
    </row>
    <row r="105" spans="1:6" x14ac:dyDescent="0.2">
      <c r="A105" s="147" t="s">
        <v>1468</v>
      </c>
      <c r="B105" s="147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A9:A10"/>
    <mergeCell ref="Z9:AB9"/>
    <mergeCell ref="N9:S9"/>
    <mergeCell ref="B9:G9"/>
    <mergeCell ref="H9:M9"/>
    <mergeCell ref="T9:Y9"/>
    <mergeCell ref="A97:B97"/>
    <mergeCell ref="A98:B98"/>
    <mergeCell ref="A89:B89"/>
    <mergeCell ref="A90:B90"/>
    <mergeCell ref="A91:B91"/>
    <mergeCell ref="A92:B92"/>
    <mergeCell ref="A93:B9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P73:Q73"/>
    <mergeCell ref="R73:S73"/>
    <mergeCell ref="T73:U73"/>
    <mergeCell ref="V73:W73"/>
    <mergeCell ref="N73:O7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tabSelected="1"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1630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1114</v>
      </c>
      <c r="G1" s="3" t="s">
        <v>1050</v>
      </c>
      <c r="H1" s="3" t="s">
        <v>1051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1054</v>
      </c>
      <c r="G2" s="1" t="s">
        <v>1052</v>
      </c>
      <c r="H2" s="1" t="s">
        <v>1072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1054</v>
      </c>
      <c r="G3" s="1" t="s">
        <v>1052</v>
      </c>
      <c r="H3" s="1" t="s">
        <v>1072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1054</v>
      </c>
      <c r="G4" s="1" t="s">
        <v>1052</v>
      </c>
      <c r="H4" s="1" t="s">
        <v>1072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1054</v>
      </c>
      <c r="G5" s="1" t="s">
        <v>1052</v>
      </c>
      <c r="H5" s="1" t="s">
        <v>1072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1054</v>
      </c>
      <c r="G6" s="1" t="s">
        <v>1052</v>
      </c>
      <c r="H6" s="1" t="s">
        <v>1072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1058</v>
      </c>
      <c r="G7" s="1" t="s">
        <v>1052</v>
      </c>
      <c r="H7" s="1" t="s">
        <v>1055</v>
      </c>
      <c r="I7" s="18" t="s">
        <v>440</v>
      </c>
    </row>
    <row r="8" spans="1:9" x14ac:dyDescent="0.2">
      <c r="A8" s="23" t="s">
        <v>1629</v>
      </c>
      <c r="B8" s="4" t="s">
        <v>1060</v>
      </c>
      <c r="C8" s="1" t="s">
        <v>132</v>
      </c>
      <c r="D8" s="1" t="s">
        <v>119</v>
      </c>
      <c r="E8" s="1">
        <v>0.1</v>
      </c>
      <c r="F8" s="1" t="s">
        <v>1058</v>
      </c>
      <c r="G8" s="1" t="s">
        <v>1052</v>
      </c>
      <c r="H8" s="1" t="s">
        <v>1059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1058</v>
      </c>
      <c r="G9" s="1" t="s">
        <v>1052</v>
      </c>
      <c r="H9" s="1" t="s">
        <v>1055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1058</v>
      </c>
      <c r="G10" s="1" t="s">
        <v>1052</v>
      </c>
      <c r="H10" s="1" t="s">
        <v>1055</v>
      </c>
      <c r="I10" s="1" t="s">
        <v>79</v>
      </c>
    </row>
    <row r="11" spans="1:9" x14ac:dyDescent="0.2">
      <c r="A11" s="23" t="s">
        <v>75</v>
      </c>
      <c r="B11" s="4" t="s">
        <v>1060</v>
      </c>
      <c r="C11" s="1" t="s">
        <v>132</v>
      </c>
      <c r="D11" s="1" t="s">
        <v>122</v>
      </c>
      <c r="E11" s="1">
        <v>0.1</v>
      </c>
      <c r="F11" s="1" t="s">
        <v>1058</v>
      </c>
      <c r="G11" s="1" t="s">
        <v>1052</v>
      </c>
      <c r="H11" s="1" t="s">
        <v>1059</v>
      </c>
      <c r="I11" s="1" t="s">
        <v>80</v>
      </c>
    </row>
    <row r="12" spans="1:9" x14ac:dyDescent="0.2">
      <c r="A12" s="23" t="s">
        <v>76</v>
      </c>
      <c r="B12" s="4" t="s">
        <v>1060</v>
      </c>
      <c r="C12" s="1" t="s">
        <v>132</v>
      </c>
      <c r="D12" s="1" t="s">
        <v>122</v>
      </c>
      <c r="E12" s="1">
        <v>0.1</v>
      </c>
      <c r="F12" s="1" t="s">
        <v>1058</v>
      </c>
      <c r="G12" s="1" t="s">
        <v>1052</v>
      </c>
      <c r="H12" s="1" t="s">
        <v>1059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1058</v>
      </c>
      <c r="G13" s="1" t="s">
        <v>1052</v>
      </c>
      <c r="H13" s="1" t="s">
        <v>1055</v>
      </c>
      <c r="I13" s="1" t="s">
        <v>440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1058</v>
      </c>
      <c r="G14" s="1" t="s">
        <v>1052</v>
      </c>
      <c r="H14" s="1" t="s">
        <v>1055</v>
      </c>
      <c r="I14" s="1" t="s">
        <v>440</v>
      </c>
    </row>
    <row r="15" spans="1:9" x14ac:dyDescent="0.2">
      <c r="A15" s="23" t="s">
        <v>90</v>
      </c>
      <c r="B15" s="1" t="s">
        <v>1064</v>
      </c>
      <c r="C15" s="1" t="s">
        <v>118</v>
      </c>
      <c r="D15" s="1" t="s">
        <v>138</v>
      </c>
      <c r="E15" s="1">
        <v>0.2</v>
      </c>
      <c r="F15" s="1" t="s">
        <v>1058</v>
      </c>
      <c r="G15" s="1" t="s">
        <v>1052</v>
      </c>
      <c r="H15" s="1" t="s">
        <v>1055</v>
      </c>
      <c r="I15" s="1" t="s">
        <v>440</v>
      </c>
    </row>
    <row r="16" spans="1:9" x14ac:dyDescent="0.2">
      <c r="A16" s="23" t="s">
        <v>91</v>
      </c>
      <c r="B16" s="1" t="s">
        <v>396</v>
      </c>
      <c r="C16" s="1" t="s">
        <v>118</v>
      </c>
      <c r="D16" s="1" t="s">
        <v>138</v>
      </c>
      <c r="E16" s="1">
        <v>0.2</v>
      </c>
      <c r="F16" s="1" t="s">
        <v>1058</v>
      </c>
      <c r="G16" s="1" t="s">
        <v>1052</v>
      </c>
      <c r="H16" s="1" t="s">
        <v>1055</v>
      </c>
      <c r="I16" s="1" t="s">
        <v>440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1058</v>
      </c>
      <c r="G17" s="1" t="s">
        <v>1052</v>
      </c>
      <c r="H17" s="1" t="s">
        <v>1055</v>
      </c>
      <c r="I17" s="18" t="s">
        <v>440</v>
      </c>
    </row>
    <row r="18" spans="1:9" x14ac:dyDescent="0.2">
      <c r="A18" s="23" t="s">
        <v>92</v>
      </c>
      <c r="B18" s="1" t="s">
        <v>1047</v>
      </c>
      <c r="C18" s="1" t="s">
        <v>118</v>
      </c>
      <c r="D18" s="1" t="s">
        <v>139</v>
      </c>
      <c r="E18" s="1">
        <v>0.8</v>
      </c>
      <c r="F18" s="1" t="s">
        <v>1058</v>
      </c>
      <c r="G18" s="1" t="s">
        <v>1052</v>
      </c>
      <c r="H18" s="1" t="s">
        <v>1072</v>
      </c>
      <c r="I18" s="1" t="s">
        <v>105</v>
      </c>
    </row>
    <row r="19" spans="1:9" x14ac:dyDescent="0.2">
      <c r="A19" s="23" t="s">
        <v>92</v>
      </c>
      <c r="B19" s="1" t="s">
        <v>1046</v>
      </c>
      <c r="C19" s="1" t="s">
        <v>118</v>
      </c>
      <c r="D19" s="1" t="s">
        <v>139</v>
      </c>
      <c r="E19" s="1">
        <v>1</v>
      </c>
      <c r="F19" s="1" t="s">
        <v>1058</v>
      </c>
      <c r="G19" s="1" t="s">
        <v>1052</v>
      </c>
      <c r="H19" s="1" t="s">
        <v>1072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1058</v>
      </c>
      <c r="G20" s="1" t="s">
        <v>1052</v>
      </c>
      <c r="H20" s="1" t="s">
        <v>1062</v>
      </c>
      <c r="I20" s="1" t="s">
        <v>529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1058</v>
      </c>
      <c r="G21" s="1" t="s">
        <v>1056</v>
      </c>
      <c r="H21" s="1" t="s">
        <v>1057</v>
      </c>
      <c r="I21" s="1" t="s">
        <v>601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1058</v>
      </c>
      <c r="G22" s="1" t="s">
        <v>1052</v>
      </c>
      <c r="H22" s="1" t="s">
        <v>1065</v>
      </c>
      <c r="I22" s="1" t="s">
        <v>97</v>
      </c>
    </row>
    <row r="23" spans="1:9" x14ac:dyDescent="0.2">
      <c r="A23" s="23" t="s">
        <v>95</v>
      </c>
      <c r="B23" s="1" t="s">
        <v>1068</v>
      </c>
      <c r="C23" s="1" t="s">
        <v>118</v>
      </c>
      <c r="D23" s="1" t="s">
        <v>139</v>
      </c>
      <c r="E23" s="1">
        <v>0.126</v>
      </c>
      <c r="F23" s="1" t="s">
        <v>1058</v>
      </c>
      <c r="G23" s="1" t="s">
        <v>1052</v>
      </c>
      <c r="H23" s="1" t="s">
        <v>1065</v>
      </c>
      <c r="I23" s="1" t="s">
        <v>97</v>
      </c>
    </row>
    <row r="24" spans="1:9" x14ac:dyDescent="0.2">
      <c r="A24" s="23" t="s">
        <v>96</v>
      </c>
      <c r="B24" s="1" t="s">
        <v>1063</v>
      </c>
      <c r="C24" s="1" t="s">
        <v>118</v>
      </c>
      <c r="D24" s="1" t="s">
        <v>139</v>
      </c>
      <c r="E24" s="1">
        <v>0.2</v>
      </c>
      <c r="F24" s="1" t="s">
        <v>1058</v>
      </c>
      <c r="G24" s="1" t="s">
        <v>1052</v>
      </c>
      <c r="H24" s="1" t="s">
        <v>1055</v>
      </c>
      <c r="I24" s="1" t="s">
        <v>440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1058</v>
      </c>
      <c r="G25" s="1" t="s">
        <v>1052</v>
      </c>
      <c r="H25" s="1" t="s">
        <v>1072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1058</v>
      </c>
      <c r="G26" s="1" t="s">
        <v>1052</v>
      </c>
      <c r="H26" s="1" t="s">
        <v>1072</v>
      </c>
      <c r="I26" s="1" t="s">
        <v>105</v>
      </c>
    </row>
    <row r="27" spans="1:9" s="3" customFormat="1" x14ac:dyDescent="0.2">
      <c r="A27" s="14" t="s">
        <v>99</v>
      </c>
      <c r="B27" s="5" t="s">
        <v>976</v>
      </c>
      <c r="C27" s="1" t="s">
        <v>118</v>
      </c>
      <c r="D27" s="1" t="s">
        <v>139</v>
      </c>
      <c r="E27" s="5">
        <v>1.2999999999999999E-2</v>
      </c>
      <c r="F27" s="1" t="s">
        <v>1058</v>
      </c>
      <c r="G27" s="1" t="s">
        <v>1052</v>
      </c>
      <c r="H27" s="1" t="s">
        <v>1062</v>
      </c>
      <c r="I27" s="1" t="s">
        <v>100</v>
      </c>
    </row>
    <row r="28" spans="1:9" s="3" customFormat="1" x14ac:dyDescent="0.2">
      <c r="A28" s="14" t="s">
        <v>451</v>
      </c>
      <c r="B28" s="5" t="s">
        <v>1078</v>
      </c>
      <c r="C28" s="1" t="s">
        <v>118</v>
      </c>
      <c r="D28" s="1" t="s">
        <v>139</v>
      </c>
      <c r="E28" s="5">
        <v>0.25</v>
      </c>
      <c r="F28" s="1" t="s">
        <v>1058</v>
      </c>
      <c r="G28" s="1" t="s">
        <v>1056</v>
      </c>
      <c r="H28" s="1" t="s">
        <v>1057</v>
      </c>
      <c r="I28" s="1" t="s">
        <v>452</v>
      </c>
    </row>
    <row r="29" spans="1:9" s="3" customFormat="1" x14ac:dyDescent="0.2">
      <c r="A29" s="14" t="s">
        <v>530</v>
      </c>
      <c r="B29" s="5" t="s">
        <v>1060</v>
      </c>
      <c r="C29" s="1" t="s">
        <v>118</v>
      </c>
      <c r="D29" s="1" t="s">
        <v>139</v>
      </c>
      <c r="E29" s="5">
        <v>0.14610000000000001</v>
      </c>
      <c r="F29" s="1" t="s">
        <v>1058</v>
      </c>
      <c r="G29" s="5" t="s">
        <v>1052</v>
      </c>
      <c r="H29" s="1" t="s">
        <v>1062</v>
      </c>
      <c r="I29" s="1" t="s">
        <v>529</v>
      </c>
    </row>
    <row r="30" spans="1:9" s="3" customFormat="1" x14ac:dyDescent="0.2">
      <c r="A30" s="14" t="s">
        <v>531</v>
      </c>
      <c r="B30" s="5" t="s">
        <v>1060</v>
      </c>
      <c r="C30" s="1" t="s">
        <v>118</v>
      </c>
      <c r="D30" s="1" t="s">
        <v>139</v>
      </c>
      <c r="E30" s="5">
        <v>0.1671</v>
      </c>
      <c r="F30" s="1" t="s">
        <v>1058</v>
      </c>
      <c r="G30" s="5" t="s">
        <v>1052</v>
      </c>
      <c r="H30" s="1" t="s">
        <v>1062</v>
      </c>
      <c r="I30" s="1" t="s">
        <v>529</v>
      </c>
    </row>
    <row r="31" spans="1:9" s="3" customFormat="1" x14ac:dyDescent="0.2">
      <c r="A31" s="14" t="s">
        <v>532</v>
      </c>
      <c r="B31" s="5" t="s">
        <v>1060</v>
      </c>
      <c r="C31" s="1" t="s">
        <v>118</v>
      </c>
      <c r="D31" s="1" t="s">
        <v>139</v>
      </c>
      <c r="E31" s="5">
        <v>0.1067</v>
      </c>
      <c r="F31" s="1" t="s">
        <v>1058</v>
      </c>
      <c r="G31" s="5" t="s">
        <v>1052</v>
      </c>
      <c r="H31" s="1" t="s">
        <v>1062</v>
      </c>
      <c r="I31" s="1" t="s">
        <v>529</v>
      </c>
    </row>
    <row r="32" spans="1:9" x14ac:dyDescent="0.2">
      <c r="A32" s="23" t="s">
        <v>103</v>
      </c>
      <c r="B32" s="1" t="s">
        <v>1077</v>
      </c>
      <c r="C32" s="1" t="s">
        <v>118</v>
      </c>
      <c r="D32" s="1" t="s">
        <v>137</v>
      </c>
      <c r="E32" s="1">
        <v>0.19980000000000001</v>
      </c>
      <c r="F32" s="1" t="s">
        <v>1058</v>
      </c>
      <c r="G32" s="1" t="s">
        <v>1056</v>
      </c>
      <c r="H32" s="1" t="s">
        <v>1057</v>
      </c>
      <c r="I32" s="1" t="s">
        <v>104</v>
      </c>
    </row>
    <row r="33" spans="1:9" x14ac:dyDescent="0.2">
      <c r="A33" s="23" t="s">
        <v>98</v>
      </c>
      <c r="B33" s="1" t="s">
        <v>975</v>
      </c>
      <c r="C33" s="1" t="s">
        <v>118</v>
      </c>
      <c r="D33" s="1" t="s">
        <v>140</v>
      </c>
      <c r="E33" s="1">
        <v>4.9299999999999997E-2</v>
      </c>
      <c r="F33" s="1" t="s">
        <v>1058</v>
      </c>
      <c r="G33" s="1" t="s">
        <v>1052</v>
      </c>
      <c r="H33" s="1" t="s">
        <v>1062</v>
      </c>
      <c r="I33" s="1" t="s">
        <v>100</v>
      </c>
    </row>
    <row r="34" spans="1:9" x14ac:dyDescent="0.2">
      <c r="A34" s="23" t="s">
        <v>152</v>
      </c>
      <c r="B34" s="1" t="s">
        <v>973</v>
      </c>
      <c r="C34" s="1" t="s">
        <v>151</v>
      </c>
      <c r="D34" s="1" t="s">
        <v>153</v>
      </c>
      <c r="E34" s="1">
        <v>0.26500000000000001</v>
      </c>
      <c r="F34" s="1" t="s">
        <v>1058</v>
      </c>
      <c r="G34" s="1" t="s">
        <v>1052</v>
      </c>
      <c r="H34" s="1" t="s">
        <v>1053</v>
      </c>
      <c r="I34" s="1" t="s">
        <v>440</v>
      </c>
    </row>
    <row r="35" spans="1:9" x14ac:dyDescent="0.2">
      <c r="A35" s="23" t="s">
        <v>157</v>
      </c>
      <c r="B35" s="1" t="s">
        <v>978</v>
      </c>
      <c r="C35" s="1" t="s">
        <v>151</v>
      </c>
      <c r="D35" s="1" t="s">
        <v>153</v>
      </c>
      <c r="E35" s="1">
        <v>9.1999999999999998E-2</v>
      </c>
      <c r="F35" s="1" t="s">
        <v>1058</v>
      </c>
      <c r="G35" s="1" t="s">
        <v>1052</v>
      </c>
      <c r="H35" s="1" t="s">
        <v>1055</v>
      </c>
      <c r="I35" s="1" t="s">
        <v>528</v>
      </c>
    </row>
    <row r="36" spans="1:9" x14ac:dyDescent="0.2">
      <c r="A36" s="23" t="s">
        <v>158</v>
      </c>
      <c r="B36" s="1" t="s">
        <v>977</v>
      </c>
      <c r="C36" s="1" t="s">
        <v>151</v>
      </c>
      <c r="D36" s="1" t="s">
        <v>153</v>
      </c>
      <c r="E36" s="1">
        <v>0.11</v>
      </c>
      <c r="F36" s="1" t="s">
        <v>1058</v>
      </c>
      <c r="G36" s="1" t="s">
        <v>1052</v>
      </c>
      <c r="H36" s="1" t="s">
        <v>1055</v>
      </c>
      <c r="I36" s="1" t="s">
        <v>528</v>
      </c>
    </row>
    <row r="37" spans="1:9" x14ac:dyDescent="0.2">
      <c r="A37" s="23" t="s">
        <v>159</v>
      </c>
      <c r="B37" s="1" t="s">
        <v>977</v>
      </c>
      <c r="C37" s="1" t="s">
        <v>151</v>
      </c>
      <c r="D37" s="1" t="s">
        <v>153</v>
      </c>
      <c r="E37" s="1">
        <v>0.21099999999999999</v>
      </c>
      <c r="F37" s="1" t="s">
        <v>1058</v>
      </c>
      <c r="G37" s="1" t="s">
        <v>1052</v>
      </c>
      <c r="H37" s="1" t="s">
        <v>1055</v>
      </c>
      <c r="I37" s="1" t="s">
        <v>528</v>
      </c>
    </row>
    <row r="38" spans="1:9" x14ac:dyDescent="0.2">
      <c r="A38" s="23" t="s">
        <v>161</v>
      </c>
      <c r="B38" s="1" t="s">
        <v>162</v>
      </c>
      <c r="C38" s="1" t="s">
        <v>1198</v>
      </c>
      <c r="D38" s="1" t="s">
        <v>53</v>
      </c>
      <c r="E38" s="1">
        <v>0.96299999999999997</v>
      </c>
      <c r="F38" s="1" t="s">
        <v>1058</v>
      </c>
      <c r="G38" s="1" t="s">
        <v>1052</v>
      </c>
      <c r="H38" s="1" t="s">
        <v>1053</v>
      </c>
      <c r="I38" s="1" t="s">
        <v>1199</v>
      </c>
    </row>
    <row r="39" spans="1:9" x14ac:dyDescent="0.2">
      <c r="A39" s="23" t="s">
        <v>163</v>
      </c>
      <c r="B39" s="1" t="s">
        <v>164</v>
      </c>
      <c r="C39" s="1" t="s">
        <v>1198</v>
      </c>
      <c r="D39" s="1" t="s">
        <v>53</v>
      </c>
      <c r="E39" s="1">
        <v>0.433</v>
      </c>
      <c r="F39" s="1" t="s">
        <v>1058</v>
      </c>
      <c r="G39" s="1" t="s">
        <v>1052</v>
      </c>
      <c r="H39" s="1" t="s">
        <v>1053</v>
      </c>
      <c r="I39" s="1" t="s">
        <v>1199</v>
      </c>
    </row>
    <row r="40" spans="1:9" x14ac:dyDescent="0.2">
      <c r="A40" s="23" t="s">
        <v>165</v>
      </c>
      <c r="B40" s="1" t="s">
        <v>166</v>
      </c>
      <c r="C40" s="1" t="s">
        <v>1198</v>
      </c>
      <c r="D40" s="1" t="s">
        <v>53</v>
      </c>
      <c r="E40" s="1">
        <v>0.41599999999999998</v>
      </c>
      <c r="F40" s="1" t="s">
        <v>1058</v>
      </c>
      <c r="G40" s="1" t="s">
        <v>1052</v>
      </c>
      <c r="H40" s="1" t="s">
        <v>1053</v>
      </c>
      <c r="I40" s="1" t="s">
        <v>1199</v>
      </c>
    </row>
    <row r="41" spans="1:9" x14ac:dyDescent="0.2">
      <c r="A41" s="23" t="s">
        <v>167</v>
      </c>
      <c r="B41" s="1" t="s">
        <v>168</v>
      </c>
      <c r="C41" s="1" t="s">
        <v>1198</v>
      </c>
      <c r="D41" s="1" t="s">
        <v>53</v>
      </c>
      <c r="E41" s="1">
        <v>0.40300000000000002</v>
      </c>
      <c r="F41" s="1" t="s">
        <v>1058</v>
      </c>
      <c r="G41" s="1" t="s">
        <v>1052</v>
      </c>
      <c r="H41" s="1" t="s">
        <v>1053</v>
      </c>
      <c r="I41" s="1" t="s">
        <v>1199</v>
      </c>
    </row>
    <row r="42" spans="1:9" x14ac:dyDescent="0.2">
      <c r="A42" s="23" t="s">
        <v>169</v>
      </c>
      <c r="B42" s="1" t="s">
        <v>170</v>
      </c>
      <c r="C42" s="1" t="s">
        <v>1198</v>
      </c>
      <c r="D42" s="1" t="s">
        <v>53</v>
      </c>
      <c r="E42" s="1">
        <v>0.39800000000000002</v>
      </c>
      <c r="F42" s="1" t="s">
        <v>1058</v>
      </c>
      <c r="G42" s="1" t="s">
        <v>1052</v>
      </c>
      <c r="H42" s="1" t="s">
        <v>1053</v>
      </c>
      <c r="I42" s="1" t="s">
        <v>1199</v>
      </c>
    </row>
    <row r="43" spans="1:9" x14ac:dyDescent="0.2">
      <c r="A43" s="23" t="s">
        <v>438</v>
      </c>
      <c r="B43" s="1" t="s">
        <v>974</v>
      </c>
      <c r="C43" s="1" t="s">
        <v>1198</v>
      </c>
      <c r="D43" s="1" t="s">
        <v>53</v>
      </c>
      <c r="E43" s="1">
        <v>0.40400000000000003</v>
      </c>
      <c r="F43" s="1" t="s">
        <v>1058</v>
      </c>
      <c r="G43" s="1" t="s">
        <v>1052</v>
      </c>
      <c r="H43" s="1" t="s">
        <v>1065</v>
      </c>
      <c r="I43" s="1" t="s">
        <v>439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1058</v>
      </c>
      <c r="G44" s="1" t="s">
        <v>1052</v>
      </c>
      <c r="H44" s="1" t="s">
        <v>1053</v>
      </c>
      <c r="I44" s="1" t="s">
        <v>1199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1058</v>
      </c>
      <c r="G45" s="1" t="s">
        <v>1052</v>
      </c>
      <c r="H45" s="1" t="s">
        <v>1053</v>
      </c>
      <c r="I45" s="1" t="s">
        <v>1199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1058</v>
      </c>
      <c r="G46" s="1" t="s">
        <v>1052</v>
      </c>
      <c r="H46" s="1" t="s">
        <v>1053</v>
      </c>
      <c r="I46" s="1" t="s">
        <v>1199</v>
      </c>
    </row>
    <row r="47" spans="1:9" x14ac:dyDescent="0.2">
      <c r="A47" s="23" t="s">
        <v>179</v>
      </c>
      <c r="B47" s="1" t="s">
        <v>1060</v>
      </c>
      <c r="C47" s="1" t="s">
        <v>173</v>
      </c>
      <c r="D47" s="1" t="s">
        <v>174</v>
      </c>
      <c r="E47" s="1">
        <v>0.18440000000000001</v>
      </c>
      <c r="F47" s="1" t="s">
        <v>1058</v>
      </c>
      <c r="G47" s="1" t="s">
        <v>1052</v>
      </c>
      <c r="H47" s="1" t="s">
        <v>1053</v>
      </c>
      <c r="I47" s="1" t="s">
        <v>1199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1058</v>
      </c>
      <c r="G48" s="1" t="s">
        <v>1052</v>
      </c>
      <c r="H48" s="1" t="s">
        <v>1053</v>
      </c>
      <c r="I48" s="1" t="s">
        <v>1199</v>
      </c>
    </row>
    <row r="49" spans="1:9" x14ac:dyDescent="0.2">
      <c r="A49" s="23" t="s">
        <v>198</v>
      </c>
      <c r="B49" s="1" t="s">
        <v>1060</v>
      </c>
      <c r="C49" s="1" t="s">
        <v>173</v>
      </c>
      <c r="D49" s="1" t="s">
        <v>174</v>
      </c>
      <c r="E49" s="1" t="s">
        <v>1060</v>
      </c>
      <c r="F49" s="1" t="s">
        <v>1058</v>
      </c>
      <c r="G49" s="1" t="s">
        <v>1052</v>
      </c>
      <c r="H49" s="1" t="s">
        <v>1053</v>
      </c>
      <c r="I49" s="1" t="s">
        <v>1199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1058</v>
      </c>
      <c r="G50" s="1" t="s">
        <v>1052</v>
      </c>
      <c r="H50" s="1" t="s">
        <v>1053</v>
      </c>
      <c r="I50" s="1" t="s">
        <v>1199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1058</v>
      </c>
      <c r="G51" s="1" t="s">
        <v>1052</v>
      </c>
      <c r="H51" s="1" t="s">
        <v>1053</v>
      </c>
      <c r="I51" s="1" t="s">
        <v>1199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1058</v>
      </c>
      <c r="G52" s="1" t="s">
        <v>1052</v>
      </c>
      <c r="H52" s="1" t="s">
        <v>1053</v>
      </c>
      <c r="I52" s="1" t="s">
        <v>1199</v>
      </c>
    </row>
    <row r="53" spans="1:9" x14ac:dyDescent="0.2">
      <c r="A53" s="23" t="s">
        <v>283</v>
      </c>
      <c r="B53" s="1" t="s">
        <v>978</v>
      </c>
      <c r="C53" s="1" t="s">
        <v>183</v>
      </c>
      <c r="D53" s="1" t="s">
        <v>184</v>
      </c>
      <c r="E53" s="1">
        <v>2.0036</v>
      </c>
      <c r="F53" s="1" t="s">
        <v>1058</v>
      </c>
      <c r="G53" s="1" t="s">
        <v>1070</v>
      </c>
      <c r="H53" s="1" t="s">
        <v>1069</v>
      </c>
      <c r="I53" s="1" t="s">
        <v>516</v>
      </c>
    </row>
    <row r="54" spans="1:9" x14ac:dyDescent="0.2">
      <c r="A54" s="23" t="s">
        <v>284</v>
      </c>
      <c r="B54" s="1" t="s">
        <v>978</v>
      </c>
      <c r="C54" s="1" t="s">
        <v>183</v>
      </c>
      <c r="D54" s="1" t="s">
        <v>285</v>
      </c>
      <c r="E54" s="1">
        <v>1.5036</v>
      </c>
      <c r="F54" s="1" t="s">
        <v>1058</v>
      </c>
      <c r="G54" s="1" t="s">
        <v>1070</v>
      </c>
      <c r="H54" s="1" t="s">
        <v>1069</v>
      </c>
      <c r="I54" s="1" t="s">
        <v>516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1058</v>
      </c>
      <c r="G55" s="1" t="s">
        <v>1070</v>
      </c>
      <c r="H55" s="1" t="s">
        <v>1069</v>
      </c>
      <c r="I55" s="1" t="s">
        <v>1200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1058</v>
      </c>
      <c r="G56" s="1" t="s">
        <v>1070</v>
      </c>
      <c r="H56" s="1" t="s">
        <v>1069</v>
      </c>
      <c r="I56" s="1" t="s">
        <v>1200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1058</v>
      </c>
      <c r="G57" s="1" t="s">
        <v>1070</v>
      </c>
      <c r="H57" s="1" t="s">
        <v>1069</v>
      </c>
      <c r="I57" s="1" t="s">
        <v>1200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1058</v>
      </c>
      <c r="G58" s="1" t="s">
        <v>1070</v>
      </c>
      <c r="H58" s="1" t="s">
        <v>1069</v>
      </c>
      <c r="I58" s="1" t="s">
        <v>1200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1058</v>
      </c>
      <c r="G59" s="1" t="s">
        <v>1070</v>
      </c>
      <c r="H59" s="1" t="s">
        <v>1069</v>
      </c>
      <c r="I59" s="1" t="s">
        <v>1200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1058</v>
      </c>
      <c r="G60" s="1" t="s">
        <v>1070</v>
      </c>
      <c r="H60" s="1" t="s">
        <v>1069</v>
      </c>
      <c r="I60" s="1" t="s">
        <v>1200</v>
      </c>
    </row>
    <row r="61" spans="1:9" x14ac:dyDescent="0.2">
      <c r="A61" s="23" t="s">
        <v>244</v>
      </c>
      <c r="B61" s="1" t="s">
        <v>1060</v>
      </c>
      <c r="C61" s="1" t="s">
        <v>245</v>
      </c>
      <c r="D61" s="1" t="s">
        <v>246</v>
      </c>
      <c r="E61" s="1">
        <v>0.26800000000000002</v>
      </c>
      <c r="F61" s="1" t="s">
        <v>1058</v>
      </c>
      <c r="G61" s="1" t="s">
        <v>1052</v>
      </c>
      <c r="H61" s="1" t="s">
        <v>1055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1058</v>
      </c>
      <c r="G62" s="1" t="s">
        <v>1052</v>
      </c>
      <c r="H62" s="1" t="s">
        <v>1055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1058</v>
      </c>
      <c r="G63" s="1" t="s">
        <v>1052</v>
      </c>
      <c r="H63" s="1" t="s">
        <v>1055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1058</v>
      </c>
      <c r="G64" s="1" t="s">
        <v>1052</v>
      </c>
      <c r="H64" s="1" t="s">
        <v>1055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1058</v>
      </c>
      <c r="G65" s="1" t="s">
        <v>1052</v>
      </c>
      <c r="H65" s="1" t="s">
        <v>1055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1058</v>
      </c>
      <c r="G66" s="1" t="s">
        <v>1052</v>
      </c>
      <c r="H66" s="1" t="s">
        <v>1055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1058</v>
      </c>
      <c r="G67" s="1" t="s">
        <v>1052</v>
      </c>
      <c r="H67" s="1" t="s">
        <v>1055</v>
      </c>
      <c r="I67" s="1" t="s">
        <v>199</v>
      </c>
    </row>
    <row r="68" spans="1:9" x14ac:dyDescent="0.2">
      <c r="A68" s="23" t="s">
        <v>276</v>
      </c>
      <c r="B68" s="1" t="s">
        <v>1060</v>
      </c>
      <c r="C68" s="1" t="s">
        <v>280</v>
      </c>
      <c r="D68" s="1" t="s">
        <v>281</v>
      </c>
      <c r="E68" s="1">
        <v>2</v>
      </c>
      <c r="F68" s="1" t="s">
        <v>1058</v>
      </c>
      <c r="G68" s="1" t="s">
        <v>1052</v>
      </c>
      <c r="H68" s="1" t="s">
        <v>1055</v>
      </c>
      <c r="I68" s="1" t="s">
        <v>279</v>
      </c>
    </row>
    <row r="69" spans="1:9" x14ac:dyDescent="0.2">
      <c r="A69" s="23" t="s">
        <v>277</v>
      </c>
      <c r="B69" s="1" t="s">
        <v>1060</v>
      </c>
      <c r="C69" s="1" t="s">
        <v>280</v>
      </c>
      <c r="D69" s="1" t="s">
        <v>281</v>
      </c>
      <c r="E69" s="1">
        <v>2.2000000000000002</v>
      </c>
      <c r="F69" s="1" t="s">
        <v>1058</v>
      </c>
      <c r="G69" s="1" t="s">
        <v>1052</v>
      </c>
      <c r="H69" s="1" t="s">
        <v>1055</v>
      </c>
      <c r="I69" s="1" t="s">
        <v>279</v>
      </c>
    </row>
    <row r="70" spans="1:9" x14ac:dyDescent="0.2">
      <c r="A70" s="23" t="s">
        <v>278</v>
      </c>
      <c r="B70" s="1" t="s">
        <v>1060</v>
      </c>
      <c r="C70" s="1" t="s">
        <v>280</v>
      </c>
      <c r="D70" s="1" t="s">
        <v>281</v>
      </c>
      <c r="E70" s="1">
        <v>2.5</v>
      </c>
      <c r="F70" s="1" t="s">
        <v>1058</v>
      </c>
      <c r="G70" s="1" t="s">
        <v>1052</v>
      </c>
      <c r="H70" s="1" t="s">
        <v>1055</v>
      </c>
      <c r="I70" s="1" t="s">
        <v>279</v>
      </c>
    </row>
    <row r="71" spans="1:9" x14ac:dyDescent="0.2">
      <c r="A71" s="23" t="s">
        <v>287</v>
      </c>
      <c r="B71" s="1" t="s">
        <v>978</v>
      </c>
      <c r="C71" s="1" t="s">
        <v>289</v>
      </c>
      <c r="D71" s="1" t="s">
        <v>291</v>
      </c>
      <c r="E71" s="1">
        <v>1.002</v>
      </c>
      <c r="F71" s="1" t="s">
        <v>1058</v>
      </c>
      <c r="G71" s="1" t="s">
        <v>1070</v>
      </c>
      <c r="H71" s="1" t="s">
        <v>1069</v>
      </c>
      <c r="I71" s="1" t="s">
        <v>516</v>
      </c>
    </row>
    <row r="72" spans="1:9" x14ac:dyDescent="0.2">
      <c r="A72" s="23" t="s">
        <v>288</v>
      </c>
      <c r="B72" s="1" t="s">
        <v>978</v>
      </c>
      <c r="C72" s="1" t="s">
        <v>289</v>
      </c>
      <c r="D72" s="1" t="s">
        <v>290</v>
      </c>
      <c r="E72" s="1">
        <v>0.50049999999999994</v>
      </c>
      <c r="F72" s="1" t="s">
        <v>1058</v>
      </c>
      <c r="G72" s="1" t="s">
        <v>1070</v>
      </c>
      <c r="H72" s="1" t="s">
        <v>1069</v>
      </c>
      <c r="I72" s="1" t="s">
        <v>516</v>
      </c>
    </row>
    <row r="73" spans="1:9" x14ac:dyDescent="0.2">
      <c r="A73" s="23" t="s">
        <v>387</v>
      </c>
      <c r="B73" s="1" t="s">
        <v>394</v>
      </c>
      <c r="C73" s="1" t="s">
        <v>393</v>
      </c>
      <c r="D73" s="1" t="s">
        <v>53</v>
      </c>
      <c r="E73" s="1">
        <v>0.27</v>
      </c>
      <c r="F73" s="1" t="s">
        <v>1058</v>
      </c>
      <c r="G73" s="1" t="s">
        <v>1052</v>
      </c>
      <c r="H73" s="1" t="s">
        <v>1062</v>
      </c>
      <c r="I73" s="1" t="s">
        <v>400</v>
      </c>
    </row>
    <row r="74" spans="1:9" x14ac:dyDescent="0.2">
      <c r="A74" s="23" t="s">
        <v>388</v>
      </c>
      <c r="B74" s="1" t="s">
        <v>395</v>
      </c>
      <c r="C74" s="1" t="s">
        <v>393</v>
      </c>
      <c r="D74" s="1" t="s">
        <v>53</v>
      </c>
      <c r="E74" s="1">
        <v>0.28999999999999998</v>
      </c>
      <c r="F74" s="1" t="s">
        <v>1058</v>
      </c>
      <c r="G74" s="1" t="s">
        <v>1052</v>
      </c>
      <c r="H74" s="1" t="s">
        <v>1062</v>
      </c>
      <c r="I74" s="1" t="s">
        <v>400</v>
      </c>
    </row>
    <row r="75" spans="1:9" x14ac:dyDescent="0.2">
      <c r="A75" s="23" t="s">
        <v>389</v>
      </c>
      <c r="B75" s="1" t="s">
        <v>218</v>
      </c>
      <c r="C75" s="1" t="s">
        <v>393</v>
      </c>
      <c r="D75" s="1" t="s">
        <v>53</v>
      </c>
      <c r="E75" s="1">
        <v>0.33</v>
      </c>
      <c r="F75" s="1" t="s">
        <v>1058</v>
      </c>
      <c r="G75" s="1" t="s">
        <v>1052</v>
      </c>
      <c r="H75" s="1" t="s">
        <v>1062</v>
      </c>
      <c r="I75" s="1" t="s">
        <v>400</v>
      </c>
    </row>
    <row r="76" spans="1:9" x14ac:dyDescent="0.2">
      <c r="A76" s="23" t="s">
        <v>390</v>
      </c>
      <c r="B76" s="1" t="s">
        <v>396</v>
      </c>
      <c r="C76" s="1" t="s">
        <v>393</v>
      </c>
      <c r="D76" s="1" t="s">
        <v>53</v>
      </c>
      <c r="E76" s="1">
        <v>0.27</v>
      </c>
      <c r="F76" s="1" t="s">
        <v>1058</v>
      </c>
      <c r="G76" s="1" t="s">
        <v>1052</v>
      </c>
      <c r="H76" s="1" t="s">
        <v>1062</v>
      </c>
      <c r="I76" s="1" t="s">
        <v>400</v>
      </c>
    </row>
    <row r="77" spans="1:9" x14ac:dyDescent="0.2">
      <c r="A77" s="23" t="s">
        <v>391</v>
      </c>
      <c r="B77" s="1" t="s">
        <v>397</v>
      </c>
      <c r="C77" s="1" t="s">
        <v>393</v>
      </c>
      <c r="D77" s="1" t="s">
        <v>53</v>
      </c>
      <c r="E77" s="1">
        <v>0.25</v>
      </c>
      <c r="F77" s="1" t="s">
        <v>1058</v>
      </c>
      <c r="G77" s="1" t="s">
        <v>1052</v>
      </c>
      <c r="H77" s="1" t="s">
        <v>1062</v>
      </c>
      <c r="I77" s="1" t="s">
        <v>400</v>
      </c>
    </row>
    <row r="78" spans="1:9" x14ac:dyDescent="0.2">
      <c r="A78" s="23" t="s">
        <v>392</v>
      </c>
      <c r="B78" s="1" t="s">
        <v>398</v>
      </c>
      <c r="C78" s="1" t="s">
        <v>393</v>
      </c>
      <c r="D78" s="1" t="s">
        <v>53</v>
      </c>
      <c r="E78" s="1">
        <v>11.82</v>
      </c>
      <c r="F78" s="1" t="s">
        <v>1058</v>
      </c>
      <c r="G78" s="1" t="s">
        <v>1052</v>
      </c>
      <c r="H78" s="1" t="s">
        <v>1062</v>
      </c>
      <c r="I78" s="1" t="s">
        <v>400</v>
      </c>
    </row>
    <row r="79" spans="1:9" x14ac:dyDescent="0.2">
      <c r="A79" s="23" t="s">
        <v>1048</v>
      </c>
      <c r="B79" s="1" t="s">
        <v>399</v>
      </c>
      <c r="C79" s="1" t="s">
        <v>393</v>
      </c>
      <c r="D79" s="1" t="s">
        <v>53</v>
      </c>
      <c r="E79" s="1">
        <v>0.46</v>
      </c>
      <c r="F79" s="1" t="s">
        <v>1058</v>
      </c>
      <c r="G79" s="1" t="s">
        <v>1052</v>
      </c>
      <c r="H79" s="1" t="s">
        <v>1062</v>
      </c>
      <c r="I79" s="1" t="s">
        <v>400</v>
      </c>
    </row>
    <row r="80" spans="1:9" x14ac:dyDescent="0.2">
      <c r="A80" s="23" t="s">
        <v>401</v>
      </c>
      <c r="B80" s="1" t="s">
        <v>406</v>
      </c>
      <c r="C80" s="1" t="s">
        <v>393</v>
      </c>
      <c r="D80" s="1" t="s">
        <v>53</v>
      </c>
      <c r="E80" s="1">
        <v>0.41</v>
      </c>
      <c r="F80" s="1" t="s">
        <v>1058</v>
      </c>
      <c r="G80" s="1" t="s">
        <v>1052</v>
      </c>
      <c r="H80" s="1" t="s">
        <v>1062</v>
      </c>
      <c r="I80" s="1" t="s">
        <v>400</v>
      </c>
    </row>
    <row r="81" spans="1:9" x14ac:dyDescent="0.2">
      <c r="A81" s="23" t="s">
        <v>1049</v>
      </c>
      <c r="B81" s="1" t="s">
        <v>407</v>
      </c>
      <c r="C81" s="1" t="s">
        <v>393</v>
      </c>
      <c r="D81" s="1" t="s">
        <v>53</v>
      </c>
      <c r="E81" s="1">
        <v>0.56000000000000005</v>
      </c>
      <c r="F81" s="1" t="s">
        <v>1058</v>
      </c>
      <c r="G81" s="1" t="s">
        <v>1052</v>
      </c>
      <c r="H81" s="1" t="s">
        <v>1062</v>
      </c>
      <c r="I81" s="1" t="s">
        <v>400</v>
      </c>
    </row>
    <row r="82" spans="1:9" x14ac:dyDescent="0.2">
      <c r="A82" s="23" t="s">
        <v>402</v>
      </c>
      <c r="B82" s="1" t="s">
        <v>396</v>
      </c>
      <c r="C82" s="1" t="s">
        <v>393</v>
      </c>
      <c r="D82" s="1" t="s">
        <v>53</v>
      </c>
      <c r="E82" s="1">
        <v>0.33</v>
      </c>
      <c r="F82" s="1" t="s">
        <v>1058</v>
      </c>
      <c r="G82" s="1" t="s">
        <v>1052</v>
      </c>
      <c r="H82" s="1" t="s">
        <v>1062</v>
      </c>
      <c r="I82" s="1" t="s">
        <v>400</v>
      </c>
    </row>
    <row r="83" spans="1:9" x14ac:dyDescent="0.2">
      <c r="A83" s="23" t="s">
        <v>403</v>
      </c>
      <c r="B83" s="1" t="s">
        <v>216</v>
      </c>
      <c r="C83" s="1" t="s">
        <v>393</v>
      </c>
      <c r="D83" s="1" t="s">
        <v>53</v>
      </c>
      <c r="E83" s="1">
        <v>0.81</v>
      </c>
      <c r="F83" s="1" t="s">
        <v>1058</v>
      </c>
      <c r="G83" s="1" t="s">
        <v>1052</v>
      </c>
      <c r="H83" s="1" t="s">
        <v>1062</v>
      </c>
      <c r="I83" s="1" t="s">
        <v>400</v>
      </c>
    </row>
    <row r="84" spans="1:9" x14ac:dyDescent="0.2">
      <c r="A84" s="23" t="s">
        <v>404</v>
      </c>
      <c r="B84" s="1" t="s">
        <v>408</v>
      </c>
      <c r="C84" s="1" t="s">
        <v>393</v>
      </c>
      <c r="D84" s="1" t="s">
        <v>53</v>
      </c>
      <c r="E84" s="1">
        <v>0.46</v>
      </c>
      <c r="F84" s="1" t="s">
        <v>1058</v>
      </c>
      <c r="G84" s="1" t="s">
        <v>1052</v>
      </c>
      <c r="H84" s="1" t="s">
        <v>1062</v>
      </c>
      <c r="I84" s="1" t="s">
        <v>400</v>
      </c>
    </row>
    <row r="85" spans="1:9" x14ac:dyDescent="0.2">
      <c r="A85" s="23" t="s">
        <v>405</v>
      </c>
      <c r="B85" s="1" t="s">
        <v>409</v>
      </c>
      <c r="C85" s="1" t="s">
        <v>393</v>
      </c>
      <c r="D85" s="1" t="s">
        <v>53</v>
      </c>
      <c r="E85" s="1">
        <v>0.5</v>
      </c>
      <c r="F85" s="1" t="s">
        <v>1058</v>
      </c>
      <c r="G85" s="1" t="s">
        <v>1052</v>
      </c>
      <c r="H85" s="1" t="s">
        <v>1062</v>
      </c>
      <c r="I85" s="1" t="s">
        <v>400</v>
      </c>
    </row>
    <row r="86" spans="1:9" x14ac:dyDescent="0.2">
      <c r="A86" s="23" t="s">
        <v>392</v>
      </c>
      <c r="B86" s="1" t="s">
        <v>410</v>
      </c>
      <c r="C86" s="1" t="s">
        <v>393</v>
      </c>
      <c r="D86" s="1" t="s">
        <v>53</v>
      </c>
      <c r="E86" s="1">
        <v>0.39</v>
      </c>
      <c r="F86" s="1" t="s">
        <v>1058</v>
      </c>
      <c r="G86" s="1" t="s">
        <v>1052</v>
      </c>
      <c r="H86" s="1" t="s">
        <v>1062</v>
      </c>
      <c r="I86" s="1" t="s">
        <v>400</v>
      </c>
    </row>
    <row r="87" spans="1:9" x14ac:dyDescent="0.2">
      <c r="A87" s="23" t="s">
        <v>418</v>
      </c>
      <c r="B87" s="1" t="s">
        <v>53</v>
      </c>
      <c r="C87" s="1" t="s">
        <v>393</v>
      </c>
      <c r="D87" s="1" t="s">
        <v>53</v>
      </c>
      <c r="E87" s="1">
        <v>2.0230000000000001</v>
      </c>
      <c r="F87" s="1" t="s">
        <v>1058</v>
      </c>
      <c r="G87" s="1" t="s">
        <v>1052</v>
      </c>
      <c r="H87" s="1" t="s">
        <v>1071</v>
      </c>
      <c r="I87" s="1" t="s">
        <v>127</v>
      </c>
    </row>
    <row r="88" spans="1:9" x14ac:dyDescent="0.2">
      <c r="A88" s="23" t="s">
        <v>419</v>
      </c>
      <c r="B88" s="1" t="s">
        <v>53</v>
      </c>
      <c r="C88" s="1" t="s">
        <v>393</v>
      </c>
      <c r="D88" s="1" t="s">
        <v>53</v>
      </c>
      <c r="E88" s="1">
        <v>1.927</v>
      </c>
      <c r="F88" s="1" t="s">
        <v>1058</v>
      </c>
      <c r="G88" s="1" t="s">
        <v>1052</v>
      </c>
      <c r="H88" s="1" t="s">
        <v>1071</v>
      </c>
      <c r="I88" s="1" t="s">
        <v>127</v>
      </c>
    </row>
    <row r="89" spans="1:9" x14ac:dyDescent="0.2">
      <c r="A89" s="23" t="s">
        <v>420</v>
      </c>
      <c r="B89" s="1" t="s">
        <v>53</v>
      </c>
      <c r="C89" s="1" t="s">
        <v>393</v>
      </c>
      <c r="D89" s="1" t="s">
        <v>53</v>
      </c>
      <c r="E89" s="1">
        <v>2.0129999999999999</v>
      </c>
      <c r="F89" s="1" t="s">
        <v>1058</v>
      </c>
      <c r="G89" s="1" t="s">
        <v>1052</v>
      </c>
      <c r="H89" s="1" t="s">
        <v>1071</v>
      </c>
      <c r="I89" s="1" t="s">
        <v>127</v>
      </c>
    </row>
    <row r="90" spans="1:9" x14ac:dyDescent="0.2">
      <c r="A90" s="23" t="s">
        <v>421</v>
      </c>
      <c r="B90" s="1" t="s">
        <v>53</v>
      </c>
      <c r="C90" s="1" t="s">
        <v>393</v>
      </c>
      <c r="D90" s="1" t="s">
        <v>53</v>
      </c>
      <c r="E90" s="1">
        <v>1.9690000000000001</v>
      </c>
      <c r="F90" s="1" t="s">
        <v>1058</v>
      </c>
      <c r="G90" s="1" t="s">
        <v>1052</v>
      </c>
      <c r="H90" s="1" t="s">
        <v>1071</v>
      </c>
      <c r="I90" s="1" t="s">
        <v>127</v>
      </c>
    </row>
    <row r="91" spans="1:9" x14ac:dyDescent="0.2">
      <c r="A91" s="23" t="s">
        <v>422</v>
      </c>
      <c r="B91" s="1" t="s">
        <v>53</v>
      </c>
      <c r="C91" s="1" t="s">
        <v>393</v>
      </c>
      <c r="D91" s="1" t="s">
        <v>53</v>
      </c>
      <c r="E91" s="1">
        <v>1.98</v>
      </c>
      <c r="F91" s="1" t="s">
        <v>1058</v>
      </c>
      <c r="G91" s="1" t="s">
        <v>1052</v>
      </c>
      <c r="H91" s="1" t="s">
        <v>1071</v>
      </c>
      <c r="I91" s="1" t="s">
        <v>127</v>
      </c>
    </row>
    <row r="92" spans="1:9" x14ac:dyDescent="0.2">
      <c r="A92" s="23" t="s">
        <v>423</v>
      </c>
      <c r="B92" s="1" t="s">
        <v>53</v>
      </c>
      <c r="C92" s="1" t="s">
        <v>393</v>
      </c>
      <c r="D92" s="1" t="s">
        <v>53</v>
      </c>
      <c r="E92" s="1">
        <v>1.99</v>
      </c>
      <c r="F92" s="1" t="s">
        <v>1058</v>
      </c>
      <c r="G92" s="1" t="s">
        <v>1052</v>
      </c>
      <c r="H92" s="1" t="s">
        <v>1071</v>
      </c>
      <c r="I92" s="1" t="s">
        <v>127</v>
      </c>
    </row>
    <row r="93" spans="1:9" x14ac:dyDescent="0.2">
      <c r="A93" s="23" t="s">
        <v>424</v>
      </c>
      <c r="B93" s="1" t="s">
        <v>53</v>
      </c>
      <c r="C93" s="1" t="s">
        <v>393</v>
      </c>
      <c r="D93" s="1" t="s">
        <v>53</v>
      </c>
      <c r="E93" s="1">
        <v>1.9830000000000001</v>
      </c>
      <c r="F93" s="1" t="s">
        <v>1058</v>
      </c>
      <c r="G93" s="1" t="s">
        <v>1052</v>
      </c>
      <c r="H93" s="1" t="s">
        <v>1071</v>
      </c>
      <c r="I93" s="1" t="s">
        <v>127</v>
      </c>
    </row>
    <row r="94" spans="1:9" x14ac:dyDescent="0.2">
      <c r="A94" s="23" t="s">
        <v>425</v>
      </c>
      <c r="B94" s="1" t="s">
        <v>53</v>
      </c>
      <c r="C94" s="1" t="s">
        <v>393</v>
      </c>
      <c r="D94" s="1" t="s">
        <v>53</v>
      </c>
      <c r="E94" s="1">
        <v>2</v>
      </c>
      <c r="F94" s="1" t="s">
        <v>1058</v>
      </c>
      <c r="G94" s="1" t="s">
        <v>1052</v>
      </c>
      <c r="H94" s="1" t="s">
        <v>1071</v>
      </c>
      <c r="I94" s="1" t="s">
        <v>127</v>
      </c>
    </row>
    <row r="95" spans="1:9" x14ac:dyDescent="0.2">
      <c r="A95" s="23" t="s">
        <v>426</v>
      </c>
      <c r="B95" s="1" t="s">
        <v>53</v>
      </c>
      <c r="C95" s="1" t="s">
        <v>393</v>
      </c>
      <c r="D95" s="1" t="s">
        <v>53</v>
      </c>
      <c r="E95" s="1">
        <v>1.99</v>
      </c>
      <c r="F95" s="1" t="s">
        <v>1058</v>
      </c>
      <c r="G95" s="1" t="s">
        <v>1052</v>
      </c>
      <c r="H95" s="1" t="s">
        <v>1071</v>
      </c>
      <c r="I95" s="1" t="s">
        <v>127</v>
      </c>
    </row>
    <row r="96" spans="1:9" x14ac:dyDescent="0.2">
      <c r="A96" s="23" t="s">
        <v>427</v>
      </c>
      <c r="B96" s="1" t="s">
        <v>53</v>
      </c>
      <c r="C96" s="1" t="s">
        <v>393</v>
      </c>
      <c r="D96" s="1" t="s">
        <v>53</v>
      </c>
      <c r="E96" s="1">
        <v>1.9990000000000001</v>
      </c>
      <c r="F96" s="1" t="s">
        <v>1058</v>
      </c>
      <c r="G96" s="1" t="s">
        <v>1052</v>
      </c>
      <c r="H96" s="1" t="s">
        <v>1071</v>
      </c>
      <c r="I96" s="1" t="s">
        <v>127</v>
      </c>
    </row>
    <row r="97" spans="1:9" x14ac:dyDescent="0.2">
      <c r="A97" s="23" t="s">
        <v>428</v>
      </c>
      <c r="B97" s="1" t="s">
        <v>53</v>
      </c>
      <c r="C97" s="1" t="s">
        <v>393</v>
      </c>
      <c r="D97" s="1" t="s">
        <v>53</v>
      </c>
      <c r="E97" s="1">
        <v>1.9990000000000001</v>
      </c>
      <c r="F97" s="1" t="s">
        <v>1058</v>
      </c>
      <c r="G97" s="1" t="s">
        <v>1052</v>
      </c>
      <c r="H97" s="1" t="s">
        <v>1071</v>
      </c>
      <c r="I97" s="1" t="s">
        <v>127</v>
      </c>
    </row>
    <row r="98" spans="1:9" x14ac:dyDescent="0.2">
      <c r="A98" s="23" t="s">
        <v>429</v>
      </c>
      <c r="B98" s="1" t="s">
        <v>53</v>
      </c>
      <c r="C98" s="1" t="s">
        <v>393</v>
      </c>
      <c r="D98" s="1" t="s">
        <v>53</v>
      </c>
      <c r="E98" s="1">
        <v>1.883</v>
      </c>
      <c r="F98" s="1" t="s">
        <v>1058</v>
      </c>
      <c r="G98" s="1" t="s">
        <v>1052</v>
      </c>
      <c r="H98" s="1" t="s">
        <v>1071</v>
      </c>
      <c r="I98" s="1" t="s">
        <v>127</v>
      </c>
    </row>
    <row r="99" spans="1:9" x14ac:dyDescent="0.2">
      <c r="A99" s="23" t="s">
        <v>414</v>
      </c>
      <c r="B99" s="1" t="s">
        <v>1074</v>
      </c>
      <c r="C99" s="1" t="s">
        <v>416</v>
      </c>
      <c r="D99" s="1" t="s">
        <v>53</v>
      </c>
      <c r="E99" s="1">
        <v>1.308E-2</v>
      </c>
      <c r="F99" s="1" t="s">
        <v>1076</v>
      </c>
      <c r="G99" s="1" t="s">
        <v>1052</v>
      </c>
      <c r="H99" s="1" t="s">
        <v>1075</v>
      </c>
      <c r="I99" s="1" t="s">
        <v>417</v>
      </c>
    </row>
    <row r="100" spans="1:9" x14ac:dyDescent="0.2">
      <c r="A100" s="23" t="s">
        <v>415</v>
      </c>
      <c r="B100" s="1" t="s">
        <v>1073</v>
      </c>
      <c r="C100" s="1" t="s">
        <v>416</v>
      </c>
      <c r="D100" s="1" t="s">
        <v>53</v>
      </c>
      <c r="E100" s="1">
        <v>1.073E-2</v>
      </c>
      <c r="F100" s="1" t="s">
        <v>1076</v>
      </c>
      <c r="G100" s="1" t="s">
        <v>1052</v>
      </c>
      <c r="H100" s="1" t="s">
        <v>1075</v>
      </c>
      <c r="I100" s="1" t="s">
        <v>417</v>
      </c>
    </row>
    <row r="101" spans="1:9" x14ac:dyDescent="0.2">
      <c r="A101" s="23" t="s">
        <v>592</v>
      </c>
      <c r="B101" s="1" t="s">
        <v>395</v>
      </c>
      <c r="C101" s="1" t="s">
        <v>593</v>
      </c>
      <c r="D101" s="1" t="s">
        <v>53</v>
      </c>
      <c r="E101" s="1">
        <v>0.21</v>
      </c>
      <c r="F101" s="1" t="s">
        <v>1076</v>
      </c>
      <c r="G101" s="1" t="s">
        <v>1052</v>
      </c>
      <c r="H101" s="1" t="s">
        <v>1062</v>
      </c>
      <c r="I101" s="1" t="s">
        <v>594</v>
      </c>
    </row>
    <row r="102" spans="1:9" x14ac:dyDescent="0.2">
      <c r="A102" s="23" t="s">
        <v>1224</v>
      </c>
      <c r="B102" s="1" t="s">
        <v>1222</v>
      </c>
      <c r="C102" s="1" t="s">
        <v>1221</v>
      </c>
      <c r="D102" s="1" t="s">
        <v>53</v>
      </c>
      <c r="E102" s="1">
        <v>5.1999999999999998E-2</v>
      </c>
      <c r="F102" s="1" t="s">
        <v>1076</v>
      </c>
      <c r="G102" s="1" t="s">
        <v>1052</v>
      </c>
      <c r="H102" s="1" t="s">
        <v>1628</v>
      </c>
      <c r="I102" s="1" t="s">
        <v>1625</v>
      </c>
    </row>
    <row r="103" spans="1:9" x14ac:dyDescent="0.2">
      <c r="A103" s="23" t="s">
        <v>615</v>
      </c>
      <c r="B103" s="1" t="s">
        <v>1118</v>
      </c>
      <c r="C103" s="1" t="s">
        <v>1118</v>
      </c>
      <c r="D103" s="1" t="s">
        <v>1118</v>
      </c>
      <c r="E103" s="1" t="s">
        <v>1118</v>
      </c>
      <c r="F103" s="1" t="s">
        <v>1058</v>
      </c>
      <c r="G103" s="1" t="s">
        <v>1056</v>
      </c>
      <c r="H103" s="1" t="s">
        <v>1057</v>
      </c>
      <c r="I103" s="1" t="s">
        <v>601</v>
      </c>
    </row>
    <row r="104" spans="1:9" x14ac:dyDescent="0.2">
      <c r="A104" s="23" t="s">
        <v>616</v>
      </c>
      <c r="B104" s="1" t="s">
        <v>1118</v>
      </c>
      <c r="C104" s="1" t="s">
        <v>1118</v>
      </c>
      <c r="D104" s="1" t="s">
        <v>1118</v>
      </c>
      <c r="E104" s="1" t="s">
        <v>1118</v>
      </c>
      <c r="F104" s="1" t="s">
        <v>1058</v>
      </c>
      <c r="G104" s="1" t="s">
        <v>1056</v>
      </c>
      <c r="H104" s="1" t="s">
        <v>1057</v>
      </c>
      <c r="I104" s="1" t="s">
        <v>601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312</v>
      </c>
      <c r="B1" s="3" t="s">
        <v>109</v>
      </c>
      <c r="C1" s="3" t="s">
        <v>313</v>
      </c>
      <c r="D1" s="3" t="s">
        <v>314</v>
      </c>
      <c r="E1" s="3" t="s">
        <v>123</v>
      </c>
      <c r="F1" s="3" t="s">
        <v>1114</v>
      </c>
      <c r="G1" s="3" t="s">
        <v>1050</v>
      </c>
      <c r="H1" s="3" t="s">
        <v>1051</v>
      </c>
      <c r="I1" s="3" t="s">
        <v>108</v>
      </c>
    </row>
    <row r="2" spans="1:9" x14ac:dyDescent="0.2">
      <c r="A2" s="5" t="s">
        <v>293</v>
      </c>
      <c r="B2" s="1" t="s">
        <v>568</v>
      </c>
      <c r="C2" s="1" t="s">
        <v>318</v>
      </c>
      <c r="D2" s="24" t="s">
        <v>323</v>
      </c>
      <c r="E2" s="13">
        <v>0.2</v>
      </c>
      <c r="F2" s="1" t="s">
        <v>1058</v>
      </c>
      <c r="G2" s="13" t="s">
        <v>1052</v>
      </c>
      <c r="H2" s="13" t="s">
        <v>1115</v>
      </c>
      <c r="I2" s="1" t="s">
        <v>292</v>
      </c>
    </row>
    <row r="3" spans="1:9" x14ac:dyDescent="0.2">
      <c r="A3" s="5" t="s">
        <v>294</v>
      </c>
      <c r="B3" s="1" t="s">
        <v>568</v>
      </c>
      <c r="C3" s="1" t="s">
        <v>318</v>
      </c>
      <c r="D3" s="24" t="s">
        <v>323</v>
      </c>
      <c r="E3" s="13">
        <v>0.2</v>
      </c>
      <c r="F3" s="1" t="s">
        <v>1058</v>
      </c>
      <c r="G3" s="13" t="s">
        <v>1052</v>
      </c>
      <c r="H3" s="13" t="s">
        <v>1115</v>
      </c>
      <c r="I3" s="1" t="s">
        <v>292</v>
      </c>
    </row>
    <row r="4" spans="1:9" x14ac:dyDescent="0.2">
      <c r="A4" s="5" t="s">
        <v>295</v>
      </c>
      <c r="B4" s="1" t="s">
        <v>568</v>
      </c>
      <c r="C4" s="1" t="s">
        <v>317</v>
      </c>
      <c r="D4" s="24" t="s">
        <v>324</v>
      </c>
      <c r="E4" s="13">
        <v>0.2</v>
      </c>
      <c r="F4" s="1" t="s">
        <v>1058</v>
      </c>
      <c r="G4" s="13" t="s">
        <v>1052</v>
      </c>
      <c r="H4" s="13" t="s">
        <v>1115</v>
      </c>
      <c r="I4" s="1" t="s">
        <v>292</v>
      </c>
    </row>
    <row r="5" spans="1:9" x14ac:dyDescent="0.2">
      <c r="A5" s="5" t="s">
        <v>296</v>
      </c>
      <c r="B5" s="1" t="s">
        <v>568</v>
      </c>
      <c r="C5" s="1" t="s">
        <v>317</v>
      </c>
      <c r="D5" s="24" t="s">
        <v>324</v>
      </c>
      <c r="E5" s="13">
        <v>0.2</v>
      </c>
      <c r="F5" s="1" t="s">
        <v>1058</v>
      </c>
      <c r="G5" s="13" t="s">
        <v>1052</v>
      </c>
      <c r="H5" s="13" t="s">
        <v>1115</v>
      </c>
      <c r="I5" s="1" t="s">
        <v>292</v>
      </c>
    </row>
    <row r="6" spans="1:9" x14ac:dyDescent="0.2">
      <c r="A6" s="5" t="s">
        <v>297</v>
      </c>
      <c r="B6" s="1" t="s">
        <v>568</v>
      </c>
      <c r="C6" s="1" t="s">
        <v>315</v>
      </c>
      <c r="D6" s="24" t="s">
        <v>325</v>
      </c>
      <c r="E6" s="13">
        <v>0.2</v>
      </c>
      <c r="F6" s="1" t="s">
        <v>1058</v>
      </c>
      <c r="G6" s="13" t="s">
        <v>1052</v>
      </c>
      <c r="H6" s="13" t="s">
        <v>1115</v>
      </c>
      <c r="I6" s="1" t="s">
        <v>292</v>
      </c>
    </row>
    <row r="7" spans="1:9" x14ac:dyDescent="0.2">
      <c r="A7" s="5" t="s">
        <v>298</v>
      </c>
      <c r="B7" s="1" t="s">
        <v>568</v>
      </c>
      <c r="C7" s="1" t="s">
        <v>316</v>
      </c>
      <c r="D7" s="24" t="s">
        <v>326</v>
      </c>
      <c r="E7" s="13">
        <v>0.2</v>
      </c>
      <c r="F7" s="1" t="s">
        <v>1058</v>
      </c>
      <c r="G7" s="13" t="s">
        <v>1052</v>
      </c>
      <c r="H7" s="13" t="s">
        <v>1115</v>
      </c>
      <c r="I7" s="1" t="s">
        <v>292</v>
      </c>
    </row>
    <row r="8" spans="1:9" x14ac:dyDescent="0.2">
      <c r="A8" s="5" t="s">
        <v>299</v>
      </c>
      <c r="B8" s="1" t="s">
        <v>568</v>
      </c>
      <c r="C8" s="1" t="s">
        <v>316</v>
      </c>
      <c r="D8" s="24" t="s">
        <v>326</v>
      </c>
      <c r="E8" s="13">
        <v>0.2</v>
      </c>
      <c r="F8" s="1" t="s">
        <v>1058</v>
      </c>
      <c r="G8" s="13" t="s">
        <v>1052</v>
      </c>
      <c r="H8" s="13" t="s">
        <v>1115</v>
      </c>
      <c r="I8" s="1" t="s">
        <v>292</v>
      </c>
    </row>
    <row r="9" spans="1:9" x14ac:dyDescent="0.2">
      <c r="A9" s="5" t="s">
        <v>300</v>
      </c>
      <c r="B9" s="1" t="s">
        <v>568</v>
      </c>
      <c r="C9" s="1" t="s">
        <v>319</v>
      </c>
      <c r="D9" s="24" t="s">
        <v>327</v>
      </c>
      <c r="E9" s="13">
        <v>0.2</v>
      </c>
      <c r="F9" s="1" t="s">
        <v>1058</v>
      </c>
      <c r="G9" s="13" t="s">
        <v>1052</v>
      </c>
      <c r="H9" s="13" t="s">
        <v>1115</v>
      </c>
      <c r="I9" s="1" t="s">
        <v>292</v>
      </c>
    </row>
    <row r="10" spans="1:9" x14ac:dyDescent="0.2">
      <c r="A10" s="5" t="s">
        <v>301</v>
      </c>
      <c r="B10" s="1" t="s">
        <v>568</v>
      </c>
      <c r="C10" s="1" t="s">
        <v>320</v>
      </c>
      <c r="D10" s="24" t="s">
        <v>328</v>
      </c>
      <c r="E10" s="13">
        <v>0.2</v>
      </c>
      <c r="F10" s="1" t="s">
        <v>1058</v>
      </c>
      <c r="G10" s="13" t="s">
        <v>1117</v>
      </c>
      <c r="H10" s="13" t="s">
        <v>1116</v>
      </c>
      <c r="I10" s="1" t="s">
        <v>292</v>
      </c>
    </row>
    <row r="11" spans="1:9" x14ac:dyDescent="0.2">
      <c r="A11" s="5" t="s">
        <v>302</v>
      </c>
      <c r="B11" s="1" t="s">
        <v>568</v>
      </c>
      <c r="C11" s="1" t="s">
        <v>320</v>
      </c>
      <c r="D11" s="24" t="s">
        <v>328</v>
      </c>
      <c r="E11" s="13">
        <v>0.2</v>
      </c>
      <c r="F11" s="1" t="s">
        <v>1058</v>
      </c>
      <c r="G11" s="13" t="s">
        <v>1117</v>
      </c>
      <c r="H11" s="13" t="s">
        <v>1116</v>
      </c>
      <c r="I11" s="1" t="s">
        <v>292</v>
      </c>
    </row>
    <row r="12" spans="1:9" x14ac:dyDescent="0.2">
      <c r="A12" s="5" t="s">
        <v>303</v>
      </c>
      <c r="B12" s="1" t="s">
        <v>568</v>
      </c>
      <c r="C12" s="1" t="s">
        <v>321</v>
      </c>
      <c r="D12" s="24" t="s">
        <v>329</v>
      </c>
      <c r="E12" s="13">
        <v>0.2</v>
      </c>
      <c r="F12" s="1" t="s">
        <v>1058</v>
      </c>
      <c r="G12" s="13" t="s">
        <v>1117</v>
      </c>
      <c r="H12" s="13" t="s">
        <v>1116</v>
      </c>
      <c r="I12" s="1" t="s">
        <v>292</v>
      </c>
    </row>
    <row r="13" spans="1:9" x14ac:dyDescent="0.2">
      <c r="A13" s="5" t="s">
        <v>304</v>
      </c>
      <c r="B13" s="1" t="s">
        <v>568</v>
      </c>
      <c r="C13" s="1" t="s">
        <v>321</v>
      </c>
      <c r="D13" s="24" t="s">
        <v>329</v>
      </c>
      <c r="E13" s="13">
        <v>0.2</v>
      </c>
      <c r="F13" s="1" t="s">
        <v>1058</v>
      </c>
      <c r="G13" s="13" t="s">
        <v>1117</v>
      </c>
      <c r="H13" s="13" t="s">
        <v>1116</v>
      </c>
      <c r="I13" s="1" t="s">
        <v>292</v>
      </c>
    </row>
    <row r="14" spans="1:9" x14ac:dyDescent="0.2">
      <c r="A14" s="5" t="s">
        <v>305</v>
      </c>
      <c r="B14" s="1" t="s">
        <v>568</v>
      </c>
      <c r="C14" s="1" t="s">
        <v>322</v>
      </c>
      <c r="D14" s="24" t="s">
        <v>330</v>
      </c>
      <c r="E14" s="13">
        <v>0.2</v>
      </c>
      <c r="F14" s="1" t="s">
        <v>1058</v>
      </c>
      <c r="G14" s="13" t="s">
        <v>1117</v>
      </c>
      <c r="H14" s="13" t="s">
        <v>1116</v>
      </c>
      <c r="I14" s="1" t="s">
        <v>292</v>
      </c>
    </row>
    <row r="15" spans="1:9" x14ac:dyDescent="0.2">
      <c r="A15" s="5" t="s">
        <v>306</v>
      </c>
      <c r="B15" s="1" t="s">
        <v>568</v>
      </c>
      <c r="C15" s="1" t="s">
        <v>322</v>
      </c>
      <c r="D15" s="24" t="s">
        <v>331</v>
      </c>
      <c r="E15" s="13">
        <v>0.2</v>
      </c>
      <c r="F15" s="1" t="s">
        <v>1058</v>
      </c>
      <c r="G15" s="13" t="s">
        <v>1117</v>
      </c>
      <c r="H15" s="13" t="s">
        <v>1116</v>
      </c>
      <c r="I15" s="1" t="s">
        <v>292</v>
      </c>
    </row>
    <row r="16" spans="1:9" x14ac:dyDescent="0.2">
      <c r="A16" s="5" t="s">
        <v>307</v>
      </c>
      <c r="B16" s="1" t="s">
        <v>568</v>
      </c>
      <c r="C16" s="1" t="s">
        <v>322</v>
      </c>
      <c r="D16" s="24" t="s">
        <v>331</v>
      </c>
      <c r="E16" s="13">
        <v>0.2</v>
      </c>
      <c r="F16" s="1" t="s">
        <v>1058</v>
      </c>
      <c r="G16" s="13" t="s">
        <v>1117</v>
      </c>
      <c r="H16" s="13" t="s">
        <v>1116</v>
      </c>
      <c r="I16" s="1" t="s">
        <v>292</v>
      </c>
    </row>
    <row r="17" spans="1:9" x14ac:dyDescent="0.2">
      <c r="A17" s="5" t="s">
        <v>332</v>
      </c>
      <c r="B17" s="1" t="s">
        <v>568</v>
      </c>
      <c r="C17" s="1" t="s">
        <v>352</v>
      </c>
      <c r="D17" s="1" t="s">
        <v>353</v>
      </c>
      <c r="E17" s="13">
        <v>1.2</v>
      </c>
      <c r="F17" s="1" t="s">
        <v>1058</v>
      </c>
      <c r="G17" s="13" t="s">
        <v>1052</v>
      </c>
      <c r="H17" s="1" t="s">
        <v>1055</v>
      </c>
      <c r="I17" s="1" t="s">
        <v>335</v>
      </c>
    </row>
    <row r="18" spans="1:9" x14ac:dyDescent="0.2">
      <c r="A18" s="5" t="s">
        <v>333</v>
      </c>
      <c r="B18" s="1" t="s">
        <v>568</v>
      </c>
      <c r="C18" s="1" t="s">
        <v>334</v>
      </c>
      <c r="D18" s="1" t="s">
        <v>354</v>
      </c>
      <c r="E18" s="13">
        <v>1.2</v>
      </c>
      <c r="F18" s="1" t="s">
        <v>1058</v>
      </c>
      <c r="G18" s="13" t="s">
        <v>1052</v>
      </c>
      <c r="H18" s="1" t="s">
        <v>1055</v>
      </c>
      <c r="I18" s="1" t="s">
        <v>335</v>
      </c>
    </row>
    <row r="19" spans="1:9" x14ac:dyDescent="0.2">
      <c r="A19" s="5" t="s">
        <v>336</v>
      </c>
      <c r="B19" s="1" t="s">
        <v>568</v>
      </c>
      <c r="C19" s="1" t="s">
        <v>341</v>
      </c>
      <c r="D19" s="1" t="s">
        <v>342</v>
      </c>
      <c r="E19" s="1">
        <v>0.1</v>
      </c>
      <c r="F19" s="1" t="s">
        <v>1058</v>
      </c>
      <c r="G19" s="1" t="s">
        <v>1118</v>
      </c>
      <c r="H19" s="1" t="s">
        <v>1059</v>
      </c>
      <c r="I19" s="1" t="s">
        <v>343</v>
      </c>
    </row>
    <row r="20" spans="1:9" x14ac:dyDescent="0.2">
      <c r="A20" s="5" t="s">
        <v>337</v>
      </c>
      <c r="B20" s="1" t="s">
        <v>568</v>
      </c>
      <c r="C20" s="4" t="s">
        <v>350</v>
      </c>
      <c r="D20" s="1" t="s">
        <v>351</v>
      </c>
      <c r="E20" s="1">
        <v>0.1</v>
      </c>
      <c r="F20" s="1" t="s">
        <v>1058</v>
      </c>
      <c r="G20" s="1" t="s">
        <v>1118</v>
      </c>
      <c r="H20" s="1" t="s">
        <v>1059</v>
      </c>
      <c r="I20" s="1" t="s">
        <v>343</v>
      </c>
    </row>
    <row r="21" spans="1:9" x14ac:dyDescent="0.2">
      <c r="A21" s="5" t="s">
        <v>338</v>
      </c>
      <c r="B21" s="1" t="s">
        <v>568</v>
      </c>
      <c r="C21" s="4" t="s">
        <v>348</v>
      </c>
      <c r="D21" s="1" t="s">
        <v>349</v>
      </c>
      <c r="E21" s="1">
        <v>0.1</v>
      </c>
      <c r="F21" s="1" t="s">
        <v>1058</v>
      </c>
      <c r="G21" s="1" t="s">
        <v>1118</v>
      </c>
      <c r="H21" s="1" t="s">
        <v>1059</v>
      </c>
      <c r="I21" s="1" t="s">
        <v>343</v>
      </c>
    </row>
    <row r="22" spans="1:9" x14ac:dyDescent="0.2">
      <c r="A22" s="5" t="s">
        <v>339</v>
      </c>
      <c r="B22" s="1" t="s">
        <v>568</v>
      </c>
      <c r="C22" s="4" t="s">
        <v>346</v>
      </c>
      <c r="D22" s="1" t="s">
        <v>347</v>
      </c>
      <c r="E22" s="1">
        <v>0.1</v>
      </c>
      <c r="F22" s="1" t="s">
        <v>1058</v>
      </c>
      <c r="G22" s="1" t="s">
        <v>1118</v>
      </c>
      <c r="H22" s="1" t="s">
        <v>1059</v>
      </c>
      <c r="I22" s="1" t="s">
        <v>343</v>
      </c>
    </row>
    <row r="23" spans="1:9" x14ac:dyDescent="0.2">
      <c r="A23" s="5" t="s">
        <v>340</v>
      </c>
      <c r="B23" s="1" t="s">
        <v>568</v>
      </c>
      <c r="C23" s="4" t="s">
        <v>344</v>
      </c>
      <c r="D23" s="1" t="s">
        <v>345</v>
      </c>
      <c r="E23" s="1">
        <v>0.1</v>
      </c>
      <c r="F23" s="1" t="s">
        <v>1058</v>
      </c>
      <c r="G23" s="1" t="s">
        <v>1118</v>
      </c>
      <c r="H23" s="1" t="s">
        <v>1059</v>
      </c>
      <c r="I23" s="1" t="s">
        <v>343</v>
      </c>
    </row>
    <row r="24" spans="1:9" x14ac:dyDescent="0.2">
      <c r="A24" s="5" t="s">
        <v>359</v>
      </c>
      <c r="B24" s="1" t="s">
        <v>568</v>
      </c>
      <c r="C24" s="4" t="s">
        <v>360</v>
      </c>
      <c r="D24" s="1" t="s">
        <v>364</v>
      </c>
      <c r="E24" s="1">
        <v>0.4</v>
      </c>
      <c r="F24" s="1" t="s">
        <v>1058</v>
      </c>
      <c r="G24" s="1" t="s">
        <v>1119</v>
      </c>
      <c r="H24" s="1" t="s">
        <v>1120</v>
      </c>
      <c r="I24" s="1" t="s">
        <v>361</v>
      </c>
    </row>
    <row r="25" spans="1:9" x14ac:dyDescent="0.2">
      <c r="A25" s="5" t="s">
        <v>366</v>
      </c>
      <c r="B25" s="1" t="s">
        <v>567</v>
      </c>
      <c r="C25" s="4" t="s">
        <v>367</v>
      </c>
      <c r="D25" s="1" t="s">
        <v>1060</v>
      </c>
      <c r="E25" s="36">
        <v>1000</v>
      </c>
      <c r="F25" s="1" t="s">
        <v>1197</v>
      </c>
      <c r="G25" s="1" t="s">
        <v>1052</v>
      </c>
      <c r="H25" s="1" t="s">
        <v>1062</v>
      </c>
      <c r="I25" s="1" t="s">
        <v>365</v>
      </c>
    </row>
    <row r="26" spans="1:9" x14ac:dyDescent="0.2">
      <c r="A26" s="5" t="s">
        <v>370</v>
      </c>
      <c r="B26" s="1" t="s">
        <v>567</v>
      </c>
      <c r="C26" s="4" t="s">
        <v>368</v>
      </c>
      <c r="D26" s="1" t="s">
        <v>369</v>
      </c>
      <c r="E26" s="1">
        <v>0.4</v>
      </c>
      <c r="F26" s="1" t="s">
        <v>1058</v>
      </c>
      <c r="G26" s="1" t="s">
        <v>1119</v>
      </c>
      <c r="H26" s="1" t="s">
        <v>1120</v>
      </c>
      <c r="I26" s="1" t="s">
        <v>361</v>
      </c>
    </row>
    <row r="27" spans="1:9" x14ac:dyDescent="0.2">
      <c r="A27" s="5" t="s">
        <v>553</v>
      </c>
      <c r="B27" s="1" t="s">
        <v>557</v>
      </c>
      <c r="C27" s="4" t="s">
        <v>560</v>
      </c>
      <c r="D27" s="1" t="s">
        <v>563</v>
      </c>
      <c r="E27" s="1">
        <v>0.2</v>
      </c>
      <c r="F27" s="1" t="s">
        <v>1122</v>
      </c>
      <c r="G27" s="1" t="s">
        <v>1119</v>
      </c>
      <c r="H27" s="1" t="s">
        <v>1121</v>
      </c>
      <c r="I27" s="1" t="s">
        <v>374</v>
      </c>
    </row>
    <row r="28" spans="1:9" x14ac:dyDescent="0.2">
      <c r="A28" s="5" t="s">
        <v>554</v>
      </c>
      <c r="B28" s="1" t="s">
        <v>558</v>
      </c>
      <c r="C28" s="4" t="s">
        <v>561</v>
      </c>
      <c r="D28" s="1" t="s">
        <v>564</v>
      </c>
      <c r="E28" s="1">
        <v>0.2</v>
      </c>
      <c r="F28" s="1" t="s">
        <v>1122</v>
      </c>
      <c r="G28" s="1" t="s">
        <v>1119</v>
      </c>
      <c r="H28" s="1" t="s">
        <v>1121</v>
      </c>
      <c r="I28" s="1" t="s">
        <v>374</v>
      </c>
    </row>
    <row r="29" spans="1:9" x14ac:dyDescent="0.2">
      <c r="A29" s="5" t="s">
        <v>555</v>
      </c>
      <c r="B29" s="1" t="s">
        <v>559</v>
      </c>
      <c r="C29" s="4" t="s">
        <v>562</v>
      </c>
      <c r="D29" s="1" t="s">
        <v>565</v>
      </c>
      <c r="E29" s="1">
        <v>0.2</v>
      </c>
      <c r="F29" s="1" t="s">
        <v>1122</v>
      </c>
      <c r="G29" s="1" t="s">
        <v>1119</v>
      </c>
      <c r="H29" s="1" t="s">
        <v>1121</v>
      </c>
      <c r="I29" s="1" t="s">
        <v>374</v>
      </c>
    </row>
    <row r="30" spans="1:9" x14ac:dyDescent="0.2">
      <c r="A30" s="5" t="s">
        <v>371</v>
      </c>
      <c r="B30" s="1" t="s">
        <v>372</v>
      </c>
      <c r="C30" s="4" t="s">
        <v>373</v>
      </c>
      <c r="D30" s="1" t="s">
        <v>566</v>
      </c>
      <c r="E30" s="1">
        <v>0.2</v>
      </c>
      <c r="F30" s="1" t="s">
        <v>1122</v>
      </c>
      <c r="G30" s="1" t="s">
        <v>1119</v>
      </c>
      <c r="H30" s="1" t="s">
        <v>1121</v>
      </c>
      <c r="I30" s="1" t="s">
        <v>374</v>
      </c>
    </row>
    <row r="31" spans="1:9" x14ac:dyDescent="0.2">
      <c r="A31" s="5" t="s">
        <v>556</v>
      </c>
      <c r="B31" s="1" t="s">
        <v>372</v>
      </c>
      <c r="C31" s="4" t="s">
        <v>373</v>
      </c>
      <c r="D31" s="1" t="s">
        <v>566</v>
      </c>
      <c r="E31" s="1">
        <v>0.2</v>
      </c>
      <c r="F31" s="1" t="s">
        <v>1122</v>
      </c>
      <c r="G31" s="1" t="s">
        <v>1119</v>
      </c>
      <c r="H31" s="1" t="s">
        <v>1121</v>
      </c>
      <c r="I31" s="1" t="s">
        <v>374</v>
      </c>
    </row>
    <row r="32" spans="1:9" x14ac:dyDescent="0.2">
      <c r="A32" s="5" t="s">
        <v>379</v>
      </c>
      <c r="B32" s="1" t="s">
        <v>412</v>
      </c>
      <c r="C32" s="4" t="s">
        <v>384</v>
      </c>
      <c r="D32" s="1" t="s">
        <v>385</v>
      </c>
      <c r="E32" s="1" t="s">
        <v>1060</v>
      </c>
      <c r="F32" s="1" t="s">
        <v>1058</v>
      </c>
      <c r="G32" s="1" t="s">
        <v>1118</v>
      </c>
      <c r="H32" s="1" t="s">
        <v>1121</v>
      </c>
      <c r="I32" s="1" t="s">
        <v>411</v>
      </c>
    </row>
    <row r="33" spans="1:9" x14ac:dyDescent="0.2">
      <c r="A33" s="5" t="s">
        <v>380</v>
      </c>
      <c r="B33" s="1" t="s">
        <v>412</v>
      </c>
      <c r="C33" s="4" t="s">
        <v>384</v>
      </c>
      <c r="D33" s="1" t="s">
        <v>1060</v>
      </c>
      <c r="E33" s="1" t="s">
        <v>1060</v>
      </c>
      <c r="F33" s="1" t="s">
        <v>1058</v>
      </c>
      <c r="G33" s="1" t="s">
        <v>1118</v>
      </c>
      <c r="H33" s="1" t="s">
        <v>1121</v>
      </c>
      <c r="I33" s="1" t="s">
        <v>411</v>
      </c>
    </row>
    <row r="34" spans="1:9" x14ac:dyDescent="0.2">
      <c r="A34" s="5" t="s">
        <v>381</v>
      </c>
      <c r="B34" s="1" t="s">
        <v>381</v>
      </c>
      <c r="C34" s="4" t="s">
        <v>384</v>
      </c>
      <c r="D34" s="1" t="s">
        <v>1060</v>
      </c>
      <c r="E34" s="1" t="s">
        <v>1060</v>
      </c>
      <c r="F34" s="1" t="s">
        <v>1058</v>
      </c>
      <c r="G34" s="1" t="s">
        <v>1118</v>
      </c>
      <c r="H34" s="1" t="s">
        <v>1121</v>
      </c>
      <c r="I34" s="1" t="s">
        <v>411</v>
      </c>
    </row>
    <row r="35" spans="1:9" x14ac:dyDescent="0.2">
      <c r="A35" s="5" t="s">
        <v>382</v>
      </c>
      <c r="B35" s="1" t="s">
        <v>413</v>
      </c>
      <c r="C35" s="4" t="s">
        <v>384</v>
      </c>
      <c r="D35" s="1" t="s">
        <v>1060</v>
      </c>
      <c r="E35" s="1" t="s">
        <v>1060</v>
      </c>
      <c r="F35" s="1" t="s">
        <v>1058</v>
      </c>
      <c r="G35" s="1" t="s">
        <v>1118</v>
      </c>
      <c r="H35" s="1" t="s">
        <v>1121</v>
      </c>
      <c r="I35" s="1" t="s">
        <v>411</v>
      </c>
    </row>
    <row r="36" spans="1:9" x14ac:dyDescent="0.2">
      <c r="A36" s="5" t="s">
        <v>383</v>
      </c>
      <c r="B36" s="1" t="s">
        <v>413</v>
      </c>
      <c r="C36" s="4" t="s">
        <v>384</v>
      </c>
      <c r="D36" s="1" t="s">
        <v>386</v>
      </c>
      <c r="E36" s="1" t="s">
        <v>1060</v>
      </c>
      <c r="F36" s="1" t="s">
        <v>1058</v>
      </c>
      <c r="G36" s="1" t="s">
        <v>1118</v>
      </c>
      <c r="H36" s="1" t="s">
        <v>1121</v>
      </c>
      <c r="I36" s="1" t="s">
        <v>411</v>
      </c>
    </row>
    <row r="37" spans="1:9" x14ac:dyDescent="0.2">
      <c r="A37" s="5" t="s">
        <v>375</v>
      </c>
      <c r="B37" s="1" t="s">
        <v>377</v>
      </c>
      <c r="C37" s="4" t="s">
        <v>543</v>
      </c>
      <c r="D37" s="1" t="s">
        <v>545</v>
      </c>
      <c r="E37" s="1">
        <v>0.2</v>
      </c>
      <c r="F37" s="1" t="s">
        <v>1123</v>
      </c>
      <c r="G37" s="1" t="s">
        <v>1052</v>
      </c>
      <c r="H37" s="1" t="s">
        <v>1059</v>
      </c>
      <c r="I37" s="1" t="s">
        <v>378</v>
      </c>
    </row>
    <row r="38" spans="1:9" x14ac:dyDescent="0.2">
      <c r="A38" s="5" t="s">
        <v>376</v>
      </c>
      <c r="B38" s="1" t="s">
        <v>377</v>
      </c>
      <c r="C38" s="4" t="s">
        <v>543</v>
      </c>
      <c r="D38" s="1" t="s">
        <v>546</v>
      </c>
      <c r="E38" s="1">
        <v>0.2</v>
      </c>
      <c r="F38" s="1" t="s">
        <v>1123</v>
      </c>
      <c r="G38" s="1" t="s">
        <v>1052</v>
      </c>
      <c r="H38" s="1" t="s">
        <v>1059</v>
      </c>
      <c r="I38" s="1" t="s">
        <v>378</v>
      </c>
    </row>
    <row r="39" spans="1:9" x14ac:dyDescent="0.2">
      <c r="A39" s="5" t="s">
        <v>541</v>
      </c>
      <c r="B39" s="1" t="s">
        <v>377</v>
      </c>
      <c r="C39" s="4" t="s">
        <v>543</v>
      </c>
      <c r="D39" s="1" t="s">
        <v>547</v>
      </c>
      <c r="E39" s="1">
        <v>0.2</v>
      </c>
      <c r="F39" s="1" t="s">
        <v>1123</v>
      </c>
      <c r="G39" s="1" t="s">
        <v>1052</v>
      </c>
      <c r="H39" s="1" t="s">
        <v>1059</v>
      </c>
      <c r="I39" s="1" t="s">
        <v>378</v>
      </c>
    </row>
    <row r="40" spans="1:9" x14ac:dyDescent="0.2">
      <c r="A40" s="5" t="s">
        <v>542</v>
      </c>
      <c r="B40" s="1" t="s">
        <v>377</v>
      </c>
      <c r="C40" s="4" t="s">
        <v>544</v>
      </c>
      <c r="D40" s="1" t="s">
        <v>548</v>
      </c>
      <c r="E40" s="1">
        <v>0.2</v>
      </c>
      <c r="F40" s="1" t="s">
        <v>1123</v>
      </c>
      <c r="G40" s="1" t="s">
        <v>1052</v>
      </c>
      <c r="H40" s="1" t="s">
        <v>1059</v>
      </c>
      <c r="I40" s="1" t="s">
        <v>378</v>
      </c>
    </row>
    <row r="41" spans="1:9" x14ac:dyDescent="0.2">
      <c r="A41" s="5" t="s">
        <v>458</v>
      </c>
      <c r="B41" s="1" t="s">
        <v>377</v>
      </c>
      <c r="C41" s="4" t="s">
        <v>466</v>
      </c>
      <c r="D41" s="1" t="s">
        <v>1060</v>
      </c>
      <c r="E41" s="1">
        <v>0.03</v>
      </c>
      <c r="F41" s="1" t="s">
        <v>1122</v>
      </c>
      <c r="G41" s="1" t="s">
        <v>1119</v>
      </c>
      <c r="H41" s="1" t="s">
        <v>1059</v>
      </c>
      <c r="I41" s="1" t="s">
        <v>467</v>
      </c>
    </row>
    <row r="42" spans="1:9" x14ac:dyDescent="0.2">
      <c r="A42" s="5" t="s">
        <v>459</v>
      </c>
      <c r="B42" s="1" t="s">
        <v>377</v>
      </c>
      <c r="C42" s="4" t="s">
        <v>466</v>
      </c>
      <c r="D42" s="1" t="s">
        <v>1060</v>
      </c>
      <c r="E42" s="1">
        <v>0.03</v>
      </c>
      <c r="F42" s="1" t="s">
        <v>1122</v>
      </c>
      <c r="G42" s="1" t="s">
        <v>1119</v>
      </c>
      <c r="H42" s="1" t="s">
        <v>1059</v>
      </c>
      <c r="I42" s="1" t="s">
        <v>467</v>
      </c>
    </row>
    <row r="43" spans="1:9" x14ac:dyDescent="0.2">
      <c r="A43" s="5" t="s">
        <v>460</v>
      </c>
      <c r="B43" s="1" t="s">
        <v>377</v>
      </c>
      <c r="C43" s="4" t="s">
        <v>466</v>
      </c>
      <c r="D43" s="1" t="s">
        <v>1060</v>
      </c>
      <c r="E43" s="1">
        <v>0.03</v>
      </c>
      <c r="F43" s="1" t="s">
        <v>1122</v>
      </c>
      <c r="G43" s="1" t="s">
        <v>1119</v>
      </c>
      <c r="H43" s="1" t="s">
        <v>1059</v>
      </c>
      <c r="I43" s="1" t="s">
        <v>467</v>
      </c>
    </row>
    <row r="44" spans="1:9" x14ac:dyDescent="0.2">
      <c r="A44" s="5" t="s">
        <v>461</v>
      </c>
      <c r="B44" s="1" t="s">
        <v>377</v>
      </c>
      <c r="C44" s="4" t="s">
        <v>466</v>
      </c>
      <c r="D44" s="1" t="s">
        <v>1060</v>
      </c>
      <c r="E44" s="1">
        <v>0.03</v>
      </c>
      <c r="F44" s="1" t="s">
        <v>1122</v>
      </c>
      <c r="G44" s="1" t="s">
        <v>1119</v>
      </c>
      <c r="H44" s="1" t="s">
        <v>1059</v>
      </c>
      <c r="I44" s="1" t="s">
        <v>467</v>
      </c>
    </row>
    <row r="45" spans="1:9" x14ac:dyDescent="0.2">
      <c r="A45" s="5" t="s">
        <v>462</v>
      </c>
      <c r="B45" s="1" t="s">
        <v>377</v>
      </c>
      <c r="C45" s="4" t="s">
        <v>466</v>
      </c>
      <c r="D45" s="1" t="s">
        <v>1060</v>
      </c>
      <c r="E45" s="1">
        <v>0.03</v>
      </c>
      <c r="F45" s="1" t="s">
        <v>1122</v>
      </c>
      <c r="G45" s="1" t="s">
        <v>1119</v>
      </c>
      <c r="H45" s="1" t="s">
        <v>1059</v>
      </c>
      <c r="I45" s="1" t="s">
        <v>467</v>
      </c>
    </row>
    <row r="46" spans="1:9" x14ac:dyDescent="0.2">
      <c r="A46" s="5" t="s">
        <v>463</v>
      </c>
      <c r="B46" s="1" t="s">
        <v>377</v>
      </c>
      <c r="C46" s="4" t="s">
        <v>466</v>
      </c>
      <c r="D46" s="1" t="s">
        <v>1060</v>
      </c>
      <c r="E46" s="1">
        <v>0.03</v>
      </c>
      <c r="F46" s="1" t="s">
        <v>1122</v>
      </c>
      <c r="G46" s="1" t="s">
        <v>1119</v>
      </c>
      <c r="H46" s="1" t="s">
        <v>1059</v>
      </c>
      <c r="I46" s="1" t="s">
        <v>467</v>
      </c>
    </row>
    <row r="47" spans="1:9" x14ac:dyDescent="0.2">
      <c r="A47" s="5" t="s">
        <v>464</v>
      </c>
      <c r="B47" s="1" t="s">
        <v>377</v>
      </c>
      <c r="C47" s="4" t="s">
        <v>466</v>
      </c>
      <c r="D47" s="1" t="s">
        <v>1060</v>
      </c>
      <c r="E47" s="1">
        <v>0.03</v>
      </c>
      <c r="F47" s="1" t="s">
        <v>1122</v>
      </c>
      <c r="G47" s="1" t="s">
        <v>1119</v>
      </c>
      <c r="H47" s="1" t="s">
        <v>1059</v>
      </c>
      <c r="I47" s="1" t="s">
        <v>467</v>
      </c>
    </row>
    <row r="48" spans="1:9" x14ac:dyDescent="0.2">
      <c r="A48" s="5" t="s">
        <v>465</v>
      </c>
      <c r="B48" s="1" t="s">
        <v>377</v>
      </c>
      <c r="C48" s="4" t="s">
        <v>466</v>
      </c>
      <c r="D48" s="1" t="s">
        <v>1060</v>
      </c>
      <c r="E48" s="1">
        <v>0.03</v>
      </c>
      <c r="F48" s="1" t="s">
        <v>1122</v>
      </c>
      <c r="G48" s="1" t="s">
        <v>1119</v>
      </c>
      <c r="H48" s="1" t="s">
        <v>1059</v>
      </c>
      <c r="I48" s="1" t="s">
        <v>467</v>
      </c>
    </row>
    <row r="49" spans="1:9" x14ac:dyDescent="0.2">
      <c r="A49" s="5" t="s">
        <v>587</v>
      </c>
      <c r="B49" s="1" t="s">
        <v>377</v>
      </c>
      <c r="C49" s="4" t="s">
        <v>588</v>
      </c>
      <c r="D49" s="1" t="s">
        <v>1125</v>
      </c>
      <c r="E49" s="1">
        <v>1</v>
      </c>
      <c r="F49" s="1" t="s">
        <v>1126</v>
      </c>
      <c r="G49" s="1" t="s">
        <v>1052</v>
      </c>
      <c r="H49" s="1" t="s">
        <v>1059</v>
      </c>
      <c r="I49" s="1" t="s">
        <v>589</v>
      </c>
    </row>
    <row r="50" spans="1:9" x14ac:dyDescent="0.2">
      <c r="A50" s="5" t="s">
        <v>433</v>
      </c>
      <c r="B50" s="1" t="s">
        <v>619</v>
      </c>
      <c r="C50" s="4" t="s">
        <v>430</v>
      </c>
      <c r="D50" s="1" t="s">
        <v>436</v>
      </c>
      <c r="E50" s="1">
        <v>6.3E-2</v>
      </c>
      <c r="F50" s="1" t="s">
        <v>1128</v>
      </c>
      <c r="G50" s="1" t="s">
        <v>1129</v>
      </c>
      <c r="H50" s="1" t="s">
        <v>1127</v>
      </c>
      <c r="I50" s="1" t="s">
        <v>437</v>
      </c>
    </row>
    <row r="51" spans="1:9" x14ac:dyDescent="0.2">
      <c r="A51" s="5" t="s">
        <v>434</v>
      </c>
      <c r="B51" s="1" t="s">
        <v>619</v>
      </c>
      <c r="C51" s="4" t="s">
        <v>431</v>
      </c>
      <c r="D51" s="1" t="s">
        <v>436</v>
      </c>
      <c r="E51" s="1">
        <v>6.3E-2</v>
      </c>
      <c r="F51" s="1" t="s">
        <v>1128</v>
      </c>
      <c r="G51" s="1" t="s">
        <v>1129</v>
      </c>
      <c r="H51" s="1" t="s">
        <v>1127</v>
      </c>
      <c r="I51" s="1" t="s">
        <v>437</v>
      </c>
    </row>
    <row r="52" spans="1:9" x14ac:dyDescent="0.2">
      <c r="A52" s="5" t="s">
        <v>435</v>
      </c>
      <c r="B52" s="1" t="s">
        <v>619</v>
      </c>
      <c r="C52" s="4" t="s">
        <v>432</v>
      </c>
      <c r="D52" s="1" t="s">
        <v>436</v>
      </c>
      <c r="E52" s="1">
        <v>6.3E-2</v>
      </c>
      <c r="F52" s="1" t="s">
        <v>1128</v>
      </c>
      <c r="G52" s="1" t="s">
        <v>1129</v>
      </c>
      <c r="H52" s="1" t="s">
        <v>1127</v>
      </c>
      <c r="I52" s="1" t="s">
        <v>437</v>
      </c>
    </row>
    <row r="53" spans="1:9" x14ac:dyDescent="0.2">
      <c r="A53" s="5" t="s">
        <v>455</v>
      </c>
      <c r="B53" s="1" t="s">
        <v>619</v>
      </c>
      <c r="C53" s="4" t="s">
        <v>454</v>
      </c>
      <c r="D53" s="1" t="s">
        <v>436</v>
      </c>
      <c r="E53" s="1">
        <v>1E-4</v>
      </c>
      <c r="F53" s="1" t="s">
        <v>1130</v>
      </c>
      <c r="G53" s="1" t="s">
        <v>1052</v>
      </c>
      <c r="H53" s="1" t="s">
        <v>1059</v>
      </c>
      <c r="I53" s="1" t="s">
        <v>457</v>
      </c>
    </row>
    <row r="54" spans="1:9" x14ac:dyDescent="0.2">
      <c r="A54" s="5" t="s">
        <v>456</v>
      </c>
      <c r="B54" s="1" t="s">
        <v>619</v>
      </c>
      <c r="C54" s="4" t="s">
        <v>453</v>
      </c>
      <c r="D54" s="1" t="s">
        <v>436</v>
      </c>
      <c r="E54" s="1">
        <v>1E-4</v>
      </c>
      <c r="F54" s="1" t="s">
        <v>1130</v>
      </c>
      <c r="G54" s="1" t="s">
        <v>1052</v>
      </c>
      <c r="H54" s="1" t="s">
        <v>1059</v>
      </c>
      <c r="I54" s="1" t="s">
        <v>457</v>
      </c>
    </row>
    <row r="55" spans="1:9" x14ac:dyDescent="0.2">
      <c r="A55" s="5" t="s">
        <v>644</v>
      </c>
      <c r="B55" s="1" t="s">
        <v>619</v>
      </c>
      <c r="C55" s="4" t="s">
        <v>645</v>
      </c>
      <c r="D55" s="1" t="s">
        <v>436</v>
      </c>
      <c r="E55" s="1">
        <v>0.5</v>
      </c>
      <c r="F55" s="1" t="s">
        <v>1122</v>
      </c>
      <c r="G55" s="1" t="s">
        <v>1119</v>
      </c>
      <c r="H55" s="1" t="s">
        <v>1059</v>
      </c>
      <c r="I55" s="1" t="s">
        <v>646</v>
      </c>
    </row>
    <row r="56" spans="1:9" x14ac:dyDescent="0.2">
      <c r="A56" s="5" t="s">
        <v>648</v>
      </c>
      <c r="B56" s="1" t="s">
        <v>619</v>
      </c>
      <c r="C56" s="4" t="s">
        <v>649</v>
      </c>
      <c r="D56" s="1" t="s">
        <v>436</v>
      </c>
      <c r="E56" s="1" t="s">
        <v>1060</v>
      </c>
      <c r="F56" s="1" t="s">
        <v>1130</v>
      </c>
      <c r="G56" s="1" t="s">
        <v>1052</v>
      </c>
      <c r="H56" s="1" t="s">
        <v>1059</v>
      </c>
      <c r="I56" s="5" t="s">
        <v>1133</v>
      </c>
    </row>
    <row r="57" spans="1:9" x14ac:dyDescent="0.2">
      <c r="A57" s="5" t="s">
        <v>650</v>
      </c>
      <c r="B57" s="1" t="s">
        <v>619</v>
      </c>
      <c r="C57" s="4" t="s">
        <v>651</v>
      </c>
      <c r="D57" s="1" t="s">
        <v>436</v>
      </c>
      <c r="E57" s="1">
        <v>3.0000000000000001E-3</v>
      </c>
      <c r="F57" s="1" t="s">
        <v>1130</v>
      </c>
      <c r="G57" s="1" t="s">
        <v>1052</v>
      </c>
      <c r="H57" s="1" t="s">
        <v>1059</v>
      </c>
      <c r="I57" s="1" t="s">
        <v>654</v>
      </c>
    </row>
    <row r="58" spans="1:9" x14ac:dyDescent="0.2">
      <c r="A58" s="5" t="s">
        <v>652</v>
      </c>
      <c r="B58" s="1" t="s">
        <v>619</v>
      </c>
      <c r="C58" s="4" t="s">
        <v>653</v>
      </c>
      <c r="D58" s="1" t="s">
        <v>436</v>
      </c>
      <c r="E58" s="1" t="s">
        <v>1060</v>
      </c>
      <c r="F58" s="1" t="s">
        <v>1131</v>
      </c>
      <c r="G58" s="1" t="s">
        <v>1118</v>
      </c>
      <c r="H58" s="1" t="s">
        <v>1059</v>
      </c>
      <c r="I58" s="1" t="s">
        <v>1137</v>
      </c>
    </row>
    <row r="59" spans="1:9" x14ac:dyDescent="0.2">
      <c r="A59" s="5" t="s">
        <v>655</v>
      </c>
      <c r="B59" s="1" t="s">
        <v>619</v>
      </c>
      <c r="C59" s="4" t="s">
        <v>661</v>
      </c>
      <c r="D59" s="1" t="s">
        <v>436</v>
      </c>
      <c r="E59" s="1">
        <v>500</v>
      </c>
      <c r="F59" s="1" t="s">
        <v>1145</v>
      </c>
      <c r="G59" s="1" t="s">
        <v>1060</v>
      </c>
      <c r="H59" s="1" t="s">
        <v>1144</v>
      </c>
      <c r="I59" s="1" t="s">
        <v>662</v>
      </c>
    </row>
    <row r="60" spans="1:9" x14ac:dyDescent="0.2">
      <c r="A60" s="5" t="s">
        <v>656</v>
      </c>
      <c r="B60" s="1" t="s">
        <v>619</v>
      </c>
      <c r="C60" s="4" t="s">
        <v>663</v>
      </c>
      <c r="D60" s="1" t="s">
        <v>436</v>
      </c>
      <c r="E60" s="1">
        <v>813.3</v>
      </c>
      <c r="F60" s="1" t="s">
        <v>1151</v>
      </c>
      <c r="G60" s="1" t="s">
        <v>1152</v>
      </c>
      <c r="H60" s="1" t="s">
        <v>1059</v>
      </c>
      <c r="I60" s="1" t="s">
        <v>664</v>
      </c>
    </row>
    <row r="61" spans="1:9" x14ac:dyDescent="0.2">
      <c r="A61" s="5" t="s">
        <v>657</v>
      </c>
      <c r="B61" s="1" t="s">
        <v>619</v>
      </c>
      <c r="C61" s="4" t="s">
        <v>665</v>
      </c>
      <c r="D61" s="1" t="s">
        <v>436</v>
      </c>
      <c r="E61" s="1" t="s">
        <v>1060</v>
      </c>
      <c r="F61" s="1" t="s">
        <v>1151</v>
      </c>
      <c r="G61" s="1" t="s">
        <v>1119</v>
      </c>
      <c r="H61" s="1" t="s">
        <v>1059</v>
      </c>
      <c r="I61" s="1" t="s">
        <v>666</v>
      </c>
    </row>
    <row r="62" spans="1:9" x14ac:dyDescent="0.2">
      <c r="A62" s="5" t="s">
        <v>658</v>
      </c>
      <c r="B62" s="1" t="s">
        <v>619</v>
      </c>
      <c r="C62" s="4" t="s">
        <v>667</v>
      </c>
      <c r="D62" s="1" t="s">
        <v>436</v>
      </c>
      <c r="E62" s="1" t="s">
        <v>1060</v>
      </c>
      <c r="F62" s="1" t="s">
        <v>1192</v>
      </c>
      <c r="G62" s="1" t="s">
        <v>1124</v>
      </c>
      <c r="H62" s="1" t="s">
        <v>1193</v>
      </c>
      <c r="I62" s="1" t="s">
        <v>668</v>
      </c>
    </row>
    <row r="63" spans="1:9" x14ac:dyDescent="0.2">
      <c r="A63" s="5" t="s">
        <v>659</v>
      </c>
      <c r="B63" s="1" t="s">
        <v>619</v>
      </c>
      <c r="C63" s="4" t="s">
        <v>669</v>
      </c>
      <c r="D63" s="1" t="s">
        <v>436</v>
      </c>
      <c r="E63" s="1">
        <v>180</v>
      </c>
      <c r="F63" s="1" t="s">
        <v>1151</v>
      </c>
      <c r="G63" s="1" t="s">
        <v>1060</v>
      </c>
      <c r="H63" s="1" t="s">
        <v>1059</v>
      </c>
      <c r="I63" s="1" t="s">
        <v>671</v>
      </c>
    </row>
    <row r="64" spans="1:9" x14ac:dyDescent="0.2">
      <c r="A64" s="5" t="s">
        <v>660</v>
      </c>
      <c r="B64" s="1" t="s">
        <v>619</v>
      </c>
      <c r="C64" s="4" t="s">
        <v>670</v>
      </c>
      <c r="D64" s="1" t="s">
        <v>436</v>
      </c>
      <c r="E64" s="1" t="s">
        <v>1060</v>
      </c>
      <c r="F64" s="1" t="s">
        <v>1151</v>
      </c>
      <c r="G64" s="1" t="s">
        <v>1060</v>
      </c>
      <c r="H64" s="1" t="s">
        <v>1059</v>
      </c>
      <c r="I64" s="1" t="s">
        <v>672</v>
      </c>
    </row>
    <row r="65" spans="1:9" x14ac:dyDescent="0.2">
      <c r="A65" s="5" t="s">
        <v>674</v>
      </c>
      <c r="B65" s="1" t="s">
        <v>673</v>
      </c>
      <c r="C65" s="4" t="s">
        <v>678</v>
      </c>
      <c r="D65" s="1" t="s">
        <v>436</v>
      </c>
      <c r="E65" s="1">
        <v>50</v>
      </c>
      <c r="F65" s="1" t="s">
        <v>1122</v>
      </c>
      <c r="G65" s="1" t="s">
        <v>1138</v>
      </c>
      <c r="H65" s="1" t="s">
        <v>1139</v>
      </c>
      <c r="I65" s="1" t="s">
        <v>682</v>
      </c>
    </row>
    <row r="66" spans="1:9" x14ac:dyDescent="0.2">
      <c r="A66" s="5" t="s">
        <v>675</v>
      </c>
      <c r="B66" s="1" t="s">
        <v>673</v>
      </c>
      <c r="C66" s="4" t="s">
        <v>679</v>
      </c>
      <c r="D66" s="1" t="s">
        <v>436</v>
      </c>
      <c r="E66" s="1">
        <v>50</v>
      </c>
      <c r="F66" s="1" t="s">
        <v>1122</v>
      </c>
      <c r="G66" s="1" t="s">
        <v>1138</v>
      </c>
      <c r="H66" s="1" t="s">
        <v>1139</v>
      </c>
      <c r="I66" s="1" t="s">
        <v>682</v>
      </c>
    </row>
    <row r="67" spans="1:9" x14ac:dyDescent="0.2">
      <c r="A67" s="5" t="s">
        <v>676</v>
      </c>
      <c r="B67" s="1" t="s">
        <v>673</v>
      </c>
      <c r="C67" s="4" t="s">
        <v>680</v>
      </c>
      <c r="D67" s="1" t="s">
        <v>436</v>
      </c>
      <c r="E67" s="1">
        <v>50</v>
      </c>
      <c r="F67" s="1" t="s">
        <v>1122</v>
      </c>
      <c r="G67" s="1" t="s">
        <v>1138</v>
      </c>
      <c r="H67" s="1" t="s">
        <v>1139</v>
      </c>
      <c r="I67" s="1" t="s">
        <v>682</v>
      </c>
    </row>
    <row r="68" spans="1:9" x14ac:dyDescent="0.2">
      <c r="A68" s="5" t="s">
        <v>677</v>
      </c>
      <c r="B68" s="1" t="s">
        <v>673</v>
      </c>
      <c r="C68" s="4" t="s">
        <v>681</v>
      </c>
      <c r="D68" s="1" t="s">
        <v>436</v>
      </c>
      <c r="E68" s="1">
        <v>50</v>
      </c>
      <c r="F68" s="1" t="s">
        <v>1122</v>
      </c>
      <c r="G68" s="1" t="s">
        <v>1138</v>
      </c>
      <c r="H68" s="1" t="s">
        <v>1139</v>
      </c>
      <c r="I68" s="1" t="s">
        <v>682</v>
      </c>
    </row>
    <row r="69" spans="1:9" x14ac:dyDescent="0.2">
      <c r="A69" s="5" t="s">
        <v>573</v>
      </c>
      <c r="B69" s="1" t="s">
        <v>620</v>
      </c>
      <c r="C69" s="4" t="s">
        <v>441</v>
      </c>
      <c r="D69" s="1" t="s">
        <v>436</v>
      </c>
      <c r="E69" s="1">
        <v>6.3E-2</v>
      </c>
      <c r="F69" s="1" t="s">
        <v>1122</v>
      </c>
      <c r="G69" s="1" t="s">
        <v>1138</v>
      </c>
      <c r="H69" s="1" t="s">
        <v>1139</v>
      </c>
      <c r="I69" s="1" t="s">
        <v>1202</v>
      </c>
    </row>
    <row r="70" spans="1:9" x14ac:dyDescent="0.2">
      <c r="A70" s="5" t="s">
        <v>442</v>
      </c>
      <c r="B70" s="1" t="s">
        <v>620</v>
      </c>
      <c r="C70" s="4" t="s">
        <v>441</v>
      </c>
      <c r="D70" s="1" t="s">
        <v>436</v>
      </c>
      <c r="E70" s="1">
        <v>6.3E-2</v>
      </c>
      <c r="F70" s="1" t="s">
        <v>1122</v>
      </c>
      <c r="G70" s="1" t="s">
        <v>1138</v>
      </c>
      <c r="H70" s="1" t="s">
        <v>1139</v>
      </c>
      <c r="I70" s="1" t="s">
        <v>1202</v>
      </c>
    </row>
    <row r="71" spans="1:9" x14ac:dyDescent="0.2">
      <c r="A71" s="5" t="s">
        <v>443</v>
      </c>
      <c r="B71" s="1" t="s">
        <v>620</v>
      </c>
      <c r="C71" s="4" t="s">
        <v>441</v>
      </c>
      <c r="D71" s="1" t="s">
        <v>436</v>
      </c>
      <c r="E71" s="1">
        <v>6.3E-2</v>
      </c>
      <c r="F71" s="1" t="s">
        <v>1122</v>
      </c>
      <c r="G71" s="1" t="s">
        <v>1138</v>
      </c>
      <c r="H71" s="1" t="s">
        <v>1139</v>
      </c>
      <c r="I71" s="1" t="s">
        <v>1202</v>
      </c>
    </row>
    <row r="72" spans="1:9" x14ac:dyDescent="0.2">
      <c r="A72" s="5" t="s">
        <v>450</v>
      </c>
      <c r="B72" s="1" t="s">
        <v>620</v>
      </c>
      <c r="C72" s="4" t="s">
        <v>441</v>
      </c>
      <c r="D72" s="1" t="s">
        <v>436</v>
      </c>
      <c r="E72" s="1">
        <v>6.3E-2</v>
      </c>
      <c r="F72" s="1" t="s">
        <v>1122</v>
      </c>
      <c r="G72" s="1" t="s">
        <v>1138</v>
      </c>
      <c r="H72" s="1" t="s">
        <v>1139</v>
      </c>
      <c r="I72" s="1" t="s">
        <v>1202</v>
      </c>
    </row>
    <row r="73" spans="1:9" x14ac:dyDescent="0.2">
      <c r="A73" s="5" t="s">
        <v>444</v>
      </c>
      <c r="B73" s="1" t="s">
        <v>620</v>
      </c>
      <c r="C73" s="4" t="s">
        <v>441</v>
      </c>
      <c r="D73" s="1" t="s">
        <v>436</v>
      </c>
      <c r="E73" s="1">
        <v>6.3E-2</v>
      </c>
      <c r="F73" s="1" t="s">
        <v>1122</v>
      </c>
      <c r="G73" s="1" t="s">
        <v>1138</v>
      </c>
      <c r="H73" s="1" t="s">
        <v>1139</v>
      </c>
      <c r="I73" s="1" t="s">
        <v>1202</v>
      </c>
    </row>
    <row r="74" spans="1:9" x14ac:dyDescent="0.2">
      <c r="A74" s="5" t="s">
        <v>445</v>
      </c>
      <c r="B74" s="1" t="s">
        <v>620</v>
      </c>
      <c r="C74" s="4" t="s">
        <v>441</v>
      </c>
      <c r="D74" s="1" t="s">
        <v>436</v>
      </c>
      <c r="E74" s="1">
        <v>6.3E-2</v>
      </c>
      <c r="F74" s="1" t="s">
        <v>1122</v>
      </c>
      <c r="G74" s="1" t="s">
        <v>1138</v>
      </c>
      <c r="H74" s="1" t="s">
        <v>1139</v>
      </c>
      <c r="I74" s="1" t="s">
        <v>1202</v>
      </c>
    </row>
    <row r="75" spans="1:9" x14ac:dyDescent="0.2">
      <c r="A75" s="5" t="s">
        <v>446</v>
      </c>
      <c r="B75" s="1" t="s">
        <v>620</v>
      </c>
      <c r="C75" s="4" t="s">
        <v>441</v>
      </c>
      <c r="D75" s="1" t="s">
        <v>436</v>
      </c>
      <c r="E75" s="1">
        <v>6.3E-2</v>
      </c>
      <c r="F75" s="1" t="s">
        <v>1122</v>
      </c>
      <c r="G75" s="1" t="s">
        <v>1138</v>
      </c>
      <c r="H75" s="1" t="s">
        <v>1139</v>
      </c>
      <c r="I75" s="1" t="s">
        <v>1202</v>
      </c>
    </row>
    <row r="76" spans="1:9" x14ac:dyDescent="0.2">
      <c r="A76" s="5" t="s">
        <v>582</v>
      </c>
      <c r="B76" s="1" t="s">
        <v>620</v>
      </c>
      <c r="C76" s="4" t="s">
        <v>441</v>
      </c>
      <c r="D76" s="1" t="s">
        <v>436</v>
      </c>
      <c r="E76" s="1">
        <v>6.3E-2</v>
      </c>
      <c r="F76" s="1" t="s">
        <v>1122</v>
      </c>
      <c r="G76" s="1" t="s">
        <v>1138</v>
      </c>
      <c r="H76" s="1" t="s">
        <v>1139</v>
      </c>
      <c r="I76" s="1" t="s">
        <v>1202</v>
      </c>
    </row>
    <row r="77" spans="1:9" x14ac:dyDescent="0.2">
      <c r="A77" s="5" t="s">
        <v>449</v>
      </c>
      <c r="B77" s="1" t="s">
        <v>620</v>
      </c>
      <c r="C77" s="4" t="s">
        <v>441</v>
      </c>
      <c r="D77" s="1" t="s">
        <v>436</v>
      </c>
      <c r="E77" s="1">
        <v>6.3E-2</v>
      </c>
      <c r="F77" s="1" t="s">
        <v>1122</v>
      </c>
      <c r="G77" s="1" t="s">
        <v>1138</v>
      </c>
      <c r="H77" s="1" t="s">
        <v>1139</v>
      </c>
      <c r="I77" s="1" t="s">
        <v>1202</v>
      </c>
    </row>
    <row r="78" spans="1:9" x14ac:dyDescent="0.2">
      <c r="A78" s="5" t="s">
        <v>448</v>
      </c>
      <c r="B78" s="1" t="s">
        <v>620</v>
      </c>
      <c r="C78" s="4" t="s">
        <v>441</v>
      </c>
      <c r="D78" s="1" t="s">
        <v>436</v>
      </c>
      <c r="E78" s="1">
        <v>6.3E-2</v>
      </c>
      <c r="F78" s="1" t="s">
        <v>1122</v>
      </c>
      <c r="G78" s="1" t="s">
        <v>1138</v>
      </c>
      <c r="H78" s="1" t="s">
        <v>1139</v>
      </c>
      <c r="I78" s="1" t="s">
        <v>1202</v>
      </c>
    </row>
    <row r="79" spans="1:9" x14ac:dyDescent="0.2">
      <c r="A79" s="5" t="s">
        <v>447</v>
      </c>
      <c r="B79" s="1" t="s">
        <v>620</v>
      </c>
      <c r="C79" s="4" t="s">
        <v>441</v>
      </c>
      <c r="D79" s="1" t="s">
        <v>436</v>
      </c>
      <c r="E79" s="1">
        <v>6.3E-2</v>
      </c>
      <c r="F79" s="1" t="s">
        <v>1122</v>
      </c>
      <c r="G79" s="1" t="s">
        <v>1138</v>
      </c>
      <c r="H79" s="1" t="s">
        <v>1139</v>
      </c>
      <c r="I79" s="1" t="s">
        <v>1202</v>
      </c>
    </row>
    <row r="80" spans="1:9" x14ac:dyDescent="0.2">
      <c r="A80" s="5" t="s">
        <v>583</v>
      </c>
      <c r="B80" s="1" t="s">
        <v>620</v>
      </c>
      <c r="C80" s="4" t="s">
        <v>441</v>
      </c>
      <c r="D80" s="1" t="s">
        <v>436</v>
      </c>
      <c r="E80" s="1">
        <v>6.3E-2</v>
      </c>
      <c r="F80" s="1" t="s">
        <v>1122</v>
      </c>
      <c r="G80" s="1" t="s">
        <v>1138</v>
      </c>
      <c r="H80" s="1" t="s">
        <v>1139</v>
      </c>
      <c r="I80" s="1" t="s">
        <v>1202</v>
      </c>
    </row>
    <row r="81" spans="1:9" x14ac:dyDescent="0.2">
      <c r="A81" s="5" t="s">
        <v>621</v>
      </c>
      <c r="B81" s="1" t="s">
        <v>620</v>
      </c>
      <c r="C81" s="4" t="s">
        <v>627</v>
      </c>
      <c r="D81" s="1" t="s">
        <v>436</v>
      </c>
      <c r="E81" s="1">
        <v>0.5</v>
      </c>
      <c r="F81" s="1" t="s">
        <v>1140</v>
      </c>
      <c r="G81" s="1" t="s">
        <v>1142</v>
      </c>
      <c r="H81" s="1" t="s">
        <v>1141</v>
      </c>
      <c r="I81" s="1" t="s">
        <v>633</v>
      </c>
    </row>
    <row r="82" spans="1:9" x14ac:dyDescent="0.2">
      <c r="A82" s="5" t="s">
        <v>622</v>
      </c>
      <c r="B82" s="1" t="s">
        <v>620</v>
      </c>
      <c r="C82" s="4" t="s">
        <v>628</v>
      </c>
      <c r="D82" s="1" t="s">
        <v>436</v>
      </c>
      <c r="E82" s="1">
        <v>0.5</v>
      </c>
      <c r="F82" s="1" t="s">
        <v>1140</v>
      </c>
      <c r="G82" s="1" t="s">
        <v>1142</v>
      </c>
      <c r="H82" s="1" t="s">
        <v>1141</v>
      </c>
      <c r="I82" s="1" t="s">
        <v>633</v>
      </c>
    </row>
    <row r="83" spans="1:9" x14ac:dyDescent="0.2">
      <c r="A83" s="5" t="s">
        <v>623</v>
      </c>
      <c r="B83" s="1" t="s">
        <v>620</v>
      </c>
      <c r="C83" s="4" t="s">
        <v>629</v>
      </c>
      <c r="D83" s="1" t="s">
        <v>436</v>
      </c>
      <c r="E83" s="1">
        <v>0.5</v>
      </c>
      <c r="F83" s="1" t="s">
        <v>1140</v>
      </c>
      <c r="G83" s="1" t="s">
        <v>1142</v>
      </c>
      <c r="H83" s="1" t="s">
        <v>1141</v>
      </c>
      <c r="I83" s="1" t="s">
        <v>633</v>
      </c>
    </row>
    <row r="84" spans="1:9" x14ac:dyDescent="0.2">
      <c r="A84" s="5" t="s">
        <v>624</v>
      </c>
      <c r="B84" s="1" t="s">
        <v>620</v>
      </c>
      <c r="C84" s="4" t="s">
        <v>630</v>
      </c>
      <c r="D84" s="1" t="s">
        <v>436</v>
      </c>
      <c r="E84" s="1">
        <v>0.5</v>
      </c>
      <c r="F84" s="1" t="s">
        <v>1140</v>
      </c>
      <c r="G84" s="1" t="s">
        <v>1142</v>
      </c>
      <c r="H84" s="1" t="s">
        <v>1141</v>
      </c>
      <c r="I84" s="1" t="s">
        <v>633</v>
      </c>
    </row>
    <row r="85" spans="1:9" x14ac:dyDescent="0.2">
      <c r="A85" s="5" t="s">
        <v>625</v>
      </c>
      <c r="B85" s="1" t="s">
        <v>620</v>
      </c>
      <c r="C85" s="4" t="s">
        <v>631</v>
      </c>
      <c r="D85" s="1" t="s">
        <v>436</v>
      </c>
      <c r="E85" s="1">
        <v>0.5</v>
      </c>
      <c r="F85" s="1" t="s">
        <v>1140</v>
      </c>
      <c r="G85" s="1" t="s">
        <v>1142</v>
      </c>
      <c r="H85" s="1" t="s">
        <v>1141</v>
      </c>
      <c r="I85" s="1" t="s">
        <v>633</v>
      </c>
    </row>
    <row r="86" spans="1:9" x14ac:dyDescent="0.2">
      <c r="A86" s="5" t="s">
        <v>626</v>
      </c>
      <c r="B86" s="1" t="s">
        <v>620</v>
      </c>
      <c r="C86" s="4" t="s">
        <v>632</v>
      </c>
      <c r="D86" s="1" t="s">
        <v>436</v>
      </c>
      <c r="E86" s="1">
        <v>0.5</v>
      </c>
      <c r="F86" s="1" t="s">
        <v>1140</v>
      </c>
      <c r="G86" s="1" t="s">
        <v>1142</v>
      </c>
      <c r="H86" s="1" t="s">
        <v>1141</v>
      </c>
      <c r="I86" s="1" t="s">
        <v>633</v>
      </c>
    </row>
    <row r="87" spans="1:9" x14ac:dyDescent="0.2">
      <c r="A87" s="1" t="s">
        <v>640</v>
      </c>
      <c r="B87" s="1" t="s">
        <v>620</v>
      </c>
      <c r="C87" s="4" t="s">
        <v>641</v>
      </c>
      <c r="D87" s="1" t="s">
        <v>436</v>
      </c>
      <c r="E87" s="1">
        <v>2</v>
      </c>
      <c r="F87" s="1" t="s">
        <v>1122</v>
      </c>
      <c r="G87" s="1" t="s">
        <v>1118</v>
      </c>
      <c r="H87" s="1" t="s">
        <v>1139</v>
      </c>
      <c r="I87" s="1" t="s">
        <v>642</v>
      </c>
    </row>
    <row r="88" spans="1:9" x14ac:dyDescent="0.2">
      <c r="A88" s="1" t="s">
        <v>636</v>
      </c>
      <c r="B88" s="1" t="s">
        <v>637</v>
      </c>
      <c r="C88" s="4" t="s">
        <v>638</v>
      </c>
      <c r="D88" s="1" t="s">
        <v>436</v>
      </c>
      <c r="E88" s="1">
        <v>0.1</v>
      </c>
      <c r="F88" s="1" t="s">
        <v>1122</v>
      </c>
      <c r="G88" s="1" t="s">
        <v>1143</v>
      </c>
      <c r="H88" s="1" t="s">
        <v>1057</v>
      </c>
      <c r="I88" s="1" t="s">
        <v>1204</v>
      </c>
    </row>
    <row r="89" spans="1:9" x14ac:dyDescent="0.2">
      <c r="B89" s="1"/>
      <c r="D89" s="1" t="s">
        <v>436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1425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549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362</v>
      </c>
      <c r="B13" t="s">
        <v>816</v>
      </c>
    </row>
    <row r="14" spans="1:2" x14ac:dyDescent="0.2">
      <c r="A14" t="s">
        <v>197</v>
      </c>
      <c r="B14" t="s">
        <v>535</v>
      </c>
    </row>
    <row r="15" spans="1:2" x14ac:dyDescent="0.2">
      <c r="A15" t="s">
        <v>130</v>
      </c>
      <c r="B15" t="s">
        <v>1225</v>
      </c>
    </row>
    <row r="17" spans="1:2" x14ac:dyDescent="0.2">
      <c r="A17" s="2" t="s">
        <v>1491</v>
      </c>
    </row>
    <row r="18" spans="1:2" x14ac:dyDescent="0.2">
      <c r="A18" s="2" t="s">
        <v>1424</v>
      </c>
      <c r="B18" s="2" t="s">
        <v>71</v>
      </c>
    </row>
    <row r="19" spans="1:2" x14ac:dyDescent="0.2">
      <c r="A19" s="67"/>
      <c r="B19" t="s">
        <v>1420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1421</v>
      </c>
    </row>
    <row r="22" spans="1:2" x14ac:dyDescent="0.2">
      <c r="A22" s="70"/>
      <c r="B22" t="s">
        <v>1422</v>
      </c>
    </row>
    <row r="23" spans="1:2" x14ac:dyDescent="0.2">
      <c r="A23" s="71"/>
      <c r="B23" t="s">
        <v>1423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1580</v>
      </c>
      <c r="B1" s="3" t="s">
        <v>1581</v>
      </c>
      <c r="C1" s="3" t="s">
        <v>1582</v>
      </c>
      <c r="D1" s="3" t="s">
        <v>1583</v>
      </c>
      <c r="E1" s="3" t="s">
        <v>1621</v>
      </c>
    </row>
    <row r="2" spans="1:5" x14ac:dyDescent="0.2">
      <c r="A2" t="s">
        <v>1584</v>
      </c>
      <c r="B2" s="1">
        <v>3</v>
      </c>
      <c r="C2" s="1" t="s">
        <v>1585</v>
      </c>
      <c r="D2" s="30">
        <v>0.997862710476623</v>
      </c>
      <c r="E2" s="30">
        <v>0.999996071054846</v>
      </c>
    </row>
    <row r="3" spans="1:5" x14ac:dyDescent="0.2">
      <c r="A3" t="s">
        <v>1586</v>
      </c>
      <c r="B3" s="1">
        <v>5</v>
      </c>
      <c r="C3" s="1" t="s">
        <v>1587</v>
      </c>
      <c r="D3" s="30">
        <v>0.993364639958917</v>
      </c>
      <c r="E3" s="30">
        <v>0.99953540572149302</v>
      </c>
    </row>
    <row r="4" spans="1:5" x14ac:dyDescent="0.2">
      <c r="A4" t="s">
        <v>1588</v>
      </c>
      <c r="B4" s="1">
        <v>3</v>
      </c>
      <c r="C4" s="1" t="s">
        <v>1585</v>
      </c>
      <c r="D4" s="30">
        <v>0.99912596398565201</v>
      </c>
      <c r="E4" s="30">
        <v>0.99999281758167902</v>
      </c>
    </row>
    <row r="5" spans="1:5" x14ac:dyDescent="0.2">
      <c r="A5" t="s">
        <v>1589</v>
      </c>
      <c r="B5" s="1">
        <v>6</v>
      </c>
      <c r="C5" s="1" t="s">
        <v>1590</v>
      </c>
      <c r="D5" s="30">
        <v>0.994821731624842</v>
      </c>
      <c r="E5" s="30">
        <v>0.99673859405893706</v>
      </c>
    </row>
    <row r="6" spans="1:5" x14ac:dyDescent="0.2">
      <c r="A6" t="s">
        <v>1591</v>
      </c>
      <c r="B6" s="1">
        <v>3</v>
      </c>
      <c r="C6" s="1" t="s">
        <v>1585</v>
      </c>
      <c r="D6" s="30">
        <v>0.99939647448011004</v>
      </c>
      <c r="E6" s="30">
        <v>0.99999479870907104</v>
      </c>
    </row>
    <row r="7" spans="1:5" x14ac:dyDescent="0.2">
      <c r="A7" t="s">
        <v>1592</v>
      </c>
      <c r="B7" s="1">
        <v>3</v>
      </c>
      <c r="C7" s="1" t="s">
        <v>1585</v>
      </c>
      <c r="D7" s="30">
        <v>0.99929601874875895</v>
      </c>
      <c r="E7" s="30">
        <v>0.999994320822994</v>
      </c>
    </row>
    <row r="8" spans="1:5" x14ac:dyDescent="0.2">
      <c r="A8" t="s">
        <v>1593</v>
      </c>
      <c r="B8" s="1">
        <v>7</v>
      </c>
      <c r="C8" s="1" t="s">
        <v>1587</v>
      </c>
      <c r="D8" s="30">
        <v>0.81124472630773103</v>
      </c>
      <c r="E8" s="30">
        <v>0.99541418144017701</v>
      </c>
    </row>
    <row r="9" spans="1:5" x14ac:dyDescent="0.2">
      <c r="A9" t="s">
        <v>1594</v>
      </c>
      <c r="B9" s="1">
        <v>5</v>
      </c>
      <c r="C9" s="1" t="s">
        <v>1590</v>
      </c>
      <c r="D9" s="30">
        <v>0.99744991825569995</v>
      </c>
      <c r="E9" s="30">
        <v>0.998393199955387</v>
      </c>
    </row>
    <row r="10" spans="1:5" x14ac:dyDescent="0.2">
      <c r="A10" t="s">
        <v>1595</v>
      </c>
      <c r="B10" s="1">
        <v>3</v>
      </c>
      <c r="C10" s="1" t="s">
        <v>1585</v>
      </c>
      <c r="D10" s="30">
        <v>0.99877948844371101</v>
      </c>
      <c r="E10" s="30">
        <v>0.99999512417509695</v>
      </c>
    </row>
    <row r="11" spans="1:5" x14ac:dyDescent="0.2">
      <c r="A11" t="s">
        <v>1596</v>
      </c>
      <c r="B11" s="1">
        <v>5</v>
      </c>
      <c r="C11" s="1" t="s">
        <v>1590</v>
      </c>
      <c r="D11" s="30">
        <v>0.99320493842600599</v>
      </c>
      <c r="E11" s="30">
        <v>0.99596893222354899</v>
      </c>
    </row>
    <row r="12" spans="1:5" x14ac:dyDescent="0.2">
      <c r="A12" t="s">
        <v>1597</v>
      </c>
      <c r="B12" s="1">
        <v>3</v>
      </c>
      <c r="C12" s="1" t="s">
        <v>1585</v>
      </c>
      <c r="D12" s="30">
        <v>0.99871920391068103</v>
      </c>
      <c r="E12" s="30">
        <v>0.99999338573327501</v>
      </c>
    </row>
    <row r="13" spans="1:5" x14ac:dyDescent="0.2">
      <c r="A13" t="s">
        <v>1598</v>
      </c>
      <c r="B13" s="1">
        <v>3</v>
      </c>
      <c r="C13" s="1" t="s">
        <v>1585</v>
      </c>
      <c r="D13" s="30">
        <v>0.99888354345077102</v>
      </c>
      <c r="E13" s="30">
        <v>0.99999411507805203</v>
      </c>
    </row>
    <row r="14" spans="1:5" x14ac:dyDescent="0.2">
      <c r="A14" t="s">
        <v>1599</v>
      </c>
      <c r="B14" s="1">
        <v>3</v>
      </c>
      <c r="C14" s="1" t="s">
        <v>1585</v>
      </c>
      <c r="D14" s="30">
        <v>0.99833992285198703</v>
      </c>
      <c r="E14" s="30">
        <v>0.99999583861021502</v>
      </c>
    </row>
    <row r="15" spans="1:5" x14ac:dyDescent="0.2">
      <c r="A15" t="s">
        <v>833</v>
      </c>
      <c r="B15" s="1">
        <v>3</v>
      </c>
      <c r="C15" s="1" t="s">
        <v>1585</v>
      </c>
      <c r="D15" s="30">
        <v>0.99844454395575699</v>
      </c>
      <c r="E15" s="30">
        <v>0.99999596521147205</v>
      </c>
    </row>
    <row r="16" spans="1:5" x14ac:dyDescent="0.2">
      <c r="A16" t="s">
        <v>857</v>
      </c>
      <c r="B16" s="1">
        <v>3</v>
      </c>
      <c r="C16" s="1" t="s">
        <v>1585</v>
      </c>
      <c r="D16" s="30">
        <v>0.99813671080876398</v>
      </c>
      <c r="E16" s="30">
        <v>0.99999596241988598</v>
      </c>
    </row>
    <row r="17" spans="1:5" x14ac:dyDescent="0.2">
      <c r="A17" t="s">
        <v>1600</v>
      </c>
      <c r="B17" s="1">
        <v>5</v>
      </c>
      <c r="C17" s="1" t="s">
        <v>1590</v>
      </c>
      <c r="D17" s="30">
        <v>0.99014094607298497</v>
      </c>
      <c r="E17" s="30">
        <v>0.99932875391716303</v>
      </c>
    </row>
    <row r="18" spans="1:5" x14ac:dyDescent="0.2">
      <c r="A18" t="s">
        <v>1601</v>
      </c>
      <c r="B18" s="1">
        <v>5</v>
      </c>
      <c r="C18" s="1" t="s">
        <v>1587</v>
      </c>
      <c r="D18" s="30">
        <v>0.99368701011371896</v>
      </c>
      <c r="E18" s="30">
        <v>0.99956321094189904</v>
      </c>
    </row>
    <row r="19" spans="1:5" x14ac:dyDescent="0.2">
      <c r="A19" t="s">
        <v>1602</v>
      </c>
      <c r="B19" s="1">
        <v>3</v>
      </c>
      <c r="C19" s="1" t="s">
        <v>1585</v>
      </c>
      <c r="D19" s="30">
        <v>0.99813869996639404</v>
      </c>
      <c r="E19" s="30">
        <v>0.99999548841955399</v>
      </c>
    </row>
    <row r="20" spans="1:5" x14ac:dyDescent="0.2">
      <c r="A20" t="s">
        <v>1603</v>
      </c>
      <c r="B20" s="1">
        <v>3</v>
      </c>
      <c r="C20" s="1" t="s">
        <v>1585</v>
      </c>
      <c r="D20" s="30">
        <v>0.99905149168817797</v>
      </c>
      <c r="E20" s="30">
        <v>0.99999606243859196</v>
      </c>
    </row>
    <row r="21" spans="1:5" x14ac:dyDescent="0.2">
      <c r="A21" t="s">
        <v>1604</v>
      </c>
      <c r="B21" s="1">
        <v>3</v>
      </c>
      <c r="C21" s="1" t="s">
        <v>1585</v>
      </c>
      <c r="D21" s="30">
        <v>0.99801018004423703</v>
      </c>
      <c r="E21" s="30">
        <v>0.99999636896128097</v>
      </c>
    </row>
    <row r="22" spans="1:5" x14ac:dyDescent="0.2">
      <c r="A22" t="s">
        <v>861</v>
      </c>
      <c r="B22" s="1">
        <v>11</v>
      </c>
      <c r="C22" s="1" t="s">
        <v>1605</v>
      </c>
      <c r="D22" s="30">
        <v>0.81715248683558905</v>
      </c>
      <c r="E22" s="30">
        <v>0.99889352985289603</v>
      </c>
    </row>
    <row r="23" spans="1:5" x14ac:dyDescent="0.2">
      <c r="A23" t="s">
        <v>844</v>
      </c>
      <c r="B23" s="1">
        <v>4</v>
      </c>
      <c r="C23" s="1" t="s">
        <v>1590</v>
      </c>
      <c r="D23" s="30">
        <v>0.99885289001999999</v>
      </c>
      <c r="E23" s="30">
        <v>0.99999773772974698</v>
      </c>
    </row>
    <row r="24" spans="1:5" x14ac:dyDescent="0.2">
      <c r="A24" t="s">
        <v>1606</v>
      </c>
      <c r="B24" s="1">
        <v>5</v>
      </c>
      <c r="C24" s="1" t="s">
        <v>1587</v>
      </c>
      <c r="D24" s="30">
        <v>0.99530881078708899</v>
      </c>
      <c r="E24" s="30">
        <v>0.99943536936342303</v>
      </c>
    </row>
    <row r="25" spans="1:5" x14ac:dyDescent="0.2">
      <c r="A25" t="s">
        <v>1607</v>
      </c>
      <c r="B25" s="1">
        <v>5</v>
      </c>
      <c r="C25" s="1" t="s">
        <v>1587</v>
      </c>
      <c r="D25" s="30">
        <v>0.99232897025692901</v>
      </c>
      <c r="E25" s="30">
        <v>0.99983127944927097</v>
      </c>
    </row>
    <row r="26" spans="1:5" x14ac:dyDescent="0.2">
      <c r="A26" t="s">
        <v>836</v>
      </c>
      <c r="B26" s="1">
        <v>3</v>
      </c>
      <c r="C26" s="1" t="s">
        <v>1585</v>
      </c>
      <c r="D26" s="30">
        <v>0.99941385372439495</v>
      </c>
      <c r="E26" s="30">
        <v>0.99999510152349302</v>
      </c>
    </row>
    <row r="27" spans="1:5" x14ac:dyDescent="0.2">
      <c r="A27" t="s">
        <v>1608</v>
      </c>
      <c r="B27" s="1">
        <v>3</v>
      </c>
      <c r="C27" s="1" t="s">
        <v>1585</v>
      </c>
      <c r="D27" s="30">
        <v>0.99935026158845897</v>
      </c>
      <c r="E27" s="30">
        <v>0.99999418255822003</v>
      </c>
    </row>
    <row r="28" spans="1:5" x14ac:dyDescent="0.2">
      <c r="A28" t="s">
        <v>1609</v>
      </c>
      <c r="B28" s="1">
        <v>3</v>
      </c>
      <c r="C28" s="1" t="s">
        <v>1585</v>
      </c>
      <c r="D28" s="30">
        <v>0.99907929122961703</v>
      </c>
      <c r="E28" s="30">
        <v>0.99999265816049399</v>
      </c>
    </row>
    <row r="29" spans="1:5" x14ac:dyDescent="0.2">
      <c r="A29" t="s">
        <v>980</v>
      </c>
      <c r="B29" s="1">
        <v>5</v>
      </c>
      <c r="C29" s="1" t="s">
        <v>1590</v>
      </c>
      <c r="D29" s="30">
        <v>0.99479073402900198</v>
      </c>
      <c r="E29" s="30">
        <v>0.99733899188671404</v>
      </c>
    </row>
    <row r="30" spans="1:5" x14ac:dyDescent="0.2">
      <c r="A30" t="s">
        <v>1610</v>
      </c>
      <c r="B30" s="1">
        <v>8</v>
      </c>
      <c r="C30" s="1" t="s">
        <v>1590</v>
      </c>
      <c r="D30" s="30">
        <v>0.99449217170817805</v>
      </c>
      <c r="E30" s="30">
        <v>0.99788712174265004</v>
      </c>
    </row>
    <row r="31" spans="1:5" x14ac:dyDescent="0.2">
      <c r="A31" t="s">
        <v>839</v>
      </c>
      <c r="B31" s="1">
        <v>6</v>
      </c>
      <c r="C31" s="1" t="s">
        <v>1590</v>
      </c>
      <c r="D31" s="30">
        <v>0.94999311946008402</v>
      </c>
      <c r="E31" s="30">
        <v>0.99902262784210905</v>
      </c>
    </row>
    <row r="32" spans="1:5" x14ac:dyDescent="0.2">
      <c r="A32" t="s">
        <v>1611</v>
      </c>
      <c r="B32" s="1">
        <v>3</v>
      </c>
      <c r="C32" s="1" t="s">
        <v>1585</v>
      </c>
      <c r="D32" s="30">
        <v>0.99908736910067297</v>
      </c>
      <c r="E32" s="30">
        <v>0.99999647247140699</v>
      </c>
    </row>
    <row r="33" spans="1:5" x14ac:dyDescent="0.2">
      <c r="A33" t="s">
        <v>1612</v>
      </c>
      <c r="B33" s="1">
        <v>5</v>
      </c>
      <c r="C33" s="1" t="s">
        <v>1587</v>
      </c>
      <c r="D33" s="30">
        <v>0.99171192785668405</v>
      </c>
      <c r="E33" s="30">
        <v>0.99908105669461</v>
      </c>
    </row>
    <row r="34" spans="1:5" x14ac:dyDescent="0.2">
      <c r="A34" t="s">
        <v>851</v>
      </c>
      <c r="B34" s="1">
        <v>5</v>
      </c>
      <c r="C34" s="1" t="s">
        <v>1590</v>
      </c>
      <c r="D34" s="30">
        <v>0.99897208697760498</v>
      </c>
      <c r="E34" s="30">
        <v>0.99999735847683902</v>
      </c>
    </row>
    <row r="35" spans="1:5" x14ac:dyDescent="0.2">
      <c r="A35" t="s">
        <v>830</v>
      </c>
      <c r="B35" s="1">
        <v>3</v>
      </c>
      <c r="C35" s="1" t="s">
        <v>1585</v>
      </c>
      <c r="D35" s="30">
        <v>0.99839073373282405</v>
      </c>
      <c r="E35" s="30">
        <v>0.99999699312902302</v>
      </c>
    </row>
    <row r="36" spans="1:5" x14ac:dyDescent="0.2">
      <c r="A36" t="s">
        <v>860</v>
      </c>
      <c r="B36" s="1">
        <v>6</v>
      </c>
      <c r="C36" s="1" t="s">
        <v>1590</v>
      </c>
      <c r="D36" s="30">
        <v>0.72042376069005198</v>
      </c>
      <c r="E36" s="30">
        <v>0.99996241640946404</v>
      </c>
    </row>
    <row r="37" spans="1:5" x14ac:dyDescent="0.2">
      <c r="A37" t="s">
        <v>1613</v>
      </c>
      <c r="B37" s="1">
        <v>5</v>
      </c>
      <c r="C37" s="1" t="s">
        <v>1587</v>
      </c>
      <c r="D37" s="30">
        <v>0.986681326181438</v>
      </c>
      <c r="E37" s="30">
        <v>0.99931377416164902</v>
      </c>
    </row>
    <row r="38" spans="1:5" x14ac:dyDescent="0.2">
      <c r="A38" t="s">
        <v>870</v>
      </c>
      <c r="B38" s="1">
        <v>7</v>
      </c>
      <c r="C38" s="1" t="s">
        <v>1590</v>
      </c>
      <c r="D38" s="30">
        <v>0.99619600681201603</v>
      </c>
      <c r="E38" s="30">
        <v>0.99950007114192696</v>
      </c>
    </row>
    <row r="39" spans="1:5" x14ac:dyDescent="0.2">
      <c r="A39" t="s">
        <v>859</v>
      </c>
      <c r="B39" s="1">
        <v>8</v>
      </c>
      <c r="C39" s="1" t="s">
        <v>1614</v>
      </c>
      <c r="D39" s="30">
        <v>0.67121800542840104</v>
      </c>
      <c r="E39" s="30">
        <v>0.99805029552332503</v>
      </c>
    </row>
    <row r="40" spans="1:5" x14ac:dyDescent="0.2">
      <c r="A40" t="s">
        <v>856</v>
      </c>
      <c r="B40" s="1">
        <v>3</v>
      </c>
      <c r="C40" s="1" t="s">
        <v>1585</v>
      </c>
      <c r="D40" s="30">
        <v>0.99812193052888598</v>
      </c>
      <c r="E40" s="30">
        <v>0.99999577241578297</v>
      </c>
    </row>
    <row r="41" spans="1:5" x14ac:dyDescent="0.2">
      <c r="A41" t="s">
        <v>1231</v>
      </c>
      <c r="B41" s="1">
        <v>5</v>
      </c>
      <c r="C41" s="1" t="s">
        <v>1590</v>
      </c>
      <c r="D41" s="30">
        <v>0.99483935146944702</v>
      </c>
      <c r="E41" s="30">
        <v>0.99844931932842096</v>
      </c>
    </row>
    <row r="42" spans="1:5" x14ac:dyDescent="0.2">
      <c r="A42" t="s">
        <v>846</v>
      </c>
      <c r="B42" s="1">
        <v>3</v>
      </c>
      <c r="C42" s="1" t="s">
        <v>1585</v>
      </c>
      <c r="D42" s="30">
        <v>0.99897349608691899</v>
      </c>
      <c r="E42" s="30">
        <v>0.99999597516656702</v>
      </c>
    </row>
    <row r="43" spans="1:5" x14ac:dyDescent="0.2">
      <c r="A43" t="s">
        <v>855</v>
      </c>
      <c r="B43" s="1">
        <v>3</v>
      </c>
      <c r="C43" s="1" t="s">
        <v>1585</v>
      </c>
      <c r="D43" s="30">
        <v>0.99821157927985904</v>
      </c>
      <c r="E43" s="30">
        <v>0.99999578048354998</v>
      </c>
    </row>
    <row r="44" spans="1:5" x14ac:dyDescent="0.2">
      <c r="A44" t="s">
        <v>858</v>
      </c>
      <c r="B44" s="1">
        <v>5</v>
      </c>
      <c r="C44" s="1" t="s">
        <v>1614</v>
      </c>
      <c r="D44" s="30">
        <v>0.57021796390158996</v>
      </c>
      <c r="E44" s="30">
        <v>0.99983143804067898</v>
      </c>
    </row>
    <row r="45" spans="1:5" x14ac:dyDescent="0.2">
      <c r="A45" t="s">
        <v>850</v>
      </c>
      <c r="B45" s="1">
        <v>3</v>
      </c>
      <c r="C45" s="1" t="s">
        <v>1585</v>
      </c>
      <c r="D45" s="30">
        <v>0.99690550650347598</v>
      </c>
      <c r="E45" s="30">
        <v>0.99999520577884404</v>
      </c>
    </row>
    <row r="46" spans="1:5" x14ac:dyDescent="0.2">
      <c r="A46" t="s">
        <v>1615</v>
      </c>
      <c r="B46" s="1">
        <v>4</v>
      </c>
      <c r="C46" s="1" t="s">
        <v>1590</v>
      </c>
      <c r="D46" s="30">
        <v>0.986266040392896</v>
      </c>
      <c r="E46" s="30">
        <v>0.99999563927962998</v>
      </c>
    </row>
    <row r="47" spans="1:5" x14ac:dyDescent="0.2">
      <c r="A47" t="s">
        <v>1616</v>
      </c>
      <c r="B47" s="1">
        <v>3</v>
      </c>
      <c r="C47" s="1" t="s">
        <v>1590</v>
      </c>
      <c r="D47" s="30">
        <v>0.99036991623973802</v>
      </c>
      <c r="E47" s="30">
        <v>0.999993685939913</v>
      </c>
    </row>
    <row r="48" spans="1:5" x14ac:dyDescent="0.2">
      <c r="A48" t="s">
        <v>869</v>
      </c>
      <c r="B48" s="1">
        <v>5</v>
      </c>
      <c r="C48" s="1" t="s">
        <v>1590</v>
      </c>
      <c r="D48" s="30">
        <v>0.99345742465488995</v>
      </c>
      <c r="E48" s="30">
        <v>0.99924498273904805</v>
      </c>
    </row>
    <row r="49" spans="1:5" x14ac:dyDescent="0.2">
      <c r="A49" t="s">
        <v>847</v>
      </c>
      <c r="B49" s="1">
        <v>3</v>
      </c>
      <c r="C49" s="1" t="s">
        <v>1585</v>
      </c>
      <c r="D49" s="30">
        <v>0.99828303122957796</v>
      </c>
      <c r="E49" s="30">
        <v>0.99999594969529704</v>
      </c>
    </row>
    <row r="50" spans="1:5" x14ac:dyDescent="0.2">
      <c r="A50" t="s">
        <v>852</v>
      </c>
      <c r="B50" s="1">
        <v>5</v>
      </c>
      <c r="C50" s="1" t="s">
        <v>1614</v>
      </c>
      <c r="D50" s="30">
        <v>0.56583864499705705</v>
      </c>
      <c r="E50" s="30">
        <v>0.999896633808253</v>
      </c>
    </row>
    <row r="51" spans="1:5" x14ac:dyDescent="0.2">
      <c r="A51" t="s">
        <v>1028</v>
      </c>
      <c r="B51" s="1">
        <v>3</v>
      </c>
      <c r="C51" s="1" t="s">
        <v>1585</v>
      </c>
      <c r="D51" s="30">
        <v>0.99636787976241004</v>
      </c>
      <c r="E51" s="30">
        <v>0.99999406497152599</v>
      </c>
    </row>
    <row r="52" spans="1:5" x14ac:dyDescent="0.2">
      <c r="A52" t="s">
        <v>1617</v>
      </c>
      <c r="B52" s="1">
        <v>3</v>
      </c>
      <c r="C52" s="1" t="s">
        <v>1585</v>
      </c>
      <c r="D52" s="30">
        <v>0.99968000000000001</v>
      </c>
      <c r="E52" s="30">
        <v>0.99999941000000003</v>
      </c>
    </row>
    <row r="53" spans="1:5" x14ac:dyDescent="0.2">
      <c r="A53" t="s">
        <v>849</v>
      </c>
      <c r="B53" s="1">
        <v>3</v>
      </c>
      <c r="C53" s="1" t="s">
        <v>1585</v>
      </c>
      <c r="D53" s="30">
        <v>0.99976813622196203</v>
      </c>
      <c r="E53" s="30">
        <v>0.99999971427381795</v>
      </c>
    </row>
    <row r="54" spans="1:5" x14ac:dyDescent="0.2">
      <c r="A54" t="s">
        <v>1618</v>
      </c>
      <c r="B54" s="1">
        <v>3</v>
      </c>
      <c r="C54" s="1" t="s">
        <v>1585</v>
      </c>
      <c r="D54" s="30">
        <v>0.98286681443823498</v>
      </c>
      <c r="E54" s="30">
        <v>0.99999024061973396</v>
      </c>
    </row>
    <row r="55" spans="1:5" x14ac:dyDescent="0.2">
      <c r="A55" t="s">
        <v>837</v>
      </c>
      <c r="B55" s="1">
        <v>3</v>
      </c>
      <c r="C55" s="1" t="s">
        <v>1585</v>
      </c>
      <c r="D55" s="30">
        <v>0.99923835864242305</v>
      </c>
      <c r="E55" s="30">
        <v>0.999998885117936</v>
      </c>
    </row>
    <row r="56" spans="1:5" x14ac:dyDescent="0.2">
      <c r="A56" t="s">
        <v>838</v>
      </c>
      <c r="B56" s="1">
        <v>5</v>
      </c>
      <c r="C56" s="1" t="s">
        <v>1590</v>
      </c>
      <c r="D56" s="30">
        <v>0.99092298894939401</v>
      </c>
      <c r="E56" s="30">
        <v>0.99942036356614306</v>
      </c>
    </row>
    <row r="57" spans="1:5" x14ac:dyDescent="0.2">
      <c r="A57" t="s">
        <v>832</v>
      </c>
      <c r="B57" s="1">
        <v>3</v>
      </c>
      <c r="C57" s="1" t="s">
        <v>1585</v>
      </c>
      <c r="D57" s="30">
        <v>0.99475765813158701</v>
      </c>
      <c r="E57" s="30">
        <v>0.99999992833448204</v>
      </c>
    </row>
    <row r="58" spans="1:5" x14ac:dyDescent="0.2">
      <c r="A58" t="s">
        <v>841</v>
      </c>
      <c r="B58" s="1">
        <v>6</v>
      </c>
      <c r="C58" s="1" t="s">
        <v>1590</v>
      </c>
      <c r="D58" s="30">
        <v>0.99100312213322095</v>
      </c>
      <c r="E58" s="30">
        <v>0.99929677556963803</v>
      </c>
    </row>
    <row r="59" spans="1:5" x14ac:dyDescent="0.2">
      <c r="A59" t="s">
        <v>1619</v>
      </c>
      <c r="B59" s="1">
        <v>6</v>
      </c>
      <c r="C59" s="1" t="s">
        <v>1590</v>
      </c>
      <c r="D59" s="30">
        <v>0.99757105071272001</v>
      </c>
      <c r="E59" s="30">
        <v>0.99832013873165804</v>
      </c>
    </row>
    <row r="60" spans="1:5" x14ac:dyDescent="0.2">
      <c r="A60" t="s">
        <v>1620</v>
      </c>
      <c r="B60" s="1">
        <v>4</v>
      </c>
      <c r="C60" s="1" t="s">
        <v>1590</v>
      </c>
      <c r="D60" s="30">
        <v>0.99453466401031698</v>
      </c>
      <c r="E60" s="30">
        <v>0.99726805535863805</v>
      </c>
    </row>
    <row r="61" spans="1:5" x14ac:dyDescent="0.2">
      <c r="A61" t="s">
        <v>863</v>
      </c>
      <c r="B61" s="1">
        <v>5</v>
      </c>
      <c r="C61" s="1" t="s">
        <v>1590</v>
      </c>
      <c r="D61" s="30">
        <v>0.99618894699772798</v>
      </c>
      <c r="E61" s="30">
        <v>0.99963176979038204</v>
      </c>
    </row>
    <row r="62" spans="1:5" x14ac:dyDescent="0.2">
      <c r="A62" t="s">
        <v>862</v>
      </c>
      <c r="B62" s="1">
        <v>6</v>
      </c>
      <c r="C62" s="1" t="s">
        <v>1590</v>
      </c>
      <c r="D62" s="30">
        <v>0.98933387696505504</v>
      </c>
      <c r="E62" s="30">
        <v>0.99916323776515203</v>
      </c>
    </row>
    <row r="63" spans="1:5" x14ac:dyDescent="0.2">
      <c r="A63" t="s">
        <v>845</v>
      </c>
      <c r="B63" s="1">
        <v>3</v>
      </c>
      <c r="C63" s="1" t="s">
        <v>1585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504</v>
      </c>
      <c r="B1" s="3" t="s">
        <v>522</v>
      </c>
      <c r="C1" s="3" t="s">
        <v>503</v>
      </c>
    </row>
    <row r="2" spans="1:3" x14ac:dyDescent="0.2">
      <c r="A2" s="52" t="s">
        <v>664</v>
      </c>
      <c r="B2" s="14" t="s">
        <v>1149</v>
      </c>
      <c r="C2" s="14" t="s">
        <v>1150</v>
      </c>
    </row>
    <row r="3" spans="1:3" s="23" customFormat="1" x14ac:dyDescent="0.2">
      <c r="A3" s="14" t="s">
        <v>292</v>
      </c>
      <c r="B3" s="25" t="s">
        <v>1185</v>
      </c>
      <c r="C3" s="14" t="s">
        <v>526</v>
      </c>
    </row>
    <row r="4" spans="1:3" x14ac:dyDescent="0.2">
      <c r="A4" s="23" t="s">
        <v>1202</v>
      </c>
      <c r="B4" t="s">
        <v>1163</v>
      </c>
      <c r="C4" t="s">
        <v>584</v>
      </c>
    </row>
    <row r="5" spans="1:3" x14ac:dyDescent="0.2">
      <c r="A5" s="14" t="s">
        <v>79</v>
      </c>
      <c r="B5" t="s">
        <v>1061</v>
      </c>
      <c r="C5" s="14" t="s">
        <v>506</v>
      </c>
    </row>
    <row r="6" spans="1:3" x14ac:dyDescent="0.2">
      <c r="A6" s="14" t="s">
        <v>633</v>
      </c>
      <c r="B6" t="s">
        <v>1186</v>
      </c>
      <c r="C6" s="14" t="s">
        <v>635</v>
      </c>
    </row>
    <row r="7" spans="1:3" x14ac:dyDescent="0.2">
      <c r="A7" s="14" t="s">
        <v>365</v>
      </c>
      <c r="B7" t="s">
        <v>1187</v>
      </c>
      <c r="C7" s="14" t="s">
        <v>537</v>
      </c>
    </row>
    <row r="8" spans="1:3" x14ac:dyDescent="0.2">
      <c r="A8" s="14" t="s">
        <v>1199</v>
      </c>
      <c r="B8" t="s">
        <v>1188</v>
      </c>
      <c r="C8" s="14" t="s">
        <v>512</v>
      </c>
    </row>
    <row r="9" spans="1:3" x14ac:dyDescent="0.2">
      <c r="A9" s="14" t="s">
        <v>1200</v>
      </c>
      <c r="B9" t="s">
        <v>1184</v>
      </c>
      <c r="C9" s="14" t="s">
        <v>513</v>
      </c>
    </row>
    <row r="10" spans="1:3" x14ac:dyDescent="0.2">
      <c r="A10" s="14" t="s">
        <v>528</v>
      </c>
      <c r="B10" t="s">
        <v>1183</v>
      </c>
      <c r="C10" t="s">
        <v>514</v>
      </c>
    </row>
    <row r="11" spans="1:3" x14ac:dyDescent="0.2">
      <c r="A11" s="14" t="s">
        <v>529</v>
      </c>
      <c r="B11" t="s">
        <v>1182</v>
      </c>
      <c r="C11" t="s">
        <v>538</v>
      </c>
    </row>
    <row r="12" spans="1:3" x14ac:dyDescent="0.2">
      <c r="A12" s="14" t="s">
        <v>199</v>
      </c>
      <c r="B12" t="s">
        <v>1181</v>
      </c>
      <c r="C12" t="s">
        <v>515</v>
      </c>
    </row>
    <row r="13" spans="1:3" x14ac:dyDescent="0.2">
      <c r="A13" s="14" t="s">
        <v>646</v>
      </c>
      <c r="B13" t="s">
        <v>1180</v>
      </c>
      <c r="C13" t="s">
        <v>647</v>
      </c>
    </row>
    <row r="14" spans="1:3" x14ac:dyDescent="0.2">
      <c r="A14" s="14" t="s">
        <v>594</v>
      </c>
      <c r="B14" t="s">
        <v>1179</v>
      </c>
      <c r="C14" t="s">
        <v>600</v>
      </c>
    </row>
    <row r="15" spans="1:3" x14ac:dyDescent="0.2">
      <c r="A15" s="14" t="s">
        <v>516</v>
      </c>
      <c r="B15" t="s">
        <v>1178</v>
      </c>
      <c r="C15" t="s">
        <v>517</v>
      </c>
    </row>
    <row r="16" spans="1:3" x14ac:dyDescent="0.2">
      <c r="A16" s="14" t="s">
        <v>1133</v>
      </c>
      <c r="B16" t="s">
        <v>1132</v>
      </c>
      <c r="C16" t="s">
        <v>1134</v>
      </c>
    </row>
    <row r="17" spans="1:3" x14ac:dyDescent="0.2">
      <c r="A17" s="14" t="s">
        <v>400</v>
      </c>
      <c r="B17" t="s">
        <v>1177</v>
      </c>
      <c r="C17" t="s">
        <v>525</v>
      </c>
    </row>
    <row r="18" spans="1:3" x14ac:dyDescent="0.2">
      <c r="A18" s="14" t="s">
        <v>72</v>
      </c>
      <c r="B18" t="s">
        <v>1176</v>
      </c>
      <c r="C18" s="14" t="s">
        <v>507</v>
      </c>
    </row>
    <row r="19" spans="1:3" x14ac:dyDescent="0.2">
      <c r="A19" s="14" t="s">
        <v>127</v>
      </c>
      <c r="B19" t="s">
        <v>1175</v>
      </c>
      <c r="C19" s="14" t="s">
        <v>524</v>
      </c>
    </row>
    <row r="20" spans="1:3" x14ac:dyDescent="0.2">
      <c r="A20" s="14" t="s">
        <v>378</v>
      </c>
      <c r="B20" t="s">
        <v>1154</v>
      </c>
      <c r="C20" t="s">
        <v>1410</v>
      </c>
    </row>
    <row r="21" spans="1:3" x14ac:dyDescent="0.2">
      <c r="A21" s="23" t="s">
        <v>1203</v>
      </c>
      <c r="B21" t="s">
        <v>1164</v>
      </c>
      <c r="C21" t="s">
        <v>639</v>
      </c>
    </row>
    <row r="22" spans="1:3" x14ac:dyDescent="0.2">
      <c r="A22" s="14" t="s">
        <v>97</v>
      </c>
      <c r="B22" t="s">
        <v>1066</v>
      </c>
      <c r="C22" s="14" t="s">
        <v>1067</v>
      </c>
    </row>
    <row r="23" spans="1:3" x14ac:dyDescent="0.2">
      <c r="A23" s="23" t="s">
        <v>440</v>
      </c>
      <c r="B23" t="s">
        <v>1174</v>
      </c>
      <c r="C23" t="s">
        <v>505</v>
      </c>
    </row>
    <row r="24" spans="1:3" x14ac:dyDescent="0.2">
      <c r="A24" s="23" t="s">
        <v>439</v>
      </c>
      <c r="B24" t="s">
        <v>1173</v>
      </c>
      <c r="C24" t="s">
        <v>521</v>
      </c>
    </row>
    <row r="25" spans="1:3" x14ac:dyDescent="0.2">
      <c r="A25" s="23" t="s">
        <v>100</v>
      </c>
      <c r="B25" t="s">
        <v>1172</v>
      </c>
      <c r="C25" t="s">
        <v>509</v>
      </c>
    </row>
    <row r="26" spans="1:3" x14ac:dyDescent="0.2">
      <c r="A26" s="23" t="s">
        <v>105</v>
      </c>
      <c r="B26" t="s">
        <v>1171</v>
      </c>
      <c r="C26" t="s">
        <v>510</v>
      </c>
    </row>
    <row r="27" spans="1:3" x14ac:dyDescent="0.2">
      <c r="A27" s="23" t="s">
        <v>374</v>
      </c>
      <c r="B27" t="s">
        <v>1170</v>
      </c>
      <c r="C27" t="s">
        <v>569</v>
      </c>
    </row>
    <row r="28" spans="1:3" x14ac:dyDescent="0.2">
      <c r="A28" s="23" t="s">
        <v>671</v>
      </c>
      <c r="B28" t="s">
        <v>1194</v>
      </c>
      <c r="C28" t="s">
        <v>1195</v>
      </c>
    </row>
    <row r="29" spans="1:3" x14ac:dyDescent="0.2">
      <c r="A29" s="23" t="s">
        <v>672</v>
      </c>
      <c r="B29" t="s">
        <v>1196</v>
      </c>
      <c r="C29" t="s">
        <v>1411</v>
      </c>
    </row>
    <row r="30" spans="1:3" x14ac:dyDescent="0.2">
      <c r="A30" t="s">
        <v>1357</v>
      </c>
      <c r="B30" t="s">
        <v>1401</v>
      </c>
      <c r="C30" t="s">
        <v>1412</v>
      </c>
    </row>
    <row r="31" spans="1:3" x14ac:dyDescent="0.2">
      <c r="A31" t="s">
        <v>1367</v>
      </c>
      <c r="B31" t="s">
        <v>1402</v>
      </c>
      <c r="C31" t="s">
        <v>1413</v>
      </c>
    </row>
    <row r="32" spans="1:3" x14ac:dyDescent="0.2">
      <c r="A32" t="s">
        <v>1271</v>
      </c>
      <c r="B32" s="66" t="s">
        <v>1403</v>
      </c>
      <c r="C32" t="s">
        <v>1414</v>
      </c>
    </row>
    <row r="33" spans="1:3" x14ac:dyDescent="0.2">
      <c r="A33" s="23" t="s">
        <v>457</v>
      </c>
      <c r="B33" t="s">
        <v>1169</v>
      </c>
      <c r="C33" t="s">
        <v>572</v>
      </c>
    </row>
    <row r="34" spans="1:3" x14ac:dyDescent="0.2">
      <c r="A34" s="23" t="s">
        <v>343</v>
      </c>
      <c r="B34" s="25" t="s">
        <v>1168</v>
      </c>
      <c r="C34" t="s">
        <v>1409</v>
      </c>
    </row>
    <row r="35" spans="1:3" x14ac:dyDescent="0.2">
      <c r="A35" t="s">
        <v>1289</v>
      </c>
      <c r="B35" t="s">
        <v>1404</v>
      </c>
      <c r="C35" t="s">
        <v>1409</v>
      </c>
    </row>
    <row r="36" spans="1:3" x14ac:dyDescent="0.2">
      <c r="A36" s="23" t="s">
        <v>601</v>
      </c>
      <c r="B36" s="25" t="s">
        <v>1167</v>
      </c>
      <c r="C36" t="s">
        <v>618</v>
      </c>
    </row>
    <row r="37" spans="1:3" x14ac:dyDescent="0.2">
      <c r="A37" t="s">
        <v>1333</v>
      </c>
      <c r="B37" t="s">
        <v>1400</v>
      </c>
      <c r="C37" t="s">
        <v>1415</v>
      </c>
    </row>
    <row r="38" spans="1:3" x14ac:dyDescent="0.2">
      <c r="A38" s="23" t="s">
        <v>1146</v>
      </c>
      <c r="B38" s="25" t="s">
        <v>1147</v>
      </c>
      <c r="C38" t="s">
        <v>1148</v>
      </c>
    </row>
    <row r="39" spans="1:3" x14ac:dyDescent="0.2">
      <c r="A39" s="23" t="s">
        <v>80</v>
      </c>
      <c r="B39" t="s">
        <v>1166</v>
      </c>
      <c r="C39" t="s">
        <v>508</v>
      </c>
    </row>
    <row r="40" spans="1:3" x14ac:dyDescent="0.2">
      <c r="A40" s="23" t="s">
        <v>104</v>
      </c>
      <c r="B40" t="s">
        <v>1165</v>
      </c>
      <c r="C40" t="s">
        <v>511</v>
      </c>
    </row>
    <row r="41" spans="1:3" x14ac:dyDescent="0.2">
      <c r="A41" s="23" t="s">
        <v>686</v>
      </c>
      <c r="B41" t="s">
        <v>688</v>
      </c>
      <c r="C41" t="s">
        <v>687</v>
      </c>
    </row>
    <row r="42" spans="1:3" x14ac:dyDescent="0.2">
      <c r="A42" s="23" t="s">
        <v>452</v>
      </c>
      <c r="B42" t="s">
        <v>519</v>
      </c>
      <c r="C42" t="s">
        <v>520</v>
      </c>
    </row>
    <row r="43" spans="1:3" x14ac:dyDescent="0.2">
      <c r="A43" t="s">
        <v>1371</v>
      </c>
      <c r="B43" t="s">
        <v>1405</v>
      </c>
      <c r="C43" t="s">
        <v>1416</v>
      </c>
    </row>
    <row r="44" spans="1:3" x14ac:dyDescent="0.2">
      <c r="A44" s="23" t="s">
        <v>666</v>
      </c>
      <c r="B44" t="s">
        <v>1153</v>
      </c>
      <c r="C44" t="s">
        <v>1189</v>
      </c>
    </row>
    <row r="45" spans="1:3" x14ac:dyDescent="0.2">
      <c r="A45" s="23" t="s">
        <v>361</v>
      </c>
      <c r="B45" t="s">
        <v>1162</v>
      </c>
      <c r="C45" t="s">
        <v>527</v>
      </c>
    </row>
    <row r="46" spans="1:3" x14ac:dyDescent="0.2">
      <c r="A46" s="23" t="s">
        <v>642</v>
      </c>
      <c r="B46" t="s">
        <v>1161</v>
      </c>
      <c r="C46" t="s">
        <v>643</v>
      </c>
    </row>
    <row r="47" spans="1:3" x14ac:dyDescent="0.2">
      <c r="A47" t="s">
        <v>1281</v>
      </c>
      <c r="B47" t="s">
        <v>1406</v>
      </c>
      <c r="C47" t="s">
        <v>1417</v>
      </c>
    </row>
    <row r="48" spans="1:3" x14ac:dyDescent="0.2">
      <c r="A48" s="52" t="s">
        <v>1285</v>
      </c>
      <c r="B48" t="s">
        <v>1407</v>
      </c>
      <c r="C48" t="s">
        <v>1418</v>
      </c>
    </row>
    <row r="49" spans="1:3" x14ac:dyDescent="0.2">
      <c r="A49" s="23" t="s">
        <v>417</v>
      </c>
      <c r="B49" t="s">
        <v>1160</v>
      </c>
      <c r="C49" t="s">
        <v>523</v>
      </c>
    </row>
    <row r="50" spans="1:3" x14ac:dyDescent="0.2">
      <c r="A50" s="23" t="s">
        <v>654</v>
      </c>
      <c r="B50" t="s">
        <v>684</v>
      </c>
      <c r="C50" t="s">
        <v>685</v>
      </c>
    </row>
    <row r="51" spans="1:3" x14ac:dyDescent="0.2">
      <c r="A51" s="23" t="s">
        <v>467</v>
      </c>
      <c r="B51" t="s">
        <v>1159</v>
      </c>
      <c r="C51" t="s">
        <v>540</v>
      </c>
    </row>
    <row r="52" spans="1:3" x14ac:dyDescent="0.2">
      <c r="A52" s="23" t="s">
        <v>279</v>
      </c>
      <c r="B52" s="25" t="s">
        <v>1158</v>
      </c>
      <c r="C52" t="s">
        <v>518</v>
      </c>
    </row>
    <row r="53" spans="1:3" x14ac:dyDescent="0.2">
      <c r="A53" s="23" t="s">
        <v>590</v>
      </c>
      <c r="B53" s="25" t="s">
        <v>1157</v>
      </c>
      <c r="C53" t="s">
        <v>591</v>
      </c>
    </row>
    <row r="54" spans="1:3" x14ac:dyDescent="0.2">
      <c r="A54" t="s">
        <v>1343</v>
      </c>
      <c r="B54" t="s">
        <v>1408</v>
      </c>
      <c r="C54" t="s">
        <v>1419</v>
      </c>
    </row>
    <row r="55" spans="1:3" x14ac:dyDescent="0.2">
      <c r="A55" s="23" t="s">
        <v>1137</v>
      </c>
      <c r="B55" t="s">
        <v>1135</v>
      </c>
      <c r="C55" t="s">
        <v>1136</v>
      </c>
    </row>
    <row r="56" spans="1:3" x14ac:dyDescent="0.2">
      <c r="A56" s="23" t="s">
        <v>411</v>
      </c>
      <c r="B56" t="s">
        <v>1155</v>
      </c>
      <c r="C56" t="s">
        <v>552</v>
      </c>
    </row>
    <row r="57" spans="1:3" x14ac:dyDescent="0.2">
      <c r="A57" s="23" t="s">
        <v>668</v>
      </c>
      <c r="B57" t="s">
        <v>1190</v>
      </c>
      <c r="C57" t="s">
        <v>1191</v>
      </c>
    </row>
    <row r="58" spans="1:3" x14ac:dyDescent="0.2">
      <c r="A58" s="23" t="s">
        <v>585</v>
      </c>
      <c r="B58" t="s">
        <v>1156</v>
      </c>
      <c r="C58" s="25" t="s">
        <v>586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2026-08-14T23:08:53Z</dcterms:modified>
</cp:coreProperties>
</file>