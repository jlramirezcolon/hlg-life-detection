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joseluisramirezcolon/Desktop/rowan-analysis/chapter-3/Github/data/"/>
    </mc:Choice>
  </mc:AlternateContent>
  <xr:revisionPtr revIDLastSave="0" documentId="13_ncr:1_{9D69A35B-1D73-1749-B69F-E82058843A3E}" xr6:coauthVersionLast="47" xr6:coauthVersionMax="47" xr10:uidLastSave="{00000000-0000-0000-0000-000000000000}"/>
  <bookViews>
    <workbookView xWindow="980" yWindow="1360" windowWidth="29260" windowHeight="17440" activeTab="5" xr2:uid="{6E01753F-E9AA-AF4D-87B1-F1ED5EF6BA0B}"/>
  </bookViews>
  <sheets>
    <sheet name="MATLAB" sheetId="28" r:id="rId1"/>
    <sheet name="MATLAB_Distributions" sheetId="46" r:id="rId2"/>
    <sheet name="Database" sheetId="30" r:id="rId3"/>
    <sheet name="Properties" sheetId="44" r:id="rId4"/>
    <sheet name="Properties_Distributions" sheetId="49" r:id="rId5"/>
    <sheet name="Extraterrestrial_Samples_Info" sheetId="3" r:id="rId6"/>
    <sheet name="Terrestrial_Samples_Info" sheetId="4" r:id="rId7"/>
    <sheet name="Abiotic_Simulations" sheetId="6" r:id="rId8"/>
    <sheet name="Legends" sheetId="2" r:id="rId9"/>
    <sheet name="References" sheetId="5" r:id="rId10"/>
  </sheets>
  <definedNames>
    <definedName name="_xlnm._FilterDatabase" localSheetId="3" hidden="1">Properties!$A$3:$N$123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28" l="1"/>
  <c r="E6" i="28"/>
  <c r="E7" i="28"/>
  <c r="E8" i="28"/>
  <c r="E9" i="28"/>
  <c r="E10" i="28"/>
  <c r="E11" i="28"/>
  <c r="E12" i="28"/>
  <c r="E13" i="28"/>
  <c r="E14" i="28"/>
  <c r="E15" i="28"/>
  <c r="E16" i="28"/>
  <c r="E17" i="28"/>
  <c r="E18" i="28"/>
  <c r="E19" i="28"/>
  <c r="E20" i="28"/>
  <c r="E21" i="28"/>
  <c r="E22" i="28"/>
  <c r="E23" i="28"/>
  <c r="E24" i="28"/>
  <c r="E25" i="28"/>
  <c r="E26" i="28"/>
  <c r="E27" i="28"/>
  <c r="E28" i="28"/>
  <c r="E29" i="28"/>
  <c r="E30" i="28"/>
  <c r="E31" i="28"/>
  <c r="E32" i="28"/>
  <c r="E33" i="28"/>
  <c r="E34" i="28"/>
  <c r="E35" i="28"/>
  <c r="E36" i="28"/>
  <c r="E37" i="28"/>
  <c r="E38" i="28"/>
  <c r="E39" i="28"/>
  <c r="E40" i="28"/>
  <c r="E41" i="28"/>
  <c r="E42" i="28"/>
  <c r="E43" i="28"/>
  <c r="E44" i="28"/>
  <c r="E45" i="28"/>
  <c r="E46" i="28"/>
  <c r="E47" i="28"/>
  <c r="E48" i="28"/>
  <c r="E49" i="28"/>
  <c r="E50" i="28"/>
  <c r="E51" i="28"/>
  <c r="E52" i="28"/>
  <c r="E53" i="28"/>
  <c r="E54" i="28"/>
  <c r="E55" i="28"/>
  <c r="E56" i="28"/>
  <c r="E57" i="28"/>
  <c r="E58" i="28"/>
  <c r="E59" i="28"/>
  <c r="E60" i="28"/>
  <c r="E61" i="28"/>
  <c r="E62" i="28"/>
  <c r="E63" i="28"/>
  <c r="E64" i="28"/>
  <c r="E65" i="28"/>
  <c r="E66" i="28"/>
  <c r="E67" i="28"/>
  <c r="E68" i="28"/>
  <c r="E69" i="28"/>
  <c r="E70" i="28"/>
  <c r="E71" i="28"/>
  <c r="E72" i="28"/>
  <c r="E73" i="28"/>
  <c r="E74" i="28"/>
  <c r="E75" i="28"/>
  <c r="E76" i="28"/>
  <c r="E77" i="28"/>
  <c r="E78" i="28"/>
  <c r="E79" i="28"/>
  <c r="E80" i="28"/>
  <c r="E81" i="28"/>
  <c r="E82" i="28"/>
  <c r="E83" i="28"/>
  <c r="E84" i="28"/>
  <c r="E85" i="28"/>
  <c r="E86" i="28"/>
  <c r="E87" i="28"/>
  <c r="E88" i="28"/>
  <c r="E89" i="28"/>
  <c r="E90" i="28"/>
  <c r="E91" i="28"/>
  <c r="E92" i="28"/>
  <c r="E93" i="28"/>
  <c r="E94" i="28"/>
  <c r="E95" i="28"/>
  <c r="E96" i="28"/>
  <c r="E97" i="28"/>
  <c r="E98" i="28"/>
  <c r="E99" i="28"/>
  <c r="E100" i="28"/>
  <c r="E101" i="28"/>
  <c r="E102" i="28"/>
  <c r="E103" i="28"/>
  <c r="E104" i="28"/>
  <c r="E105" i="28"/>
  <c r="E106" i="28"/>
  <c r="E107" i="28"/>
  <c r="E108" i="28"/>
  <c r="E109" i="28"/>
  <c r="E110" i="28"/>
  <c r="E111" i="28"/>
  <c r="E112" i="28"/>
  <c r="E113" i="28"/>
  <c r="E4" i="28"/>
  <c r="BX93" i="46" l="1"/>
  <c r="AW66" i="46"/>
  <c r="AR66" i="46"/>
  <c r="FA1" i="28" l="1"/>
  <c r="GP1" i="28"/>
  <c r="GP2" i="28"/>
  <c r="GP3" i="28"/>
  <c r="GP5" i="28"/>
  <c r="GP8" i="28"/>
  <c r="GP10" i="28"/>
  <c r="GP13" i="28"/>
  <c r="GP14" i="28"/>
  <c r="GP15" i="28"/>
  <c r="GP16" i="28"/>
  <c r="GP19" i="28"/>
  <c r="GP20" i="28"/>
  <c r="GP22" i="28"/>
  <c r="GP28" i="28"/>
  <c r="GP31" i="28"/>
  <c r="GP32" i="28"/>
  <c r="GP33" i="28"/>
  <c r="GP36" i="28"/>
  <c r="GP37" i="28"/>
  <c r="GP39" i="28"/>
  <c r="GP40" i="28"/>
  <c r="GP46" i="28"/>
  <c r="GP47" i="28"/>
  <c r="GP48" i="28"/>
  <c r="GP49" i="28"/>
  <c r="GP50" i="28"/>
  <c r="GP51" i="28"/>
  <c r="GP52" i="28"/>
  <c r="GP53" i="28"/>
  <c r="GP54" i="28"/>
  <c r="GP55" i="28"/>
  <c r="GP56" i="28"/>
  <c r="GP57" i="28"/>
  <c r="GP58" i="28"/>
  <c r="GP59" i="28"/>
  <c r="GP60" i="28"/>
  <c r="GP61" i="28"/>
  <c r="GP62" i="28"/>
  <c r="GP63" i="28"/>
  <c r="GP64" i="28"/>
  <c r="GP65" i="28"/>
  <c r="GP66" i="28"/>
  <c r="GP67" i="28"/>
  <c r="GP68" i="28"/>
  <c r="GP69" i="28"/>
  <c r="GP70" i="28"/>
  <c r="GP71" i="28"/>
  <c r="GP72" i="28"/>
  <c r="GP73" i="28"/>
  <c r="GP74" i="28"/>
  <c r="GP75" i="28"/>
  <c r="GP76" i="28"/>
  <c r="GP77" i="28"/>
  <c r="GP78" i="28"/>
  <c r="GP79" i="28"/>
  <c r="GP80" i="28"/>
  <c r="GP81" i="28"/>
  <c r="GP84" i="28"/>
  <c r="GP85" i="28"/>
  <c r="GP86" i="28"/>
  <c r="GP87" i="28"/>
  <c r="GP88" i="28"/>
  <c r="GP89" i="28"/>
  <c r="GP90" i="28"/>
  <c r="GP91" i="28"/>
  <c r="GP92" i="28"/>
  <c r="GP93" i="28"/>
  <c r="GP94" i="28"/>
  <c r="GP95" i="28"/>
  <c r="GP96" i="28"/>
  <c r="GP97" i="28"/>
  <c r="GP98" i="28"/>
  <c r="GP99" i="28"/>
  <c r="GP100" i="28"/>
  <c r="GP101" i="28"/>
  <c r="GP102" i="28"/>
  <c r="GP103" i="28"/>
  <c r="GP104" i="28"/>
  <c r="GP105" i="28"/>
  <c r="GP106" i="28"/>
  <c r="GP107" i="28"/>
  <c r="GP108" i="28"/>
  <c r="GP109" i="28"/>
  <c r="GP110" i="28"/>
  <c r="GP111" i="28"/>
  <c r="GP112" i="28"/>
  <c r="GP113" i="28"/>
  <c r="GV116" i="30"/>
  <c r="GW116" i="30"/>
  <c r="G116" i="30"/>
  <c r="H116" i="30"/>
  <c r="I116" i="30"/>
  <c r="J116" i="30"/>
  <c r="K116" i="30"/>
  <c r="L116" i="30"/>
  <c r="M116" i="30"/>
  <c r="N116" i="30"/>
  <c r="O116" i="30"/>
  <c r="R116" i="30"/>
  <c r="S116" i="30"/>
  <c r="T116" i="30"/>
  <c r="U116" i="30"/>
  <c r="V116" i="30"/>
  <c r="W116" i="30"/>
  <c r="X116" i="30"/>
  <c r="Y116" i="30"/>
  <c r="AB116" i="30"/>
  <c r="AC116" i="30"/>
  <c r="AD116" i="30"/>
  <c r="AE116" i="30"/>
  <c r="AL116" i="30"/>
  <c r="AM116" i="30"/>
  <c r="AN116" i="30"/>
  <c r="AO116" i="30"/>
  <c r="AP116" i="30"/>
  <c r="AQ116" i="30"/>
  <c r="AZ116" i="30"/>
  <c r="BA116" i="30"/>
  <c r="BB116" i="30"/>
  <c r="BC116" i="30"/>
  <c r="BD116" i="30"/>
  <c r="BE116" i="30"/>
  <c r="BF116" i="30"/>
  <c r="BG116" i="30"/>
  <c r="BH116" i="30"/>
  <c r="BI116" i="30"/>
  <c r="BJ116" i="30"/>
  <c r="BK116" i="30"/>
  <c r="BL116" i="30"/>
  <c r="BM116" i="30"/>
  <c r="BN116" i="30"/>
  <c r="BO116" i="30"/>
  <c r="BP116" i="30"/>
  <c r="BQ116" i="30"/>
  <c r="BT116" i="30"/>
  <c r="BU116" i="30"/>
  <c r="BV116" i="30"/>
  <c r="BW116" i="30"/>
  <c r="BX116" i="30"/>
  <c r="BY116" i="30"/>
  <c r="FU116" i="30"/>
  <c r="FV116" i="30"/>
  <c r="FW116" i="30"/>
  <c r="FX116" i="30"/>
  <c r="FY116" i="30"/>
  <c r="FZ116" i="30"/>
  <c r="GA116" i="30"/>
  <c r="GB116" i="30"/>
  <c r="GC116" i="30"/>
  <c r="GD116" i="30"/>
  <c r="GE116" i="30"/>
  <c r="GF116" i="30"/>
  <c r="GG116" i="30"/>
  <c r="GH116" i="30"/>
  <c r="GI116" i="30"/>
  <c r="GJ116" i="30"/>
  <c r="GK116" i="30"/>
  <c r="GL116" i="30"/>
  <c r="GM116" i="30"/>
  <c r="GN116" i="30"/>
  <c r="GO116" i="30"/>
  <c r="GP116" i="30"/>
  <c r="GQ116" i="30"/>
  <c r="GR116" i="30"/>
  <c r="GS116" i="30"/>
  <c r="GT116" i="30"/>
  <c r="GU116" i="30"/>
  <c r="GZ116" i="30"/>
  <c r="HA116" i="30"/>
  <c r="HB116" i="30"/>
  <c r="HC116" i="30"/>
  <c r="HD116" i="30"/>
  <c r="HE116" i="30"/>
  <c r="HF116" i="30"/>
  <c r="HG116" i="30"/>
  <c r="HH116" i="30"/>
  <c r="HI116" i="30"/>
  <c r="HJ116" i="30"/>
  <c r="HK116" i="30"/>
  <c r="HL116" i="30"/>
  <c r="HM116" i="30"/>
  <c r="HN116" i="30"/>
  <c r="HO116" i="30"/>
  <c r="HP116" i="30"/>
  <c r="HQ116" i="30"/>
  <c r="HR116" i="30"/>
  <c r="HS116" i="30"/>
  <c r="HT116" i="30"/>
  <c r="HU116" i="30"/>
  <c r="HV116" i="30"/>
  <c r="HW116" i="30"/>
  <c r="HX116" i="30"/>
  <c r="HY116" i="30"/>
  <c r="HZ116" i="30"/>
  <c r="IA116" i="30"/>
  <c r="IB116" i="30"/>
  <c r="IC116" i="30"/>
  <c r="ID116" i="30"/>
  <c r="IE116" i="30"/>
  <c r="IF116" i="30"/>
  <c r="IG116" i="30"/>
  <c r="IH116" i="30"/>
  <c r="II116" i="30"/>
  <c r="IJ116" i="30"/>
  <c r="IK116" i="30"/>
  <c r="IL116" i="30"/>
  <c r="IM116" i="30"/>
  <c r="IN116" i="30"/>
  <c r="IO116" i="30"/>
  <c r="IP116" i="30"/>
  <c r="IQ116" i="30"/>
  <c r="IR116" i="30"/>
  <c r="IS116" i="30"/>
  <c r="IT116" i="30"/>
  <c r="IU116" i="30"/>
  <c r="IV116" i="30"/>
  <c r="IW116" i="30"/>
  <c r="IY116" i="30"/>
  <c r="JA116" i="30"/>
  <c r="JC116" i="30"/>
  <c r="JE116" i="30"/>
  <c r="JF116" i="30"/>
  <c r="JG116" i="30"/>
  <c r="JH116" i="30"/>
  <c r="JI116" i="30"/>
  <c r="JJ116" i="30"/>
  <c r="JK116" i="30"/>
  <c r="JL116" i="30"/>
  <c r="JM116" i="30"/>
  <c r="JN116" i="30"/>
  <c r="JO116" i="30"/>
  <c r="JP116" i="30"/>
  <c r="JQ116" i="30"/>
  <c r="JR116" i="30"/>
  <c r="JS116" i="30"/>
  <c r="JT116" i="30"/>
  <c r="JU116" i="30"/>
  <c r="JV116" i="30"/>
  <c r="JW116" i="30"/>
  <c r="KR116" i="30"/>
  <c r="KS116" i="30"/>
  <c r="KT116" i="30"/>
  <c r="KU116" i="30"/>
  <c r="KV116" i="30"/>
  <c r="KW116" i="30"/>
  <c r="KX116" i="30"/>
  <c r="KY116" i="30"/>
  <c r="KZ116" i="30"/>
  <c r="LA116" i="30"/>
  <c r="LK116" i="30"/>
  <c r="LO116" i="30"/>
  <c r="LQ116" i="30"/>
  <c r="LS116" i="30"/>
  <c r="LU116" i="30"/>
  <c r="LW116" i="30"/>
  <c r="LY116" i="30"/>
  <c r="MA116" i="30"/>
  <c r="MC116" i="30"/>
  <c r="ME116" i="30"/>
  <c r="MG116" i="30"/>
  <c r="MI116" i="30"/>
  <c r="MK116" i="30"/>
  <c r="MM116" i="30"/>
  <c r="MO116" i="30"/>
  <c r="MQ116" i="30"/>
  <c r="MS116" i="30"/>
  <c r="MU116" i="30"/>
  <c r="MW116" i="30"/>
  <c r="MY116" i="30"/>
  <c r="NA116" i="30"/>
  <c r="NC116" i="30"/>
  <c r="NE116" i="30"/>
  <c r="NG116" i="30"/>
  <c r="NI116" i="30"/>
  <c r="NK116" i="30"/>
  <c r="NM116" i="30"/>
  <c r="NO116" i="30"/>
  <c r="F116" i="30"/>
  <c r="GM1" i="28"/>
  <c r="BJ3" i="28" l="1"/>
  <c r="BK3" i="28"/>
  <c r="BL3" i="28"/>
  <c r="BM3" i="28"/>
  <c r="BN3" i="28"/>
  <c r="BO3" i="28"/>
  <c r="BP3" i="28"/>
  <c r="BQ3" i="28"/>
  <c r="BR3" i="28"/>
  <c r="BS3" i="28"/>
  <c r="BT3" i="28"/>
  <c r="BU3" i="28"/>
  <c r="BV3" i="28"/>
  <c r="BW3" i="28"/>
  <c r="BX3" i="28"/>
  <c r="BY3" i="28"/>
  <c r="BZ3" i="28"/>
  <c r="CA3" i="28"/>
  <c r="CB3" i="28"/>
  <c r="CC3" i="28"/>
  <c r="CD3" i="28"/>
  <c r="CE3" i="28"/>
  <c r="CF3" i="28"/>
  <c r="CG3" i="28"/>
  <c r="CH3" i="28"/>
  <c r="CI3" i="28"/>
  <c r="CJ3" i="28"/>
  <c r="CK3" i="28"/>
  <c r="CL3" i="28"/>
  <c r="CM3" i="28"/>
  <c r="CN3" i="28"/>
  <c r="CO3" i="28"/>
  <c r="CP3" i="28"/>
  <c r="CQ3" i="28"/>
  <c r="CR3" i="28"/>
  <c r="CS3" i="28"/>
  <c r="CT3" i="28"/>
  <c r="CU3" i="28"/>
  <c r="CV3" i="28"/>
  <c r="CW3" i="28"/>
  <c r="CX3" i="28"/>
  <c r="CY3" i="28"/>
  <c r="CZ3" i="28"/>
  <c r="DA3" i="28"/>
  <c r="DB3" i="28"/>
  <c r="DC3" i="28"/>
  <c r="DD3" i="28"/>
  <c r="DE3" i="28"/>
  <c r="DF3" i="28"/>
  <c r="DG3" i="28"/>
  <c r="DH3" i="28"/>
  <c r="DI3" i="28"/>
  <c r="DJ3" i="28"/>
  <c r="DK3" i="28"/>
  <c r="DL3" i="28"/>
  <c r="DM3" i="28"/>
  <c r="DN3" i="28"/>
  <c r="DO3" i="28"/>
  <c r="DP3" i="28"/>
  <c r="DQ3" i="28"/>
  <c r="DR3" i="28"/>
  <c r="DS3" i="28"/>
  <c r="DT3" i="28"/>
  <c r="DU3" i="28"/>
  <c r="DV3" i="28"/>
  <c r="DW3" i="28"/>
  <c r="DX3" i="28"/>
  <c r="DY3" i="28"/>
  <c r="DZ3" i="28"/>
  <c r="EA3" i="28"/>
  <c r="EB3" i="28"/>
  <c r="EC3" i="28"/>
  <c r="ED3" i="28"/>
  <c r="EE3" i="28"/>
  <c r="EF3" i="28"/>
  <c r="EG3" i="28"/>
  <c r="EH3" i="28"/>
  <c r="EI3" i="28"/>
  <c r="EJ3" i="28"/>
  <c r="EK3" i="28"/>
  <c r="EL3" i="28"/>
  <c r="EM3" i="28"/>
  <c r="EN3" i="28"/>
  <c r="EO3" i="28"/>
  <c r="EP3" i="28"/>
  <c r="EQ3" i="28"/>
  <c r="ER3" i="28"/>
  <c r="ES3" i="28"/>
  <c r="ET3" i="28"/>
  <c r="EU3" i="28"/>
  <c r="EV3" i="28"/>
  <c r="EW3" i="28"/>
  <c r="EX3" i="28"/>
  <c r="EY3" i="28"/>
  <c r="EZ3" i="28"/>
  <c r="FA3" i="28"/>
  <c r="FB3" i="28"/>
  <c r="FC3" i="28"/>
  <c r="FD3" i="28"/>
  <c r="FE3" i="28"/>
  <c r="FF3" i="28"/>
  <c r="FG3" i="28"/>
  <c r="FH3" i="28"/>
  <c r="FI3" i="28"/>
  <c r="FJ3" i="28"/>
  <c r="FK3" i="28"/>
  <c r="FL3" i="28"/>
  <c r="FM3" i="28"/>
  <c r="FN3" i="28"/>
  <c r="FO3" i="28"/>
  <c r="FP3" i="28"/>
  <c r="FQ3" i="28"/>
  <c r="FR3" i="28"/>
  <c r="FS3" i="28"/>
  <c r="FT3" i="28"/>
  <c r="FU3" i="28"/>
  <c r="FV3" i="28"/>
  <c r="FW3" i="28"/>
  <c r="FX3" i="28"/>
  <c r="FY3" i="28"/>
  <c r="FZ3" i="28"/>
  <c r="GA3" i="28"/>
  <c r="GB3" i="28"/>
  <c r="GC3" i="28"/>
  <c r="GD3" i="28"/>
  <c r="GE3" i="28"/>
  <c r="GF3" i="28"/>
  <c r="GG3" i="28"/>
  <c r="GH3" i="28"/>
  <c r="GI3" i="28"/>
  <c r="GJ3" i="28"/>
  <c r="GK3" i="28"/>
  <c r="GL3" i="28"/>
  <c r="GM3" i="28"/>
  <c r="GN3" i="28"/>
  <c r="GO3" i="28"/>
  <c r="BW4" i="28"/>
  <c r="BX4" i="28"/>
  <c r="CP4" i="28"/>
  <c r="CQ4" i="28"/>
  <c r="CR4" i="28"/>
  <c r="CS4" i="28"/>
  <c r="CT4" i="28"/>
  <c r="CU4" i="28"/>
  <c r="CV4" i="28"/>
  <c r="CW4" i="28"/>
  <c r="CX4" i="28"/>
  <c r="CY4" i="28"/>
  <c r="CZ4" i="28"/>
  <c r="DA4" i="28"/>
  <c r="DB4" i="28"/>
  <c r="DC4" i="28"/>
  <c r="DD4" i="28"/>
  <c r="DF4" i="28"/>
  <c r="DG4" i="28"/>
  <c r="DH4" i="28"/>
  <c r="DI4" i="28"/>
  <c r="DJ4" i="28"/>
  <c r="DK4" i="28"/>
  <c r="DL4" i="28"/>
  <c r="DM4" i="28"/>
  <c r="DN4" i="28"/>
  <c r="DO4" i="28"/>
  <c r="DP4" i="28"/>
  <c r="DQ4" i="28"/>
  <c r="DR4" i="28"/>
  <c r="DS4" i="28"/>
  <c r="DT4" i="28"/>
  <c r="DU4" i="28"/>
  <c r="DV4" i="28"/>
  <c r="DW4" i="28"/>
  <c r="DX4" i="28"/>
  <c r="DY4" i="28"/>
  <c r="DZ4" i="28"/>
  <c r="EA4" i="28"/>
  <c r="EB4" i="28"/>
  <c r="EC4" i="28"/>
  <c r="ED4" i="28"/>
  <c r="EI4" i="28"/>
  <c r="EJ4" i="28"/>
  <c r="EK4" i="28"/>
  <c r="EL4" i="28"/>
  <c r="EM4" i="28"/>
  <c r="EN4" i="28"/>
  <c r="EO4" i="28"/>
  <c r="EP4" i="28"/>
  <c r="EQ4" i="28"/>
  <c r="ER4" i="28"/>
  <c r="ES4" i="28"/>
  <c r="ET4" i="28"/>
  <c r="EU4" i="28"/>
  <c r="EV4" i="28"/>
  <c r="FB4" i="28"/>
  <c r="FC4" i="28"/>
  <c r="FD4" i="28"/>
  <c r="FE4" i="28"/>
  <c r="FF4" i="28"/>
  <c r="FU4" i="28"/>
  <c r="FV4" i="28"/>
  <c r="FW4" i="28"/>
  <c r="FX4" i="28"/>
  <c r="FY4" i="28"/>
  <c r="FZ4" i="28"/>
  <c r="GA4" i="28"/>
  <c r="GB4" i="28"/>
  <c r="GC4" i="28"/>
  <c r="GD4" i="28"/>
  <c r="GE4" i="28"/>
  <c r="GF4" i="28"/>
  <c r="BJ5" i="28"/>
  <c r="BK5" i="28"/>
  <c r="BL5" i="28"/>
  <c r="BM5" i="28"/>
  <c r="BN5" i="28"/>
  <c r="BO5" i="28"/>
  <c r="BP5" i="28"/>
  <c r="BQ5" i="28"/>
  <c r="BR5" i="28"/>
  <c r="BS5" i="28"/>
  <c r="BT5" i="28"/>
  <c r="BU5" i="28"/>
  <c r="BV5" i="28"/>
  <c r="BW5" i="28"/>
  <c r="BX5" i="28"/>
  <c r="BY5" i="28"/>
  <c r="BZ5" i="28"/>
  <c r="CA5" i="28"/>
  <c r="CB5" i="28"/>
  <c r="CC5" i="28"/>
  <c r="CD5" i="28"/>
  <c r="CE5" i="28"/>
  <c r="CF5" i="28"/>
  <c r="CG5" i="28"/>
  <c r="CH5" i="28"/>
  <c r="CI5" i="28"/>
  <c r="CJ5" i="28"/>
  <c r="CK5" i="28"/>
  <c r="CL5" i="28"/>
  <c r="CM5" i="28"/>
  <c r="CN5" i="28"/>
  <c r="CO5" i="28"/>
  <c r="CP5" i="28"/>
  <c r="CQ5" i="28"/>
  <c r="CR5" i="28"/>
  <c r="CS5" i="28"/>
  <c r="CT5" i="28"/>
  <c r="CU5" i="28"/>
  <c r="CV5" i="28"/>
  <c r="CW5" i="28"/>
  <c r="CX5" i="28"/>
  <c r="CY5" i="28"/>
  <c r="CZ5" i="28"/>
  <c r="DA5" i="28"/>
  <c r="DB5" i="28"/>
  <c r="DC5" i="28"/>
  <c r="DD5" i="28"/>
  <c r="DE5" i="28"/>
  <c r="DF5" i="28"/>
  <c r="DG5" i="28"/>
  <c r="DH5" i="28"/>
  <c r="DI5" i="28"/>
  <c r="DJ5" i="28"/>
  <c r="DK5" i="28"/>
  <c r="DL5" i="28"/>
  <c r="DM5" i="28"/>
  <c r="DN5" i="28"/>
  <c r="DO5" i="28"/>
  <c r="DP5" i="28"/>
  <c r="DQ5" i="28"/>
  <c r="DR5" i="28"/>
  <c r="DS5" i="28"/>
  <c r="DT5" i="28"/>
  <c r="DU5" i="28"/>
  <c r="DV5" i="28"/>
  <c r="DW5" i="28"/>
  <c r="DX5" i="28"/>
  <c r="DY5" i="28"/>
  <c r="DZ5" i="28"/>
  <c r="EA5" i="28"/>
  <c r="EB5" i="28"/>
  <c r="EC5" i="28"/>
  <c r="ED5" i="28"/>
  <c r="EE5" i="28"/>
  <c r="EF5" i="28"/>
  <c r="EG5" i="28"/>
  <c r="EH5" i="28"/>
  <c r="EI5" i="28"/>
  <c r="EJ5" i="28"/>
  <c r="EK5" i="28"/>
  <c r="EL5" i="28"/>
  <c r="EM5" i="28"/>
  <c r="EN5" i="28"/>
  <c r="EO5" i="28"/>
  <c r="EP5" i="28"/>
  <c r="EQ5" i="28"/>
  <c r="ER5" i="28"/>
  <c r="ES5" i="28"/>
  <c r="ET5" i="28"/>
  <c r="EU5" i="28"/>
  <c r="EV5" i="28"/>
  <c r="EW5" i="28"/>
  <c r="EX5" i="28"/>
  <c r="EY5" i="28"/>
  <c r="EZ5" i="28"/>
  <c r="FA5" i="28"/>
  <c r="FB5" i="28"/>
  <c r="FC5" i="28"/>
  <c r="FD5" i="28"/>
  <c r="FE5" i="28"/>
  <c r="FF5" i="28"/>
  <c r="FG5" i="28"/>
  <c r="FK5" i="28"/>
  <c r="FL5" i="28"/>
  <c r="FM5" i="28"/>
  <c r="FN5" i="28"/>
  <c r="FO5" i="28"/>
  <c r="FP5" i="28"/>
  <c r="FQ5" i="28"/>
  <c r="FR5" i="28"/>
  <c r="FS5" i="28"/>
  <c r="FT5" i="28"/>
  <c r="FU5" i="28"/>
  <c r="FV5" i="28"/>
  <c r="FW5" i="28"/>
  <c r="FX5" i="28"/>
  <c r="FY5" i="28"/>
  <c r="FZ5" i="28"/>
  <c r="GA5" i="28"/>
  <c r="GB5" i="28"/>
  <c r="GC5" i="28"/>
  <c r="GD5" i="28"/>
  <c r="GE5" i="28"/>
  <c r="GF5" i="28"/>
  <c r="GG5" i="28"/>
  <c r="GH5" i="28"/>
  <c r="GI5" i="28"/>
  <c r="GJ5" i="28"/>
  <c r="GK5" i="28"/>
  <c r="GL5" i="28"/>
  <c r="GM5" i="28"/>
  <c r="GN5" i="28"/>
  <c r="GO5" i="28"/>
  <c r="BQ6" i="28"/>
  <c r="BR6" i="28"/>
  <c r="BW6" i="28"/>
  <c r="BX6" i="28"/>
  <c r="BY6" i="28"/>
  <c r="CH6" i="28"/>
  <c r="CP6" i="28"/>
  <c r="CQ6" i="28"/>
  <c r="CR6" i="28"/>
  <c r="CS6" i="28"/>
  <c r="CT6" i="28"/>
  <c r="CU6" i="28"/>
  <c r="CV6" i="28"/>
  <c r="CW6" i="28"/>
  <c r="CX6" i="28"/>
  <c r="CY6" i="28"/>
  <c r="CZ6" i="28"/>
  <c r="DA6" i="28"/>
  <c r="DB6" i="28"/>
  <c r="DC6" i="28"/>
  <c r="DD6" i="28"/>
  <c r="DF6" i="28"/>
  <c r="DG6" i="28"/>
  <c r="DH6" i="28"/>
  <c r="DI6" i="28"/>
  <c r="DJ6" i="28"/>
  <c r="DK6" i="28"/>
  <c r="DL6" i="28"/>
  <c r="DM6" i="28"/>
  <c r="DN6" i="28"/>
  <c r="DO6" i="28"/>
  <c r="DP6" i="28"/>
  <c r="DQ6" i="28"/>
  <c r="DR6" i="28"/>
  <c r="DS6" i="28"/>
  <c r="DT6" i="28"/>
  <c r="DU6" i="28"/>
  <c r="DV6" i="28"/>
  <c r="DW6" i="28"/>
  <c r="DX6" i="28"/>
  <c r="DY6" i="28"/>
  <c r="DZ6" i="28"/>
  <c r="EA6" i="28"/>
  <c r="EB6" i="28"/>
  <c r="EC6" i="28"/>
  <c r="ED6" i="28"/>
  <c r="EE6" i="28"/>
  <c r="EF6" i="28"/>
  <c r="EG6" i="28"/>
  <c r="EH6" i="28"/>
  <c r="EI6" i="28"/>
  <c r="EJ6" i="28"/>
  <c r="EK6" i="28"/>
  <c r="EL6" i="28"/>
  <c r="EM6" i="28"/>
  <c r="EN6" i="28"/>
  <c r="EO6" i="28"/>
  <c r="EP6" i="28"/>
  <c r="EQ6" i="28"/>
  <c r="ER6" i="28"/>
  <c r="ES6" i="28"/>
  <c r="ET6" i="28"/>
  <c r="EU6" i="28"/>
  <c r="EV6" i="28"/>
  <c r="EW6" i="28"/>
  <c r="EX6" i="28"/>
  <c r="EY6" i="28"/>
  <c r="EZ6" i="28"/>
  <c r="FA6" i="28"/>
  <c r="FB6" i="28"/>
  <c r="FC6" i="28"/>
  <c r="FD6" i="28"/>
  <c r="FE6" i="28"/>
  <c r="FF6" i="28"/>
  <c r="FG6" i="28"/>
  <c r="FH6" i="28"/>
  <c r="FI6" i="28"/>
  <c r="FJ6" i="28"/>
  <c r="FK6" i="28"/>
  <c r="FL6" i="28"/>
  <c r="FM6" i="28"/>
  <c r="FN6" i="28"/>
  <c r="FO6" i="28"/>
  <c r="FP6" i="28"/>
  <c r="FQ6" i="28"/>
  <c r="FR6" i="28"/>
  <c r="FS6" i="28"/>
  <c r="FT6" i="28"/>
  <c r="FU6" i="28"/>
  <c r="FV6" i="28"/>
  <c r="FW6" i="28"/>
  <c r="FX6" i="28"/>
  <c r="FY6" i="28"/>
  <c r="FZ6" i="28"/>
  <c r="GA6" i="28"/>
  <c r="GB6" i="28"/>
  <c r="GC6" i="28"/>
  <c r="GD6" i="28"/>
  <c r="GE6" i="28"/>
  <c r="GF6" i="28"/>
  <c r="GG6" i="28"/>
  <c r="GH6" i="28"/>
  <c r="GI6" i="28"/>
  <c r="GJ6" i="28"/>
  <c r="GK6" i="28"/>
  <c r="GL6" i="28"/>
  <c r="GM6" i="28"/>
  <c r="GN6" i="28"/>
  <c r="BO7" i="28"/>
  <c r="BQ7" i="28"/>
  <c r="BR7" i="28"/>
  <c r="BW7" i="28"/>
  <c r="BX7" i="28"/>
  <c r="BY7" i="28"/>
  <c r="CH7" i="28"/>
  <c r="CP7" i="28"/>
  <c r="CQ7" i="28"/>
  <c r="CR7" i="28"/>
  <c r="CS7" i="28"/>
  <c r="CT7" i="28"/>
  <c r="CU7" i="28"/>
  <c r="CV7" i="28"/>
  <c r="CW7" i="28"/>
  <c r="CX7" i="28"/>
  <c r="CY7" i="28"/>
  <c r="CZ7" i="28"/>
  <c r="DA7" i="28"/>
  <c r="DB7" i="28"/>
  <c r="DC7" i="28"/>
  <c r="DD7" i="28"/>
  <c r="DF7" i="28"/>
  <c r="DG7" i="28"/>
  <c r="DH7" i="28"/>
  <c r="DI7" i="28"/>
  <c r="DJ7" i="28"/>
  <c r="DK7" i="28"/>
  <c r="DL7" i="28"/>
  <c r="DM7" i="28"/>
  <c r="DN7" i="28"/>
  <c r="DO7" i="28"/>
  <c r="DP7" i="28"/>
  <c r="DQ7" i="28"/>
  <c r="DR7" i="28"/>
  <c r="DS7" i="28"/>
  <c r="DT7" i="28"/>
  <c r="DU7" i="28"/>
  <c r="DV7" i="28"/>
  <c r="DW7" i="28"/>
  <c r="DX7" i="28"/>
  <c r="DY7" i="28"/>
  <c r="DZ7" i="28"/>
  <c r="EA7" i="28"/>
  <c r="EB7" i="28"/>
  <c r="EC7" i="28"/>
  <c r="ED7" i="28"/>
  <c r="EE7" i="28"/>
  <c r="EF7" i="28"/>
  <c r="EG7" i="28"/>
  <c r="EH7" i="28"/>
  <c r="EI7" i="28"/>
  <c r="EJ7" i="28"/>
  <c r="EK7" i="28"/>
  <c r="EL7" i="28"/>
  <c r="EM7" i="28"/>
  <c r="EN7" i="28"/>
  <c r="EO7" i="28"/>
  <c r="EP7" i="28"/>
  <c r="EQ7" i="28"/>
  <c r="ER7" i="28"/>
  <c r="ES7" i="28"/>
  <c r="ET7" i="28"/>
  <c r="EU7" i="28"/>
  <c r="EV7" i="28"/>
  <c r="EW7" i="28"/>
  <c r="EX7" i="28"/>
  <c r="EY7" i="28"/>
  <c r="EZ7" i="28"/>
  <c r="FA7" i="28"/>
  <c r="FB7" i="28"/>
  <c r="FC7" i="28"/>
  <c r="FD7" i="28"/>
  <c r="FE7" i="28"/>
  <c r="FF7" i="28"/>
  <c r="FG7" i="28"/>
  <c r="FK7" i="28"/>
  <c r="FL7" i="28"/>
  <c r="FM7" i="28"/>
  <c r="FN7" i="28"/>
  <c r="FO7" i="28"/>
  <c r="FP7" i="28"/>
  <c r="FQ7" i="28"/>
  <c r="FR7" i="28"/>
  <c r="FS7" i="28"/>
  <c r="FT7" i="28"/>
  <c r="FU7" i="28"/>
  <c r="FV7" i="28"/>
  <c r="FW7" i="28"/>
  <c r="FX7" i="28"/>
  <c r="FY7" i="28"/>
  <c r="FZ7" i="28"/>
  <c r="GA7" i="28"/>
  <c r="GB7" i="28"/>
  <c r="GC7" i="28"/>
  <c r="GD7" i="28"/>
  <c r="GE7" i="28"/>
  <c r="GF7" i="28"/>
  <c r="GG7" i="28"/>
  <c r="GH7" i="28"/>
  <c r="GI7" i="28"/>
  <c r="GJ7" i="28"/>
  <c r="GK7" i="28"/>
  <c r="GL7" i="28"/>
  <c r="GM7" i="28"/>
  <c r="GN7" i="28"/>
  <c r="BJ8" i="28"/>
  <c r="BK8" i="28"/>
  <c r="BL8" i="28"/>
  <c r="BM8" i="28"/>
  <c r="BN8" i="28"/>
  <c r="BO8" i="28"/>
  <c r="BP8" i="28"/>
  <c r="BQ8" i="28"/>
  <c r="BR8" i="28"/>
  <c r="BS8" i="28"/>
  <c r="BT8" i="28"/>
  <c r="BU8" i="28"/>
  <c r="BV8" i="28"/>
  <c r="BW8" i="28"/>
  <c r="BX8" i="28"/>
  <c r="BY8" i="28"/>
  <c r="BZ8" i="28"/>
  <c r="CA8" i="28"/>
  <c r="CB8" i="28"/>
  <c r="CC8" i="28"/>
  <c r="CD8" i="28"/>
  <c r="CE8" i="28"/>
  <c r="CF8" i="28"/>
  <c r="CG8" i="28"/>
  <c r="CH8" i="28"/>
  <c r="CI8" i="28"/>
  <c r="CJ8" i="28"/>
  <c r="CK8" i="28"/>
  <c r="CL8" i="28"/>
  <c r="CM8" i="28"/>
  <c r="CN8" i="28"/>
  <c r="CO8" i="28"/>
  <c r="CP8" i="28"/>
  <c r="CQ8" i="28"/>
  <c r="CR8" i="28"/>
  <c r="CS8" i="28"/>
  <c r="CT8" i="28"/>
  <c r="CU8" i="28"/>
  <c r="CV8" i="28"/>
  <c r="CW8" i="28"/>
  <c r="CX8" i="28"/>
  <c r="CY8" i="28"/>
  <c r="CZ8" i="28"/>
  <c r="DA8" i="28"/>
  <c r="DB8" i="28"/>
  <c r="DC8" i="28"/>
  <c r="DD8" i="28"/>
  <c r="DE8" i="28"/>
  <c r="DF8" i="28"/>
  <c r="DG8" i="28"/>
  <c r="DH8" i="28"/>
  <c r="DI8" i="28"/>
  <c r="DJ8" i="28"/>
  <c r="DK8" i="28"/>
  <c r="DL8" i="28"/>
  <c r="DM8" i="28"/>
  <c r="DN8" i="28"/>
  <c r="DO8" i="28"/>
  <c r="DP8" i="28"/>
  <c r="DQ8" i="28"/>
  <c r="DR8" i="28"/>
  <c r="DS8" i="28"/>
  <c r="DT8" i="28"/>
  <c r="DU8" i="28"/>
  <c r="DV8" i="28"/>
  <c r="DW8" i="28"/>
  <c r="DX8" i="28"/>
  <c r="DY8" i="28"/>
  <c r="DZ8" i="28"/>
  <c r="EA8" i="28"/>
  <c r="EB8" i="28"/>
  <c r="EC8" i="28"/>
  <c r="ED8" i="28"/>
  <c r="EE8" i="28"/>
  <c r="EF8" i="28"/>
  <c r="EG8" i="28"/>
  <c r="EH8" i="28"/>
  <c r="EI8" i="28"/>
  <c r="EJ8" i="28"/>
  <c r="EK8" i="28"/>
  <c r="EL8" i="28"/>
  <c r="EM8" i="28"/>
  <c r="EN8" i="28"/>
  <c r="EO8" i="28"/>
  <c r="EP8" i="28"/>
  <c r="EQ8" i="28"/>
  <c r="ER8" i="28"/>
  <c r="ES8" i="28"/>
  <c r="ET8" i="28"/>
  <c r="EU8" i="28"/>
  <c r="EV8" i="28"/>
  <c r="EW8" i="28"/>
  <c r="EX8" i="28"/>
  <c r="EY8" i="28"/>
  <c r="EZ8" i="28"/>
  <c r="FA8" i="28"/>
  <c r="FB8" i="28"/>
  <c r="FC8" i="28"/>
  <c r="FD8" i="28"/>
  <c r="FE8" i="28"/>
  <c r="FF8" i="28"/>
  <c r="FH8" i="28"/>
  <c r="FI8" i="28"/>
  <c r="FJ8" i="28"/>
  <c r="FU8" i="28"/>
  <c r="FV8" i="28"/>
  <c r="FW8" i="28"/>
  <c r="FX8" i="28"/>
  <c r="FY8" i="28"/>
  <c r="FZ8" i="28"/>
  <c r="GA8" i="28"/>
  <c r="GB8" i="28"/>
  <c r="GC8" i="28"/>
  <c r="GD8" i="28"/>
  <c r="GE8" i="28"/>
  <c r="GF8" i="28"/>
  <c r="GO8" i="28"/>
  <c r="BX9" i="28"/>
  <c r="CP9" i="28"/>
  <c r="CQ9" i="28"/>
  <c r="CR9" i="28"/>
  <c r="CS9" i="28"/>
  <c r="CT9" i="28"/>
  <c r="CU9" i="28"/>
  <c r="CV9" i="28"/>
  <c r="CW9" i="28"/>
  <c r="CX9" i="28"/>
  <c r="CY9" i="28"/>
  <c r="CZ9" i="28"/>
  <c r="DA9" i="28"/>
  <c r="DB9" i="28"/>
  <c r="DC9" i="28"/>
  <c r="DD9" i="28"/>
  <c r="DF9" i="28"/>
  <c r="DG9" i="28"/>
  <c r="DH9" i="28"/>
  <c r="DI9" i="28"/>
  <c r="DJ9" i="28"/>
  <c r="DK9" i="28"/>
  <c r="DL9" i="28"/>
  <c r="DM9" i="28"/>
  <c r="DN9" i="28"/>
  <c r="DO9" i="28"/>
  <c r="DP9" i="28"/>
  <c r="DQ9" i="28"/>
  <c r="DR9" i="28"/>
  <c r="DS9" i="28"/>
  <c r="DT9" i="28"/>
  <c r="DU9" i="28"/>
  <c r="DV9" i="28"/>
  <c r="DW9" i="28"/>
  <c r="DX9" i="28"/>
  <c r="DY9" i="28"/>
  <c r="DZ9" i="28"/>
  <c r="EA9" i="28"/>
  <c r="EB9" i="28"/>
  <c r="EC9" i="28"/>
  <c r="ED9" i="28"/>
  <c r="EE9" i="28"/>
  <c r="EF9" i="28"/>
  <c r="EG9" i="28"/>
  <c r="EH9" i="28"/>
  <c r="EI9" i="28"/>
  <c r="EJ9" i="28"/>
  <c r="EK9" i="28"/>
  <c r="EL9" i="28"/>
  <c r="EM9" i="28"/>
  <c r="EN9" i="28"/>
  <c r="EO9" i="28"/>
  <c r="EP9" i="28"/>
  <c r="EQ9" i="28"/>
  <c r="ER9" i="28"/>
  <c r="ES9" i="28"/>
  <c r="ET9" i="28"/>
  <c r="EU9" i="28"/>
  <c r="EV9" i="28"/>
  <c r="EW9" i="28"/>
  <c r="EX9" i="28"/>
  <c r="EY9" i="28"/>
  <c r="EZ9" i="28"/>
  <c r="FA9" i="28"/>
  <c r="FB9" i="28"/>
  <c r="FC9" i="28"/>
  <c r="FD9" i="28"/>
  <c r="FE9" i="28"/>
  <c r="FF9" i="28"/>
  <c r="FG9" i="28"/>
  <c r="FH9" i="28"/>
  <c r="FI9" i="28"/>
  <c r="FJ9" i="28"/>
  <c r="FK9" i="28"/>
  <c r="FL9" i="28"/>
  <c r="FM9" i="28"/>
  <c r="FN9" i="28"/>
  <c r="FO9" i="28"/>
  <c r="FP9" i="28"/>
  <c r="FQ9" i="28"/>
  <c r="FR9" i="28"/>
  <c r="FS9" i="28"/>
  <c r="FT9" i="28"/>
  <c r="FU9" i="28"/>
  <c r="FV9" i="28"/>
  <c r="FW9" i="28"/>
  <c r="FX9" i="28"/>
  <c r="FY9" i="28"/>
  <c r="FZ9" i="28"/>
  <c r="GA9" i="28"/>
  <c r="GB9" i="28"/>
  <c r="GC9" i="28"/>
  <c r="GD9" i="28"/>
  <c r="GE9" i="28"/>
  <c r="GF9" i="28"/>
  <c r="GG9" i="28"/>
  <c r="GH9" i="28"/>
  <c r="GI9" i="28"/>
  <c r="GJ9" i="28"/>
  <c r="GK9" i="28"/>
  <c r="GL9" i="28"/>
  <c r="GM9" i="28"/>
  <c r="GN9" i="28"/>
  <c r="BJ10" i="28"/>
  <c r="BK10" i="28"/>
  <c r="BL10" i="28"/>
  <c r="BM10" i="28"/>
  <c r="BN10" i="28"/>
  <c r="BO10" i="28"/>
  <c r="BP10" i="28"/>
  <c r="BQ10" i="28"/>
  <c r="BR10" i="28"/>
  <c r="BS10" i="28"/>
  <c r="BT10" i="28"/>
  <c r="BU10" i="28"/>
  <c r="BV10" i="28"/>
  <c r="BW10" i="28"/>
  <c r="BX10" i="28"/>
  <c r="BY10" i="28"/>
  <c r="BZ10" i="28"/>
  <c r="CA10" i="28"/>
  <c r="CB10" i="28"/>
  <c r="CC10" i="28"/>
  <c r="CD10" i="28"/>
  <c r="CE10" i="28"/>
  <c r="CF10" i="28"/>
  <c r="CG10" i="28"/>
  <c r="CH10" i="28"/>
  <c r="CI10" i="28"/>
  <c r="CJ10" i="28"/>
  <c r="CK10" i="28"/>
  <c r="CL10" i="28"/>
  <c r="CM10" i="28"/>
  <c r="CN10" i="28"/>
  <c r="CO10" i="28"/>
  <c r="CP10" i="28"/>
  <c r="CQ10" i="28"/>
  <c r="CR10" i="28"/>
  <c r="CS10" i="28"/>
  <c r="CT10" i="28"/>
  <c r="CU10" i="28"/>
  <c r="CV10" i="28"/>
  <c r="CW10" i="28"/>
  <c r="CX10" i="28"/>
  <c r="CY10" i="28"/>
  <c r="CZ10" i="28"/>
  <c r="DA10" i="28"/>
  <c r="DB10" i="28"/>
  <c r="DC10" i="28"/>
  <c r="DD10" i="28"/>
  <c r="DE10" i="28"/>
  <c r="DF10" i="28"/>
  <c r="DG10" i="28"/>
  <c r="DH10" i="28"/>
  <c r="DI10" i="28"/>
  <c r="DJ10" i="28"/>
  <c r="DK10" i="28"/>
  <c r="DL10" i="28"/>
  <c r="DM10" i="28"/>
  <c r="DN10" i="28"/>
  <c r="DO10" i="28"/>
  <c r="DP10" i="28"/>
  <c r="DQ10" i="28"/>
  <c r="DR10" i="28"/>
  <c r="DS10" i="28"/>
  <c r="DT10" i="28"/>
  <c r="DU10" i="28"/>
  <c r="DV10" i="28"/>
  <c r="DW10" i="28"/>
  <c r="DX10" i="28"/>
  <c r="DY10" i="28"/>
  <c r="DZ10" i="28"/>
  <c r="EA10" i="28"/>
  <c r="EB10" i="28"/>
  <c r="EC10" i="28"/>
  <c r="ED10" i="28"/>
  <c r="EE10" i="28"/>
  <c r="EF10" i="28"/>
  <c r="EG10" i="28"/>
  <c r="EH10" i="28"/>
  <c r="EI10" i="28"/>
  <c r="EJ10" i="28"/>
  <c r="EK10" i="28"/>
  <c r="EL10" i="28"/>
  <c r="EM10" i="28"/>
  <c r="EN10" i="28"/>
  <c r="EO10" i="28"/>
  <c r="EP10" i="28"/>
  <c r="EQ10" i="28"/>
  <c r="ER10" i="28"/>
  <c r="ES10" i="28"/>
  <c r="ET10" i="28"/>
  <c r="EU10" i="28"/>
  <c r="EV10" i="28"/>
  <c r="EW10" i="28"/>
  <c r="EX10" i="28"/>
  <c r="EY10" i="28"/>
  <c r="EZ10" i="28"/>
  <c r="FA10" i="28"/>
  <c r="FB10" i="28"/>
  <c r="FC10" i="28"/>
  <c r="FD10" i="28"/>
  <c r="FE10" i="28"/>
  <c r="FF10" i="28"/>
  <c r="FG10" i="28"/>
  <c r="FH10" i="28"/>
  <c r="FI10" i="28"/>
  <c r="FJ10" i="28"/>
  <c r="FK10" i="28"/>
  <c r="FL10" i="28"/>
  <c r="FM10" i="28"/>
  <c r="FN10" i="28"/>
  <c r="FO10" i="28"/>
  <c r="FP10" i="28"/>
  <c r="FQ10" i="28"/>
  <c r="FR10" i="28"/>
  <c r="FS10" i="28"/>
  <c r="FT10" i="28"/>
  <c r="FU10" i="28"/>
  <c r="FV10" i="28"/>
  <c r="FW10" i="28"/>
  <c r="FX10" i="28"/>
  <c r="FY10" i="28"/>
  <c r="FZ10" i="28"/>
  <c r="GA10" i="28"/>
  <c r="GB10" i="28"/>
  <c r="GC10" i="28"/>
  <c r="GD10" i="28"/>
  <c r="GE10" i="28"/>
  <c r="GF10" i="28"/>
  <c r="GG10" i="28"/>
  <c r="GH10" i="28"/>
  <c r="GI10" i="28"/>
  <c r="GJ10" i="28"/>
  <c r="GK10" i="28"/>
  <c r="GL10" i="28"/>
  <c r="GM10" i="28"/>
  <c r="GN10" i="28"/>
  <c r="GO10" i="28"/>
  <c r="BQ11" i="28"/>
  <c r="BR11" i="28"/>
  <c r="BT11" i="28"/>
  <c r="BW11" i="28"/>
  <c r="BX11" i="28"/>
  <c r="BY11" i="28"/>
  <c r="BZ11" i="28"/>
  <c r="CA11" i="28"/>
  <c r="CB11" i="28"/>
  <c r="CC11" i="28"/>
  <c r="CH11" i="28"/>
  <c r="CP11" i="28"/>
  <c r="CQ11" i="28"/>
  <c r="CR11" i="28"/>
  <c r="CS11" i="28"/>
  <c r="CT11" i="28"/>
  <c r="CU11" i="28"/>
  <c r="CV11" i="28"/>
  <c r="CW11" i="28"/>
  <c r="CX11" i="28"/>
  <c r="CY11" i="28"/>
  <c r="CZ11" i="28"/>
  <c r="DA11" i="28"/>
  <c r="DB11" i="28"/>
  <c r="DC11" i="28"/>
  <c r="DD11" i="28"/>
  <c r="DE11" i="28"/>
  <c r="DF11" i="28"/>
  <c r="DG11" i="28"/>
  <c r="DH11" i="28"/>
  <c r="DI11" i="28"/>
  <c r="DJ11" i="28"/>
  <c r="DK11" i="28"/>
  <c r="DL11" i="28"/>
  <c r="DM11" i="28"/>
  <c r="DN11" i="28"/>
  <c r="DO11" i="28"/>
  <c r="DP11" i="28"/>
  <c r="DQ11" i="28"/>
  <c r="DR11" i="28"/>
  <c r="DS11" i="28"/>
  <c r="DT11" i="28"/>
  <c r="DU11" i="28"/>
  <c r="DV11" i="28"/>
  <c r="DW11" i="28"/>
  <c r="DX11" i="28"/>
  <c r="DY11" i="28"/>
  <c r="DZ11" i="28"/>
  <c r="EA11" i="28"/>
  <c r="EB11" i="28"/>
  <c r="EC11" i="28"/>
  <c r="ED11" i="28"/>
  <c r="EE11" i="28"/>
  <c r="EF11" i="28"/>
  <c r="EG11" i="28"/>
  <c r="EH11" i="28"/>
  <c r="EI11" i="28"/>
  <c r="EJ11" i="28"/>
  <c r="EK11" i="28"/>
  <c r="EL11" i="28"/>
  <c r="EM11" i="28"/>
  <c r="EN11" i="28"/>
  <c r="EO11" i="28"/>
  <c r="EP11" i="28"/>
  <c r="EQ11" i="28"/>
  <c r="ER11" i="28"/>
  <c r="ES11" i="28"/>
  <c r="ET11" i="28"/>
  <c r="EU11" i="28"/>
  <c r="EV11" i="28"/>
  <c r="EW11" i="28"/>
  <c r="EX11" i="28"/>
  <c r="EY11" i="28"/>
  <c r="EZ11" i="28"/>
  <c r="FA11" i="28"/>
  <c r="FB11" i="28"/>
  <c r="FC11" i="28"/>
  <c r="FD11" i="28"/>
  <c r="FE11" i="28"/>
  <c r="FF11" i="28"/>
  <c r="FG11" i="28"/>
  <c r="FH11" i="28"/>
  <c r="FI11" i="28"/>
  <c r="FJ11" i="28"/>
  <c r="FK11" i="28"/>
  <c r="FL11" i="28"/>
  <c r="FM11" i="28"/>
  <c r="FN11" i="28"/>
  <c r="FO11" i="28"/>
  <c r="FP11" i="28"/>
  <c r="FQ11" i="28"/>
  <c r="FR11" i="28"/>
  <c r="FS11" i="28"/>
  <c r="FT11" i="28"/>
  <c r="FU11" i="28"/>
  <c r="FV11" i="28"/>
  <c r="FW11" i="28"/>
  <c r="FX11" i="28"/>
  <c r="FY11" i="28"/>
  <c r="FZ11" i="28"/>
  <c r="GA11" i="28"/>
  <c r="GB11" i="28"/>
  <c r="GC11" i="28"/>
  <c r="GD11" i="28"/>
  <c r="GE11" i="28"/>
  <c r="GF11" i="28"/>
  <c r="GG11" i="28"/>
  <c r="GH11" i="28"/>
  <c r="GI11" i="28"/>
  <c r="GJ11" i="28"/>
  <c r="GK11" i="28"/>
  <c r="GL11" i="28"/>
  <c r="GM11" i="28"/>
  <c r="GN11" i="28"/>
  <c r="BQ12" i="28"/>
  <c r="BR12" i="28"/>
  <c r="BW12" i="28"/>
  <c r="BX12" i="28"/>
  <c r="BY12" i="28"/>
  <c r="BZ12" i="28"/>
  <c r="CA12" i="28"/>
  <c r="CB12" i="28"/>
  <c r="CC12" i="28"/>
  <c r="CH12" i="28"/>
  <c r="CP12" i="28"/>
  <c r="CQ12" i="28"/>
  <c r="CR12" i="28"/>
  <c r="CS12" i="28"/>
  <c r="CT12" i="28"/>
  <c r="CU12" i="28"/>
  <c r="CV12" i="28"/>
  <c r="CW12" i="28"/>
  <c r="CX12" i="28"/>
  <c r="CY12" i="28"/>
  <c r="CZ12" i="28"/>
  <c r="DA12" i="28"/>
  <c r="DB12" i="28"/>
  <c r="DC12" i="28"/>
  <c r="DD12" i="28"/>
  <c r="DE12" i="28"/>
  <c r="DF12" i="28"/>
  <c r="DG12" i="28"/>
  <c r="DH12" i="28"/>
  <c r="DI12" i="28"/>
  <c r="DJ12" i="28"/>
  <c r="DK12" i="28"/>
  <c r="DL12" i="28"/>
  <c r="DM12" i="28"/>
  <c r="DN12" i="28"/>
  <c r="DO12" i="28"/>
  <c r="DP12" i="28"/>
  <c r="DQ12" i="28"/>
  <c r="DR12" i="28"/>
  <c r="DS12" i="28"/>
  <c r="DT12" i="28"/>
  <c r="DU12" i="28"/>
  <c r="DV12" i="28"/>
  <c r="DW12" i="28"/>
  <c r="DX12" i="28"/>
  <c r="DY12" i="28"/>
  <c r="DZ12" i="28"/>
  <c r="EA12" i="28"/>
  <c r="EB12" i="28"/>
  <c r="EC12" i="28"/>
  <c r="ED12" i="28"/>
  <c r="EE12" i="28"/>
  <c r="EF12" i="28"/>
  <c r="EG12" i="28"/>
  <c r="EH12" i="28"/>
  <c r="EI12" i="28"/>
  <c r="EJ12" i="28"/>
  <c r="EK12" i="28"/>
  <c r="EL12" i="28"/>
  <c r="EM12" i="28"/>
  <c r="EN12" i="28"/>
  <c r="EO12" i="28"/>
  <c r="EP12" i="28"/>
  <c r="EQ12" i="28"/>
  <c r="ER12" i="28"/>
  <c r="ES12" i="28"/>
  <c r="ET12" i="28"/>
  <c r="EU12" i="28"/>
  <c r="EV12" i="28"/>
  <c r="EW12" i="28"/>
  <c r="EX12" i="28"/>
  <c r="EY12" i="28"/>
  <c r="EZ12" i="28"/>
  <c r="FA12" i="28"/>
  <c r="FB12" i="28"/>
  <c r="FC12" i="28"/>
  <c r="FD12" i="28"/>
  <c r="FE12" i="28"/>
  <c r="FF12" i="28"/>
  <c r="FG12" i="28"/>
  <c r="FK12" i="28"/>
  <c r="FL12" i="28"/>
  <c r="FM12" i="28"/>
  <c r="FN12" i="28"/>
  <c r="FO12" i="28"/>
  <c r="FP12" i="28"/>
  <c r="FQ12" i="28"/>
  <c r="FR12" i="28"/>
  <c r="FS12" i="28"/>
  <c r="FT12" i="28"/>
  <c r="FU12" i="28"/>
  <c r="FV12" i="28"/>
  <c r="FW12" i="28"/>
  <c r="FX12" i="28"/>
  <c r="FY12" i="28"/>
  <c r="FZ12" i="28"/>
  <c r="GA12" i="28"/>
  <c r="GB12" i="28"/>
  <c r="GC12" i="28"/>
  <c r="GD12" i="28"/>
  <c r="GE12" i="28"/>
  <c r="GF12" i="28"/>
  <c r="GG12" i="28"/>
  <c r="GH12" i="28"/>
  <c r="GI12" i="28"/>
  <c r="GJ12" i="28"/>
  <c r="GK12" i="28"/>
  <c r="GL12" i="28"/>
  <c r="GM12" i="28"/>
  <c r="GN12" i="28"/>
  <c r="BJ13" i="28"/>
  <c r="BK13" i="28"/>
  <c r="BL13" i="28"/>
  <c r="BM13" i="28"/>
  <c r="BN13" i="28"/>
  <c r="BO13" i="28"/>
  <c r="BP13" i="28"/>
  <c r="BQ13" i="28"/>
  <c r="BR13" i="28"/>
  <c r="BS13" i="28"/>
  <c r="BT13" i="28"/>
  <c r="BU13" i="28"/>
  <c r="BV13" i="28"/>
  <c r="BW13" i="28"/>
  <c r="BX13" i="28"/>
  <c r="BY13" i="28"/>
  <c r="BZ13" i="28"/>
  <c r="CA13" i="28"/>
  <c r="CB13" i="28"/>
  <c r="CC13" i="28"/>
  <c r="CD13" i="28"/>
  <c r="CE13" i="28"/>
  <c r="CF13" i="28"/>
  <c r="CG13" i="28"/>
  <c r="CH13" i="28"/>
  <c r="CI13" i="28"/>
  <c r="CJ13" i="28"/>
  <c r="CK13" i="28"/>
  <c r="CL13" i="28"/>
  <c r="CM13" i="28"/>
  <c r="CN13" i="28"/>
  <c r="CO13" i="28"/>
  <c r="CP13" i="28"/>
  <c r="CQ13" i="28"/>
  <c r="CR13" i="28"/>
  <c r="CS13" i="28"/>
  <c r="CT13" i="28"/>
  <c r="CU13" i="28"/>
  <c r="CV13" i="28"/>
  <c r="CW13" i="28"/>
  <c r="CX13" i="28"/>
  <c r="CY13" i="28"/>
  <c r="CZ13" i="28"/>
  <c r="DA13" i="28"/>
  <c r="DB13" i="28"/>
  <c r="DC13" i="28"/>
  <c r="DD13" i="28"/>
  <c r="DE13" i="28"/>
  <c r="DF13" i="28"/>
  <c r="DG13" i="28"/>
  <c r="DH13" i="28"/>
  <c r="DI13" i="28"/>
  <c r="DJ13" i="28"/>
  <c r="DK13" i="28"/>
  <c r="DL13" i="28"/>
  <c r="DM13" i="28"/>
  <c r="DN13" i="28"/>
  <c r="DO13" i="28"/>
  <c r="DP13" i="28"/>
  <c r="DQ13" i="28"/>
  <c r="DR13" i="28"/>
  <c r="DS13" i="28"/>
  <c r="DT13" i="28"/>
  <c r="DU13" i="28"/>
  <c r="DV13" i="28"/>
  <c r="DW13" i="28"/>
  <c r="DX13" i="28"/>
  <c r="DY13" i="28"/>
  <c r="DZ13" i="28"/>
  <c r="EA13" i="28"/>
  <c r="EB13" i="28"/>
  <c r="EC13" i="28"/>
  <c r="ED13" i="28"/>
  <c r="EE13" i="28"/>
  <c r="EF13" i="28"/>
  <c r="EG13" i="28"/>
  <c r="EH13" i="28"/>
  <c r="EI13" i="28"/>
  <c r="EJ13" i="28"/>
  <c r="EK13" i="28"/>
  <c r="EL13" i="28"/>
  <c r="EM13" i="28"/>
  <c r="EN13" i="28"/>
  <c r="EO13" i="28"/>
  <c r="EP13" i="28"/>
  <c r="EQ13" i="28"/>
  <c r="ER13" i="28"/>
  <c r="ES13" i="28"/>
  <c r="ET13" i="28"/>
  <c r="EU13" i="28"/>
  <c r="EV13" i="28"/>
  <c r="EW13" i="28"/>
  <c r="EX13" i="28"/>
  <c r="EY13" i="28"/>
  <c r="EZ13" i="28"/>
  <c r="FA13" i="28"/>
  <c r="FB13" i="28"/>
  <c r="FC13" i="28"/>
  <c r="FD13" i="28"/>
  <c r="FE13" i="28"/>
  <c r="FF13" i="28"/>
  <c r="FH13" i="28"/>
  <c r="FI13" i="28"/>
  <c r="FJ13" i="28"/>
  <c r="FU13" i="28"/>
  <c r="FV13" i="28"/>
  <c r="FW13" i="28"/>
  <c r="FX13" i="28"/>
  <c r="FY13" i="28"/>
  <c r="FZ13" i="28"/>
  <c r="GA13" i="28"/>
  <c r="GB13" i="28"/>
  <c r="GC13" i="28"/>
  <c r="GD13" i="28"/>
  <c r="GE13" i="28"/>
  <c r="GF13" i="28"/>
  <c r="GO13" i="28"/>
  <c r="BJ14" i="28"/>
  <c r="BK14" i="28"/>
  <c r="BL14" i="28"/>
  <c r="BM14" i="28"/>
  <c r="BN14" i="28"/>
  <c r="BO14" i="28"/>
  <c r="BP14" i="28"/>
  <c r="BQ14" i="28"/>
  <c r="BR14" i="28"/>
  <c r="BS14" i="28"/>
  <c r="BT14" i="28"/>
  <c r="BU14" i="28"/>
  <c r="BV14" i="28"/>
  <c r="BW14" i="28"/>
  <c r="BX14" i="28"/>
  <c r="BY14" i="28"/>
  <c r="BZ14" i="28"/>
  <c r="CA14" i="28"/>
  <c r="CB14" i="28"/>
  <c r="CC14" i="28"/>
  <c r="CD14" i="28"/>
  <c r="CE14" i="28"/>
  <c r="CF14" i="28"/>
  <c r="CG14" i="28"/>
  <c r="CH14" i="28"/>
  <c r="CI14" i="28"/>
  <c r="CJ14" i="28"/>
  <c r="CK14" i="28"/>
  <c r="CL14" i="28"/>
  <c r="CM14" i="28"/>
  <c r="CN14" i="28"/>
  <c r="CO14" i="28"/>
  <c r="CP14" i="28"/>
  <c r="CQ14" i="28"/>
  <c r="CR14" i="28"/>
  <c r="CS14" i="28"/>
  <c r="CT14" i="28"/>
  <c r="CU14" i="28"/>
  <c r="CV14" i="28"/>
  <c r="CW14" i="28"/>
  <c r="CX14" i="28"/>
  <c r="CY14" i="28"/>
  <c r="CZ14" i="28"/>
  <c r="DA14" i="28"/>
  <c r="DB14" i="28"/>
  <c r="DC14" i="28"/>
  <c r="DD14" i="28"/>
  <c r="DE14" i="28"/>
  <c r="DF14" i="28"/>
  <c r="DG14" i="28"/>
  <c r="DH14" i="28"/>
  <c r="DI14" i="28"/>
  <c r="DJ14" i="28"/>
  <c r="DK14" i="28"/>
  <c r="DL14" i="28"/>
  <c r="DM14" i="28"/>
  <c r="DN14" i="28"/>
  <c r="DO14" i="28"/>
  <c r="DP14" i="28"/>
  <c r="DQ14" i="28"/>
  <c r="DR14" i="28"/>
  <c r="DS14" i="28"/>
  <c r="DT14" i="28"/>
  <c r="DU14" i="28"/>
  <c r="DV14" i="28"/>
  <c r="DW14" i="28"/>
  <c r="DX14" i="28"/>
  <c r="DY14" i="28"/>
  <c r="DZ14" i="28"/>
  <c r="EA14" i="28"/>
  <c r="EB14" i="28"/>
  <c r="EC14" i="28"/>
  <c r="ED14" i="28"/>
  <c r="EE14" i="28"/>
  <c r="EF14" i="28"/>
  <c r="EG14" i="28"/>
  <c r="EH14" i="28"/>
  <c r="EI14" i="28"/>
  <c r="EJ14" i="28"/>
  <c r="EK14" i="28"/>
  <c r="EL14" i="28"/>
  <c r="EM14" i="28"/>
  <c r="EN14" i="28"/>
  <c r="EO14" i="28"/>
  <c r="EP14" i="28"/>
  <c r="EQ14" i="28"/>
  <c r="ER14" i="28"/>
  <c r="ES14" i="28"/>
  <c r="ET14" i="28"/>
  <c r="EU14" i="28"/>
  <c r="EV14" i="28"/>
  <c r="EW14" i="28"/>
  <c r="EX14" i="28"/>
  <c r="EY14" i="28"/>
  <c r="EZ14" i="28"/>
  <c r="FA14" i="28"/>
  <c r="FB14" i="28"/>
  <c r="FC14" i="28"/>
  <c r="FD14" i="28"/>
  <c r="FE14" i="28"/>
  <c r="FF14" i="28"/>
  <c r="FG14" i="28"/>
  <c r="FH14" i="28"/>
  <c r="FI14" i="28"/>
  <c r="FJ14" i="28"/>
  <c r="FK14" i="28"/>
  <c r="FL14" i="28"/>
  <c r="FM14" i="28"/>
  <c r="FN14" i="28"/>
  <c r="FO14" i="28"/>
  <c r="FP14" i="28"/>
  <c r="FQ14" i="28"/>
  <c r="FR14" i="28"/>
  <c r="FS14" i="28"/>
  <c r="FT14" i="28"/>
  <c r="FU14" i="28"/>
  <c r="FV14" i="28"/>
  <c r="FW14" i="28"/>
  <c r="FX14" i="28"/>
  <c r="FY14" i="28"/>
  <c r="FZ14" i="28"/>
  <c r="GA14" i="28"/>
  <c r="GB14" i="28"/>
  <c r="GC14" i="28"/>
  <c r="GD14" i="28"/>
  <c r="GE14" i="28"/>
  <c r="GF14" i="28"/>
  <c r="GG14" i="28"/>
  <c r="GH14" i="28"/>
  <c r="GI14" i="28"/>
  <c r="GJ14" i="28"/>
  <c r="GK14" i="28"/>
  <c r="GL14" i="28"/>
  <c r="GM14" i="28"/>
  <c r="GN14" i="28"/>
  <c r="GO14" i="28"/>
  <c r="BJ15" i="28"/>
  <c r="BK15" i="28"/>
  <c r="BL15" i="28"/>
  <c r="BM15" i="28"/>
  <c r="BN15" i="28"/>
  <c r="BO15" i="28"/>
  <c r="BP15" i="28"/>
  <c r="BQ15" i="28"/>
  <c r="BR15" i="28"/>
  <c r="BS15" i="28"/>
  <c r="BT15" i="28"/>
  <c r="BU15" i="28"/>
  <c r="BV15" i="28"/>
  <c r="BW15" i="28"/>
  <c r="BX15" i="28"/>
  <c r="BY15" i="28"/>
  <c r="BZ15" i="28"/>
  <c r="CA15" i="28"/>
  <c r="CB15" i="28"/>
  <c r="CC15" i="28"/>
  <c r="CD15" i="28"/>
  <c r="CE15" i="28"/>
  <c r="CF15" i="28"/>
  <c r="CG15" i="28"/>
  <c r="CH15" i="28"/>
  <c r="CI15" i="28"/>
  <c r="CJ15" i="28"/>
  <c r="CK15" i="28"/>
  <c r="CL15" i="28"/>
  <c r="CM15" i="28"/>
  <c r="CN15" i="28"/>
  <c r="CO15" i="28"/>
  <c r="CP15" i="28"/>
  <c r="CQ15" i="28"/>
  <c r="CR15" i="28"/>
  <c r="CS15" i="28"/>
  <c r="CT15" i="28"/>
  <c r="CU15" i="28"/>
  <c r="CV15" i="28"/>
  <c r="CW15" i="28"/>
  <c r="CX15" i="28"/>
  <c r="CY15" i="28"/>
  <c r="CZ15" i="28"/>
  <c r="DA15" i="28"/>
  <c r="DB15" i="28"/>
  <c r="DC15" i="28"/>
  <c r="DD15" i="28"/>
  <c r="DE15" i="28"/>
  <c r="DF15" i="28"/>
  <c r="DG15" i="28"/>
  <c r="DH15" i="28"/>
  <c r="DI15" i="28"/>
  <c r="DJ15" i="28"/>
  <c r="DK15" i="28"/>
  <c r="DL15" i="28"/>
  <c r="DM15" i="28"/>
  <c r="DN15" i="28"/>
  <c r="DO15" i="28"/>
  <c r="DP15" i="28"/>
  <c r="DQ15" i="28"/>
  <c r="DR15" i="28"/>
  <c r="DS15" i="28"/>
  <c r="DT15" i="28"/>
  <c r="DU15" i="28"/>
  <c r="DV15" i="28"/>
  <c r="DW15" i="28"/>
  <c r="DX15" i="28"/>
  <c r="DY15" i="28"/>
  <c r="DZ15" i="28"/>
  <c r="EA15" i="28"/>
  <c r="EB15" i="28"/>
  <c r="EC15" i="28"/>
  <c r="ED15" i="28"/>
  <c r="EE15" i="28"/>
  <c r="EF15" i="28"/>
  <c r="EG15" i="28"/>
  <c r="EH15" i="28"/>
  <c r="EI15" i="28"/>
  <c r="EJ15" i="28"/>
  <c r="EK15" i="28"/>
  <c r="EL15" i="28"/>
  <c r="EM15" i="28"/>
  <c r="EN15" i="28"/>
  <c r="EO15" i="28"/>
  <c r="EP15" i="28"/>
  <c r="EQ15" i="28"/>
  <c r="EW15" i="28"/>
  <c r="EX15" i="28"/>
  <c r="EY15" i="28"/>
  <c r="EZ15" i="28"/>
  <c r="FA15" i="28"/>
  <c r="FB15" i="28"/>
  <c r="FC15" i="28"/>
  <c r="FD15" i="28"/>
  <c r="FE15" i="28"/>
  <c r="FF15" i="28"/>
  <c r="FG15" i="28"/>
  <c r="FH15" i="28"/>
  <c r="FI15" i="28"/>
  <c r="FJ15" i="28"/>
  <c r="FK15" i="28"/>
  <c r="FL15" i="28"/>
  <c r="FM15" i="28"/>
  <c r="FN15" i="28"/>
  <c r="FO15" i="28"/>
  <c r="FP15" i="28"/>
  <c r="FQ15" i="28"/>
  <c r="FR15" i="28"/>
  <c r="FS15" i="28"/>
  <c r="FT15" i="28"/>
  <c r="FU15" i="28"/>
  <c r="FV15" i="28"/>
  <c r="FW15" i="28"/>
  <c r="FX15" i="28"/>
  <c r="FY15" i="28"/>
  <c r="FZ15" i="28"/>
  <c r="GA15" i="28"/>
  <c r="GB15" i="28"/>
  <c r="GC15" i="28"/>
  <c r="GD15" i="28"/>
  <c r="GE15" i="28"/>
  <c r="GF15" i="28"/>
  <c r="GG15" i="28"/>
  <c r="GH15" i="28"/>
  <c r="GI15" i="28"/>
  <c r="GJ15" i="28"/>
  <c r="GK15" i="28"/>
  <c r="GL15" i="28"/>
  <c r="GM15" i="28"/>
  <c r="GN15" i="28"/>
  <c r="GO15" i="28"/>
  <c r="BJ16" i="28"/>
  <c r="BK16" i="28"/>
  <c r="BL16" i="28"/>
  <c r="BM16" i="28"/>
  <c r="BN16" i="28"/>
  <c r="BO16" i="28"/>
  <c r="BP16" i="28"/>
  <c r="BQ16" i="28"/>
  <c r="BR16" i="28"/>
  <c r="BS16" i="28"/>
  <c r="BT16" i="28"/>
  <c r="BU16" i="28"/>
  <c r="BV16" i="28"/>
  <c r="BW16" i="28"/>
  <c r="BX16" i="28"/>
  <c r="BY16" i="28"/>
  <c r="BZ16" i="28"/>
  <c r="CA16" i="28"/>
  <c r="CB16" i="28"/>
  <c r="CC16" i="28"/>
  <c r="CD16" i="28"/>
  <c r="CE16" i="28"/>
  <c r="CF16" i="28"/>
  <c r="CG16" i="28"/>
  <c r="CH16" i="28"/>
  <c r="CI16" i="28"/>
  <c r="CJ16" i="28"/>
  <c r="CK16" i="28"/>
  <c r="CL16" i="28"/>
  <c r="CM16" i="28"/>
  <c r="CN16" i="28"/>
  <c r="CO16" i="28"/>
  <c r="CP16" i="28"/>
  <c r="CQ16" i="28"/>
  <c r="CR16" i="28"/>
  <c r="CS16" i="28"/>
  <c r="CT16" i="28"/>
  <c r="CU16" i="28"/>
  <c r="CV16" i="28"/>
  <c r="CW16" i="28"/>
  <c r="CX16" i="28"/>
  <c r="CY16" i="28"/>
  <c r="CZ16" i="28"/>
  <c r="DA16" i="28"/>
  <c r="DB16" i="28"/>
  <c r="DC16" i="28"/>
  <c r="DD16" i="28"/>
  <c r="DE16" i="28"/>
  <c r="DF16" i="28"/>
  <c r="DG16" i="28"/>
  <c r="DH16" i="28"/>
  <c r="DI16" i="28"/>
  <c r="DJ16" i="28"/>
  <c r="DK16" i="28"/>
  <c r="DL16" i="28"/>
  <c r="DM16" i="28"/>
  <c r="DN16" i="28"/>
  <c r="DO16" i="28"/>
  <c r="DP16" i="28"/>
  <c r="DQ16" i="28"/>
  <c r="DR16" i="28"/>
  <c r="DS16" i="28"/>
  <c r="DT16" i="28"/>
  <c r="DU16" i="28"/>
  <c r="DV16" i="28"/>
  <c r="DW16" i="28"/>
  <c r="DX16" i="28"/>
  <c r="DY16" i="28"/>
  <c r="DZ16" i="28"/>
  <c r="EA16" i="28"/>
  <c r="EB16" i="28"/>
  <c r="EC16" i="28"/>
  <c r="ED16" i="28"/>
  <c r="EE16" i="28"/>
  <c r="EF16" i="28"/>
  <c r="EG16" i="28"/>
  <c r="EH16" i="28"/>
  <c r="EI16" i="28"/>
  <c r="EJ16" i="28"/>
  <c r="EK16" i="28"/>
  <c r="EL16" i="28"/>
  <c r="EM16" i="28"/>
  <c r="EN16" i="28"/>
  <c r="EO16" i="28"/>
  <c r="EP16" i="28"/>
  <c r="EQ16" i="28"/>
  <c r="ER16" i="28"/>
  <c r="ES16" i="28"/>
  <c r="ET16" i="28"/>
  <c r="EU16" i="28"/>
  <c r="EV16" i="28"/>
  <c r="EW16" i="28"/>
  <c r="EX16" i="28"/>
  <c r="EY16" i="28"/>
  <c r="EZ16" i="28"/>
  <c r="FA16" i="28"/>
  <c r="FB16" i="28"/>
  <c r="FC16" i="28"/>
  <c r="FD16" i="28"/>
  <c r="FE16" i="28"/>
  <c r="FF16" i="28"/>
  <c r="FH16" i="28"/>
  <c r="FI16" i="28"/>
  <c r="FJ16" i="28"/>
  <c r="FL16" i="28"/>
  <c r="FM16" i="28"/>
  <c r="FO16" i="28"/>
  <c r="FP16" i="28"/>
  <c r="GG16" i="28"/>
  <c r="GH16" i="28"/>
  <c r="GI16" i="28"/>
  <c r="GJ16" i="28"/>
  <c r="GK16" i="28"/>
  <c r="GL16" i="28"/>
  <c r="GM16" i="28"/>
  <c r="GN16" i="28"/>
  <c r="GO16" i="28"/>
  <c r="BQ17" i="28"/>
  <c r="BR17" i="28"/>
  <c r="BW17" i="28"/>
  <c r="BX17" i="28"/>
  <c r="BY17" i="28"/>
  <c r="CB17" i="28"/>
  <c r="CC17" i="28"/>
  <c r="CP17" i="28"/>
  <c r="CQ17" i="28"/>
  <c r="CR17" i="28"/>
  <c r="CS17" i="28"/>
  <c r="CT17" i="28"/>
  <c r="CU17" i="28"/>
  <c r="CV17" i="28"/>
  <c r="CW17" i="28"/>
  <c r="CX17" i="28"/>
  <c r="CY17" i="28"/>
  <c r="CZ17" i="28"/>
  <c r="DA17" i="28"/>
  <c r="DB17" i="28"/>
  <c r="DC17" i="28"/>
  <c r="DD17" i="28"/>
  <c r="DE17" i="28"/>
  <c r="DF17" i="28"/>
  <c r="DG17" i="28"/>
  <c r="DH17" i="28"/>
  <c r="DI17" i="28"/>
  <c r="DJ17" i="28"/>
  <c r="DK17" i="28"/>
  <c r="DL17" i="28"/>
  <c r="DM17" i="28"/>
  <c r="DN17" i="28"/>
  <c r="DO17" i="28"/>
  <c r="DP17" i="28"/>
  <c r="DQ17" i="28"/>
  <c r="DR17" i="28"/>
  <c r="DS17" i="28"/>
  <c r="DT17" i="28"/>
  <c r="DU17" i="28"/>
  <c r="DV17" i="28"/>
  <c r="DW17" i="28"/>
  <c r="DX17" i="28"/>
  <c r="DY17" i="28"/>
  <c r="DZ17" i="28"/>
  <c r="EA17" i="28"/>
  <c r="EB17" i="28"/>
  <c r="EC17" i="28"/>
  <c r="ED17" i="28"/>
  <c r="EE17" i="28"/>
  <c r="EF17" i="28"/>
  <c r="EG17" i="28"/>
  <c r="EH17" i="28"/>
  <c r="EI17" i="28"/>
  <c r="EJ17" i="28"/>
  <c r="EK17" i="28"/>
  <c r="EL17" i="28"/>
  <c r="EM17" i="28"/>
  <c r="EN17" i="28"/>
  <c r="EO17" i="28"/>
  <c r="EP17" i="28"/>
  <c r="EQ17" i="28"/>
  <c r="ER17" i="28"/>
  <c r="ES17" i="28"/>
  <c r="ET17" i="28"/>
  <c r="EU17" i="28"/>
  <c r="EV17" i="28"/>
  <c r="EW17" i="28"/>
  <c r="EX17" i="28"/>
  <c r="EY17" i="28"/>
  <c r="EZ17" i="28"/>
  <c r="FA17" i="28"/>
  <c r="FB17" i="28"/>
  <c r="FC17" i="28"/>
  <c r="FD17" i="28"/>
  <c r="FE17" i="28"/>
  <c r="FF17" i="28"/>
  <c r="FG17" i="28"/>
  <c r="FK17" i="28"/>
  <c r="FL17" i="28"/>
  <c r="FM17" i="28"/>
  <c r="FN17" i="28"/>
  <c r="FO17" i="28"/>
  <c r="FP17" i="28"/>
  <c r="FQ17" i="28"/>
  <c r="FR17" i="28"/>
  <c r="FS17" i="28"/>
  <c r="FT17" i="28"/>
  <c r="FU17" i="28"/>
  <c r="FV17" i="28"/>
  <c r="FW17" i="28"/>
  <c r="FX17" i="28"/>
  <c r="FY17" i="28"/>
  <c r="FZ17" i="28"/>
  <c r="GA17" i="28"/>
  <c r="GB17" i="28"/>
  <c r="GC17" i="28"/>
  <c r="GD17" i="28"/>
  <c r="GE17" i="28"/>
  <c r="GF17" i="28"/>
  <c r="GG17" i="28"/>
  <c r="GH17" i="28"/>
  <c r="GI17" i="28"/>
  <c r="GJ17" i="28"/>
  <c r="GK17" i="28"/>
  <c r="GL17" i="28"/>
  <c r="GM17" i="28"/>
  <c r="GN17" i="28"/>
  <c r="GO17" i="28"/>
  <c r="BQ18" i="28"/>
  <c r="BR18" i="28"/>
  <c r="BW18" i="28"/>
  <c r="BX18" i="28"/>
  <c r="BY18" i="28"/>
  <c r="CB18" i="28"/>
  <c r="CC18" i="28"/>
  <c r="CH18" i="28"/>
  <c r="CP18" i="28"/>
  <c r="CQ18" i="28"/>
  <c r="CR18" i="28"/>
  <c r="CS18" i="28"/>
  <c r="CT18" i="28"/>
  <c r="CU18" i="28"/>
  <c r="CV18" i="28"/>
  <c r="CW18" i="28"/>
  <c r="CX18" i="28"/>
  <c r="CY18" i="28"/>
  <c r="CZ18" i="28"/>
  <c r="DA18" i="28"/>
  <c r="DB18" i="28"/>
  <c r="DC18" i="28"/>
  <c r="DD18" i="28"/>
  <c r="DE18" i="28"/>
  <c r="DF18" i="28"/>
  <c r="DG18" i="28"/>
  <c r="DH18" i="28"/>
  <c r="DI18" i="28"/>
  <c r="DJ18" i="28"/>
  <c r="DK18" i="28"/>
  <c r="DL18" i="28"/>
  <c r="DM18" i="28"/>
  <c r="DN18" i="28"/>
  <c r="DO18" i="28"/>
  <c r="DP18" i="28"/>
  <c r="DQ18" i="28"/>
  <c r="DR18" i="28"/>
  <c r="DS18" i="28"/>
  <c r="DT18" i="28"/>
  <c r="DU18" i="28"/>
  <c r="DV18" i="28"/>
  <c r="DW18" i="28"/>
  <c r="DX18" i="28"/>
  <c r="DY18" i="28"/>
  <c r="DZ18" i="28"/>
  <c r="EA18" i="28"/>
  <c r="EB18" i="28"/>
  <c r="EC18" i="28"/>
  <c r="ED18" i="28"/>
  <c r="EE18" i="28"/>
  <c r="EF18" i="28"/>
  <c r="EG18" i="28"/>
  <c r="EH18" i="28"/>
  <c r="EI18" i="28"/>
  <c r="EJ18" i="28"/>
  <c r="EK18" i="28"/>
  <c r="EL18" i="28"/>
  <c r="EM18" i="28"/>
  <c r="EN18" i="28"/>
  <c r="EO18" i="28"/>
  <c r="EP18" i="28"/>
  <c r="EQ18" i="28"/>
  <c r="ER18" i="28"/>
  <c r="ES18" i="28"/>
  <c r="ET18" i="28"/>
  <c r="EU18" i="28"/>
  <c r="EV18" i="28"/>
  <c r="EW18" i="28"/>
  <c r="EX18" i="28"/>
  <c r="EY18" i="28"/>
  <c r="EZ18" i="28"/>
  <c r="FA18" i="28"/>
  <c r="FB18" i="28"/>
  <c r="FC18" i="28"/>
  <c r="FD18" i="28"/>
  <c r="FE18" i="28"/>
  <c r="FF18" i="28"/>
  <c r="FG18" i="28"/>
  <c r="FK18" i="28"/>
  <c r="FL18" i="28"/>
  <c r="FM18" i="28"/>
  <c r="FN18" i="28"/>
  <c r="FO18" i="28"/>
  <c r="FP18" i="28"/>
  <c r="FQ18" i="28"/>
  <c r="FR18" i="28"/>
  <c r="FS18" i="28"/>
  <c r="FT18" i="28"/>
  <c r="FU18" i="28"/>
  <c r="FV18" i="28"/>
  <c r="FW18" i="28"/>
  <c r="FX18" i="28"/>
  <c r="FY18" i="28"/>
  <c r="FZ18" i="28"/>
  <c r="GA18" i="28"/>
  <c r="GB18" i="28"/>
  <c r="GC18" i="28"/>
  <c r="GD18" i="28"/>
  <c r="GE18" i="28"/>
  <c r="GF18" i="28"/>
  <c r="GG18" i="28"/>
  <c r="GH18" i="28"/>
  <c r="GI18" i="28"/>
  <c r="GJ18" i="28"/>
  <c r="GK18" i="28"/>
  <c r="GL18" i="28"/>
  <c r="GM18" i="28"/>
  <c r="GN18" i="28"/>
  <c r="GO18" i="28"/>
  <c r="BJ19" i="28"/>
  <c r="BK19" i="28"/>
  <c r="BL19" i="28"/>
  <c r="BM19" i="28"/>
  <c r="BN19" i="28"/>
  <c r="BO19" i="28"/>
  <c r="BP19" i="28"/>
  <c r="BQ19" i="28"/>
  <c r="BR19" i="28"/>
  <c r="BS19" i="28"/>
  <c r="BT19" i="28"/>
  <c r="BU19" i="28"/>
  <c r="BV19" i="28"/>
  <c r="BW19" i="28"/>
  <c r="BX19" i="28"/>
  <c r="BY19" i="28"/>
  <c r="BZ19" i="28"/>
  <c r="CA19" i="28"/>
  <c r="CB19" i="28"/>
  <c r="CC19" i="28"/>
  <c r="CD19" i="28"/>
  <c r="CE19" i="28"/>
  <c r="CF19" i="28"/>
  <c r="CG19" i="28"/>
  <c r="CH19" i="28"/>
  <c r="CI19" i="28"/>
  <c r="CJ19" i="28"/>
  <c r="CK19" i="28"/>
  <c r="CL19" i="28"/>
  <c r="CM19" i="28"/>
  <c r="CN19" i="28"/>
  <c r="CO19" i="28"/>
  <c r="CP19" i="28"/>
  <c r="CQ19" i="28"/>
  <c r="CR19" i="28"/>
  <c r="CS19" i="28"/>
  <c r="CT19" i="28"/>
  <c r="CU19" i="28"/>
  <c r="CV19" i="28"/>
  <c r="CW19" i="28"/>
  <c r="CX19" i="28"/>
  <c r="CY19" i="28"/>
  <c r="CZ19" i="28"/>
  <c r="DA19" i="28"/>
  <c r="DB19" i="28"/>
  <c r="DC19" i="28"/>
  <c r="DD19" i="28"/>
  <c r="DE19" i="28"/>
  <c r="DF19" i="28"/>
  <c r="DG19" i="28"/>
  <c r="DH19" i="28"/>
  <c r="DI19" i="28"/>
  <c r="DJ19" i="28"/>
  <c r="DK19" i="28"/>
  <c r="DL19" i="28"/>
  <c r="DM19" i="28"/>
  <c r="DN19" i="28"/>
  <c r="DO19" i="28"/>
  <c r="DP19" i="28"/>
  <c r="DQ19" i="28"/>
  <c r="DR19" i="28"/>
  <c r="DS19" i="28"/>
  <c r="DT19" i="28"/>
  <c r="DU19" i="28"/>
  <c r="DV19" i="28"/>
  <c r="DW19" i="28"/>
  <c r="DX19" i="28"/>
  <c r="DY19" i="28"/>
  <c r="DZ19" i="28"/>
  <c r="EA19" i="28"/>
  <c r="EB19" i="28"/>
  <c r="EC19" i="28"/>
  <c r="ED19" i="28"/>
  <c r="EI19" i="28"/>
  <c r="EJ19" i="28"/>
  <c r="EK19" i="28"/>
  <c r="EL19" i="28"/>
  <c r="EM19" i="28"/>
  <c r="EN19" i="28"/>
  <c r="EO19" i="28"/>
  <c r="EP19" i="28"/>
  <c r="EQ19" i="28"/>
  <c r="ER19" i="28"/>
  <c r="ES19" i="28"/>
  <c r="ET19" i="28"/>
  <c r="EU19" i="28"/>
  <c r="EV19" i="28"/>
  <c r="FB19" i="28"/>
  <c r="FC19" i="28"/>
  <c r="FD19" i="28"/>
  <c r="FE19" i="28"/>
  <c r="FF19" i="28"/>
  <c r="FH19" i="28"/>
  <c r="FI19" i="28"/>
  <c r="FJ19" i="28"/>
  <c r="FU19" i="28"/>
  <c r="FV19" i="28"/>
  <c r="FW19" i="28"/>
  <c r="FX19" i="28"/>
  <c r="FY19" i="28"/>
  <c r="FZ19" i="28"/>
  <c r="GA19" i="28"/>
  <c r="GB19" i="28"/>
  <c r="GC19" i="28"/>
  <c r="GD19" i="28"/>
  <c r="GE19" i="28"/>
  <c r="GF19" i="28"/>
  <c r="GJ19" i="28"/>
  <c r="GM19" i="28"/>
  <c r="GO19" i="28"/>
  <c r="BJ20" i="28"/>
  <c r="BK20" i="28"/>
  <c r="BL20" i="28"/>
  <c r="BM20" i="28"/>
  <c r="BN20" i="28"/>
  <c r="BO20" i="28"/>
  <c r="BP20" i="28"/>
  <c r="BQ20" i="28"/>
  <c r="BR20" i="28"/>
  <c r="BS20" i="28"/>
  <c r="BT20" i="28"/>
  <c r="BU20" i="28"/>
  <c r="BV20" i="28"/>
  <c r="BW20" i="28"/>
  <c r="BX20" i="28"/>
  <c r="BY20" i="28"/>
  <c r="BZ20" i="28"/>
  <c r="CA20" i="28"/>
  <c r="CB20" i="28"/>
  <c r="CC20" i="28"/>
  <c r="CD20" i="28"/>
  <c r="CE20" i="28"/>
  <c r="CF20" i="28"/>
  <c r="CG20" i="28"/>
  <c r="CH20" i="28"/>
  <c r="CI20" i="28"/>
  <c r="CJ20" i="28"/>
  <c r="CK20" i="28"/>
  <c r="CL20" i="28"/>
  <c r="CM20" i="28"/>
  <c r="CN20" i="28"/>
  <c r="CO20" i="28"/>
  <c r="CP20" i="28"/>
  <c r="CQ20" i="28"/>
  <c r="CR20" i="28"/>
  <c r="CS20" i="28"/>
  <c r="CT20" i="28"/>
  <c r="CU20" i="28"/>
  <c r="CV20" i="28"/>
  <c r="CW20" i="28"/>
  <c r="CX20" i="28"/>
  <c r="CY20" i="28"/>
  <c r="CZ20" i="28"/>
  <c r="DA20" i="28"/>
  <c r="DB20" i="28"/>
  <c r="DC20" i="28"/>
  <c r="DD20" i="28"/>
  <c r="DE20" i="28"/>
  <c r="DF20" i="28"/>
  <c r="DG20" i="28"/>
  <c r="DH20" i="28"/>
  <c r="DI20" i="28"/>
  <c r="DJ20" i="28"/>
  <c r="DK20" i="28"/>
  <c r="DL20" i="28"/>
  <c r="DM20" i="28"/>
  <c r="DN20" i="28"/>
  <c r="DO20" i="28"/>
  <c r="DP20" i="28"/>
  <c r="DQ20" i="28"/>
  <c r="DR20" i="28"/>
  <c r="DS20" i="28"/>
  <c r="DT20" i="28"/>
  <c r="DU20" i="28"/>
  <c r="DV20" i="28"/>
  <c r="DW20" i="28"/>
  <c r="DX20" i="28"/>
  <c r="DY20" i="28"/>
  <c r="DZ20" i="28"/>
  <c r="EA20" i="28"/>
  <c r="EB20" i="28"/>
  <c r="EC20" i="28"/>
  <c r="ED20" i="28"/>
  <c r="EE20" i="28"/>
  <c r="EF20" i="28"/>
  <c r="EG20" i="28"/>
  <c r="EH20" i="28"/>
  <c r="EI20" i="28"/>
  <c r="EJ20" i="28"/>
  <c r="EK20" i="28"/>
  <c r="EL20" i="28"/>
  <c r="EM20" i="28"/>
  <c r="EN20" i="28"/>
  <c r="EO20" i="28"/>
  <c r="EP20" i="28"/>
  <c r="EQ20" i="28"/>
  <c r="ER20" i="28"/>
  <c r="ES20" i="28"/>
  <c r="ET20" i="28"/>
  <c r="EU20" i="28"/>
  <c r="EV20" i="28"/>
  <c r="EW20" i="28"/>
  <c r="EX20" i="28"/>
  <c r="EY20" i="28"/>
  <c r="EZ20" i="28"/>
  <c r="FA20" i="28"/>
  <c r="FB20" i="28"/>
  <c r="FC20" i="28"/>
  <c r="FD20" i="28"/>
  <c r="FE20" i="28"/>
  <c r="FF20" i="28"/>
  <c r="FG20" i="28"/>
  <c r="FH20" i="28"/>
  <c r="FI20" i="28"/>
  <c r="FJ20" i="28"/>
  <c r="FK20" i="28"/>
  <c r="FL20" i="28"/>
  <c r="FM20" i="28"/>
  <c r="FN20" i="28"/>
  <c r="FO20" i="28"/>
  <c r="FP20" i="28"/>
  <c r="FQ20" i="28"/>
  <c r="FR20" i="28"/>
  <c r="FS20" i="28"/>
  <c r="FT20" i="28"/>
  <c r="FU20" i="28"/>
  <c r="FV20" i="28"/>
  <c r="FW20" i="28"/>
  <c r="FX20" i="28"/>
  <c r="FY20" i="28"/>
  <c r="FZ20" i="28"/>
  <c r="GA20" i="28"/>
  <c r="GB20" i="28"/>
  <c r="GC20" i="28"/>
  <c r="GD20" i="28"/>
  <c r="GE20" i="28"/>
  <c r="GF20" i="28"/>
  <c r="GG20" i="28"/>
  <c r="GH20" i="28"/>
  <c r="GI20" i="28"/>
  <c r="GJ20" i="28"/>
  <c r="GK20" i="28"/>
  <c r="GL20" i="28"/>
  <c r="GM20" i="28"/>
  <c r="GN20" i="28"/>
  <c r="GO20" i="28"/>
  <c r="BJ21" i="28"/>
  <c r="BK21" i="28"/>
  <c r="BL21" i="28"/>
  <c r="BM21" i="28"/>
  <c r="BN21" i="28"/>
  <c r="BO21" i="28"/>
  <c r="BP21" i="28"/>
  <c r="BQ21" i="28"/>
  <c r="BR21" i="28"/>
  <c r="BS21" i="28"/>
  <c r="BT21" i="28"/>
  <c r="BU21" i="28"/>
  <c r="BV21" i="28"/>
  <c r="BW21" i="28"/>
  <c r="BX21" i="28"/>
  <c r="BY21" i="28"/>
  <c r="BZ21" i="28"/>
  <c r="CA21" i="28"/>
  <c r="CB21" i="28"/>
  <c r="CC21" i="28"/>
  <c r="CH21" i="28"/>
  <c r="CP21" i="28"/>
  <c r="CQ21" i="28"/>
  <c r="CR21" i="28"/>
  <c r="CS21" i="28"/>
  <c r="CT21" i="28"/>
  <c r="CU21" i="28"/>
  <c r="CV21" i="28"/>
  <c r="CW21" i="28"/>
  <c r="CX21" i="28"/>
  <c r="CY21" i="28"/>
  <c r="CZ21" i="28"/>
  <c r="DA21" i="28"/>
  <c r="DB21" i="28"/>
  <c r="DC21" i="28"/>
  <c r="DD21" i="28"/>
  <c r="DE21" i="28"/>
  <c r="DF21" i="28"/>
  <c r="DG21" i="28"/>
  <c r="DH21" i="28"/>
  <c r="DI21" i="28"/>
  <c r="DJ21" i="28"/>
  <c r="DK21" i="28"/>
  <c r="DL21" i="28"/>
  <c r="DM21" i="28"/>
  <c r="DN21" i="28"/>
  <c r="DO21" i="28"/>
  <c r="DP21" i="28"/>
  <c r="DQ21" i="28"/>
  <c r="DR21" i="28"/>
  <c r="DS21" i="28"/>
  <c r="DT21" i="28"/>
  <c r="DU21" i="28"/>
  <c r="DV21" i="28"/>
  <c r="DW21" i="28"/>
  <c r="DX21" i="28"/>
  <c r="DY21" i="28"/>
  <c r="DZ21" i="28"/>
  <c r="EA21" i="28"/>
  <c r="EB21" i="28"/>
  <c r="EC21" i="28"/>
  <c r="ED21" i="28"/>
  <c r="EE21" i="28"/>
  <c r="EF21" i="28"/>
  <c r="EG21" i="28"/>
  <c r="EH21" i="28"/>
  <c r="EI21" i="28"/>
  <c r="EJ21" i="28"/>
  <c r="EK21" i="28"/>
  <c r="EL21" i="28"/>
  <c r="EM21" i="28"/>
  <c r="EN21" i="28"/>
  <c r="EO21" i="28"/>
  <c r="EP21" i="28"/>
  <c r="EQ21" i="28"/>
  <c r="ER21" i="28"/>
  <c r="ES21" i="28"/>
  <c r="ET21" i="28"/>
  <c r="EU21" i="28"/>
  <c r="EV21" i="28"/>
  <c r="EW21" i="28"/>
  <c r="EX21" i="28"/>
  <c r="EY21" i="28"/>
  <c r="EZ21" i="28"/>
  <c r="FA21" i="28"/>
  <c r="FB21" i="28"/>
  <c r="FC21" i="28"/>
  <c r="FD21" i="28"/>
  <c r="FE21" i="28"/>
  <c r="FF21" i="28"/>
  <c r="FG21" i="28"/>
  <c r="FK21" i="28"/>
  <c r="FL21" i="28"/>
  <c r="FM21" i="28"/>
  <c r="FN21" i="28"/>
  <c r="FO21" i="28"/>
  <c r="FP21" i="28"/>
  <c r="FQ21" i="28"/>
  <c r="FR21" i="28"/>
  <c r="FS21" i="28"/>
  <c r="FT21" i="28"/>
  <c r="FU21" i="28"/>
  <c r="FV21" i="28"/>
  <c r="FW21" i="28"/>
  <c r="FX21" i="28"/>
  <c r="FY21" i="28"/>
  <c r="FZ21" i="28"/>
  <c r="GA21" i="28"/>
  <c r="GB21" i="28"/>
  <c r="GC21" i="28"/>
  <c r="GD21" i="28"/>
  <c r="GE21" i="28"/>
  <c r="GF21" i="28"/>
  <c r="GG21" i="28"/>
  <c r="GH21" i="28"/>
  <c r="GI21" i="28"/>
  <c r="GJ21" i="28"/>
  <c r="GK21" i="28"/>
  <c r="GL21" i="28"/>
  <c r="GM21" i="28"/>
  <c r="GN21" i="28"/>
  <c r="GO21" i="28"/>
  <c r="BJ22" i="28"/>
  <c r="BK22" i="28"/>
  <c r="BL22" i="28"/>
  <c r="BM22" i="28"/>
  <c r="BN22" i="28"/>
  <c r="BO22" i="28"/>
  <c r="BP22" i="28"/>
  <c r="BQ22" i="28"/>
  <c r="BR22" i="28"/>
  <c r="BS22" i="28"/>
  <c r="BT22" i="28"/>
  <c r="BU22" i="28"/>
  <c r="BV22" i="28"/>
  <c r="BW22" i="28"/>
  <c r="BX22" i="28"/>
  <c r="BY22" i="28"/>
  <c r="BZ22" i="28"/>
  <c r="CA22" i="28"/>
  <c r="CB22" i="28"/>
  <c r="CC22" i="28"/>
  <c r="CD22" i="28"/>
  <c r="CE22" i="28"/>
  <c r="CF22" i="28"/>
  <c r="CG22" i="28"/>
  <c r="CH22" i="28"/>
  <c r="CI22" i="28"/>
  <c r="CJ22" i="28"/>
  <c r="CK22" i="28"/>
  <c r="CL22" i="28"/>
  <c r="CM22" i="28"/>
  <c r="CN22" i="28"/>
  <c r="CO22" i="28"/>
  <c r="CP22" i="28"/>
  <c r="CQ22" i="28"/>
  <c r="CR22" i="28"/>
  <c r="CS22" i="28"/>
  <c r="CT22" i="28"/>
  <c r="CU22" i="28"/>
  <c r="CV22" i="28"/>
  <c r="CW22" i="28"/>
  <c r="CX22" i="28"/>
  <c r="CY22" i="28"/>
  <c r="CZ22" i="28"/>
  <c r="DA22" i="28"/>
  <c r="DB22" i="28"/>
  <c r="DC22" i="28"/>
  <c r="DD22" i="28"/>
  <c r="DE22" i="28"/>
  <c r="DF22" i="28"/>
  <c r="DG22" i="28"/>
  <c r="DH22" i="28"/>
  <c r="DI22" i="28"/>
  <c r="DJ22" i="28"/>
  <c r="DK22" i="28"/>
  <c r="DL22" i="28"/>
  <c r="DM22" i="28"/>
  <c r="DN22" i="28"/>
  <c r="DO22" i="28"/>
  <c r="DP22" i="28"/>
  <c r="DQ22" i="28"/>
  <c r="DR22" i="28"/>
  <c r="DS22" i="28"/>
  <c r="DT22" i="28"/>
  <c r="DU22" i="28"/>
  <c r="DV22" i="28"/>
  <c r="DW22" i="28"/>
  <c r="DX22" i="28"/>
  <c r="DY22" i="28"/>
  <c r="DZ22" i="28"/>
  <c r="EA22" i="28"/>
  <c r="EB22" i="28"/>
  <c r="EC22" i="28"/>
  <c r="ED22" i="28"/>
  <c r="EI22" i="28"/>
  <c r="EJ22" i="28"/>
  <c r="EK22" i="28"/>
  <c r="EL22" i="28"/>
  <c r="EM22" i="28"/>
  <c r="EN22" i="28"/>
  <c r="EO22" i="28"/>
  <c r="EP22" i="28"/>
  <c r="EQ22" i="28"/>
  <c r="ER22" i="28"/>
  <c r="ES22" i="28"/>
  <c r="ET22" i="28"/>
  <c r="EU22" i="28"/>
  <c r="EV22" i="28"/>
  <c r="FB22" i="28"/>
  <c r="FC22" i="28"/>
  <c r="FD22" i="28"/>
  <c r="FE22" i="28"/>
  <c r="FF22" i="28"/>
  <c r="FH22" i="28"/>
  <c r="FI22" i="28"/>
  <c r="FJ22" i="28"/>
  <c r="FU22" i="28"/>
  <c r="FV22" i="28"/>
  <c r="FW22" i="28"/>
  <c r="FX22" i="28"/>
  <c r="FY22" i="28"/>
  <c r="FZ22" i="28"/>
  <c r="GA22" i="28"/>
  <c r="GB22" i="28"/>
  <c r="GC22" i="28"/>
  <c r="GD22" i="28"/>
  <c r="GE22" i="28"/>
  <c r="GF22" i="28"/>
  <c r="GO22" i="28"/>
  <c r="BJ23" i="28"/>
  <c r="BK23" i="28"/>
  <c r="BL23" i="28"/>
  <c r="BM23" i="28"/>
  <c r="BN23" i="28"/>
  <c r="BO23" i="28"/>
  <c r="BP23" i="28"/>
  <c r="BQ23" i="28"/>
  <c r="BR23" i="28"/>
  <c r="BS23" i="28"/>
  <c r="BT23" i="28"/>
  <c r="BU23" i="28"/>
  <c r="BV23" i="28"/>
  <c r="BW23" i="28"/>
  <c r="BX23" i="28"/>
  <c r="BY23" i="28"/>
  <c r="BZ23" i="28"/>
  <c r="CA23" i="28"/>
  <c r="CB23" i="28"/>
  <c r="CC23" i="28"/>
  <c r="CD23" i="28"/>
  <c r="CE23" i="28"/>
  <c r="CF23" i="28"/>
  <c r="CG23" i="28"/>
  <c r="CH23" i="28"/>
  <c r="CI23" i="28"/>
  <c r="CJ23" i="28"/>
  <c r="CK23" i="28"/>
  <c r="CL23" i="28"/>
  <c r="CM23" i="28"/>
  <c r="CN23" i="28"/>
  <c r="CO23" i="28"/>
  <c r="CP23" i="28"/>
  <c r="CQ23" i="28"/>
  <c r="CR23" i="28"/>
  <c r="CS23" i="28"/>
  <c r="CT23" i="28"/>
  <c r="CU23" i="28"/>
  <c r="CV23" i="28"/>
  <c r="CW23" i="28"/>
  <c r="CX23" i="28"/>
  <c r="CY23" i="28"/>
  <c r="CZ23" i="28"/>
  <c r="DA23" i="28"/>
  <c r="DB23" i="28"/>
  <c r="DC23" i="28"/>
  <c r="DD23" i="28"/>
  <c r="DE23" i="28"/>
  <c r="DF23" i="28"/>
  <c r="DG23" i="28"/>
  <c r="DH23" i="28"/>
  <c r="DI23" i="28"/>
  <c r="DJ23" i="28"/>
  <c r="DK23" i="28"/>
  <c r="DL23" i="28"/>
  <c r="DM23" i="28"/>
  <c r="DN23" i="28"/>
  <c r="DO23" i="28"/>
  <c r="DP23" i="28"/>
  <c r="DQ23" i="28"/>
  <c r="DR23" i="28"/>
  <c r="DS23" i="28"/>
  <c r="DT23" i="28"/>
  <c r="DU23" i="28"/>
  <c r="DV23" i="28"/>
  <c r="DW23" i="28"/>
  <c r="DX23" i="28"/>
  <c r="DY23" i="28"/>
  <c r="DZ23" i="28"/>
  <c r="EA23" i="28"/>
  <c r="EB23" i="28"/>
  <c r="EC23" i="28"/>
  <c r="ED23" i="28"/>
  <c r="EE23" i="28"/>
  <c r="EF23" i="28"/>
  <c r="EG23" i="28"/>
  <c r="EH23" i="28"/>
  <c r="EI23" i="28"/>
  <c r="EJ23" i="28"/>
  <c r="EK23" i="28"/>
  <c r="EL23" i="28"/>
  <c r="EM23" i="28"/>
  <c r="EN23" i="28"/>
  <c r="EO23" i="28"/>
  <c r="EP23" i="28"/>
  <c r="EQ23" i="28"/>
  <c r="ER23" i="28"/>
  <c r="ES23" i="28"/>
  <c r="ET23" i="28"/>
  <c r="EU23" i="28"/>
  <c r="EV23" i="28"/>
  <c r="EW23" i="28"/>
  <c r="EX23" i="28"/>
  <c r="EY23" i="28"/>
  <c r="EZ23" i="28"/>
  <c r="FA23" i="28"/>
  <c r="FB23" i="28"/>
  <c r="FC23" i="28"/>
  <c r="FD23" i="28"/>
  <c r="FE23" i="28"/>
  <c r="FF23" i="28"/>
  <c r="FG23" i="28"/>
  <c r="FH23" i="28"/>
  <c r="FI23" i="28"/>
  <c r="FJ23" i="28"/>
  <c r="FK23" i="28"/>
  <c r="FL23" i="28"/>
  <c r="FM23" i="28"/>
  <c r="FN23" i="28"/>
  <c r="FO23" i="28"/>
  <c r="FP23" i="28"/>
  <c r="FQ23" i="28"/>
  <c r="FR23" i="28"/>
  <c r="FS23" i="28"/>
  <c r="FT23" i="28"/>
  <c r="FU23" i="28"/>
  <c r="FV23" i="28"/>
  <c r="FW23" i="28"/>
  <c r="FX23" i="28"/>
  <c r="FY23" i="28"/>
  <c r="FZ23" i="28"/>
  <c r="GA23" i="28"/>
  <c r="GB23" i="28"/>
  <c r="GC23" i="28"/>
  <c r="GD23" i="28"/>
  <c r="GE23" i="28"/>
  <c r="GF23" i="28"/>
  <c r="GG23" i="28"/>
  <c r="GH23" i="28"/>
  <c r="GI23" i="28"/>
  <c r="GJ23" i="28"/>
  <c r="GK23" i="28"/>
  <c r="GL23" i="28"/>
  <c r="GM23" i="28"/>
  <c r="GN23" i="28"/>
  <c r="BJ24" i="28"/>
  <c r="BK24" i="28"/>
  <c r="BL24" i="28"/>
  <c r="BM24" i="28"/>
  <c r="BN24" i="28"/>
  <c r="BO24" i="28"/>
  <c r="BP24" i="28"/>
  <c r="BQ24" i="28"/>
  <c r="BR24" i="28"/>
  <c r="BS24" i="28"/>
  <c r="BT24" i="28"/>
  <c r="BU24" i="28"/>
  <c r="BV24" i="28"/>
  <c r="BW24" i="28"/>
  <c r="BX24" i="28"/>
  <c r="BY24" i="28"/>
  <c r="BZ24" i="28"/>
  <c r="CA24" i="28"/>
  <c r="CB24" i="28"/>
  <c r="CC24" i="28"/>
  <c r="CD24" i="28"/>
  <c r="CE24" i="28"/>
  <c r="CF24" i="28"/>
  <c r="CG24" i="28"/>
  <c r="CH24" i="28"/>
  <c r="CI24" i="28"/>
  <c r="CJ24" i="28"/>
  <c r="CK24" i="28"/>
  <c r="CL24" i="28"/>
  <c r="CM24" i="28"/>
  <c r="CN24" i="28"/>
  <c r="CO24" i="28"/>
  <c r="CP24" i="28"/>
  <c r="CQ24" i="28"/>
  <c r="CR24" i="28"/>
  <c r="CS24" i="28"/>
  <c r="CT24" i="28"/>
  <c r="CU24" i="28"/>
  <c r="CV24" i="28"/>
  <c r="CW24" i="28"/>
  <c r="CX24" i="28"/>
  <c r="CY24" i="28"/>
  <c r="CZ24" i="28"/>
  <c r="DA24" i="28"/>
  <c r="DB24" i="28"/>
  <c r="DC24" i="28"/>
  <c r="DD24" i="28"/>
  <c r="DE24" i="28"/>
  <c r="DF24" i="28"/>
  <c r="DG24" i="28"/>
  <c r="DH24" i="28"/>
  <c r="DI24" i="28"/>
  <c r="DJ24" i="28"/>
  <c r="DK24" i="28"/>
  <c r="DL24" i="28"/>
  <c r="DM24" i="28"/>
  <c r="DN24" i="28"/>
  <c r="DO24" i="28"/>
  <c r="DP24" i="28"/>
  <c r="DQ24" i="28"/>
  <c r="DR24" i="28"/>
  <c r="DS24" i="28"/>
  <c r="DT24" i="28"/>
  <c r="DU24" i="28"/>
  <c r="DV24" i="28"/>
  <c r="DW24" i="28"/>
  <c r="DX24" i="28"/>
  <c r="DY24" i="28"/>
  <c r="DZ24" i="28"/>
  <c r="EA24" i="28"/>
  <c r="EB24" i="28"/>
  <c r="EC24" i="28"/>
  <c r="ED24" i="28"/>
  <c r="EE24" i="28"/>
  <c r="EF24" i="28"/>
  <c r="EG24" i="28"/>
  <c r="EH24" i="28"/>
  <c r="EI24" i="28"/>
  <c r="EJ24" i="28"/>
  <c r="EK24" i="28"/>
  <c r="EL24" i="28"/>
  <c r="EM24" i="28"/>
  <c r="EN24" i="28"/>
  <c r="EO24" i="28"/>
  <c r="EP24" i="28"/>
  <c r="EQ24" i="28"/>
  <c r="ER24" i="28"/>
  <c r="ES24" i="28"/>
  <c r="ET24" i="28"/>
  <c r="EU24" i="28"/>
  <c r="EV24" i="28"/>
  <c r="EW24" i="28"/>
  <c r="EX24" i="28"/>
  <c r="EY24" i="28"/>
  <c r="EZ24" i="28"/>
  <c r="FA24" i="28"/>
  <c r="FB24" i="28"/>
  <c r="FC24" i="28"/>
  <c r="FD24" i="28"/>
  <c r="FE24" i="28"/>
  <c r="FF24" i="28"/>
  <c r="FG24" i="28"/>
  <c r="FH24" i="28"/>
  <c r="FI24" i="28"/>
  <c r="FJ24" i="28"/>
  <c r="FK24" i="28"/>
  <c r="FL24" i="28"/>
  <c r="FM24" i="28"/>
  <c r="FN24" i="28"/>
  <c r="FO24" i="28"/>
  <c r="FP24" i="28"/>
  <c r="FQ24" i="28"/>
  <c r="FR24" i="28"/>
  <c r="FS24" i="28"/>
  <c r="FT24" i="28"/>
  <c r="FU24" i="28"/>
  <c r="FV24" i="28"/>
  <c r="FW24" i="28"/>
  <c r="FX24" i="28"/>
  <c r="FY24" i="28"/>
  <c r="FZ24" i="28"/>
  <c r="GA24" i="28"/>
  <c r="GB24" i="28"/>
  <c r="GC24" i="28"/>
  <c r="GD24" i="28"/>
  <c r="GE24" i="28"/>
  <c r="GF24" i="28"/>
  <c r="GG24" i="28"/>
  <c r="GH24" i="28"/>
  <c r="GI24" i="28"/>
  <c r="GJ24" i="28"/>
  <c r="GK24" i="28"/>
  <c r="GL24" i="28"/>
  <c r="GM24" i="28"/>
  <c r="GN24" i="28"/>
  <c r="BJ25" i="28"/>
  <c r="BK25" i="28"/>
  <c r="BL25" i="28"/>
  <c r="BM25" i="28"/>
  <c r="BN25" i="28"/>
  <c r="BO25" i="28"/>
  <c r="BP25" i="28"/>
  <c r="BQ25" i="28"/>
  <c r="BR25" i="28"/>
  <c r="BS25" i="28"/>
  <c r="BT25" i="28"/>
  <c r="BU25" i="28"/>
  <c r="BV25" i="28"/>
  <c r="BW25" i="28"/>
  <c r="BX25" i="28"/>
  <c r="BY25" i="28"/>
  <c r="BZ25" i="28"/>
  <c r="CA25" i="28"/>
  <c r="CB25" i="28"/>
  <c r="CC25" i="28"/>
  <c r="CD25" i="28"/>
  <c r="CE25" i="28"/>
  <c r="CF25" i="28"/>
  <c r="CG25" i="28"/>
  <c r="CH25" i="28"/>
  <c r="CI25" i="28"/>
  <c r="CJ25" i="28"/>
  <c r="CK25" i="28"/>
  <c r="CL25" i="28"/>
  <c r="CM25" i="28"/>
  <c r="CN25" i="28"/>
  <c r="CO25" i="28"/>
  <c r="CP25" i="28"/>
  <c r="CQ25" i="28"/>
  <c r="CR25" i="28"/>
  <c r="CS25" i="28"/>
  <c r="CT25" i="28"/>
  <c r="CU25" i="28"/>
  <c r="CV25" i="28"/>
  <c r="CW25" i="28"/>
  <c r="CX25" i="28"/>
  <c r="CY25" i="28"/>
  <c r="CZ25" i="28"/>
  <c r="DA25" i="28"/>
  <c r="DB25" i="28"/>
  <c r="DC25" i="28"/>
  <c r="DD25" i="28"/>
  <c r="DE25" i="28"/>
  <c r="DF25" i="28"/>
  <c r="DG25" i="28"/>
  <c r="DH25" i="28"/>
  <c r="DI25" i="28"/>
  <c r="DJ25" i="28"/>
  <c r="DK25" i="28"/>
  <c r="DL25" i="28"/>
  <c r="DM25" i="28"/>
  <c r="DN25" i="28"/>
  <c r="DO25" i="28"/>
  <c r="DP25" i="28"/>
  <c r="DQ25" i="28"/>
  <c r="DR25" i="28"/>
  <c r="DS25" i="28"/>
  <c r="DT25" i="28"/>
  <c r="DU25" i="28"/>
  <c r="DV25" i="28"/>
  <c r="DW25" i="28"/>
  <c r="DX25" i="28"/>
  <c r="DY25" i="28"/>
  <c r="DZ25" i="28"/>
  <c r="EA25" i="28"/>
  <c r="EB25" i="28"/>
  <c r="EC25" i="28"/>
  <c r="ED25" i="28"/>
  <c r="EE25" i="28"/>
  <c r="EF25" i="28"/>
  <c r="EG25" i="28"/>
  <c r="EH25" i="28"/>
  <c r="EI25" i="28"/>
  <c r="EJ25" i="28"/>
  <c r="EK25" i="28"/>
  <c r="EL25" i="28"/>
  <c r="EM25" i="28"/>
  <c r="EN25" i="28"/>
  <c r="EO25" i="28"/>
  <c r="EP25" i="28"/>
  <c r="EQ25" i="28"/>
  <c r="ER25" i="28"/>
  <c r="ES25" i="28"/>
  <c r="ET25" i="28"/>
  <c r="EU25" i="28"/>
  <c r="EV25" i="28"/>
  <c r="EW25" i="28"/>
  <c r="EX25" i="28"/>
  <c r="EY25" i="28"/>
  <c r="EZ25" i="28"/>
  <c r="FA25" i="28"/>
  <c r="FB25" i="28"/>
  <c r="FC25" i="28"/>
  <c r="FD25" i="28"/>
  <c r="FE25" i="28"/>
  <c r="FF25" i="28"/>
  <c r="FG25" i="28"/>
  <c r="FH25" i="28"/>
  <c r="FI25" i="28"/>
  <c r="FJ25" i="28"/>
  <c r="FK25" i="28"/>
  <c r="FL25" i="28"/>
  <c r="FM25" i="28"/>
  <c r="FN25" i="28"/>
  <c r="FO25" i="28"/>
  <c r="FP25" i="28"/>
  <c r="FQ25" i="28"/>
  <c r="FR25" i="28"/>
  <c r="FS25" i="28"/>
  <c r="FT25" i="28"/>
  <c r="FU25" i="28"/>
  <c r="FV25" i="28"/>
  <c r="FW25" i="28"/>
  <c r="FX25" i="28"/>
  <c r="FY25" i="28"/>
  <c r="FZ25" i="28"/>
  <c r="GA25" i="28"/>
  <c r="GB25" i="28"/>
  <c r="GC25" i="28"/>
  <c r="GD25" i="28"/>
  <c r="GE25" i="28"/>
  <c r="GF25" i="28"/>
  <c r="GG25" i="28"/>
  <c r="GH25" i="28"/>
  <c r="GI25" i="28"/>
  <c r="GJ25" i="28"/>
  <c r="GK25" i="28"/>
  <c r="GL25" i="28"/>
  <c r="GM25" i="28"/>
  <c r="GN25" i="28"/>
  <c r="BJ26" i="28"/>
  <c r="BK26" i="28"/>
  <c r="BL26" i="28"/>
  <c r="BM26" i="28"/>
  <c r="BN26" i="28"/>
  <c r="BO26" i="28"/>
  <c r="BP26" i="28"/>
  <c r="BQ26" i="28"/>
  <c r="BR26" i="28"/>
  <c r="BS26" i="28"/>
  <c r="BT26" i="28"/>
  <c r="BU26" i="28"/>
  <c r="BV26" i="28"/>
  <c r="BW26" i="28"/>
  <c r="BX26" i="28"/>
  <c r="BY26" i="28"/>
  <c r="BZ26" i="28"/>
  <c r="CA26" i="28"/>
  <c r="CB26" i="28"/>
  <c r="CC26" i="28"/>
  <c r="CD26" i="28"/>
  <c r="CE26" i="28"/>
  <c r="CF26" i="28"/>
  <c r="CG26" i="28"/>
  <c r="CH26" i="28"/>
  <c r="CI26" i="28"/>
  <c r="CJ26" i="28"/>
  <c r="CK26" i="28"/>
  <c r="CL26" i="28"/>
  <c r="CM26" i="28"/>
  <c r="CN26" i="28"/>
  <c r="CO26" i="28"/>
  <c r="CP26" i="28"/>
  <c r="CQ26" i="28"/>
  <c r="CR26" i="28"/>
  <c r="CS26" i="28"/>
  <c r="CT26" i="28"/>
  <c r="CU26" i="28"/>
  <c r="CV26" i="28"/>
  <c r="CW26" i="28"/>
  <c r="CX26" i="28"/>
  <c r="CY26" i="28"/>
  <c r="CZ26" i="28"/>
  <c r="DA26" i="28"/>
  <c r="DB26" i="28"/>
  <c r="DC26" i="28"/>
  <c r="DD26" i="28"/>
  <c r="DE26" i="28"/>
  <c r="DF26" i="28"/>
  <c r="DG26" i="28"/>
  <c r="DH26" i="28"/>
  <c r="DI26" i="28"/>
  <c r="DJ26" i="28"/>
  <c r="DK26" i="28"/>
  <c r="DL26" i="28"/>
  <c r="DM26" i="28"/>
  <c r="DN26" i="28"/>
  <c r="DO26" i="28"/>
  <c r="DP26" i="28"/>
  <c r="DQ26" i="28"/>
  <c r="DR26" i="28"/>
  <c r="DS26" i="28"/>
  <c r="DT26" i="28"/>
  <c r="DU26" i="28"/>
  <c r="DV26" i="28"/>
  <c r="DW26" i="28"/>
  <c r="DX26" i="28"/>
  <c r="DY26" i="28"/>
  <c r="DZ26" i="28"/>
  <c r="EA26" i="28"/>
  <c r="EB26" i="28"/>
  <c r="EC26" i="28"/>
  <c r="ED26" i="28"/>
  <c r="EE26" i="28"/>
  <c r="EF26" i="28"/>
  <c r="EG26" i="28"/>
  <c r="EH26" i="28"/>
  <c r="EI26" i="28"/>
  <c r="EJ26" i="28"/>
  <c r="EK26" i="28"/>
  <c r="EL26" i="28"/>
  <c r="EM26" i="28"/>
  <c r="EN26" i="28"/>
  <c r="EO26" i="28"/>
  <c r="EP26" i="28"/>
  <c r="EQ26" i="28"/>
  <c r="ER26" i="28"/>
  <c r="ES26" i="28"/>
  <c r="ET26" i="28"/>
  <c r="EU26" i="28"/>
  <c r="EV26" i="28"/>
  <c r="EW26" i="28"/>
  <c r="EX26" i="28"/>
  <c r="EY26" i="28"/>
  <c r="EZ26" i="28"/>
  <c r="FA26" i="28"/>
  <c r="FB26" i="28"/>
  <c r="FC26" i="28"/>
  <c r="FD26" i="28"/>
  <c r="FE26" i="28"/>
  <c r="FF26" i="28"/>
  <c r="FG26" i="28"/>
  <c r="FH26" i="28"/>
  <c r="FI26" i="28"/>
  <c r="FJ26" i="28"/>
  <c r="FK26" i="28"/>
  <c r="FL26" i="28"/>
  <c r="FM26" i="28"/>
  <c r="FN26" i="28"/>
  <c r="FO26" i="28"/>
  <c r="FP26" i="28"/>
  <c r="FQ26" i="28"/>
  <c r="FR26" i="28"/>
  <c r="FS26" i="28"/>
  <c r="FT26" i="28"/>
  <c r="FU26" i="28"/>
  <c r="FV26" i="28"/>
  <c r="FW26" i="28"/>
  <c r="FX26" i="28"/>
  <c r="FY26" i="28"/>
  <c r="FZ26" i="28"/>
  <c r="GA26" i="28"/>
  <c r="GB26" i="28"/>
  <c r="GC26" i="28"/>
  <c r="GD26" i="28"/>
  <c r="GE26" i="28"/>
  <c r="GF26" i="28"/>
  <c r="GG26" i="28"/>
  <c r="GH26" i="28"/>
  <c r="GI26" i="28"/>
  <c r="GJ26" i="28"/>
  <c r="GK26" i="28"/>
  <c r="GL26" i="28"/>
  <c r="GM26" i="28"/>
  <c r="GN26" i="28"/>
  <c r="BJ27" i="28"/>
  <c r="BK27" i="28"/>
  <c r="BL27" i="28"/>
  <c r="BM27" i="28"/>
  <c r="BN27" i="28"/>
  <c r="BO27" i="28"/>
  <c r="BP27" i="28"/>
  <c r="BQ27" i="28"/>
  <c r="BR27" i="28"/>
  <c r="BS27" i="28"/>
  <c r="BT27" i="28"/>
  <c r="BU27" i="28"/>
  <c r="BV27" i="28"/>
  <c r="BW27" i="28"/>
  <c r="BX27" i="28"/>
  <c r="BY27" i="28"/>
  <c r="BZ27" i="28"/>
  <c r="CA27" i="28"/>
  <c r="CB27" i="28"/>
  <c r="CC27" i="28"/>
  <c r="CD27" i="28"/>
  <c r="CE27" i="28"/>
  <c r="CF27" i="28"/>
  <c r="CG27" i="28"/>
  <c r="CH27" i="28"/>
  <c r="CI27" i="28"/>
  <c r="CJ27" i="28"/>
  <c r="CK27" i="28"/>
  <c r="CL27" i="28"/>
  <c r="CM27" i="28"/>
  <c r="CN27" i="28"/>
  <c r="CO27" i="28"/>
  <c r="CP27" i="28"/>
  <c r="CQ27" i="28"/>
  <c r="CR27" i="28"/>
  <c r="CS27" i="28"/>
  <c r="CT27" i="28"/>
  <c r="CU27" i="28"/>
  <c r="CV27" i="28"/>
  <c r="CW27" i="28"/>
  <c r="CX27" i="28"/>
  <c r="CY27" i="28"/>
  <c r="CZ27" i="28"/>
  <c r="DA27" i="28"/>
  <c r="DB27" i="28"/>
  <c r="DC27" i="28"/>
  <c r="DD27" i="28"/>
  <c r="DE27" i="28"/>
  <c r="DF27" i="28"/>
  <c r="DG27" i="28"/>
  <c r="DH27" i="28"/>
  <c r="DI27" i="28"/>
  <c r="DJ27" i="28"/>
  <c r="DK27" i="28"/>
  <c r="DL27" i="28"/>
  <c r="DM27" i="28"/>
  <c r="DN27" i="28"/>
  <c r="DO27" i="28"/>
  <c r="DP27" i="28"/>
  <c r="DQ27" i="28"/>
  <c r="DR27" i="28"/>
  <c r="DS27" i="28"/>
  <c r="DT27" i="28"/>
  <c r="DU27" i="28"/>
  <c r="DV27" i="28"/>
  <c r="DW27" i="28"/>
  <c r="DX27" i="28"/>
  <c r="DY27" i="28"/>
  <c r="DZ27" i="28"/>
  <c r="EA27" i="28"/>
  <c r="EB27" i="28"/>
  <c r="EC27" i="28"/>
  <c r="ED27" i="28"/>
  <c r="EE27" i="28"/>
  <c r="EF27" i="28"/>
  <c r="EG27" i="28"/>
  <c r="EH27" i="28"/>
  <c r="EI27" i="28"/>
  <c r="EJ27" i="28"/>
  <c r="EK27" i="28"/>
  <c r="EL27" i="28"/>
  <c r="EM27" i="28"/>
  <c r="EN27" i="28"/>
  <c r="EO27" i="28"/>
  <c r="EP27" i="28"/>
  <c r="EQ27" i="28"/>
  <c r="ER27" i="28"/>
  <c r="ES27" i="28"/>
  <c r="ET27" i="28"/>
  <c r="EU27" i="28"/>
  <c r="EV27" i="28"/>
  <c r="EW27" i="28"/>
  <c r="EX27" i="28"/>
  <c r="EY27" i="28"/>
  <c r="EZ27" i="28"/>
  <c r="FA27" i="28"/>
  <c r="FB27" i="28"/>
  <c r="FC27" i="28"/>
  <c r="FD27" i="28"/>
  <c r="FE27" i="28"/>
  <c r="FF27" i="28"/>
  <c r="FG27" i="28"/>
  <c r="FH27" i="28"/>
  <c r="FI27" i="28"/>
  <c r="FJ27" i="28"/>
  <c r="FK27" i="28"/>
  <c r="FL27" i="28"/>
  <c r="FM27" i="28"/>
  <c r="FN27" i="28"/>
  <c r="FO27" i="28"/>
  <c r="FP27" i="28"/>
  <c r="FQ27" i="28"/>
  <c r="FR27" i="28"/>
  <c r="FS27" i="28"/>
  <c r="FT27" i="28"/>
  <c r="FU27" i="28"/>
  <c r="FV27" i="28"/>
  <c r="FW27" i="28"/>
  <c r="FX27" i="28"/>
  <c r="FY27" i="28"/>
  <c r="FZ27" i="28"/>
  <c r="GA27" i="28"/>
  <c r="GB27" i="28"/>
  <c r="GC27" i="28"/>
  <c r="GD27" i="28"/>
  <c r="GE27" i="28"/>
  <c r="GF27" i="28"/>
  <c r="GG27" i="28"/>
  <c r="GH27" i="28"/>
  <c r="GI27" i="28"/>
  <c r="GJ27" i="28"/>
  <c r="GK27" i="28"/>
  <c r="GL27" i="28"/>
  <c r="GM27" i="28"/>
  <c r="GN27" i="28"/>
  <c r="BJ28" i="28"/>
  <c r="BK28" i="28"/>
  <c r="BL28" i="28"/>
  <c r="BM28" i="28"/>
  <c r="BN28" i="28"/>
  <c r="BO28" i="28"/>
  <c r="BP28" i="28"/>
  <c r="BQ28" i="28"/>
  <c r="BR28" i="28"/>
  <c r="BS28" i="28"/>
  <c r="BT28" i="28"/>
  <c r="BU28" i="28"/>
  <c r="BV28" i="28"/>
  <c r="BW28" i="28"/>
  <c r="BX28" i="28"/>
  <c r="BY28" i="28"/>
  <c r="BZ28" i="28"/>
  <c r="CA28" i="28"/>
  <c r="CB28" i="28"/>
  <c r="CC28" i="28"/>
  <c r="CD28" i="28"/>
  <c r="CE28" i="28"/>
  <c r="CF28" i="28"/>
  <c r="CG28" i="28"/>
  <c r="CH28" i="28"/>
  <c r="CI28" i="28"/>
  <c r="CJ28" i="28"/>
  <c r="CK28" i="28"/>
  <c r="CL28" i="28"/>
  <c r="CM28" i="28"/>
  <c r="CN28" i="28"/>
  <c r="CO28" i="28"/>
  <c r="CP28" i="28"/>
  <c r="CQ28" i="28"/>
  <c r="CR28" i="28"/>
  <c r="CS28" i="28"/>
  <c r="CT28" i="28"/>
  <c r="CU28" i="28"/>
  <c r="CV28" i="28"/>
  <c r="CW28" i="28"/>
  <c r="CX28" i="28"/>
  <c r="CY28" i="28"/>
  <c r="CZ28" i="28"/>
  <c r="DA28" i="28"/>
  <c r="DB28" i="28"/>
  <c r="DC28" i="28"/>
  <c r="DD28" i="28"/>
  <c r="DE28" i="28"/>
  <c r="DF28" i="28"/>
  <c r="DG28" i="28"/>
  <c r="DH28" i="28"/>
  <c r="DI28" i="28"/>
  <c r="DJ28" i="28"/>
  <c r="DK28" i="28"/>
  <c r="DL28" i="28"/>
  <c r="DM28" i="28"/>
  <c r="DN28" i="28"/>
  <c r="DO28" i="28"/>
  <c r="DP28" i="28"/>
  <c r="DQ28" i="28"/>
  <c r="DR28" i="28"/>
  <c r="DS28" i="28"/>
  <c r="DT28" i="28"/>
  <c r="DU28" i="28"/>
  <c r="DV28" i="28"/>
  <c r="DW28" i="28"/>
  <c r="DX28" i="28"/>
  <c r="DY28" i="28"/>
  <c r="DZ28" i="28"/>
  <c r="EA28" i="28"/>
  <c r="EB28" i="28"/>
  <c r="EC28" i="28"/>
  <c r="ED28" i="28"/>
  <c r="EE28" i="28"/>
  <c r="EF28" i="28"/>
  <c r="EG28" i="28"/>
  <c r="EH28" i="28"/>
  <c r="EI28" i="28"/>
  <c r="EJ28" i="28"/>
  <c r="EK28" i="28"/>
  <c r="EL28" i="28"/>
  <c r="EM28" i="28"/>
  <c r="EN28" i="28"/>
  <c r="EO28" i="28"/>
  <c r="EP28" i="28"/>
  <c r="EQ28" i="28"/>
  <c r="ER28" i="28"/>
  <c r="ES28" i="28"/>
  <c r="ET28" i="28"/>
  <c r="EU28" i="28"/>
  <c r="EV28" i="28"/>
  <c r="EW28" i="28"/>
  <c r="EX28" i="28"/>
  <c r="EY28" i="28"/>
  <c r="EZ28" i="28"/>
  <c r="FA28" i="28"/>
  <c r="FB28" i="28"/>
  <c r="FC28" i="28"/>
  <c r="FD28" i="28"/>
  <c r="FE28" i="28"/>
  <c r="FF28" i="28"/>
  <c r="FG28" i="28"/>
  <c r="FH28" i="28"/>
  <c r="FI28" i="28"/>
  <c r="FJ28" i="28"/>
  <c r="FK28" i="28"/>
  <c r="FL28" i="28"/>
  <c r="FM28" i="28"/>
  <c r="FN28" i="28"/>
  <c r="FO28" i="28"/>
  <c r="FP28" i="28"/>
  <c r="FQ28" i="28"/>
  <c r="FR28" i="28"/>
  <c r="FS28" i="28"/>
  <c r="FT28" i="28"/>
  <c r="FU28" i="28"/>
  <c r="FV28" i="28"/>
  <c r="FW28" i="28"/>
  <c r="FX28" i="28"/>
  <c r="FY28" i="28"/>
  <c r="FZ28" i="28"/>
  <c r="GA28" i="28"/>
  <c r="GB28" i="28"/>
  <c r="GC28" i="28"/>
  <c r="GD28" i="28"/>
  <c r="GE28" i="28"/>
  <c r="GF28" i="28"/>
  <c r="GG28" i="28"/>
  <c r="GH28" i="28"/>
  <c r="GI28" i="28"/>
  <c r="GJ28" i="28"/>
  <c r="GK28" i="28"/>
  <c r="GL28" i="28"/>
  <c r="GM28" i="28"/>
  <c r="GN28" i="28"/>
  <c r="GO28" i="28"/>
  <c r="BM29" i="28"/>
  <c r="BQ29" i="28"/>
  <c r="BR29" i="28"/>
  <c r="BS29" i="28"/>
  <c r="BV29" i="28"/>
  <c r="BW29" i="28"/>
  <c r="BX29" i="28"/>
  <c r="BY29" i="28"/>
  <c r="BZ29" i="28"/>
  <c r="CA29" i="28"/>
  <c r="CD29" i="28"/>
  <c r="CF29" i="28"/>
  <c r="CG29" i="28"/>
  <c r="CH29" i="28"/>
  <c r="CP29" i="28"/>
  <c r="CQ29" i="28"/>
  <c r="CR29" i="28"/>
  <c r="CS29" i="28"/>
  <c r="CT29" i="28"/>
  <c r="CU29" i="28"/>
  <c r="CV29" i="28"/>
  <c r="CW29" i="28"/>
  <c r="CX29" i="28"/>
  <c r="CY29" i="28"/>
  <c r="CZ29" i="28"/>
  <c r="DA29" i="28"/>
  <c r="DB29" i="28"/>
  <c r="DC29" i="28"/>
  <c r="DD29" i="28"/>
  <c r="DE29" i="28"/>
  <c r="DF29" i="28"/>
  <c r="DG29" i="28"/>
  <c r="DH29" i="28"/>
  <c r="DI29" i="28"/>
  <c r="DJ29" i="28"/>
  <c r="DK29" i="28"/>
  <c r="DL29" i="28"/>
  <c r="DM29" i="28"/>
  <c r="DN29" i="28"/>
  <c r="DO29" i="28"/>
  <c r="DP29" i="28"/>
  <c r="DQ29" i="28"/>
  <c r="DR29" i="28"/>
  <c r="DS29" i="28"/>
  <c r="DT29" i="28"/>
  <c r="DU29" i="28"/>
  <c r="DV29" i="28"/>
  <c r="DW29" i="28"/>
  <c r="DX29" i="28"/>
  <c r="DY29" i="28"/>
  <c r="DZ29" i="28"/>
  <c r="EA29" i="28"/>
  <c r="EB29" i="28"/>
  <c r="EC29" i="28"/>
  <c r="ED29" i="28"/>
  <c r="EE29" i="28"/>
  <c r="EF29" i="28"/>
  <c r="EG29" i="28"/>
  <c r="EH29" i="28"/>
  <c r="EI29" i="28"/>
  <c r="EJ29" i="28"/>
  <c r="EK29" i="28"/>
  <c r="EL29" i="28"/>
  <c r="EM29" i="28"/>
  <c r="EN29" i="28"/>
  <c r="EO29" i="28"/>
  <c r="EP29" i="28"/>
  <c r="EQ29" i="28"/>
  <c r="ER29" i="28"/>
  <c r="ES29" i="28"/>
  <c r="ET29" i="28"/>
  <c r="EU29" i="28"/>
  <c r="EV29" i="28"/>
  <c r="EW29" i="28"/>
  <c r="EX29" i="28"/>
  <c r="EY29" i="28"/>
  <c r="EZ29" i="28"/>
  <c r="FA29" i="28"/>
  <c r="FB29" i="28"/>
  <c r="FC29" i="28"/>
  <c r="FD29" i="28"/>
  <c r="FE29" i="28"/>
  <c r="FF29" i="28"/>
  <c r="FG29" i="28"/>
  <c r="FH29" i="28"/>
  <c r="FI29" i="28"/>
  <c r="FJ29" i="28"/>
  <c r="FK29" i="28"/>
  <c r="FL29" i="28"/>
  <c r="FM29" i="28"/>
  <c r="FN29" i="28"/>
  <c r="FO29" i="28"/>
  <c r="FP29" i="28"/>
  <c r="FQ29" i="28"/>
  <c r="FR29" i="28"/>
  <c r="FS29" i="28"/>
  <c r="FT29" i="28"/>
  <c r="FU29" i="28"/>
  <c r="FV29" i="28"/>
  <c r="FW29" i="28"/>
  <c r="FX29" i="28"/>
  <c r="FY29" i="28"/>
  <c r="FZ29" i="28"/>
  <c r="GA29" i="28"/>
  <c r="GB29" i="28"/>
  <c r="GC29" i="28"/>
  <c r="GD29" i="28"/>
  <c r="GE29" i="28"/>
  <c r="GF29" i="28"/>
  <c r="GG29" i="28"/>
  <c r="GH29" i="28"/>
  <c r="GI29" i="28"/>
  <c r="GJ29" i="28"/>
  <c r="GK29" i="28"/>
  <c r="GL29" i="28"/>
  <c r="GM29" i="28"/>
  <c r="GN29" i="28"/>
  <c r="BM30" i="28"/>
  <c r="BQ30" i="28"/>
  <c r="BR30" i="28"/>
  <c r="BS30" i="28"/>
  <c r="BV30" i="28"/>
  <c r="BW30" i="28"/>
  <c r="BX30" i="28"/>
  <c r="BY30" i="28"/>
  <c r="BZ30" i="28"/>
  <c r="CA30" i="28"/>
  <c r="CD30" i="28"/>
  <c r="CG30" i="28"/>
  <c r="CH30" i="28"/>
  <c r="CP30" i="28"/>
  <c r="CQ30" i="28"/>
  <c r="CR30" i="28"/>
  <c r="CS30" i="28"/>
  <c r="CT30" i="28"/>
  <c r="CU30" i="28"/>
  <c r="CV30" i="28"/>
  <c r="CW30" i="28"/>
  <c r="CX30" i="28"/>
  <c r="CY30" i="28"/>
  <c r="CZ30" i="28"/>
  <c r="DA30" i="28"/>
  <c r="DB30" i="28"/>
  <c r="DC30" i="28"/>
  <c r="DD30" i="28"/>
  <c r="DE30" i="28"/>
  <c r="DF30" i="28"/>
  <c r="DG30" i="28"/>
  <c r="DH30" i="28"/>
  <c r="DI30" i="28"/>
  <c r="DJ30" i="28"/>
  <c r="DK30" i="28"/>
  <c r="DL30" i="28"/>
  <c r="DM30" i="28"/>
  <c r="DN30" i="28"/>
  <c r="DO30" i="28"/>
  <c r="DP30" i="28"/>
  <c r="DQ30" i="28"/>
  <c r="DR30" i="28"/>
  <c r="DS30" i="28"/>
  <c r="DT30" i="28"/>
  <c r="DU30" i="28"/>
  <c r="DV30" i="28"/>
  <c r="DW30" i="28"/>
  <c r="DX30" i="28"/>
  <c r="DY30" i="28"/>
  <c r="DZ30" i="28"/>
  <c r="EA30" i="28"/>
  <c r="EB30" i="28"/>
  <c r="EC30" i="28"/>
  <c r="ED30" i="28"/>
  <c r="EE30" i="28"/>
  <c r="EF30" i="28"/>
  <c r="EG30" i="28"/>
  <c r="EH30" i="28"/>
  <c r="EI30" i="28"/>
  <c r="EJ30" i="28"/>
  <c r="EK30" i="28"/>
  <c r="EL30" i="28"/>
  <c r="EM30" i="28"/>
  <c r="EN30" i="28"/>
  <c r="EO30" i="28"/>
  <c r="EP30" i="28"/>
  <c r="EQ30" i="28"/>
  <c r="ER30" i="28"/>
  <c r="ES30" i="28"/>
  <c r="ET30" i="28"/>
  <c r="EU30" i="28"/>
  <c r="EV30" i="28"/>
  <c r="EW30" i="28"/>
  <c r="EX30" i="28"/>
  <c r="EY30" i="28"/>
  <c r="EZ30" i="28"/>
  <c r="FA30" i="28"/>
  <c r="FB30" i="28"/>
  <c r="FC30" i="28"/>
  <c r="FD30" i="28"/>
  <c r="FE30" i="28"/>
  <c r="FF30" i="28"/>
  <c r="FG30" i="28"/>
  <c r="FH30" i="28"/>
  <c r="FI30" i="28"/>
  <c r="FJ30" i="28"/>
  <c r="FK30" i="28"/>
  <c r="FL30" i="28"/>
  <c r="FM30" i="28"/>
  <c r="FN30" i="28"/>
  <c r="FO30" i="28"/>
  <c r="FP30" i="28"/>
  <c r="FQ30" i="28"/>
  <c r="FR30" i="28"/>
  <c r="FS30" i="28"/>
  <c r="FT30" i="28"/>
  <c r="FU30" i="28"/>
  <c r="FV30" i="28"/>
  <c r="FW30" i="28"/>
  <c r="FX30" i="28"/>
  <c r="FY30" i="28"/>
  <c r="FZ30" i="28"/>
  <c r="GA30" i="28"/>
  <c r="GB30" i="28"/>
  <c r="GC30" i="28"/>
  <c r="GD30" i="28"/>
  <c r="GE30" i="28"/>
  <c r="GF30" i="28"/>
  <c r="GG30" i="28"/>
  <c r="GH30" i="28"/>
  <c r="GI30" i="28"/>
  <c r="GJ30" i="28"/>
  <c r="GK30" i="28"/>
  <c r="GL30" i="28"/>
  <c r="GM30" i="28"/>
  <c r="GN30" i="28"/>
  <c r="BJ31" i="28"/>
  <c r="BK31" i="28"/>
  <c r="BL31" i="28"/>
  <c r="BM31" i="28"/>
  <c r="BN31" i="28"/>
  <c r="BO31" i="28"/>
  <c r="BP31" i="28"/>
  <c r="BQ31" i="28"/>
  <c r="BR31" i="28"/>
  <c r="BS31" i="28"/>
  <c r="BT31" i="28"/>
  <c r="BU31" i="28"/>
  <c r="BV31" i="28"/>
  <c r="BW31" i="28"/>
  <c r="BX31" i="28"/>
  <c r="BY31" i="28"/>
  <c r="BZ31" i="28"/>
  <c r="CA31" i="28"/>
  <c r="CB31" i="28"/>
  <c r="CC31" i="28"/>
  <c r="CD31" i="28"/>
  <c r="CE31" i="28"/>
  <c r="CF31" i="28"/>
  <c r="CG31" i="28"/>
  <c r="CH31" i="28"/>
  <c r="CI31" i="28"/>
  <c r="CJ31" i="28"/>
  <c r="CK31" i="28"/>
  <c r="CL31" i="28"/>
  <c r="CM31" i="28"/>
  <c r="CN31" i="28"/>
  <c r="CO31" i="28"/>
  <c r="CP31" i="28"/>
  <c r="CQ31" i="28"/>
  <c r="CR31" i="28"/>
  <c r="CS31" i="28"/>
  <c r="CT31" i="28"/>
  <c r="CU31" i="28"/>
  <c r="CV31" i="28"/>
  <c r="CW31" i="28"/>
  <c r="CX31" i="28"/>
  <c r="CY31" i="28"/>
  <c r="CZ31" i="28"/>
  <c r="DA31" i="28"/>
  <c r="DB31" i="28"/>
  <c r="DC31" i="28"/>
  <c r="DD31" i="28"/>
  <c r="DE31" i="28"/>
  <c r="DF31" i="28"/>
  <c r="DG31" i="28"/>
  <c r="DH31" i="28"/>
  <c r="DI31" i="28"/>
  <c r="DJ31" i="28"/>
  <c r="DK31" i="28"/>
  <c r="DL31" i="28"/>
  <c r="DM31" i="28"/>
  <c r="DN31" i="28"/>
  <c r="DO31" i="28"/>
  <c r="DP31" i="28"/>
  <c r="DQ31" i="28"/>
  <c r="DR31" i="28"/>
  <c r="DS31" i="28"/>
  <c r="DT31" i="28"/>
  <c r="DU31" i="28"/>
  <c r="DV31" i="28"/>
  <c r="DW31" i="28"/>
  <c r="DX31" i="28"/>
  <c r="DY31" i="28"/>
  <c r="DZ31" i="28"/>
  <c r="EA31" i="28"/>
  <c r="EB31" i="28"/>
  <c r="EC31" i="28"/>
  <c r="ED31" i="28"/>
  <c r="EE31" i="28"/>
  <c r="EF31" i="28"/>
  <c r="EG31" i="28"/>
  <c r="EH31" i="28"/>
  <c r="EI31" i="28"/>
  <c r="EJ31" i="28"/>
  <c r="EK31" i="28"/>
  <c r="EL31" i="28"/>
  <c r="EM31" i="28"/>
  <c r="EN31" i="28"/>
  <c r="EO31" i="28"/>
  <c r="EP31" i="28"/>
  <c r="EQ31" i="28"/>
  <c r="ER31" i="28"/>
  <c r="ES31" i="28"/>
  <c r="ET31" i="28"/>
  <c r="EU31" i="28"/>
  <c r="EV31" i="28"/>
  <c r="EW31" i="28"/>
  <c r="EX31" i="28"/>
  <c r="EY31" i="28"/>
  <c r="EZ31" i="28"/>
  <c r="FA31" i="28"/>
  <c r="FB31" i="28"/>
  <c r="FC31" i="28"/>
  <c r="FD31" i="28"/>
  <c r="FE31" i="28"/>
  <c r="FF31" i="28"/>
  <c r="FG31" i="28"/>
  <c r="FH31" i="28"/>
  <c r="FI31" i="28"/>
  <c r="FJ31" i="28"/>
  <c r="FK31" i="28"/>
  <c r="FL31" i="28"/>
  <c r="FM31" i="28"/>
  <c r="FN31" i="28"/>
  <c r="FO31" i="28"/>
  <c r="FP31" i="28"/>
  <c r="FQ31" i="28"/>
  <c r="FR31" i="28"/>
  <c r="FS31" i="28"/>
  <c r="FT31" i="28"/>
  <c r="FU31" i="28"/>
  <c r="FV31" i="28"/>
  <c r="FW31" i="28"/>
  <c r="FX31" i="28"/>
  <c r="FY31" i="28"/>
  <c r="FZ31" i="28"/>
  <c r="GA31" i="28"/>
  <c r="GB31" i="28"/>
  <c r="GC31" i="28"/>
  <c r="GD31" i="28"/>
  <c r="GE31" i="28"/>
  <c r="GF31" i="28"/>
  <c r="GG31" i="28"/>
  <c r="GH31" i="28"/>
  <c r="GI31" i="28"/>
  <c r="GJ31" i="28"/>
  <c r="GK31" i="28"/>
  <c r="GL31" i="28"/>
  <c r="GM31" i="28"/>
  <c r="GN31" i="28"/>
  <c r="GO31" i="28"/>
  <c r="CA32" i="28"/>
  <c r="CD32" i="28"/>
  <c r="CF32" i="28"/>
  <c r="CQ32" i="28"/>
  <c r="CR32" i="28"/>
  <c r="CS32" i="28"/>
  <c r="CT32" i="28"/>
  <c r="CU32" i="28"/>
  <c r="CV32" i="28"/>
  <c r="CW32" i="28"/>
  <c r="CX32" i="28"/>
  <c r="CY32" i="28"/>
  <c r="CZ32" i="28"/>
  <c r="DA32" i="28"/>
  <c r="DB32" i="28"/>
  <c r="DC32" i="28"/>
  <c r="DD32" i="28"/>
  <c r="DF32" i="28"/>
  <c r="DG32" i="28"/>
  <c r="DH32" i="28"/>
  <c r="DI32" i="28"/>
  <c r="DJ32" i="28"/>
  <c r="DK32" i="28"/>
  <c r="DL32" i="28"/>
  <c r="DM32" i="28"/>
  <c r="DN32" i="28"/>
  <c r="DO32" i="28"/>
  <c r="DP32" i="28"/>
  <c r="DQ32" i="28"/>
  <c r="DR32" i="28"/>
  <c r="DS32" i="28"/>
  <c r="DT32" i="28"/>
  <c r="DU32" i="28"/>
  <c r="DV32" i="28"/>
  <c r="DW32" i="28"/>
  <c r="DX32" i="28"/>
  <c r="DY32" i="28"/>
  <c r="DZ32" i="28"/>
  <c r="EA32" i="28"/>
  <c r="EB32" i="28"/>
  <c r="EC32" i="28"/>
  <c r="ED32" i="28"/>
  <c r="EE32" i="28"/>
  <c r="EF32" i="28"/>
  <c r="EG32" i="28"/>
  <c r="EH32" i="28"/>
  <c r="EI32" i="28"/>
  <c r="EJ32" i="28"/>
  <c r="EK32" i="28"/>
  <c r="EL32" i="28"/>
  <c r="EM32" i="28"/>
  <c r="EN32" i="28"/>
  <c r="EO32" i="28"/>
  <c r="EP32" i="28"/>
  <c r="EQ32" i="28"/>
  <c r="ER32" i="28"/>
  <c r="ES32" i="28"/>
  <c r="ET32" i="28"/>
  <c r="EU32" i="28"/>
  <c r="EV32" i="28"/>
  <c r="EW32" i="28"/>
  <c r="EX32" i="28"/>
  <c r="EY32" i="28"/>
  <c r="EZ32" i="28"/>
  <c r="FA32" i="28"/>
  <c r="FB32" i="28"/>
  <c r="FC32" i="28"/>
  <c r="FD32" i="28"/>
  <c r="FE32" i="28"/>
  <c r="FF32" i="28"/>
  <c r="FG32" i="28"/>
  <c r="FK32" i="28"/>
  <c r="FL32" i="28"/>
  <c r="FM32" i="28"/>
  <c r="FN32" i="28"/>
  <c r="FO32" i="28"/>
  <c r="FP32" i="28"/>
  <c r="FQ32" i="28"/>
  <c r="FR32" i="28"/>
  <c r="FS32" i="28"/>
  <c r="FT32" i="28"/>
  <c r="FU32" i="28"/>
  <c r="FV32" i="28"/>
  <c r="FW32" i="28"/>
  <c r="FX32" i="28"/>
  <c r="FY32" i="28"/>
  <c r="FZ32" i="28"/>
  <c r="GA32" i="28"/>
  <c r="GB32" i="28"/>
  <c r="GC32" i="28"/>
  <c r="GD32" i="28"/>
  <c r="GE32" i="28"/>
  <c r="GF32" i="28"/>
  <c r="GG32" i="28"/>
  <c r="GH32" i="28"/>
  <c r="GI32" i="28"/>
  <c r="GJ32" i="28"/>
  <c r="GK32" i="28"/>
  <c r="GL32" i="28"/>
  <c r="GM32" i="28"/>
  <c r="GN32" i="28"/>
  <c r="GO32" i="28"/>
  <c r="BM33" i="28"/>
  <c r="BQ33" i="28"/>
  <c r="BR33" i="28"/>
  <c r="BS33" i="28"/>
  <c r="BU33" i="28"/>
  <c r="BV33" i="28"/>
  <c r="BW33" i="28"/>
  <c r="BX33" i="28"/>
  <c r="BY33" i="28"/>
  <c r="CA33" i="28"/>
  <c r="CG33" i="28"/>
  <c r="CH33" i="28"/>
  <c r="CP33" i="28"/>
  <c r="CQ33" i="28"/>
  <c r="CR33" i="28"/>
  <c r="CS33" i="28"/>
  <c r="CT33" i="28"/>
  <c r="CU33" i="28"/>
  <c r="CV33" i="28"/>
  <c r="CW33" i="28"/>
  <c r="CX33" i="28"/>
  <c r="CY33" i="28"/>
  <c r="CZ33" i="28"/>
  <c r="DA33" i="28"/>
  <c r="DB33" i="28"/>
  <c r="DC33" i="28"/>
  <c r="DD33" i="28"/>
  <c r="DE33" i="28"/>
  <c r="DF33" i="28"/>
  <c r="DG33" i="28"/>
  <c r="DH33" i="28"/>
  <c r="DI33" i="28"/>
  <c r="DJ33" i="28"/>
  <c r="DK33" i="28"/>
  <c r="DL33" i="28"/>
  <c r="DM33" i="28"/>
  <c r="DN33" i="28"/>
  <c r="DO33" i="28"/>
  <c r="DP33" i="28"/>
  <c r="DQ33" i="28"/>
  <c r="DR33" i="28"/>
  <c r="DS33" i="28"/>
  <c r="DT33" i="28"/>
  <c r="DU33" i="28"/>
  <c r="DV33" i="28"/>
  <c r="DW33" i="28"/>
  <c r="DX33" i="28"/>
  <c r="DY33" i="28"/>
  <c r="DZ33" i="28"/>
  <c r="EA33" i="28"/>
  <c r="EB33" i="28"/>
  <c r="EC33" i="28"/>
  <c r="ED33" i="28"/>
  <c r="EE33" i="28"/>
  <c r="EF33" i="28"/>
  <c r="EG33" i="28"/>
  <c r="EH33" i="28"/>
  <c r="EI33" i="28"/>
  <c r="EJ33" i="28"/>
  <c r="EK33" i="28"/>
  <c r="EL33" i="28"/>
  <c r="EM33" i="28"/>
  <c r="EN33" i="28"/>
  <c r="EO33" i="28"/>
  <c r="EP33" i="28"/>
  <c r="EQ33" i="28"/>
  <c r="ER33" i="28"/>
  <c r="ES33" i="28"/>
  <c r="ET33" i="28"/>
  <c r="EU33" i="28"/>
  <c r="EV33" i="28"/>
  <c r="EW33" i="28"/>
  <c r="EX33" i="28"/>
  <c r="EY33" i="28"/>
  <c r="EZ33" i="28"/>
  <c r="FA33" i="28"/>
  <c r="FB33" i="28"/>
  <c r="FC33" i="28"/>
  <c r="FD33" i="28"/>
  <c r="FE33" i="28"/>
  <c r="FF33" i="28"/>
  <c r="FG33" i="28"/>
  <c r="FH33" i="28"/>
  <c r="FI33" i="28"/>
  <c r="FJ33" i="28"/>
  <c r="FK33" i="28"/>
  <c r="FL33" i="28"/>
  <c r="FM33" i="28"/>
  <c r="FN33" i="28"/>
  <c r="FO33" i="28"/>
  <c r="FP33" i="28"/>
  <c r="FQ33" i="28"/>
  <c r="FR33" i="28"/>
  <c r="FS33" i="28"/>
  <c r="FT33" i="28"/>
  <c r="FU33" i="28"/>
  <c r="FV33" i="28"/>
  <c r="FW33" i="28"/>
  <c r="FX33" i="28"/>
  <c r="FY33" i="28"/>
  <c r="FZ33" i="28"/>
  <c r="GA33" i="28"/>
  <c r="GB33" i="28"/>
  <c r="GC33" i="28"/>
  <c r="GD33" i="28"/>
  <c r="GE33" i="28"/>
  <c r="GF33" i="28"/>
  <c r="GG33" i="28"/>
  <c r="GH33" i="28"/>
  <c r="GI33" i="28"/>
  <c r="GJ33" i="28"/>
  <c r="GK33" i="28"/>
  <c r="GL33" i="28"/>
  <c r="GM33" i="28"/>
  <c r="GN33" i="28"/>
  <c r="GO33" i="28"/>
  <c r="BJ34" i="28"/>
  <c r="BK34" i="28"/>
  <c r="BL34" i="28"/>
  <c r="BM34" i="28"/>
  <c r="BN34" i="28"/>
  <c r="BO34" i="28"/>
  <c r="BP34" i="28"/>
  <c r="BQ34" i="28"/>
  <c r="BR34" i="28"/>
  <c r="BS34" i="28"/>
  <c r="BT34" i="28"/>
  <c r="BU34" i="28"/>
  <c r="BV34" i="28"/>
  <c r="BW34" i="28"/>
  <c r="BX34" i="28"/>
  <c r="BY34" i="28"/>
  <c r="BZ34" i="28"/>
  <c r="CA34" i="28"/>
  <c r="CB34" i="28"/>
  <c r="CC34" i="28"/>
  <c r="CD34" i="28"/>
  <c r="CE34" i="28"/>
  <c r="CF34" i="28"/>
  <c r="CG34" i="28"/>
  <c r="CH34" i="28"/>
  <c r="CI34" i="28"/>
  <c r="CJ34" i="28"/>
  <c r="CK34" i="28"/>
  <c r="CL34" i="28"/>
  <c r="CM34" i="28"/>
  <c r="CN34" i="28"/>
  <c r="CO34" i="28"/>
  <c r="CP34" i="28"/>
  <c r="CQ34" i="28"/>
  <c r="CR34" i="28"/>
  <c r="CS34" i="28"/>
  <c r="CT34" i="28"/>
  <c r="CU34" i="28"/>
  <c r="CV34" i="28"/>
  <c r="CW34" i="28"/>
  <c r="CX34" i="28"/>
  <c r="CY34" i="28"/>
  <c r="CZ34" i="28"/>
  <c r="DA34" i="28"/>
  <c r="DB34" i="28"/>
  <c r="DC34" i="28"/>
  <c r="DD34" i="28"/>
  <c r="DE34" i="28"/>
  <c r="DF34" i="28"/>
  <c r="DG34" i="28"/>
  <c r="DH34" i="28"/>
  <c r="DI34" i="28"/>
  <c r="DJ34" i="28"/>
  <c r="DK34" i="28"/>
  <c r="DL34" i="28"/>
  <c r="DM34" i="28"/>
  <c r="DN34" i="28"/>
  <c r="DO34" i="28"/>
  <c r="DP34" i="28"/>
  <c r="DQ34" i="28"/>
  <c r="DR34" i="28"/>
  <c r="DS34" i="28"/>
  <c r="DT34" i="28"/>
  <c r="DU34" i="28"/>
  <c r="DV34" i="28"/>
  <c r="DW34" i="28"/>
  <c r="DX34" i="28"/>
  <c r="DY34" i="28"/>
  <c r="DZ34" i="28"/>
  <c r="EA34" i="28"/>
  <c r="EB34" i="28"/>
  <c r="EC34" i="28"/>
  <c r="ED34" i="28"/>
  <c r="EE34" i="28"/>
  <c r="EF34" i="28"/>
  <c r="EG34" i="28"/>
  <c r="EH34" i="28"/>
  <c r="EI34" i="28"/>
  <c r="EJ34" i="28"/>
  <c r="EK34" i="28"/>
  <c r="EL34" i="28"/>
  <c r="EM34" i="28"/>
  <c r="EN34" i="28"/>
  <c r="EO34" i="28"/>
  <c r="EP34" i="28"/>
  <c r="EQ34" i="28"/>
  <c r="ER34" i="28"/>
  <c r="ES34" i="28"/>
  <c r="ET34" i="28"/>
  <c r="EU34" i="28"/>
  <c r="EV34" i="28"/>
  <c r="EW34" i="28"/>
  <c r="EX34" i="28"/>
  <c r="EY34" i="28"/>
  <c r="EZ34" i="28"/>
  <c r="FA34" i="28"/>
  <c r="FB34" i="28"/>
  <c r="FC34" i="28"/>
  <c r="FD34" i="28"/>
  <c r="FE34" i="28"/>
  <c r="FF34" i="28"/>
  <c r="FG34" i="28"/>
  <c r="FH34" i="28"/>
  <c r="FI34" i="28"/>
  <c r="FJ34" i="28"/>
  <c r="FK34" i="28"/>
  <c r="FL34" i="28"/>
  <c r="FM34" i="28"/>
  <c r="FN34" i="28"/>
  <c r="FO34" i="28"/>
  <c r="FP34" i="28"/>
  <c r="FQ34" i="28"/>
  <c r="FR34" i="28"/>
  <c r="FS34" i="28"/>
  <c r="FT34" i="28"/>
  <c r="FU34" i="28"/>
  <c r="FV34" i="28"/>
  <c r="FW34" i="28"/>
  <c r="FX34" i="28"/>
  <c r="FY34" i="28"/>
  <c r="FZ34" i="28"/>
  <c r="GA34" i="28"/>
  <c r="GB34" i="28"/>
  <c r="GC34" i="28"/>
  <c r="GD34" i="28"/>
  <c r="GE34" i="28"/>
  <c r="GF34" i="28"/>
  <c r="GG34" i="28"/>
  <c r="GH34" i="28"/>
  <c r="GI34" i="28"/>
  <c r="GJ34" i="28"/>
  <c r="GK34" i="28"/>
  <c r="GL34" i="28"/>
  <c r="GM34" i="28"/>
  <c r="GN34" i="28"/>
  <c r="GO34" i="28"/>
  <c r="BJ35" i="28"/>
  <c r="BK35" i="28"/>
  <c r="BL35" i="28"/>
  <c r="BM35" i="28"/>
  <c r="BN35" i="28"/>
  <c r="BO35" i="28"/>
  <c r="BP35" i="28"/>
  <c r="BQ35" i="28"/>
  <c r="BR35" i="28"/>
  <c r="BS35" i="28"/>
  <c r="BT35" i="28"/>
  <c r="BU35" i="28"/>
  <c r="BV35" i="28"/>
  <c r="BW35" i="28"/>
  <c r="BX35" i="28"/>
  <c r="BY35" i="28"/>
  <c r="BZ35" i="28"/>
  <c r="CA35" i="28"/>
  <c r="CB35" i="28"/>
  <c r="CC35" i="28"/>
  <c r="CD35" i="28"/>
  <c r="CE35" i="28"/>
  <c r="CF35" i="28"/>
  <c r="CG35" i="28"/>
  <c r="CH35" i="28"/>
  <c r="CI35" i="28"/>
  <c r="CJ35" i="28"/>
  <c r="CK35" i="28"/>
  <c r="CL35" i="28"/>
  <c r="CM35" i="28"/>
  <c r="CN35" i="28"/>
  <c r="CO35" i="28"/>
  <c r="CP35" i="28"/>
  <c r="CQ35" i="28"/>
  <c r="CR35" i="28"/>
  <c r="CS35" i="28"/>
  <c r="CT35" i="28"/>
  <c r="CU35" i="28"/>
  <c r="CV35" i="28"/>
  <c r="CW35" i="28"/>
  <c r="CX35" i="28"/>
  <c r="CY35" i="28"/>
  <c r="CZ35" i="28"/>
  <c r="DA35" i="28"/>
  <c r="DB35" i="28"/>
  <c r="DC35" i="28"/>
  <c r="DD35" i="28"/>
  <c r="DE35" i="28"/>
  <c r="DF35" i="28"/>
  <c r="DG35" i="28"/>
  <c r="DH35" i="28"/>
  <c r="DI35" i="28"/>
  <c r="DJ35" i="28"/>
  <c r="DK35" i="28"/>
  <c r="DL35" i="28"/>
  <c r="DM35" i="28"/>
  <c r="DN35" i="28"/>
  <c r="DO35" i="28"/>
  <c r="DP35" i="28"/>
  <c r="DQ35" i="28"/>
  <c r="DR35" i="28"/>
  <c r="DS35" i="28"/>
  <c r="DT35" i="28"/>
  <c r="DU35" i="28"/>
  <c r="DV35" i="28"/>
  <c r="DW35" i="28"/>
  <c r="DX35" i="28"/>
  <c r="DY35" i="28"/>
  <c r="DZ35" i="28"/>
  <c r="EA35" i="28"/>
  <c r="EB35" i="28"/>
  <c r="EC35" i="28"/>
  <c r="ED35" i="28"/>
  <c r="EE35" i="28"/>
  <c r="EF35" i="28"/>
  <c r="EG35" i="28"/>
  <c r="EH35" i="28"/>
  <c r="EI35" i="28"/>
  <c r="EJ35" i="28"/>
  <c r="EK35" i="28"/>
  <c r="EL35" i="28"/>
  <c r="EM35" i="28"/>
  <c r="EN35" i="28"/>
  <c r="EO35" i="28"/>
  <c r="EP35" i="28"/>
  <c r="EQ35" i="28"/>
  <c r="ER35" i="28"/>
  <c r="ES35" i="28"/>
  <c r="ET35" i="28"/>
  <c r="EU35" i="28"/>
  <c r="EV35" i="28"/>
  <c r="EW35" i="28"/>
  <c r="EX35" i="28"/>
  <c r="EY35" i="28"/>
  <c r="EZ35" i="28"/>
  <c r="FA35" i="28"/>
  <c r="FB35" i="28"/>
  <c r="FC35" i="28"/>
  <c r="FD35" i="28"/>
  <c r="FE35" i="28"/>
  <c r="FF35" i="28"/>
  <c r="FG35" i="28"/>
  <c r="FH35" i="28"/>
  <c r="FI35" i="28"/>
  <c r="FJ35" i="28"/>
  <c r="FK35" i="28"/>
  <c r="FL35" i="28"/>
  <c r="FM35" i="28"/>
  <c r="FN35" i="28"/>
  <c r="FO35" i="28"/>
  <c r="FP35" i="28"/>
  <c r="FQ35" i="28"/>
  <c r="FR35" i="28"/>
  <c r="FS35" i="28"/>
  <c r="FT35" i="28"/>
  <c r="FU35" i="28"/>
  <c r="FV35" i="28"/>
  <c r="FW35" i="28"/>
  <c r="FX35" i="28"/>
  <c r="FY35" i="28"/>
  <c r="FZ35" i="28"/>
  <c r="GA35" i="28"/>
  <c r="GB35" i="28"/>
  <c r="GC35" i="28"/>
  <c r="GD35" i="28"/>
  <c r="GE35" i="28"/>
  <c r="GF35" i="28"/>
  <c r="GG35" i="28"/>
  <c r="GH35" i="28"/>
  <c r="GI35" i="28"/>
  <c r="GJ35" i="28"/>
  <c r="GK35" i="28"/>
  <c r="GL35" i="28"/>
  <c r="GM35" i="28"/>
  <c r="GN35" i="28"/>
  <c r="GO35" i="28"/>
  <c r="BM36" i="28"/>
  <c r="BQ36" i="28"/>
  <c r="BR36" i="28"/>
  <c r="BS36" i="28"/>
  <c r="BT36" i="28"/>
  <c r="BU36" i="28"/>
  <c r="BV36" i="28"/>
  <c r="BW36" i="28"/>
  <c r="BX36" i="28"/>
  <c r="BY36" i="28"/>
  <c r="BZ36" i="28"/>
  <c r="CA36" i="28"/>
  <c r="CB36" i="28"/>
  <c r="CC36" i="28"/>
  <c r="CD36" i="28"/>
  <c r="CE36" i="28"/>
  <c r="CF36" i="28"/>
  <c r="CG36" i="28"/>
  <c r="CH36" i="28"/>
  <c r="CI36" i="28"/>
  <c r="CJ36" i="28"/>
  <c r="CK36" i="28"/>
  <c r="CL36" i="28"/>
  <c r="CM36" i="28"/>
  <c r="CN36" i="28"/>
  <c r="CO36" i="28"/>
  <c r="CP36" i="28"/>
  <c r="CQ36" i="28"/>
  <c r="CR36" i="28"/>
  <c r="CS36" i="28"/>
  <c r="CT36" i="28"/>
  <c r="CU36" i="28"/>
  <c r="CV36" i="28"/>
  <c r="CW36" i="28"/>
  <c r="CX36" i="28"/>
  <c r="CY36" i="28"/>
  <c r="CZ36" i="28"/>
  <c r="DA36" i="28"/>
  <c r="DB36" i="28"/>
  <c r="DC36" i="28"/>
  <c r="DD36" i="28"/>
  <c r="DE36" i="28"/>
  <c r="DF36" i="28"/>
  <c r="DG36" i="28"/>
  <c r="DH36" i="28"/>
  <c r="DI36" i="28"/>
  <c r="DJ36" i="28"/>
  <c r="DK36" i="28"/>
  <c r="DL36" i="28"/>
  <c r="DM36" i="28"/>
  <c r="DN36" i="28"/>
  <c r="DO36" i="28"/>
  <c r="DP36" i="28"/>
  <c r="DQ36" i="28"/>
  <c r="DR36" i="28"/>
  <c r="DS36" i="28"/>
  <c r="DT36" i="28"/>
  <c r="DU36" i="28"/>
  <c r="DV36" i="28"/>
  <c r="DW36" i="28"/>
  <c r="DX36" i="28"/>
  <c r="DY36" i="28"/>
  <c r="DZ36" i="28"/>
  <c r="EA36" i="28"/>
  <c r="EB36" i="28"/>
  <c r="EC36" i="28"/>
  <c r="ED36" i="28"/>
  <c r="EE36" i="28"/>
  <c r="EF36" i="28"/>
  <c r="EG36" i="28"/>
  <c r="EH36" i="28"/>
  <c r="EI36" i="28"/>
  <c r="EJ36" i="28"/>
  <c r="EK36" i="28"/>
  <c r="EL36" i="28"/>
  <c r="EM36" i="28"/>
  <c r="EN36" i="28"/>
  <c r="EO36" i="28"/>
  <c r="EP36" i="28"/>
  <c r="EQ36" i="28"/>
  <c r="ER36" i="28"/>
  <c r="ES36" i="28"/>
  <c r="ET36" i="28"/>
  <c r="EU36" i="28"/>
  <c r="EV36" i="28"/>
  <c r="EW36" i="28"/>
  <c r="EX36" i="28"/>
  <c r="EY36" i="28"/>
  <c r="EZ36" i="28"/>
  <c r="FA36" i="28"/>
  <c r="FB36" i="28"/>
  <c r="FC36" i="28"/>
  <c r="FD36" i="28"/>
  <c r="FE36" i="28"/>
  <c r="FF36" i="28"/>
  <c r="FG36" i="28"/>
  <c r="FH36" i="28"/>
  <c r="FI36" i="28"/>
  <c r="FJ36" i="28"/>
  <c r="FK36" i="28"/>
  <c r="FL36" i="28"/>
  <c r="FM36" i="28"/>
  <c r="FN36" i="28"/>
  <c r="FO36" i="28"/>
  <c r="FP36" i="28"/>
  <c r="FQ36" i="28"/>
  <c r="FR36" i="28"/>
  <c r="FS36" i="28"/>
  <c r="FT36" i="28"/>
  <c r="FU36" i="28"/>
  <c r="FV36" i="28"/>
  <c r="FW36" i="28"/>
  <c r="FX36" i="28"/>
  <c r="FY36" i="28"/>
  <c r="FZ36" i="28"/>
  <c r="GA36" i="28"/>
  <c r="GB36" i="28"/>
  <c r="GC36" i="28"/>
  <c r="GD36" i="28"/>
  <c r="GE36" i="28"/>
  <c r="GF36" i="28"/>
  <c r="GG36" i="28"/>
  <c r="GH36" i="28"/>
  <c r="GI36" i="28"/>
  <c r="GJ36" i="28"/>
  <c r="GK36" i="28"/>
  <c r="GL36" i="28"/>
  <c r="GM36" i="28"/>
  <c r="GN36" i="28"/>
  <c r="GO36" i="28"/>
  <c r="BJ37" i="28"/>
  <c r="BK37" i="28"/>
  <c r="BL37" i="28"/>
  <c r="BM37" i="28"/>
  <c r="BN37" i="28"/>
  <c r="BO37" i="28"/>
  <c r="BP37" i="28"/>
  <c r="BQ37" i="28"/>
  <c r="BR37" i="28"/>
  <c r="BS37" i="28"/>
  <c r="BT37" i="28"/>
  <c r="BU37" i="28"/>
  <c r="BV37" i="28"/>
  <c r="BW37" i="28"/>
  <c r="BX37" i="28"/>
  <c r="BY37" i="28"/>
  <c r="BZ37" i="28"/>
  <c r="CA37" i="28"/>
  <c r="CB37" i="28"/>
  <c r="CC37" i="28"/>
  <c r="CD37" i="28"/>
  <c r="CE37" i="28"/>
  <c r="CF37" i="28"/>
  <c r="CG37" i="28"/>
  <c r="CH37" i="28"/>
  <c r="CI37" i="28"/>
  <c r="CJ37" i="28"/>
  <c r="CK37" i="28"/>
  <c r="CL37" i="28"/>
  <c r="CM37" i="28"/>
  <c r="CN37" i="28"/>
  <c r="CO37" i="28"/>
  <c r="CP37" i="28"/>
  <c r="CQ37" i="28"/>
  <c r="CR37" i="28"/>
  <c r="CS37" i="28"/>
  <c r="CT37" i="28"/>
  <c r="CU37" i="28"/>
  <c r="CV37" i="28"/>
  <c r="CW37" i="28"/>
  <c r="CX37" i="28"/>
  <c r="CY37" i="28"/>
  <c r="CZ37" i="28"/>
  <c r="DA37" i="28"/>
  <c r="DB37" i="28"/>
  <c r="DC37" i="28"/>
  <c r="DD37" i="28"/>
  <c r="DE37" i="28"/>
  <c r="DF37" i="28"/>
  <c r="DG37" i="28"/>
  <c r="DH37" i="28"/>
  <c r="DI37" i="28"/>
  <c r="DJ37" i="28"/>
  <c r="DK37" i="28"/>
  <c r="DL37" i="28"/>
  <c r="DM37" i="28"/>
  <c r="DN37" i="28"/>
  <c r="DO37" i="28"/>
  <c r="DP37" i="28"/>
  <c r="DQ37" i="28"/>
  <c r="DR37" i="28"/>
  <c r="DS37" i="28"/>
  <c r="DT37" i="28"/>
  <c r="DU37" i="28"/>
  <c r="DV37" i="28"/>
  <c r="DW37" i="28"/>
  <c r="DX37" i="28"/>
  <c r="DY37" i="28"/>
  <c r="DZ37" i="28"/>
  <c r="EA37" i="28"/>
  <c r="EB37" i="28"/>
  <c r="EC37" i="28"/>
  <c r="ED37" i="28"/>
  <c r="EE37" i="28"/>
  <c r="EF37" i="28"/>
  <c r="EG37" i="28"/>
  <c r="EH37" i="28"/>
  <c r="EI37" i="28"/>
  <c r="EJ37" i="28"/>
  <c r="EK37" i="28"/>
  <c r="EL37" i="28"/>
  <c r="EM37" i="28"/>
  <c r="EN37" i="28"/>
  <c r="EO37" i="28"/>
  <c r="EP37" i="28"/>
  <c r="EQ37" i="28"/>
  <c r="ER37" i="28"/>
  <c r="ES37" i="28"/>
  <c r="ET37" i="28"/>
  <c r="EU37" i="28"/>
  <c r="EV37" i="28"/>
  <c r="EW37" i="28"/>
  <c r="EX37" i="28"/>
  <c r="EY37" i="28"/>
  <c r="EZ37" i="28"/>
  <c r="FA37" i="28"/>
  <c r="FB37" i="28"/>
  <c r="FC37" i="28"/>
  <c r="FD37" i="28"/>
  <c r="FE37" i="28"/>
  <c r="FF37" i="28"/>
  <c r="FG37" i="28"/>
  <c r="FH37" i="28"/>
  <c r="FI37" i="28"/>
  <c r="FJ37" i="28"/>
  <c r="FK37" i="28"/>
  <c r="FL37" i="28"/>
  <c r="FM37" i="28"/>
  <c r="FN37" i="28"/>
  <c r="FO37" i="28"/>
  <c r="FP37" i="28"/>
  <c r="FQ37" i="28"/>
  <c r="FR37" i="28"/>
  <c r="FS37" i="28"/>
  <c r="FT37" i="28"/>
  <c r="FU37" i="28"/>
  <c r="FV37" i="28"/>
  <c r="FW37" i="28"/>
  <c r="FX37" i="28"/>
  <c r="FY37" i="28"/>
  <c r="FZ37" i="28"/>
  <c r="GA37" i="28"/>
  <c r="GB37" i="28"/>
  <c r="GC37" i="28"/>
  <c r="GD37" i="28"/>
  <c r="GE37" i="28"/>
  <c r="GF37" i="28"/>
  <c r="GG37" i="28"/>
  <c r="GH37" i="28"/>
  <c r="GI37" i="28"/>
  <c r="GJ37" i="28"/>
  <c r="GK37" i="28"/>
  <c r="GL37" i="28"/>
  <c r="GM37" i="28"/>
  <c r="GN37" i="28"/>
  <c r="GO37" i="28"/>
  <c r="BJ38" i="28"/>
  <c r="BK38" i="28"/>
  <c r="BL38" i="28"/>
  <c r="BM38" i="28"/>
  <c r="BN38" i="28"/>
  <c r="BO38" i="28"/>
  <c r="BP38" i="28"/>
  <c r="BQ38" i="28"/>
  <c r="BR38" i="28"/>
  <c r="BS38" i="28"/>
  <c r="BT38" i="28"/>
  <c r="BU38" i="28"/>
  <c r="BV38" i="28"/>
  <c r="BW38" i="28"/>
  <c r="BX38" i="28"/>
  <c r="BY38" i="28"/>
  <c r="BZ38" i="28"/>
  <c r="CA38" i="28"/>
  <c r="CB38" i="28"/>
  <c r="CC38" i="28"/>
  <c r="CD38" i="28"/>
  <c r="CE38" i="28"/>
  <c r="CF38" i="28"/>
  <c r="CG38" i="28"/>
  <c r="CH38" i="28"/>
  <c r="CI38" i="28"/>
  <c r="CJ38" i="28"/>
  <c r="CK38" i="28"/>
  <c r="CL38" i="28"/>
  <c r="CM38" i="28"/>
  <c r="CN38" i="28"/>
  <c r="CO38" i="28"/>
  <c r="CP38" i="28"/>
  <c r="CQ38" i="28"/>
  <c r="CR38" i="28"/>
  <c r="CS38" i="28"/>
  <c r="CT38" i="28"/>
  <c r="CU38" i="28"/>
  <c r="CV38" i="28"/>
  <c r="CW38" i="28"/>
  <c r="CX38" i="28"/>
  <c r="CY38" i="28"/>
  <c r="CZ38" i="28"/>
  <c r="DA38" i="28"/>
  <c r="DB38" i="28"/>
  <c r="DC38" i="28"/>
  <c r="DD38" i="28"/>
  <c r="DE38" i="28"/>
  <c r="DF38" i="28"/>
  <c r="DG38" i="28"/>
  <c r="DH38" i="28"/>
  <c r="DI38" i="28"/>
  <c r="DJ38" i="28"/>
  <c r="DK38" i="28"/>
  <c r="DL38" i="28"/>
  <c r="DM38" i="28"/>
  <c r="DN38" i="28"/>
  <c r="DO38" i="28"/>
  <c r="DP38" i="28"/>
  <c r="DQ38" i="28"/>
  <c r="DR38" i="28"/>
  <c r="DS38" i="28"/>
  <c r="DT38" i="28"/>
  <c r="DU38" i="28"/>
  <c r="DV38" i="28"/>
  <c r="DW38" i="28"/>
  <c r="DX38" i="28"/>
  <c r="DY38" i="28"/>
  <c r="DZ38" i="28"/>
  <c r="EA38" i="28"/>
  <c r="EB38" i="28"/>
  <c r="EC38" i="28"/>
  <c r="ED38" i="28"/>
  <c r="EE38" i="28"/>
  <c r="EF38" i="28"/>
  <c r="EG38" i="28"/>
  <c r="EH38" i="28"/>
  <c r="EI38" i="28"/>
  <c r="EJ38" i="28"/>
  <c r="EK38" i="28"/>
  <c r="EL38" i="28"/>
  <c r="EM38" i="28"/>
  <c r="EN38" i="28"/>
  <c r="EO38" i="28"/>
  <c r="EP38" i="28"/>
  <c r="EQ38" i="28"/>
  <c r="ER38" i="28"/>
  <c r="ES38" i="28"/>
  <c r="ET38" i="28"/>
  <c r="EU38" i="28"/>
  <c r="EV38" i="28"/>
  <c r="EW38" i="28"/>
  <c r="EX38" i="28"/>
  <c r="EY38" i="28"/>
  <c r="EZ38" i="28"/>
  <c r="FA38" i="28"/>
  <c r="FB38" i="28"/>
  <c r="FC38" i="28"/>
  <c r="FD38" i="28"/>
  <c r="FE38" i="28"/>
  <c r="FF38" i="28"/>
  <c r="FG38" i="28"/>
  <c r="FH38" i="28"/>
  <c r="FI38" i="28"/>
  <c r="FJ38" i="28"/>
  <c r="FK38" i="28"/>
  <c r="FL38" i="28"/>
  <c r="FM38" i="28"/>
  <c r="FN38" i="28"/>
  <c r="FO38" i="28"/>
  <c r="FP38" i="28"/>
  <c r="FQ38" i="28"/>
  <c r="FR38" i="28"/>
  <c r="FS38" i="28"/>
  <c r="FT38" i="28"/>
  <c r="FU38" i="28"/>
  <c r="FV38" i="28"/>
  <c r="FW38" i="28"/>
  <c r="FX38" i="28"/>
  <c r="FY38" i="28"/>
  <c r="FZ38" i="28"/>
  <c r="GA38" i="28"/>
  <c r="GB38" i="28"/>
  <c r="GC38" i="28"/>
  <c r="GD38" i="28"/>
  <c r="GE38" i="28"/>
  <c r="GF38" i="28"/>
  <c r="GG38" i="28"/>
  <c r="GH38" i="28"/>
  <c r="GI38" i="28"/>
  <c r="GJ38" i="28"/>
  <c r="GK38" i="28"/>
  <c r="GL38" i="28"/>
  <c r="GM38" i="28"/>
  <c r="GN38" i="28"/>
  <c r="BJ39" i="28"/>
  <c r="BK39" i="28"/>
  <c r="BL39" i="28"/>
  <c r="BM39" i="28"/>
  <c r="BN39" i="28"/>
  <c r="BO39" i="28"/>
  <c r="BP39" i="28"/>
  <c r="BQ39" i="28"/>
  <c r="BR39" i="28"/>
  <c r="BS39" i="28"/>
  <c r="BT39" i="28"/>
  <c r="BU39" i="28"/>
  <c r="BV39" i="28"/>
  <c r="BW39" i="28"/>
  <c r="BX39" i="28"/>
  <c r="BY39" i="28"/>
  <c r="BZ39" i="28"/>
  <c r="CA39" i="28"/>
  <c r="CB39" i="28"/>
  <c r="CC39" i="28"/>
  <c r="CD39" i="28"/>
  <c r="CE39" i="28"/>
  <c r="CF39" i="28"/>
  <c r="CG39" i="28"/>
  <c r="CH39" i="28"/>
  <c r="CI39" i="28"/>
  <c r="CJ39" i="28"/>
  <c r="CK39" i="28"/>
  <c r="CL39" i="28"/>
  <c r="CM39" i="28"/>
  <c r="CN39" i="28"/>
  <c r="CO39" i="28"/>
  <c r="CP39" i="28"/>
  <c r="CQ39" i="28"/>
  <c r="CR39" i="28"/>
  <c r="CS39" i="28"/>
  <c r="CT39" i="28"/>
  <c r="CU39" i="28"/>
  <c r="CV39" i="28"/>
  <c r="CW39" i="28"/>
  <c r="CX39" i="28"/>
  <c r="CY39" i="28"/>
  <c r="CZ39" i="28"/>
  <c r="DA39" i="28"/>
  <c r="DB39" i="28"/>
  <c r="DC39" i="28"/>
  <c r="DD39" i="28"/>
  <c r="DE39" i="28"/>
  <c r="DF39" i="28"/>
  <c r="DG39" i="28"/>
  <c r="DH39" i="28"/>
  <c r="DI39" i="28"/>
  <c r="DJ39" i="28"/>
  <c r="DK39" i="28"/>
  <c r="DL39" i="28"/>
  <c r="DM39" i="28"/>
  <c r="DN39" i="28"/>
  <c r="DO39" i="28"/>
  <c r="DP39" i="28"/>
  <c r="DQ39" i="28"/>
  <c r="DR39" i="28"/>
  <c r="DS39" i="28"/>
  <c r="DT39" i="28"/>
  <c r="DU39" i="28"/>
  <c r="DV39" i="28"/>
  <c r="DW39" i="28"/>
  <c r="DX39" i="28"/>
  <c r="DY39" i="28"/>
  <c r="DZ39" i="28"/>
  <c r="EA39" i="28"/>
  <c r="EB39" i="28"/>
  <c r="EC39" i="28"/>
  <c r="ED39" i="28"/>
  <c r="EE39" i="28"/>
  <c r="EF39" i="28"/>
  <c r="EG39" i="28"/>
  <c r="EH39" i="28"/>
  <c r="EI39" i="28"/>
  <c r="EJ39" i="28"/>
  <c r="EK39" i="28"/>
  <c r="EL39" i="28"/>
  <c r="EM39" i="28"/>
  <c r="EN39" i="28"/>
  <c r="EO39" i="28"/>
  <c r="EP39" i="28"/>
  <c r="EQ39" i="28"/>
  <c r="ER39" i="28"/>
  <c r="ES39" i="28"/>
  <c r="ET39" i="28"/>
  <c r="EU39" i="28"/>
  <c r="EV39" i="28"/>
  <c r="EW39" i="28"/>
  <c r="EX39" i="28"/>
  <c r="EY39" i="28"/>
  <c r="EZ39" i="28"/>
  <c r="FA39" i="28"/>
  <c r="FB39" i="28"/>
  <c r="FC39" i="28"/>
  <c r="FD39" i="28"/>
  <c r="FE39" i="28"/>
  <c r="FF39" i="28"/>
  <c r="FG39" i="28"/>
  <c r="FH39" i="28"/>
  <c r="FI39" i="28"/>
  <c r="FJ39" i="28"/>
  <c r="FK39" i="28"/>
  <c r="FL39" i="28"/>
  <c r="FM39" i="28"/>
  <c r="FN39" i="28"/>
  <c r="FO39" i="28"/>
  <c r="FP39" i="28"/>
  <c r="FQ39" i="28"/>
  <c r="FR39" i="28"/>
  <c r="FS39" i="28"/>
  <c r="FT39" i="28"/>
  <c r="FU39" i="28"/>
  <c r="FV39" i="28"/>
  <c r="FW39" i="28"/>
  <c r="FX39" i="28"/>
  <c r="FY39" i="28"/>
  <c r="FZ39" i="28"/>
  <c r="GA39" i="28"/>
  <c r="GB39" i="28"/>
  <c r="GC39" i="28"/>
  <c r="GD39" i="28"/>
  <c r="GE39" i="28"/>
  <c r="GF39" i="28"/>
  <c r="GG39" i="28"/>
  <c r="GH39" i="28"/>
  <c r="GI39" i="28"/>
  <c r="GJ39" i="28"/>
  <c r="GK39" i="28"/>
  <c r="GL39" i="28"/>
  <c r="GM39" i="28"/>
  <c r="GN39" i="28"/>
  <c r="GO39" i="28"/>
  <c r="BJ40" i="28"/>
  <c r="BK40" i="28"/>
  <c r="BL40" i="28"/>
  <c r="BM40" i="28"/>
  <c r="BN40" i="28"/>
  <c r="BO40" i="28"/>
  <c r="BP40" i="28"/>
  <c r="BQ40" i="28"/>
  <c r="BR40" i="28"/>
  <c r="BS40" i="28"/>
  <c r="BT40" i="28"/>
  <c r="BU40" i="28"/>
  <c r="BV40" i="28"/>
  <c r="BW40" i="28"/>
  <c r="BX40" i="28"/>
  <c r="BY40" i="28"/>
  <c r="BZ40" i="28"/>
  <c r="CA40" i="28"/>
  <c r="CB40" i="28"/>
  <c r="CC40" i="28"/>
  <c r="CD40" i="28"/>
  <c r="CE40" i="28"/>
  <c r="CF40" i="28"/>
  <c r="CG40" i="28"/>
  <c r="CH40" i="28"/>
  <c r="CI40" i="28"/>
  <c r="CJ40" i="28"/>
  <c r="CK40" i="28"/>
  <c r="CL40" i="28"/>
  <c r="CM40" i="28"/>
  <c r="CN40" i="28"/>
  <c r="CO40" i="28"/>
  <c r="CP40" i="28"/>
  <c r="CQ40" i="28"/>
  <c r="CR40" i="28"/>
  <c r="CS40" i="28"/>
  <c r="CT40" i="28"/>
  <c r="CU40" i="28"/>
  <c r="CV40" i="28"/>
  <c r="CW40" i="28"/>
  <c r="CX40" i="28"/>
  <c r="CY40" i="28"/>
  <c r="CZ40" i="28"/>
  <c r="DA40" i="28"/>
  <c r="DB40" i="28"/>
  <c r="DC40" i="28"/>
  <c r="DD40" i="28"/>
  <c r="DE40" i="28"/>
  <c r="DF40" i="28"/>
  <c r="DG40" i="28"/>
  <c r="DH40" i="28"/>
  <c r="DI40" i="28"/>
  <c r="DJ40" i="28"/>
  <c r="DK40" i="28"/>
  <c r="DL40" i="28"/>
  <c r="DM40" i="28"/>
  <c r="DN40" i="28"/>
  <c r="DO40" i="28"/>
  <c r="DP40" i="28"/>
  <c r="DQ40" i="28"/>
  <c r="DR40" i="28"/>
  <c r="DS40" i="28"/>
  <c r="DT40" i="28"/>
  <c r="DU40" i="28"/>
  <c r="DV40" i="28"/>
  <c r="DW40" i="28"/>
  <c r="DX40" i="28"/>
  <c r="DY40" i="28"/>
  <c r="DZ40" i="28"/>
  <c r="EA40" i="28"/>
  <c r="EB40" i="28"/>
  <c r="EC40" i="28"/>
  <c r="ED40" i="28"/>
  <c r="EE40" i="28"/>
  <c r="EF40" i="28"/>
  <c r="EG40" i="28"/>
  <c r="EH40" i="28"/>
  <c r="EI40" i="28"/>
  <c r="EJ40" i="28"/>
  <c r="EK40" i="28"/>
  <c r="EL40" i="28"/>
  <c r="EM40" i="28"/>
  <c r="EN40" i="28"/>
  <c r="EO40" i="28"/>
  <c r="EP40" i="28"/>
  <c r="EQ40" i="28"/>
  <c r="ER40" i="28"/>
  <c r="ES40" i="28"/>
  <c r="ET40" i="28"/>
  <c r="EU40" i="28"/>
  <c r="EV40" i="28"/>
  <c r="EW40" i="28"/>
  <c r="EX40" i="28"/>
  <c r="EY40" i="28"/>
  <c r="EZ40" i="28"/>
  <c r="FA40" i="28"/>
  <c r="FB40" i="28"/>
  <c r="FC40" i="28"/>
  <c r="FD40" i="28"/>
  <c r="FE40" i="28"/>
  <c r="FF40" i="28"/>
  <c r="FG40" i="28"/>
  <c r="FH40" i="28"/>
  <c r="FI40" i="28"/>
  <c r="FJ40" i="28"/>
  <c r="FK40" i="28"/>
  <c r="FL40" i="28"/>
  <c r="FM40" i="28"/>
  <c r="FN40" i="28"/>
  <c r="FO40" i="28"/>
  <c r="FP40" i="28"/>
  <c r="FQ40" i="28"/>
  <c r="FR40" i="28"/>
  <c r="FS40" i="28"/>
  <c r="FT40" i="28"/>
  <c r="FU40" i="28"/>
  <c r="FV40" i="28"/>
  <c r="FW40" i="28"/>
  <c r="FX40" i="28"/>
  <c r="FY40" i="28"/>
  <c r="FZ40" i="28"/>
  <c r="GA40" i="28"/>
  <c r="GB40" i="28"/>
  <c r="GC40" i="28"/>
  <c r="GD40" i="28"/>
  <c r="GE40" i="28"/>
  <c r="GF40" i="28"/>
  <c r="GG40" i="28"/>
  <c r="GH40" i="28"/>
  <c r="GI40" i="28"/>
  <c r="GJ40" i="28"/>
  <c r="GK40" i="28"/>
  <c r="GL40" i="28"/>
  <c r="GM40" i="28"/>
  <c r="GN40" i="28"/>
  <c r="GO40" i="28"/>
  <c r="BJ41" i="28"/>
  <c r="BK41" i="28"/>
  <c r="BL41" i="28"/>
  <c r="BM41" i="28"/>
  <c r="BN41" i="28"/>
  <c r="BO41" i="28"/>
  <c r="BP41" i="28"/>
  <c r="BQ41" i="28"/>
  <c r="BR41" i="28"/>
  <c r="BS41" i="28"/>
  <c r="BT41" i="28"/>
  <c r="BU41" i="28"/>
  <c r="BV41" i="28"/>
  <c r="BW41" i="28"/>
  <c r="BX41" i="28"/>
  <c r="BY41" i="28"/>
  <c r="BZ41" i="28"/>
  <c r="CA41" i="28"/>
  <c r="CB41" i="28"/>
  <c r="CC41" i="28"/>
  <c r="CD41" i="28"/>
  <c r="CE41" i="28"/>
  <c r="CF41" i="28"/>
  <c r="CG41" i="28"/>
  <c r="CH41" i="28"/>
  <c r="CI41" i="28"/>
  <c r="CJ41" i="28"/>
  <c r="CK41" i="28"/>
  <c r="CL41" i="28"/>
  <c r="CM41" i="28"/>
  <c r="CN41" i="28"/>
  <c r="CO41" i="28"/>
  <c r="CP41" i="28"/>
  <c r="CQ41" i="28"/>
  <c r="CR41" i="28"/>
  <c r="CS41" i="28"/>
  <c r="CT41" i="28"/>
  <c r="CU41" i="28"/>
  <c r="CV41" i="28"/>
  <c r="CW41" i="28"/>
  <c r="CX41" i="28"/>
  <c r="CY41" i="28"/>
  <c r="CZ41" i="28"/>
  <c r="DA41" i="28"/>
  <c r="DB41" i="28"/>
  <c r="DC41" i="28"/>
  <c r="DD41" i="28"/>
  <c r="DE41" i="28"/>
  <c r="DF41" i="28"/>
  <c r="DG41" i="28"/>
  <c r="DH41" i="28"/>
  <c r="DI41" i="28"/>
  <c r="DJ41" i="28"/>
  <c r="DK41" i="28"/>
  <c r="DL41" i="28"/>
  <c r="DM41" i="28"/>
  <c r="DN41" i="28"/>
  <c r="DO41" i="28"/>
  <c r="DP41" i="28"/>
  <c r="DQ41" i="28"/>
  <c r="DR41" i="28"/>
  <c r="DS41" i="28"/>
  <c r="DT41" i="28"/>
  <c r="DU41" i="28"/>
  <c r="DV41" i="28"/>
  <c r="DW41" i="28"/>
  <c r="DX41" i="28"/>
  <c r="DY41" i="28"/>
  <c r="DZ41" i="28"/>
  <c r="EA41" i="28"/>
  <c r="EB41" i="28"/>
  <c r="EC41" i="28"/>
  <c r="ED41" i="28"/>
  <c r="EE41" i="28"/>
  <c r="EF41" i="28"/>
  <c r="EG41" i="28"/>
  <c r="EH41" i="28"/>
  <c r="EI41" i="28"/>
  <c r="EJ41" i="28"/>
  <c r="EK41" i="28"/>
  <c r="EL41" i="28"/>
  <c r="EM41" i="28"/>
  <c r="EN41" i="28"/>
  <c r="EO41" i="28"/>
  <c r="EP41" i="28"/>
  <c r="EQ41" i="28"/>
  <c r="ER41" i="28"/>
  <c r="ES41" i="28"/>
  <c r="ET41" i="28"/>
  <c r="EU41" i="28"/>
  <c r="EV41" i="28"/>
  <c r="EW41" i="28"/>
  <c r="EX41" i="28"/>
  <c r="EY41" i="28"/>
  <c r="EZ41" i="28"/>
  <c r="FA41" i="28"/>
  <c r="FB41" i="28"/>
  <c r="FC41" i="28"/>
  <c r="FD41" i="28"/>
  <c r="FE41" i="28"/>
  <c r="FF41" i="28"/>
  <c r="FG41" i="28"/>
  <c r="FH41" i="28"/>
  <c r="FI41" i="28"/>
  <c r="FJ41" i="28"/>
  <c r="FK41" i="28"/>
  <c r="FL41" i="28"/>
  <c r="FM41" i="28"/>
  <c r="FN41" i="28"/>
  <c r="FO41" i="28"/>
  <c r="FP41" i="28"/>
  <c r="FQ41" i="28"/>
  <c r="FR41" i="28"/>
  <c r="FS41" i="28"/>
  <c r="FT41" i="28"/>
  <c r="FU41" i="28"/>
  <c r="FV41" i="28"/>
  <c r="FW41" i="28"/>
  <c r="FX41" i="28"/>
  <c r="FY41" i="28"/>
  <c r="FZ41" i="28"/>
  <c r="GA41" i="28"/>
  <c r="GB41" i="28"/>
  <c r="GC41" i="28"/>
  <c r="GD41" i="28"/>
  <c r="GE41" i="28"/>
  <c r="GF41" i="28"/>
  <c r="GG41" i="28"/>
  <c r="GH41" i="28"/>
  <c r="GI41" i="28"/>
  <c r="GJ41" i="28"/>
  <c r="GK41" i="28"/>
  <c r="GL41" i="28"/>
  <c r="GM41" i="28"/>
  <c r="GN41" i="28"/>
  <c r="GO41" i="28"/>
  <c r="BJ42" i="28"/>
  <c r="BK42" i="28"/>
  <c r="BL42" i="28"/>
  <c r="BM42" i="28"/>
  <c r="BN42" i="28"/>
  <c r="BO42" i="28"/>
  <c r="BP42" i="28"/>
  <c r="BQ42" i="28"/>
  <c r="BR42" i="28"/>
  <c r="BS42" i="28"/>
  <c r="BT42" i="28"/>
  <c r="BU42" i="28"/>
  <c r="BV42" i="28"/>
  <c r="BW42" i="28"/>
  <c r="BX42" i="28"/>
  <c r="BY42" i="28"/>
  <c r="BZ42" i="28"/>
  <c r="CA42" i="28"/>
  <c r="CB42" i="28"/>
  <c r="CC42" i="28"/>
  <c r="CD42" i="28"/>
  <c r="CE42" i="28"/>
  <c r="CF42" i="28"/>
  <c r="CG42" i="28"/>
  <c r="CH42" i="28"/>
  <c r="CI42" i="28"/>
  <c r="CJ42" i="28"/>
  <c r="CK42" i="28"/>
  <c r="CL42" i="28"/>
  <c r="CM42" i="28"/>
  <c r="CN42" i="28"/>
  <c r="CO42" i="28"/>
  <c r="CP42" i="28"/>
  <c r="CQ42" i="28"/>
  <c r="CR42" i="28"/>
  <c r="CS42" i="28"/>
  <c r="CT42" i="28"/>
  <c r="CU42" i="28"/>
  <c r="CV42" i="28"/>
  <c r="CW42" i="28"/>
  <c r="CX42" i="28"/>
  <c r="CY42" i="28"/>
  <c r="CZ42" i="28"/>
  <c r="DA42" i="28"/>
  <c r="DB42" i="28"/>
  <c r="DC42" i="28"/>
  <c r="DD42" i="28"/>
  <c r="DE42" i="28"/>
  <c r="DF42" i="28"/>
  <c r="DG42" i="28"/>
  <c r="DH42" i="28"/>
  <c r="DI42" i="28"/>
  <c r="DJ42" i="28"/>
  <c r="DK42" i="28"/>
  <c r="DL42" i="28"/>
  <c r="DM42" i="28"/>
  <c r="DN42" i="28"/>
  <c r="DO42" i="28"/>
  <c r="DP42" i="28"/>
  <c r="DQ42" i="28"/>
  <c r="DR42" i="28"/>
  <c r="DS42" i="28"/>
  <c r="DT42" i="28"/>
  <c r="DU42" i="28"/>
  <c r="DV42" i="28"/>
  <c r="DW42" i="28"/>
  <c r="DX42" i="28"/>
  <c r="DY42" i="28"/>
  <c r="DZ42" i="28"/>
  <c r="EA42" i="28"/>
  <c r="EB42" i="28"/>
  <c r="EC42" i="28"/>
  <c r="ED42" i="28"/>
  <c r="EE42" i="28"/>
  <c r="EF42" i="28"/>
  <c r="EG42" i="28"/>
  <c r="EH42" i="28"/>
  <c r="EI42" i="28"/>
  <c r="EJ42" i="28"/>
  <c r="EK42" i="28"/>
  <c r="EL42" i="28"/>
  <c r="EM42" i="28"/>
  <c r="EN42" i="28"/>
  <c r="EO42" i="28"/>
  <c r="EP42" i="28"/>
  <c r="EQ42" i="28"/>
  <c r="ER42" i="28"/>
  <c r="ES42" i="28"/>
  <c r="ET42" i="28"/>
  <c r="EU42" i="28"/>
  <c r="EV42" i="28"/>
  <c r="EW42" i="28"/>
  <c r="EX42" i="28"/>
  <c r="EY42" i="28"/>
  <c r="EZ42" i="28"/>
  <c r="FA42" i="28"/>
  <c r="FB42" i="28"/>
  <c r="FC42" i="28"/>
  <c r="FD42" i="28"/>
  <c r="FE42" i="28"/>
  <c r="FF42" i="28"/>
  <c r="FG42" i="28"/>
  <c r="FH42" i="28"/>
  <c r="FI42" i="28"/>
  <c r="FJ42" i="28"/>
  <c r="FK42" i="28"/>
  <c r="FL42" i="28"/>
  <c r="FM42" i="28"/>
  <c r="FN42" i="28"/>
  <c r="FO42" i="28"/>
  <c r="FP42" i="28"/>
  <c r="FQ42" i="28"/>
  <c r="FR42" i="28"/>
  <c r="FS42" i="28"/>
  <c r="FT42" i="28"/>
  <c r="FU42" i="28"/>
  <c r="FV42" i="28"/>
  <c r="FW42" i="28"/>
  <c r="FX42" i="28"/>
  <c r="FY42" i="28"/>
  <c r="FZ42" i="28"/>
  <c r="GA42" i="28"/>
  <c r="GB42" i="28"/>
  <c r="GC42" i="28"/>
  <c r="GD42" i="28"/>
  <c r="GE42" i="28"/>
  <c r="GF42" i="28"/>
  <c r="GG42" i="28"/>
  <c r="GH42" i="28"/>
  <c r="GI42" i="28"/>
  <c r="GJ42" i="28"/>
  <c r="GK42" i="28"/>
  <c r="GL42" i="28"/>
  <c r="GM42" i="28"/>
  <c r="GN42" i="28"/>
  <c r="GO42" i="28"/>
  <c r="BJ43" i="28"/>
  <c r="BK43" i="28"/>
  <c r="BL43" i="28"/>
  <c r="BM43" i="28"/>
  <c r="BN43" i="28"/>
  <c r="BO43" i="28"/>
  <c r="BP43" i="28"/>
  <c r="BQ43" i="28"/>
  <c r="BR43" i="28"/>
  <c r="BS43" i="28"/>
  <c r="BT43" i="28"/>
  <c r="BU43" i="28"/>
  <c r="BV43" i="28"/>
  <c r="BW43" i="28"/>
  <c r="BX43" i="28"/>
  <c r="BY43" i="28"/>
  <c r="BZ43" i="28"/>
  <c r="CA43" i="28"/>
  <c r="CB43" i="28"/>
  <c r="CC43" i="28"/>
  <c r="CD43" i="28"/>
  <c r="CE43" i="28"/>
  <c r="CF43" i="28"/>
  <c r="CG43" i="28"/>
  <c r="CH43" i="28"/>
  <c r="CI43" i="28"/>
  <c r="CJ43" i="28"/>
  <c r="CK43" i="28"/>
  <c r="CL43" i="28"/>
  <c r="CM43" i="28"/>
  <c r="CN43" i="28"/>
  <c r="CO43" i="28"/>
  <c r="CP43" i="28"/>
  <c r="CQ43" i="28"/>
  <c r="CR43" i="28"/>
  <c r="CS43" i="28"/>
  <c r="CT43" i="28"/>
  <c r="CU43" i="28"/>
  <c r="CV43" i="28"/>
  <c r="CW43" i="28"/>
  <c r="CX43" i="28"/>
  <c r="CY43" i="28"/>
  <c r="CZ43" i="28"/>
  <c r="DA43" i="28"/>
  <c r="DB43" i="28"/>
  <c r="DC43" i="28"/>
  <c r="DD43" i="28"/>
  <c r="DE43" i="28"/>
  <c r="DF43" i="28"/>
  <c r="DG43" i="28"/>
  <c r="DH43" i="28"/>
  <c r="DI43" i="28"/>
  <c r="DJ43" i="28"/>
  <c r="DK43" i="28"/>
  <c r="DL43" i="28"/>
  <c r="DM43" i="28"/>
  <c r="DN43" i="28"/>
  <c r="DO43" i="28"/>
  <c r="DP43" i="28"/>
  <c r="DQ43" i="28"/>
  <c r="DR43" i="28"/>
  <c r="DS43" i="28"/>
  <c r="DT43" i="28"/>
  <c r="DU43" i="28"/>
  <c r="DV43" i="28"/>
  <c r="DW43" i="28"/>
  <c r="DX43" i="28"/>
  <c r="DY43" i="28"/>
  <c r="DZ43" i="28"/>
  <c r="EA43" i="28"/>
  <c r="EB43" i="28"/>
  <c r="EC43" i="28"/>
  <c r="ED43" i="28"/>
  <c r="EE43" i="28"/>
  <c r="EF43" i="28"/>
  <c r="EG43" i="28"/>
  <c r="EH43" i="28"/>
  <c r="EI43" i="28"/>
  <c r="EJ43" i="28"/>
  <c r="EK43" i="28"/>
  <c r="EL43" i="28"/>
  <c r="EM43" i="28"/>
  <c r="EN43" i="28"/>
  <c r="EO43" i="28"/>
  <c r="EP43" i="28"/>
  <c r="EQ43" i="28"/>
  <c r="ER43" i="28"/>
  <c r="ES43" i="28"/>
  <c r="ET43" i="28"/>
  <c r="EU43" i="28"/>
  <c r="EV43" i="28"/>
  <c r="EW43" i="28"/>
  <c r="EX43" i="28"/>
  <c r="EY43" i="28"/>
  <c r="EZ43" i="28"/>
  <c r="FA43" i="28"/>
  <c r="FB43" i="28"/>
  <c r="FC43" i="28"/>
  <c r="FD43" i="28"/>
  <c r="FE43" i="28"/>
  <c r="FF43" i="28"/>
  <c r="FG43" i="28"/>
  <c r="FH43" i="28"/>
  <c r="FI43" i="28"/>
  <c r="FJ43" i="28"/>
  <c r="FK43" i="28"/>
  <c r="FL43" i="28"/>
  <c r="FM43" i="28"/>
  <c r="FN43" i="28"/>
  <c r="FO43" i="28"/>
  <c r="FP43" i="28"/>
  <c r="FQ43" i="28"/>
  <c r="FR43" i="28"/>
  <c r="FS43" i="28"/>
  <c r="FT43" i="28"/>
  <c r="FU43" i="28"/>
  <c r="FV43" i="28"/>
  <c r="FW43" i="28"/>
  <c r="FX43" i="28"/>
  <c r="FY43" i="28"/>
  <c r="FZ43" i="28"/>
  <c r="GA43" i="28"/>
  <c r="GB43" i="28"/>
  <c r="GC43" i="28"/>
  <c r="GD43" i="28"/>
  <c r="GE43" i="28"/>
  <c r="GF43" i="28"/>
  <c r="GG43" i="28"/>
  <c r="GH43" i="28"/>
  <c r="GI43" i="28"/>
  <c r="GJ43" i="28"/>
  <c r="GK43" i="28"/>
  <c r="GL43" i="28"/>
  <c r="GM43" i="28"/>
  <c r="GN43" i="28"/>
  <c r="GO43" i="28"/>
  <c r="BJ44" i="28"/>
  <c r="BK44" i="28"/>
  <c r="BL44" i="28"/>
  <c r="BM44" i="28"/>
  <c r="BN44" i="28"/>
  <c r="BO44" i="28"/>
  <c r="BP44" i="28"/>
  <c r="BQ44" i="28"/>
  <c r="BR44" i="28"/>
  <c r="BS44" i="28"/>
  <c r="BT44" i="28"/>
  <c r="BU44" i="28"/>
  <c r="BV44" i="28"/>
  <c r="BW44" i="28"/>
  <c r="BX44" i="28"/>
  <c r="BY44" i="28"/>
  <c r="BZ44" i="28"/>
  <c r="CA44" i="28"/>
  <c r="CB44" i="28"/>
  <c r="CC44" i="28"/>
  <c r="CD44" i="28"/>
  <c r="CE44" i="28"/>
  <c r="CF44" i="28"/>
  <c r="CG44" i="28"/>
  <c r="CH44" i="28"/>
  <c r="CI44" i="28"/>
  <c r="CJ44" i="28"/>
  <c r="CK44" i="28"/>
  <c r="CL44" i="28"/>
  <c r="CM44" i="28"/>
  <c r="CN44" i="28"/>
  <c r="CO44" i="28"/>
  <c r="CP44" i="28"/>
  <c r="CQ44" i="28"/>
  <c r="CR44" i="28"/>
  <c r="CS44" i="28"/>
  <c r="CT44" i="28"/>
  <c r="CU44" i="28"/>
  <c r="CV44" i="28"/>
  <c r="CW44" i="28"/>
  <c r="CX44" i="28"/>
  <c r="CY44" i="28"/>
  <c r="CZ44" i="28"/>
  <c r="DA44" i="28"/>
  <c r="DB44" i="28"/>
  <c r="DC44" i="28"/>
  <c r="DD44" i="28"/>
  <c r="DE44" i="28"/>
  <c r="DF44" i="28"/>
  <c r="DG44" i="28"/>
  <c r="DH44" i="28"/>
  <c r="DI44" i="28"/>
  <c r="DJ44" i="28"/>
  <c r="DK44" i="28"/>
  <c r="DL44" i="28"/>
  <c r="DM44" i="28"/>
  <c r="DN44" i="28"/>
  <c r="DO44" i="28"/>
  <c r="DP44" i="28"/>
  <c r="DQ44" i="28"/>
  <c r="DR44" i="28"/>
  <c r="DS44" i="28"/>
  <c r="DT44" i="28"/>
  <c r="DU44" i="28"/>
  <c r="DV44" i="28"/>
  <c r="DW44" i="28"/>
  <c r="DX44" i="28"/>
  <c r="DY44" i="28"/>
  <c r="DZ44" i="28"/>
  <c r="EA44" i="28"/>
  <c r="EB44" i="28"/>
  <c r="EC44" i="28"/>
  <c r="ED44" i="28"/>
  <c r="EE44" i="28"/>
  <c r="EF44" i="28"/>
  <c r="EG44" i="28"/>
  <c r="EH44" i="28"/>
  <c r="EI44" i="28"/>
  <c r="EJ44" i="28"/>
  <c r="EK44" i="28"/>
  <c r="EL44" i="28"/>
  <c r="EM44" i="28"/>
  <c r="EN44" i="28"/>
  <c r="EO44" i="28"/>
  <c r="EP44" i="28"/>
  <c r="EQ44" i="28"/>
  <c r="ER44" i="28"/>
  <c r="ES44" i="28"/>
  <c r="ET44" i="28"/>
  <c r="EU44" i="28"/>
  <c r="EV44" i="28"/>
  <c r="EW44" i="28"/>
  <c r="EX44" i="28"/>
  <c r="EY44" i="28"/>
  <c r="EZ44" i="28"/>
  <c r="FA44" i="28"/>
  <c r="FB44" i="28"/>
  <c r="FC44" i="28"/>
  <c r="FD44" i="28"/>
  <c r="FE44" i="28"/>
  <c r="FF44" i="28"/>
  <c r="FG44" i="28"/>
  <c r="FH44" i="28"/>
  <c r="FI44" i="28"/>
  <c r="FJ44" i="28"/>
  <c r="FK44" i="28"/>
  <c r="FL44" i="28"/>
  <c r="FM44" i="28"/>
  <c r="FN44" i="28"/>
  <c r="FO44" i="28"/>
  <c r="FP44" i="28"/>
  <c r="FQ44" i="28"/>
  <c r="FR44" i="28"/>
  <c r="FS44" i="28"/>
  <c r="FT44" i="28"/>
  <c r="FU44" i="28"/>
  <c r="FV44" i="28"/>
  <c r="FW44" i="28"/>
  <c r="FX44" i="28"/>
  <c r="FY44" i="28"/>
  <c r="FZ44" i="28"/>
  <c r="GA44" i="28"/>
  <c r="GB44" i="28"/>
  <c r="GC44" i="28"/>
  <c r="GD44" i="28"/>
  <c r="GE44" i="28"/>
  <c r="GF44" i="28"/>
  <c r="GG44" i="28"/>
  <c r="GH44" i="28"/>
  <c r="GI44" i="28"/>
  <c r="GJ44" i="28"/>
  <c r="GK44" i="28"/>
  <c r="GL44" i="28"/>
  <c r="GM44" i="28"/>
  <c r="GN44" i="28"/>
  <c r="GO44" i="28"/>
  <c r="BJ45" i="28"/>
  <c r="BK45" i="28"/>
  <c r="BL45" i="28"/>
  <c r="BM45" i="28"/>
  <c r="BN45" i="28"/>
  <c r="BO45" i="28"/>
  <c r="BP45" i="28"/>
  <c r="BQ45" i="28"/>
  <c r="BR45" i="28"/>
  <c r="BS45" i="28"/>
  <c r="BT45" i="28"/>
  <c r="BU45" i="28"/>
  <c r="BV45" i="28"/>
  <c r="BW45" i="28"/>
  <c r="BX45" i="28"/>
  <c r="BY45" i="28"/>
  <c r="BZ45" i="28"/>
  <c r="CA45" i="28"/>
  <c r="CB45" i="28"/>
  <c r="CC45" i="28"/>
  <c r="CD45" i="28"/>
  <c r="CE45" i="28"/>
  <c r="CF45" i="28"/>
  <c r="CG45" i="28"/>
  <c r="CH45" i="28"/>
  <c r="CI45" i="28"/>
  <c r="CJ45" i="28"/>
  <c r="CK45" i="28"/>
  <c r="CL45" i="28"/>
  <c r="CM45" i="28"/>
  <c r="CN45" i="28"/>
  <c r="CO45" i="28"/>
  <c r="CP45" i="28"/>
  <c r="CQ45" i="28"/>
  <c r="CR45" i="28"/>
  <c r="CS45" i="28"/>
  <c r="CT45" i="28"/>
  <c r="CU45" i="28"/>
  <c r="CV45" i="28"/>
  <c r="CW45" i="28"/>
  <c r="CX45" i="28"/>
  <c r="CY45" i="28"/>
  <c r="CZ45" i="28"/>
  <c r="DA45" i="28"/>
  <c r="DB45" i="28"/>
  <c r="DC45" i="28"/>
  <c r="DD45" i="28"/>
  <c r="DE45" i="28"/>
  <c r="DF45" i="28"/>
  <c r="DG45" i="28"/>
  <c r="DH45" i="28"/>
  <c r="DI45" i="28"/>
  <c r="DJ45" i="28"/>
  <c r="DK45" i="28"/>
  <c r="DL45" i="28"/>
  <c r="DM45" i="28"/>
  <c r="DN45" i="28"/>
  <c r="DO45" i="28"/>
  <c r="DP45" i="28"/>
  <c r="DQ45" i="28"/>
  <c r="DR45" i="28"/>
  <c r="DS45" i="28"/>
  <c r="DT45" i="28"/>
  <c r="DU45" i="28"/>
  <c r="DV45" i="28"/>
  <c r="DW45" i="28"/>
  <c r="DX45" i="28"/>
  <c r="DY45" i="28"/>
  <c r="DZ45" i="28"/>
  <c r="EA45" i="28"/>
  <c r="EB45" i="28"/>
  <c r="EC45" i="28"/>
  <c r="ED45" i="28"/>
  <c r="EE45" i="28"/>
  <c r="EF45" i="28"/>
  <c r="EG45" i="28"/>
  <c r="EH45" i="28"/>
  <c r="EI45" i="28"/>
  <c r="EJ45" i="28"/>
  <c r="EK45" i="28"/>
  <c r="EL45" i="28"/>
  <c r="EM45" i="28"/>
  <c r="EN45" i="28"/>
  <c r="EO45" i="28"/>
  <c r="EP45" i="28"/>
  <c r="EQ45" i="28"/>
  <c r="ER45" i="28"/>
  <c r="ES45" i="28"/>
  <c r="ET45" i="28"/>
  <c r="EU45" i="28"/>
  <c r="EV45" i="28"/>
  <c r="EW45" i="28"/>
  <c r="EX45" i="28"/>
  <c r="EY45" i="28"/>
  <c r="EZ45" i="28"/>
  <c r="FA45" i="28"/>
  <c r="FB45" i="28"/>
  <c r="FC45" i="28"/>
  <c r="FD45" i="28"/>
  <c r="FE45" i="28"/>
  <c r="FF45" i="28"/>
  <c r="FG45" i="28"/>
  <c r="FH45" i="28"/>
  <c r="FI45" i="28"/>
  <c r="FJ45" i="28"/>
  <c r="FK45" i="28"/>
  <c r="FL45" i="28"/>
  <c r="FM45" i="28"/>
  <c r="FN45" i="28"/>
  <c r="FO45" i="28"/>
  <c r="FP45" i="28"/>
  <c r="FQ45" i="28"/>
  <c r="FR45" i="28"/>
  <c r="FS45" i="28"/>
  <c r="FT45" i="28"/>
  <c r="FU45" i="28"/>
  <c r="FV45" i="28"/>
  <c r="FW45" i="28"/>
  <c r="FX45" i="28"/>
  <c r="FY45" i="28"/>
  <c r="FZ45" i="28"/>
  <c r="GA45" i="28"/>
  <c r="GB45" i="28"/>
  <c r="GC45" i="28"/>
  <c r="GD45" i="28"/>
  <c r="GE45" i="28"/>
  <c r="GF45" i="28"/>
  <c r="GG45" i="28"/>
  <c r="GH45" i="28"/>
  <c r="GI45" i="28"/>
  <c r="GJ45" i="28"/>
  <c r="GK45" i="28"/>
  <c r="GL45" i="28"/>
  <c r="GM45" i="28"/>
  <c r="GN45" i="28"/>
  <c r="BJ46" i="28"/>
  <c r="BK46" i="28"/>
  <c r="BL46" i="28"/>
  <c r="BM46" i="28"/>
  <c r="BN46" i="28"/>
  <c r="BO46" i="28"/>
  <c r="BP46" i="28"/>
  <c r="BQ46" i="28"/>
  <c r="BR46" i="28"/>
  <c r="BS46" i="28"/>
  <c r="BT46" i="28"/>
  <c r="BU46" i="28"/>
  <c r="BV46" i="28"/>
  <c r="BW46" i="28"/>
  <c r="BX46" i="28"/>
  <c r="BY46" i="28"/>
  <c r="BZ46" i="28"/>
  <c r="CA46" i="28"/>
  <c r="CB46" i="28"/>
  <c r="CC46" i="28"/>
  <c r="CD46" i="28"/>
  <c r="CE46" i="28"/>
  <c r="CF46" i="28"/>
  <c r="CG46" i="28"/>
  <c r="CH46" i="28"/>
  <c r="CI46" i="28"/>
  <c r="CJ46" i="28"/>
  <c r="CK46" i="28"/>
  <c r="CL46" i="28"/>
  <c r="CM46" i="28"/>
  <c r="CN46" i="28"/>
  <c r="CO46" i="28"/>
  <c r="CP46" i="28"/>
  <c r="CQ46" i="28"/>
  <c r="CR46" i="28"/>
  <c r="CS46" i="28"/>
  <c r="CT46" i="28"/>
  <c r="CU46" i="28"/>
  <c r="CV46" i="28"/>
  <c r="CW46" i="28"/>
  <c r="CX46" i="28"/>
  <c r="CY46" i="28"/>
  <c r="CZ46" i="28"/>
  <c r="DA46" i="28"/>
  <c r="DB46" i="28"/>
  <c r="DC46" i="28"/>
  <c r="DD46" i="28"/>
  <c r="DE46" i="28"/>
  <c r="DF46" i="28"/>
  <c r="DG46" i="28"/>
  <c r="DH46" i="28"/>
  <c r="DI46" i="28"/>
  <c r="DJ46" i="28"/>
  <c r="DK46" i="28"/>
  <c r="DL46" i="28"/>
  <c r="DM46" i="28"/>
  <c r="DN46" i="28"/>
  <c r="DO46" i="28"/>
  <c r="DP46" i="28"/>
  <c r="DQ46" i="28"/>
  <c r="DR46" i="28"/>
  <c r="DS46" i="28"/>
  <c r="DT46" i="28"/>
  <c r="DU46" i="28"/>
  <c r="DV46" i="28"/>
  <c r="DW46" i="28"/>
  <c r="DX46" i="28"/>
  <c r="DY46" i="28"/>
  <c r="DZ46" i="28"/>
  <c r="EA46" i="28"/>
  <c r="EB46" i="28"/>
  <c r="EC46" i="28"/>
  <c r="ED46" i="28"/>
  <c r="EE46" i="28"/>
  <c r="EF46" i="28"/>
  <c r="EG46" i="28"/>
  <c r="EH46" i="28"/>
  <c r="EI46" i="28"/>
  <c r="EJ46" i="28"/>
  <c r="EK46" i="28"/>
  <c r="EL46" i="28"/>
  <c r="EM46" i="28"/>
  <c r="EN46" i="28"/>
  <c r="EO46" i="28"/>
  <c r="EP46" i="28"/>
  <c r="EQ46" i="28"/>
  <c r="ER46" i="28"/>
  <c r="ES46" i="28"/>
  <c r="ET46" i="28"/>
  <c r="EU46" i="28"/>
  <c r="EV46" i="28"/>
  <c r="EW46" i="28"/>
  <c r="EX46" i="28"/>
  <c r="EY46" i="28"/>
  <c r="EZ46" i="28"/>
  <c r="FA46" i="28"/>
  <c r="FB46" i="28"/>
  <c r="FC46" i="28"/>
  <c r="FD46" i="28"/>
  <c r="FE46" i="28"/>
  <c r="FF46" i="28"/>
  <c r="FG46" i="28"/>
  <c r="FK46" i="28"/>
  <c r="FL46" i="28"/>
  <c r="FM46" i="28"/>
  <c r="FN46" i="28"/>
  <c r="FO46" i="28"/>
  <c r="FP46" i="28"/>
  <c r="FQ46" i="28"/>
  <c r="FR46" i="28"/>
  <c r="FS46" i="28"/>
  <c r="FT46" i="28"/>
  <c r="FU46" i="28"/>
  <c r="FV46" i="28"/>
  <c r="FW46" i="28"/>
  <c r="FX46" i="28"/>
  <c r="FY46" i="28"/>
  <c r="FZ46" i="28"/>
  <c r="GA46" i="28"/>
  <c r="GB46" i="28"/>
  <c r="GC46" i="28"/>
  <c r="GD46" i="28"/>
  <c r="GE46" i="28"/>
  <c r="GF46" i="28"/>
  <c r="GG46" i="28"/>
  <c r="GH46" i="28"/>
  <c r="GI46" i="28"/>
  <c r="GJ46" i="28"/>
  <c r="GK46" i="28"/>
  <c r="GL46" i="28"/>
  <c r="GM46" i="28"/>
  <c r="GN46" i="28"/>
  <c r="GO46" i="28"/>
  <c r="BJ47" i="28"/>
  <c r="BK47" i="28"/>
  <c r="BL47" i="28"/>
  <c r="BM47" i="28"/>
  <c r="BN47" i="28"/>
  <c r="BO47" i="28"/>
  <c r="BP47" i="28"/>
  <c r="BQ47" i="28"/>
  <c r="BR47" i="28"/>
  <c r="BS47" i="28"/>
  <c r="BT47" i="28"/>
  <c r="BU47" i="28"/>
  <c r="BV47" i="28"/>
  <c r="BW47" i="28"/>
  <c r="BX47" i="28"/>
  <c r="BY47" i="28"/>
  <c r="BZ47" i="28"/>
  <c r="CA47" i="28"/>
  <c r="CB47" i="28"/>
  <c r="CC47" i="28"/>
  <c r="CD47" i="28"/>
  <c r="CE47" i="28"/>
  <c r="CF47" i="28"/>
  <c r="CG47" i="28"/>
  <c r="CH47" i="28"/>
  <c r="CI47" i="28"/>
  <c r="CJ47" i="28"/>
  <c r="CK47" i="28"/>
  <c r="CL47" i="28"/>
  <c r="CM47" i="28"/>
  <c r="CN47" i="28"/>
  <c r="CO47" i="28"/>
  <c r="CP47" i="28"/>
  <c r="CQ47" i="28"/>
  <c r="CR47" i="28"/>
  <c r="CS47" i="28"/>
  <c r="CT47" i="28"/>
  <c r="CU47" i="28"/>
  <c r="CV47" i="28"/>
  <c r="CW47" i="28"/>
  <c r="CX47" i="28"/>
  <c r="CY47" i="28"/>
  <c r="CZ47" i="28"/>
  <c r="DA47" i="28"/>
  <c r="DB47" i="28"/>
  <c r="DC47" i="28"/>
  <c r="DD47" i="28"/>
  <c r="DE47" i="28"/>
  <c r="DF47" i="28"/>
  <c r="DG47" i="28"/>
  <c r="DH47" i="28"/>
  <c r="DI47" i="28"/>
  <c r="DJ47" i="28"/>
  <c r="DK47" i="28"/>
  <c r="DL47" i="28"/>
  <c r="DM47" i="28"/>
  <c r="DN47" i="28"/>
  <c r="DO47" i="28"/>
  <c r="DP47" i="28"/>
  <c r="DQ47" i="28"/>
  <c r="DR47" i="28"/>
  <c r="DS47" i="28"/>
  <c r="DT47" i="28"/>
  <c r="DU47" i="28"/>
  <c r="DV47" i="28"/>
  <c r="DW47" i="28"/>
  <c r="DX47" i="28"/>
  <c r="DY47" i="28"/>
  <c r="DZ47" i="28"/>
  <c r="EA47" i="28"/>
  <c r="EB47" i="28"/>
  <c r="EC47" i="28"/>
  <c r="ED47" i="28"/>
  <c r="EE47" i="28"/>
  <c r="EF47" i="28"/>
  <c r="EG47" i="28"/>
  <c r="EH47" i="28"/>
  <c r="EI47" i="28"/>
  <c r="EJ47" i="28"/>
  <c r="EK47" i="28"/>
  <c r="EL47" i="28"/>
  <c r="EM47" i="28"/>
  <c r="EN47" i="28"/>
  <c r="EO47" i="28"/>
  <c r="EP47" i="28"/>
  <c r="EQ47" i="28"/>
  <c r="ER47" i="28"/>
  <c r="ES47" i="28"/>
  <c r="ET47" i="28"/>
  <c r="EU47" i="28"/>
  <c r="EV47" i="28"/>
  <c r="EW47" i="28"/>
  <c r="EX47" i="28"/>
  <c r="EY47" i="28"/>
  <c r="EZ47" i="28"/>
  <c r="FA47" i="28"/>
  <c r="FB47" i="28"/>
  <c r="FC47" i="28"/>
  <c r="FD47" i="28"/>
  <c r="FE47" i="28"/>
  <c r="FF47" i="28"/>
  <c r="FG47" i="28"/>
  <c r="FH47" i="28"/>
  <c r="FI47" i="28"/>
  <c r="FJ47" i="28"/>
  <c r="FK47" i="28"/>
  <c r="FL47" i="28"/>
  <c r="FM47" i="28"/>
  <c r="FN47" i="28"/>
  <c r="FO47" i="28"/>
  <c r="FP47" i="28"/>
  <c r="FQ47" i="28"/>
  <c r="FR47" i="28"/>
  <c r="FS47" i="28"/>
  <c r="FT47" i="28"/>
  <c r="FU47" i="28"/>
  <c r="FV47" i="28"/>
  <c r="FW47" i="28"/>
  <c r="FX47" i="28"/>
  <c r="FY47" i="28"/>
  <c r="FZ47" i="28"/>
  <c r="GA47" i="28"/>
  <c r="GB47" i="28"/>
  <c r="GC47" i="28"/>
  <c r="GD47" i="28"/>
  <c r="GE47" i="28"/>
  <c r="GF47" i="28"/>
  <c r="GM47" i="28"/>
  <c r="GO47" i="28"/>
  <c r="BQ48" i="28"/>
  <c r="BR48" i="28"/>
  <c r="BS48" i="28"/>
  <c r="BT48" i="28"/>
  <c r="BU48" i="28"/>
  <c r="BV48" i="28"/>
  <c r="BW48" i="28"/>
  <c r="BX48" i="28"/>
  <c r="BY48" i="28"/>
  <c r="CB48" i="28"/>
  <c r="CC48" i="28"/>
  <c r="CD48" i="28"/>
  <c r="CE48" i="28"/>
  <c r="CF48" i="28"/>
  <c r="CG48" i="28"/>
  <c r="CH48" i="28"/>
  <c r="CI48" i="28"/>
  <c r="CJ48" i="28"/>
  <c r="CK48" i="28"/>
  <c r="CL48" i="28"/>
  <c r="CM48" i="28"/>
  <c r="CN48" i="28"/>
  <c r="CO48" i="28"/>
  <c r="CP48" i="28"/>
  <c r="CQ48" i="28"/>
  <c r="CR48" i="28"/>
  <c r="CS48" i="28"/>
  <c r="CT48" i="28"/>
  <c r="CU48" i="28"/>
  <c r="CV48" i="28"/>
  <c r="CW48" i="28"/>
  <c r="CX48" i="28"/>
  <c r="CY48" i="28"/>
  <c r="CZ48" i="28"/>
  <c r="DA48" i="28"/>
  <c r="DB48" i="28"/>
  <c r="DC48" i="28"/>
  <c r="DD48" i="28"/>
  <c r="DE48" i="28"/>
  <c r="DF48" i="28"/>
  <c r="DG48" i="28"/>
  <c r="DH48" i="28"/>
  <c r="DI48" i="28"/>
  <c r="DJ48" i="28"/>
  <c r="DK48" i="28"/>
  <c r="DL48" i="28"/>
  <c r="DM48" i="28"/>
  <c r="DN48" i="28"/>
  <c r="DO48" i="28"/>
  <c r="DP48" i="28"/>
  <c r="DQ48" i="28"/>
  <c r="DR48" i="28"/>
  <c r="DS48" i="28"/>
  <c r="DT48" i="28"/>
  <c r="DU48" i="28"/>
  <c r="DV48" i="28"/>
  <c r="DW48" i="28"/>
  <c r="DX48" i="28"/>
  <c r="DY48" i="28"/>
  <c r="DZ48" i="28"/>
  <c r="EA48" i="28"/>
  <c r="EB48" i="28"/>
  <c r="EC48" i="28"/>
  <c r="ED48" i="28"/>
  <c r="EE48" i="28"/>
  <c r="EF48" i="28"/>
  <c r="EG48" i="28"/>
  <c r="EH48" i="28"/>
  <c r="EI48" i="28"/>
  <c r="EJ48" i="28"/>
  <c r="EK48" i="28"/>
  <c r="EL48" i="28"/>
  <c r="EM48" i="28"/>
  <c r="EN48" i="28"/>
  <c r="EO48" i="28"/>
  <c r="EP48" i="28"/>
  <c r="EQ48" i="28"/>
  <c r="ER48" i="28"/>
  <c r="ES48" i="28"/>
  <c r="ET48" i="28"/>
  <c r="EU48" i="28"/>
  <c r="EV48" i="28"/>
  <c r="EW48" i="28"/>
  <c r="EX48" i="28"/>
  <c r="EY48" i="28"/>
  <c r="EZ48" i="28"/>
  <c r="FA48" i="28"/>
  <c r="FB48" i="28"/>
  <c r="FC48" i="28"/>
  <c r="FD48" i="28"/>
  <c r="FE48" i="28"/>
  <c r="FF48" i="28"/>
  <c r="FG48" i="28"/>
  <c r="FH48" i="28"/>
  <c r="FI48" i="28"/>
  <c r="FJ48" i="28"/>
  <c r="FK48" i="28"/>
  <c r="FL48" i="28"/>
  <c r="FM48" i="28"/>
  <c r="FN48" i="28"/>
  <c r="FO48" i="28"/>
  <c r="FP48" i="28"/>
  <c r="FQ48" i="28"/>
  <c r="FR48" i="28"/>
  <c r="FS48" i="28"/>
  <c r="FT48" i="28"/>
  <c r="FU48" i="28"/>
  <c r="FV48" i="28"/>
  <c r="FW48" i="28"/>
  <c r="FX48" i="28"/>
  <c r="FY48" i="28"/>
  <c r="FZ48" i="28"/>
  <c r="GA48" i="28"/>
  <c r="GB48" i="28"/>
  <c r="GC48" i="28"/>
  <c r="GD48" i="28"/>
  <c r="GE48" i="28"/>
  <c r="GF48" i="28"/>
  <c r="GG48" i="28"/>
  <c r="GH48" i="28"/>
  <c r="GI48" i="28"/>
  <c r="GJ48" i="28"/>
  <c r="GK48" i="28"/>
  <c r="GL48" i="28"/>
  <c r="GM48" i="28"/>
  <c r="GN48" i="28"/>
  <c r="GO48" i="28"/>
  <c r="BQ49" i="28"/>
  <c r="BR49" i="28"/>
  <c r="BS49" i="28"/>
  <c r="BW49" i="28"/>
  <c r="BX49" i="28"/>
  <c r="BY49" i="28"/>
  <c r="CB49" i="28"/>
  <c r="CC49" i="28"/>
  <c r="CH49" i="28"/>
  <c r="CP49" i="28"/>
  <c r="CQ49" i="28"/>
  <c r="CR49" i="28"/>
  <c r="CS49" i="28"/>
  <c r="CT49" i="28"/>
  <c r="CU49" i="28"/>
  <c r="CV49" i="28"/>
  <c r="CW49" i="28"/>
  <c r="CX49" i="28"/>
  <c r="CY49" i="28"/>
  <c r="CZ49" i="28"/>
  <c r="DA49" i="28"/>
  <c r="DB49" i="28"/>
  <c r="DC49" i="28"/>
  <c r="DD49" i="28"/>
  <c r="DE49" i="28"/>
  <c r="DF49" i="28"/>
  <c r="DG49" i="28"/>
  <c r="DH49" i="28"/>
  <c r="DI49" i="28"/>
  <c r="DJ49" i="28"/>
  <c r="DK49" i="28"/>
  <c r="DL49" i="28"/>
  <c r="DM49" i="28"/>
  <c r="DN49" i="28"/>
  <c r="DO49" i="28"/>
  <c r="DP49" i="28"/>
  <c r="DQ49" i="28"/>
  <c r="DR49" i="28"/>
  <c r="DS49" i="28"/>
  <c r="DT49" i="28"/>
  <c r="DU49" i="28"/>
  <c r="DV49" i="28"/>
  <c r="DW49" i="28"/>
  <c r="DX49" i="28"/>
  <c r="DY49" i="28"/>
  <c r="DZ49" i="28"/>
  <c r="EA49" i="28"/>
  <c r="EB49" i="28"/>
  <c r="EC49" i="28"/>
  <c r="ED49" i="28"/>
  <c r="EE49" i="28"/>
  <c r="EF49" i="28"/>
  <c r="EG49" i="28"/>
  <c r="EH49" i="28"/>
  <c r="EI49" i="28"/>
  <c r="EJ49" i="28"/>
  <c r="EK49" i="28"/>
  <c r="EL49" i="28"/>
  <c r="EM49" i="28"/>
  <c r="EN49" i="28"/>
  <c r="EO49" i="28"/>
  <c r="EP49" i="28"/>
  <c r="EQ49" i="28"/>
  <c r="ER49" i="28"/>
  <c r="ES49" i="28"/>
  <c r="ET49" i="28"/>
  <c r="EU49" i="28"/>
  <c r="EV49" i="28"/>
  <c r="EW49" i="28"/>
  <c r="EX49" i="28"/>
  <c r="EY49" i="28"/>
  <c r="EZ49" i="28"/>
  <c r="FA49" i="28"/>
  <c r="FB49" i="28"/>
  <c r="FC49" i="28"/>
  <c r="FD49" i="28"/>
  <c r="FE49" i="28"/>
  <c r="FF49" i="28"/>
  <c r="FG49" i="28"/>
  <c r="FK49" i="28"/>
  <c r="FL49" i="28"/>
  <c r="FM49" i="28"/>
  <c r="FN49" i="28"/>
  <c r="FO49" i="28"/>
  <c r="FP49" i="28"/>
  <c r="FQ49" i="28"/>
  <c r="FR49" i="28"/>
  <c r="FS49" i="28"/>
  <c r="FT49" i="28"/>
  <c r="FU49" i="28"/>
  <c r="FV49" i="28"/>
  <c r="FW49" i="28"/>
  <c r="FX49" i="28"/>
  <c r="FY49" i="28"/>
  <c r="FZ49" i="28"/>
  <c r="GA49" i="28"/>
  <c r="GB49" i="28"/>
  <c r="GC49" i="28"/>
  <c r="GD49" i="28"/>
  <c r="GE49" i="28"/>
  <c r="GF49" i="28"/>
  <c r="GG49" i="28"/>
  <c r="GH49" i="28"/>
  <c r="GI49" i="28"/>
  <c r="GJ49" i="28"/>
  <c r="GK49" i="28"/>
  <c r="GL49" i="28"/>
  <c r="GM49" i="28"/>
  <c r="GN49" i="28"/>
  <c r="GO49" i="28"/>
  <c r="BJ50" i="28"/>
  <c r="BK50" i="28"/>
  <c r="BL50" i="28"/>
  <c r="BM50" i="28"/>
  <c r="BN50" i="28"/>
  <c r="BO50" i="28"/>
  <c r="BP50" i="28"/>
  <c r="BQ50" i="28"/>
  <c r="BR50" i="28"/>
  <c r="BS50" i="28"/>
  <c r="BT50" i="28"/>
  <c r="BU50" i="28"/>
  <c r="BV50" i="28"/>
  <c r="BW50" i="28"/>
  <c r="BX50" i="28"/>
  <c r="BY50" i="28"/>
  <c r="BZ50" i="28"/>
  <c r="CA50" i="28"/>
  <c r="CB50" i="28"/>
  <c r="CC50" i="28"/>
  <c r="CD50" i="28"/>
  <c r="CE50" i="28"/>
  <c r="CF50" i="28"/>
  <c r="CG50" i="28"/>
  <c r="CH50" i="28"/>
  <c r="CI50" i="28"/>
  <c r="CJ50" i="28"/>
  <c r="CK50" i="28"/>
  <c r="CL50" i="28"/>
  <c r="CM50" i="28"/>
  <c r="CN50" i="28"/>
  <c r="CO50" i="28"/>
  <c r="CP50" i="28"/>
  <c r="CQ50" i="28"/>
  <c r="CR50" i="28"/>
  <c r="CS50" i="28"/>
  <c r="CT50" i="28"/>
  <c r="CU50" i="28"/>
  <c r="CV50" i="28"/>
  <c r="CW50" i="28"/>
  <c r="CX50" i="28"/>
  <c r="CY50" i="28"/>
  <c r="CZ50" i="28"/>
  <c r="DA50" i="28"/>
  <c r="DB50" i="28"/>
  <c r="DC50" i="28"/>
  <c r="DD50" i="28"/>
  <c r="DE50" i="28"/>
  <c r="DF50" i="28"/>
  <c r="DG50" i="28"/>
  <c r="DH50" i="28"/>
  <c r="DI50" i="28"/>
  <c r="DJ50" i="28"/>
  <c r="DK50" i="28"/>
  <c r="DL50" i="28"/>
  <c r="DM50" i="28"/>
  <c r="DN50" i="28"/>
  <c r="DO50" i="28"/>
  <c r="DP50" i="28"/>
  <c r="DQ50" i="28"/>
  <c r="DR50" i="28"/>
  <c r="DS50" i="28"/>
  <c r="DT50" i="28"/>
  <c r="DU50" i="28"/>
  <c r="DV50" i="28"/>
  <c r="DW50" i="28"/>
  <c r="DX50" i="28"/>
  <c r="DY50" i="28"/>
  <c r="DZ50" i="28"/>
  <c r="EA50" i="28"/>
  <c r="EB50" i="28"/>
  <c r="EC50" i="28"/>
  <c r="ED50" i="28"/>
  <c r="EI50" i="28"/>
  <c r="EJ50" i="28"/>
  <c r="EK50" i="28"/>
  <c r="EL50" i="28"/>
  <c r="EM50" i="28"/>
  <c r="EN50" i="28"/>
  <c r="EO50" i="28"/>
  <c r="EP50" i="28"/>
  <c r="EQ50" i="28"/>
  <c r="ER50" i="28"/>
  <c r="ES50" i="28"/>
  <c r="ET50" i="28"/>
  <c r="EU50" i="28"/>
  <c r="EV50" i="28"/>
  <c r="FB50" i="28"/>
  <c r="FC50" i="28"/>
  <c r="FD50" i="28"/>
  <c r="FE50" i="28"/>
  <c r="FF50" i="28"/>
  <c r="FH50" i="28"/>
  <c r="FI50" i="28"/>
  <c r="FJ50" i="28"/>
  <c r="FU50" i="28"/>
  <c r="FV50" i="28"/>
  <c r="FW50" i="28"/>
  <c r="FX50" i="28"/>
  <c r="FY50" i="28"/>
  <c r="FZ50" i="28"/>
  <c r="GA50" i="28"/>
  <c r="GB50" i="28"/>
  <c r="GC50" i="28"/>
  <c r="GD50" i="28"/>
  <c r="GE50" i="28"/>
  <c r="GF50" i="28"/>
  <c r="GO50" i="28"/>
  <c r="BM51" i="28"/>
  <c r="BP51" i="28"/>
  <c r="BQ51" i="28"/>
  <c r="BR51" i="28"/>
  <c r="BS51" i="28"/>
  <c r="BT51" i="28"/>
  <c r="BU51" i="28"/>
  <c r="BV51" i="28"/>
  <c r="BW51" i="28"/>
  <c r="BX51" i="28"/>
  <c r="BY51" i="28"/>
  <c r="BZ51" i="28"/>
  <c r="CA51" i="28"/>
  <c r="CB51" i="28"/>
  <c r="CC51" i="28"/>
  <c r="CD51" i="28"/>
  <c r="CE51" i="28"/>
  <c r="CF51" i="28"/>
  <c r="CG51" i="28"/>
  <c r="CH51" i="28"/>
  <c r="CI51" i="28"/>
  <c r="CJ51" i="28"/>
  <c r="CK51" i="28"/>
  <c r="CL51" i="28"/>
  <c r="CM51" i="28"/>
  <c r="CN51" i="28"/>
  <c r="CO51" i="28"/>
  <c r="CP51" i="28"/>
  <c r="CQ51" i="28"/>
  <c r="CR51" i="28"/>
  <c r="CS51" i="28"/>
  <c r="CT51" i="28"/>
  <c r="CU51" i="28"/>
  <c r="CV51" i="28"/>
  <c r="CW51" i="28"/>
  <c r="CX51" i="28"/>
  <c r="CY51" i="28"/>
  <c r="CZ51" i="28"/>
  <c r="DA51" i="28"/>
  <c r="DB51" i="28"/>
  <c r="DC51" i="28"/>
  <c r="DD51" i="28"/>
  <c r="DE51" i="28"/>
  <c r="DF51" i="28"/>
  <c r="DG51" i="28"/>
  <c r="DH51" i="28"/>
  <c r="DI51" i="28"/>
  <c r="DJ51" i="28"/>
  <c r="DK51" i="28"/>
  <c r="DL51" i="28"/>
  <c r="DM51" i="28"/>
  <c r="DN51" i="28"/>
  <c r="DO51" i="28"/>
  <c r="DP51" i="28"/>
  <c r="DQ51" i="28"/>
  <c r="DR51" i="28"/>
  <c r="DS51" i="28"/>
  <c r="DT51" i="28"/>
  <c r="DU51" i="28"/>
  <c r="DV51" i="28"/>
  <c r="DW51" i="28"/>
  <c r="DX51" i="28"/>
  <c r="DY51" i="28"/>
  <c r="DZ51" i="28"/>
  <c r="EA51" i="28"/>
  <c r="EB51" i="28"/>
  <c r="EC51" i="28"/>
  <c r="ED51" i="28"/>
  <c r="EE51" i="28"/>
  <c r="EF51" i="28"/>
  <c r="EG51" i="28"/>
  <c r="EH51" i="28"/>
  <c r="EI51" i="28"/>
  <c r="EJ51" i="28"/>
  <c r="EK51" i="28"/>
  <c r="EL51" i="28"/>
  <c r="EM51" i="28"/>
  <c r="EN51" i="28"/>
  <c r="EO51" i="28"/>
  <c r="EP51" i="28"/>
  <c r="EQ51" i="28"/>
  <c r="ER51" i="28"/>
  <c r="ES51" i="28"/>
  <c r="ET51" i="28"/>
  <c r="EU51" i="28"/>
  <c r="EV51" i="28"/>
  <c r="EW51" i="28"/>
  <c r="EX51" i="28"/>
  <c r="EY51" i="28"/>
  <c r="EZ51" i="28"/>
  <c r="FA51" i="28"/>
  <c r="FB51" i="28"/>
  <c r="FC51" i="28"/>
  <c r="FD51" i="28"/>
  <c r="FE51" i="28"/>
  <c r="FF51" i="28"/>
  <c r="FG51" i="28"/>
  <c r="FH51" i="28"/>
  <c r="FI51" i="28"/>
  <c r="FJ51" i="28"/>
  <c r="FK51" i="28"/>
  <c r="FL51" i="28"/>
  <c r="FM51" i="28"/>
  <c r="FN51" i="28"/>
  <c r="FO51" i="28"/>
  <c r="FP51" i="28"/>
  <c r="FQ51" i="28"/>
  <c r="FR51" i="28"/>
  <c r="FS51" i="28"/>
  <c r="FT51" i="28"/>
  <c r="FU51" i="28"/>
  <c r="FV51" i="28"/>
  <c r="FW51" i="28"/>
  <c r="FX51" i="28"/>
  <c r="FY51" i="28"/>
  <c r="FZ51" i="28"/>
  <c r="GA51" i="28"/>
  <c r="GB51" i="28"/>
  <c r="GC51" i="28"/>
  <c r="GD51" i="28"/>
  <c r="GE51" i="28"/>
  <c r="GF51" i="28"/>
  <c r="GG51" i="28"/>
  <c r="GH51" i="28"/>
  <c r="GI51" i="28"/>
  <c r="GJ51" i="28"/>
  <c r="GK51" i="28"/>
  <c r="GL51" i="28"/>
  <c r="GM51" i="28"/>
  <c r="GN51" i="28"/>
  <c r="GO51" i="28"/>
  <c r="BM52" i="28"/>
  <c r="BP52" i="28"/>
  <c r="BQ52" i="28"/>
  <c r="BR52" i="28"/>
  <c r="BS52" i="28"/>
  <c r="BT52" i="28"/>
  <c r="BU52" i="28"/>
  <c r="BV52" i="28"/>
  <c r="BW52" i="28"/>
  <c r="BX52" i="28"/>
  <c r="BY52" i="28"/>
  <c r="BZ52" i="28"/>
  <c r="CA52" i="28"/>
  <c r="CB52" i="28"/>
  <c r="CC52" i="28"/>
  <c r="CD52" i="28"/>
  <c r="CE52" i="28"/>
  <c r="CF52" i="28"/>
  <c r="CG52" i="28"/>
  <c r="CH52" i="28"/>
  <c r="CI52" i="28"/>
  <c r="CJ52" i="28"/>
  <c r="CK52" i="28"/>
  <c r="CL52" i="28"/>
  <c r="CM52" i="28"/>
  <c r="CN52" i="28"/>
  <c r="CO52" i="28"/>
  <c r="CP52" i="28"/>
  <c r="CQ52" i="28"/>
  <c r="CR52" i="28"/>
  <c r="CS52" i="28"/>
  <c r="CT52" i="28"/>
  <c r="CU52" i="28"/>
  <c r="CV52" i="28"/>
  <c r="CW52" i="28"/>
  <c r="CX52" i="28"/>
  <c r="CY52" i="28"/>
  <c r="CZ52" i="28"/>
  <c r="DA52" i="28"/>
  <c r="DB52" i="28"/>
  <c r="DC52" i="28"/>
  <c r="DD52" i="28"/>
  <c r="DE52" i="28"/>
  <c r="DF52" i="28"/>
  <c r="DG52" i="28"/>
  <c r="DH52" i="28"/>
  <c r="DI52" i="28"/>
  <c r="DJ52" i="28"/>
  <c r="DK52" i="28"/>
  <c r="DL52" i="28"/>
  <c r="DM52" i="28"/>
  <c r="DN52" i="28"/>
  <c r="DO52" i="28"/>
  <c r="DP52" i="28"/>
  <c r="DQ52" i="28"/>
  <c r="DR52" i="28"/>
  <c r="DS52" i="28"/>
  <c r="DT52" i="28"/>
  <c r="DU52" i="28"/>
  <c r="DV52" i="28"/>
  <c r="DW52" i="28"/>
  <c r="DX52" i="28"/>
  <c r="DY52" i="28"/>
  <c r="DZ52" i="28"/>
  <c r="EA52" i="28"/>
  <c r="EB52" i="28"/>
  <c r="EC52" i="28"/>
  <c r="ED52" i="28"/>
  <c r="EE52" i="28"/>
  <c r="EF52" i="28"/>
  <c r="EG52" i="28"/>
  <c r="EH52" i="28"/>
  <c r="EI52" i="28"/>
  <c r="EJ52" i="28"/>
  <c r="EK52" i="28"/>
  <c r="EL52" i="28"/>
  <c r="EM52" i="28"/>
  <c r="EN52" i="28"/>
  <c r="EO52" i="28"/>
  <c r="EP52" i="28"/>
  <c r="EQ52" i="28"/>
  <c r="ER52" i="28"/>
  <c r="ES52" i="28"/>
  <c r="ET52" i="28"/>
  <c r="EU52" i="28"/>
  <c r="EV52" i="28"/>
  <c r="EW52" i="28"/>
  <c r="EX52" i="28"/>
  <c r="EY52" i="28"/>
  <c r="EZ52" i="28"/>
  <c r="FA52" i="28"/>
  <c r="FB52" i="28"/>
  <c r="FC52" i="28"/>
  <c r="FD52" i="28"/>
  <c r="FE52" i="28"/>
  <c r="FF52" i="28"/>
  <c r="FG52" i="28"/>
  <c r="FH52" i="28"/>
  <c r="FI52" i="28"/>
  <c r="FJ52" i="28"/>
  <c r="FK52" i="28"/>
  <c r="FL52" i="28"/>
  <c r="FM52" i="28"/>
  <c r="FN52" i="28"/>
  <c r="FO52" i="28"/>
  <c r="FP52" i="28"/>
  <c r="FQ52" i="28"/>
  <c r="FR52" i="28"/>
  <c r="FS52" i="28"/>
  <c r="FT52" i="28"/>
  <c r="FU52" i="28"/>
  <c r="FV52" i="28"/>
  <c r="FW52" i="28"/>
  <c r="FX52" i="28"/>
  <c r="FY52" i="28"/>
  <c r="FZ52" i="28"/>
  <c r="GA52" i="28"/>
  <c r="GB52" i="28"/>
  <c r="GC52" i="28"/>
  <c r="GD52" i="28"/>
  <c r="GE52" i="28"/>
  <c r="GF52" i="28"/>
  <c r="GG52" i="28"/>
  <c r="GH52" i="28"/>
  <c r="GI52" i="28"/>
  <c r="GJ52" i="28"/>
  <c r="GK52" i="28"/>
  <c r="GL52" i="28"/>
  <c r="GM52" i="28"/>
  <c r="GN52" i="28"/>
  <c r="GO52" i="28"/>
  <c r="BJ53" i="28"/>
  <c r="BK53" i="28"/>
  <c r="BL53" i="28"/>
  <c r="BM53" i="28"/>
  <c r="BN53" i="28"/>
  <c r="BO53" i="28"/>
  <c r="BP53" i="28"/>
  <c r="BQ53" i="28"/>
  <c r="BR53" i="28"/>
  <c r="BS53" i="28"/>
  <c r="BT53" i="28"/>
  <c r="BU53" i="28"/>
  <c r="BV53" i="28"/>
  <c r="BW53" i="28"/>
  <c r="BX53" i="28"/>
  <c r="BY53" i="28"/>
  <c r="BZ53" i="28"/>
  <c r="CA53" i="28"/>
  <c r="CB53" i="28"/>
  <c r="CC53" i="28"/>
  <c r="CD53" i="28"/>
  <c r="CE53" i="28"/>
  <c r="CF53" i="28"/>
  <c r="CG53" i="28"/>
  <c r="CH53" i="28"/>
  <c r="CI53" i="28"/>
  <c r="CJ53" i="28"/>
  <c r="CK53" i="28"/>
  <c r="CL53" i="28"/>
  <c r="CM53" i="28"/>
  <c r="CN53" i="28"/>
  <c r="CO53" i="28"/>
  <c r="CP53" i="28"/>
  <c r="CQ53" i="28"/>
  <c r="CR53" i="28"/>
  <c r="CS53" i="28"/>
  <c r="CT53" i="28"/>
  <c r="CU53" i="28"/>
  <c r="CV53" i="28"/>
  <c r="CW53" i="28"/>
  <c r="CX53" i="28"/>
  <c r="CY53" i="28"/>
  <c r="CZ53" i="28"/>
  <c r="DA53" i="28"/>
  <c r="DB53" i="28"/>
  <c r="DC53" i="28"/>
  <c r="DD53" i="28"/>
  <c r="DE53" i="28"/>
  <c r="DF53" i="28"/>
  <c r="DG53" i="28"/>
  <c r="DH53" i="28"/>
  <c r="DI53" i="28"/>
  <c r="DJ53" i="28"/>
  <c r="DK53" i="28"/>
  <c r="DL53" i="28"/>
  <c r="DM53" i="28"/>
  <c r="DN53" i="28"/>
  <c r="DO53" i="28"/>
  <c r="DP53" i="28"/>
  <c r="DQ53" i="28"/>
  <c r="DR53" i="28"/>
  <c r="DS53" i="28"/>
  <c r="DT53" i="28"/>
  <c r="DU53" i="28"/>
  <c r="DV53" i="28"/>
  <c r="DW53" i="28"/>
  <c r="DX53" i="28"/>
  <c r="DY53" i="28"/>
  <c r="DZ53" i="28"/>
  <c r="EA53" i="28"/>
  <c r="EB53" i="28"/>
  <c r="EC53" i="28"/>
  <c r="ED53" i="28"/>
  <c r="EE53" i="28"/>
  <c r="EF53" i="28"/>
  <c r="EG53" i="28"/>
  <c r="EH53" i="28"/>
  <c r="EI53" i="28"/>
  <c r="EJ53" i="28"/>
  <c r="EK53" i="28"/>
  <c r="EL53" i="28"/>
  <c r="EM53" i="28"/>
  <c r="EN53" i="28"/>
  <c r="EO53" i="28"/>
  <c r="EP53" i="28"/>
  <c r="EQ53" i="28"/>
  <c r="ER53" i="28"/>
  <c r="ES53" i="28"/>
  <c r="ET53" i="28"/>
  <c r="EU53" i="28"/>
  <c r="EV53" i="28"/>
  <c r="EW53" i="28"/>
  <c r="EX53" i="28"/>
  <c r="EY53" i="28"/>
  <c r="EZ53" i="28"/>
  <c r="FA53" i="28"/>
  <c r="FB53" i="28"/>
  <c r="FC53" i="28"/>
  <c r="FD53" i="28"/>
  <c r="FE53" i="28"/>
  <c r="FF53" i="28"/>
  <c r="FG53" i="28"/>
  <c r="FH53" i="28"/>
  <c r="FI53" i="28"/>
  <c r="FJ53" i="28"/>
  <c r="FK53" i="28"/>
  <c r="FL53" i="28"/>
  <c r="FM53" i="28"/>
  <c r="FN53" i="28"/>
  <c r="FO53" i="28"/>
  <c r="FP53" i="28"/>
  <c r="FQ53" i="28"/>
  <c r="FR53" i="28"/>
  <c r="FS53" i="28"/>
  <c r="FT53" i="28"/>
  <c r="FU53" i="28"/>
  <c r="FV53" i="28"/>
  <c r="FW53" i="28"/>
  <c r="FX53" i="28"/>
  <c r="FY53" i="28"/>
  <c r="FZ53" i="28"/>
  <c r="GA53" i="28"/>
  <c r="GB53" i="28"/>
  <c r="GC53" i="28"/>
  <c r="GD53" i="28"/>
  <c r="GE53" i="28"/>
  <c r="GF53" i="28"/>
  <c r="GG53" i="28"/>
  <c r="GH53" i="28"/>
  <c r="GI53" i="28"/>
  <c r="GJ53" i="28"/>
  <c r="GK53" i="28"/>
  <c r="GL53" i="28"/>
  <c r="GM53" i="28"/>
  <c r="GN53" i="28"/>
  <c r="GO53" i="28"/>
  <c r="BJ54" i="28"/>
  <c r="BK54" i="28"/>
  <c r="BL54" i="28"/>
  <c r="BM54" i="28"/>
  <c r="BN54" i="28"/>
  <c r="BO54" i="28"/>
  <c r="BP54" i="28"/>
  <c r="BQ54" i="28"/>
  <c r="BR54" i="28"/>
  <c r="BS54" i="28"/>
  <c r="BT54" i="28"/>
  <c r="BU54" i="28"/>
  <c r="BV54" i="28"/>
  <c r="BW54" i="28"/>
  <c r="BX54" i="28"/>
  <c r="BY54" i="28"/>
  <c r="BZ54" i="28"/>
  <c r="CA54" i="28"/>
  <c r="CB54" i="28"/>
  <c r="CC54" i="28"/>
  <c r="CD54" i="28"/>
  <c r="CE54" i="28"/>
  <c r="CF54" i="28"/>
  <c r="CG54" i="28"/>
  <c r="CH54" i="28"/>
  <c r="CI54" i="28"/>
  <c r="CJ54" i="28"/>
  <c r="CK54" i="28"/>
  <c r="CL54" i="28"/>
  <c r="CM54" i="28"/>
  <c r="CN54" i="28"/>
  <c r="CO54" i="28"/>
  <c r="CP54" i="28"/>
  <c r="CQ54" i="28"/>
  <c r="CR54" i="28"/>
  <c r="CS54" i="28"/>
  <c r="CT54" i="28"/>
  <c r="CU54" i="28"/>
  <c r="CV54" i="28"/>
  <c r="CW54" i="28"/>
  <c r="CX54" i="28"/>
  <c r="CY54" i="28"/>
  <c r="CZ54" i="28"/>
  <c r="DA54" i="28"/>
  <c r="DB54" i="28"/>
  <c r="DC54" i="28"/>
  <c r="DD54" i="28"/>
  <c r="DE54" i="28"/>
  <c r="DF54" i="28"/>
  <c r="DG54" i="28"/>
  <c r="DH54" i="28"/>
  <c r="DI54" i="28"/>
  <c r="DJ54" i="28"/>
  <c r="DK54" i="28"/>
  <c r="DL54" i="28"/>
  <c r="DM54" i="28"/>
  <c r="DN54" i="28"/>
  <c r="DO54" i="28"/>
  <c r="DP54" i="28"/>
  <c r="DQ54" i="28"/>
  <c r="DR54" i="28"/>
  <c r="DS54" i="28"/>
  <c r="DT54" i="28"/>
  <c r="DU54" i="28"/>
  <c r="DV54" i="28"/>
  <c r="DW54" i="28"/>
  <c r="DX54" i="28"/>
  <c r="DY54" i="28"/>
  <c r="DZ54" i="28"/>
  <c r="EA54" i="28"/>
  <c r="EB54" i="28"/>
  <c r="EC54" i="28"/>
  <c r="ED54" i="28"/>
  <c r="EE54" i="28"/>
  <c r="EF54" i="28"/>
  <c r="EG54" i="28"/>
  <c r="EH54" i="28"/>
  <c r="EI54" i="28"/>
  <c r="EJ54" i="28"/>
  <c r="EK54" i="28"/>
  <c r="EL54" i="28"/>
  <c r="EM54" i="28"/>
  <c r="EN54" i="28"/>
  <c r="EO54" i="28"/>
  <c r="EP54" i="28"/>
  <c r="EQ54" i="28"/>
  <c r="ER54" i="28"/>
  <c r="ES54" i="28"/>
  <c r="ET54" i="28"/>
  <c r="EU54" i="28"/>
  <c r="EV54" i="28"/>
  <c r="EW54" i="28"/>
  <c r="EX54" i="28"/>
  <c r="EY54" i="28"/>
  <c r="EZ54" i="28"/>
  <c r="FA54" i="28"/>
  <c r="FB54" i="28"/>
  <c r="FC54" i="28"/>
  <c r="FD54" i="28"/>
  <c r="FE54" i="28"/>
  <c r="FF54" i="28"/>
  <c r="FG54" i="28"/>
  <c r="FH54" i="28"/>
  <c r="FI54" i="28"/>
  <c r="FJ54" i="28"/>
  <c r="FK54" i="28"/>
  <c r="FL54" i="28"/>
  <c r="FM54" i="28"/>
  <c r="FN54" i="28"/>
  <c r="FO54" i="28"/>
  <c r="FP54" i="28"/>
  <c r="FQ54" i="28"/>
  <c r="FR54" i="28"/>
  <c r="FS54" i="28"/>
  <c r="FT54" i="28"/>
  <c r="FU54" i="28"/>
  <c r="FV54" i="28"/>
  <c r="FW54" i="28"/>
  <c r="FX54" i="28"/>
  <c r="FY54" i="28"/>
  <c r="FZ54" i="28"/>
  <c r="GA54" i="28"/>
  <c r="GB54" i="28"/>
  <c r="GC54" i="28"/>
  <c r="GD54" i="28"/>
  <c r="GE54" i="28"/>
  <c r="GF54" i="28"/>
  <c r="GG54" i="28"/>
  <c r="GH54" i="28"/>
  <c r="GI54" i="28"/>
  <c r="GJ54" i="28"/>
  <c r="GK54" i="28"/>
  <c r="GL54" i="28"/>
  <c r="GM54" i="28"/>
  <c r="GN54" i="28"/>
  <c r="GO54" i="28"/>
  <c r="BJ55" i="28"/>
  <c r="BK55" i="28"/>
  <c r="BL55" i="28"/>
  <c r="BM55" i="28"/>
  <c r="BN55" i="28"/>
  <c r="BO55" i="28"/>
  <c r="BP55" i="28"/>
  <c r="BQ55" i="28"/>
  <c r="BR55" i="28"/>
  <c r="BS55" i="28"/>
  <c r="BT55" i="28"/>
  <c r="BU55" i="28"/>
  <c r="BV55" i="28"/>
  <c r="BW55" i="28"/>
  <c r="BX55" i="28"/>
  <c r="BY55" i="28"/>
  <c r="BZ55" i="28"/>
  <c r="CA55" i="28"/>
  <c r="CB55" i="28"/>
  <c r="CC55" i="28"/>
  <c r="CD55" i="28"/>
  <c r="CE55" i="28"/>
  <c r="CF55" i="28"/>
  <c r="CG55" i="28"/>
  <c r="CH55" i="28"/>
  <c r="CI55" i="28"/>
  <c r="CJ55" i="28"/>
  <c r="CK55" i="28"/>
  <c r="CL55" i="28"/>
  <c r="CM55" i="28"/>
  <c r="CN55" i="28"/>
  <c r="CO55" i="28"/>
  <c r="CP55" i="28"/>
  <c r="CQ55" i="28"/>
  <c r="CR55" i="28"/>
  <c r="CS55" i="28"/>
  <c r="CT55" i="28"/>
  <c r="CU55" i="28"/>
  <c r="CV55" i="28"/>
  <c r="CW55" i="28"/>
  <c r="CX55" i="28"/>
  <c r="CY55" i="28"/>
  <c r="CZ55" i="28"/>
  <c r="DA55" i="28"/>
  <c r="DB55" i="28"/>
  <c r="DC55" i="28"/>
  <c r="DD55" i="28"/>
  <c r="DE55" i="28"/>
  <c r="DF55" i="28"/>
  <c r="DG55" i="28"/>
  <c r="DH55" i="28"/>
  <c r="DI55" i="28"/>
  <c r="DJ55" i="28"/>
  <c r="DK55" i="28"/>
  <c r="DL55" i="28"/>
  <c r="DM55" i="28"/>
  <c r="DN55" i="28"/>
  <c r="DO55" i="28"/>
  <c r="DP55" i="28"/>
  <c r="DQ55" i="28"/>
  <c r="DR55" i="28"/>
  <c r="DS55" i="28"/>
  <c r="DT55" i="28"/>
  <c r="DU55" i="28"/>
  <c r="DV55" i="28"/>
  <c r="DW55" i="28"/>
  <c r="DX55" i="28"/>
  <c r="DY55" i="28"/>
  <c r="DZ55" i="28"/>
  <c r="EA55" i="28"/>
  <c r="EB55" i="28"/>
  <c r="EC55" i="28"/>
  <c r="ED55" i="28"/>
  <c r="EE55" i="28"/>
  <c r="EF55" i="28"/>
  <c r="EG55" i="28"/>
  <c r="EH55" i="28"/>
  <c r="EI55" i="28"/>
  <c r="EJ55" i="28"/>
  <c r="EK55" i="28"/>
  <c r="EL55" i="28"/>
  <c r="EM55" i="28"/>
  <c r="EN55" i="28"/>
  <c r="EO55" i="28"/>
  <c r="EP55" i="28"/>
  <c r="EQ55" i="28"/>
  <c r="ER55" i="28"/>
  <c r="ES55" i="28"/>
  <c r="ET55" i="28"/>
  <c r="EU55" i="28"/>
  <c r="EV55" i="28"/>
  <c r="EW55" i="28"/>
  <c r="EX55" i="28"/>
  <c r="EY55" i="28"/>
  <c r="EZ55" i="28"/>
  <c r="FA55" i="28"/>
  <c r="FB55" i="28"/>
  <c r="FC55" i="28"/>
  <c r="FD55" i="28"/>
  <c r="FE55" i="28"/>
  <c r="FF55" i="28"/>
  <c r="FG55" i="28"/>
  <c r="FH55" i="28"/>
  <c r="FI55" i="28"/>
  <c r="FJ55" i="28"/>
  <c r="FK55" i="28"/>
  <c r="FL55" i="28"/>
  <c r="FM55" i="28"/>
  <c r="FN55" i="28"/>
  <c r="FO55" i="28"/>
  <c r="FP55" i="28"/>
  <c r="FQ55" i="28"/>
  <c r="FR55" i="28"/>
  <c r="FS55" i="28"/>
  <c r="FT55" i="28"/>
  <c r="FU55" i="28"/>
  <c r="FV55" i="28"/>
  <c r="FW55" i="28"/>
  <c r="FX55" i="28"/>
  <c r="FY55" i="28"/>
  <c r="FZ55" i="28"/>
  <c r="GA55" i="28"/>
  <c r="GB55" i="28"/>
  <c r="GC55" i="28"/>
  <c r="GD55" i="28"/>
  <c r="GE55" i="28"/>
  <c r="GF55" i="28"/>
  <c r="GG55" i="28"/>
  <c r="GH55" i="28"/>
  <c r="GI55" i="28"/>
  <c r="GJ55" i="28"/>
  <c r="GK55" i="28"/>
  <c r="GL55" i="28"/>
  <c r="GM55" i="28"/>
  <c r="GN55" i="28"/>
  <c r="GO55" i="28"/>
  <c r="BM56" i="28"/>
  <c r="BP56" i="28"/>
  <c r="BQ56" i="28"/>
  <c r="BR56" i="28"/>
  <c r="BS56" i="28"/>
  <c r="BT56" i="28"/>
  <c r="BU56" i="28"/>
  <c r="BV56" i="28"/>
  <c r="BW56" i="28"/>
  <c r="BX56" i="28"/>
  <c r="BY56" i="28"/>
  <c r="BZ56" i="28"/>
  <c r="CA56" i="28"/>
  <c r="CB56" i="28"/>
  <c r="CC56" i="28"/>
  <c r="CD56" i="28"/>
  <c r="CE56" i="28"/>
  <c r="CF56" i="28"/>
  <c r="CG56" i="28"/>
  <c r="CH56" i="28"/>
  <c r="CI56" i="28"/>
  <c r="CJ56" i="28"/>
  <c r="CK56" i="28"/>
  <c r="CL56" i="28"/>
  <c r="CM56" i="28"/>
  <c r="CN56" i="28"/>
  <c r="CO56" i="28"/>
  <c r="CP56" i="28"/>
  <c r="CQ56" i="28"/>
  <c r="CR56" i="28"/>
  <c r="CS56" i="28"/>
  <c r="CT56" i="28"/>
  <c r="CU56" i="28"/>
  <c r="CV56" i="28"/>
  <c r="CW56" i="28"/>
  <c r="CX56" i="28"/>
  <c r="CY56" i="28"/>
  <c r="CZ56" i="28"/>
  <c r="DA56" i="28"/>
  <c r="DB56" i="28"/>
  <c r="DC56" i="28"/>
  <c r="DD56" i="28"/>
  <c r="DE56" i="28"/>
  <c r="DF56" i="28"/>
  <c r="DG56" i="28"/>
  <c r="DH56" i="28"/>
  <c r="DI56" i="28"/>
  <c r="DJ56" i="28"/>
  <c r="DK56" i="28"/>
  <c r="DL56" i="28"/>
  <c r="DM56" i="28"/>
  <c r="DN56" i="28"/>
  <c r="DO56" i="28"/>
  <c r="DP56" i="28"/>
  <c r="DQ56" i="28"/>
  <c r="DR56" i="28"/>
  <c r="DS56" i="28"/>
  <c r="DT56" i="28"/>
  <c r="DU56" i="28"/>
  <c r="DV56" i="28"/>
  <c r="DW56" i="28"/>
  <c r="DX56" i="28"/>
  <c r="DY56" i="28"/>
  <c r="DZ56" i="28"/>
  <c r="EA56" i="28"/>
  <c r="EB56" i="28"/>
  <c r="EC56" i="28"/>
  <c r="ED56" i="28"/>
  <c r="EE56" i="28"/>
  <c r="EF56" i="28"/>
  <c r="EG56" i="28"/>
  <c r="EH56" i="28"/>
  <c r="EI56" i="28"/>
  <c r="EJ56" i="28"/>
  <c r="EK56" i="28"/>
  <c r="EL56" i="28"/>
  <c r="EM56" i="28"/>
  <c r="EN56" i="28"/>
  <c r="EO56" i="28"/>
  <c r="EP56" i="28"/>
  <c r="EQ56" i="28"/>
  <c r="ER56" i="28"/>
  <c r="ES56" i="28"/>
  <c r="ET56" i="28"/>
  <c r="EU56" i="28"/>
  <c r="EV56" i="28"/>
  <c r="EW56" i="28"/>
  <c r="EX56" i="28"/>
  <c r="EY56" i="28"/>
  <c r="EZ56" i="28"/>
  <c r="FA56" i="28"/>
  <c r="FB56" i="28"/>
  <c r="FC56" i="28"/>
  <c r="FD56" i="28"/>
  <c r="FE56" i="28"/>
  <c r="FF56" i="28"/>
  <c r="FG56" i="28"/>
  <c r="FH56" i="28"/>
  <c r="FI56" i="28"/>
  <c r="FJ56" i="28"/>
  <c r="FK56" i="28"/>
  <c r="FL56" i="28"/>
  <c r="FM56" i="28"/>
  <c r="FN56" i="28"/>
  <c r="FO56" i="28"/>
  <c r="FP56" i="28"/>
  <c r="FQ56" i="28"/>
  <c r="FR56" i="28"/>
  <c r="FS56" i="28"/>
  <c r="FT56" i="28"/>
  <c r="FU56" i="28"/>
  <c r="FV56" i="28"/>
  <c r="FW56" i="28"/>
  <c r="FX56" i="28"/>
  <c r="FY56" i="28"/>
  <c r="FZ56" i="28"/>
  <c r="GA56" i="28"/>
  <c r="GB56" i="28"/>
  <c r="GC56" i="28"/>
  <c r="GD56" i="28"/>
  <c r="GE56" i="28"/>
  <c r="GF56" i="28"/>
  <c r="GG56" i="28"/>
  <c r="GH56" i="28"/>
  <c r="GI56" i="28"/>
  <c r="GJ56" i="28"/>
  <c r="GK56" i="28"/>
  <c r="GL56" i="28"/>
  <c r="GM56" i="28"/>
  <c r="GN56" i="28"/>
  <c r="GO56" i="28"/>
  <c r="BM57" i="28"/>
  <c r="BP57" i="28"/>
  <c r="BQ57" i="28"/>
  <c r="BR57" i="28"/>
  <c r="BS57" i="28"/>
  <c r="BT57" i="28"/>
  <c r="BU57" i="28"/>
  <c r="BV57" i="28"/>
  <c r="BW57" i="28"/>
  <c r="BX57" i="28"/>
  <c r="BY57" i="28"/>
  <c r="BZ57" i="28"/>
  <c r="CA57" i="28"/>
  <c r="CB57" i="28"/>
  <c r="CC57" i="28"/>
  <c r="CD57" i="28"/>
  <c r="CE57" i="28"/>
  <c r="CF57" i="28"/>
  <c r="CG57" i="28"/>
  <c r="CH57" i="28"/>
  <c r="CI57" i="28"/>
  <c r="CJ57" i="28"/>
  <c r="CK57" i="28"/>
  <c r="CL57" i="28"/>
  <c r="CM57" i="28"/>
  <c r="CN57" i="28"/>
  <c r="CO57" i="28"/>
  <c r="CP57" i="28"/>
  <c r="CQ57" i="28"/>
  <c r="CR57" i="28"/>
  <c r="CS57" i="28"/>
  <c r="CT57" i="28"/>
  <c r="CU57" i="28"/>
  <c r="CV57" i="28"/>
  <c r="CW57" i="28"/>
  <c r="CX57" i="28"/>
  <c r="CY57" i="28"/>
  <c r="CZ57" i="28"/>
  <c r="DA57" i="28"/>
  <c r="DB57" i="28"/>
  <c r="DC57" i="28"/>
  <c r="DD57" i="28"/>
  <c r="DE57" i="28"/>
  <c r="DF57" i="28"/>
  <c r="DG57" i="28"/>
  <c r="DH57" i="28"/>
  <c r="DI57" i="28"/>
  <c r="DJ57" i="28"/>
  <c r="DK57" i="28"/>
  <c r="DL57" i="28"/>
  <c r="DM57" i="28"/>
  <c r="DN57" i="28"/>
  <c r="DO57" i="28"/>
  <c r="DP57" i="28"/>
  <c r="DQ57" i="28"/>
  <c r="DR57" i="28"/>
  <c r="DS57" i="28"/>
  <c r="DT57" i="28"/>
  <c r="DU57" i="28"/>
  <c r="DV57" i="28"/>
  <c r="DW57" i="28"/>
  <c r="DX57" i="28"/>
  <c r="DY57" i="28"/>
  <c r="DZ57" i="28"/>
  <c r="EA57" i="28"/>
  <c r="EB57" i="28"/>
  <c r="EC57" i="28"/>
  <c r="ED57" i="28"/>
  <c r="EE57" i="28"/>
  <c r="EF57" i="28"/>
  <c r="EG57" i="28"/>
  <c r="EH57" i="28"/>
  <c r="EI57" i="28"/>
  <c r="EJ57" i="28"/>
  <c r="EK57" i="28"/>
  <c r="EL57" i="28"/>
  <c r="EM57" i="28"/>
  <c r="EN57" i="28"/>
  <c r="EO57" i="28"/>
  <c r="EP57" i="28"/>
  <c r="EQ57" i="28"/>
  <c r="ER57" i="28"/>
  <c r="ES57" i="28"/>
  <c r="ET57" i="28"/>
  <c r="EU57" i="28"/>
  <c r="EV57" i="28"/>
  <c r="EW57" i="28"/>
  <c r="EX57" i="28"/>
  <c r="EY57" i="28"/>
  <c r="EZ57" i="28"/>
  <c r="FA57" i="28"/>
  <c r="FB57" i="28"/>
  <c r="FC57" i="28"/>
  <c r="FD57" i="28"/>
  <c r="FE57" i="28"/>
  <c r="FF57" i="28"/>
  <c r="FG57" i="28"/>
  <c r="FH57" i="28"/>
  <c r="FI57" i="28"/>
  <c r="FJ57" i="28"/>
  <c r="FK57" i="28"/>
  <c r="FL57" i="28"/>
  <c r="FM57" i="28"/>
  <c r="FN57" i="28"/>
  <c r="FO57" i="28"/>
  <c r="FP57" i="28"/>
  <c r="FQ57" i="28"/>
  <c r="FR57" i="28"/>
  <c r="FS57" i="28"/>
  <c r="FT57" i="28"/>
  <c r="FU57" i="28"/>
  <c r="FV57" i="28"/>
  <c r="FW57" i="28"/>
  <c r="FX57" i="28"/>
  <c r="FY57" i="28"/>
  <c r="FZ57" i="28"/>
  <c r="GA57" i="28"/>
  <c r="GB57" i="28"/>
  <c r="GC57" i="28"/>
  <c r="GD57" i="28"/>
  <c r="GE57" i="28"/>
  <c r="GF57" i="28"/>
  <c r="GG57" i="28"/>
  <c r="GH57" i="28"/>
  <c r="GI57" i="28"/>
  <c r="GJ57" i="28"/>
  <c r="GK57" i="28"/>
  <c r="GL57" i="28"/>
  <c r="GM57" i="28"/>
  <c r="GN57" i="28"/>
  <c r="GO57" i="28"/>
  <c r="BM58" i="28"/>
  <c r="BP58" i="28"/>
  <c r="BQ58" i="28"/>
  <c r="BR58" i="28"/>
  <c r="BS58" i="28"/>
  <c r="BT58" i="28"/>
  <c r="BU58" i="28"/>
  <c r="BV58" i="28"/>
  <c r="BW58" i="28"/>
  <c r="BX58" i="28"/>
  <c r="BY58" i="28"/>
  <c r="BZ58" i="28"/>
  <c r="CA58" i="28"/>
  <c r="CB58" i="28"/>
  <c r="CC58" i="28"/>
  <c r="CD58" i="28"/>
  <c r="CE58" i="28"/>
  <c r="CF58" i="28"/>
  <c r="CG58" i="28"/>
  <c r="CH58" i="28"/>
  <c r="CI58" i="28"/>
  <c r="CJ58" i="28"/>
  <c r="CK58" i="28"/>
  <c r="CL58" i="28"/>
  <c r="CM58" i="28"/>
  <c r="CN58" i="28"/>
  <c r="CO58" i="28"/>
  <c r="CP58" i="28"/>
  <c r="CQ58" i="28"/>
  <c r="CR58" i="28"/>
  <c r="CS58" i="28"/>
  <c r="CT58" i="28"/>
  <c r="CU58" i="28"/>
  <c r="CV58" i="28"/>
  <c r="CW58" i="28"/>
  <c r="CX58" i="28"/>
  <c r="CY58" i="28"/>
  <c r="CZ58" i="28"/>
  <c r="DA58" i="28"/>
  <c r="DB58" i="28"/>
  <c r="DC58" i="28"/>
  <c r="DD58" i="28"/>
  <c r="DE58" i="28"/>
  <c r="DF58" i="28"/>
  <c r="DG58" i="28"/>
  <c r="DH58" i="28"/>
  <c r="DI58" i="28"/>
  <c r="DJ58" i="28"/>
  <c r="DK58" i="28"/>
  <c r="DL58" i="28"/>
  <c r="DM58" i="28"/>
  <c r="DN58" i="28"/>
  <c r="DO58" i="28"/>
  <c r="DP58" i="28"/>
  <c r="DQ58" i="28"/>
  <c r="DR58" i="28"/>
  <c r="DS58" i="28"/>
  <c r="DT58" i="28"/>
  <c r="DU58" i="28"/>
  <c r="DV58" i="28"/>
  <c r="DW58" i="28"/>
  <c r="DX58" i="28"/>
  <c r="DY58" i="28"/>
  <c r="DZ58" i="28"/>
  <c r="EA58" i="28"/>
  <c r="EB58" i="28"/>
  <c r="EC58" i="28"/>
  <c r="ED58" i="28"/>
  <c r="EE58" i="28"/>
  <c r="EF58" i="28"/>
  <c r="EG58" i="28"/>
  <c r="EH58" i="28"/>
  <c r="EI58" i="28"/>
  <c r="EJ58" i="28"/>
  <c r="EK58" i="28"/>
  <c r="EL58" i="28"/>
  <c r="EM58" i="28"/>
  <c r="EN58" i="28"/>
  <c r="EO58" i="28"/>
  <c r="EP58" i="28"/>
  <c r="EQ58" i="28"/>
  <c r="ER58" i="28"/>
  <c r="ES58" i="28"/>
  <c r="ET58" i="28"/>
  <c r="EU58" i="28"/>
  <c r="EV58" i="28"/>
  <c r="EW58" i="28"/>
  <c r="EX58" i="28"/>
  <c r="EY58" i="28"/>
  <c r="EZ58" i="28"/>
  <c r="FA58" i="28"/>
  <c r="FB58" i="28"/>
  <c r="FC58" i="28"/>
  <c r="FD58" i="28"/>
  <c r="FE58" i="28"/>
  <c r="FF58" i="28"/>
  <c r="FG58" i="28"/>
  <c r="FH58" i="28"/>
  <c r="FI58" i="28"/>
  <c r="FJ58" i="28"/>
  <c r="FK58" i="28"/>
  <c r="FL58" i="28"/>
  <c r="FM58" i="28"/>
  <c r="FN58" i="28"/>
  <c r="FO58" i="28"/>
  <c r="FP58" i="28"/>
  <c r="FQ58" i="28"/>
  <c r="FR58" i="28"/>
  <c r="FS58" i="28"/>
  <c r="FT58" i="28"/>
  <c r="FU58" i="28"/>
  <c r="FV58" i="28"/>
  <c r="FW58" i="28"/>
  <c r="FX58" i="28"/>
  <c r="FY58" i="28"/>
  <c r="FZ58" i="28"/>
  <c r="GA58" i="28"/>
  <c r="GB58" i="28"/>
  <c r="GC58" i="28"/>
  <c r="GD58" i="28"/>
  <c r="GE58" i="28"/>
  <c r="GF58" i="28"/>
  <c r="GG58" i="28"/>
  <c r="GH58" i="28"/>
  <c r="GI58" i="28"/>
  <c r="GJ58" i="28"/>
  <c r="GK58" i="28"/>
  <c r="GL58" i="28"/>
  <c r="GM58" i="28"/>
  <c r="GN58" i="28"/>
  <c r="GO58" i="28"/>
  <c r="BJ59" i="28"/>
  <c r="BK59" i="28"/>
  <c r="BL59" i="28"/>
  <c r="BM59" i="28"/>
  <c r="BN59" i="28"/>
  <c r="BO59" i="28"/>
  <c r="BP59" i="28"/>
  <c r="BQ59" i="28"/>
  <c r="BR59" i="28"/>
  <c r="BS59" i="28"/>
  <c r="BT59" i="28"/>
  <c r="BU59" i="28"/>
  <c r="BV59" i="28"/>
  <c r="BW59" i="28"/>
  <c r="BX59" i="28"/>
  <c r="BY59" i="28"/>
  <c r="BZ59" i="28"/>
  <c r="CA59" i="28"/>
  <c r="CB59" i="28"/>
  <c r="CC59" i="28"/>
  <c r="CD59" i="28"/>
  <c r="CE59" i="28"/>
  <c r="CF59" i="28"/>
  <c r="CG59" i="28"/>
  <c r="CH59" i="28"/>
  <c r="CI59" i="28"/>
  <c r="CJ59" i="28"/>
  <c r="CK59" i="28"/>
  <c r="CL59" i="28"/>
  <c r="CM59" i="28"/>
  <c r="CN59" i="28"/>
  <c r="CO59" i="28"/>
  <c r="CP59" i="28"/>
  <c r="CQ59" i="28"/>
  <c r="CR59" i="28"/>
  <c r="CS59" i="28"/>
  <c r="CT59" i="28"/>
  <c r="CU59" i="28"/>
  <c r="CV59" i="28"/>
  <c r="CW59" i="28"/>
  <c r="CX59" i="28"/>
  <c r="CY59" i="28"/>
  <c r="CZ59" i="28"/>
  <c r="DA59" i="28"/>
  <c r="DB59" i="28"/>
  <c r="DC59" i="28"/>
  <c r="DD59" i="28"/>
  <c r="DE59" i="28"/>
  <c r="DF59" i="28"/>
  <c r="DG59" i="28"/>
  <c r="DH59" i="28"/>
  <c r="DI59" i="28"/>
  <c r="DJ59" i="28"/>
  <c r="DK59" i="28"/>
  <c r="DL59" i="28"/>
  <c r="DM59" i="28"/>
  <c r="DN59" i="28"/>
  <c r="DO59" i="28"/>
  <c r="DP59" i="28"/>
  <c r="DQ59" i="28"/>
  <c r="DR59" i="28"/>
  <c r="DS59" i="28"/>
  <c r="DT59" i="28"/>
  <c r="DU59" i="28"/>
  <c r="DV59" i="28"/>
  <c r="DW59" i="28"/>
  <c r="DX59" i="28"/>
  <c r="DY59" i="28"/>
  <c r="DZ59" i="28"/>
  <c r="EA59" i="28"/>
  <c r="EB59" i="28"/>
  <c r="EC59" i="28"/>
  <c r="ED59" i="28"/>
  <c r="EE59" i="28"/>
  <c r="EF59" i="28"/>
  <c r="EG59" i="28"/>
  <c r="EH59" i="28"/>
  <c r="EI59" i="28"/>
  <c r="EJ59" i="28"/>
  <c r="EK59" i="28"/>
  <c r="EL59" i="28"/>
  <c r="EM59" i="28"/>
  <c r="EN59" i="28"/>
  <c r="EO59" i="28"/>
  <c r="EP59" i="28"/>
  <c r="EQ59" i="28"/>
  <c r="ER59" i="28"/>
  <c r="ES59" i="28"/>
  <c r="ET59" i="28"/>
  <c r="EU59" i="28"/>
  <c r="EV59" i="28"/>
  <c r="EW59" i="28"/>
  <c r="EX59" i="28"/>
  <c r="EY59" i="28"/>
  <c r="EZ59" i="28"/>
  <c r="FA59" i="28"/>
  <c r="FB59" i="28"/>
  <c r="FC59" i="28"/>
  <c r="FD59" i="28"/>
  <c r="FE59" i="28"/>
  <c r="FF59" i="28"/>
  <c r="FG59" i="28"/>
  <c r="FH59" i="28"/>
  <c r="FI59" i="28"/>
  <c r="FJ59" i="28"/>
  <c r="FK59" i="28"/>
  <c r="FL59" i="28"/>
  <c r="FM59" i="28"/>
  <c r="FN59" i="28"/>
  <c r="FO59" i="28"/>
  <c r="FP59" i="28"/>
  <c r="FQ59" i="28"/>
  <c r="FR59" i="28"/>
  <c r="FS59" i="28"/>
  <c r="FT59" i="28"/>
  <c r="FU59" i="28"/>
  <c r="FV59" i="28"/>
  <c r="FW59" i="28"/>
  <c r="FX59" i="28"/>
  <c r="FY59" i="28"/>
  <c r="FZ59" i="28"/>
  <c r="GA59" i="28"/>
  <c r="GB59" i="28"/>
  <c r="GC59" i="28"/>
  <c r="GD59" i="28"/>
  <c r="GE59" i="28"/>
  <c r="GF59" i="28"/>
  <c r="GG59" i="28"/>
  <c r="GH59" i="28"/>
  <c r="GI59" i="28"/>
  <c r="GJ59" i="28"/>
  <c r="GK59" i="28"/>
  <c r="GL59" i="28"/>
  <c r="GM59" i="28"/>
  <c r="GN59" i="28"/>
  <c r="GO59" i="28"/>
  <c r="BJ60" i="28"/>
  <c r="BK60" i="28"/>
  <c r="BL60" i="28"/>
  <c r="BM60" i="28"/>
  <c r="BN60" i="28"/>
  <c r="BO60" i="28"/>
  <c r="BP60" i="28"/>
  <c r="BQ60" i="28"/>
  <c r="BR60" i="28"/>
  <c r="BS60" i="28"/>
  <c r="BT60" i="28"/>
  <c r="BU60" i="28"/>
  <c r="BV60" i="28"/>
  <c r="BW60" i="28"/>
  <c r="BX60" i="28"/>
  <c r="BY60" i="28"/>
  <c r="BZ60" i="28"/>
  <c r="CA60" i="28"/>
  <c r="CB60" i="28"/>
  <c r="CC60" i="28"/>
  <c r="CD60" i="28"/>
  <c r="CE60" i="28"/>
  <c r="CF60" i="28"/>
  <c r="CG60" i="28"/>
  <c r="CH60" i="28"/>
  <c r="CI60" i="28"/>
  <c r="CJ60" i="28"/>
  <c r="CK60" i="28"/>
  <c r="CL60" i="28"/>
  <c r="CM60" i="28"/>
  <c r="CN60" i="28"/>
  <c r="CO60" i="28"/>
  <c r="CP60" i="28"/>
  <c r="CQ60" i="28"/>
  <c r="CR60" i="28"/>
  <c r="CS60" i="28"/>
  <c r="CT60" i="28"/>
  <c r="CU60" i="28"/>
  <c r="CV60" i="28"/>
  <c r="CW60" i="28"/>
  <c r="CX60" i="28"/>
  <c r="CY60" i="28"/>
  <c r="CZ60" i="28"/>
  <c r="DA60" i="28"/>
  <c r="DB60" i="28"/>
  <c r="DC60" i="28"/>
  <c r="DD60" i="28"/>
  <c r="DE60" i="28"/>
  <c r="DF60" i="28"/>
  <c r="DG60" i="28"/>
  <c r="DH60" i="28"/>
  <c r="DI60" i="28"/>
  <c r="DJ60" i="28"/>
  <c r="DK60" i="28"/>
  <c r="DL60" i="28"/>
  <c r="DM60" i="28"/>
  <c r="DN60" i="28"/>
  <c r="DO60" i="28"/>
  <c r="DP60" i="28"/>
  <c r="DQ60" i="28"/>
  <c r="DR60" i="28"/>
  <c r="DS60" i="28"/>
  <c r="DT60" i="28"/>
  <c r="DU60" i="28"/>
  <c r="DV60" i="28"/>
  <c r="DW60" i="28"/>
  <c r="DX60" i="28"/>
  <c r="DY60" i="28"/>
  <c r="DZ60" i="28"/>
  <c r="EA60" i="28"/>
  <c r="EB60" i="28"/>
  <c r="EC60" i="28"/>
  <c r="ED60" i="28"/>
  <c r="EE60" i="28"/>
  <c r="EF60" i="28"/>
  <c r="EG60" i="28"/>
  <c r="EH60" i="28"/>
  <c r="EI60" i="28"/>
  <c r="EJ60" i="28"/>
  <c r="EK60" i="28"/>
  <c r="EL60" i="28"/>
  <c r="EM60" i="28"/>
  <c r="EN60" i="28"/>
  <c r="EO60" i="28"/>
  <c r="EP60" i="28"/>
  <c r="EQ60" i="28"/>
  <c r="ER60" i="28"/>
  <c r="ES60" i="28"/>
  <c r="ET60" i="28"/>
  <c r="EU60" i="28"/>
  <c r="EV60" i="28"/>
  <c r="EW60" i="28"/>
  <c r="EX60" i="28"/>
  <c r="EY60" i="28"/>
  <c r="EZ60" i="28"/>
  <c r="FA60" i="28"/>
  <c r="FB60" i="28"/>
  <c r="FC60" i="28"/>
  <c r="FD60" i="28"/>
  <c r="FE60" i="28"/>
  <c r="FF60" i="28"/>
  <c r="FG60" i="28"/>
  <c r="FH60" i="28"/>
  <c r="FI60" i="28"/>
  <c r="FJ60" i="28"/>
  <c r="FK60" i="28"/>
  <c r="FL60" i="28"/>
  <c r="FM60" i="28"/>
  <c r="FN60" i="28"/>
  <c r="FO60" i="28"/>
  <c r="FP60" i="28"/>
  <c r="FQ60" i="28"/>
  <c r="FR60" i="28"/>
  <c r="FS60" i="28"/>
  <c r="FT60" i="28"/>
  <c r="FU60" i="28"/>
  <c r="FV60" i="28"/>
  <c r="FW60" i="28"/>
  <c r="FX60" i="28"/>
  <c r="FY60" i="28"/>
  <c r="FZ60" i="28"/>
  <c r="GA60" i="28"/>
  <c r="GB60" i="28"/>
  <c r="GC60" i="28"/>
  <c r="GD60" i="28"/>
  <c r="GE60" i="28"/>
  <c r="GF60" i="28"/>
  <c r="GG60" i="28"/>
  <c r="GH60" i="28"/>
  <c r="GI60" i="28"/>
  <c r="GJ60" i="28"/>
  <c r="GK60" i="28"/>
  <c r="GL60" i="28"/>
  <c r="GM60" i="28"/>
  <c r="GN60" i="28"/>
  <c r="GO60" i="28"/>
  <c r="BM61" i="28"/>
  <c r="BQ61" i="28"/>
  <c r="BR61" i="28"/>
  <c r="BS61" i="28"/>
  <c r="BT61" i="28"/>
  <c r="BU61" i="28"/>
  <c r="BV61" i="28"/>
  <c r="BW61" i="28"/>
  <c r="BX61" i="28"/>
  <c r="BY61" i="28"/>
  <c r="BZ61" i="28"/>
  <c r="CA61" i="28"/>
  <c r="CB61" i="28"/>
  <c r="CC61" i="28"/>
  <c r="CD61" i="28"/>
  <c r="CE61" i="28"/>
  <c r="CF61" i="28"/>
  <c r="CG61" i="28"/>
  <c r="CH61" i="28"/>
  <c r="CI61" i="28"/>
  <c r="CJ61" i="28"/>
  <c r="CK61" i="28"/>
  <c r="CL61" i="28"/>
  <c r="CM61" i="28"/>
  <c r="CN61" i="28"/>
  <c r="CO61" i="28"/>
  <c r="CP61" i="28"/>
  <c r="CQ61" i="28"/>
  <c r="CR61" i="28"/>
  <c r="CS61" i="28"/>
  <c r="CT61" i="28"/>
  <c r="CU61" i="28"/>
  <c r="CV61" i="28"/>
  <c r="CW61" i="28"/>
  <c r="CX61" i="28"/>
  <c r="CY61" i="28"/>
  <c r="CZ61" i="28"/>
  <c r="DA61" i="28"/>
  <c r="DB61" i="28"/>
  <c r="DC61" i="28"/>
  <c r="DD61" i="28"/>
  <c r="DE61" i="28"/>
  <c r="DF61" i="28"/>
  <c r="DG61" i="28"/>
  <c r="DH61" i="28"/>
  <c r="DI61" i="28"/>
  <c r="DJ61" i="28"/>
  <c r="DK61" i="28"/>
  <c r="DL61" i="28"/>
  <c r="DM61" i="28"/>
  <c r="DN61" i="28"/>
  <c r="DO61" i="28"/>
  <c r="DP61" i="28"/>
  <c r="DQ61" i="28"/>
  <c r="DR61" i="28"/>
  <c r="DS61" i="28"/>
  <c r="DT61" i="28"/>
  <c r="DU61" i="28"/>
  <c r="DV61" i="28"/>
  <c r="DW61" i="28"/>
  <c r="DX61" i="28"/>
  <c r="DY61" i="28"/>
  <c r="DZ61" i="28"/>
  <c r="EA61" i="28"/>
  <c r="EB61" i="28"/>
  <c r="EC61" i="28"/>
  <c r="ED61" i="28"/>
  <c r="EE61" i="28"/>
  <c r="EF61" i="28"/>
  <c r="EG61" i="28"/>
  <c r="EH61" i="28"/>
  <c r="EI61" i="28"/>
  <c r="EJ61" i="28"/>
  <c r="EK61" i="28"/>
  <c r="EL61" i="28"/>
  <c r="EM61" i="28"/>
  <c r="EN61" i="28"/>
  <c r="EO61" i="28"/>
  <c r="EP61" i="28"/>
  <c r="EQ61" i="28"/>
  <c r="ER61" i="28"/>
  <c r="ES61" i="28"/>
  <c r="ET61" i="28"/>
  <c r="EU61" i="28"/>
  <c r="EV61" i="28"/>
  <c r="EW61" i="28"/>
  <c r="EX61" i="28"/>
  <c r="EY61" i="28"/>
  <c r="EZ61" i="28"/>
  <c r="FA61" i="28"/>
  <c r="FB61" i="28"/>
  <c r="FC61" i="28"/>
  <c r="FD61" i="28"/>
  <c r="FE61" i="28"/>
  <c r="FF61" i="28"/>
  <c r="FG61" i="28"/>
  <c r="FH61" i="28"/>
  <c r="FI61" i="28"/>
  <c r="FJ61" i="28"/>
  <c r="FK61" i="28"/>
  <c r="FL61" i="28"/>
  <c r="FM61" i="28"/>
  <c r="FN61" i="28"/>
  <c r="FO61" i="28"/>
  <c r="FP61" i="28"/>
  <c r="FQ61" i="28"/>
  <c r="FR61" i="28"/>
  <c r="FS61" i="28"/>
  <c r="FT61" i="28"/>
  <c r="FU61" i="28"/>
  <c r="FV61" i="28"/>
  <c r="FW61" i="28"/>
  <c r="FX61" i="28"/>
  <c r="FY61" i="28"/>
  <c r="FZ61" i="28"/>
  <c r="GA61" i="28"/>
  <c r="GB61" i="28"/>
  <c r="GC61" i="28"/>
  <c r="GD61" i="28"/>
  <c r="GE61" i="28"/>
  <c r="GF61" i="28"/>
  <c r="GG61" i="28"/>
  <c r="GH61" i="28"/>
  <c r="GI61" i="28"/>
  <c r="GJ61" i="28"/>
  <c r="GK61" i="28"/>
  <c r="GL61" i="28"/>
  <c r="GM61" i="28"/>
  <c r="GN61" i="28"/>
  <c r="GO61" i="28"/>
  <c r="BM62" i="28"/>
  <c r="BP62" i="28"/>
  <c r="BQ62" i="28"/>
  <c r="BR62" i="28"/>
  <c r="BS62" i="28"/>
  <c r="BT62" i="28"/>
  <c r="BU62" i="28"/>
  <c r="BV62" i="28"/>
  <c r="BW62" i="28"/>
  <c r="BX62" i="28"/>
  <c r="BY62" i="28"/>
  <c r="BZ62" i="28"/>
  <c r="CA62" i="28"/>
  <c r="CB62" i="28"/>
  <c r="CC62" i="28"/>
  <c r="CD62" i="28"/>
  <c r="CE62" i="28"/>
  <c r="CF62" i="28"/>
  <c r="CG62" i="28"/>
  <c r="CH62" i="28"/>
  <c r="CI62" i="28"/>
  <c r="CJ62" i="28"/>
  <c r="CK62" i="28"/>
  <c r="CL62" i="28"/>
  <c r="CM62" i="28"/>
  <c r="CN62" i="28"/>
  <c r="CO62" i="28"/>
  <c r="CP62" i="28"/>
  <c r="CQ62" i="28"/>
  <c r="CR62" i="28"/>
  <c r="CS62" i="28"/>
  <c r="CT62" i="28"/>
  <c r="CU62" i="28"/>
  <c r="CV62" i="28"/>
  <c r="CW62" i="28"/>
  <c r="CX62" i="28"/>
  <c r="CY62" i="28"/>
  <c r="CZ62" i="28"/>
  <c r="DA62" i="28"/>
  <c r="DB62" i="28"/>
  <c r="DC62" i="28"/>
  <c r="DD62" i="28"/>
  <c r="DE62" i="28"/>
  <c r="DF62" i="28"/>
  <c r="DG62" i="28"/>
  <c r="DH62" i="28"/>
  <c r="DI62" i="28"/>
  <c r="DJ62" i="28"/>
  <c r="DK62" i="28"/>
  <c r="DL62" i="28"/>
  <c r="DM62" i="28"/>
  <c r="DN62" i="28"/>
  <c r="DO62" i="28"/>
  <c r="DP62" i="28"/>
  <c r="DQ62" i="28"/>
  <c r="DR62" i="28"/>
  <c r="DS62" i="28"/>
  <c r="DT62" i="28"/>
  <c r="DU62" i="28"/>
  <c r="DV62" i="28"/>
  <c r="DW62" i="28"/>
  <c r="DX62" i="28"/>
  <c r="DY62" i="28"/>
  <c r="DZ62" i="28"/>
  <c r="EA62" i="28"/>
  <c r="EB62" i="28"/>
  <c r="EC62" i="28"/>
  <c r="ED62" i="28"/>
  <c r="EE62" i="28"/>
  <c r="EF62" i="28"/>
  <c r="EG62" i="28"/>
  <c r="EH62" i="28"/>
  <c r="EI62" i="28"/>
  <c r="EJ62" i="28"/>
  <c r="EK62" i="28"/>
  <c r="EL62" i="28"/>
  <c r="EM62" i="28"/>
  <c r="EN62" i="28"/>
  <c r="EO62" i="28"/>
  <c r="EP62" i="28"/>
  <c r="EQ62" i="28"/>
  <c r="ER62" i="28"/>
  <c r="ES62" i="28"/>
  <c r="ET62" i="28"/>
  <c r="EU62" i="28"/>
  <c r="EV62" i="28"/>
  <c r="EW62" i="28"/>
  <c r="EX62" i="28"/>
  <c r="EY62" i="28"/>
  <c r="EZ62" i="28"/>
  <c r="FA62" i="28"/>
  <c r="FB62" i="28"/>
  <c r="FC62" i="28"/>
  <c r="FD62" i="28"/>
  <c r="FE62" i="28"/>
  <c r="FF62" i="28"/>
  <c r="FG62" i="28"/>
  <c r="FH62" i="28"/>
  <c r="FI62" i="28"/>
  <c r="FJ62" i="28"/>
  <c r="FK62" i="28"/>
  <c r="FL62" i="28"/>
  <c r="FM62" i="28"/>
  <c r="FN62" i="28"/>
  <c r="FO62" i="28"/>
  <c r="FP62" i="28"/>
  <c r="FQ62" i="28"/>
  <c r="FR62" i="28"/>
  <c r="FS62" i="28"/>
  <c r="FT62" i="28"/>
  <c r="FU62" i="28"/>
  <c r="FV62" i="28"/>
  <c r="FW62" i="28"/>
  <c r="FX62" i="28"/>
  <c r="FY62" i="28"/>
  <c r="FZ62" i="28"/>
  <c r="GA62" i="28"/>
  <c r="GB62" i="28"/>
  <c r="GC62" i="28"/>
  <c r="GD62" i="28"/>
  <c r="GE62" i="28"/>
  <c r="GF62" i="28"/>
  <c r="GG62" i="28"/>
  <c r="GH62" i="28"/>
  <c r="GI62" i="28"/>
  <c r="GJ62" i="28"/>
  <c r="GK62" i="28"/>
  <c r="GL62" i="28"/>
  <c r="GM62" i="28"/>
  <c r="GN62" i="28"/>
  <c r="GO62" i="28"/>
  <c r="BM63" i="28"/>
  <c r="BP63" i="28"/>
  <c r="BQ63" i="28"/>
  <c r="BR63" i="28"/>
  <c r="BS63" i="28"/>
  <c r="BT63" i="28"/>
  <c r="BU63" i="28"/>
  <c r="BV63" i="28"/>
  <c r="BW63" i="28"/>
  <c r="BX63" i="28"/>
  <c r="BY63" i="28"/>
  <c r="BZ63" i="28"/>
  <c r="CA63" i="28"/>
  <c r="CB63" i="28"/>
  <c r="CC63" i="28"/>
  <c r="CD63" i="28"/>
  <c r="CE63" i="28"/>
  <c r="CF63" i="28"/>
  <c r="CG63" i="28"/>
  <c r="CH63" i="28"/>
  <c r="CI63" i="28"/>
  <c r="CJ63" i="28"/>
  <c r="CK63" i="28"/>
  <c r="CL63" i="28"/>
  <c r="CM63" i="28"/>
  <c r="CN63" i="28"/>
  <c r="CO63" i="28"/>
  <c r="CP63" i="28"/>
  <c r="CQ63" i="28"/>
  <c r="CR63" i="28"/>
  <c r="CS63" i="28"/>
  <c r="CT63" i="28"/>
  <c r="CU63" i="28"/>
  <c r="CV63" i="28"/>
  <c r="CW63" i="28"/>
  <c r="CX63" i="28"/>
  <c r="CY63" i="28"/>
  <c r="CZ63" i="28"/>
  <c r="DA63" i="28"/>
  <c r="DB63" i="28"/>
  <c r="DC63" i="28"/>
  <c r="DD63" i="28"/>
  <c r="DE63" i="28"/>
  <c r="DF63" i="28"/>
  <c r="DG63" i="28"/>
  <c r="DH63" i="28"/>
  <c r="DI63" i="28"/>
  <c r="DJ63" i="28"/>
  <c r="DK63" i="28"/>
  <c r="DL63" i="28"/>
  <c r="DM63" i="28"/>
  <c r="DN63" i="28"/>
  <c r="DO63" i="28"/>
  <c r="DP63" i="28"/>
  <c r="DQ63" i="28"/>
  <c r="DR63" i="28"/>
  <c r="DS63" i="28"/>
  <c r="DT63" i="28"/>
  <c r="DU63" i="28"/>
  <c r="DV63" i="28"/>
  <c r="DW63" i="28"/>
  <c r="DX63" i="28"/>
  <c r="DY63" i="28"/>
  <c r="DZ63" i="28"/>
  <c r="EA63" i="28"/>
  <c r="EB63" i="28"/>
  <c r="EC63" i="28"/>
  <c r="ED63" i="28"/>
  <c r="EE63" i="28"/>
  <c r="EF63" i="28"/>
  <c r="EG63" i="28"/>
  <c r="EH63" i="28"/>
  <c r="EI63" i="28"/>
  <c r="EJ63" i="28"/>
  <c r="EK63" i="28"/>
  <c r="EL63" i="28"/>
  <c r="EM63" i="28"/>
  <c r="EN63" i="28"/>
  <c r="EO63" i="28"/>
  <c r="EP63" i="28"/>
  <c r="EQ63" i="28"/>
  <c r="ER63" i="28"/>
  <c r="ES63" i="28"/>
  <c r="ET63" i="28"/>
  <c r="EU63" i="28"/>
  <c r="EV63" i="28"/>
  <c r="EW63" i="28"/>
  <c r="EX63" i="28"/>
  <c r="EY63" i="28"/>
  <c r="EZ63" i="28"/>
  <c r="FA63" i="28"/>
  <c r="FB63" i="28"/>
  <c r="FC63" i="28"/>
  <c r="FD63" i="28"/>
  <c r="FE63" i="28"/>
  <c r="FF63" i="28"/>
  <c r="FG63" i="28"/>
  <c r="FH63" i="28"/>
  <c r="FI63" i="28"/>
  <c r="FJ63" i="28"/>
  <c r="FK63" i="28"/>
  <c r="FL63" i="28"/>
  <c r="FM63" i="28"/>
  <c r="FN63" i="28"/>
  <c r="FO63" i="28"/>
  <c r="FP63" i="28"/>
  <c r="FQ63" i="28"/>
  <c r="FR63" i="28"/>
  <c r="FS63" i="28"/>
  <c r="FT63" i="28"/>
  <c r="FU63" i="28"/>
  <c r="FV63" i="28"/>
  <c r="FW63" i="28"/>
  <c r="FX63" i="28"/>
  <c r="FY63" i="28"/>
  <c r="FZ63" i="28"/>
  <c r="GA63" i="28"/>
  <c r="GB63" i="28"/>
  <c r="GC63" i="28"/>
  <c r="GD63" i="28"/>
  <c r="GE63" i="28"/>
  <c r="GF63" i="28"/>
  <c r="GG63" i="28"/>
  <c r="GH63" i="28"/>
  <c r="GI63" i="28"/>
  <c r="GJ63" i="28"/>
  <c r="GK63" i="28"/>
  <c r="GL63" i="28"/>
  <c r="GM63" i="28"/>
  <c r="GN63" i="28"/>
  <c r="GO63" i="28"/>
  <c r="BM64" i="28"/>
  <c r="BP64" i="28"/>
  <c r="BQ64" i="28"/>
  <c r="BR64" i="28"/>
  <c r="BS64" i="28"/>
  <c r="BT64" i="28"/>
  <c r="BU64" i="28"/>
  <c r="BV64" i="28"/>
  <c r="BW64" i="28"/>
  <c r="BX64" i="28"/>
  <c r="BY64" i="28"/>
  <c r="BZ64" i="28"/>
  <c r="CA64" i="28"/>
  <c r="CB64" i="28"/>
  <c r="CC64" i="28"/>
  <c r="CD64" i="28"/>
  <c r="CE64" i="28"/>
  <c r="CF64" i="28"/>
  <c r="CG64" i="28"/>
  <c r="CH64" i="28"/>
  <c r="CI64" i="28"/>
  <c r="CJ64" i="28"/>
  <c r="CK64" i="28"/>
  <c r="CL64" i="28"/>
  <c r="CM64" i="28"/>
  <c r="CN64" i="28"/>
  <c r="CO64" i="28"/>
  <c r="CP64" i="28"/>
  <c r="CQ64" i="28"/>
  <c r="CR64" i="28"/>
  <c r="CS64" i="28"/>
  <c r="CT64" i="28"/>
  <c r="CU64" i="28"/>
  <c r="CV64" i="28"/>
  <c r="CW64" i="28"/>
  <c r="CX64" i="28"/>
  <c r="CY64" i="28"/>
  <c r="CZ64" i="28"/>
  <c r="DA64" i="28"/>
  <c r="DB64" i="28"/>
  <c r="DC64" i="28"/>
  <c r="DD64" i="28"/>
  <c r="DE64" i="28"/>
  <c r="DF64" i="28"/>
  <c r="DG64" i="28"/>
  <c r="DH64" i="28"/>
  <c r="DI64" i="28"/>
  <c r="DJ64" i="28"/>
  <c r="DK64" i="28"/>
  <c r="DL64" i="28"/>
  <c r="DM64" i="28"/>
  <c r="DN64" i="28"/>
  <c r="DO64" i="28"/>
  <c r="DP64" i="28"/>
  <c r="DQ64" i="28"/>
  <c r="DR64" i="28"/>
  <c r="DS64" i="28"/>
  <c r="DT64" i="28"/>
  <c r="DU64" i="28"/>
  <c r="DV64" i="28"/>
  <c r="DW64" i="28"/>
  <c r="DX64" i="28"/>
  <c r="DY64" i="28"/>
  <c r="DZ64" i="28"/>
  <c r="EA64" i="28"/>
  <c r="EB64" i="28"/>
  <c r="EC64" i="28"/>
  <c r="ED64" i="28"/>
  <c r="EE64" i="28"/>
  <c r="EF64" i="28"/>
  <c r="EG64" i="28"/>
  <c r="EH64" i="28"/>
  <c r="EI64" i="28"/>
  <c r="EJ64" i="28"/>
  <c r="EK64" i="28"/>
  <c r="EL64" i="28"/>
  <c r="EM64" i="28"/>
  <c r="EN64" i="28"/>
  <c r="EO64" i="28"/>
  <c r="EP64" i="28"/>
  <c r="EQ64" i="28"/>
  <c r="ER64" i="28"/>
  <c r="ES64" i="28"/>
  <c r="ET64" i="28"/>
  <c r="EU64" i="28"/>
  <c r="EV64" i="28"/>
  <c r="EW64" i="28"/>
  <c r="EX64" i="28"/>
  <c r="EY64" i="28"/>
  <c r="EZ64" i="28"/>
  <c r="FA64" i="28"/>
  <c r="FB64" i="28"/>
  <c r="FC64" i="28"/>
  <c r="FD64" i="28"/>
  <c r="FE64" i="28"/>
  <c r="FF64" i="28"/>
  <c r="FG64" i="28"/>
  <c r="FH64" i="28"/>
  <c r="FI64" i="28"/>
  <c r="FJ64" i="28"/>
  <c r="FK64" i="28"/>
  <c r="FL64" i="28"/>
  <c r="FM64" i="28"/>
  <c r="FN64" i="28"/>
  <c r="FO64" i="28"/>
  <c r="FP64" i="28"/>
  <c r="FQ64" i="28"/>
  <c r="FR64" i="28"/>
  <c r="FS64" i="28"/>
  <c r="FT64" i="28"/>
  <c r="FU64" i="28"/>
  <c r="FV64" i="28"/>
  <c r="FW64" i="28"/>
  <c r="FX64" i="28"/>
  <c r="FY64" i="28"/>
  <c r="FZ64" i="28"/>
  <c r="GA64" i="28"/>
  <c r="GB64" i="28"/>
  <c r="GC64" i="28"/>
  <c r="GD64" i="28"/>
  <c r="GE64" i="28"/>
  <c r="GF64" i="28"/>
  <c r="GG64" i="28"/>
  <c r="GH64" i="28"/>
  <c r="GI64" i="28"/>
  <c r="GJ64" i="28"/>
  <c r="GK64" i="28"/>
  <c r="GL64" i="28"/>
  <c r="GM64" i="28"/>
  <c r="GN64" i="28"/>
  <c r="GO64" i="28"/>
  <c r="BJ65" i="28"/>
  <c r="BK65" i="28"/>
  <c r="BL65" i="28"/>
  <c r="BM65" i="28"/>
  <c r="BN65" i="28"/>
  <c r="BO65" i="28"/>
  <c r="BP65" i="28"/>
  <c r="BQ65" i="28"/>
  <c r="BR65" i="28"/>
  <c r="BS65" i="28"/>
  <c r="BT65" i="28"/>
  <c r="BU65" i="28"/>
  <c r="BV65" i="28"/>
  <c r="BW65" i="28"/>
  <c r="BX65" i="28"/>
  <c r="BY65" i="28"/>
  <c r="BZ65" i="28"/>
  <c r="CA65" i="28"/>
  <c r="CB65" i="28"/>
  <c r="CC65" i="28"/>
  <c r="CD65" i="28"/>
  <c r="CE65" i="28"/>
  <c r="CF65" i="28"/>
  <c r="CG65" i="28"/>
  <c r="CH65" i="28"/>
  <c r="CI65" i="28"/>
  <c r="CJ65" i="28"/>
  <c r="CK65" i="28"/>
  <c r="CL65" i="28"/>
  <c r="CM65" i="28"/>
  <c r="CN65" i="28"/>
  <c r="CO65" i="28"/>
  <c r="CP65" i="28"/>
  <c r="CQ65" i="28"/>
  <c r="CR65" i="28"/>
  <c r="CS65" i="28"/>
  <c r="CT65" i="28"/>
  <c r="CU65" i="28"/>
  <c r="CV65" i="28"/>
  <c r="CW65" i="28"/>
  <c r="CX65" i="28"/>
  <c r="CY65" i="28"/>
  <c r="CZ65" i="28"/>
  <c r="DA65" i="28"/>
  <c r="DB65" i="28"/>
  <c r="DC65" i="28"/>
  <c r="DD65" i="28"/>
  <c r="DE65" i="28"/>
  <c r="DF65" i="28"/>
  <c r="DG65" i="28"/>
  <c r="DH65" i="28"/>
  <c r="DI65" i="28"/>
  <c r="DJ65" i="28"/>
  <c r="DK65" i="28"/>
  <c r="DL65" i="28"/>
  <c r="DM65" i="28"/>
  <c r="DN65" i="28"/>
  <c r="DO65" i="28"/>
  <c r="DP65" i="28"/>
  <c r="DQ65" i="28"/>
  <c r="DR65" i="28"/>
  <c r="DS65" i="28"/>
  <c r="DT65" i="28"/>
  <c r="DU65" i="28"/>
  <c r="DV65" i="28"/>
  <c r="DW65" i="28"/>
  <c r="DX65" i="28"/>
  <c r="DY65" i="28"/>
  <c r="DZ65" i="28"/>
  <c r="EA65" i="28"/>
  <c r="EB65" i="28"/>
  <c r="EC65" i="28"/>
  <c r="ED65" i="28"/>
  <c r="EE65" i="28"/>
  <c r="EF65" i="28"/>
  <c r="EG65" i="28"/>
  <c r="EH65" i="28"/>
  <c r="EI65" i="28"/>
  <c r="EJ65" i="28"/>
  <c r="EK65" i="28"/>
  <c r="EL65" i="28"/>
  <c r="EM65" i="28"/>
  <c r="EN65" i="28"/>
  <c r="EO65" i="28"/>
  <c r="EP65" i="28"/>
  <c r="EQ65" i="28"/>
  <c r="ER65" i="28"/>
  <c r="ES65" i="28"/>
  <c r="ET65" i="28"/>
  <c r="EU65" i="28"/>
  <c r="EV65" i="28"/>
  <c r="EW65" i="28"/>
  <c r="EX65" i="28"/>
  <c r="EY65" i="28"/>
  <c r="EZ65" i="28"/>
  <c r="FA65" i="28"/>
  <c r="FB65" i="28"/>
  <c r="FC65" i="28"/>
  <c r="FD65" i="28"/>
  <c r="FE65" i="28"/>
  <c r="FF65" i="28"/>
  <c r="FG65" i="28"/>
  <c r="FH65" i="28"/>
  <c r="FI65" i="28"/>
  <c r="FJ65" i="28"/>
  <c r="FK65" i="28"/>
  <c r="FL65" i="28"/>
  <c r="FM65" i="28"/>
  <c r="FN65" i="28"/>
  <c r="FO65" i="28"/>
  <c r="FP65" i="28"/>
  <c r="FQ65" i="28"/>
  <c r="FR65" i="28"/>
  <c r="FS65" i="28"/>
  <c r="FT65" i="28"/>
  <c r="FU65" i="28"/>
  <c r="FV65" i="28"/>
  <c r="FW65" i="28"/>
  <c r="FX65" i="28"/>
  <c r="FY65" i="28"/>
  <c r="FZ65" i="28"/>
  <c r="GA65" i="28"/>
  <c r="GB65" i="28"/>
  <c r="GC65" i="28"/>
  <c r="GD65" i="28"/>
  <c r="GE65" i="28"/>
  <c r="GF65" i="28"/>
  <c r="GG65" i="28"/>
  <c r="GH65" i="28"/>
  <c r="GI65" i="28"/>
  <c r="GJ65" i="28"/>
  <c r="GK65" i="28"/>
  <c r="GL65" i="28"/>
  <c r="GM65" i="28"/>
  <c r="GN65" i="28"/>
  <c r="GO65" i="28"/>
  <c r="BM66" i="28"/>
  <c r="BP66" i="28"/>
  <c r="BQ66" i="28"/>
  <c r="BR66" i="28"/>
  <c r="BS66" i="28"/>
  <c r="BT66" i="28"/>
  <c r="BU66" i="28"/>
  <c r="BV66" i="28"/>
  <c r="BW66" i="28"/>
  <c r="BX66" i="28"/>
  <c r="BY66" i="28"/>
  <c r="BZ66" i="28"/>
  <c r="CA66" i="28"/>
  <c r="CB66" i="28"/>
  <c r="CC66" i="28"/>
  <c r="CD66" i="28"/>
  <c r="CE66" i="28"/>
  <c r="CF66" i="28"/>
  <c r="CG66" i="28"/>
  <c r="CH66" i="28"/>
  <c r="CI66" i="28"/>
  <c r="CJ66" i="28"/>
  <c r="CK66" i="28"/>
  <c r="CL66" i="28"/>
  <c r="CM66" i="28"/>
  <c r="CN66" i="28"/>
  <c r="CO66" i="28"/>
  <c r="CP66" i="28"/>
  <c r="CQ66" i="28"/>
  <c r="CR66" i="28"/>
  <c r="CS66" i="28"/>
  <c r="CT66" i="28"/>
  <c r="CU66" i="28"/>
  <c r="CV66" i="28"/>
  <c r="CW66" i="28"/>
  <c r="CX66" i="28"/>
  <c r="CY66" i="28"/>
  <c r="CZ66" i="28"/>
  <c r="DA66" i="28"/>
  <c r="DB66" i="28"/>
  <c r="DC66" i="28"/>
  <c r="DD66" i="28"/>
  <c r="DE66" i="28"/>
  <c r="DF66" i="28"/>
  <c r="DG66" i="28"/>
  <c r="DH66" i="28"/>
  <c r="DI66" i="28"/>
  <c r="DJ66" i="28"/>
  <c r="DK66" i="28"/>
  <c r="DL66" i="28"/>
  <c r="DM66" i="28"/>
  <c r="DN66" i="28"/>
  <c r="DO66" i="28"/>
  <c r="DP66" i="28"/>
  <c r="DQ66" i="28"/>
  <c r="DR66" i="28"/>
  <c r="DS66" i="28"/>
  <c r="DT66" i="28"/>
  <c r="DU66" i="28"/>
  <c r="DV66" i="28"/>
  <c r="DW66" i="28"/>
  <c r="DX66" i="28"/>
  <c r="DY66" i="28"/>
  <c r="DZ66" i="28"/>
  <c r="EA66" i="28"/>
  <c r="EB66" i="28"/>
  <c r="EC66" i="28"/>
  <c r="ED66" i="28"/>
  <c r="EE66" i="28"/>
  <c r="EF66" i="28"/>
  <c r="EG66" i="28"/>
  <c r="EH66" i="28"/>
  <c r="EI66" i="28"/>
  <c r="EJ66" i="28"/>
  <c r="EK66" i="28"/>
  <c r="EL66" i="28"/>
  <c r="EM66" i="28"/>
  <c r="EN66" i="28"/>
  <c r="EO66" i="28"/>
  <c r="EP66" i="28"/>
  <c r="EQ66" i="28"/>
  <c r="ER66" i="28"/>
  <c r="ES66" i="28"/>
  <c r="ET66" i="28"/>
  <c r="EU66" i="28"/>
  <c r="EV66" i="28"/>
  <c r="EW66" i="28"/>
  <c r="EX66" i="28"/>
  <c r="EY66" i="28"/>
  <c r="EZ66" i="28"/>
  <c r="FA66" i="28"/>
  <c r="FB66" i="28"/>
  <c r="FC66" i="28"/>
  <c r="FD66" i="28"/>
  <c r="FE66" i="28"/>
  <c r="FF66" i="28"/>
  <c r="FG66" i="28"/>
  <c r="FH66" i="28"/>
  <c r="FI66" i="28"/>
  <c r="FJ66" i="28"/>
  <c r="FK66" i="28"/>
  <c r="FL66" i="28"/>
  <c r="FM66" i="28"/>
  <c r="FN66" i="28"/>
  <c r="FO66" i="28"/>
  <c r="FP66" i="28"/>
  <c r="FQ66" i="28"/>
  <c r="FR66" i="28"/>
  <c r="FS66" i="28"/>
  <c r="FT66" i="28"/>
  <c r="FU66" i="28"/>
  <c r="FV66" i="28"/>
  <c r="FW66" i="28"/>
  <c r="FX66" i="28"/>
  <c r="FY66" i="28"/>
  <c r="FZ66" i="28"/>
  <c r="GA66" i="28"/>
  <c r="GB66" i="28"/>
  <c r="GC66" i="28"/>
  <c r="GD66" i="28"/>
  <c r="GE66" i="28"/>
  <c r="GF66" i="28"/>
  <c r="GG66" i="28"/>
  <c r="GH66" i="28"/>
  <c r="GI66" i="28"/>
  <c r="GJ66" i="28"/>
  <c r="GK66" i="28"/>
  <c r="GL66" i="28"/>
  <c r="GM66" i="28"/>
  <c r="GN66" i="28"/>
  <c r="GO66" i="28"/>
  <c r="BM67" i="28"/>
  <c r="BP67" i="28"/>
  <c r="BQ67" i="28"/>
  <c r="BR67" i="28"/>
  <c r="BS67" i="28"/>
  <c r="BT67" i="28"/>
  <c r="BU67" i="28"/>
  <c r="BV67" i="28"/>
  <c r="BW67" i="28"/>
  <c r="BX67" i="28"/>
  <c r="BY67" i="28"/>
  <c r="BZ67" i="28"/>
  <c r="CA67" i="28"/>
  <c r="CB67" i="28"/>
  <c r="CC67" i="28"/>
  <c r="CD67" i="28"/>
  <c r="CE67" i="28"/>
  <c r="CF67" i="28"/>
  <c r="CG67" i="28"/>
  <c r="CH67" i="28"/>
  <c r="CI67" i="28"/>
  <c r="CJ67" i="28"/>
  <c r="CK67" i="28"/>
  <c r="CL67" i="28"/>
  <c r="CM67" i="28"/>
  <c r="CN67" i="28"/>
  <c r="CO67" i="28"/>
  <c r="CP67" i="28"/>
  <c r="CQ67" i="28"/>
  <c r="CR67" i="28"/>
  <c r="CS67" i="28"/>
  <c r="CT67" i="28"/>
  <c r="CU67" i="28"/>
  <c r="CV67" i="28"/>
  <c r="CW67" i="28"/>
  <c r="CX67" i="28"/>
  <c r="CY67" i="28"/>
  <c r="CZ67" i="28"/>
  <c r="DA67" i="28"/>
  <c r="DB67" i="28"/>
  <c r="DC67" i="28"/>
  <c r="DD67" i="28"/>
  <c r="DE67" i="28"/>
  <c r="DF67" i="28"/>
  <c r="DG67" i="28"/>
  <c r="DH67" i="28"/>
  <c r="DI67" i="28"/>
  <c r="DJ67" i="28"/>
  <c r="DK67" i="28"/>
  <c r="DL67" i="28"/>
  <c r="DM67" i="28"/>
  <c r="DN67" i="28"/>
  <c r="DO67" i="28"/>
  <c r="DP67" i="28"/>
  <c r="DQ67" i="28"/>
  <c r="DR67" i="28"/>
  <c r="DS67" i="28"/>
  <c r="DT67" i="28"/>
  <c r="DU67" i="28"/>
  <c r="DV67" i="28"/>
  <c r="DW67" i="28"/>
  <c r="DX67" i="28"/>
  <c r="DY67" i="28"/>
  <c r="DZ67" i="28"/>
  <c r="EA67" i="28"/>
  <c r="EB67" i="28"/>
  <c r="EC67" i="28"/>
  <c r="ED67" i="28"/>
  <c r="EE67" i="28"/>
  <c r="EF67" i="28"/>
  <c r="EG67" i="28"/>
  <c r="EH67" i="28"/>
  <c r="EI67" i="28"/>
  <c r="EJ67" i="28"/>
  <c r="EK67" i="28"/>
  <c r="EL67" i="28"/>
  <c r="EM67" i="28"/>
  <c r="EN67" i="28"/>
  <c r="EO67" i="28"/>
  <c r="EP67" i="28"/>
  <c r="EQ67" i="28"/>
  <c r="ER67" i="28"/>
  <c r="ES67" i="28"/>
  <c r="ET67" i="28"/>
  <c r="EU67" i="28"/>
  <c r="EV67" i="28"/>
  <c r="EW67" i="28"/>
  <c r="EX67" i="28"/>
  <c r="EY67" i="28"/>
  <c r="EZ67" i="28"/>
  <c r="FA67" i="28"/>
  <c r="FB67" i="28"/>
  <c r="FC67" i="28"/>
  <c r="FD67" i="28"/>
  <c r="FE67" i="28"/>
  <c r="FF67" i="28"/>
  <c r="FG67" i="28"/>
  <c r="FH67" i="28"/>
  <c r="FI67" i="28"/>
  <c r="FJ67" i="28"/>
  <c r="FK67" i="28"/>
  <c r="FL67" i="28"/>
  <c r="FM67" i="28"/>
  <c r="FN67" i="28"/>
  <c r="FO67" i="28"/>
  <c r="FP67" i="28"/>
  <c r="FQ67" i="28"/>
  <c r="FR67" i="28"/>
  <c r="FS67" i="28"/>
  <c r="FT67" i="28"/>
  <c r="FU67" i="28"/>
  <c r="FV67" i="28"/>
  <c r="FW67" i="28"/>
  <c r="FX67" i="28"/>
  <c r="FY67" i="28"/>
  <c r="FZ67" i="28"/>
  <c r="GA67" i="28"/>
  <c r="GB67" i="28"/>
  <c r="GC67" i="28"/>
  <c r="GD67" i="28"/>
  <c r="GE67" i="28"/>
  <c r="GF67" i="28"/>
  <c r="GG67" i="28"/>
  <c r="GH67" i="28"/>
  <c r="GI67" i="28"/>
  <c r="GJ67" i="28"/>
  <c r="GK67" i="28"/>
  <c r="GL67" i="28"/>
  <c r="GM67" i="28"/>
  <c r="GN67" i="28"/>
  <c r="GO67" i="28"/>
  <c r="BW68" i="28"/>
  <c r="BX68" i="28"/>
  <c r="BZ68" i="28"/>
  <c r="CA68" i="28"/>
  <c r="CB68" i="28"/>
  <c r="CC68" i="28"/>
  <c r="CD68" i="28"/>
  <c r="CE68" i="28"/>
  <c r="CF68" i="28"/>
  <c r="CG68" i="28"/>
  <c r="CH68" i="28"/>
  <c r="CI68" i="28"/>
  <c r="CJ68" i="28"/>
  <c r="CK68" i="28"/>
  <c r="CL68" i="28"/>
  <c r="CM68" i="28"/>
  <c r="CN68" i="28"/>
  <c r="CO68" i="28"/>
  <c r="CP68" i="28"/>
  <c r="CQ68" i="28"/>
  <c r="CR68" i="28"/>
  <c r="CS68" i="28"/>
  <c r="CT68" i="28"/>
  <c r="CU68" i="28"/>
  <c r="CV68" i="28"/>
  <c r="CW68" i="28"/>
  <c r="CX68" i="28"/>
  <c r="CY68" i="28"/>
  <c r="CZ68" i="28"/>
  <c r="DA68" i="28"/>
  <c r="DB68" i="28"/>
  <c r="DC68" i="28"/>
  <c r="DD68" i="28"/>
  <c r="DF68" i="28"/>
  <c r="DG68" i="28"/>
  <c r="DH68" i="28"/>
  <c r="DI68" i="28"/>
  <c r="DJ68" i="28"/>
  <c r="DK68" i="28"/>
  <c r="DL68" i="28"/>
  <c r="DM68" i="28"/>
  <c r="DN68" i="28"/>
  <c r="DO68" i="28"/>
  <c r="DP68" i="28"/>
  <c r="DQ68" i="28"/>
  <c r="DR68" i="28"/>
  <c r="DS68" i="28"/>
  <c r="DT68" i="28"/>
  <c r="DU68" i="28"/>
  <c r="DV68" i="28"/>
  <c r="DW68" i="28"/>
  <c r="DX68" i="28"/>
  <c r="DY68" i="28"/>
  <c r="DZ68" i="28"/>
  <c r="EA68" i="28"/>
  <c r="EB68" i="28"/>
  <c r="EC68" i="28"/>
  <c r="ED68" i="28"/>
  <c r="EE68" i="28"/>
  <c r="EF68" i="28"/>
  <c r="EG68" i="28"/>
  <c r="EH68" i="28"/>
  <c r="EI68" i="28"/>
  <c r="EJ68" i="28"/>
  <c r="EK68" i="28"/>
  <c r="EL68" i="28"/>
  <c r="EM68" i="28"/>
  <c r="EN68" i="28"/>
  <c r="EO68" i="28"/>
  <c r="EP68" i="28"/>
  <c r="EQ68" i="28"/>
  <c r="ER68" i="28"/>
  <c r="ES68" i="28"/>
  <c r="ET68" i="28"/>
  <c r="EU68" i="28"/>
  <c r="EV68" i="28"/>
  <c r="EW68" i="28"/>
  <c r="EX68" i="28"/>
  <c r="EY68" i="28"/>
  <c r="EZ68" i="28"/>
  <c r="FA68" i="28"/>
  <c r="FB68" i="28"/>
  <c r="FC68" i="28"/>
  <c r="FD68" i="28"/>
  <c r="FE68" i="28"/>
  <c r="FF68" i="28"/>
  <c r="FG68" i="28"/>
  <c r="FH68" i="28"/>
  <c r="FI68" i="28"/>
  <c r="FJ68" i="28"/>
  <c r="FK68" i="28"/>
  <c r="FL68" i="28"/>
  <c r="FM68" i="28"/>
  <c r="FN68" i="28"/>
  <c r="FO68" i="28"/>
  <c r="FP68" i="28"/>
  <c r="FQ68" i="28"/>
  <c r="FR68" i="28"/>
  <c r="FS68" i="28"/>
  <c r="FT68" i="28"/>
  <c r="FU68" i="28"/>
  <c r="FV68" i="28"/>
  <c r="FW68" i="28"/>
  <c r="FX68" i="28"/>
  <c r="FY68" i="28"/>
  <c r="FZ68" i="28"/>
  <c r="GA68" i="28"/>
  <c r="GB68" i="28"/>
  <c r="GC68" i="28"/>
  <c r="GD68" i="28"/>
  <c r="GE68" i="28"/>
  <c r="GF68" i="28"/>
  <c r="GG68" i="28"/>
  <c r="GH68" i="28"/>
  <c r="GI68" i="28"/>
  <c r="GJ68" i="28"/>
  <c r="GK68" i="28"/>
  <c r="GL68" i="28"/>
  <c r="GM68" i="28"/>
  <c r="GN68" i="28"/>
  <c r="GO68" i="28"/>
  <c r="BQ69" i="28"/>
  <c r="BR69" i="28"/>
  <c r="BW69" i="28"/>
  <c r="BX69" i="28"/>
  <c r="BY69" i="28"/>
  <c r="CB69" i="28"/>
  <c r="CC69" i="28"/>
  <c r="CD69" i="28"/>
  <c r="CE69" i="28"/>
  <c r="CF69" i="28"/>
  <c r="CH69" i="28"/>
  <c r="CI69" i="28"/>
  <c r="CJ69" i="28"/>
  <c r="CK69" i="28"/>
  <c r="CM69" i="28"/>
  <c r="CN69" i="28"/>
  <c r="CP69" i="28"/>
  <c r="CQ69" i="28"/>
  <c r="CR69" i="28"/>
  <c r="CS69" i="28"/>
  <c r="CT69" i="28"/>
  <c r="CU69" i="28"/>
  <c r="CV69" i="28"/>
  <c r="CW69" i="28"/>
  <c r="CX69" i="28"/>
  <c r="CY69" i="28"/>
  <c r="CZ69" i="28"/>
  <c r="DA69" i="28"/>
  <c r="DB69" i="28"/>
  <c r="DC69" i="28"/>
  <c r="DD69" i="28"/>
  <c r="DE69" i="28"/>
  <c r="DF69" i="28"/>
  <c r="DG69" i="28"/>
  <c r="DH69" i="28"/>
  <c r="DI69" i="28"/>
  <c r="DJ69" i="28"/>
  <c r="DK69" i="28"/>
  <c r="DL69" i="28"/>
  <c r="DM69" i="28"/>
  <c r="DN69" i="28"/>
  <c r="DO69" i="28"/>
  <c r="DP69" i="28"/>
  <c r="DQ69" i="28"/>
  <c r="DR69" i="28"/>
  <c r="DS69" i="28"/>
  <c r="DT69" i="28"/>
  <c r="DU69" i="28"/>
  <c r="DV69" i="28"/>
  <c r="DW69" i="28"/>
  <c r="DX69" i="28"/>
  <c r="DY69" i="28"/>
  <c r="DZ69" i="28"/>
  <c r="EA69" i="28"/>
  <c r="EB69" i="28"/>
  <c r="EC69" i="28"/>
  <c r="ED69" i="28"/>
  <c r="EE69" i="28"/>
  <c r="EF69" i="28"/>
  <c r="EG69" i="28"/>
  <c r="EH69" i="28"/>
  <c r="EI69" i="28"/>
  <c r="EJ69" i="28"/>
  <c r="EK69" i="28"/>
  <c r="EL69" i="28"/>
  <c r="EM69" i="28"/>
  <c r="EN69" i="28"/>
  <c r="EO69" i="28"/>
  <c r="EP69" i="28"/>
  <c r="EQ69" i="28"/>
  <c r="ER69" i="28"/>
  <c r="ES69" i="28"/>
  <c r="ET69" i="28"/>
  <c r="EU69" i="28"/>
  <c r="EV69" i="28"/>
  <c r="EW69" i="28"/>
  <c r="EX69" i="28"/>
  <c r="EY69" i="28"/>
  <c r="EZ69" i="28"/>
  <c r="FA69" i="28"/>
  <c r="FB69" i="28"/>
  <c r="FC69" i="28"/>
  <c r="FD69" i="28"/>
  <c r="FE69" i="28"/>
  <c r="FF69" i="28"/>
  <c r="FG69" i="28"/>
  <c r="FH69" i="28"/>
  <c r="FI69" i="28"/>
  <c r="FJ69" i="28"/>
  <c r="FK69" i="28"/>
  <c r="FL69" i="28"/>
  <c r="FM69" i="28"/>
  <c r="FN69" i="28"/>
  <c r="FO69" i="28"/>
  <c r="FP69" i="28"/>
  <c r="FQ69" i="28"/>
  <c r="FR69" i="28"/>
  <c r="FS69" i="28"/>
  <c r="FT69" i="28"/>
  <c r="FU69" i="28"/>
  <c r="FV69" i="28"/>
  <c r="FW69" i="28"/>
  <c r="FX69" i="28"/>
  <c r="FY69" i="28"/>
  <c r="FZ69" i="28"/>
  <c r="GA69" i="28"/>
  <c r="GB69" i="28"/>
  <c r="GC69" i="28"/>
  <c r="GD69" i="28"/>
  <c r="GE69" i="28"/>
  <c r="GF69" i="28"/>
  <c r="GG69" i="28"/>
  <c r="GH69" i="28"/>
  <c r="GI69" i="28"/>
  <c r="GJ69" i="28"/>
  <c r="GK69" i="28"/>
  <c r="GL69" i="28"/>
  <c r="GM69" i="28"/>
  <c r="GN69" i="28"/>
  <c r="GO69" i="28"/>
  <c r="BQ70" i="28"/>
  <c r="BR70" i="28"/>
  <c r="BW70" i="28"/>
  <c r="BX70" i="28"/>
  <c r="BY70" i="28"/>
  <c r="CB70" i="28"/>
  <c r="CC70" i="28"/>
  <c r="CD70" i="28"/>
  <c r="CE70" i="28"/>
  <c r="CF70" i="28"/>
  <c r="CH70" i="28"/>
  <c r="CI70" i="28"/>
  <c r="CJ70" i="28"/>
  <c r="CK70" i="28"/>
  <c r="CM70" i="28"/>
  <c r="CN70" i="28"/>
  <c r="CP70" i="28"/>
  <c r="CQ70" i="28"/>
  <c r="CR70" i="28"/>
  <c r="CS70" i="28"/>
  <c r="CT70" i="28"/>
  <c r="CU70" i="28"/>
  <c r="CV70" i="28"/>
  <c r="CW70" i="28"/>
  <c r="CX70" i="28"/>
  <c r="CY70" i="28"/>
  <c r="CZ70" i="28"/>
  <c r="DA70" i="28"/>
  <c r="DB70" i="28"/>
  <c r="DC70" i="28"/>
  <c r="DD70" i="28"/>
  <c r="DE70" i="28"/>
  <c r="DF70" i="28"/>
  <c r="DG70" i="28"/>
  <c r="DH70" i="28"/>
  <c r="DI70" i="28"/>
  <c r="DJ70" i="28"/>
  <c r="DK70" i="28"/>
  <c r="DL70" i="28"/>
  <c r="DM70" i="28"/>
  <c r="DN70" i="28"/>
  <c r="DO70" i="28"/>
  <c r="DP70" i="28"/>
  <c r="DQ70" i="28"/>
  <c r="DR70" i="28"/>
  <c r="DS70" i="28"/>
  <c r="DT70" i="28"/>
  <c r="DU70" i="28"/>
  <c r="DV70" i="28"/>
  <c r="DW70" i="28"/>
  <c r="DX70" i="28"/>
  <c r="DY70" i="28"/>
  <c r="DZ70" i="28"/>
  <c r="EA70" i="28"/>
  <c r="EB70" i="28"/>
  <c r="EC70" i="28"/>
  <c r="ED70" i="28"/>
  <c r="EE70" i="28"/>
  <c r="EF70" i="28"/>
  <c r="EG70" i="28"/>
  <c r="EH70" i="28"/>
  <c r="EI70" i="28"/>
  <c r="EJ70" i="28"/>
  <c r="EK70" i="28"/>
  <c r="EL70" i="28"/>
  <c r="EM70" i="28"/>
  <c r="EN70" i="28"/>
  <c r="EO70" i="28"/>
  <c r="EP70" i="28"/>
  <c r="EQ70" i="28"/>
  <c r="ER70" i="28"/>
  <c r="ES70" i="28"/>
  <c r="ET70" i="28"/>
  <c r="EU70" i="28"/>
  <c r="EV70" i="28"/>
  <c r="EW70" i="28"/>
  <c r="EX70" i="28"/>
  <c r="EY70" i="28"/>
  <c r="EZ70" i="28"/>
  <c r="FA70" i="28"/>
  <c r="FB70" i="28"/>
  <c r="FC70" i="28"/>
  <c r="FD70" i="28"/>
  <c r="FE70" i="28"/>
  <c r="FF70" i="28"/>
  <c r="FG70" i="28"/>
  <c r="FK70" i="28"/>
  <c r="FL70" i="28"/>
  <c r="FM70" i="28"/>
  <c r="FN70" i="28"/>
  <c r="FO70" i="28"/>
  <c r="FP70" i="28"/>
  <c r="FQ70" i="28"/>
  <c r="FR70" i="28"/>
  <c r="FS70" i="28"/>
  <c r="FT70" i="28"/>
  <c r="FU70" i="28"/>
  <c r="FV70" i="28"/>
  <c r="FW70" i="28"/>
  <c r="FX70" i="28"/>
  <c r="FY70" i="28"/>
  <c r="FZ70" i="28"/>
  <c r="GA70" i="28"/>
  <c r="GB70" i="28"/>
  <c r="GC70" i="28"/>
  <c r="GD70" i="28"/>
  <c r="GE70" i="28"/>
  <c r="GF70" i="28"/>
  <c r="GG70" i="28"/>
  <c r="GH70" i="28"/>
  <c r="GI70" i="28"/>
  <c r="GJ70" i="28"/>
  <c r="GK70" i="28"/>
  <c r="GL70" i="28"/>
  <c r="GM70" i="28"/>
  <c r="GN70" i="28"/>
  <c r="GO70" i="28"/>
  <c r="BJ71" i="28"/>
  <c r="BK71" i="28"/>
  <c r="BL71" i="28"/>
  <c r="BM71" i="28"/>
  <c r="BN71" i="28"/>
  <c r="BO71" i="28"/>
  <c r="BP71" i="28"/>
  <c r="BQ71" i="28"/>
  <c r="BR71" i="28"/>
  <c r="BS71" i="28"/>
  <c r="BT71" i="28"/>
  <c r="BU71" i="28"/>
  <c r="BV71" i="28"/>
  <c r="BW71" i="28"/>
  <c r="BX71" i="28"/>
  <c r="BY71" i="28"/>
  <c r="BZ71" i="28"/>
  <c r="CA71" i="28"/>
  <c r="CB71" i="28"/>
  <c r="CC71" i="28"/>
  <c r="CG71" i="28"/>
  <c r="CH71" i="28"/>
  <c r="CL71" i="28"/>
  <c r="CO71" i="28"/>
  <c r="CP71" i="28"/>
  <c r="CQ71" i="28"/>
  <c r="CR71" i="28"/>
  <c r="CS71" i="28"/>
  <c r="CT71" i="28"/>
  <c r="CU71" i="28"/>
  <c r="CV71" i="28"/>
  <c r="CW71" i="28"/>
  <c r="CX71" i="28"/>
  <c r="CY71" i="28"/>
  <c r="CZ71" i="28"/>
  <c r="DA71" i="28"/>
  <c r="DB71" i="28"/>
  <c r="DC71" i="28"/>
  <c r="DD71" i="28"/>
  <c r="DE71" i="28"/>
  <c r="DF71" i="28"/>
  <c r="DG71" i="28"/>
  <c r="DH71" i="28"/>
  <c r="DI71" i="28"/>
  <c r="DJ71" i="28"/>
  <c r="DK71" i="28"/>
  <c r="DL71" i="28"/>
  <c r="DM71" i="28"/>
  <c r="DN71" i="28"/>
  <c r="DO71" i="28"/>
  <c r="DP71" i="28"/>
  <c r="DQ71" i="28"/>
  <c r="DR71" i="28"/>
  <c r="DS71" i="28"/>
  <c r="DT71" i="28"/>
  <c r="DU71" i="28"/>
  <c r="DV71" i="28"/>
  <c r="DW71" i="28"/>
  <c r="DX71" i="28"/>
  <c r="DY71" i="28"/>
  <c r="DZ71" i="28"/>
  <c r="EA71" i="28"/>
  <c r="EB71" i="28"/>
  <c r="EC71" i="28"/>
  <c r="ED71" i="28"/>
  <c r="EI71" i="28"/>
  <c r="EJ71" i="28"/>
  <c r="EK71" i="28"/>
  <c r="EL71" i="28"/>
  <c r="EM71" i="28"/>
  <c r="EN71" i="28"/>
  <c r="EO71" i="28"/>
  <c r="EP71" i="28"/>
  <c r="EQ71" i="28"/>
  <c r="ER71" i="28"/>
  <c r="ES71" i="28"/>
  <c r="ET71" i="28"/>
  <c r="EU71" i="28"/>
  <c r="EV71" i="28"/>
  <c r="FB71" i="28"/>
  <c r="FC71" i="28"/>
  <c r="FD71" i="28"/>
  <c r="FE71" i="28"/>
  <c r="FF71" i="28"/>
  <c r="FH71" i="28"/>
  <c r="FI71" i="28"/>
  <c r="FJ71" i="28"/>
  <c r="FU71" i="28"/>
  <c r="FV71" i="28"/>
  <c r="FW71" i="28"/>
  <c r="FX71" i="28"/>
  <c r="FY71" i="28"/>
  <c r="FZ71" i="28"/>
  <c r="GA71" i="28"/>
  <c r="GB71" i="28"/>
  <c r="GC71" i="28"/>
  <c r="GD71" i="28"/>
  <c r="GE71" i="28"/>
  <c r="GF71" i="28"/>
  <c r="GL71" i="28"/>
  <c r="GO71" i="28"/>
  <c r="BJ72" i="28"/>
  <c r="BK72" i="28"/>
  <c r="BL72" i="28"/>
  <c r="BM72" i="28"/>
  <c r="BN72" i="28"/>
  <c r="BO72" i="28"/>
  <c r="BP72" i="28"/>
  <c r="BQ72" i="28"/>
  <c r="BR72" i="28"/>
  <c r="BS72" i="28"/>
  <c r="BT72" i="28"/>
  <c r="BU72" i="28"/>
  <c r="BV72" i="28"/>
  <c r="BW72" i="28"/>
  <c r="BX72" i="28"/>
  <c r="BY72" i="28"/>
  <c r="BZ72" i="28"/>
  <c r="CA72" i="28"/>
  <c r="CB72" i="28"/>
  <c r="CC72" i="28"/>
  <c r="CD72" i="28"/>
  <c r="CE72" i="28"/>
  <c r="CF72" i="28"/>
  <c r="CG72" i="28"/>
  <c r="CH72" i="28"/>
  <c r="CI72" i="28"/>
  <c r="CJ72" i="28"/>
  <c r="CK72" i="28"/>
  <c r="CL72" i="28"/>
  <c r="CM72" i="28"/>
  <c r="CN72" i="28"/>
  <c r="CO72" i="28"/>
  <c r="CP72" i="28"/>
  <c r="CQ72" i="28"/>
  <c r="CR72" i="28"/>
  <c r="CS72" i="28"/>
  <c r="CT72" i="28"/>
  <c r="CU72" i="28"/>
  <c r="CV72" i="28"/>
  <c r="CW72" i="28"/>
  <c r="CX72" i="28"/>
  <c r="CY72" i="28"/>
  <c r="CZ72" i="28"/>
  <c r="DA72" i="28"/>
  <c r="DB72" i="28"/>
  <c r="DC72" i="28"/>
  <c r="DD72" i="28"/>
  <c r="DE72" i="28"/>
  <c r="DF72" i="28"/>
  <c r="DG72" i="28"/>
  <c r="DH72" i="28"/>
  <c r="DI72" i="28"/>
  <c r="DJ72" i="28"/>
  <c r="DK72" i="28"/>
  <c r="DL72" i="28"/>
  <c r="DM72" i="28"/>
  <c r="DN72" i="28"/>
  <c r="DO72" i="28"/>
  <c r="DP72" i="28"/>
  <c r="DQ72" i="28"/>
  <c r="DR72" i="28"/>
  <c r="DS72" i="28"/>
  <c r="DT72" i="28"/>
  <c r="DU72" i="28"/>
  <c r="DV72" i="28"/>
  <c r="DW72" i="28"/>
  <c r="DX72" i="28"/>
  <c r="DY72" i="28"/>
  <c r="DZ72" i="28"/>
  <c r="EA72" i="28"/>
  <c r="EB72" i="28"/>
  <c r="EC72" i="28"/>
  <c r="ED72" i="28"/>
  <c r="EE72" i="28"/>
  <c r="EF72" i="28"/>
  <c r="EG72" i="28"/>
  <c r="EH72" i="28"/>
  <c r="EI72" i="28"/>
  <c r="EJ72" i="28"/>
  <c r="EK72" i="28"/>
  <c r="EL72" i="28"/>
  <c r="EM72" i="28"/>
  <c r="EN72" i="28"/>
  <c r="EO72" i="28"/>
  <c r="EP72" i="28"/>
  <c r="EQ72" i="28"/>
  <c r="ER72" i="28"/>
  <c r="ES72" i="28"/>
  <c r="ET72" i="28"/>
  <c r="EU72" i="28"/>
  <c r="EV72" i="28"/>
  <c r="EW72" i="28"/>
  <c r="EX72" i="28"/>
  <c r="EY72" i="28"/>
  <c r="EZ72" i="28"/>
  <c r="FA72" i="28"/>
  <c r="FB72" i="28"/>
  <c r="FC72" i="28"/>
  <c r="FD72" i="28"/>
  <c r="FE72" i="28"/>
  <c r="FF72" i="28"/>
  <c r="FG72" i="28"/>
  <c r="FH72" i="28"/>
  <c r="FI72" i="28"/>
  <c r="FJ72" i="28"/>
  <c r="FK72" i="28"/>
  <c r="FL72" i="28"/>
  <c r="FM72" i="28"/>
  <c r="FN72" i="28"/>
  <c r="FO72" i="28"/>
  <c r="FP72" i="28"/>
  <c r="FQ72" i="28"/>
  <c r="FR72" i="28"/>
  <c r="FS72" i="28"/>
  <c r="FT72" i="28"/>
  <c r="FU72" i="28"/>
  <c r="FV72" i="28"/>
  <c r="FW72" i="28"/>
  <c r="FX72" i="28"/>
  <c r="FY72" i="28"/>
  <c r="FZ72" i="28"/>
  <c r="GA72" i="28"/>
  <c r="GB72" i="28"/>
  <c r="GC72" i="28"/>
  <c r="GD72" i="28"/>
  <c r="GE72" i="28"/>
  <c r="GF72" i="28"/>
  <c r="GG72" i="28"/>
  <c r="GH72" i="28"/>
  <c r="GI72" i="28"/>
  <c r="GJ72" i="28"/>
  <c r="GK72" i="28"/>
  <c r="GL72" i="28"/>
  <c r="GM72" i="28"/>
  <c r="GN72" i="28"/>
  <c r="GO72" i="28"/>
  <c r="BJ73" i="28"/>
  <c r="BK73" i="28"/>
  <c r="BL73" i="28"/>
  <c r="BM73" i="28"/>
  <c r="BN73" i="28"/>
  <c r="BO73" i="28"/>
  <c r="BP73" i="28"/>
  <c r="BQ73" i="28"/>
  <c r="BR73" i="28"/>
  <c r="BS73" i="28"/>
  <c r="BT73" i="28"/>
  <c r="BU73" i="28"/>
  <c r="BV73" i="28"/>
  <c r="BW73" i="28"/>
  <c r="BX73" i="28"/>
  <c r="BY73" i="28"/>
  <c r="BZ73" i="28"/>
  <c r="CA73" i="28"/>
  <c r="CB73" i="28"/>
  <c r="CC73" i="28"/>
  <c r="CD73" i="28"/>
  <c r="CE73" i="28"/>
  <c r="CF73" i="28"/>
  <c r="CG73" i="28"/>
  <c r="CH73" i="28"/>
  <c r="CI73" i="28"/>
  <c r="CJ73" i="28"/>
  <c r="CK73" i="28"/>
  <c r="CL73" i="28"/>
  <c r="CM73" i="28"/>
  <c r="CN73" i="28"/>
  <c r="CO73" i="28"/>
  <c r="CP73" i="28"/>
  <c r="CQ73" i="28"/>
  <c r="CR73" i="28"/>
  <c r="CS73" i="28"/>
  <c r="CT73" i="28"/>
  <c r="CU73" i="28"/>
  <c r="CV73" i="28"/>
  <c r="CW73" i="28"/>
  <c r="CX73" i="28"/>
  <c r="CY73" i="28"/>
  <c r="CZ73" i="28"/>
  <c r="DA73" i="28"/>
  <c r="DB73" i="28"/>
  <c r="DC73" i="28"/>
  <c r="DD73" i="28"/>
  <c r="DE73" i="28"/>
  <c r="DF73" i="28"/>
  <c r="DG73" i="28"/>
  <c r="DH73" i="28"/>
  <c r="DI73" i="28"/>
  <c r="DJ73" i="28"/>
  <c r="DK73" i="28"/>
  <c r="DL73" i="28"/>
  <c r="DM73" i="28"/>
  <c r="DN73" i="28"/>
  <c r="DO73" i="28"/>
  <c r="DP73" i="28"/>
  <c r="DQ73" i="28"/>
  <c r="DR73" i="28"/>
  <c r="DS73" i="28"/>
  <c r="DT73" i="28"/>
  <c r="DU73" i="28"/>
  <c r="DV73" i="28"/>
  <c r="DW73" i="28"/>
  <c r="DX73" i="28"/>
  <c r="DY73" i="28"/>
  <c r="DZ73" i="28"/>
  <c r="EA73" i="28"/>
  <c r="EB73" i="28"/>
  <c r="EC73" i="28"/>
  <c r="ED73" i="28"/>
  <c r="EE73" i="28"/>
  <c r="EF73" i="28"/>
  <c r="EG73" i="28"/>
  <c r="EH73" i="28"/>
  <c r="EI73" i="28"/>
  <c r="EJ73" i="28"/>
  <c r="EK73" i="28"/>
  <c r="EL73" i="28"/>
  <c r="EM73" i="28"/>
  <c r="EN73" i="28"/>
  <c r="EO73" i="28"/>
  <c r="EP73" i="28"/>
  <c r="EQ73" i="28"/>
  <c r="ER73" i="28"/>
  <c r="ES73" i="28"/>
  <c r="ET73" i="28"/>
  <c r="EU73" i="28"/>
  <c r="EV73" i="28"/>
  <c r="FB73" i="28"/>
  <c r="FC73" i="28"/>
  <c r="FD73" i="28"/>
  <c r="FE73" i="28"/>
  <c r="FF73" i="28"/>
  <c r="FG73" i="28"/>
  <c r="FH73" i="28"/>
  <c r="FI73" i="28"/>
  <c r="FJ73" i="28"/>
  <c r="FU73" i="28"/>
  <c r="FV73" i="28"/>
  <c r="FW73" i="28"/>
  <c r="FX73" i="28"/>
  <c r="FY73" i="28"/>
  <c r="FZ73" i="28"/>
  <c r="GA73" i="28"/>
  <c r="GB73" i="28"/>
  <c r="GC73" i="28"/>
  <c r="GD73" i="28"/>
  <c r="GE73" i="28"/>
  <c r="GF73" i="28"/>
  <c r="GO73" i="28"/>
  <c r="BJ74" i="28"/>
  <c r="BK74" i="28"/>
  <c r="BL74" i="28"/>
  <c r="BM74" i="28"/>
  <c r="BN74" i="28"/>
  <c r="BO74" i="28"/>
  <c r="BP74" i="28"/>
  <c r="BQ74" i="28"/>
  <c r="BR74" i="28"/>
  <c r="BS74" i="28"/>
  <c r="BT74" i="28"/>
  <c r="BU74" i="28"/>
  <c r="BV74" i="28"/>
  <c r="BW74" i="28"/>
  <c r="BX74" i="28"/>
  <c r="BY74" i="28"/>
  <c r="BZ74" i="28"/>
  <c r="CA74" i="28"/>
  <c r="CB74" i="28"/>
  <c r="CC74" i="28"/>
  <c r="CD74" i="28"/>
  <c r="CE74" i="28"/>
  <c r="CF74" i="28"/>
  <c r="CG74" i="28"/>
  <c r="CH74" i="28"/>
  <c r="CI74" i="28"/>
  <c r="CJ74" i="28"/>
  <c r="CK74" i="28"/>
  <c r="CL74" i="28"/>
  <c r="CM74" i="28"/>
  <c r="CN74" i="28"/>
  <c r="CO74" i="28"/>
  <c r="CP74" i="28"/>
  <c r="CQ74" i="28"/>
  <c r="CR74" i="28"/>
  <c r="CS74" i="28"/>
  <c r="CT74" i="28"/>
  <c r="CU74" i="28"/>
  <c r="CV74" i="28"/>
  <c r="CW74" i="28"/>
  <c r="CX74" i="28"/>
  <c r="CY74" i="28"/>
  <c r="CZ74" i="28"/>
  <c r="DA74" i="28"/>
  <c r="DB74" i="28"/>
  <c r="DC74" i="28"/>
  <c r="DD74" i="28"/>
  <c r="DE74" i="28"/>
  <c r="DF74" i="28"/>
  <c r="DG74" i="28"/>
  <c r="DH74" i="28"/>
  <c r="DI74" i="28"/>
  <c r="DJ74" i="28"/>
  <c r="DK74" i="28"/>
  <c r="DL74" i="28"/>
  <c r="DM74" i="28"/>
  <c r="DN74" i="28"/>
  <c r="DO74" i="28"/>
  <c r="DP74" i="28"/>
  <c r="DQ74" i="28"/>
  <c r="DR74" i="28"/>
  <c r="DS74" i="28"/>
  <c r="DT74" i="28"/>
  <c r="DU74" i="28"/>
  <c r="DV74" i="28"/>
  <c r="DW74" i="28"/>
  <c r="DX74" i="28"/>
  <c r="DY74" i="28"/>
  <c r="DZ74" i="28"/>
  <c r="EA74" i="28"/>
  <c r="EB74" i="28"/>
  <c r="EC74" i="28"/>
  <c r="ED74" i="28"/>
  <c r="EE74" i="28"/>
  <c r="EF74" i="28"/>
  <c r="EG74" i="28"/>
  <c r="EH74" i="28"/>
  <c r="EI74" i="28"/>
  <c r="EJ74" i="28"/>
  <c r="EK74" i="28"/>
  <c r="EL74" i="28"/>
  <c r="EM74" i="28"/>
  <c r="EN74" i="28"/>
  <c r="EO74" i="28"/>
  <c r="EP74" i="28"/>
  <c r="EQ74" i="28"/>
  <c r="ER74" i="28"/>
  <c r="ES74" i="28"/>
  <c r="ET74" i="28"/>
  <c r="EU74" i="28"/>
  <c r="EV74" i="28"/>
  <c r="EW74" i="28"/>
  <c r="EX74" i="28"/>
  <c r="EY74" i="28"/>
  <c r="EZ74" i="28"/>
  <c r="FA74" i="28"/>
  <c r="FB74" i="28"/>
  <c r="FC74" i="28"/>
  <c r="FD74" i="28"/>
  <c r="FE74" i="28"/>
  <c r="FF74" i="28"/>
  <c r="FG74" i="28"/>
  <c r="FH74" i="28"/>
  <c r="FI74" i="28"/>
  <c r="FJ74" i="28"/>
  <c r="FK74" i="28"/>
  <c r="FL74" i="28"/>
  <c r="FM74" i="28"/>
  <c r="FN74" i="28"/>
  <c r="FO74" i="28"/>
  <c r="FP74" i="28"/>
  <c r="FQ74" i="28"/>
  <c r="FR74" i="28"/>
  <c r="FS74" i="28"/>
  <c r="FT74" i="28"/>
  <c r="FU74" i="28"/>
  <c r="FV74" i="28"/>
  <c r="FW74" i="28"/>
  <c r="FX74" i="28"/>
  <c r="FY74" i="28"/>
  <c r="FZ74" i="28"/>
  <c r="GA74" i="28"/>
  <c r="GB74" i="28"/>
  <c r="GC74" i="28"/>
  <c r="GD74" i="28"/>
  <c r="GE74" i="28"/>
  <c r="GF74" i="28"/>
  <c r="GG74" i="28"/>
  <c r="GH74" i="28"/>
  <c r="GI74" i="28"/>
  <c r="GJ74" i="28"/>
  <c r="GK74" i="28"/>
  <c r="GL74" i="28"/>
  <c r="GN74" i="28"/>
  <c r="GO74" i="28"/>
  <c r="BJ75" i="28"/>
  <c r="BK75" i="28"/>
  <c r="BL75" i="28"/>
  <c r="BM75" i="28"/>
  <c r="BN75" i="28"/>
  <c r="BO75" i="28"/>
  <c r="BP75" i="28"/>
  <c r="BQ75" i="28"/>
  <c r="BR75" i="28"/>
  <c r="BS75" i="28"/>
  <c r="BT75" i="28"/>
  <c r="BU75" i="28"/>
  <c r="BV75" i="28"/>
  <c r="BW75" i="28"/>
  <c r="BX75" i="28"/>
  <c r="BY75" i="28"/>
  <c r="BZ75" i="28"/>
  <c r="CA75" i="28"/>
  <c r="CB75" i="28"/>
  <c r="CC75" i="28"/>
  <c r="CD75" i="28"/>
  <c r="CE75" i="28"/>
  <c r="CF75" i="28"/>
  <c r="CG75" i="28"/>
  <c r="CH75" i="28"/>
  <c r="CI75" i="28"/>
  <c r="CJ75" i="28"/>
  <c r="CK75" i="28"/>
  <c r="CL75" i="28"/>
  <c r="CM75" i="28"/>
  <c r="CN75" i="28"/>
  <c r="CO75" i="28"/>
  <c r="CP75" i="28"/>
  <c r="CQ75" i="28"/>
  <c r="CR75" i="28"/>
  <c r="CS75" i="28"/>
  <c r="CT75" i="28"/>
  <c r="CU75" i="28"/>
  <c r="CV75" i="28"/>
  <c r="CW75" i="28"/>
  <c r="CX75" i="28"/>
  <c r="CY75" i="28"/>
  <c r="CZ75" i="28"/>
  <c r="DA75" i="28"/>
  <c r="DB75" i="28"/>
  <c r="DC75" i="28"/>
  <c r="DD75" i="28"/>
  <c r="DE75" i="28"/>
  <c r="DF75" i="28"/>
  <c r="DG75" i="28"/>
  <c r="DH75" i="28"/>
  <c r="DI75" i="28"/>
  <c r="DJ75" i="28"/>
  <c r="DK75" i="28"/>
  <c r="DL75" i="28"/>
  <c r="DM75" i="28"/>
  <c r="DN75" i="28"/>
  <c r="DO75" i="28"/>
  <c r="DP75" i="28"/>
  <c r="DQ75" i="28"/>
  <c r="DR75" i="28"/>
  <c r="DS75" i="28"/>
  <c r="DT75" i="28"/>
  <c r="DU75" i="28"/>
  <c r="DV75" i="28"/>
  <c r="DW75" i="28"/>
  <c r="DX75" i="28"/>
  <c r="DY75" i="28"/>
  <c r="DZ75" i="28"/>
  <c r="EA75" i="28"/>
  <c r="EB75" i="28"/>
  <c r="EC75" i="28"/>
  <c r="ED75" i="28"/>
  <c r="EE75" i="28"/>
  <c r="EF75" i="28"/>
  <c r="EG75" i="28"/>
  <c r="EH75" i="28"/>
  <c r="EI75" i="28"/>
  <c r="EJ75" i="28"/>
  <c r="EK75" i="28"/>
  <c r="EL75" i="28"/>
  <c r="EM75" i="28"/>
  <c r="EN75" i="28"/>
  <c r="EO75" i="28"/>
  <c r="EP75" i="28"/>
  <c r="EQ75" i="28"/>
  <c r="ER75" i="28"/>
  <c r="ES75" i="28"/>
  <c r="ET75" i="28"/>
  <c r="EU75" i="28"/>
  <c r="EV75" i="28"/>
  <c r="EW75" i="28"/>
  <c r="EX75" i="28"/>
  <c r="EY75" i="28"/>
  <c r="EZ75" i="28"/>
  <c r="FA75" i="28"/>
  <c r="FB75" i="28"/>
  <c r="FC75" i="28"/>
  <c r="FD75" i="28"/>
  <c r="FE75" i="28"/>
  <c r="FF75" i="28"/>
  <c r="FG75" i="28"/>
  <c r="FH75" i="28"/>
  <c r="FI75" i="28"/>
  <c r="FJ75" i="28"/>
  <c r="FK75" i="28"/>
  <c r="FL75" i="28"/>
  <c r="FM75" i="28"/>
  <c r="FN75" i="28"/>
  <c r="FO75" i="28"/>
  <c r="FP75" i="28"/>
  <c r="FQ75" i="28"/>
  <c r="FR75" i="28"/>
  <c r="FS75" i="28"/>
  <c r="FT75" i="28"/>
  <c r="FU75" i="28"/>
  <c r="FV75" i="28"/>
  <c r="FW75" i="28"/>
  <c r="FX75" i="28"/>
  <c r="FY75" i="28"/>
  <c r="FZ75" i="28"/>
  <c r="GA75" i="28"/>
  <c r="GB75" i="28"/>
  <c r="GC75" i="28"/>
  <c r="GD75" i="28"/>
  <c r="GE75" i="28"/>
  <c r="GF75" i="28"/>
  <c r="GG75" i="28"/>
  <c r="GH75" i="28"/>
  <c r="GI75" i="28"/>
  <c r="GJ75" i="28"/>
  <c r="GK75" i="28"/>
  <c r="GL75" i="28"/>
  <c r="GM75" i="28"/>
  <c r="GN75" i="28"/>
  <c r="GO75" i="28"/>
  <c r="BJ76" i="28"/>
  <c r="BK76" i="28"/>
  <c r="BL76" i="28"/>
  <c r="BM76" i="28"/>
  <c r="BN76" i="28"/>
  <c r="BO76" i="28"/>
  <c r="BP76" i="28"/>
  <c r="BQ76" i="28"/>
  <c r="BR76" i="28"/>
  <c r="BS76" i="28"/>
  <c r="BT76" i="28"/>
  <c r="BU76" i="28"/>
  <c r="BV76" i="28"/>
  <c r="BW76" i="28"/>
  <c r="BX76" i="28"/>
  <c r="BY76" i="28"/>
  <c r="BZ76" i="28"/>
  <c r="CA76" i="28"/>
  <c r="CB76" i="28"/>
  <c r="CC76" i="28"/>
  <c r="CD76" i="28"/>
  <c r="CE76" i="28"/>
  <c r="CF76" i="28"/>
  <c r="CG76" i="28"/>
  <c r="CH76" i="28"/>
  <c r="CI76" i="28"/>
  <c r="CJ76" i="28"/>
  <c r="CK76" i="28"/>
  <c r="CL76" i="28"/>
  <c r="CM76" i="28"/>
  <c r="CN76" i="28"/>
  <c r="CO76" i="28"/>
  <c r="CP76" i="28"/>
  <c r="CQ76" i="28"/>
  <c r="CR76" i="28"/>
  <c r="CS76" i="28"/>
  <c r="CT76" i="28"/>
  <c r="CU76" i="28"/>
  <c r="CV76" i="28"/>
  <c r="CW76" i="28"/>
  <c r="CX76" i="28"/>
  <c r="CY76" i="28"/>
  <c r="CZ76" i="28"/>
  <c r="DA76" i="28"/>
  <c r="DB76" i="28"/>
  <c r="DC76" i="28"/>
  <c r="DD76" i="28"/>
  <c r="DE76" i="28"/>
  <c r="DF76" i="28"/>
  <c r="DG76" i="28"/>
  <c r="DH76" i="28"/>
  <c r="DI76" i="28"/>
  <c r="DJ76" i="28"/>
  <c r="DK76" i="28"/>
  <c r="DL76" i="28"/>
  <c r="DM76" i="28"/>
  <c r="DN76" i="28"/>
  <c r="DO76" i="28"/>
  <c r="DP76" i="28"/>
  <c r="DQ76" i="28"/>
  <c r="DR76" i="28"/>
  <c r="DS76" i="28"/>
  <c r="DT76" i="28"/>
  <c r="DU76" i="28"/>
  <c r="DV76" i="28"/>
  <c r="DW76" i="28"/>
  <c r="DX76" i="28"/>
  <c r="DY76" i="28"/>
  <c r="DZ76" i="28"/>
  <c r="EA76" i="28"/>
  <c r="EB76" i="28"/>
  <c r="EC76" i="28"/>
  <c r="ED76" i="28"/>
  <c r="EE76" i="28"/>
  <c r="EF76" i="28"/>
  <c r="EG76" i="28"/>
  <c r="EH76" i="28"/>
  <c r="EI76" i="28"/>
  <c r="EJ76" i="28"/>
  <c r="EK76" i="28"/>
  <c r="EL76" i="28"/>
  <c r="EM76" i="28"/>
  <c r="EN76" i="28"/>
  <c r="EO76" i="28"/>
  <c r="EP76" i="28"/>
  <c r="EQ76" i="28"/>
  <c r="ER76" i="28"/>
  <c r="ES76" i="28"/>
  <c r="ET76" i="28"/>
  <c r="EU76" i="28"/>
  <c r="EV76" i="28"/>
  <c r="EW76" i="28"/>
  <c r="EX76" i="28"/>
  <c r="EY76" i="28"/>
  <c r="EZ76" i="28"/>
  <c r="FA76" i="28"/>
  <c r="FB76" i="28"/>
  <c r="FC76" i="28"/>
  <c r="FD76" i="28"/>
  <c r="FE76" i="28"/>
  <c r="FF76" i="28"/>
  <c r="FG76" i="28"/>
  <c r="FK76" i="28"/>
  <c r="FL76" i="28"/>
  <c r="FM76" i="28"/>
  <c r="FN76" i="28"/>
  <c r="FO76" i="28"/>
  <c r="FP76" i="28"/>
  <c r="FQ76" i="28"/>
  <c r="FR76" i="28"/>
  <c r="FS76" i="28"/>
  <c r="FT76" i="28"/>
  <c r="FU76" i="28"/>
  <c r="FV76" i="28"/>
  <c r="FW76" i="28"/>
  <c r="FX76" i="28"/>
  <c r="FY76" i="28"/>
  <c r="FZ76" i="28"/>
  <c r="GA76" i="28"/>
  <c r="GB76" i="28"/>
  <c r="GC76" i="28"/>
  <c r="GD76" i="28"/>
  <c r="GE76" i="28"/>
  <c r="GF76" i="28"/>
  <c r="GG76" i="28"/>
  <c r="GH76" i="28"/>
  <c r="GI76" i="28"/>
  <c r="GJ76" i="28"/>
  <c r="GK76" i="28"/>
  <c r="GL76" i="28"/>
  <c r="GM76" i="28"/>
  <c r="GN76" i="28"/>
  <c r="GO76" i="28"/>
  <c r="BJ77" i="28"/>
  <c r="BK77" i="28"/>
  <c r="BL77" i="28"/>
  <c r="BM77" i="28"/>
  <c r="BN77" i="28"/>
  <c r="BO77" i="28"/>
  <c r="BP77" i="28"/>
  <c r="BQ77" i="28"/>
  <c r="BR77" i="28"/>
  <c r="BS77" i="28"/>
  <c r="BT77" i="28"/>
  <c r="BU77" i="28"/>
  <c r="BV77" i="28"/>
  <c r="BW77" i="28"/>
  <c r="BX77" i="28"/>
  <c r="BY77" i="28"/>
  <c r="BZ77" i="28"/>
  <c r="CA77" i="28"/>
  <c r="CB77" i="28"/>
  <c r="CC77" i="28"/>
  <c r="CD77" i="28"/>
  <c r="CE77" i="28"/>
  <c r="CF77" i="28"/>
  <c r="CG77" i="28"/>
  <c r="CH77" i="28"/>
  <c r="CI77" i="28"/>
  <c r="CJ77" i="28"/>
  <c r="CK77" i="28"/>
  <c r="CL77" i="28"/>
  <c r="CM77" i="28"/>
  <c r="CN77" i="28"/>
  <c r="CO77" i="28"/>
  <c r="CP77" i="28"/>
  <c r="CQ77" i="28"/>
  <c r="CR77" i="28"/>
  <c r="CS77" i="28"/>
  <c r="CT77" i="28"/>
  <c r="CU77" i="28"/>
  <c r="CV77" i="28"/>
  <c r="CW77" i="28"/>
  <c r="CX77" i="28"/>
  <c r="CY77" i="28"/>
  <c r="CZ77" i="28"/>
  <c r="DA77" i="28"/>
  <c r="DB77" i="28"/>
  <c r="DC77" i="28"/>
  <c r="DD77" i="28"/>
  <c r="DE77" i="28"/>
  <c r="DF77" i="28"/>
  <c r="DG77" i="28"/>
  <c r="DH77" i="28"/>
  <c r="DI77" i="28"/>
  <c r="DJ77" i="28"/>
  <c r="DK77" i="28"/>
  <c r="DL77" i="28"/>
  <c r="DM77" i="28"/>
  <c r="DN77" i="28"/>
  <c r="DO77" i="28"/>
  <c r="DP77" i="28"/>
  <c r="DQ77" i="28"/>
  <c r="DR77" i="28"/>
  <c r="DS77" i="28"/>
  <c r="DT77" i="28"/>
  <c r="DU77" i="28"/>
  <c r="DV77" i="28"/>
  <c r="DW77" i="28"/>
  <c r="DX77" i="28"/>
  <c r="DY77" i="28"/>
  <c r="DZ77" i="28"/>
  <c r="EA77" i="28"/>
  <c r="EB77" i="28"/>
  <c r="EC77" i="28"/>
  <c r="ED77" i="28"/>
  <c r="EF77" i="28"/>
  <c r="EH77" i="28"/>
  <c r="EI77" i="28"/>
  <c r="EJ77" i="28"/>
  <c r="EK77" i="28"/>
  <c r="EL77" i="28"/>
  <c r="EM77" i="28"/>
  <c r="EN77" i="28"/>
  <c r="EO77" i="28"/>
  <c r="EP77" i="28"/>
  <c r="EQ77" i="28"/>
  <c r="ER77" i="28"/>
  <c r="ES77" i="28"/>
  <c r="ET77" i="28"/>
  <c r="EU77" i="28"/>
  <c r="EV77" i="28"/>
  <c r="EW77" i="28"/>
  <c r="EX77" i="28"/>
  <c r="EY77" i="28"/>
  <c r="EZ77" i="28"/>
  <c r="FA77" i="28"/>
  <c r="FB77" i="28"/>
  <c r="FC77" i="28"/>
  <c r="FD77" i="28"/>
  <c r="FE77" i="28"/>
  <c r="FF77" i="28"/>
  <c r="FH77" i="28"/>
  <c r="FI77" i="28"/>
  <c r="FJ77" i="28"/>
  <c r="FU77" i="28"/>
  <c r="FV77" i="28"/>
  <c r="FW77" i="28"/>
  <c r="FX77" i="28"/>
  <c r="FY77" i="28"/>
  <c r="FZ77" i="28"/>
  <c r="GA77" i="28"/>
  <c r="GB77" i="28"/>
  <c r="GC77" i="28"/>
  <c r="GD77" i="28"/>
  <c r="GE77" i="28"/>
  <c r="GF77" i="28"/>
  <c r="GL77" i="28"/>
  <c r="GO77" i="28"/>
  <c r="BJ78" i="28"/>
  <c r="BK78" i="28"/>
  <c r="BL78" i="28"/>
  <c r="BM78" i="28"/>
  <c r="BN78" i="28"/>
  <c r="BO78" i="28"/>
  <c r="BP78" i="28"/>
  <c r="BQ78" i="28"/>
  <c r="BR78" i="28"/>
  <c r="BS78" i="28"/>
  <c r="BT78" i="28"/>
  <c r="BU78" i="28"/>
  <c r="BV78" i="28"/>
  <c r="BW78" i="28"/>
  <c r="BX78" i="28"/>
  <c r="BY78" i="28"/>
  <c r="BZ78" i="28"/>
  <c r="CA78" i="28"/>
  <c r="CB78" i="28"/>
  <c r="CC78" i="28"/>
  <c r="CD78" i="28"/>
  <c r="CE78" i="28"/>
  <c r="CF78" i="28"/>
  <c r="CG78" i="28"/>
  <c r="CH78" i="28"/>
  <c r="CI78" i="28"/>
  <c r="CJ78" i="28"/>
  <c r="CK78" i="28"/>
  <c r="CL78" i="28"/>
  <c r="CM78" i="28"/>
  <c r="CN78" i="28"/>
  <c r="CO78" i="28"/>
  <c r="CP78" i="28"/>
  <c r="CQ78" i="28"/>
  <c r="CR78" i="28"/>
  <c r="CS78" i="28"/>
  <c r="CT78" i="28"/>
  <c r="CU78" i="28"/>
  <c r="CV78" i="28"/>
  <c r="CW78" i="28"/>
  <c r="CX78" i="28"/>
  <c r="CY78" i="28"/>
  <c r="CZ78" i="28"/>
  <c r="DA78" i="28"/>
  <c r="DB78" i="28"/>
  <c r="DC78" i="28"/>
  <c r="DD78" i="28"/>
  <c r="DE78" i="28"/>
  <c r="DF78" i="28"/>
  <c r="DG78" i="28"/>
  <c r="DH78" i="28"/>
  <c r="DI78" i="28"/>
  <c r="DJ78" i="28"/>
  <c r="DK78" i="28"/>
  <c r="DL78" i="28"/>
  <c r="DM78" i="28"/>
  <c r="DN78" i="28"/>
  <c r="DO78" i="28"/>
  <c r="DP78" i="28"/>
  <c r="DQ78" i="28"/>
  <c r="DR78" i="28"/>
  <c r="DS78" i="28"/>
  <c r="DT78" i="28"/>
  <c r="DU78" i="28"/>
  <c r="DV78" i="28"/>
  <c r="DW78" i="28"/>
  <c r="DX78" i="28"/>
  <c r="DY78" i="28"/>
  <c r="DZ78" i="28"/>
  <c r="EA78" i="28"/>
  <c r="EB78" i="28"/>
  <c r="EC78" i="28"/>
  <c r="ED78" i="28"/>
  <c r="EE78" i="28"/>
  <c r="EF78" i="28"/>
  <c r="EG78" i="28"/>
  <c r="EH78" i="28"/>
  <c r="EI78" i="28"/>
  <c r="EJ78" i="28"/>
  <c r="EK78" i="28"/>
  <c r="EL78" i="28"/>
  <c r="EM78" i="28"/>
  <c r="EN78" i="28"/>
  <c r="EO78" i="28"/>
  <c r="EP78" i="28"/>
  <c r="EQ78" i="28"/>
  <c r="ER78" i="28"/>
  <c r="ES78" i="28"/>
  <c r="ET78" i="28"/>
  <c r="EU78" i="28"/>
  <c r="EV78" i="28"/>
  <c r="EW78" i="28"/>
  <c r="EX78" i="28"/>
  <c r="EY78" i="28"/>
  <c r="EZ78" i="28"/>
  <c r="FA78" i="28"/>
  <c r="FB78" i="28"/>
  <c r="FC78" i="28"/>
  <c r="FD78" i="28"/>
  <c r="FE78" i="28"/>
  <c r="FF78" i="28"/>
  <c r="FG78" i="28"/>
  <c r="FH78" i="28"/>
  <c r="FI78" i="28"/>
  <c r="FJ78" i="28"/>
  <c r="FK78" i="28"/>
  <c r="FL78" i="28"/>
  <c r="FM78" i="28"/>
  <c r="FN78" i="28"/>
  <c r="FO78" i="28"/>
  <c r="FP78" i="28"/>
  <c r="FQ78" i="28"/>
  <c r="FR78" i="28"/>
  <c r="FS78" i="28"/>
  <c r="FT78" i="28"/>
  <c r="FU78" i="28"/>
  <c r="FV78" i="28"/>
  <c r="FW78" i="28"/>
  <c r="FX78" i="28"/>
  <c r="FY78" i="28"/>
  <c r="FZ78" i="28"/>
  <c r="GA78" i="28"/>
  <c r="GB78" i="28"/>
  <c r="GC78" i="28"/>
  <c r="GD78" i="28"/>
  <c r="GE78" i="28"/>
  <c r="GF78" i="28"/>
  <c r="GG78" i="28"/>
  <c r="GH78" i="28"/>
  <c r="GI78" i="28"/>
  <c r="GJ78" i="28"/>
  <c r="GK78" i="28"/>
  <c r="GL78" i="28"/>
  <c r="GM78" i="28"/>
  <c r="GN78" i="28"/>
  <c r="GO78" i="28"/>
  <c r="BJ79" i="28"/>
  <c r="BK79" i="28"/>
  <c r="BL79" i="28"/>
  <c r="BM79" i="28"/>
  <c r="BN79" i="28"/>
  <c r="BO79" i="28"/>
  <c r="BP79" i="28"/>
  <c r="BQ79" i="28"/>
  <c r="BR79" i="28"/>
  <c r="BS79" i="28"/>
  <c r="BT79" i="28"/>
  <c r="BU79" i="28"/>
  <c r="BV79" i="28"/>
  <c r="BW79" i="28"/>
  <c r="BX79" i="28"/>
  <c r="BY79" i="28"/>
  <c r="BZ79" i="28"/>
  <c r="CA79" i="28"/>
  <c r="CB79" i="28"/>
  <c r="CC79" i="28"/>
  <c r="CD79" i="28"/>
  <c r="CE79" i="28"/>
  <c r="CF79" i="28"/>
  <c r="CG79" i="28"/>
  <c r="CH79" i="28"/>
  <c r="CI79" i="28"/>
  <c r="CJ79" i="28"/>
  <c r="CK79" i="28"/>
  <c r="CL79" i="28"/>
  <c r="CM79" i="28"/>
  <c r="CN79" i="28"/>
  <c r="CO79" i="28"/>
  <c r="CP79" i="28"/>
  <c r="CQ79" i="28"/>
  <c r="CR79" i="28"/>
  <c r="CS79" i="28"/>
  <c r="CT79" i="28"/>
  <c r="CU79" i="28"/>
  <c r="CV79" i="28"/>
  <c r="CW79" i="28"/>
  <c r="CX79" i="28"/>
  <c r="CY79" i="28"/>
  <c r="CZ79" i="28"/>
  <c r="DA79" i="28"/>
  <c r="DB79" i="28"/>
  <c r="DC79" i="28"/>
  <c r="DD79" i="28"/>
  <c r="DE79" i="28"/>
  <c r="DF79" i="28"/>
  <c r="DG79" i="28"/>
  <c r="DH79" i="28"/>
  <c r="DI79" i="28"/>
  <c r="DJ79" i="28"/>
  <c r="DK79" i="28"/>
  <c r="DL79" i="28"/>
  <c r="DM79" i="28"/>
  <c r="DN79" i="28"/>
  <c r="DO79" i="28"/>
  <c r="DP79" i="28"/>
  <c r="DQ79" i="28"/>
  <c r="DR79" i="28"/>
  <c r="DS79" i="28"/>
  <c r="DT79" i="28"/>
  <c r="DU79" i="28"/>
  <c r="DV79" i="28"/>
  <c r="DW79" i="28"/>
  <c r="DX79" i="28"/>
  <c r="DY79" i="28"/>
  <c r="DZ79" i="28"/>
  <c r="EA79" i="28"/>
  <c r="EB79" i="28"/>
  <c r="EC79" i="28"/>
  <c r="ED79" i="28"/>
  <c r="EE79" i="28"/>
  <c r="EF79" i="28"/>
  <c r="EG79" i="28"/>
  <c r="EH79" i="28"/>
  <c r="EI79" i="28"/>
  <c r="EJ79" i="28"/>
  <c r="EK79" i="28"/>
  <c r="EL79" i="28"/>
  <c r="EM79" i="28"/>
  <c r="EN79" i="28"/>
  <c r="EO79" i="28"/>
  <c r="EP79" i="28"/>
  <c r="EQ79" i="28"/>
  <c r="ER79" i="28"/>
  <c r="ES79" i="28"/>
  <c r="ET79" i="28"/>
  <c r="EU79" i="28"/>
  <c r="EV79" i="28"/>
  <c r="EW79" i="28"/>
  <c r="EX79" i="28"/>
  <c r="EY79" i="28"/>
  <c r="EZ79" i="28"/>
  <c r="FA79" i="28"/>
  <c r="FB79" i="28"/>
  <c r="FC79" i="28"/>
  <c r="FD79" i="28"/>
  <c r="FE79" i="28"/>
  <c r="FF79" i="28"/>
  <c r="FG79" i="28"/>
  <c r="FK79" i="28"/>
  <c r="FL79" i="28"/>
  <c r="FM79" i="28"/>
  <c r="FN79" i="28"/>
  <c r="FO79" i="28"/>
  <c r="FP79" i="28"/>
  <c r="FQ79" i="28"/>
  <c r="FR79" i="28"/>
  <c r="FS79" i="28"/>
  <c r="FT79" i="28"/>
  <c r="FU79" i="28"/>
  <c r="FV79" i="28"/>
  <c r="FW79" i="28"/>
  <c r="FX79" i="28"/>
  <c r="FY79" i="28"/>
  <c r="FZ79" i="28"/>
  <c r="GA79" i="28"/>
  <c r="GB79" i="28"/>
  <c r="GC79" i="28"/>
  <c r="GD79" i="28"/>
  <c r="GE79" i="28"/>
  <c r="GF79" i="28"/>
  <c r="GG79" i="28"/>
  <c r="GH79" i="28"/>
  <c r="GI79" i="28"/>
  <c r="GJ79" i="28"/>
  <c r="GK79" i="28"/>
  <c r="GL79" i="28"/>
  <c r="GM79" i="28"/>
  <c r="GN79" i="28"/>
  <c r="GO79" i="28"/>
  <c r="BJ80" i="28"/>
  <c r="BK80" i="28"/>
  <c r="BL80" i="28"/>
  <c r="BM80" i="28"/>
  <c r="BN80" i="28"/>
  <c r="BO80" i="28"/>
  <c r="BP80" i="28"/>
  <c r="BQ80" i="28"/>
  <c r="BR80" i="28"/>
  <c r="BS80" i="28"/>
  <c r="BT80" i="28"/>
  <c r="BU80" i="28"/>
  <c r="BV80" i="28"/>
  <c r="BW80" i="28"/>
  <c r="BX80" i="28"/>
  <c r="BY80" i="28"/>
  <c r="BZ80" i="28"/>
  <c r="CA80" i="28"/>
  <c r="CB80" i="28"/>
  <c r="CC80" i="28"/>
  <c r="CD80" i="28"/>
  <c r="CE80" i="28"/>
  <c r="CF80" i="28"/>
  <c r="CG80" i="28"/>
  <c r="CH80" i="28"/>
  <c r="CI80" i="28"/>
  <c r="CJ80" i="28"/>
  <c r="CK80" i="28"/>
  <c r="CL80" i="28"/>
  <c r="CM80" i="28"/>
  <c r="CN80" i="28"/>
  <c r="CO80" i="28"/>
  <c r="CP80" i="28"/>
  <c r="CQ80" i="28"/>
  <c r="CR80" i="28"/>
  <c r="CS80" i="28"/>
  <c r="CT80" i="28"/>
  <c r="CU80" i="28"/>
  <c r="CV80" i="28"/>
  <c r="CW80" i="28"/>
  <c r="CX80" i="28"/>
  <c r="CY80" i="28"/>
  <c r="CZ80" i="28"/>
  <c r="DA80" i="28"/>
  <c r="DB80" i="28"/>
  <c r="DC80" i="28"/>
  <c r="DD80" i="28"/>
  <c r="DE80" i="28"/>
  <c r="DF80" i="28"/>
  <c r="DG80" i="28"/>
  <c r="DH80" i="28"/>
  <c r="DI80" i="28"/>
  <c r="DJ80" i="28"/>
  <c r="DK80" i="28"/>
  <c r="DL80" i="28"/>
  <c r="DM80" i="28"/>
  <c r="DN80" i="28"/>
  <c r="DO80" i="28"/>
  <c r="DP80" i="28"/>
  <c r="DQ80" i="28"/>
  <c r="DR80" i="28"/>
  <c r="DS80" i="28"/>
  <c r="DT80" i="28"/>
  <c r="DU80" i="28"/>
  <c r="DV80" i="28"/>
  <c r="DW80" i="28"/>
  <c r="DX80" i="28"/>
  <c r="DY80" i="28"/>
  <c r="DZ80" i="28"/>
  <c r="EA80" i="28"/>
  <c r="EB80" i="28"/>
  <c r="EC80" i="28"/>
  <c r="ED80" i="28"/>
  <c r="EE80" i="28"/>
  <c r="EF80" i="28"/>
  <c r="EG80" i="28"/>
  <c r="EH80" i="28"/>
  <c r="EI80" i="28"/>
  <c r="EJ80" i="28"/>
  <c r="EK80" i="28"/>
  <c r="EL80" i="28"/>
  <c r="EM80" i="28"/>
  <c r="EN80" i="28"/>
  <c r="EO80" i="28"/>
  <c r="EP80" i="28"/>
  <c r="EQ80" i="28"/>
  <c r="ER80" i="28"/>
  <c r="ES80" i="28"/>
  <c r="ET80" i="28"/>
  <c r="EU80" i="28"/>
  <c r="EV80" i="28"/>
  <c r="EW80" i="28"/>
  <c r="EX80" i="28"/>
  <c r="EY80" i="28"/>
  <c r="EZ80" i="28"/>
  <c r="FA80" i="28"/>
  <c r="FB80" i="28"/>
  <c r="FC80" i="28"/>
  <c r="FD80" i="28"/>
  <c r="FE80" i="28"/>
  <c r="FF80" i="28"/>
  <c r="FG80" i="28"/>
  <c r="FH80" i="28"/>
  <c r="FI80" i="28"/>
  <c r="FJ80" i="28"/>
  <c r="FK80" i="28"/>
  <c r="FL80" i="28"/>
  <c r="FM80" i="28"/>
  <c r="FN80" i="28"/>
  <c r="FO80" i="28"/>
  <c r="FP80" i="28"/>
  <c r="FQ80" i="28"/>
  <c r="FR80" i="28"/>
  <c r="FS80" i="28"/>
  <c r="FT80" i="28"/>
  <c r="FU80" i="28"/>
  <c r="FV80" i="28"/>
  <c r="FW80" i="28"/>
  <c r="FX80" i="28"/>
  <c r="FY80" i="28"/>
  <c r="FZ80" i="28"/>
  <c r="GA80" i="28"/>
  <c r="GB80" i="28"/>
  <c r="GC80" i="28"/>
  <c r="GD80" i="28"/>
  <c r="GE80" i="28"/>
  <c r="GF80" i="28"/>
  <c r="GJ80" i="28"/>
  <c r="GK80" i="28"/>
  <c r="GM80" i="28"/>
  <c r="GO80" i="28"/>
  <c r="BJ81" i="28"/>
  <c r="BK81" i="28"/>
  <c r="BL81" i="28"/>
  <c r="BM81" i="28"/>
  <c r="BN81" i="28"/>
  <c r="BO81" i="28"/>
  <c r="BP81" i="28"/>
  <c r="BQ81" i="28"/>
  <c r="BR81" i="28"/>
  <c r="BS81" i="28"/>
  <c r="BT81" i="28"/>
  <c r="BU81" i="28"/>
  <c r="BV81" i="28"/>
  <c r="BW81" i="28"/>
  <c r="BX81" i="28"/>
  <c r="BY81" i="28"/>
  <c r="BZ81" i="28"/>
  <c r="CA81" i="28"/>
  <c r="CB81" i="28"/>
  <c r="CC81" i="28"/>
  <c r="CD81" i="28"/>
  <c r="CE81" i="28"/>
  <c r="CF81" i="28"/>
  <c r="CG81" i="28"/>
  <c r="CH81" i="28"/>
  <c r="CI81" i="28"/>
  <c r="CJ81" i="28"/>
  <c r="CK81" i="28"/>
  <c r="CL81" i="28"/>
  <c r="CM81" i="28"/>
  <c r="CN81" i="28"/>
  <c r="CO81" i="28"/>
  <c r="CP81" i="28"/>
  <c r="CQ81" i="28"/>
  <c r="CR81" i="28"/>
  <c r="CS81" i="28"/>
  <c r="CT81" i="28"/>
  <c r="CU81" i="28"/>
  <c r="CV81" i="28"/>
  <c r="CW81" i="28"/>
  <c r="CX81" i="28"/>
  <c r="CY81" i="28"/>
  <c r="CZ81" i="28"/>
  <c r="DA81" i="28"/>
  <c r="DB81" i="28"/>
  <c r="DC81" i="28"/>
  <c r="DD81" i="28"/>
  <c r="DE81" i="28"/>
  <c r="DF81" i="28"/>
  <c r="DG81" i="28"/>
  <c r="DH81" i="28"/>
  <c r="DI81" i="28"/>
  <c r="DJ81" i="28"/>
  <c r="DK81" i="28"/>
  <c r="DL81" i="28"/>
  <c r="DM81" i="28"/>
  <c r="DN81" i="28"/>
  <c r="DO81" i="28"/>
  <c r="DP81" i="28"/>
  <c r="DQ81" i="28"/>
  <c r="DR81" i="28"/>
  <c r="DS81" i="28"/>
  <c r="DT81" i="28"/>
  <c r="DU81" i="28"/>
  <c r="DV81" i="28"/>
  <c r="DW81" i="28"/>
  <c r="DX81" i="28"/>
  <c r="DY81" i="28"/>
  <c r="DZ81" i="28"/>
  <c r="EA81" i="28"/>
  <c r="EB81" i="28"/>
  <c r="EC81" i="28"/>
  <c r="ED81" i="28"/>
  <c r="EE81" i="28"/>
  <c r="EF81" i="28"/>
  <c r="EG81" i="28"/>
  <c r="EH81" i="28"/>
  <c r="EI81" i="28"/>
  <c r="EJ81" i="28"/>
  <c r="EK81" i="28"/>
  <c r="EL81" i="28"/>
  <c r="EM81" i="28"/>
  <c r="EN81" i="28"/>
  <c r="EO81" i="28"/>
  <c r="EP81" i="28"/>
  <c r="EQ81" i="28"/>
  <c r="ER81" i="28"/>
  <c r="ES81" i="28"/>
  <c r="ET81" i="28"/>
  <c r="EU81" i="28"/>
  <c r="EV81" i="28"/>
  <c r="EW81" i="28"/>
  <c r="EX81" i="28"/>
  <c r="EY81" i="28"/>
  <c r="EZ81" i="28"/>
  <c r="FA81" i="28"/>
  <c r="FB81" i="28"/>
  <c r="FC81" i="28"/>
  <c r="FD81" i="28"/>
  <c r="FE81" i="28"/>
  <c r="FF81" i="28"/>
  <c r="FG81" i="28"/>
  <c r="FH81" i="28"/>
  <c r="FI81" i="28"/>
  <c r="FJ81" i="28"/>
  <c r="FK81" i="28"/>
  <c r="FL81" i="28"/>
  <c r="FM81" i="28"/>
  <c r="FN81" i="28"/>
  <c r="FO81" i="28"/>
  <c r="FP81" i="28"/>
  <c r="FQ81" i="28"/>
  <c r="FR81" i="28"/>
  <c r="FS81" i="28"/>
  <c r="FT81" i="28"/>
  <c r="FU81" i="28"/>
  <c r="FV81" i="28"/>
  <c r="FW81" i="28"/>
  <c r="FX81" i="28"/>
  <c r="FY81" i="28"/>
  <c r="FZ81" i="28"/>
  <c r="GA81" i="28"/>
  <c r="GB81" i="28"/>
  <c r="GC81" i="28"/>
  <c r="GD81" i="28"/>
  <c r="GE81" i="28"/>
  <c r="GF81" i="28"/>
  <c r="GG81" i="28"/>
  <c r="GH81" i="28"/>
  <c r="GI81" i="28"/>
  <c r="GJ81" i="28"/>
  <c r="GK81" i="28"/>
  <c r="GL81" i="28"/>
  <c r="GM81" i="28"/>
  <c r="GN81" i="28"/>
  <c r="GO81" i="28"/>
  <c r="BJ82" i="28"/>
  <c r="BK82" i="28"/>
  <c r="BL82" i="28"/>
  <c r="BM82" i="28"/>
  <c r="BN82" i="28"/>
  <c r="BO82" i="28"/>
  <c r="BP82" i="28"/>
  <c r="BQ82" i="28"/>
  <c r="BR82" i="28"/>
  <c r="BS82" i="28"/>
  <c r="BT82" i="28"/>
  <c r="BU82" i="28"/>
  <c r="BV82" i="28"/>
  <c r="BW82" i="28"/>
  <c r="BX82" i="28"/>
  <c r="BY82" i="28"/>
  <c r="BZ82" i="28"/>
  <c r="CA82" i="28"/>
  <c r="CB82" i="28"/>
  <c r="CC82" i="28"/>
  <c r="CD82" i="28"/>
  <c r="CE82" i="28"/>
  <c r="CF82" i="28"/>
  <c r="CG82" i="28"/>
  <c r="CH82" i="28"/>
  <c r="CI82" i="28"/>
  <c r="CJ82" i="28"/>
  <c r="CK82" i="28"/>
  <c r="CL82" i="28"/>
  <c r="CM82" i="28"/>
  <c r="CN82" i="28"/>
  <c r="CO82" i="28"/>
  <c r="CP82" i="28"/>
  <c r="CQ82" i="28"/>
  <c r="CR82" i="28"/>
  <c r="CS82" i="28"/>
  <c r="CT82" i="28"/>
  <c r="CU82" i="28"/>
  <c r="CV82" i="28"/>
  <c r="CW82" i="28"/>
  <c r="CX82" i="28"/>
  <c r="CY82" i="28"/>
  <c r="CZ82" i="28"/>
  <c r="DA82" i="28"/>
  <c r="DB82" i="28"/>
  <c r="DC82" i="28"/>
  <c r="DD82" i="28"/>
  <c r="DE82" i="28"/>
  <c r="DF82" i="28"/>
  <c r="DG82" i="28"/>
  <c r="DH82" i="28"/>
  <c r="DI82" i="28"/>
  <c r="DJ82" i="28"/>
  <c r="DK82" i="28"/>
  <c r="DL82" i="28"/>
  <c r="DM82" i="28"/>
  <c r="DN82" i="28"/>
  <c r="DO82" i="28"/>
  <c r="DP82" i="28"/>
  <c r="DQ82" i="28"/>
  <c r="DR82" i="28"/>
  <c r="DS82" i="28"/>
  <c r="DT82" i="28"/>
  <c r="DU82" i="28"/>
  <c r="DV82" i="28"/>
  <c r="DW82" i="28"/>
  <c r="DX82" i="28"/>
  <c r="DY82" i="28"/>
  <c r="DZ82" i="28"/>
  <c r="EA82" i="28"/>
  <c r="EB82" i="28"/>
  <c r="EC82" i="28"/>
  <c r="ED82" i="28"/>
  <c r="EE82" i="28"/>
  <c r="EF82" i="28"/>
  <c r="EG82" i="28"/>
  <c r="EH82" i="28"/>
  <c r="EI82" i="28"/>
  <c r="EJ82" i="28"/>
  <c r="EK82" i="28"/>
  <c r="EL82" i="28"/>
  <c r="EM82" i="28"/>
  <c r="EN82" i="28"/>
  <c r="EO82" i="28"/>
  <c r="EP82" i="28"/>
  <c r="EQ82" i="28"/>
  <c r="ER82" i="28"/>
  <c r="ES82" i="28"/>
  <c r="ET82" i="28"/>
  <c r="EU82" i="28"/>
  <c r="EV82" i="28"/>
  <c r="EW82" i="28"/>
  <c r="EX82" i="28"/>
  <c r="EY82" i="28"/>
  <c r="EZ82" i="28"/>
  <c r="FA82" i="28"/>
  <c r="FB82" i="28"/>
  <c r="FC82" i="28"/>
  <c r="FD82" i="28"/>
  <c r="FE82" i="28"/>
  <c r="FF82" i="28"/>
  <c r="FG82" i="28"/>
  <c r="FH82" i="28"/>
  <c r="FI82" i="28"/>
  <c r="FJ82" i="28"/>
  <c r="FK82" i="28"/>
  <c r="FL82" i="28"/>
  <c r="FM82" i="28"/>
  <c r="FN82" i="28"/>
  <c r="FO82" i="28"/>
  <c r="FP82" i="28"/>
  <c r="FQ82" i="28"/>
  <c r="FR82" i="28"/>
  <c r="FS82" i="28"/>
  <c r="FT82" i="28"/>
  <c r="FU82" i="28"/>
  <c r="FV82" i="28"/>
  <c r="FW82" i="28"/>
  <c r="FX82" i="28"/>
  <c r="FY82" i="28"/>
  <c r="FZ82" i="28"/>
  <c r="GA82" i="28"/>
  <c r="GB82" i="28"/>
  <c r="GC82" i="28"/>
  <c r="GD82" i="28"/>
  <c r="GE82" i="28"/>
  <c r="GF82" i="28"/>
  <c r="GG82" i="28"/>
  <c r="GH82" i="28"/>
  <c r="GI82" i="28"/>
  <c r="GJ82" i="28"/>
  <c r="GK82" i="28"/>
  <c r="GL82" i="28"/>
  <c r="GM82" i="28"/>
  <c r="GN82" i="28"/>
  <c r="GO82" i="28"/>
  <c r="BJ83" i="28"/>
  <c r="BK83" i="28"/>
  <c r="BL83" i="28"/>
  <c r="BM83" i="28"/>
  <c r="BN83" i="28"/>
  <c r="BO83" i="28"/>
  <c r="BP83" i="28"/>
  <c r="BQ83" i="28"/>
  <c r="BR83" i="28"/>
  <c r="BS83" i="28"/>
  <c r="BT83" i="28"/>
  <c r="BU83" i="28"/>
  <c r="BV83" i="28"/>
  <c r="BW83" i="28"/>
  <c r="BX83" i="28"/>
  <c r="BY83" i="28"/>
  <c r="BZ83" i="28"/>
  <c r="CA83" i="28"/>
  <c r="CB83" i="28"/>
  <c r="CC83" i="28"/>
  <c r="CD83" i="28"/>
  <c r="CE83" i="28"/>
  <c r="CF83" i="28"/>
  <c r="CG83" i="28"/>
  <c r="CH83" i="28"/>
  <c r="CI83" i="28"/>
  <c r="CJ83" i="28"/>
  <c r="CK83" i="28"/>
  <c r="CL83" i="28"/>
  <c r="CM83" i="28"/>
  <c r="CN83" i="28"/>
  <c r="CO83" i="28"/>
  <c r="CP83" i="28"/>
  <c r="CQ83" i="28"/>
  <c r="CR83" i="28"/>
  <c r="CS83" i="28"/>
  <c r="CT83" i="28"/>
  <c r="CU83" i="28"/>
  <c r="CV83" i="28"/>
  <c r="CW83" i="28"/>
  <c r="CX83" i="28"/>
  <c r="CY83" i="28"/>
  <c r="CZ83" i="28"/>
  <c r="DA83" i="28"/>
  <c r="DB83" i="28"/>
  <c r="DC83" i="28"/>
  <c r="DD83" i="28"/>
  <c r="DE83" i="28"/>
  <c r="DF83" i="28"/>
  <c r="DG83" i="28"/>
  <c r="DH83" i="28"/>
  <c r="DI83" i="28"/>
  <c r="DJ83" i="28"/>
  <c r="DK83" i="28"/>
  <c r="DL83" i="28"/>
  <c r="DM83" i="28"/>
  <c r="DN83" i="28"/>
  <c r="DO83" i="28"/>
  <c r="DP83" i="28"/>
  <c r="DQ83" i="28"/>
  <c r="DR83" i="28"/>
  <c r="DS83" i="28"/>
  <c r="DT83" i="28"/>
  <c r="DU83" i="28"/>
  <c r="DV83" i="28"/>
  <c r="DW83" i="28"/>
  <c r="DX83" i="28"/>
  <c r="DY83" i="28"/>
  <c r="DZ83" i="28"/>
  <c r="EA83" i="28"/>
  <c r="EB83" i="28"/>
  <c r="EC83" i="28"/>
  <c r="ED83" i="28"/>
  <c r="EE83" i="28"/>
  <c r="EF83" i="28"/>
  <c r="EG83" i="28"/>
  <c r="EH83" i="28"/>
  <c r="EI83" i="28"/>
  <c r="EJ83" i="28"/>
  <c r="EK83" i="28"/>
  <c r="EL83" i="28"/>
  <c r="EM83" i="28"/>
  <c r="EN83" i="28"/>
  <c r="EO83" i="28"/>
  <c r="EP83" i="28"/>
  <c r="EQ83" i="28"/>
  <c r="ER83" i="28"/>
  <c r="ES83" i="28"/>
  <c r="ET83" i="28"/>
  <c r="EU83" i="28"/>
  <c r="EV83" i="28"/>
  <c r="EW83" i="28"/>
  <c r="EX83" i="28"/>
  <c r="EY83" i="28"/>
  <c r="EZ83" i="28"/>
  <c r="FA83" i="28"/>
  <c r="FB83" i="28"/>
  <c r="FC83" i="28"/>
  <c r="FD83" i="28"/>
  <c r="FE83" i="28"/>
  <c r="FF83" i="28"/>
  <c r="FG83" i="28"/>
  <c r="FH83" i="28"/>
  <c r="FI83" i="28"/>
  <c r="FJ83" i="28"/>
  <c r="FK83" i="28"/>
  <c r="FL83" i="28"/>
  <c r="FM83" i="28"/>
  <c r="FN83" i="28"/>
  <c r="FO83" i="28"/>
  <c r="FP83" i="28"/>
  <c r="FQ83" i="28"/>
  <c r="FR83" i="28"/>
  <c r="FS83" i="28"/>
  <c r="FT83" i="28"/>
  <c r="FU83" i="28"/>
  <c r="FV83" i="28"/>
  <c r="FW83" i="28"/>
  <c r="FX83" i="28"/>
  <c r="FY83" i="28"/>
  <c r="FZ83" i="28"/>
  <c r="GA83" i="28"/>
  <c r="GB83" i="28"/>
  <c r="GC83" i="28"/>
  <c r="GD83" i="28"/>
  <c r="GE83" i="28"/>
  <c r="GF83" i="28"/>
  <c r="GG83" i="28"/>
  <c r="GH83" i="28"/>
  <c r="GI83" i="28"/>
  <c r="GJ83" i="28"/>
  <c r="GK83" i="28"/>
  <c r="GL83" i="28"/>
  <c r="GM83" i="28"/>
  <c r="GN83" i="28"/>
  <c r="GO83" i="28"/>
  <c r="BJ84" i="28"/>
  <c r="BK84" i="28"/>
  <c r="BL84" i="28"/>
  <c r="BM84" i="28"/>
  <c r="BN84" i="28"/>
  <c r="BO84" i="28"/>
  <c r="BP84" i="28"/>
  <c r="BQ84" i="28"/>
  <c r="BR84" i="28"/>
  <c r="BS84" i="28"/>
  <c r="BT84" i="28"/>
  <c r="BU84" i="28"/>
  <c r="BV84" i="28"/>
  <c r="BW84" i="28"/>
  <c r="BX84" i="28"/>
  <c r="BY84" i="28"/>
  <c r="BZ84" i="28"/>
  <c r="CA84" i="28"/>
  <c r="CB84" i="28"/>
  <c r="CC84" i="28"/>
  <c r="CD84" i="28"/>
  <c r="CE84" i="28"/>
  <c r="CF84" i="28"/>
  <c r="CG84" i="28"/>
  <c r="CH84" i="28"/>
  <c r="CI84" i="28"/>
  <c r="CJ84" i="28"/>
  <c r="CK84" i="28"/>
  <c r="CL84" i="28"/>
  <c r="CM84" i="28"/>
  <c r="CN84" i="28"/>
  <c r="CO84" i="28"/>
  <c r="CP84" i="28"/>
  <c r="CQ84" i="28"/>
  <c r="CR84" i="28"/>
  <c r="CS84" i="28"/>
  <c r="CT84" i="28"/>
  <c r="CU84" i="28"/>
  <c r="CV84" i="28"/>
  <c r="CW84" i="28"/>
  <c r="CX84" i="28"/>
  <c r="CY84" i="28"/>
  <c r="CZ84" i="28"/>
  <c r="DA84" i="28"/>
  <c r="DB84" i="28"/>
  <c r="DC84" i="28"/>
  <c r="DD84" i="28"/>
  <c r="DE84" i="28"/>
  <c r="DF84" i="28"/>
  <c r="DG84" i="28"/>
  <c r="DH84" i="28"/>
  <c r="DI84" i="28"/>
  <c r="DJ84" i="28"/>
  <c r="DK84" i="28"/>
  <c r="DL84" i="28"/>
  <c r="DM84" i="28"/>
  <c r="DN84" i="28"/>
  <c r="DO84" i="28"/>
  <c r="DP84" i="28"/>
  <c r="DQ84" i="28"/>
  <c r="DR84" i="28"/>
  <c r="DS84" i="28"/>
  <c r="DT84" i="28"/>
  <c r="DU84" i="28"/>
  <c r="DV84" i="28"/>
  <c r="DW84" i="28"/>
  <c r="DX84" i="28"/>
  <c r="DY84" i="28"/>
  <c r="DZ84" i="28"/>
  <c r="EA84" i="28"/>
  <c r="EB84" i="28"/>
  <c r="EC84" i="28"/>
  <c r="ED84" i="28"/>
  <c r="EE84" i="28"/>
  <c r="EF84" i="28"/>
  <c r="EG84" i="28"/>
  <c r="EH84" i="28"/>
  <c r="EI84" i="28"/>
  <c r="EJ84" i="28"/>
  <c r="EK84" i="28"/>
  <c r="EL84" i="28"/>
  <c r="EM84" i="28"/>
  <c r="EN84" i="28"/>
  <c r="EO84" i="28"/>
  <c r="EP84" i="28"/>
  <c r="EQ84" i="28"/>
  <c r="ER84" i="28"/>
  <c r="ES84" i="28"/>
  <c r="ET84" i="28"/>
  <c r="EU84" i="28"/>
  <c r="EV84" i="28"/>
  <c r="EW84" i="28"/>
  <c r="EX84" i="28"/>
  <c r="EY84" i="28"/>
  <c r="EZ84" i="28"/>
  <c r="FA84" i="28"/>
  <c r="FB84" i="28"/>
  <c r="FC84" i="28"/>
  <c r="FD84" i="28"/>
  <c r="FE84" i="28"/>
  <c r="FF84" i="28"/>
  <c r="FG84" i="28"/>
  <c r="FH84" i="28"/>
  <c r="FI84" i="28"/>
  <c r="FJ84" i="28"/>
  <c r="FK84" i="28"/>
  <c r="FL84" i="28"/>
  <c r="FM84" i="28"/>
  <c r="FN84" i="28"/>
  <c r="FO84" i="28"/>
  <c r="FP84" i="28"/>
  <c r="FQ84" i="28"/>
  <c r="FR84" i="28"/>
  <c r="FS84" i="28"/>
  <c r="FT84" i="28"/>
  <c r="FU84" i="28"/>
  <c r="FV84" i="28"/>
  <c r="FW84" i="28"/>
  <c r="FX84" i="28"/>
  <c r="FY84" i="28"/>
  <c r="FZ84" i="28"/>
  <c r="GA84" i="28"/>
  <c r="GB84" i="28"/>
  <c r="GC84" i="28"/>
  <c r="GD84" i="28"/>
  <c r="GE84" i="28"/>
  <c r="GF84" i="28"/>
  <c r="GG84" i="28"/>
  <c r="GH84" i="28"/>
  <c r="GI84" i="28"/>
  <c r="GJ84" i="28"/>
  <c r="GK84" i="28"/>
  <c r="GL84" i="28"/>
  <c r="GM84" i="28"/>
  <c r="GN84" i="28"/>
  <c r="GO84" i="28"/>
  <c r="BJ85" i="28"/>
  <c r="BK85" i="28"/>
  <c r="BL85" i="28"/>
  <c r="BM85" i="28"/>
  <c r="BN85" i="28"/>
  <c r="BO85" i="28"/>
  <c r="BP85" i="28"/>
  <c r="BQ85" i="28"/>
  <c r="BR85" i="28"/>
  <c r="BS85" i="28"/>
  <c r="BT85" i="28"/>
  <c r="BU85" i="28"/>
  <c r="BV85" i="28"/>
  <c r="BW85" i="28"/>
  <c r="BX85" i="28"/>
  <c r="BY85" i="28"/>
  <c r="BZ85" i="28"/>
  <c r="CA85" i="28"/>
  <c r="CB85" i="28"/>
  <c r="CC85" i="28"/>
  <c r="CD85" i="28"/>
  <c r="CE85" i="28"/>
  <c r="CF85" i="28"/>
  <c r="CG85" i="28"/>
  <c r="CH85" i="28"/>
  <c r="CI85" i="28"/>
  <c r="CJ85" i="28"/>
  <c r="CK85" i="28"/>
  <c r="CL85" i="28"/>
  <c r="CM85" i="28"/>
  <c r="CN85" i="28"/>
  <c r="CO85" i="28"/>
  <c r="CP85" i="28"/>
  <c r="CQ85" i="28"/>
  <c r="CR85" i="28"/>
  <c r="CS85" i="28"/>
  <c r="CT85" i="28"/>
  <c r="CU85" i="28"/>
  <c r="CV85" i="28"/>
  <c r="CW85" i="28"/>
  <c r="CX85" i="28"/>
  <c r="CY85" i="28"/>
  <c r="CZ85" i="28"/>
  <c r="DA85" i="28"/>
  <c r="DB85" i="28"/>
  <c r="DC85" i="28"/>
  <c r="DD85" i="28"/>
  <c r="DE85" i="28"/>
  <c r="DF85" i="28"/>
  <c r="DG85" i="28"/>
  <c r="DH85" i="28"/>
  <c r="DI85" i="28"/>
  <c r="DJ85" i="28"/>
  <c r="DK85" i="28"/>
  <c r="DL85" i="28"/>
  <c r="DM85" i="28"/>
  <c r="DN85" i="28"/>
  <c r="DO85" i="28"/>
  <c r="DP85" i="28"/>
  <c r="DQ85" i="28"/>
  <c r="DR85" i="28"/>
  <c r="DS85" i="28"/>
  <c r="DT85" i="28"/>
  <c r="DU85" i="28"/>
  <c r="DV85" i="28"/>
  <c r="DW85" i="28"/>
  <c r="DX85" i="28"/>
  <c r="DY85" i="28"/>
  <c r="DZ85" i="28"/>
  <c r="EA85" i="28"/>
  <c r="EB85" i="28"/>
  <c r="EC85" i="28"/>
  <c r="ED85" i="28"/>
  <c r="EE85" i="28"/>
  <c r="EF85" i="28"/>
  <c r="EG85" i="28"/>
  <c r="EH85" i="28"/>
  <c r="EI85" i="28"/>
  <c r="EJ85" i="28"/>
  <c r="EK85" i="28"/>
  <c r="EL85" i="28"/>
  <c r="EM85" i="28"/>
  <c r="EN85" i="28"/>
  <c r="EO85" i="28"/>
  <c r="EP85" i="28"/>
  <c r="EQ85" i="28"/>
  <c r="ER85" i="28"/>
  <c r="ES85" i="28"/>
  <c r="ET85" i="28"/>
  <c r="EU85" i="28"/>
  <c r="EV85" i="28"/>
  <c r="EW85" i="28"/>
  <c r="EX85" i="28"/>
  <c r="EY85" i="28"/>
  <c r="EZ85" i="28"/>
  <c r="FA85" i="28"/>
  <c r="FB85" i="28"/>
  <c r="FC85" i="28"/>
  <c r="FD85" i="28"/>
  <c r="FE85" i="28"/>
  <c r="FF85" i="28"/>
  <c r="FG85" i="28"/>
  <c r="FH85" i="28"/>
  <c r="FI85" i="28"/>
  <c r="FJ85" i="28"/>
  <c r="FK85" i="28"/>
  <c r="FL85" i="28"/>
  <c r="FM85" i="28"/>
  <c r="FN85" i="28"/>
  <c r="FO85" i="28"/>
  <c r="FP85" i="28"/>
  <c r="FQ85" i="28"/>
  <c r="FR85" i="28"/>
  <c r="FS85" i="28"/>
  <c r="FT85" i="28"/>
  <c r="FU85" i="28"/>
  <c r="FV85" i="28"/>
  <c r="FW85" i="28"/>
  <c r="FX85" i="28"/>
  <c r="FY85" i="28"/>
  <c r="FZ85" i="28"/>
  <c r="GA85" i="28"/>
  <c r="GB85" i="28"/>
  <c r="GC85" i="28"/>
  <c r="GD85" i="28"/>
  <c r="GE85" i="28"/>
  <c r="GF85" i="28"/>
  <c r="GG85" i="28"/>
  <c r="GH85" i="28"/>
  <c r="GI85" i="28"/>
  <c r="GJ85" i="28"/>
  <c r="GK85" i="28"/>
  <c r="GL85" i="28"/>
  <c r="GM85" i="28"/>
  <c r="GN85" i="28"/>
  <c r="GO85" i="28"/>
  <c r="BJ86" i="28"/>
  <c r="BK86" i="28"/>
  <c r="BL86" i="28"/>
  <c r="BM86" i="28"/>
  <c r="BN86" i="28"/>
  <c r="BO86" i="28"/>
  <c r="BP86" i="28"/>
  <c r="BQ86" i="28"/>
  <c r="BR86" i="28"/>
  <c r="BS86" i="28"/>
  <c r="BT86" i="28"/>
  <c r="BU86" i="28"/>
  <c r="BV86" i="28"/>
  <c r="BW86" i="28"/>
  <c r="BX86" i="28"/>
  <c r="BY86" i="28"/>
  <c r="BZ86" i="28"/>
  <c r="CA86" i="28"/>
  <c r="CB86" i="28"/>
  <c r="CC86" i="28"/>
  <c r="CD86" i="28"/>
  <c r="CE86" i="28"/>
  <c r="CF86" i="28"/>
  <c r="CG86" i="28"/>
  <c r="CH86" i="28"/>
  <c r="CI86" i="28"/>
  <c r="CJ86" i="28"/>
  <c r="CK86" i="28"/>
  <c r="CL86" i="28"/>
  <c r="CM86" i="28"/>
  <c r="CN86" i="28"/>
  <c r="CO86" i="28"/>
  <c r="CP86" i="28"/>
  <c r="CQ86" i="28"/>
  <c r="CR86" i="28"/>
  <c r="CS86" i="28"/>
  <c r="CT86" i="28"/>
  <c r="CU86" i="28"/>
  <c r="CV86" i="28"/>
  <c r="CW86" i="28"/>
  <c r="CX86" i="28"/>
  <c r="CY86" i="28"/>
  <c r="CZ86" i="28"/>
  <c r="DA86" i="28"/>
  <c r="DB86" i="28"/>
  <c r="DC86" i="28"/>
  <c r="DD86" i="28"/>
  <c r="DE86" i="28"/>
  <c r="DF86" i="28"/>
  <c r="DG86" i="28"/>
  <c r="DH86" i="28"/>
  <c r="DI86" i="28"/>
  <c r="DJ86" i="28"/>
  <c r="DK86" i="28"/>
  <c r="DL86" i="28"/>
  <c r="DM86" i="28"/>
  <c r="DN86" i="28"/>
  <c r="DO86" i="28"/>
  <c r="DP86" i="28"/>
  <c r="DQ86" i="28"/>
  <c r="DR86" i="28"/>
  <c r="DS86" i="28"/>
  <c r="DT86" i="28"/>
  <c r="DU86" i="28"/>
  <c r="DV86" i="28"/>
  <c r="DW86" i="28"/>
  <c r="DX86" i="28"/>
  <c r="DY86" i="28"/>
  <c r="DZ86" i="28"/>
  <c r="EA86" i="28"/>
  <c r="EB86" i="28"/>
  <c r="EC86" i="28"/>
  <c r="ED86" i="28"/>
  <c r="EE86" i="28"/>
  <c r="EF86" i="28"/>
  <c r="EG86" i="28"/>
  <c r="EH86" i="28"/>
  <c r="EI86" i="28"/>
  <c r="EJ86" i="28"/>
  <c r="EK86" i="28"/>
  <c r="EL86" i="28"/>
  <c r="EM86" i="28"/>
  <c r="EN86" i="28"/>
  <c r="EO86" i="28"/>
  <c r="EP86" i="28"/>
  <c r="EQ86" i="28"/>
  <c r="ER86" i="28"/>
  <c r="ES86" i="28"/>
  <c r="ET86" i="28"/>
  <c r="EU86" i="28"/>
  <c r="EV86" i="28"/>
  <c r="EW86" i="28"/>
  <c r="EX86" i="28"/>
  <c r="EY86" i="28"/>
  <c r="EZ86" i="28"/>
  <c r="FA86" i="28"/>
  <c r="FB86" i="28"/>
  <c r="FC86" i="28"/>
  <c r="FD86" i="28"/>
  <c r="FE86" i="28"/>
  <c r="FF86" i="28"/>
  <c r="FG86" i="28"/>
  <c r="FH86" i="28"/>
  <c r="FI86" i="28"/>
  <c r="FJ86" i="28"/>
  <c r="FK86" i="28"/>
  <c r="FL86" i="28"/>
  <c r="FM86" i="28"/>
  <c r="FN86" i="28"/>
  <c r="FO86" i="28"/>
  <c r="FP86" i="28"/>
  <c r="FQ86" i="28"/>
  <c r="FR86" i="28"/>
  <c r="FS86" i="28"/>
  <c r="FT86" i="28"/>
  <c r="FU86" i="28"/>
  <c r="FV86" i="28"/>
  <c r="FW86" i="28"/>
  <c r="FX86" i="28"/>
  <c r="FY86" i="28"/>
  <c r="FZ86" i="28"/>
  <c r="GA86" i="28"/>
  <c r="GB86" i="28"/>
  <c r="GC86" i="28"/>
  <c r="GD86" i="28"/>
  <c r="GE86" i="28"/>
  <c r="GF86" i="28"/>
  <c r="GG86" i="28"/>
  <c r="GH86" i="28"/>
  <c r="GI86" i="28"/>
  <c r="GJ86" i="28"/>
  <c r="GK86" i="28"/>
  <c r="GL86" i="28"/>
  <c r="GM86" i="28"/>
  <c r="GN86" i="28"/>
  <c r="GO86" i="28"/>
  <c r="BJ87" i="28"/>
  <c r="BK87" i="28"/>
  <c r="BL87" i="28"/>
  <c r="BM87" i="28"/>
  <c r="BN87" i="28"/>
  <c r="BO87" i="28"/>
  <c r="BP87" i="28"/>
  <c r="BQ87" i="28"/>
  <c r="BR87" i="28"/>
  <c r="BS87" i="28"/>
  <c r="BT87" i="28"/>
  <c r="BU87" i="28"/>
  <c r="BV87" i="28"/>
  <c r="BW87" i="28"/>
  <c r="BX87" i="28"/>
  <c r="BY87" i="28"/>
  <c r="BZ87" i="28"/>
  <c r="CA87" i="28"/>
  <c r="CB87" i="28"/>
  <c r="CC87" i="28"/>
  <c r="CD87" i="28"/>
  <c r="CE87" i="28"/>
  <c r="CF87" i="28"/>
  <c r="CG87" i="28"/>
  <c r="CH87" i="28"/>
  <c r="CI87" i="28"/>
  <c r="CJ87" i="28"/>
  <c r="CK87" i="28"/>
  <c r="CL87" i="28"/>
  <c r="CM87" i="28"/>
  <c r="CN87" i="28"/>
  <c r="CO87" i="28"/>
  <c r="CP87" i="28"/>
  <c r="CQ87" i="28"/>
  <c r="CR87" i="28"/>
  <c r="CS87" i="28"/>
  <c r="CT87" i="28"/>
  <c r="CU87" i="28"/>
  <c r="CV87" i="28"/>
  <c r="CW87" i="28"/>
  <c r="CX87" i="28"/>
  <c r="CY87" i="28"/>
  <c r="CZ87" i="28"/>
  <c r="DA87" i="28"/>
  <c r="DB87" i="28"/>
  <c r="DC87" i="28"/>
  <c r="DD87" i="28"/>
  <c r="DE87" i="28"/>
  <c r="DF87" i="28"/>
  <c r="DG87" i="28"/>
  <c r="DH87" i="28"/>
  <c r="DI87" i="28"/>
  <c r="DJ87" i="28"/>
  <c r="DK87" i="28"/>
  <c r="DL87" i="28"/>
  <c r="DM87" i="28"/>
  <c r="DN87" i="28"/>
  <c r="DO87" i="28"/>
  <c r="DP87" i="28"/>
  <c r="DQ87" i="28"/>
  <c r="DR87" i="28"/>
  <c r="DS87" i="28"/>
  <c r="DT87" i="28"/>
  <c r="DU87" i="28"/>
  <c r="DV87" i="28"/>
  <c r="DW87" i="28"/>
  <c r="DX87" i="28"/>
  <c r="DY87" i="28"/>
  <c r="DZ87" i="28"/>
  <c r="EA87" i="28"/>
  <c r="EB87" i="28"/>
  <c r="EC87" i="28"/>
  <c r="ED87" i="28"/>
  <c r="EE87" i="28"/>
  <c r="EF87" i="28"/>
  <c r="EG87" i="28"/>
  <c r="EH87" i="28"/>
  <c r="EI87" i="28"/>
  <c r="EJ87" i="28"/>
  <c r="EK87" i="28"/>
  <c r="EL87" i="28"/>
  <c r="EM87" i="28"/>
  <c r="EN87" i="28"/>
  <c r="EO87" i="28"/>
  <c r="EP87" i="28"/>
  <c r="EQ87" i="28"/>
  <c r="ER87" i="28"/>
  <c r="ES87" i="28"/>
  <c r="ET87" i="28"/>
  <c r="EU87" i="28"/>
  <c r="EV87" i="28"/>
  <c r="EW87" i="28"/>
  <c r="EX87" i="28"/>
  <c r="EY87" i="28"/>
  <c r="EZ87" i="28"/>
  <c r="FA87" i="28"/>
  <c r="FB87" i="28"/>
  <c r="FC87" i="28"/>
  <c r="FD87" i="28"/>
  <c r="FE87" i="28"/>
  <c r="FF87" i="28"/>
  <c r="FG87" i="28"/>
  <c r="FH87" i="28"/>
  <c r="FI87" i="28"/>
  <c r="FJ87" i="28"/>
  <c r="FK87" i="28"/>
  <c r="FL87" i="28"/>
  <c r="FM87" i="28"/>
  <c r="FN87" i="28"/>
  <c r="FO87" i="28"/>
  <c r="FP87" i="28"/>
  <c r="FQ87" i="28"/>
  <c r="FR87" i="28"/>
  <c r="FS87" i="28"/>
  <c r="FT87" i="28"/>
  <c r="FU87" i="28"/>
  <c r="FV87" i="28"/>
  <c r="FW87" i="28"/>
  <c r="FX87" i="28"/>
  <c r="FY87" i="28"/>
  <c r="FZ87" i="28"/>
  <c r="GA87" i="28"/>
  <c r="GB87" i="28"/>
  <c r="GC87" i="28"/>
  <c r="GD87" i="28"/>
  <c r="GE87" i="28"/>
  <c r="GF87" i="28"/>
  <c r="GG87" i="28"/>
  <c r="GH87" i="28"/>
  <c r="GI87" i="28"/>
  <c r="GJ87" i="28"/>
  <c r="GK87" i="28"/>
  <c r="GL87" i="28"/>
  <c r="GM87" i="28"/>
  <c r="GN87" i="28"/>
  <c r="GO87" i="28"/>
  <c r="BZ88" i="28"/>
  <c r="CA88" i="28"/>
  <c r="CP88" i="28"/>
  <c r="CQ88" i="28"/>
  <c r="CR88" i="28"/>
  <c r="CS88" i="28"/>
  <c r="CT88" i="28"/>
  <c r="CU88" i="28"/>
  <c r="CV88" i="28"/>
  <c r="CW88" i="28"/>
  <c r="CX88" i="28"/>
  <c r="CY88" i="28"/>
  <c r="CZ88" i="28"/>
  <c r="DA88" i="28"/>
  <c r="DB88" i="28"/>
  <c r="DC88" i="28"/>
  <c r="DD88" i="28"/>
  <c r="DF88" i="28"/>
  <c r="DG88" i="28"/>
  <c r="DH88" i="28"/>
  <c r="DI88" i="28"/>
  <c r="DJ88" i="28"/>
  <c r="DK88" i="28"/>
  <c r="DL88" i="28"/>
  <c r="DM88" i="28"/>
  <c r="DN88" i="28"/>
  <c r="DO88" i="28"/>
  <c r="DP88" i="28"/>
  <c r="DQ88" i="28"/>
  <c r="DR88" i="28"/>
  <c r="DS88" i="28"/>
  <c r="DT88" i="28"/>
  <c r="DU88" i="28"/>
  <c r="DV88" i="28"/>
  <c r="DW88" i="28"/>
  <c r="DX88" i="28"/>
  <c r="DY88" i="28"/>
  <c r="DZ88" i="28"/>
  <c r="EA88" i="28"/>
  <c r="EB88" i="28"/>
  <c r="EC88" i="28"/>
  <c r="ED88" i="28"/>
  <c r="EE88" i="28"/>
  <c r="EF88" i="28"/>
  <c r="EG88" i="28"/>
  <c r="EH88" i="28"/>
  <c r="EI88" i="28"/>
  <c r="EJ88" i="28"/>
  <c r="EK88" i="28"/>
  <c r="EL88" i="28"/>
  <c r="EM88" i="28"/>
  <c r="EN88" i="28"/>
  <c r="EO88" i="28"/>
  <c r="EP88" i="28"/>
  <c r="EQ88" i="28"/>
  <c r="ER88" i="28"/>
  <c r="ES88" i="28"/>
  <c r="ET88" i="28"/>
  <c r="EU88" i="28"/>
  <c r="EV88" i="28"/>
  <c r="EW88" i="28"/>
  <c r="EX88" i="28"/>
  <c r="EY88" i="28"/>
  <c r="EZ88" i="28"/>
  <c r="FA88" i="28"/>
  <c r="FB88" i="28"/>
  <c r="FC88" i="28"/>
  <c r="FD88" i="28"/>
  <c r="FE88" i="28"/>
  <c r="FF88" i="28"/>
  <c r="FG88" i="28"/>
  <c r="FH88" i="28"/>
  <c r="FI88" i="28"/>
  <c r="FJ88" i="28"/>
  <c r="FK88" i="28"/>
  <c r="FL88" i="28"/>
  <c r="FM88" i="28"/>
  <c r="FN88" i="28"/>
  <c r="FO88" i="28"/>
  <c r="FP88" i="28"/>
  <c r="FQ88" i="28"/>
  <c r="FR88" i="28"/>
  <c r="FS88" i="28"/>
  <c r="FT88" i="28"/>
  <c r="FU88" i="28"/>
  <c r="FV88" i="28"/>
  <c r="FW88" i="28"/>
  <c r="FX88" i="28"/>
  <c r="FY88" i="28"/>
  <c r="FZ88" i="28"/>
  <c r="GA88" i="28"/>
  <c r="GB88" i="28"/>
  <c r="GC88" i="28"/>
  <c r="GD88" i="28"/>
  <c r="GE88" i="28"/>
  <c r="GF88" i="28"/>
  <c r="GG88" i="28"/>
  <c r="GH88" i="28"/>
  <c r="GI88" i="28"/>
  <c r="GJ88" i="28"/>
  <c r="GK88" i="28"/>
  <c r="GL88" i="28"/>
  <c r="GM88" i="28"/>
  <c r="GN88" i="28"/>
  <c r="GO88" i="28"/>
  <c r="BJ89" i="28"/>
  <c r="BK89" i="28"/>
  <c r="BL89" i="28"/>
  <c r="BM89" i="28"/>
  <c r="BN89" i="28"/>
  <c r="BO89" i="28"/>
  <c r="BP89" i="28"/>
  <c r="BQ89" i="28"/>
  <c r="BR89" i="28"/>
  <c r="BS89" i="28"/>
  <c r="BT89" i="28"/>
  <c r="BU89" i="28"/>
  <c r="BV89" i="28"/>
  <c r="BW89" i="28"/>
  <c r="BX89" i="28"/>
  <c r="BY89" i="28"/>
  <c r="BZ89" i="28"/>
  <c r="CA89" i="28"/>
  <c r="CB89" i="28"/>
  <c r="CC89" i="28"/>
  <c r="CD89" i="28"/>
  <c r="CE89" i="28"/>
  <c r="CF89" i="28"/>
  <c r="CG89" i="28"/>
  <c r="CH89" i="28"/>
  <c r="CI89" i="28"/>
  <c r="CJ89" i="28"/>
  <c r="CK89" i="28"/>
  <c r="CL89" i="28"/>
  <c r="CM89" i="28"/>
  <c r="CN89" i="28"/>
  <c r="CO89" i="28"/>
  <c r="CP89" i="28"/>
  <c r="CQ89" i="28"/>
  <c r="CR89" i="28"/>
  <c r="CS89" i="28"/>
  <c r="CT89" i="28"/>
  <c r="CU89" i="28"/>
  <c r="CV89" i="28"/>
  <c r="CW89" i="28"/>
  <c r="CX89" i="28"/>
  <c r="CY89" i="28"/>
  <c r="CZ89" i="28"/>
  <c r="DA89" i="28"/>
  <c r="DB89" i="28"/>
  <c r="DC89" i="28"/>
  <c r="DD89" i="28"/>
  <c r="DE89" i="28"/>
  <c r="DF89" i="28"/>
  <c r="DG89" i="28"/>
  <c r="DH89" i="28"/>
  <c r="DI89" i="28"/>
  <c r="DJ89" i="28"/>
  <c r="DK89" i="28"/>
  <c r="DL89" i="28"/>
  <c r="DM89" i="28"/>
  <c r="DN89" i="28"/>
  <c r="DO89" i="28"/>
  <c r="DP89" i="28"/>
  <c r="DQ89" i="28"/>
  <c r="DR89" i="28"/>
  <c r="DS89" i="28"/>
  <c r="DT89" i="28"/>
  <c r="DU89" i="28"/>
  <c r="DV89" i="28"/>
  <c r="DW89" i="28"/>
  <c r="DX89" i="28"/>
  <c r="DY89" i="28"/>
  <c r="DZ89" i="28"/>
  <c r="EA89" i="28"/>
  <c r="EB89" i="28"/>
  <c r="EC89" i="28"/>
  <c r="ED89" i="28"/>
  <c r="EE89" i="28"/>
  <c r="EF89" i="28"/>
  <c r="EG89" i="28"/>
  <c r="EH89" i="28"/>
  <c r="EI89" i="28"/>
  <c r="EJ89" i="28"/>
  <c r="EK89" i="28"/>
  <c r="EL89" i="28"/>
  <c r="EM89" i="28"/>
  <c r="EN89" i="28"/>
  <c r="EO89" i="28"/>
  <c r="EP89" i="28"/>
  <c r="EQ89" i="28"/>
  <c r="ER89" i="28"/>
  <c r="ES89" i="28"/>
  <c r="ET89" i="28"/>
  <c r="EU89" i="28"/>
  <c r="EV89" i="28"/>
  <c r="EW89" i="28"/>
  <c r="EX89" i="28"/>
  <c r="EY89" i="28"/>
  <c r="EZ89" i="28"/>
  <c r="FA89" i="28"/>
  <c r="FB89" i="28"/>
  <c r="FC89" i="28"/>
  <c r="FD89" i="28"/>
  <c r="FE89" i="28"/>
  <c r="FF89" i="28"/>
  <c r="FG89" i="28"/>
  <c r="FH89" i="28"/>
  <c r="FI89" i="28"/>
  <c r="FJ89" i="28"/>
  <c r="FK89" i="28"/>
  <c r="FL89" i="28"/>
  <c r="FM89" i="28"/>
  <c r="FN89" i="28"/>
  <c r="FO89" i="28"/>
  <c r="FP89" i="28"/>
  <c r="FQ89" i="28"/>
  <c r="FR89" i="28"/>
  <c r="FS89" i="28"/>
  <c r="FT89" i="28"/>
  <c r="FU89" i="28"/>
  <c r="FV89" i="28"/>
  <c r="FW89" i="28"/>
  <c r="FX89" i="28"/>
  <c r="FY89" i="28"/>
  <c r="FZ89" i="28"/>
  <c r="GA89" i="28"/>
  <c r="GB89" i="28"/>
  <c r="GC89" i="28"/>
  <c r="GD89" i="28"/>
  <c r="GE89" i="28"/>
  <c r="GF89" i="28"/>
  <c r="GG89" i="28"/>
  <c r="GH89" i="28"/>
  <c r="GI89" i="28"/>
  <c r="GJ89" i="28"/>
  <c r="GK89" i="28"/>
  <c r="GL89" i="28"/>
  <c r="GM89" i="28"/>
  <c r="GN89" i="28"/>
  <c r="GO89" i="28"/>
  <c r="BJ90" i="28"/>
  <c r="BK90" i="28"/>
  <c r="BL90" i="28"/>
  <c r="BM90" i="28"/>
  <c r="BN90" i="28"/>
  <c r="BO90" i="28"/>
  <c r="BP90" i="28"/>
  <c r="BQ90" i="28"/>
  <c r="BR90" i="28"/>
  <c r="BS90" i="28"/>
  <c r="BT90" i="28"/>
  <c r="BU90" i="28"/>
  <c r="BV90" i="28"/>
  <c r="BW90" i="28"/>
  <c r="BX90" i="28"/>
  <c r="BY90" i="28"/>
  <c r="BZ90" i="28"/>
  <c r="CA90" i="28"/>
  <c r="CB90" i="28"/>
  <c r="CC90" i="28"/>
  <c r="CD90" i="28"/>
  <c r="CE90" i="28"/>
  <c r="CF90" i="28"/>
  <c r="CG90" i="28"/>
  <c r="CH90" i="28"/>
  <c r="CI90" i="28"/>
  <c r="CJ90" i="28"/>
  <c r="CK90" i="28"/>
  <c r="CL90" i="28"/>
  <c r="CM90" i="28"/>
  <c r="CN90" i="28"/>
  <c r="CO90" i="28"/>
  <c r="CP90" i="28"/>
  <c r="CQ90" i="28"/>
  <c r="CR90" i="28"/>
  <c r="CS90" i="28"/>
  <c r="CT90" i="28"/>
  <c r="CU90" i="28"/>
  <c r="CV90" i="28"/>
  <c r="CW90" i="28"/>
  <c r="CX90" i="28"/>
  <c r="CY90" i="28"/>
  <c r="CZ90" i="28"/>
  <c r="DA90" i="28"/>
  <c r="DB90" i="28"/>
  <c r="DC90" i="28"/>
  <c r="DD90" i="28"/>
  <c r="DE90" i="28"/>
  <c r="DF90" i="28"/>
  <c r="DG90" i="28"/>
  <c r="DH90" i="28"/>
  <c r="DI90" i="28"/>
  <c r="DJ90" i="28"/>
  <c r="DK90" i="28"/>
  <c r="DL90" i="28"/>
  <c r="DM90" i="28"/>
  <c r="DN90" i="28"/>
  <c r="DO90" i="28"/>
  <c r="DP90" i="28"/>
  <c r="DQ90" i="28"/>
  <c r="DR90" i="28"/>
  <c r="DS90" i="28"/>
  <c r="DT90" i="28"/>
  <c r="DU90" i="28"/>
  <c r="DV90" i="28"/>
  <c r="DW90" i="28"/>
  <c r="DX90" i="28"/>
  <c r="DY90" i="28"/>
  <c r="DZ90" i="28"/>
  <c r="EA90" i="28"/>
  <c r="EB90" i="28"/>
  <c r="EC90" i="28"/>
  <c r="ED90" i="28"/>
  <c r="EE90" i="28"/>
  <c r="EF90" i="28"/>
  <c r="EG90" i="28"/>
  <c r="EH90" i="28"/>
  <c r="EI90" i="28"/>
  <c r="EJ90" i="28"/>
  <c r="EK90" i="28"/>
  <c r="EL90" i="28"/>
  <c r="EM90" i="28"/>
  <c r="EN90" i="28"/>
  <c r="EO90" i="28"/>
  <c r="EP90" i="28"/>
  <c r="EQ90" i="28"/>
  <c r="ER90" i="28"/>
  <c r="ES90" i="28"/>
  <c r="ET90" i="28"/>
  <c r="EU90" i="28"/>
  <c r="EV90" i="28"/>
  <c r="EW90" i="28"/>
  <c r="EX90" i="28"/>
  <c r="EY90" i="28"/>
  <c r="EZ90" i="28"/>
  <c r="FA90" i="28"/>
  <c r="FB90" i="28"/>
  <c r="FC90" i="28"/>
  <c r="FD90" i="28"/>
  <c r="FE90" i="28"/>
  <c r="FF90" i="28"/>
  <c r="FG90" i="28"/>
  <c r="FK90" i="28"/>
  <c r="FL90" i="28"/>
  <c r="FM90" i="28"/>
  <c r="FN90" i="28"/>
  <c r="FO90" i="28"/>
  <c r="FP90" i="28"/>
  <c r="FQ90" i="28"/>
  <c r="FR90" i="28"/>
  <c r="FS90" i="28"/>
  <c r="FT90" i="28"/>
  <c r="FU90" i="28"/>
  <c r="FV90" i="28"/>
  <c r="FW90" i="28"/>
  <c r="FX90" i="28"/>
  <c r="FY90" i="28"/>
  <c r="FZ90" i="28"/>
  <c r="GA90" i="28"/>
  <c r="GB90" i="28"/>
  <c r="GC90" i="28"/>
  <c r="GD90" i="28"/>
  <c r="GE90" i="28"/>
  <c r="GF90" i="28"/>
  <c r="GG90" i="28"/>
  <c r="GH90" i="28"/>
  <c r="GI90" i="28"/>
  <c r="GJ90" i="28"/>
  <c r="GK90" i="28"/>
  <c r="GL90" i="28"/>
  <c r="GM90" i="28"/>
  <c r="GN90" i="28"/>
  <c r="GO90" i="28"/>
  <c r="BJ91" i="28"/>
  <c r="BK91" i="28"/>
  <c r="BL91" i="28"/>
  <c r="BM91" i="28"/>
  <c r="BN91" i="28"/>
  <c r="BO91" i="28"/>
  <c r="BP91" i="28"/>
  <c r="BQ91" i="28"/>
  <c r="BR91" i="28"/>
  <c r="BS91" i="28"/>
  <c r="BT91" i="28"/>
  <c r="BU91" i="28"/>
  <c r="BV91" i="28"/>
  <c r="BW91" i="28"/>
  <c r="BX91" i="28"/>
  <c r="BY91" i="28"/>
  <c r="BZ91" i="28"/>
  <c r="CA91" i="28"/>
  <c r="CB91" i="28"/>
  <c r="CC91" i="28"/>
  <c r="CD91" i="28"/>
  <c r="CE91" i="28"/>
  <c r="CF91" i="28"/>
  <c r="CG91" i="28"/>
  <c r="CH91" i="28"/>
  <c r="CI91" i="28"/>
  <c r="CJ91" i="28"/>
  <c r="CK91" i="28"/>
  <c r="CL91" i="28"/>
  <c r="CM91" i="28"/>
  <c r="CN91" i="28"/>
  <c r="CO91" i="28"/>
  <c r="CP91" i="28"/>
  <c r="CQ91" i="28"/>
  <c r="CR91" i="28"/>
  <c r="CS91" i="28"/>
  <c r="CT91" i="28"/>
  <c r="CU91" i="28"/>
  <c r="CV91" i="28"/>
  <c r="CW91" i="28"/>
  <c r="CX91" i="28"/>
  <c r="CY91" i="28"/>
  <c r="CZ91" i="28"/>
  <c r="DA91" i="28"/>
  <c r="DB91" i="28"/>
  <c r="DC91" i="28"/>
  <c r="DD91" i="28"/>
  <c r="DE91" i="28"/>
  <c r="DF91" i="28"/>
  <c r="DG91" i="28"/>
  <c r="DH91" i="28"/>
  <c r="DI91" i="28"/>
  <c r="DJ91" i="28"/>
  <c r="DK91" i="28"/>
  <c r="DL91" i="28"/>
  <c r="DM91" i="28"/>
  <c r="DN91" i="28"/>
  <c r="DO91" i="28"/>
  <c r="DP91" i="28"/>
  <c r="DQ91" i="28"/>
  <c r="DR91" i="28"/>
  <c r="DS91" i="28"/>
  <c r="DT91" i="28"/>
  <c r="DU91" i="28"/>
  <c r="DV91" i="28"/>
  <c r="DW91" i="28"/>
  <c r="DX91" i="28"/>
  <c r="DY91" i="28"/>
  <c r="DZ91" i="28"/>
  <c r="EA91" i="28"/>
  <c r="EB91" i="28"/>
  <c r="EC91" i="28"/>
  <c r="ED91" i="28"/>
  <c r="EI91" i="28"/>
  <c r="EJ91" i="28"/>
  <c r="EK91" i="28"/>
  <c r="EL91" i="28"/>
  <c r="EM91" i="28"/>
  <c r="EN91" i="28"/>
  <c r="EO91" i="28"/>
  <c r="EP91" i="28"/>
  <c r="EQ91" i="28"/>
  <c r="ER91" i="28"/>
  <c r="ES91" i="28"/>
  <c r="ET91" i="28"/>
  <c r="EU91" i="28"/>
  <c r="EV91" i="28"/>
  <c r="FB91" i="28"/>
  <c r="FC91" i="28"/>
  <c r="FD91" i="28"/>
  <c r="FE91" i="28"/>
  <c r="FF91" i="28"/>
  <c r="FH91" i="28"/>
  <c r="FI91" i="28"/>
  <c r="FJ91" i="28"/>
  <c r="FU91" i="28"/>
  <c r="FV91" i="28"/>
  <c r="FW91" i="28"/>
  <c r="FX91" i="28"/>
  <c r="FY91" i="28"/>
  <c r="FZ91" i="28"/>
  <c r="GA91" i="28"/>
  <c r="GB91" i="28"/>
  <c r="GC91" i="28"/>
  <c r="GD91" i="28"/>
  <c r="GE91" i="28"/>
  <c r="GF91" i="28"/>
  <c r="GG91" i="28"/>
  <c r="GH91" i="28"/>
  <c r="GL91" i="28"/>
  <c r="GO91" i="28"/>
  <c r="BJ92" i="28"/>
  <c r="BK92" i="28"/>
  <c r="BL92" i="28"/>
  <c r="BM92" i="28"/>
  <c r="BN92" i="28"/>
  <c r="BO92" i="28"/>
  <c r="BP92" i="28"/>
  <c r="BQ92" i="28"/>
  <c r="BR92" i="28"/>
  <c r="BS92" i="28"/>
  <c r="BT92" i="28"/>
  <c r="BU92" i="28"/>
  <c r="BV92" i="28"/>
  <c r="BW92" i="28"/>
  <c r="BX92" i="28"/>
  <c r="BY92" i="28"/>
  <c r="BZ92" i="28"/>
  <c r="CA92" i="28"/>
  <c r="CB92" i="28"/>
  <c r="CC92" i="28"/>
  <c r="CD92" i="28"/>
  <c r="CE92" i="28"/>
  <c r="CF92" i="28"/>
  <c r="CG92" i="28"/>
  <c r="CH92" i="28"/>
  <c r="CI92" i="28"/>
  <c r="CJ92" i="28"/>
  <c r="CK92" i="28"/>
  <c r="CL92" i="28"/>
  <c r="CM92" i="28"/>
  <c r="CN92" i="28"/>
  <c r="CO92" i="28"/>
  <c r="CP92" i="28"/>
  <c r="CQ92" i="28"/>
  <c r="CR92" i="28"/>
  <c r="CS92" i="28"/>
  <c r="CT92" i="28"/>
  <c r="CU92" i="28"/>
  <c r="CV92" i="28"/>
  <c r="CW92" i="28"/>
  <c r="CX92" i="28"/>
  <c r="CY92" i="28"/>
  <c r="CZ92" i="28"/>
  <c r="DA92" i="28"/>
  <c r="DB92" i="28"/>
  <c r="DC92" i="28"/>
  <c r="DD92" i="28"/>
  <c r="DE92" i="28"/>
  <c r="DF92" i="28"/>
  <c r="DG92" i="28"/>
  <c r="DH92" i="28"/>
  <c r="DI92" i="28"/>
  <c r="DJ92" i="28"/>
  <c r="DK92" i="28"/>
  <c r="DL92" i="28"/>
  <c r="DM92" i="28"/>
  <c r="DN92" i="28"/>
  <c r="DO92" i="28"/>
  <c r="DP92" i="28"/>
  <c r="DQ92" i="28"/>
  <c r="DR92" i="28"/>
  <c r="DS92" i="28"/>
  <c r="DT92" i="28"/>
  <c r="DU92" i="28"/>
  <c r="DV92" i="28"/>
  <c r="DW92" i="28"/>
  <c r="DX92" i="28"/>
  <c r="DY92" i="28"/>
  <c r="DZ92" i="28"/>
  <c r="EA92" i="28"/>
  <c r="EB92" i="28"/>
  <c r="EC92" i="28"/>
  <c r="ED92" i="28"/>
  <c r="EE92" i="28"/>
  <c r="EF92" i="28"/>
  <c r="EG92" i="28"/>
  <c r="EH92" i="28"/>
  <c r="EI92" i="28"/>
  <c r="EJ92" i="28"/>
  <c r="EK92" i="28"/>
  <c r="EL92" i="28"/>
  <c r="EM92" i="28"/>
  <c r="EN92" i="28"/>
  <c r="EO92" i="28"/>
  <c r="EP92" i="28"/>
  <c r="EQ92" i="28"/>
  <c r="ER92" i="28"/>
  <c r="ES92" i="28"/>
  <c r="ET92" i="28"/>
  <c r="EU92" i="28"/>
  <c r="EV92" i="28"/>
  <c r="EW92" i="28"/>
  <c r="EX92" i="28"/>
  <c r="EY92" i="28"/>
  <c r="EZ92" i="28"/>
  <c r="FA92" i="28"/>
  <c r="FB92" i="28"/>
  <c r="FC92" i="28"/>
  <c r="FD92" i="28"/>
  <c r="FE92" i="28"/>
  <c r="FF92" i="28"/>
  <c r="FG92" i="28"/>
  <c r="FH92" i="28"/>
  <c r="FI92" i="28"/>
  <c r="FJ92" i="28"/>
  <c r="FK92" i="28"/>
  <c r="FL92" i="28"/>
  <c r="FM92" i="28"/>
  <c r="FN92" i="28"/>
  <c r="FO92" i="28"/>
  <c r="FP92" i="28"/>
  <c r="FQ92" i="28"/>
  <c r="FR92" i="28"/>
  <c r="FS92" i="28"/>
  <c r="FT92" i="28"/>
  <c r="FU92" i="28"/>
  <c r="FV92" i="28"/>
  <c r="FW92" i="28"/>
  <c r="FX92" i="28"/>
  <c r="FY92" i="28"/>
  <c r="FZ92" i="28"/>
  <c r="GA92" i="28"/>
  <c r="GB92" i="28"/>
  <c r="GC92" i="28"/>
  <c r="GD92" i="28"/>
  <c r="GE92" i="28"/>
  <c r="GF92" i="28"/>
  <c r="GG92" i="28"/>
  <c r="GH92" i="28"/>
  <c r="GI92" i="28"/>
  <c r="GJ92" i="28"/>
  <c r="GK92" i="28"/>
  <c r="GL92" i="28"/>
  <c r="GM92" i="28"/>
  <c r="GN92" i="28"/>
  <c r="GO92" i="28"/>
  <c r="BJ93" i="28"/>
  <c r="BK93" i="28"/>
  <c r="BL93" i="28"/>
  <c r="BM93" i="28"/>
  <c r="BN93" i="28"/>
  <c r="BO93" i="28"/>
  <c r="BP93" i="28"/>
  <c r="BQ93" i="28"/>
  <c r="BR93" i="28"/>
  <c r="BS93" i="28"/>
  <c r="BT93" i="28"/>
  <c r="BU93" i="28"/>
  <c r="BV93" i="28"/>
  <c r="BW93" i="28"/>
  <c r="BX93" i="28"/>
  <c r="BY93" i="28"/>
  <c r="BZ93" i="28"/>
  <c r="CA93" i="28"/>
  <c r="CB93" i="28"/>
  <c r="CC93" i="28"/>
  <c r="CD93" i="28"/>
  <c r="CE93" i="28"/>
  <c r="CF93" i="28"/>
  <c r="CG93" i="28"/>
  <c r="CH93" i="28"/>
  <c r="CI93" i="28"/>
  <c r="CJ93" i="28"/>
  <c r="CK93" i="28"/>
  <c r="CL93" i="28"/>
  <c r="CM93" i="28"/>
  <c r="CN93" i="28"/>
  <c r="CO93" i="28"/>
  <c r="CP93" i="28"/>
  <c r="CQ93" i="28"/>
  <c r="CR93" i="28"/>
  <c r="CS93" i="28"/>
  <c r="CT93" i="28"/>
  <c r="CU93" i="28"/>
  <c r="CV93" i="28"/>
  <c r="CW93" i="28"/>
  <c r="CX93" i="28"/>
  <c r="CY93" i="28"/>
  <c r="CZ93" i="28"/>
  <c r="DA93" i="28"/>
  <c r="DB93" i="28"/>
  <c r="DC93" i="28"/>
  <c r="DD93" i="28"/>
  <c r="DE93" i="28"/>
  <c r="DF93" i="28"/>
  <c r="DG93" i="28"/>
  <c r="DH93" i="28"/>
  <c r="DI93" i="28"/>
  <c r="DJ93" i="28"/>
  <c r="DK93" i="28"/>
  <c r="DL93" i="28"/>
  <c r="DM93" i="28"/>
  <c r="DN93" i="28"/>
  <c r="DO93" i="28"/>
  <c r="DP93" i="28"/>
  <c r="DQ93" i="28"/>
  <c r="DR93" i="28"/>
  <c r="DS93" i="28"/>
  <c r="DT93" i="28"/>
  <c r="DU93" i="28"/>
  <c r="DV93" i="28"/>
  <c r="DW93" i="28"/>
  <c r="DX93" i="28"/>
  <c r="DY93" i="28"/>
  <c r="DZ93" i="28"/>
  <c r="EA93" i="28"/>
  <c r="EB93" i="28"/>
  <c r="EC93" i="28"/>
  <c r="ED93" i="28"/>
  <c r="EE93" i="28"/>
  <c r="EF93" i="28"/>
  <c r="EG93" i="28"/>
  <c r="EH93" i="28"/>
  <c r="EI93" i="28"/>
  <c r="EJ93" i="28"/>
  <c r="EK93" i="28"/>
  <c r="EL93" i="28"/>
  <c r="EM93" i="28"/>
  <c r="EN93" i="28"/>
  <c r="EO93" i="28"/>
  <c r="EP93" i="28"/>
  <c r="EQ93" i="28"/>
  <c r="ER93" i="28"/>
  <c r="ES93" i="28"/>
  <c r="ET93" i="28"/>
  <c r="EU93" i="28"/>
  <c r="EV93" i="28"/>
  <c r="EW93" i="28"/>
  <c r="EX93" i="28"/>
  <c r="EY93" i="28"/>
  <c r="EZ93" i="28"/>
  <c r="FA93" i="28"/>
  <c r="FB93" i="28"/>
  <c r="FC93" i="28"/>
  <c r="FD93" i="28"/>
  <c r="FE93" i="28"/>
  <c r="FF93" i="28"/>
  <c r="FG93" i="28"/>
  <c r="FK93" i="28"/>
  <c r="FL93" i="28"/>
  <c r="FM93" i="28"/>
  <c r="FN93" i="28"/>
  <c r="FO93" i="28"/>
  <c r="FP93" i="28"/>
  <c r="FQ93" i="28"/>
  <c r="FR93" i="28"/>
  <c r="FS93" i="28"/>
  <c r="FT93" i="28"/>
  <c r="FU93" i="28"/>
  <c r="FV93" i="28"/>
  <c r="FW93" i="28"/>
  <c r="FX93" i="28"/>
  <c r="FY93" i="28"/>
  <c r="FZ93" i="28"/>
  <c r="GA93" i="28"/>
  <c r="GB93" i="28"/>
  <c r="GC93" i="28"/>
  <c r="GD93" i="28"/>
  <c r="GE93" i="28"/>
  <c r="GF93" i="28"/>
  <c r="GG93" i="28"/>
  <c r="GH93" i="28"/>
  <c r="GI93" i="28"/>
  <c r="GJ93" i="28"/>
  <c r="GK93" i="28"/>
  <c r="GL93" i="28"/>
  <c r="GM93" i="28"/>
  <c r="GN93" i="28"/>
  <c r="GO93" i="28"/>
  <c r="BJ94" i="28"/>
  <c r="BK94" i="28"/>
  <c r="BL94" i="28"/>
  <c r="BM94" i="28"/>
  <c r="BN94" i="28"/>
  <c r="BO94" i="28"/>
  <c r="BP94" i="28"/>
  <c r="BQ94" i="28"/>
  <c r="BR94" i="28"/>
  <c r="BS94" i="28"/>
  <c r="BT94" i="28"/>
  <c r="BU94" i="28"/>
  <c r="BV94" i="28"/>
  <c r="BW94" i="28"/>
  <c r="BX94" i="28"/>
  <c r="BY94" i="28"/>
  <c r="BZ94" i="28"/>
  <c r="CA94" i="28"/>
  <c r="CB94" i="28"/>
  <c r="CC94" i="28"/>
  <c r="CD94" i="28"/>
  <c r="CE94" i="28"/>
  <c r="CF94" i="28"/>
  <c r="CG94" i="28"/>
  <c r="CH94" i="28"/>
  <c r="CI94" i="28"/>
  <c r="CJ94" i="28"/>
  <c r="CK94" i="28"/>
  <c r="CL94" i="28"/>
  <c r="CM94" i="28"/>
  <c r="CN94" i="28"/>
  <c r="CO94" i="28"/>
  <c r="CP94" i="28"/>
  <c r="CQ94" i="28"/>
  <c r="CR94" i="28"/>
  <c r="CS94" i="28"/>
  <c r="CT94" i="28"/>
  <c r="CU94" i="28"/>
  <c r="CV94" i="28"/>
  <c r="CW94" i="28"/>
  <c r="CX94" i="28"/>
  <c r="CY94" i="28"/>
  <c r="CZ94" i="28"/>
  <c r="DA94" i="28"/>
  <c r="DB94" i="28"/>
  <c r="DC94" i="28"/>
  <c r="DD94" i="28"/>
  <c r="DE94" i="28"/>
  <c r="DF94" i="28"/>
  <c r="DG94" i="28"/>
  <c r="DH94" i="28"/>
  <c r="DI94" i="28"/>
  <c r="DJ94" i="28"/>
  <c r="DK94" i="28"/>
  <c r="DL94" i="28"/>
  <c r="DM94" i="28"/>
  <c r="DN94" i="28"/>
  <c r="DO94" i="28"/>
  <c r="DP94" i="28"/>
  <c r="DQ94" i="28"/>
  <c r="DR94" i="28"/>
  <c r="DS94" i="28"/>
  <c r="DT94" i="28"/>
  <c r="DU94" i="28"/>
  <c r="DV94" i="28"/>
  <c r="DW94" i="28"/>
  <c r="DX94" i="28"/>
  <c r="DY94" i="28"/>
  <c r="DZ94" i="28"/>
  <c r="EA94" i="28"/>
  <c r="EB94" i="28"/>
  <c r="EC94" i="28"/>
  <c r="ED94" i="28"/>
  <c r="EI94" i="28"/>
  <c r="EJ94" i="28"/>
  <c r="EK94" i="28"/>
  <c r="EL94" i="28"/>
  <c r="EM94" i="28"/>
  <c r="EN94" i="28"/>
  <c r="EO94" i="28"/>
  <c r="EP94" i="28"/>
  <c r="EQ94" i="28"/>
  <c r="ER94" i="28"/>
  <c r="ES94" i="28"/>
  <c r="ET94" i="28"/>
  <c r="EU94" i="28"/>
  <c r="EV94" i="28"/>
  <c r="FB94" i="28"/>
  <c r="FC94" i="28"/>
  <c r="FD94" i="28"/>
  <c r="FE94" i="28"/>
  <c r="FF94" i="28"/>
  <c r="FH94" i="28"/>
  <c r="FI94" i="28"/>
  <c r="FJ94" i="28"/>
  <c r="FU94" i="28"/>
  <c r="FV94" i="28"/>
  <c r="FW94" i="28"/>
  <c r="FX94" i="28"/>
  <c r="FY94" i="28"/>
  <c r="FZ94" i="28"/>
  <c r="GA94" i="28"/>
  <c r="GB94" i="28"/>
  <c r="GC94" i="28"/>
  <c r="GD94" i="28"/>
  <c r="GE94" i="28"/>
  <c r="GF94" i="28"/>
  <c r="GO94" i="28"/>
  <c r="BJ95" i="28"/>
  <c r="BK95" i="28"/>
  <c r="BL95" i="28"/>
  <c r="BM95" i="28"/>
  <c r="BN95" i="28"/>
  <c r="BO95" i="28"/>
  <c r="BP95" i="28"/>
  <c r="BQ95" i="28"/>
  <c r="BR95" i="28"/>
  <c r="BS95" i="28"/>
  <c r="BT95" i="28"/>
  <c r="BU95" i="28"/>
  <c r="BV95" i="28"/>
  <c r="BW95" i="28"/>
  <c r="BX95" i="28"/>
  <c r="BY95" i="28"/>
  <c r="BZ95" i="28"/>
  <c r="CA95" i="28"/>
  <c r="CB95" i="28"/>
  <c r="CC95" i="28"/>
  <c r="CD95" i="28"/>
  <c r="CE95" i="28"/>
  <c r="CF95" i="28"/>
  <c r="CG95" i="28"/>
  <c r="CH95" i="28"/>
  <c r="CI95" i="28"/>
  <c r="CJ95" i="28"/>
  <c r="CK95" i="28"/>
  <c r="CL95" i="28"/>
  <c r="CM95" i="28"/>
  <c r="CN95" i="28"/>
  <c r="CO95" i="28"/>
  <c r="CP95" i="28"/>
  <c r="CQ95" i="28"/>
  <c r="CR95" i="28"/>
  <c r="CS95" i="28"/>
  <c r="CT95" i="28"/>
  <c r="CU95" i="28"/>
  <c r="CV95" i="28"/>
  <c r="CW95" i="28"/>
  <c r="CX95" i="28"/>
  <c r="CY95" i="28"/>
  <c r="CZ95" i="28"/>
  <c r="DA95" i="28"/>
  <c r="DB95" i="28"/>
  <c r="DC95" i="28"/>
  <c r="DD95" i="28"/>
  <c r="DE95" i="28"/>
  <c r="DF95" i="28"/>
  <c r="DG95" i="28"/>
  <c r="DH95" i="28"/>
  <c r="DI95" i="28"/>
  <c r="DJ95" i="28"/>
  <c r="DK95" i="28"/>
  <c r="DL95" i="28"/>
  <c r="DM95" i="28"/>
  <c r="DN95" i="28"/>
  <c r="DO95" i="28"/>
  <c r="DP95" i="28"/>
  <c r="DQ95" i="28"/>
  <c r="DR95" i="28"/>
  <c r="DS95" i="28"/>
  <c r="DT95" i="28"/>
  <c r="DU95" i="28"/>
  <c r="DV95" i="28"/>
  <c r="DW95" i="28"/>
  <c r="DX95" i="28"/>
  <c r="DY95" i="28"/>
  <c r="DZ95" i="28"/>
  <c r="EA95" i="28"/>
  <c r="EB95" i="28"/>
  <c r="EC95" i="28"/>
  <c r="ED95" i="28"/>
  <c r="EE95" i="28"/>
  <c r="EF95" i="28"/>
  <c r="EG95" i="28"/>
  <c r="EH95" i="28"/>
  <c r="EI95" i="28"/>
  <c r="EJ95" i="28"/>
  <c r="EK95" i="28"/>
  <c r="EL95" i="28"/>
  <c r="EM95" i="28"/>
  <c r="EN95" i="28"/>
  <c r="EO95" i="28"/>
  <c r="EP95" i="28"/>
  <c r="EQ95" i="28"/>
  <c r="ER95" i="28"/>
  <c r="ES95" i="28"/>
  <c r="ET95" i="28"/>
  <c r="EU95" i="28"/>
  <c r="EV95" i="28"/>
  <c r="EW95" i="28"/>
  <c r="EX95" i="28"/>
  <c r="EY95" i="28"/>
  <c r="EZ95" i="28"/>
  <c r="FA95" i="28"/>
  <c r="FB95" i="28"/>
  <c r="FC95" i="28"/>
  <c r="FD95" i="28"/>
  <c r="FE95" i="28"/>
  <c r="FF95" i="28"/>
  <c r="FG95" i="28"/>
  <c r="FH95" i="28"/>
  <c r="FI95" i="28"/>
  <c r="FJ95" i="28"/>
  <c r="FK95" i="28"/>
  <c r="FL95" i="28"/>
  <c r="FM95" i="28"/>
  <c r="FN95" i="28"/>
  <c r="FO95" i="28"/>
  <c r="FP95" i="28"/>
  <c r="FQ95" i="28"/>
  <c r="FR95" i="28"/>
  <c r="FS95" i="28"/>
  <c r="FT95" i="28"/>
  <c r="FU95" i="28"/>
  <c r="FV95" i="28"/>
  <c r="FW95" i="28"/>
  <c r="FX95" i="28"/>
  <c r="FY95" i="28"/>
  <c r="FZ95" i="28"/>
  <c r="GA95" i="28"/>
  <c r="GB95" i="28"/>
  <c r="GC95" i="28"/>
  <c r="GD95" i="28"/>
  <c r="GE95" i="28"/>
  <c r="GF95" i="28"/>
  <c r="GG95" i="28"/>
  <c r="GH95" i="28"/>
  <c r="GI95" i="28"/>
  <c r="GJ95" i="28"/>
  <c r="GK95" i="28"/>
  <c r="GL95" i="28"/>
  <c r="GM95" i="28"/>
  <c r="GN95" i="28"/>
  <c r="GO95" i="28"/>
  <c r="BJ96" i="28"/>
  <c r="BK96" i="28"/>
  <c r="BL96" i="28"/>
  <c r="BM96" i="28"/>
  <c r="BN96" i="28"/>
  <c r="BO96" i="28"/>
  <c r="BP96" i="28"/>
  <c r="BQ96" i="28"/>
  <c r="BR96" i="28"/>
  <c r="BS96" i="28"/>
  <c r="BT96" i="28"/>
  <c r="BU96" i="28"/>
  <c r="BV96" i="28"/>
  <c r="BW96" i="28"/>
  <c r="BX96" i="28"/>
  <c r="BY96" i="28"/>
  <c r="BZ96" i="28"/>
  <c r="CA96" i="28"/>
  <c r="CB96" i="28"/>
  <c r="CC96" i="28"/>
  <c r="CD96" i="28"/>
  <c r="CE96" i="28"/>
  <c r="CF96" i="28"/>
  <c r="CG96" i="28"/>
  <c r="CH96" i="28"/>
  <c r="CI96" i="28"/>
  <c r="CJ96" i="28"/>
  <c r="CK96" i="28"/>
  <c r="CL96" i="28"/>
  <c r="CM96" i="28"/>
  <c r="CN96" i="28"/>
  <c r="CO96" i="28"/>
  <c r="CP96" i="28"/>
  <c r="CQ96" i="28"/>
  <c r="CR96" i="28"/>
  <c r="CS96" i="28"/>
  <c r="CT96" i="28"/>
  <c r="CU96" i="28"/>
  <c r="CV96" i="28"/>
  <c r="CW96" i="28"/>
  <c r="CX96" i="28"/>
  <c r="CY96" i="28"/>
  <c r="CZ96" i="28"/>
  <c r="DA96" i="28"/>
  <c r="DB96" i="28"/>
  <c r="DC96" i="28"/>
  <c r="DD96" i="28"/>
  <c r="DE96" i="28"/>
  <c r="DF96" i="28"/>
  <c r="DG96" i="28"/>
  <c r="DH96" i="28"/>
  <c r="DI96" i="28"/>
  <c r="DJ96" i="28"/>
  <c r="DK96" i="28"/>
  <c r="DL96" i="28"/>
  <c r="DM96" i="28"/>
  <c r="DN96" i="28"/>
  <c r="DO96" i="28"/>
  <c r="DP96" i="28"/>
  <c r="DQ96" i="28"/>
  <c r="DR96" i="28"/>
  <c r="DS96" i="28"/>
  <c r="DT96" i="28"/>
  <c r="DU96" i="28"/>
  <c r="DV96" i="28"/>
  <c r="DW96" i="28"/>
  <c r="DX96" i="28"/>
  <c r="DY96" i="28"/>
  <c r="DZ96" i="28"/>
  <c r="EA96" i="28"/>
  <c r="EB96" i="28"/>
  <c r="EC96" i="28"/>
  <c r="ED96" i="28"/>
  <c r="EE96" i="28"/>
  <c r="EF96" i="28"/>
  <c r="EG96" i="28"/>
  <c r="EH96" i="28"/>
  <c r="EI96" i="28"/>
  <c r="EJ96" i="28"/>
  <c r="EK96" i="28"/>
  <c r="EL96" i="28"/>
  <c r="EM96" i="28"/>
  <c r="EN96" i="28"/>
  <c r="EO96" i="28"/>
  <c r="EP96" i="28"/>
  <c r="EQ96" i="28"/>
  <c r="ER96" i="28"/>
  <c r="ES96" i="28"/>
  <c r="ET96" i="28"/>
  <c r="EU96" i="28"/>
  <c r="EV96" i="28"/>
  <c r="EW96" i="28"/>
  <c r="EX96" i="28"/>
  <c r="EY96" i="28"/>
  <c r="EZ96" i="28"/>
  <c r="FA96" i="28"/>
  <c r="FB96" i="28"/>
  <c r="FC96" i="28"/>
  <c r="FD96" i="28"/>
  <c r="FE96" i="28"/>
  <c r="FF96" i="28"/>
  <c r="FG96" i="28"/>
  <c r="FH96" i="28"/>
  <c r="FI96" i="28"/>
  <c r="FJ96" i="28"/>
  <c r="FK96" i="28"/>
  <c r="FL96" i="28"/>
  <c r="FM96" i="28"/>
  <c r="FN96" i="28"/>
  <c r="FO96" i="28"/>
  <c r="FP96" i="28"/>
  <c r="FQ96" i="28"/>
  <c r="FR96" i="28"/>
  <c r="FS96" i="28"/>
  <c r="FT96" i="28"/>
  <c r="FU96" i="28"/>
  <c r="FV96" i="28"/>
  <c r="FW96" i="28"/>
  <c r="FX96" i="28"/>
  <c r="FY96" i="28"/>
  <c r="FZ96" i="28"/>
  <c r="GA96" i="28"/>
  <c r="GB96" i="28"/>
  <c r="GC96" i="28"/>
  <c r="GD96" i="28"/>
  <c r="GE96" i="28"/>
  <c r="GF96" i="28"/>
  <c r="GG96" i="28"/>
  <c r="GH96" i="28"/>
  <c r="GI96" i="28"/>
  <c r="GJ96" i="28"/>
  <c r="GK96" i="28"/>
  <c r="GL96" i="28"/>
  <c r="GM96" i="28"/>
  <c r="GN96" i="28"/>
  <c r="GO96" i="28"/>
  <c r="BJ97" i="28"/>
  <c r="BK97" i="28"/>
  <c r="BL97" i="28"/>
  <c r="BM97" i="28"/>
  <c r="BN97" i="28"/>
  <c r="BO97" i="28"/>
  <c r="BP97" i="28"/>
  <c r="BQ97" i="28"/>
  <c r="BR97" i="28"/>
  <c r="BS97" i="28"/>
  <c r="BT97" i="28"/>
  <c r="BU97" i="28"/>
  <c r="BV97" i="28"/>
  <c r="BW97" i="28"/>
  <c r="BX97" i="28"/>
  <c r="BY97" i="28"/>
  <c r="BZ97" i="28"/>
  <c r="CA97" i="28"/>
  <c r="CB97" i="28"/>
  <c r="CC97" i="28"/>
  <c r="CD97" i="28"/>
  <c r="CE97" i="28"/>
  <c r="CF97" i="28"/>
  <c r="CG97" i="28"/>
  <c r="CH97" i="28"/>
  <c r="CI97" i="28"/>
  <c r="CJ97" i="28"/>
  <c r="CK97" i="28"/>
  <c r="CL97" i="28"/>
  <c r="CM97" i="28"/>
  <c r="CN97" i="28"/>
  <c r="CO97" i="28"/>
  <c r="CP97" i="28"/>
  <c r="CQ97" i="28"/>
  <c r="CR97" i="28"/>
  <c r="CS97" i="28"/>
  <c r="CT97" i="28"/>
  <c r="CU97" i="28"/>
  <c r="CV97" i="28"/>
  <c r="CW97" i="28"/>
  <c r="CX97" i="28"/>
  <c r="CY97" i="28"/>
  <c r="CZ97" i="28"/>
  <c r="DA97" i="28"/>
  <c r="DB97" i="28"/>
  <c r="DC97" i="28"/>
  <c r="DD97" i="28"/>
  <c r="DE97" i="28"/>
  <c r="DF97" i="28"/>
  <c r="DG97" i="28"/>
  <c r="DH97" i="28"/>
  <c r="DI97" i="28"/>
  <c r="DJ97" i="28"/>
  <c r="DK97" i="28"/>
  <c r="DL97" i="28"/>
  <c r="DM97" i="28"/>
  <c r="DN97" i="28"/>
  <c r="DO97" i="28"/>
  <c r="DP97" i="28"/>
  <c r="DQ97" i="28"/>
  <c r="DR97" i="28"/>
  <c r="DS97" i="28"/>
  <c r="DT97" i="28"/>
  <c r="DU97" i="28"/>
  <c r="DV97" i="28"/>
  <c r="DW97" i="28"/>
  <c r="DX97" i="28"/>
  <c r="DY97" i="28"/>
  <c r="DZ97" i="28"/>
  <c r="EA97" i="28"/>
  <c r="EB97" i="28"/>
  <c r="EC97" i="28"/>
  <c r="ED97" i="28"/>
  <c r="EE97" i="28"/>
  <c r="EF97" i="28"/>
  <c r="EG97" i="28"/>
  <c r="EH97" i="28"/>
  <c r="EI97" i="28"/>
  <c r="EJ97" i="28"/>
  <c r="EK97" i="28"/>
  <c r="EL97" i="28"/>
  <c r="EM97" i="28"/>
  <c r="EN97" i="28"/>
  <c r="EO97" i="28"/>
  <c r="EP97" i="28"/>
  <c r="EQ97" i="28"/>
  <c r="ER97" i="28"/>
  <c r="ES97" i="28"/>
  <c r="ET97" i="28"/>
  <c r="EU97" i="28"/>
  <c r="EV97" i="28"/>
  <c r="EW97" i="28"/>
  <c r="EX97" i="28"/>
  <c r="EY97" i="28"/>
  <c r="EZ97" i="28"/>
  <c r="FA97" i="28"/>
  <c r="FB97" i="28"/>
  <c r="FC97" i="28"/>
  <c r="FD97" i="28"/>
  <c r="FE97" i="28"/>
  <c r="FF97" i="28"/>
  <c r="FG97" i="28"/>
  <c r="FK97" i="28"/>
  <c r="FL97" i="28"/>
  <c r="FM97" i="28"/>
  <c r="FN97" i="28"/>
  <c r="FO97" i="28"/>
  <c r="FP97" i="28"/>
  <c r="FQ97" i="28"/>
  <c r="FR97" i="28"/>
  <c r="FS97" i="28"/>
  <c r="FT97" i="28"/>
  <c r="FU97" i="28"/>
  <c r="FV97" i="28"/>
  <c r="FW97" i="28"/>
  <c r="FX97" i="28"/>
  <c r="FY97" i="28"/>
  <c r="FZ97" i="28"/>
  <c r="GA97" i="28"/>
  <c r="GB97" i="28"/>
  <c r="GC97" i="28"/>
  <c r="GD97" i="28"/>
  <c r="GE97" i="28"/>
  <c r="GF97" i="28"/>
  <c r="GG97" i="28"/>
  <c r="GH97" i="28"/>
  <c r="GI97" i="28"/>
  <c r="GJ97" i="28"/>
  <c r="GK97" i="28"/>
  <c r="GL97" i="28"/>
  <c r="GM97" i="28"/>
  <c r="GN97" i="28"/>
  <c r="GO97" i="28"/>
  <c r="BJ98" i="28"/>
  <c r="BK98" i="28"/>
  <c r="BL98" i="28"/>
  <c r="BM98" i="28"/>
  <c r="BN98" i="28"/>
  <c r="BO98" i="28"/>
  <c r="BP98" i="28"/>
  <c r="BQ98" i="28"/>
  <c r="BR98" i="28"/>
  <c r="BS98" i="28"/>
  <c r="BT98" i="28"/>
  <c r="BU98" i="28"/>
  <c r="BV98" i="28"/>
  <c r="BW98" i="28"/>
  <c r="BX98" i="28"/>
  <c r="BY98" i="28"/>
  <c r="BZ98" i="28"/>
  <c r="CA98" i="28"/>
  <c r="CB98" i="28"/>
  <c r="CC98" i="28"/>
  <c r="CD98" i="28"/>
  <c r="CE98" i="28"/>
  <c r="CF98" i="28"/>
  <c r="CG98" i="28"/>
  <c r="CH98" i="28"/>
  <c r="CI98" i="28"/>
  <c r="CJ98" i="28"/>
  <c r="CK98" i="28"/>
  <c r="CL98" i="28"/>
  <c r="CM98" i="28"/>
  <c r="CN98" i="28"/>
  <c r="CO98" i="28"/>
  <c r="CP98" i="28"/>
  <c r="CQ98" i="28"/>
  <c r="CR98" i="28"/>
  <c r="CS98" i="28"/>
  <c r="CT98" i="28"/>
  <c r="CU98" i="28"/>
  <c r="CV98" i="28"/>
  <c r="CW98" i="28"/>
  <c r="CX98" i="28"/>
  <c r="CY98" i="28"/>
  <c r="CZ98" i="28"/>
  <c r="DA98" i="28"/>
  <c r="DB98" i="28"/>
  <c r="DC98" i="28"/>
  <c r="DD98" i="28"/>
  <c r="DE98" i="28"/>
  <c r="DF98" i="28"/>
  <c r="DG98" i="28"/>
  <c r="DH98" i="28"/>
  <c r="DI98" i="28"/>
  <c r="DJ98" i="28"/>
  <c r="DK98" i="28"/>
  <c r="DL98" i="28"/>
  <c r="DM98" i="28"/>
  <c r="DN98" i="28"/>
  <c r="DO98" i="28"/>
  <c r="DP98" i="28"/>
  <c r="DQ98" i="28"/>
  <c r="DR98" i="28"/>
  <c r="DS98" i="28"/>
  <c r="DT98" i="28"/>
  <c r="DU98" i="28"/>
  <c r="DV98" i="28"/>
  <c r="DW98" i="28"/>
  <c r="DX98" i="28"/>
  <c r="DY98" i="28"/>
  <c r="DZ98" i="28"/>
  <c r="EA98" i="28"/>
  <c r="EB98" i="28"/>
  <c r="EC98" i="28"/>
  <c r="ED98" i="28"/>
  <c r="EI98" i="28"/>
  <c r="EJ98" i="28"/>
  <c r="EK98" i="28"/>
  <c r="EL98" i="28"/>
  <c r="EM98" i="28"/>
  <c r="EN98" i="28"/>
  <c r="EO98" i="28"/>
  <c r="EP98" i="28"/>
  <c r="EQ98" i="28"/>
  <c r="ER98" i="28"/>
  <c r="ES98" i="28"/>
  <c r="ET98" i="28"/>
  <c r="EU98" i="28"/>
  <c r="EV98" i="28"/>
  <c r="FB98" i="28"/>
  <c r="FC98" i="28"/>
  <c r="FD98" i="28"/>
  <c r="FE98" i="28"/>
  <c r="FF98" i="28"/>
  <c r="FH98" i="28"/>
  <c r="FI98" i="28"/>
  <c r="FJ98" i="28"/>
  <c r="FU98" i="28"/>
  <c r="FV98" i="28"/>
  <c r="FW98" i="28"/>
  <c r="FX98" i="28"/>
  <c r="FY98" i="28"/>
  <c r="FZ98" i="28"/>
  <c r="GA98" i="28"/>
  <c r="GB98" i="28"/>
  <c r="GC98" i="28"/>
  <c r="GD98" i="28"/>
  <c r="GE98" i="28"/>
  <c r="GF98" i="28"/>
  <c r="GG98" i="28"/>
  <c r="GL98" i="28"/>
  <c r="GO98" i="28"/>
  <c r="BJ99" i="28"/>
  <c r="BK99" i="28"/>
  <c r="BL99" i="28"/>
  <c r="BM99" i="28"/>
  <c r="BN99" i="28"/>
  <c r="BO99" i="28"/>
  <c r="BP99" i="28"/>
  <c r="BQ99" i="28"/>
  <c r="BR99" i="28"/>
  <c r="BS99" i="28"/>
  <c r="BT99" i="28"/>
  <c r="BU99" i="28"/>
  <c r="BV99" i="28"/>
  <c r="BW99" i="28"/>
  <c r="BX99" i="28"/>
  <c r="BY99" i="28"/>
  <c r="BZ99" i="28"/>
  <c r="CA99" i="28"/>
  <c r="CB99" i="28"/>
  <c r="CC99" i="28"/>
  <c r="CD99" i="28"/>
  <c r="CE99" i="28"/>
  <c r="CF99" i="28"/>
  <c r="CG99" i="28"/>
  <c r="CH99" i="28"/>
  <c r="CI99" i="28"/>
  <c r="CJ99" i="28"/>
  <c r="CK99" i="28"/>
  <c r="CL99" i="28"/>
  <c r="CM99" i="28"/>
  <c r="CN99" i="28"/>
  <c r="CO99" i="28"/>
  <c r="CP99" i="28"/>
  <c r="CQ99" i="28"/>
  <c r="CR99" i="28"/>
  <c r="CS99" i="28"/>
  <c r="CT99" i="28"/>
  <c r="CU99" i="28"/>
  <c r="CV99" i="28"/>
  <c r="CW99" i="28"/>
  <c r="CX99" i="28"/>
  <c r="CY99" i="28"/>
  <c r="CZ99" i="28"/>
  <c r="DA99" i="28"/>
  <c r="DB99" i="28"/>
  <c r="DC99" i="28"/>
  <c r="DD99" i="28"/>
  <c r="DE99" i="28"/>
  <c r="DF99" i="28"/>
  <c r="DG99" i="28"/>
  <c r="DH99" i="28"/>
  <c r="DI99" i="28"/>
  <c r="DJ99" i="28"/>
  <c r="DK99" i="28"/>
  <c r="DL99" i="28"/>
  <c r="DM99" i="28"/>
  <c r="DN99" i="28"/>
  <c r="DO99" i="28"/>
  <c r="DP99" i="28"/>
  <c r="DQ99" i="28"/>
  <c r="DR99" i="28"/>
  <c r="DS99" i="28"/>
  <c r="DT99" i="28"/>
  <c r="DU99" i="28"/>
  <c r="DV99" i="28"/>
  <c r="DW99" i="28"/>
  <c r="DX99" i="28"/>
  <c r="DY99" i="28"/>
  <c r="DZ99" i="28"/>
  <c r="EA99" i="28"/>
  <c r="EB99" i="28"/>
  <c r="EC99" i="28"/>
  <c r="ED99" i="28"/>
  <c r="EE99" i="28"/>
  <c r="EF99" i="28"/>
  <c r="EG99" i="28"/>
  <c r="EH99" i="28"/>
  <c r="EI99" i="28"/>
  <c r="EJ99" i="28"/>
  <c r="EK99" i="28"/>
  <c r="EL99" i="28"/>
  <c r="EM99" i="28"/>
  <c r="EN99" i="28"/>
  <c r="EO99" i="28"/>
  <c r="EP99" i="28"/>
  <c r="EQ99" i="28"/>
  <c r="ER99" i="28"/>
  <c r="ES99" i="28"/>
  <c r="ET99" i="28"/>
  <c r="EU99" i="28"/>
  <c r="EV99" i="28"/>
  <c r="EW99" i="28"/>
  <c r="EX99" i="28"/>
  <c r="EY99" i="28"/>
  <c r="EZ99" i="28"/>
  <c r="FA99" i="28"/>
  <c r="FB99" i="28"/>
  <c r="FC99" i="28"/>
  <c r="FD99" i="28"/>
  <c r="FE99" i="28"/>
  <c r="FF99" i="28"/>
  <c r="FG99" i="28"/>
  <c r="FH99" i="28"/>
  <c r="FI99" i="28"/>
  <c r="FJ99" i="28"/>
  <c r="FK99" i="28"/>
  <c r="FL99" i="28"/>
  <c r="FM99" i="28"/>
  <c r="FN99" i="28"/>
  <c r="FO99" i="28"/>
  <c r="FP99" i="28"/>
  <c r="FQ99" i="28"/>
  <c r="FR99" i="28"/>
  <c r="FS99" i="28"/>
  <c r="FT99" i="28"/>
  <c r="FU99" i="28"/>
  <c r="FV99" i="28"/>
  <c r="FW99" i="28"/>
  <c r="FX99" i="28"/>
  <c r="FY99" i="28"/>
  <c r="FZ99" i="28"/>
  <c r="GA99" i="28"/>
  <c r="GB99" i="28"/>
  <c r="GC99" i="28"/>
  <c r="GD99" i="28"/>
  <c r="GE99" i="28"/>
  <c r="GF99" i="28"/>
  <c r="GG99" i="28"/>
  <c r="GH99" i="28"/>
  <c r="GI99" i="28"/>
  <c r="GJ99" i="28"/>
  <c r="GK99" i="28"/>
  <c r="GL99" i="28"/>
  <c r="GM99" i="28"/>
  <c r="GN99" i="28"/>
  <c r="GO99" i="28"/>
  <c r="BJ100" i="28"/>
  <c r="BK100" i="28"/>
  <c r="BL100" i="28"/>
  <c r="BM100" i="28"/>
  <c r="BN100" i="28"/>
  <c r="BO100" i="28"/>
  <c r="BP100" i="28"/>
  <c r="BQ100" i="28"/>
  <c r="BR100" i="28"/>
  <c r="BS100" i="28"/>
  <c r="BT100" i="28"/>
  <c r="BU100" i="28"/>
  <c r="BV100" i="28"/>
  <c r="BW100" i="28"/>
  <c r="BX100" i="28"/>
  <c r="BY100" i="28"/>
  <c r="BZ100" i="28"/>
  <c r="CA100" i="28"/>
  <c r="CB100" i="28"/>
  <c r="CC100" i="28"/>
  <c r="CD100" i="28"/>
  <c r="CE100" i="28"/>
  <c r="CF100" i="28"/>
  <c r="CG100" i="28"/>
  <c r="CH100" i="28"/>
  <c r="CI100" i="28"/>
  <c r="CJ100" i="28"/>
  <c r="CK100" i="28"/>
  <c r="CL100" i="28"/>
  <c r="CM100" i="28"/>
  <c r="CN100" i="28"/>
  <c r="CO100" i="28"/>
  <c r="CP100" i="28"/>
  <c r="CQ100" i="28"/>
  <c r="CR100" i="28"/>
  <c r="CS100" i="28"/>
  <c r="CT100" i="28"/>
  <c r="CU100" i="28"/>
  <c r="CV100" i="28"/>
  <c r="CW100" i="28"/>
  <c r="CX100" i="28"/>
  <c r="CY100" i="28"/>
  <c r="CZ100" i="28"/>
  <c r="DA100" i="28"/>
  <c r="DB100" i="28"/>
  <c r="DC100" i="28"/>
  <c r="DD100" i="28"/>
  <c r="DE100" i="28"/>
  <c r="DF100" i="28"/>
  <c r="DG100" i="28"/>
  <c r="DH100" i="28"/>
  <c r="DI100" i="28"/>
  <c r="DJ100" i="28"/>
  <c r="DK100" i="28"/>
  <c r="DL100" i="28"/>
  <c r="DM100" i="28"/>
  <c r="DN100" i="28"/>
  <c r="DO100" i="28"/>
  <c r="DP100" i="28"/>
  <c r="DQ100" i="28"/>
  <c r="DR100" i="28"/>
  <c r="DS100" i="28"/>
  <c r="DT100" i="28"/>
  <c r="DU100" i="28"/>
  <c r="DV100" i="28"/>
  <c r="DW100" i="28"/>
  <c r="DX100" i="28"/>
  <c r="DY100" i="28"/>
  <c r="DZ100" i="28"/>
  <c r="EA100" i="28"/>
  <c r="EB100" i="28"/>
  <c r="EC100" i="28"/>
  <c r="ED100" i="28"/>
  <c r="EE100" i="28"/>
  <c r="EF100" i="28"/>
  <c r="EG100" i="28"/>
  <c r="EH100" i="28"/>
  <c r="EI100" i="28"/>
  <c r="EJ100" i="28"/>
  <c r="EK100" i="28"/>
  <c r="EL100" i="28"/>
  <c r="EM100" i="28"/>
  <c r="EN100" i="28"/>
  <c r="EO100" i="28"/>
  <c r="EP100" i="28"/>
  <c r="EQ100" i="28"/>
  <c r="ER100" i="28"/>
  <c r="ES100" i="28"/>
  <c r="ET100" i="28"/>
  <c r="EU100" i="28"/>
  <c r="EV100" i="28"/>
  <c r="EW100" i="28"/>
  <c r="EX100" i="28"/>
  <c r="EY100" i="28"/>
  <c r="EZ100" i="28"/>
  <c r="FA100" i="28"/>
  <c r="FB100" i="28"/>
  <c r="FC100" i="28"/>
  <c r="FD100" i="28"/>
  <c r="FE100" i="28"/>
  <c r="FF100" i="28"/>
  <c r="FG100" i="28"/>
  <c r="FK100" i="28"/>
  <c r="FL100" i="28"/>
  <c r="FM100" i="28"/>
  <c r="FN100" i="28"/>
  <c r="FO100" i="28"/>
  <c r="FP100" i="28"/>
  <c r="FQ100" i="28"/>
  <c r="FR100" i="28"/>
  <c r="FS100" i="28"/>
  <c r="FT100" i="28"/>
  <c r="FU100" i="28"/>
  <c r="FV100" i="28"/>
  <c r="FW100" i="28"/>
  <c r="FX100" i="28"/>
  <c r="FY100" i="28"/>
  <c r="FZ100" i="28"/>
  <c r="GA100" i="28"/>
  <c r="GB100" i="28"/>
  <c r="GC100" i="28"/>
  <c r="GD100" i="28"/>
  <c r="GE100" i="28"/>
  <c r="GF100" i="28"/>
  <c r="GG100" i="28"/>
  <c r="GH100" i="28"/>
  <c r="GI100" i="28"/>
  <c r="GJ100" i="28"/>
  <c r="GK100" i="28"/>
  <c r="GL100" i="28"/>
  <c r="GM100" i="28"/>
  <c r="GN100" i="28"/>
  <c r="GO100" i="28"/>
  <c r="BJ101" i="28"/>
  <c r="BK101" i="28"/>
  <c r="BL101" i="28"/>
  <c r="BM101" i="28"/>
  <c r="BN101" i="28"/>
  <c r="BO101" i="28"/>
  <c r="BP101" i="28"/>
  <c r="BQ101" i="28"/>
  <c r="BR101" i="28"/>
  <c r="BS101" i="28"/>
  <c r="BT101" i="28"/>
  <c r="BU101" i="28"/>
  <c r="BV101" i="28"/>
  <c r="BW101" i="28"/>
  <c r="BX101" i="28"/>
  <c r="BY101" i="28"/>
  <c r="BZ101" i="28"/>
  <c r="CA101" i="28"/>
  <c r="CB101" i="28"/>
  <c r="CC101" i="28"/>
  <c r="CD101" i="28"/>
  <c r="CE101" i="28"/>
  <c r="CF101" i="28"/>
  <c r="CG101" i="28"/>
  <c r="CH101" i="28"/>
  <c r="CI101" i="28"/>
  <c r="CJ101" i="28"/>
  <c r="CK101" i="28"/>
  <c r="CL101" i="28"/>
  <c r="CM101" i="28"/>
  <c r="CN101" i="28"/>
  <c r="CO101" i="28"/>
  <c r="CP101" i="28"/>
  <c r="CQ101" i="28"/>
  <c r="CR101" i="28"/>
  <c r="CS101" i="28"/>
  <c r="CT101" i="28"/>
  <c r="CU101" i="28"/>
  <c r="CV101" i="28"/>
  <c r="CW101" i="28"/>
  <c r="CX101" i="28"/>
  <c r="CY101" i="28"/>
  <c r="CZ101" i="28"/>
  <c r="DA101" i="28"/>
  <c r="DB101" i="28"/>
  <c r="DC101" i="28"/>
  <c r="DD101" i="28"/>
  <c r="DE101" i="28"/>
  <c r="DF101" i="28"/>
  <c r="DG101" i="28"/>
  <c r="DH101" i="28"/>
  <c r="DI101" i="28"/>
  <c r="DJ101" i="28"/>
  <c r="DK101" i="28"/>
  <c r="DL101" i="28"/>
  <c r="DM101" i="28"/>
  <c r="DN101" i="28"/>
  <c r="DO101" i="28"/>
  <c r="DP101" i="28"/>
  <c r="DQ101" i="28"/>
  <c r="DR101" i="28"/>
  <c r="DS101" i="28"/>
  <c r="DT101" i="28"/>
  <c r="DU101" i="28"/>
  <c r="DV101" i="28"/>
  <c r="DW101" i="28"/>
  <c r="DX101" i="28"/>
  <c r="DY101" i="28"/>
  <c r="DZ101" i="28"/>
  <c r="EA101" i="28"/>
  <c r="EB101" i="28"/>
  <c r="EC101" i="28"/>
  <c r="ED101" i="28"/>
  <c r="EI101" i="28"/>
  <c r="EJ101" i="28"/>
  <c r="EK101" i="28"/>
  <c r="EL101" i="28"/>
  <c r="EM101" i="28"/>
  <c r="EN101" i="28"/>
  <c r="EO101" i="28"/>
  <c r="EP101" i="28"/>
  <c r="EQ101" i="28"/>
  <c r="ER101" i="28"/>
  <c r="ES101" i="28"/>
  <c r="ET101" i="28"/>
  <c r="EU101" i="28"/>
  <c r="EV101" i="28"/>
  <c r="FB101" i="28"/>
  <c r="FC101" i="28"/>
  <c r="FD101" i="28"/>
  <c r="FE101" i="28"/>
  <c r="FF101" i="28"/>
  <c r="FH101" i="28"/>
  <c r="FI101" i="28"/>
  <c r="FJ101" i="28"/>
  <c r="FL101" i="28"/>
  <c r="FU101" i="28"/>
  <c r="FV101" i="28"/>
  <c r="FW101" i="28"/>
  <c r="FX101" i="28"/>
  <c r="FY101" i="28"/>
  <c r="FZ101" i="28"/>
  <c r="GA101" i="28"/>
  <c r="GB101" i="28"/>
  <c r="GC101" i="28"/>
  <c r="GD101" i="28"/>
  <c r="GE101" i="28"/>
  <c r="GF101" i="28"/>
  <c r="GO101" i="28"/>
  <c r="BJ102" i="28"/>
  <c r="BK102" i="28"/>
  <c r="BL102" i="28"/>
  <c r="BM102" i="28"/>
  <c r="BN102" i="28"/>
  <c r="BO102" i="28"/>
  <c r="BP102" i="28"/>
  <c r="BQ102" i="28"/>
  <c r="BR102" i="28"/>
  <c r="BS102" i="28"/>
  <c r="BT102" i="28"/>
  <c r="BU102" i="28"/>
  <c r="BV102" i="28"/>
  <c r="BW102" i="28"/>
  <c r="BX102" i="28"/>
  <c r="BY102" i="28"/>
  <c r="BZ102" i="28"/>
  <c r="CA102" i="28"/>
  <c r="CB102" i="28"/>
  <c r="CC102" i="28"/>
  <c r="CD102" i="28"/>
  <c r="CE102" i="28"/>
  <c r="CF102" i="28"/>
  <c r="CG102" i="28"/>
  <c r="CH102" i="28"/>
  <c r="CI102" i="28"/>
  <c r="CJ102" i="28"/>
  <c r="CK102" i="28"/>
  <c r="CL102" i="28"/>
  <c r="CM102" i="28"/>
  <c r="CN102" i="28"/>
  <c r="CO102" i="28"/>
  <c r="CP102" i="28"/>
  <c r="CQ102" i="28"/>
  <c r="CR102" i="28"/>
  <c r="CS102" i="28"/>
  <c r="CT102" i="28"/>
  <c r="CU102" i="28"/>
  <c r="CV102" i="28"/>
  <c r="CW102" i="28"/>
  <c r="CX102" i="28"/>
  <c r="CY102" i="28"/>
  <c r="CZ102" i="28"/>
  <c r="DA102" i="28"/>
  <c r="DB102" i="28"/>
  <c r="DC102" i="28"/>
  <c r="DD102" i="28"/>
  <c r="DE102" i="28"/>
  <c r="DF102" i="28"/>
  <c r="DG102" i="28"/>
  <c r="DH102" i="28"/>
  <c r="DI102" i="28"/>
  <c r="DJ102" i="28"/>
  <c r="DK102" i="28"/>
  <c r="DL102" i="28"/>
  <c r="DM102" i="28"/>
  <c r="DN102" i="28"/>
  <c r="DO102" i="28"/>
  <c r="DP102" i="28"/>
  <c r="DQ102" i="28"/>
  <c r="DR102" i="28"/>
  <c r="DS102" i="28"/>
  <c r="DT102" i="28"/>
  <c r="DU102" i="28"/>
  <c r="DV102" i="28"/>
  <c r="DW102" i="28"/>
  <c r="DX102" i="28"/>
  <c r="DY102" i="28"/>
  <c r="DZ102" i="28"/>
  <c r="EA102" i="28"/>
  <c r="EB102" i="28"/>
  <c r="EC102" i="28"/>
  <c r="ED102" i="28"/>
  <c r="EE102" i="28"/>
  <c r="EF102" i="28"/>
  <c r="EG102" i="28"/>
  <c r="EH102" i="28"/>
  <c r="EI102" i="28"/>
  <c r="EJ102" i="28"/>
  <c r="EK102" i="28"/>
  <c r="EL102" i="28"/>
  <c r="EM102" i="28"/>
  <c r="EN102" i="28"/>
  <c r="EO102" i="28"/>
  <c r="EP102" i="28"/>
  <c r="EQ102" i="28"/>
  <c r="ER102" i="28"/>
  <c r="ES102" i="28"/>
  <c r="ET102" i="28"/>
  <c r="EU102" i="28"/>
  <c r="EV102" i="28"/>
  <c r="EW102" i="28"/>
  <c r="EX102" i="28"/>
  <c r="EY102" i="28"/>
  <c r="EZ102" i="28"/>
  <c r="FA102" i="28"/>
  <c r="FB102" i="28"/>
  <c r="FC102" i="28"/>
  <c r="FD102" i="28"/>
  <c r="FE102" i="28"/>
  <c r="FF102" i="28"/>
  <c r="FG102" i="28"/>
  <c r="FH102" i="28"/>
  <c r="FI102" i="28"/>
  <c r="FJ102" i="28"/>
  <c r="FK102" i="28"/>
  <c r="FL102" i="28"/>
  <c r="FM102" i="28"/>
  <c r="FN102" i="28"/>
  <c r="FO102" i="28"/>
  <c r="FP102" i="28"/>
  <c r="FQ102" i="28"/>
  <c r="FR102" i="28"/>
  <c r="FS102" i="28"/>
  <c r="FT102" i="28"/>
  <c r="FU102" i="28"/>
  <c r="FV102" i="28"/>
  <c r="FW102" i="28"/>
  <c r="FX102" i="28"/>
  <c r="FY102" i="28"/>
  <c r="FZ102" i="28"/>
  <c r="GA102" i="28"/>
  <c r="GB102" i="28"/>
  <c r="GC102" i="28"/>
  <c r="GD102" i="28"/>
  <c r="GE102" i="28"/>
  <c r="GF102" i="28"/>
  <c r="GG102" i="28"/>
  <c r="GH102" i="28"/>
  <c r="GI102" i="28"/>
  <c r="GJ102" i="28"/>
  <c r="GK102" i="28"/>
  <c r="GL102" i="28"/>
  <c r="GM102" i="28"/>
  <c r="GN102" i="28"/>
  <c r="GO102" i="28"/>
  <c r="BJ103" i="28"/>
  <c r="BK103" i="28"/>
  <c r="BL103" i="28"/>
  <c r="BM103" i="28"/>
  <c r="BN103" i="28"/>
  <c r="BO103" i="28"/>
  <c r="BP103" i="28"/>
  <c r="BQ103" i="28"/>
  <c r="BR103" i="28"/>
  <c r="BS103" i="28"/>
  <c r="BT103" i="28"/>
  <c r="BU103" i="28"/>
  <c r="BV103" i="28"/>
  <c r="BW103" i="28"/>
  <c r="BX103" i="28"/>
  <c r="BY103" i="28"/>
  <c r="BZ103" i="28"/>
  <c r="CA103" i="28"/>
  <c r="CB103" i="28"/>
  <c r="CC103" i="28"/>
  <c r="CD103" i="28"/>
  <c r="CE103" i="28"/>
  <c r="CF103" i="28"/>
  <c r="CG103" i="28"/>
  <c r="CH103" i="28"/>
  <c r="CI103" i="28"/>
  <c r="CJ103" i="28"/>
  <c r="CK103" i="28"/>
  <c r="CL103" i="28"/>
  <c r="CM103" i="28"/>
  <c r="CN103" i="28"/>
  <c r="CO103" i="28"/>
  <c r="CP103" i="28"/>
  <c r="CQ103" i="28"/>
  <c r="CR103" i="28"/>
  <c r="CS103" i="28"/>
  <c r="CT103" i="28"/>
  <c r="CU103" i="28"/>
  <c r="CV103" i="28"/>
  <c r="CW103" i="28"/>
  <c r="CX103" i="28"/>
  <c r="CY103" i="28"/>
  <c r="CZ103" i="28"/>
  <c r="DA103" i="28"/>
  <c r="DB103" i="28"/>
  <c r="DC103" i="28"/>
  <c r="DD103" i="28"/>
  <c r="DE103" i="28"/>
  <c r="DF103" i="28"/>
  <c r="DG103" i="28"/>
  <c r="DH103" i="28"/>
  <c r="DI103" i="28"/>
  <c r="DJ103" i="28"/>
  <c r="DK103" i="28"/>
  <c r="DL103" i="28"/>
  <c r="DM103" i="28"/>
  <c r="DN103" i="28"/>
  <c r="DO103" i="28"/>
  <c r="DP103" i="28"/>
  <c r="DQ103" i="28"/>
  <c r="DR103" i="28"/>
  <c r="DS103" i="28"/>
  <c r="DT103" i="28"/>
  <c r="DU103" i="28"/>
  <c r="DV103" i="28"/>
  <c r="DW103" i="28"/>
  <c r="DX103" i="28"/>
  <c r="DY103" i="28"/>
  <c r="DZ103" i="28"/>
  <c r="EA103" i="28"/>
  <c r="EB103" i="28"/>
  <c r="EC103" i="28"/>
  <c r="ED103" i="28"/>
  <c r="EE103" i="28"/>
  <c r="EF103" i="28"/>
  <c r="EG103" i="28"/>
  <c r="EH103" i="28"/>
  <c r="EI103" i="28"/>
  <c r="EJ103" i="28"/>
  <c r="EK103" i="28"/>
  <c r="EL103" i="28"/>
  <c r="EM103" i="28"/>
  <c r="EN103" i="28"/>
  <c r="EO103" i="28"/>
  <c r="EP103" i="28"/>
  <c r="EQ103" i="28"/>
  <c r="ER103" i="28"/>
  <c r="ES103" i="28"/>
  <c r="ET103" i="28"/>
  <c r="EU103" i="28"/>
  <c r="EV103" i="28"/>
  <c r="EW103" i="28"/>
  <c r="EX103" i="28"/>
  <c r="EY103" i="28"/>
  <c r="EZ103" i="28"/>
  <c r="FA103" i="28"/>
  <c r="FB103" i="28"/>
  <c r="FC103" i="28"/>
  <c r="FD103" i="28"/>
  <c r="FE103" i="28"/>
  <c r="FF103" i="28"/>
  <c r="FG103" i="28"/>
  <c r="FK103" i="28"/>
  <c r="FL103" i="28"/>
  <c r="FM103" i="28"/>
  <c r="FN103" i="28"/>
  <c r="FO103" i="28"/>
  <c r="FP103" i="28"/>
  <c r="FQ103" i="28"/>
  <c r="FR103" i="28"/>
  <c r="FS103" i="28"/>
  <c r="FT103" i="28"/>
  <c r="FU103" i="28"/>
  <c r="FV103" i="28"/>
  <c r="FW103" i="28"/>
  <c r="FX103" i="28"/>
  <c r="FY103" i="28"/>
  <c r="FZ103" i="28"/>
  <c r="GA103" i="28"/>
  <c r="GB103" i="28"/>
  <c r="GC103" i="28"/>
  <c r="GD103" i="28"/>
  <c r="GE103" i="28"/>
  <c r="GF103" i="28"/>
  <c r="GG103" i="28"/>
  <c r="GH103" i="28"/>
  <c r="GI103" i="28"/>
  <c r="GJ103" i="28"/>
  <c r="GK103" i="28"/>
  <c r="GL103" i="28"/>
  <c r="GM103" i="28"/>
  <c r="GN103" i="28"/>
  <c r="GO103" i="28"/>
  <c r="BJ104" i="28"/>
  <c r="BK104" i="28"/>
  <c r="BL104" i="28"/>
  <c r="BM104" i="28"/>
  <c r="BN104" i="28"/>
  <c r="BO104" i="28"/>
  <c r="BP104" i="28"/>
  <c r="BQ104" i="28"/>
  <c r="BR104" i="28"/>
  <c r="BS104" i="28"/>
  <c r="BT104" i="28"/>
  <c r="BU104" i="28"/>
  <c r="BV104" i="28"/>
  <c r="BW104" i="28"/>
  <c r="BX104" i="28"/>
  <c r="BY104" i="28"/>
  <c r="BZ104" i="28"/>
  <c r="CA104" i="28"/>
  <c r="CB104" i="28"/>
  <c r="CC104" i="28"/>
  <c r="CD104" i="28"/>
  <c r="CE104" i="28"/>
  <c r="CF104" i="28"/>
  <c r="CG104" i="28"/>
  <c r="CH104" i="28"/>
  <c r="CI104" i="28"/>
  <c r="CJ104" i="28"/>
  <c r="CK104" i="28"/>
  <c r="CL104" i="28"/>
  <c r="CM104" i="28"/>
  <c r="CN104" i="28"/>
  <c r="CO104" i="28"/>
  <c r="CP104" i="28"/>
  <c r="CQ104" i="28"/>
  <c r="CR104" i="28"/>
  <c r="CS104" i="28"/>
  <c r="CT104" i="28"/>
  <c r="CU104" i="28"/>
  <c r="CV104" i="28"/>
  <c r="CW104" i="28"/>
  <c r="CX104" i="28"/>
  <c r="CY104" i="28"/>
  <c r="CZ104" i="28"/>
  <c r="DA104" i="28"/>
  <c r="DB104" i="28"/>
  <c r="DC104" i="28"/>
  <c r="DD104" i="28"/>
  <c r="DE104" i="28"/>
  <c r="DF104" i="28"/>
  <c r="DG104" i="28"/>
  <c r="DH104" i="28"/>
  <c r="DI104" i="28"/>
  <c r="DJ104" i="28"/>
  <c r="DK104" i="28"/>
  <c r="DL104" i="28"/>
  <c r="DM104" i="28"/>
  <c r="DN104" i="28"/>
  <c r="DO104" i="28"/>
  <c r="DP104" i="28"/>
  <c r="DQ104" i="28"/>
  <c r="DR104" i="28"/>
  <c r="DS104" i="28"/>
  <c r="DT104" i="28"/>
  <c r="DU104" i="28"/>
  <c r="DV104" i="28"/>
  <c r="DW104" i="28"/>
  <c r="DX104" i="28"/>
  <c r="DY104" i="28"/>
  <c r="DZ104" i="28"/>
  <c r="EA104" i="28"/>
  <c r="EB104" i="28"/>
  <c r="EC104" i="28"/>
  <c r="ED104" i="28"/>
  <c r="EI104" i="28"/>
  <c r="EJ104" i="28"/>
  <c r="EK104" i="28"/>
  <c r="EL104" i="28"/>
  <c r="EM104" i="28"/>
  <c r="EN104" i="28"/>
  <c r="EO104" i="28"/>
  <c r="EP104" i="28"/>
  <c r="EQ104" i="28"/>
  <c r="ER104" i="28"/>
  <c r="ES104" i="28"/>
  <c r="ET104" i="28"/>
  <c r="EU104" i="28"/>
  <c r="EV104" i="28"/>
  <c r="FB104" i="28"/>
  <c r="FC104" i="28"/>
  <c r="FD104" i="28"/>
  <c r="FE104" i="28"/>
  <c r="FF104" i="28"/>
  <c r="FH104" i="28"/>
  <c r="FI104" i="28"/>
  <c r="FJ104" i="28"/>
  <c r="FU104" i="28"/>
  <c r="FV104" i="28"/>
  <c r="FW104" i="28"/>
  <c r="FX104" i="28"/>
  <c r="FY104" i="28"/>
  <c r="FZ104" i="28"/>
  <c r="GA104" i="28"/>
  <c r="GB104" i="28"/>
  <c r="GC104" i="28"/>
  <c r="GD104" i="28"/>
  <c r="GE104" i="28"/>
  <c r="GF104" i="28"/>
  <c r="GG104" i="28"/>
  <c r="GL104" i="28"/>
  <c r="GO104" i="28"/>
  <c r="BJ105" i="28"/>
  <c r="BK105" i="28"/>
  <c r="BL105" i="28"/>
  <c r="BM105" i="28"/>
  <c r="BN105" i="28"/>
  <c r="BO105" i="28"/>
  <c r="BP105" i="28"/>
  <c r="BQ105" i="28"/>
  <c r="BR105" i="28"/>
  <c r="BS105" i="28"/>
  <c r="BT105" i="28"/>
  <c r="BU105" i="28"/>
  <c r="BV105" i="28"/>
  <c r="BW105" i="28"/>
  <c r="BX105" i="28"/>
  <c r="BY105" i="28"/>
  <c r="BZ105" i="28"/>
  <c r="CA105" i="28"/>
  <c r="CB105" i="28"/>
  <c r="CC105" i="28"/>
  <c r="CD105" i="28"/>
  <c r="CE105" i="28"/>
  <c r="CF105" i="28"/>
  <c r="CG105" i="28"/>
  <c r="CH105" i="28"/>
  <c r="CI105" i="28"/>
  <c r="CJ105" i="28"/>
  <c r="CK105" i="28"/>
  <c r="CL105" i="28"/>
  <c r="CM105" i="28"/>
  <c r="CN105" i="28"/>
  <c r="CO105" i="28"/>
  <c r="CP105" i="28"/>
  <c r="CQ105" i="28"/>
  <c r="CR105" i="28"/>
  <c r="CS105" i="28"/>
  <c r="CT105" i="28"/>
  <c r="CU105" i="28"/>
  <c r="CV105" i="28"/>
  <c r="CW105" i="28"/>
  <c r="CX105" i="28"/>
  <c r="CY105" i="28"/>
  <c r="CZ105" i="28"/>
  <c r="DA105" i="28"/>
  <c r="DB105" i="28"/>
  <c r="DC105" i="28"/>
  <c r="DD105" i="28"/>
  <c r="DE105" i="28"/>
  <c r="DF105" i="28"/>
  <c r="DG105" i="28"/>
  <c r="DH105" i="28"/>
  <c r="DI105" i="28"/>
  <c r="DJ105" i="28"/>
  <c r="DK105" i="28"/>
  <c r="DL105" i="28"/>
  <c r="DM105" i="28"/>
  <c r="DN105" i="28"/>
  <c r="DO105" i="28"/>
  <c r="DP105" i="28"/>
  <c r="DQ105" i="28"/>
  <c r="DR105" i="28"/>
  <c r="DS105" i="28"/>
  <c r="DT105" i="28"/>
  <c r="DU105" i="28"/>
  <c r="DV105" i="28"/>
  <c r="DW105" i="28"/>
  <c r="DX105" i="28"/>
  <c r="DY105" i="28"/>
  <c r="DZ105" i="28"/>
  <c r="EA105" i="28"/>
  <c r="EB105" i="28"/>
  <c r="EC105" i="28"/>
  <c r="ED105" i="28"/>
  <c r="EE105" i="28"/>
  <c r="EF105" i="28"/>
  <c r="EG105" i="28"/>
  <c r="EH105" i="28"/>
  <c r="EI105" i="28"/>
  <c r="EJ105" i="28"/>
  <c r="EK105" i="28"/>
  <c r="EL105" i="28"/>
  <c r="EM105" i="28"/>
  <c r="EN105" i="28"/>
  <c r="EO105" i="28"/>
  <c r="EP105" i="28"/>
  <c r="EQ105" i="28"/>
  <c r="ER105" i="28"/>
  <c r="ES105" i="28"/>
  <c r="ET105" i="28"/>
  <c r="EU105" i="28"/>
  <c r="EV105" i="28"/>
  <c r="EW105" i="28"/>
  <c r="EX105" i="28"/>
  <c r="EY105" i="28"/>
  <c r="EZ105" i="28"/>
  <c r="FA105" i="28"/>
  <c r="FB105" i="28"/>
  <c r="FC105" i="28"/>
  <c r="FD105" i="28"/>
  <c r="FE105" i="28"/>
  <c r="FF105" i="28"/>
  <c r="FG105" i="28"/>
  <c r="FH105" i="28"/>
  <c r="FI105" i="28"/>
  <c r="FJ105" i="28"/>
  <c r="FK105" i="28"/>
  <c r="FL105" i="28"/>
  <c r="FM105" i="28"/>
  <c r="FN105" i="28"/>
  <c r="FO105" i="28"/>
  <c r="FP105" i="28"/>
  <c r="FQ105" i="28"/>
  <c r="FR105" i="28"/>
  <c r="FS105" i="28"/>
  <c r="FT105" i="28"/>
  <c r="FU105" i="28"/>
  <c r="FV105" i="28"/>
  <c r="FW105" i="28"/>
  <c r="FX105" i="28"/>
  <c r="FY105" i="28"/>
  <c r="FZ105" i="28"/>
  <c r="GA105" i="28"/>
  <c r="GB105" i="28"/>
  <c r="GC105" i="28"/>
  <c r="GD105" i="28"/>
  <c r="GE105" i="28"/>
  <c r="GF105" i="28"/>
  <c r="GG105" i="28"/>
  <c r="GH105" i="28"/>
  <c r="GI105" i="28"/>
  <c r="GJ105" i="28"/>
  <c r="GK105" i="28"/>
  <c r="GL105" i="28"/>
  <c r="GM105" i="28"/>
  <c r="GN105" i="28"/>
  <c r="GO105" i="28"/>
  <c r="BJ106" i="28"/>
  <c r="BK106" i="28"/>
  <c r="BL106" i="28"/>
  <c r="BM106" i="28"/>
  <c r="BN106" i="28"/>
  <c r="BO106" i="28"/>
  <c r="BP106" i="28"/>
  <c r="BQ106" i="28"/>
  <c r="BR106" i="28"/>
  <c r="BS106" i="28"/>
  <c r="BT106" i="28"/>
  <c r="BU106" i="28"/>
  <c r="BV106" i="28"/>
  <c r="BW106" i="28"/>
  <c r="BX106" i="28"/>
  <c r="BY106" i="28"/>
  <c r="BZ106" i="28"/>
  <c r="CA106" i="28"/>
  <c r="CB106" i="28"/>
  <c r="CC106" i="28"/>
  <c r="CD106" i="28"/>
  <c r="CE106" i="28"/>
  <c r="CF106" i="28"/>
  <c r="CG106" i="28"/>
  <c r="CH106" i="28"/>
  <c r="CI106" i="28"/>
  <c r="CJ106" i="28"/>
  <c r="CK106" i="28"/>
  <c r="CL106" i="28"/>
  <c r="CM106" i="28"/>
  <c r="CN106" i="28"/>
  <c r="CO106" i="28"/>
  <c r="CP106" i="28"/>
  <c r="CQ106" i="28"/>
  <c r="CR106" i="28"/>
  <c r="CS106" i="28"/>
  <c r="CT106" i="28"/>
  <c r="CU106" i="28"/>
  <c r="CV106" i="28"/>
  <c r="CW106" i="28"/>
  <c r="CX106" i="28"/>
  <c r="CY106" i="28"/>
  <c r="CZ106" i="28"/>
  <c r="DA106" i="28"/>
  <c r="DB106" i="28"/>
  <c r="DC106" i="28"/>
  <c r="DD106" i="28"/>
  <c r="DE106" i="28"/>
  <c r="DF106" i="28"/>
  <c r="DG106" i="28"/>
  <c r="DH106" i="28"/>
  <c r="DI106" i="28"/>
  <c r="DJ106" i="28"/>
  <c r="DK106" i="28"/>
  <c r="DL106" i="28"/>
  <c r="DM106" i="28"/>
  <c r="DN106" i="28"/>
  <c r="DO106" i="28"/>
  <c r="DP106" i="28"/>
  <c r="DQ106" i="28"/>
  <c r="DR106" i="28"/>
  <c r="DS106" i="28"/>
  <c r="DT106" i="28"/>
  <c r="DU106" i="28"/>
  <c r="DV106" i="28"/>
  <c r="DW106" i="28"/>
  <c r="DX106" i="28"/>
  <c r="DY106" i="28"/>
  <c r="DZ106" i="28"/>
  <c r="EA106" i="28"/>
  <c r="EB106" i="28"/>
  <c r="EC106" i="28"/>
  <c r="ED106" i="28"/>
  <c r="EE106" i="28"/>
  <c r="EF106" i="28"/>
  <c r="EG106" i="28"/>
  <c r="EH106" i="28"/>
  <c r="EI106" i="28"/>
  <c r="EJ106" i="28"/>
  <c r="EK106" i="28"/>
  <c r="EL106" i="28"/>
  <c r="EM106" i="28"/>
  <c r="EN106" i="28"/>
  <c r="EO106" i="28"/>
  <c r="EP106" i="28"/>
  <c r="EQ106" i="28"/>
  <c r="ER106" i="28"/>
  <c r="ES106" i="28"/>
  <c r="ET106" i="28"/>
  <c r="EU106" i="28"/>
  <c r="EV106" i="28"/>
  <c r="EW106" i="28"/>
  <c r="EX106" i="28"/>
  <c r="EY106" i="28"/>
  <c r="EZ106" i="28"/>
  <c r="FA106" i="28"/>
  <c r="FB106" i="28"/>
  <c r="FC106" i="28"/>
  <c r="FD106" i="28"/>
  <c r="FE106" i="28"/>
  <c r="FF106" i="28"/>
  <c r="FG106" i="28"/>
  <c r="FK106" i="28"/>
  <c r="FL106" i="28"/>
  <c r="FM106" i="28"/>
  <c r="FN106" i="28"/>
  <c r="FO106" i="28"/>
  <c r="FP106" i="28"/>
  <c r="FQ106" i="28"/>
  <c r="FR106" i="28"/>
  <c r="FS106" i="28"/>
  <c r="FT106" i="28"/>
  <c r="FU106" i="28"/>
  <c r="FV106" i="28"/>
  <c r="FW106" i="28"/>
  <c r="FX106" i="28"/>
  <c r="FY106" i="28"/>
  <c r="FZ106" i="28"/>
  <c r="GA106" i="28"/>
  <c r="GB106" i="28"/>
  <c r="GC106" i="28"/>
  <c r="GD106" i="28"/>
  <c r="GE106" i="28"/>
  <c r="GF106" i="28"/>
  <c r="GG106" i="28"/>
  <c r="GH106" i="28"/>
  <c r="GI106" i="28"/>
  <c r="GJ106" i="28"/>
  <c r="GK106" i="28"/>
  <c r="GL106" i="28"/>
  <c r="GM106" i="28"/>
  <c r="GN106" i="28"/>
  <c r="GO106" i="28"/>
  <c r="BJ107" i="28"/>
  <c r="BK107" i="28"/>
  <c r="BL107" i="28"/>
  <c r="BM107" i="28"/>
  <c r="BN107" i="28"/>
  <c r="BO107" i="28"/>
  <c r="BP107" i="28"/>
  <c r="BQ107" i="28"/>
  <c r="BR107" i="28"/>
  <c r="BS107" i="28"/>
  <c r="BT107" i="28"/>
  <c r="BU107" i="28"/>
  <c r="BV107" i="28"/>
  <c r="BW107" i="28"/>
  <c r="BX107" i="28"/>
  <c r="BY107" i="28"/>
  <c r="BZ107" i="28"/>
  <c r="CA107" i="28"/>
  <c r="CB107" i="28"/>
  <c r="CC107" i="28"/>
  <c r="CD107" i="28"/>
  <c r="CE107" i="28"/>
  <c r="CF107" i="28"/>
  <c r="CG107" i="28"/>
  <c r="CH107" i="28"/>
  <c r="CI107" i="28"/>
  <c r="CJ107" i="28"/>
  <c r="CK107" i="28"/>
  <c r="CL107" i="28"/>
  <c r="CM107" i="28"/>
  <c r="CN107" i="28"/>
  <c r="CO107" i="28"/>
  <c r="CP107" i="28"/>
  <c r="CQ107" i="28"/>
  <c r="CR107" i="28"/>
  <c r="CS107" i="28"/>
  <c r="CT107" i="28"/>
  <c r="CU107" i="28"/>
  <c r="CV107" i="28"/>
  <c r="CW107" i="28"/>
  <c r="CX107" i="28"/>
  <c r="CY107" i="28"/>
  <c r="CZ107" i="28"/>
  <c r="DA107" i="28"/>
  <c r="DB107" i="28"/>
  <c r="DC107" i="28"/>
  <c r="DD107" i="28"/>
  <c r="DE107" i="28"/>
  <c r="DF107" i="28"/>
  <c r="DG107" i="28"/>
  <c r="DH107" i="28"/>
  <c r="DI107" i="28"/>
  <c r="DJ107" i="28"/>
  <c r="DK107" i="28"/>
  <c r="DL107" i="28"/>
  <c r="DM107" i="28"/>
  <c r="DN107" i="28"/>
  <c r="DO107" i="28"/>
  <c r="DP107" i="28"/>
  <c r="DQ107" i="28"/>
  <c r="DR107" i="28"/>
  <c r="DS107" i="28"/>
  <c r="DT107" i="28"/>
  <c r="DU107" i="28"/>
  <c r="DV107" i="28"/>
  <c r="DW107" i="28"/>
  <c r="DX107" i="28"/>
  <c r="DY107" i="28"/>
  <c r="DZ107" i="28"/>
  <c r="EA107" i="28"/>
  <c r="EB107" i="28"/>
  <c r="EC107" i="28"/>
  <c r="ED107" i="28"/>
  <c r="EI107" i="28"/>
  <c r="EJ107" i="28"/>
  <c r="EK107" i="28"/>
  <c r="EL107" i="28"/>
  <c r="EM107" i="28"/>
  <c r="EN107" i="28"/>
  <c r="EO107" i="28"/>
  <c r="EP107" i="28"/>
  <c r="EQ107" i="28"/>
  <c r="ER107" i="28"/>
  <c r="ES107" i="28"/>
  <c r="ET107" i="28"/>
  <c r="EU107" i="28"/>
  <c r="EV107" i="28"/>
  <c r="FB107" i="28"/>
  <c r="FC107" i="28"/>
  <c r="FD107" i="28"/>
  <c r="FE107" i="28"/>
  <c r="FF107" i="28"/>
  <c r="FH107" i="28"/>
  <c r="FI107" i="28"/>
  <c r="FJ107" i="28"/>
  <c r="FO107" i="28"/>
  <c r="FP107" i="28"/>
  <c r="FU107" i="28"/>
  <c r="FV107" i="28"/>
  <c r="FW107" i="28"/>
  <c r="FX107" i="28"/>
  <c r="FY107" i="28"/>
  <c r="FZ107" i="28"/>
  <c r="GA107" i="28"/>
  <c r="GB107" i="28"/>
  <c r="GC107" i="28"/>
  <c r="GD107" i="28"/>
  <c r="GE107" i="28"/>
  <c r="GF107" i="28"/>
  <c r="GG107" i="28"/>
  <c r="GO107" i="28"/>
  <c r="BJ108" i="28"/>
  <c r="BK108" i="28"/>
  <c r="BL108" i="28"/>
  <c r="BM108" i="28"/>
  <c r="BN108" i="28"/>
  <c r="BO108" i="28"/>
  <c r="BP108" i="28"/>
  <c r="BQ108" i="28"/>
  <c r="BR108" i="28"/>
  <c r="BS108" i="28"/>
  <c r="BT108" i="28"/>
  <c r="BU108" i="28"/>
  <c r="BV108" i="28"/>
  <c r="BW108" i="28"/>
  <c r="BX108" i="28"/>
  <c r="BY108" i="28"/>
  <c r="BZ108" i="28"/>
  <c r="CA108" i="28"/>
  <c r="CB108" i="28"/>
  <c r="CC108" i="28"/>
  <c r="CD108" i="28"/>
  <c r="CE108" i="28"/>
  <c r="CF108" i="28"/>
  <c r="CG108" i="28"/>
  <c r="CH108" i="28"/>
  <c r="CI108" i="28"/>
  <c r="CJ108" i="28"/>
  <c r="CK108" i="28"/>
  <c r="CL108" i="28"/>
  <c r="CM108" i="28"/>
  <c r="CN108" i="28"/>
  <c r="CO108" i="28"/>
  <c r="CP108" i="28"/>
  <c r="CQ108" i="28"/>
  <c r="CR108" i="28"/>
  <c r="CS108" i="28"/>
  <c r="CT108" i="28"/>
  <c r="CU108" i="28"/>
  <c r="CV108" i="28"/>
  <c r="CW108" i="28"/>
  <c r="CX108" i="28"/>
  <c r="CY108" i="28"/>
  <c r="CZ108" i="28"/>
  <c r="DA108" i="28"/>
  <c r="DB108" i="28"/>
  <c r="DC108" i="28"/>
  <c r="DD108" i="28"/>
  <c r="DE108" i="28"/>
  <c r="DF108" i="28"/>
  <c r="DG108" i="28"/>
  <c r="DH108" i="28"/>
  <c r="DI108" i="28"/>
  <c r="DJ108" i="28"/>
  <c r="DK108" i="28"/>
  <c r="DL108" i="28"/>
  <c r="DM108" i="28"/>
  <c r="DN108" i="28"/>
  <c r="DO108" i="28"/>
  <c r="DP108" i="28"/>
  <c r="DQ108" i="28"/>
  <c r="DR108" i="28"/>
  <c r="DS108" i="28"/>
  <c r="DT108" i="28"/>
  <c r="DU108" i="28"/>
  <c r="DV108" i="28"/>
  <c r="DW108" i="28"/>
  <c r="DX108" i="28"/>
  <c r="DY108" i="28"/>
  <c r="DZ108" i="28"/>
  <c r="EA108" i="28"/>
  <c r="EB108" i="28"/>
  <c r="EC108" i="28"/>
  <c r="ED108" i="28"/>
  <c r="EE108" i="28"/>
  <c r="EF108" i="28"/>
  <c r="EG108" i="28"/>
  <c r="EH108" i="28"/>
  <c r="EI108" i="28"/>
  <c r="EJ108" i="28"/>
  <c r="EK108" i="28"/>
  <c r="EL108" i="28"/>
  <c r="EM108" i="28"/>
  <c r="EN108" i="28"/>
  <c r="EO108" i="28"/>
  <c r="EP108" i="28"/>
  <c r="EQ108" i="28"/>
  <c r="ER108" i="28"/>
  <c r="ES108" i="28"/>
  <c r="ET108" i="28"/>
  <c r="EU108" i="28"/>
  <c r="EV108" i="28"/>
  <c r="EW108" i="28"/>
  <c r="EX108" i="28"/>
  <c r="EY108" i="28"/>
  <c r="EZ108" i="28"/>
  <c r="FA108" i="28"/>
  <c r="FB108" i="28"/>
  <c r="FC108" i="28"/>
  <c r="FD108" i="28"/>
  <c r="FE108" i="28"/>
  <c r="FF108" i="28"/>
  <c r="FG108" i="28"/>
  <c r="FH108" i="28"/>
  <c r="FI108" i="28"/>
  <c r="FJ108" i="28"/>
  <c r="FK108" i="28"/>
  <c r="FL108" i="28"/>
  <c r="FM108" i="28"/>
  <c r="FN108" i="28"/>
  <c r="FO108" i="28"/>
  <c r="FP108" i="28"/>
  <c r="FQ108" i="28"/>
  <c r="FR108" i="28"/>
  <c r="FS108" i="28"/>
  <c r="FT108" i="28"/>
  <c r="FU108" i="28"/>
  <c r="FV108" i="28"/>
  <c r="FW108" i="28"/>
  <c r="FX108" i="28"/>
  <c r="FY108" i="28"/>
  <c r="FZ108" i="28"/>
  <c r="GA108" i="28"/>
  <c r="GB108" i="28"/>
  <c r="GC108" i="28"/>
  <c r="GD108" i="28"/>
  <c r="GE108" i="28"/>
  <c r="GF108" i="28"/>
  <c r="GG108" i="28"/>
  <c r="GH108" i="28"/>
  <c r="GI108" i="28"/>
  <c r="GJ108" i="28"/>
  <c r="GK108" i="28"/>
  <c r="GL108" i="28"/>
  <c r="GM108" i="28"/>
  <c r="GN108" i="28"/>
  <c r="GO108" i="28"/>
  <c r="BJ109" i="28"/>
  <c r="BK109" i="28"/>
  <c r="BL109" i="28"/>
  <c r="BM109" i="28"/>
  <c r="BN109" i="28"/>
  <c r="BO109" i="28"/>
  <c r="BP109" i="28"/>
  <c r="BQ109" i="28"/>
  <c r="BR109" i="28"/>
  <c r="BS109" i="28"/>
  <c r="BT109" i="28"/>
  <c r="BU109" i="28"/>
  <c r="BV109" i="28"/>
  <c r="BW109" i="28"/>
  <c r="BX109" i="28"/>
  <c r="BY109" i="28"/>
  <c r="BZ109" i="28"/>
  <c r="CA109" i="28"/>
  <c r="CB109" i="28"/>
  <c r="CC109" i="28"/>
  <c r="CD109" i="28"/>
  <c r="CE109" i="28"/>
  <c r="CF109" i="28"/>
  <c r="CG109" i="28"/>
  <c r="CH109" i="28"/>
  <c r="CI109" i="28"/>
  <c r="CJ109" i="28"/>
  <c r="CK109" i="28"/>
  <c r="CL109" i="28"/>
  <c r="CM109" i="28"/>
  <c r="CN109" i="28"/>
  <c r="CO109" i="28"/>
  <c r="CP109" i="28"/>
  <c r="CQ109" i="28"/>
  <c r="CR109" i="28"/>
  <c r="CS109" i="28"/>
  <c r="CT109" i="28"/>
  <c r="CU109" i="28"/>
  <c r="CV109" i="28"/>
  <c r="CW109" i="28"/>
  <c r="CX109" i="28"/>
  <c r="CY109" i="28"/>
  <c r="CZ109" i="28"/>
  <c r="DA109" i="28"/>
  <c r="DB109" i="28"/>
  <c r="DC109" i="28"/>
  <c r="DD109" i="28"/>
  <c r="DE109" i="28"/>
  <c r="DF109" i="28"/>
  <c r="DG109" i="28"/>
  <c r="DH109" i="28"/>
  <c r="DI109" i="28"/>
  <c r="DJ109" i="28"/>
  <c r="DK109" i="28"/>
  <c r="DL109" i="28"/>
  <c r="DM109" i="28"/>
  <c r="DN109" i="28"/>
  <c r="DO109" i="28"/>
  <c r="DP109" i="28"/>
  <c r="DQ109" i="28"/>
  <c r="DR109" i="28"/>
  <c r="DS109" i="28"/>
  <c r="DT109" i="28"/>
  <c r="DU109" i="28"/>
  <c r="DV109" i="28"/>
  <c r="DW109" i="28"/>
  <c r="DX109" i="28"/>
  <c r="DY109" i="28"/>
  <c r="DZ109" i="28"/>
  <c r="EA109" i="28"/>
  <c r="EB109" i="28"/>
  <c r="EC109" i="28"/>
  <c r="ED109" i="28"/>
  <c r="EE109" i="28"/>
  <c r="EF109" i="28"/>
  <c r="EG109" i="28"/>
  <c r="EH109" i="28"/>
  <c r="EI109" i="28"/>
  <c r="EJ109" i="28"/>
  <c r="EK109" i="28"/>
  <c r="EL109" i="28"/>
  <c r="EM109" i="28"/>
  <c r="EN109" i="28"/>
  <c r="EO109" i="28"/>
  <c r="EP109" i="28"/>
  <c r="EQ109" i="28"/>
  <c r="ER109" i="28"/>
  <c r="ES109" i="28"/>
  <c r="ET109" i="28"/>
  <c r="EU109" i="28"/>
  <c r="EV109" i="28"/>
  <c r="EW109" i="28"/>
  <c r="EX109" i="28"/>
  <c r="EY109" i="28"/>
  <c r="EZ109" i="28"/>
  <c r="FA109" i="28"/>
  <c r="FB109" i="28"/>
  <c r="FC109" i="28"/>
  <c r="FD109" i="28"/>
  <c r="FE109" i="28"/>
  <c r="FF109" i="28"/>
  <c r="FG109" i="28"/>
  <c r="FK109" i="28"/>
  <c r="FL109" i="28"/>
  <c r="FM109" i="28"/>
  <c r="FN109" i="28"/>
  <c r="FO109" i="28"/>
  <c r="FP109" i="28"/>
  <c r="FQ109" i="28"/>
  <c r="FR109" i="28"/>
  <c r="FS109" i="28"/>
  <c r="FT109" i="28"/>
  <c r="FU109" i="28"/>
  <c r="FV109" i="28"/>
  <c r="FW109" i="28"/>
  <c r="FX109" i="28"/>
  <c r="FY109" i="28"/>
  <c r="FZ109" i="28"/>
  <c r="GA109" i="28"/>
  <c r="GB109" i="28"/>
  <c r="GC109" i="28"/>
  <c r="GD109" i="28"/>
  <c r="GE109" i="28"/>
  <c r="GF109" i="28"/>
  <c r="GG109" i="28"/>
  <c r="GH109" i="28"/>
  <c r="GI109" i="28"/>
  <c r="GJ109" i="28"/>
  <c r="GK109" i="28"/>
  <c r="GL109" i="28"/>
  <c r="GM109" i="28"/>
  <c r="GN109" i="28"/>
  <c r="GO109" i="28"/>
  <c r="BJ110" i="28"/>
  <c r="BK110" i="28"/>
  <c r="BL110" i="28"/>
  <c r="BM110" i="28"/>
  <c r="BN110" i="28"/>
  <c r="BO110" i="28"/>
  <c r="BP110" i="28"/>
  <c r="BQ110" i="28"/>
  <c r="BR110" i="28"/>
  <c r="BS110" i="28"/>
  <c r="BT110" i="28"/>
  <c r="BU110" i="28"/>
  <c r="BV110" i="28"/>
  <c r="BW110" i="28"/>
  <c r="BX110" i="28"/>
  <c r="BY110" i="28"/>
  <c r="BZ110" i="28"/>
  <c r="CA110" i="28"/>
  <c r="CB110" i="28"/>
  <c r="CC110" i="28"/>
  <c r="CD110" i="28"/>
  <c r="CE110" i="28"/>
  <c r="CF110" i="28"/>
  <c r="CG110" i="28"/>
  <c r="CH110" i="28"/>
  <c r="CI110" i="28"/>
  <c r="CJ110" i="28"/>
  <c r="CK110" i="28"/>
  <c r="CL110" i="28"/>
  <c r="CM110" i="28"/>
  <c r="CN110" i="28"/>
  <c r="CO110" i="28"/>
  <c r="CP110" i="28"/>
  <c r="CQ110" i="28"/>
  <c r="CR110" i="28"/>
  <c r="CS110" i="28"/>
  <c r="CT110" i="28"/>
  <c r="CU110" i="28"/>
  <c r="CV110" i="28"/>
  <c r="CW110" i="28"/>
  <c r="CX110" i="28"/>
  <c r="CY110" i="28"/>
  <c r="CZ110" i="28"/>
  <c r="DA110" i="28"/>
  <c r="DB110" i="28"/>
  <c r="DC110" i="28"/>
  <c r="DD110" i="28"/>
  <c r="DE110" i="28"/>
  <c r="DF110" i="28"/>
  <c r="DG110" i="28"/>
  <c r="DH110" i="28"/>
  <c r="DI110" i="28"/>
  <c r="DJ110" i="28"/>
  <c r="DK110" i="28"/>
  <c r="DL110" i="28"/>
  <c r="DM110" i="28"/>
  <c r="DN110" i="28"/>
  <c r="DO110" i="28"/>
  <c r="DP110" i="28"/>
  <c r="DQ110" i="28"/>
  <c r="DR110" i="28"/>
  <c r="DS110" i="28"/>
  <c r="DT110" i="28"/>
  <c r="DU110" i="28"/>
  <c r="DV110" i="28"/>
  <c r="DW110" i="28"/>
  <c r="DX110" i="28"/>
  <c r="DY110" i="28"/>
  <c r="DZ110" i="28"/>
  <c r="EA110" i="28"/>
  <c r="EB110" i="28"/>
  <c r="EC110" i="28"/>
  <c r="ED110" i="28"/>
  <c r="EE110" i="28"/>
  <c r="EF110" i="28"/>
  <c r="EG110" i="28"/>
  <c r="EH110" i="28"/>
  <c r="EI110" i="28"/>
  <c r="EJ110" i="28"/>
  <c r="EK110" i="28"/>
  <c r="EL110" i="28"/>
  <c r="EM110" i="28"/>
  <c r="EN110" i="28"/>
  <c r="EO110" i="28"/>
  <c r="EP110" i="28"/>
  <c r="EQ110" i="28"/>
  <c r="ER110" i="28"/>
  <c r="ES110" i="28"/>
  <c r="ET110" i="28"/>
  <c r="EU110" i="28"/>
  <c r="EV110" i="28"/>
  <c r="FB110" i="28"/>
  <c r="FC110" i="28"/>
  <c r="FD110" i="28"/>
  <c r="FE110" i="28"/>
  <c r="FF110" i="28"/>
  <c r="FH110" i="28"/>
  <c r="FI110" i="28"/>
  <c r="FJ110" i="28"/>
  <c r="FO110" i="28"/>
  <c r="FP110" i="28"/>
  <c r="FU110" i="28"/>
  <c r="FV110" i="28"/>
  <c r="FW110" i="28"/>
  <c r="FX110" i="28"/>
  <c r="FY110" i="28"/>
  <c r="FZ110" i="28"/>
  <c r="GA110" i="28"/>
  <c r="GB110" i="28"/>
  <c r="GC110" i="28"/>
  <c r="GD110" i="28"/>
  <c r="GE110" i="28"/>
  <c r="GF110" i="28"/>
  <c r="GG110" i="28"/>
  <c r="GO110" i="28"/>
  <c r="BJ111" i="28"/>
  <c r="BK111" i="28"/>
  <c r="BL111" i="28"/>
  <c r="BM111" i="28"/>
  <c r="BN111" i="28"/>
  <c r="BO111" i="28"/>
  <c r="BP111" i="28"/>
  <c r="BQ111" i="28"/>
  <c r="BR111" i="28"/>
  <c r="BS111" i="28"/>
  <c r="BT111" i="28"/>
  <c r="BU111" i="28"/>
  <c r="BV111" i="28"/>
  <c r="BW111" i="28"/>
  <c r="BX111" i="28"/>
  <c r="BY111" i="28"/>
  <c r="BZ111" i="28"/>
  <c r="CA111" i="28"/>
  <c r="CB111" i="28"/>
  <c r="CC111" i="28"/>
  <c r="CD111" i="28"/>
  <c r="CE111" i="28"/>
  <c r="CF111" i="28"/>
  <c r="CG111" i="28"/>
  <c r="CH111" i="28"/>
  <c r="CI111" i="28"/>
  <c r="CJ111" i="28"/>
  <c r="CK111" i="28"/>
  <c r="CL111" i="28"/>
  <c r="CM111" i="28"/>
  <c r="CN111" i="28"/>
  <c r="CO111" i="28"/>
  <c r="CP111" i="28"/>
  <c r="CQ111" i="28"/>
  <c r="CR111" i="28"/>
  <c r="CS111" i="28"/>
  <c r="CT111" i="28"/>
  <c r="CU111" i="28"/>
  <c r="CV111" i="28"/>
  <c r="CW111" i="28"/>
  <c r="CX111" i="28"/>
  <c r="CY111" i="28"/>
  <c r="CZ111" i="28"/>
  <c r="DA111" i="28"/>
  <c r="DB111" i="28"/>
  <c r="DC111" i="28"/>
  <c r="DD111" i="28"/>
  <c r="DE111" i="28"/>
  <c r="DF111" i="28"/>
  <c r="DG111" i="28"/>
  <c r="DH111" i="28"/>
  <c r="DI111" i="28"/>
  <c r="DJ111" i="28"/>
  <c r="DK111" i="28"/>
  <c r="DL111" i="28"/>
  <c r="DM111" i="28"/>
  <c r="DN111" i="28"/>
  <c r="DO111" i="28"/>
  <c r="DP111" i="28"/>
  <c r="DQ111" i="28"/>
  <c r="DR111" i="28"/>
  <c r="DS111" i="28"/>
  <c r="DT111" i="28"/>
  <c r="DU111" i="28"/>
  <c r="DV111" i="28"/>
  <c r="DW111" i="28"/>
  <c r="DX111" i="28"/>
  <c r="DY111" i="28"/>
  <c r="DZ111" i="28"/>
  <c r="EA111" i="28"/>
  <c r="EB111" i="28"/>
  <c r="EC111" i="28"/>
  <c r="ED111" i="28"/>
  <c r="EE111" i="28"/>
  <c r="EF111" i="28"/>
  <c r="EG111" i="28"/>
  <c r="EH111" i="28"/>
  <c r="EI111" i="28"/>
  <c r="EJ111" i="28"/>
  <c r="EK111" i="28"/>
  <c r="EL111" i="28"/>
  <c r="EM111" i="28"/>
  <c r="EN111" i="28"/>
  <c r="EO111" i="28"/>
  <c r="EP111" i="28"/>
  <c r="EQ111" i="28"/>
  <c r="ER111" i="28"/>
  <c r="ES111" i="28"/>
  <c r="ET111" i="28"/>
  <c r="EU111" i="28"/>
  <c r="EV111" i="28"/>
  <c r="EW111" i="28"/>
  <c r="EX111" i="28"/>
  <c r="EY111" i="28"/>
  <c r="EZ111" i="28"/>
  <c r="FA111" i="28"/>
  <c r="FB111" i="28"/>
  <c r="FC111" i="28"/>
  <c r="FD111" i="28"/>
  <c r="FE111" i="28"/>
  <c r="FF111" i="28"/>
  <c r="FG111" i="28"/>
  <c r="FH111" i="28"/>
  <c r="FI111" i="28"/>
  <c r="FJ111" i="28"/>
  <c r="FK111" i="28"/>
  <c r="FL111" i="28"/>
  <c r="FM111" i="28"/>
  <c r="FN111" i="28"/>
  <c r="FO111" i="28"/>
  <c r="FP111" i="28"/>
  <c r="FQ111" i="28"/>
  <c r="FR111" i="28"/>
  <c r="FS111" i="28"/>
  <c r="FT111" i="28"/>
  <c r="FU111" i="28"/>
  <c r="FV111" i="28"/>
  <c r="FW111" i="28"/>
  <c r="FX111" i="28"/>
  <c r="FY111" i="28"/>
  <c r="FZ111" i="28"/>
  <c r="GA111" i="28"/>
  <c r="GB111" i="28"/>
  <c r="GC111" i="28"/>
  <c r="GD111" i="28"/>
  <c r="GE111" i="28"/>
  <c r="GF111" i="28"/>
  <c r="GG111" i="28"/>
  <c r="GH111" i="28"/>
  <c r="GI111" i="28"/>
  <c r="GJ111" i="28"/>
  <c r="GK111" i="28"/>
  <c r="GL111" i="28"/>
  <c r="GM111" i="28"/>
  <c r="GN111" i="28"/>
  <c r="GO111" i="28"/>
  <c r="BJ112" i="28"/>
  <c r="BK112" i="28"/>
  <c r="BL112" i="28"/>
  <c r="BM112" i="28"/>
  <c r="BN112" i="28"/>
  <c r="BO112" i="28"/>
  <c r="BP112" i="28"/>
  <c r="BQ112" i="28"/>
  <c r="BR112" i="28"/>
  <c r="BS112" i="28"/>
  <c r="BT112" i="28"/>
  <c r="BU112" i="28"/>
  <c r="BV112" i="28"/>
  <c r="BW112" i="28"/>
  <c r="BX112" i="28"/>
  <c r="BY112" i="28"/>
  <c r="BZ112" i="28"/>
  <c r="CA112" i="28"/>
  <c r="CB112" i="28"/>
  <c r="CC112" i="28"/>
  <c r="CD112" i="28"/>
  <c r="CE112" i="28"/>
  <c r="CF112" i="28"/>
  <c r="CG112" i="28"/>
  <c r="CH112" i="28"/>
  <c r="CI112" i="28"/>
  <c r="CJ112" i="28"/>
  <c r="CK112" i="28"/>
  <c r="CL112" i="28"/>
  <c r="CM112" i="28"/>
  <c r="CN112" i="28"/>
  <c r="CO112" i="28"/>
  <c r="CP112" i="28"/>
  <c r="CQ112" i="28"/>
  <c r="CR112" i="28"/>
  <c r="CS112" i="28"/>
  <c r="CT112" i="28"/>
  <c r="CU112" i="28"/>
  <c r="CV112" i="28"/>
  <c r="CW112" i="28"/>
  <c r="CX112" i="28"/>
  <c r="CY112" i="28"/>
  <c r="CZ112" i="28"/>
  <c r="DA112" i="28"/>
  <c r="DB112" i="28"/>
  <c r="DC112" i="28"/>
  <c r="DD112" i="28"/>
  <c r="DE112" i="28"/>
  <c r="DF112" i="28"/>
  <c r="DG112" i="28"/>
  <c r="DH112" i="28"/>
  <c r="DI112" i="28"/>
  <c r="DJ112" i="28"/>
  <c r="DK112" i="28"/>
  <c r="DL112" i="28"/>
  <c r="DM112" i="28"/>
  <c r="DN112" i="28"/>
  <c r="DO112" i="28"/>
  <c r="DP112" i="28"/>
  <c r="DQ112" i="28"/>
  <c r="DR112" i="28"/>
  <c r="DS112" i="28"/>
  <c r="DT112" i="28"/>
  <c r="DU112" i="28"/>
  <c r="DV112" i="28"/>
  <c r="DW112" i="28"/>
  <c r="DX112" i="28"/>
  <c r="DY112" i="28"/>
  <c r="DZ112" i="28"/>
  <c r="EA112" i="28"/>
  <c r="EB112" i="28"/>
  <c r="EC112" i="28"/>
  <c r="ED112" i="28"/>
  <c r="EE112" i="28"/>
  <c r="EF112" i="28"/>
  <c r="EG112" i="28"/>
  <c r="EH112" i="28"/>
  <c r="EI112" i="28"/>
  <c r="EJ112" i="28"/>
  <c r="EK112" i="28"/>
  <c r="EL112" i="28"/>
  <c r="EM112" i="28"/>
  <c r="EN112" i="28"/>
  <c r="EO112" i="28"/>
  <c r="EP112" i="28"/>
  <c r="EQ112" i="28"/>
  <c r="ER112" i="28"/>
  <c r="ES112" i="28"/>
  <c r="ET112" i="28"/>
  <c r="EU112" i="28"/>
  <c r="EV112" i="28"/>
  <c r="EW112" i="28"/>
  <c r="EX112" i="28"/>
  <c r="EY112" i="28"/>
  <c r="EZ112" i="28"/>
  <c r="FA112" i="28"/>
  <c r="FB112" i="28"/>
  <c r="FC112" i="28"/>
  <c r="FD112" i="28"/>
  <c r="FE112" i="28"/>
  <c r="FF112" i="28"/>
  <c r="FG112" i="28"/>
  <c r="FH112" i="28"/>
  <c r="FI112" i="28"/>
  <c r="FJ112" i="28"/>
  <c r="FK112" i="28"/>
  <c r="FL112" i="28"/>
  <c r="FM112" i="28"/>
  <c r="FN112" i="28"/>
  <c r="FO112" i="28"/>
  <c r="FP112" i="28"/>
  <c r="FQ112" i="28"/>
  <c r="FR112" i="28"/>
  <c r="FS112" i="28"/>
  <c r="FT112" i="28"/>
  <c r="FU112" i="28"/>
  <c r="FV112" i="28"/>
  <c r="FW112" i="28"/>
  <c r="FX112" i="28"/>
  <c r="FY112" i="28"/>
  <c r="FZ112" i="28"/>
  <c r="GA112" i="28"/>
  <c r="GB112" i="28"/>
  <c r="GC112" i="28"/>
  <c r="GD112" i="28"/>
  <c r="GE112" i="28"/>
  <c r="GF112" i="28"/>
  <c r="GG112" i="28"/>
  <c r="GH112" i="28"/>
  <c r="GI112" i="28"/>
  <c r="GJ112" i="28"/>
  <c r="GK112" i="28"/>
  <c r="GL112" i="28"/>
  <c r="GM112" i="28"/>
  <c r="GN112" i="28"/>
  <c r="GO112" i="28"/>
  <c r="BJ113" i="28"/>
  <c r="BK113" i="28"/>
  <c r="BL113" i="28"/>
  <c r="BM113" i="28"/>
  <c r="BN113" i="28"/>
  <c r="BO113" i="28"/>
  <c r="BP113" i="28"/>
  <c r="BQ113" i="28"/>
  <c r="BR113" i="28"/>
  <c r="BS113" i="28"/>
  <c r="BT113" i="28"/>
  <c r="BU113" i="28"/>
  <c r="BV113" i="28"/>
  <c r="BW113" i="28"/>
  <c r="BX113" i="28"/>
  <c r="BY113" i="28"/>
  <c r="BZ113" i="28"/>
  <c r="CA113" i="28"/>
  <c r="CB113" i="28"/>
  <c r="CC113" i="28"/>
  <c r="CD113" i="28"/>
  <c r="CE113" i="28"/>
  <c r="CF113" i="28"/>
  <c r="CG113" i="28"/>
  <c r="CH113" i="28"/>
  <c r="CI113" i="28"/>
  <c r="CJ113" i="28"/>
  <c r="CK113" i="28"/>
  <c r="CL113" i="28"/>
  <c r="CM113" i="28"/>
  <c r="CN113" i="28"/>
  <c r="CO113" i="28"/>
  <c r="CP113" i="28"/>
  <c r="CQ113" i="28"/>
  <c r="CR113" i="28"/>
  <c r="CS113" i="28"/>
  <c r="CT113" i="28"/>
  <c r="CU113" i="28"/>
  <c r="CV113" i="28"/>
  <c r="CW113" i="28"/>
  <c r="CX113" i="28"/>
  <c r="CY113" i="28"/>
  <c r="CZ113" i="28"/>
  <c r="DA113" i="28"/>
  <c r="DB113" i="28"/>
  <c r="DC113" i="28"/>
  <c r="DD113" i="28"/>
  <c r="DE113" i="28"/>
  <c r="DF113" i="28"/>
  <c r="DG113" i="28"/>
  <c r="DH113" i="28"/>
  <c r="DI113" i="28"/>
  <c r="DJ113" i="28"/>
  <c r="DK113" i="28"/>
  <c r="DL113" i="28"/>
  <c r="DM113" i="28"/>
  <c r="DN113" i="28"/>
  <c r="DO113" i="28"/>
  <c r="DP113" i="28"/>
  <c r="DQ113" i="28"/>
  <c r="DR113" i="28"/>
  <c r="DS113" i="28"/>
  <c r="DT113" i="28"/>
  <c r="DU113" i="28"/>
  <c r="DV113" i="28"/>
  <c r="DW113" i="28"/>
  <c r="DX113" i="28"/>
  <c r="DY113" i="28"/>
  <c r="DZ113" i="28"/>
  <c r="EA113" i="28"/>
  <c r="EB113" i="28"/>
  <c r="EC113" i="28"/>
  <c r="ED113" i="28"/>
  <c r="EE113" i="28"/>
  <c r="EF113" i="28"/>
  <c r="EG113" i="28"/>
  <c r="EH113" i="28"/>
  <c r="EI113" i="28"/>
  <c r="EJ113" i="28"/>
  <c r="EK113" i="28"/>
  <c r="EL113" i="28"/>
  <c r="EM113" i="28"/>
  <c r="EN113" i="28"/>
  <c r="EO113" i="28"/>
  <c r="EP113" i="28"/>
  <c r="EQ113" i="28"/>
  <c r="ER113" i="28"/>
  <c r="ES113" i="28"/>
  <c r="ET113" i="28"/>
  <c r="EU113" i="28"/>
  <c r="EV113" i="28"/>
  <c r="EW113" i="28"/>
  <c r="EX113" i="28"/>
  <c r="EY113" i="28"/>
  <c r="EZ113" i="28"/>
  <c r="FA113" i="28"/>
  <c r="FB113" i="28"/>
  <c r="FC113" i="28"/>
  <c r="FD113" i="28"/>
  <c r="FE113" i="28"/>
  <c r="FF113" i="28"/>
  <c r="FH113" i="28"/>
  <c r="FI113" i="28"/>
  <c r="FJ113" i="28"/>
  <c r="FK113" i="28"/>
  <c r="FL113" i="28"/>
  <c r="FM113" i="28"/>
  <c r="FO113" i="28"/>
  <c r="FP113" i="28"/>
  <c r="FQ113" i="28"/>
  <c r="FR113" i="28"/>
  <c r="FS113" i="28"/>
  <c r="FT113" i="28"/>
  <c r="FU113" i="28"/>
  <c r="FV113" i="28"/>
  <c r="FW113" i="28"/>
  <c r="FX113" i="28"/>
  <c r="FY113" i="28"/>
  <c r="FZ113" i="28"/>
  <c r="GA113" i="28"/>
  <c r="GB113" i="28"/>
  <c r="GC113" i="28"/>
  <c r="GD113" i="28"/>
  <c r="GE113" i="28"/>
  <c r="GF113" i="28"/>
  <c r="GO113" i="28"/>
  <c r="J1" i="28"/>
  <c r="K1" i="28"/>
  <c r="L1" i="28"/>
  <c r="M1" i="28"/>
  <c r="N1" i="28"/>
  <c r="O1" i="28"/>
  <c r="P1" i="28"/>
  <c r="Q1" i="28"/>
  <c r="R1" i="28"/>
  <c r="S1" i="28"/>
  <c r="T1" i="28"/>
  <c r="U1" i="28"/>
  <c r="V1" i="28"/>
  <c r="W1" i="28"/>
  <c r="X1" i="28"/>
  <c r="Y1" i="28"/>
  <c r="Z1" i="28"/>
  <c r="AA1" i="28"/>
  <c r="AB1" i="28"/>
  <c r="AC1" i="28"/>
  <c r="AD1" i="28"/>
  <c r="AE1" i="28"/>
  <c r="AF1" i="28"/>
  <c r="AG1" i="28"/>
  <c r="AH1" i="28"/>
  <c r="AI1" i="28"/>
  <c r="AJ1" i="28"/>
  <c r="AK1" i="28"/>
  <c r="AL1" i="28"/>
  <c r="AM1" i="28"/>
  <c r="AN1" i="28"/>
  <c r="AO1" i="28"/>
  <c r="AP1" i="28"/>
  <c r="AQ1" i="28"/>
  <c r="AR1" i="28"/>
  <c r="AS1" i="28"/>
  <c r="AT1" i="28"/>
  <c r="AU1" i="28"/>
  <c r="AV1" i="28"/>
  <c r="AW1" i="28"/>
  <c r="AX1" i="28"/>
  <c r="AY1" i="28"/>
  <c r="AZ1" i="28"/>
  <c r="BA1" i="28"/>
  <c r="BB1" i="28"/>
  <c r="BC1" i="28"/>
  <c r="BD1" i="28"/>
  <c r="BE1" i="28"/>
  <c r="BF1" i="28"/>
  <c r="BG1" i="28"/>
  <c r="BH1" i="28"/>
  <c r="BI1" i="28"/>
  <c r="BJ1" i="28"/>
  <c r="BK1" i="28"/>
  <c r="BL1" i="28"/>
  <c r="BM1" i="28"/>
  <c r="BN1" i="28"/>
  <c r="BO1" i="28"/>
  <c r="BP1" i="28"/>
  <c r="BQ1" i="28"/>
  <c r="BR1" i="28"/>
  <c r="BS1" i="28"/>
  <c r="BT1" i="28"/>
  <c r="BU1" i="28"/>
  <c r="BV1" i="28"/>
  <c r="BW1" i="28"/>
  <c r="BX1" i="28"/>
  <c r="BY1" i="28"/>
  <c r="BZ1" i="28"/>
  <c r="CA1" i="28"/>
  <c r="CB1" i="28"/>
  <c r="CC1" i="28"/>
  <c r="CD1" i="28"/>
  <c r="CE1" i="28"/>
  <c r="CF1" i="28"/>
  <c r="CG1" i="28"/>
  <c r="CH1" i="28"/>
  <c r="CI1" i="28"/>
  <c r="CJ1" i="28"/>
  <c r="CK1" i="28"/>
  <c r="CL1" i="28"/>
  <c r="CM1" i="28"/>
  <c r="CN1" i="28"/>
  <c r="CO1" i="28"/>
  <c r="CP1" i="28"/>
  <c r="CQ1" i="28"/>
  <c r="CR1" i="28"/>
  <c r="CS1" i="28"/>
  <c r="CT1" i="28"/>
  <c r="CU1" i="28"/>
  <c r="CV1" i="28"/>
  <c r="CW1" i="28"/>
  <c r="CX1" i="28"/>
  <c r="CY1" i="28"/>
  <c r="CZ1" i="28"/>
  <c r="DA1" i="28"/>
  <c r="DB1" i="28"/>
  <c r="DC1" i="28"/>
  <c r="DD1" i="28"/>
  <c r="DE1" i="28"/>
  <c r="DF1" i="28"/>
  <c r="DG1" i="28"/>
  <c r="DH1" i="28"/>
  <c r="DI1" i="28"/>
  <c r="DJ1" i="28"/>
  <c r="DK1" i="28"/>
  <c r="DL1" i="28"/>
  <c r="DM1" i="28"/>
  <c r="DN1" i="28"/>
  <c r="DO1" i="28"/>
  <c r="DP1" i="28"/>
  <c r="DQ1" i="28"/>
  <c r="DR1" i="28"/>
  <c r="DS1" i="28"/>
  <c r="DT1" i="28"/>
  <c r="DU1" i="28"/>
  <c r="DV1" i="28"/>
  <c r="DW1" i="28"/>
  <c r="DX1" i="28"/>
  <c r="DY1" i="28"/>
  <c r="DZ1" i="28"/>
  <c r="EA1" i="28"/>
  <c r="EB1" i="28"/>
  <c r="EC1" i="28"/>
  <c r="ED1" i="28"/>
  <c r="EE1" i="28"/>
  <c r="EF1" i="28"/>
  <c r="EG1" i="28"/>
  <c r="EH1" i="28"/>
  <c r="EI1" i="28"/>
  <c r="EJ1" i="28"/>
  <c r="EK1" i="28"/>
  <c r="EL1" i="28"/>
  <c r="EM1" i="28"/>
  <c r="EN1" i="28"/>
  <c r="EO1" i="28"/>
  <c r="EP1" i="28"/>
  <c r="EQ1" i="28"/>
  <c r="ER1" i="28"/>
  <c r="ES1" i="28"/>
  <c r="ET1" i="28"/>
  <c r="EU1" i="28"/>
  <c r="EV1" i="28"/>
  <c r="EW1" i="28"/>
  <c r="EX1" i="28"/>
  <c r="EY1" i="28"/>
  <c r="EZ1" i="28"/>
  <c r="FB1" i="28"/>
  <c r="FC1" i="28"/>
  <c r="FD1" i="28"/>
  <c r="FE1" i="28"/>
  <c r="FF1" i="28"/>
  <c r="FG1" i="28"/>
  <c r="FH1" i="28"/>
  <c r="FI1" i="28"/>
  <c r="FJ1" i="28"/>
  <c r="FK1" i="28"/>
  <c r="FL1" i="28"/>
  <c r="FM1" i="28"/>
  <c r="FN1" i="28"/>
  <c r="FO1" i="28"/>
  <c r="FP1" i="28"/>
  <c r="FQ1" i="28"/>
  <c r="FR1" i="28"/>
  <c r="FS1" i="28"/>
  <c r="FT1" i="28"/>
  <c r="FU1" i="28"/>
  <c r="FV1" i="28"/>
  <c r="FW1" i="28"/>
  <c r="FX1" i="28"/>
  <c r="FY1" i="28"/>
  <c r="FZ1" i="28"/>
  <c r="GA1" i="28"/>
  <c r="GB1" i="28"/>
  <c r="GC1" i="28"/>
  <c r="GD1" i="28"/>
  <c r="GE1" i="28"/>
  <c r="GF1" i="28"/>
  <c r="GG1" i="28"/>
  <c r="GH1" i="28"/>
  <c r="GI1" i="28"/>
  <c r="GJ1" i="28"/>
  <c r="GK1" i="28"/>
  <c r="GL1" i="28"/>
  <c r="GN1" i="28"/>
  <c r="GO1" i="28"/>
  <c r="J2" i="28"/>
  <c r="K2" i="28"/>
  <c r="L2" i="28"/>
  <c r="M2" i="28"/>
  <c r="N2" i="28"/>
  <c r="O2" i="28"/>
  <c r="P2" i="28"/>
  <c r="Q2" i="28"/>
  <c r="R2" i="28"/>
  <c r="S2" i="28"/>
  <c r="T2" i="28"/>
  <c r="U2" i="28"/>
  <c r="V2" i="28"/>
  <c r="W2" i="28"/>
  <c r="X2" i="28"/>
  <c r="Y2" i="28"/>
  <c r="Z2" i="28"/>
  <c r="AA2" i="28"/>
  <c r="AB2" i="28"/>
  <c r="AC2" i="28"/>
  <c r="AD2" i="28"/>
  <c r="AE2" i="28"/>
  <c r="AF2" i="28"/>
  <c r="AG2" i="28"/>
  <c r="AH2" i="28"/>
  <c r="AI2" i="28"/>
  <c r="AJ2" i="28"/>
  <c r="AK2" i="28"/>
  <c r="AL2" i="28"/>
  <c r="AM2" i="28"/>
  <c r="AN2" i="28"/>
  <c r="AO2" i="28"/>
  <c r="AP2" i="28"/>
  <c r="AQ2" i="28"/>
  <c r="AR2" i="28"/>
  <c r="AS2" i="28"/>
  <c r="AT2" i="28"/>
  <c r="AU2" i="28"/>
  <c r="AV2" i="28"/>
  <c r="AW2" i="28"/>
  <c r="AX2" i="28"/>
  <c r="AY2" i="28"/>
  <c r="AZ2" i="28"/>
  <c r="BA2" i="28"/>
  <c r="BB2" i="28"/>
  <c r="BC2" i="28"/>
  <c r="BD2" i="28"/>
  <c r="BE2" i="28"/>
  <c r="BF2" i="28"/>
  <c r="BG2" i="28"/>
  <c r="BH2" i="28"/>
  <c r="BI2" i="28"/>
  <c r="BJ2" i="28"/>
  <c r="BK2" i="28"/>
  <c r="BL2" i="28"/>
  <c r="BM2" i="28"/>
  <c r="BN2" i="28"/>
  <c r="BO2" i="28"/>
  <c r="BP2" i="28"/>
  <c r="BQ2" i="28"/>
  <c r="BR2" i="28"/>
  <c r="BS2" i="28"/>
  <c r="BT2" i="28"/>
  <c r="BU2" i="28"/>
  <c r="BV2" i="28"/>
  <c r="BW2" i="28"/>
  <c r="BX2" i="28"/>
  <c r="BY2" i="28"/>
  <c r="BZ2" i="28"/>
  <c r="CA2" i="28"/>
  <c r="CB2" i="28"/>
  <c r="CC2" i="28"/>
  <c r="CD2" i="28"/>
  <c r="CE2" i="28"/>
  <c r="CF2" i="28"/>
  <c r="CG2" i="28"/>
  <c r="CH2" i="28"/>
  <c r="CI2" i="28"/>
  <c r="CJ2" i="28"/>
  <c r="CK2" i="28"/>
  <c r="CL2" i="28"/>
  <c r="CM2" i="28"/>
  <c r="CN2" i="28"/>
  <c r="CO2" i="28"/>
  <c r="CP2" i="28"/>
  <c r="CQ2" i="28"/>
  <c r="CR2" i="28"/>
  <c r="CS2" i="28"/>
  <c r="CT2" i="28"/>
  <c r="CU2" i="28"/>
  <c r="CV2" i="28"/>
  <c r="CW2" i="28"/>
  <c r="CX2" i="28"/>
  <c r="CY2" i="28"/>
  <c r="CZ2" i="28"/>
  <c r="DA2" i="28"/>
  <c r="DB2" i="28"/>
  <c r="DC2" i="28"/>
  <c r="DD2" i="28"/>
  <c r="DE2" i="28"/>
  <c r="DF2" i="28"/>
  <c r="DG2" i="28"/>
  <c r="DH2" i="28"/>
  <c r="DI2" i="28"/>
  <c r="DJ2" i="28"/>
  <c r="DK2" i="28"/>
  <c r="DL2" i="28"/>
  <c r="DM2" i="28"/>
  <c r="DN2" i="28"/>
  <c r="DO2" i="28"/>
  <c r="DP2" i="28"/>
  <c r="DQ2" i="28"/>
  <c r="DR2" i="28"/>
  <c r="DS2" i="28"/>
  <c r="DT2" i="28"/>
  <c r="DU2" i="28"/>
  <c r="DV2" i="28"/>
  <c r="DW2" i="28"/>
  <c r="DX2" i="28"/>
  <c r="DY2" i="28"/>
  <c r="DZ2" i="28"/>
  <c r="EA2" i="28"/>
  <c r="EB2" i="28"/>
  <c r="EC2" i="28"/>
  <c r="ED2" i="28"/>
  <c r="EE2" i="28"/>
  <c r="EF2" i="28"/>
  <c r="EG2" i="28"/>
  <c r="EH2" i="28"/>
  <c r="EI2" i="28"/>
  <c r="EJ2" i="28"/>
  <c r="EK2" i="28"/>
  <c r="EL2" i="28"/>
  <c r="EM2" i="28"/>
  <c r="EN2" i="28"/>
  <c r="EO2" i="28"/>
  <c r="EP2" i="28"/>
  <c r="EQ2" i="28"/>
  <c r="ER2" i="28"/>
  <c r="ES2" i="28"/>
  <c r="ET2" i="28"/>
  <c r="EU2" i="28"/>
  <c r="EV2" i="28"/>
  <c r="EW2" i="28"/>
  <c r="EX2" i="28"/>
  <c r="EY2" i="28"/>
  <c r="EZ2" i="28"/>
  <c r="FA2" i="28"/>
  <c r="FB2" i="28"/>
  <c r="FC2" i="28"/>
  <c r="FD2" i="28"/>
  <c r="FE2" i="28"/>
  <c r="FF2" i="28"/>
  <c r="FG2" i="28"/>
  <c r="FH2" i="28"/>
  <c r="FI2" i="28"/>
  <c r="FJ2" i="28"/>
  <c r="FK2" i="28"/>
  <c r="FL2" i="28"/>
  <c r="FM2" i="28"/>
  <c r="FN2" i="28"/>
  <c r="FO2" i="28"/>
  <c r="FP2" i="28"/>
  <c r="FQ2" i="28"/>
  <c r="FR2" i="28"/>
  <c r="FS2" i="28"/>
  <c r="FT2" i="28"/>
  <c r="FU2" i="28"/>
  <c r="FV2" i="28"/>
  <c r="FW2" i="28"/>
  <c r="FX2" i="28"/>
  <c r="FY2" i="28"/>
  <c r="FZ2" i="28"/>
  <c r="GA2" i="28"/>
  <c r="GB2" i="28"/>
  <c r="GC2" i="28"/>
  <c r="GD2" i="28"/>
  <c r="GE2" i="28"/>
  <c r="GF2" i="28"/>
  <c r="GG2" i="28"/>
  <c r="GH2" i="28"/>
  <c r="GI2" i="28"/>
  <c r="GJ2" i="28"/>
  <c r="GK2" i="28"/>
  <c r="GL2" i="28"/>
  <c r="GM2" i="28"/>
  <c r="GN2" i="28"/>
  <c r="GO2" i="28"/>
  <c r="I2" i="28"/>
  <c r="I1" i="28"/>
  <c r="K3" i="28"/>
  <c r="L3" i="28"/>
  <c r="M3" i="28"/>
  <c r="N3" i="28"/>
  <c r="O3" i="28"/>
  <c r="P3" i="28"/>
  <c r="Q3" i="28"/>
  <c r="R3" i="28"/>
  <c r="S3" i="28"/>
  <c r="T3" i="28"/>
  <c r="U3" i="28"/>
  <c r="V3" i="28"/>
  <c r="W3" i="28"/>
  <c r="X3" i="28"/>
  <c r="Y3" i="28"/>
  <c r="Z3" i="28"/>
  <c r="AA3" i="28"/>
  <c r="AB3" i="28"/>
  <c r="AC3" i="28"/>
  <c r="AD3" i="28"/>
  <c r="AE3" i="28"/>
  <c r="AF3" i="28"/>
  <c r="AG3" i="28"/>
  <c r="AH3" i="28"/>
  <c r="AI3" i="28"/>
  <c r="AJ3" i="28"/>
  <c r="AK3" i="28"/>
  <c r="AL3" i="28"/>
  <c r="AM3" i="28"/>
  <c r="AN3" i="28"/>
  <c r="AO3" i="28"/>
  <c r="AP3" i="28"/>
  <c r="AQ3" i="28"/>
  <c r="AR3" i="28"/>
  <c r="AS3" i="28"/>
  <c r="AT3" i="28"/>
  <c r="AU3" i="28"/>
  <c r="AV3" i="28"/>
  <c r="AW3" i="28"/>
  <c r="AX3" i="28"/>
  <c r="AY3" i="28"/>
  <c r="AZ3" i="28"/>
  <c r="BA3" i="28"/>
  <c r="BB3" i="28"/>
  <c r="BC3" i="28"/>
  <c r="BD3" i="28"/>
  <c r="BE3" i="28"/>
  <c r="BF3" i="28"/>
  <c r="BG3" i="28"/>
  <c r="BH3" i="28"/>
  <c r="BI3" i="28"/>
  <c r="K4" i="28"/>
  <c r="L4" i="28"/>
  <c r="M4" i="28"/>
  <c r="O4" i="28"/>
  <c r="P4" i="28"/>
  <c r="Q4" i="28"/>
  <c r="R4" i="28"/>
  <c r="T4" i="28"/>
  <c r="U4" i="28"/>
  <c r="Y4" i="28"/>
  <c r="Z4" i="28"/>
  <c r="AA4" i="28"/>
  <c r="AF4" i="28"/>
  <c r="AG4" i="28"/>
  <c r="AH4" i="28"/>
  <c r="AI4" i="28"/>
  <c r="AJ4" i="28"/>
  <c r="AK4" i="28"/>
  <c r="AL4" i="28"/>
  <c r="AM4" i="28"/>
  <c r="AN4" i="28"/>
  <c r="AP4" i="28"/>
  <c r="AQ4" i="28"/>
  <c r="AR4" i="28"/>
  <c r="K5" i="28"/>
  <c r="L5" i="28"/>
  <c r="M5" i="28"/>
  <c r="N5" i="28"/>
  <c r="O5" i="28"/>
  <c r="P5" i="28"/>
  <c r="Q5" i="28"/>
  <c r="R5" i="28"/>
  <c r="S5" i="28"/>
  <c r="T5" i="28"/>
  <c r="U5" i="28"/>
  <c r="V5" i="28"/>
  <c r="W5" i="28"/>
  <c r="X5" i="28"/>
  <c r="Y5" i="28"/>
  <c r="Z5" i="28"/>
  <c r="AA5" i="28"/>
  <c r="AB5" i="28"/>
  <c r="AC5" i="28"/>
  <c r="AD5" i="28"/>
  <c r="AE5" i="28"/>
  <c r="AF5" i="28"/>
  <c r="AG5" i="28"/>
  <c r="AH5" i="28"/>
  <c r="AI5" i="28"/>
  <c r="AJ5" i="28"/>
  <c r="AK5" i="28"/>
  <c r="AL5" i="28"/>
  <c r="AM5" i="28"/>
  <c r="AN5" i="28"/>
  <c r="AO5" i="28"/>
  <c r="AP5" i="28"/>
  <c r="AQ5" i="28"/>
  <c r="AR5" i="28"/>
  <c r="AS5" i="28"/>
  <c r="AT5" i="28"/>
  <c r="AU5" i="28"/>
  <c r="AV5" i="28"/>
  <c r="AW5" i="28"/>
  <c r="AX5" i="28"/>
  <c r="AY5" i="28"/>
  <c r="AZ5" i="28"/>
  <c r="BA5" i="28"/>
  <c r="BB5" i="28"/>
  <c r="BC5" i="28"/>
  <c r="BD5" i="28"/>
  <c r="BE5" i="28"/>
  <c r="BF5" i="28"/>
  <c r="BG5" i="28"/>
  <c r="BH5" i="28"/>
  <c r="BI5" i="28"/>
  <c r="K6" i="28"/>
  <c r="L6" i="28"/>
  <c r="M6" i="28"/>
  <c r="O6" i="28"/>
  <c r="P6" i="28"/>
  <c r="Q6" i="28"/>
  <c r="R6" i="28"/>
  <c r="T6" i="28"/>
  <c r="U6" i="28"/>
  <c r="Y6" i="28"/>
  <c r="Z6" i="28"/>
  <c r="AA6" i="28"/>
  <c r="AF6" i="28"/>
  <c r="AG6" i="28"/>
  <c r="AH6" i="28"/>
  <c r="AI6" i="28"/>
  <c r="AJ6" i="28"/>
  <c r="AK6" i="28"/>
  <c r="AL6" i="28"/>
  <c r="AM6" i="28"/>
  <c r="AN6" i="28"/>
  <c r="AP6" i="28"/>
  <c r="AQ6" i="28"/>
  <c r="AR6" i="28"/>
  <c r="K7" i="28"/>
  <c r="L7" i="28"/>
  <c r="M7" i="28"/>
  <c r="O7" i="28"/>
  <c r="P7" i="28"/>
  <c r="Q7" i="28"/>
  <c r="R7" i="28"/>
  <c r="T7" i="28"/>
  <c r="U7" i="28"/>
  <c r="Y7" i="28"/>
  <c r="Z7" i="28"/>
  <c r="AA7" i="28"/>
  <c r="AF7" i="28"/>
  <c r="AG7" i="28"/>
  <c r="AH7" i="28"/>
  <c r="AI7" i="28"/>
  <c r="AJ7" i="28"/>
  <c r="AK7" i="28"/>
  <c r="AL7" i="28"/>
  <c r="AM7" i="28"/>
  <c r="AN7" i="28"/>
  <c r="AP7" i="28"/>
  <c r="AQ7" i="28"/>
  <c r="AR7" i="28"/>
  <c r="K8" i="28"/>
  <c r="L8" i="28"/>
  <c r="M8" i="28"/>
  <c r="N8" i="28"/>
  <c r="O8" i="28"/>
  <c r="P8" i="28"/>
  <c r="Q8" i="28"/>
  <c r="R8" i="28"/>
  <c r="S8" i="28"/>
  <c r="T8" i="28"/>
  <c r="U8" i="28"/>
  <c r="V8" i="28"/>
  <c r="W8" i="28"/>
  <c r="X8" i="28"/>
  <c r="Y8" i="28"/>
  <c r="Z8" i="28"/>
  <c r="AA8" i="28"/>
  <c r="AB8" i="28"/>
  <c r="AC8" i="28"/>
  <c r="AD8" i="28"/>
  <c r="AE8" i="28"/>
  <c r="AF8" i="28"/>
  <c r="AG8" i="28"/>
  <c r="AH8" i="28"/>
  <c r="AI8" i="28"/>
  <c r="AJ8" i="28"/>
  <c r="AK8" i="28"/>
  <c r="AL8" i="28"/>
  <c r="AM8" i="28"/>
  <c r="AN8" i="28"/>
  <c r="AO8" i="28"/>
  <c r="AP8" i="28"/>
  <c r="AQ8" i="28"/>
  <c r="AR8" i="28"/>
  <c r="AS8" i="28"/>
  <c r="AT8" i="28"/>
  <c r="AU8" i="28"/>
  <c r="AV8" i="28"/>
  <c r="AW8" i="28"/>
  <c r="AX8" i="28"/>
  <c r="AY8" i="28"/>
  <c r="AZ8" i="28"/>
  <c r="BA8" i="28"/>
  <c r="BB8" i="28"/>
  <c r="BC8" i="28"/>
  <c r="BD8" i="28"/>
  <c r="BE8" i="28"/>
  <c r="BF8" i="28"/>
  <c r="BG8" i="28"/>
  <c r="BH8" i="28"/>
  <c r="BI8" i="28"/>
  <c r="K9" i="28"/>
  <c r="L9" i="28"/>
  <c r="M9" i="28"/>
  <c r="O9" i="28"/>
  <c r="P9" i="28"/>
  <c r="Q9" i="28"/>
  <c r="R9" i="28"/>
  <c r="T9" i="28"/>
  <c r="U9" i="28"/>
  <c r="Y9" i="28"/>
  <c r="Z9" i="28"/>
  <c r="AA9" i="28"/>
  <c r="AF9" i="28"/>
  <c r="AG9" i="28"/>
  <c r="AH9" i="28"/>
  <c r="AI9" i="28"/>
  <c r="AJ9" i="28"/>
  <c r="AK9" i="28"/>
  <c r="AL9" i="28"/>
  <c r="AM9" i="28"/>
  <c r="AN9" i="28"/>
  <c r="AP9" i="28"/>
  <c r="AQ9" i="28"/>
  <c r="AR9" i="28"/>
  <c r="K10" i="28"/>
  <c r="L10" i="28"/>
  <c r="M10" i="28"/>
  <c r="N10" i="28"/>
  <c r="O10" i="28"/>
  <c r="P10" i="28"/>
  <c r="Q10" i="28"/>
  <c r="R10" i="28"/>
  <c r="S10" i="28"/>
  <c r="T10" i="28"/>
  <c r="U10" i="28"/>
  <c r="V10" i="28"/>
  <c r="W10" i="28"/>
  <c r="X10" i="28"/>
  <c r="Y10" i="28"/>
  <c r="Z10" i="28"/>
  <c r="AA10" i="28"/>
  <c r="AC10" i="28"/>
  <c r="AD10" i="28"/>
  <c r="AE10" i="28"/>
  <c r="AF10" i="28"/>
  <c r="AG10" i="28"/>
  <c r="AH10" i="28"/>
  <c r="AI10" i="28"/>
  <c r="AJ10" i="28"/>
  <c r="AK10" i="28"/>
  <c r="AL10" i="28"/>
  <c r="AM10" i="28"/>
  <c r="AN10" i="28"/>
  <c r="AO10" i="28"/>
  <c r="AP10" i="28"/>
  <c r="AQ10" i="28"/>
  <c r="AR10" i="28"/>
  <c r="AS10" i="28"/>
  <c r="AT10" i="28"/>
  <c r="AU10" i="28"/>
  <c r="AV10" i="28"/>
  <c r="AW10" i="28"/>
  <c r="AX10" i="28"/>
  <c r="AY10" i="28"/>
  <c r="AZ10" i="28"/>
  <c r="BA10" i="28"/>
  <c r="BB10" i="28"/>
  <c r="BC10" i="28"/>
  <c r="BD10" i="28"/>
  <c r="BE10" i="28"/>
  <c r="BF10" i="28"/>
  <c r="BG10" i="28"/>
  <c r="BH10" i="28"/>
  <c r="BI10" i="28"/>
  <c r="K11" i="28"/>
  <c r="L11" i="28"/>
  <c r="M11" i="28"/>
  <c r="N11" i="28"/>
  <c r="O11" i="28"/>
  <c r="P11" i="28"/>
  <c r="Q11" i="28"/>
  <c r="R11" i="28"/>
  <c r="S11" i="28"/>
  <c r="T11" i="28"/>
  <c r="U11" i="28"/>
  <c r="V11" i="28"/>
  <c r="W11" i="28"/>
  <c r="X11" i="28"/>
  <c r="Y11" i="28"/>
  <c r="Z11" i="28"/>
  <c r="AA11" i="28"/>
  <c r="AF11" i="28"/>
  <c r="AG11" i="28"/>
  <c r="AH11" i="28"/>
  <c r="AI11" i="28"/>
  <c r="AJ11" i="28"/>
  <c r="AK11" i="28"/>
  <c r="AL11" i="28"/>
  <c r="AM11" i="28"/>
  <c r="AN11" i="28"/>
  <c r="AO11" i="28"/>
  <c r="AP11" i="28"/>
  <c r="AQ11" i="28"/>
  <c r="AR11" i="28"/>
  <c r="AS11" i="28"/>
  <c r="AT11" i="28"/>
  <c r="AV11" i="28"/>
  <c r="AW11" i="28"/>
  <c r="AX11" i="28"/>
  <c r="AY11" i="28"/>
  <c r="AZ11" i="28"/>
  <c r="BA11" i="28"/>
  <c r="BC11" i="28"/>
  <c r="BE11" i="28"/>
  <c r="BF11" i="28"/>
  <c r="BH11" i="28"/>
  <c r="BI11" i="28"/>
  <c r="K12" i="28"/>
  <c r="L12" i="28"/>
  <c r="M12" i="28"/>
  <c r="N12" i="28"/>
  <c r="O12" i="28"/>
  <c r="P12" i="28"/>
  <c r="Q12" i="28"/>
  <c r="R12" i="28"/>
  <c r="S12" i="28"/>
  <c r="T12" i="28"/>
  <c r="U12" i="28"/>
  <c r="V12" i="28"/>
  <c r="W12" i="28"/>
  <c r="X12" i="28"/>
  <c r="Y12" i="28"/>
  <c r="Z12" i="28"/>
  <c r="AA12" i="28"/>
  <c r="AF12" i="28"/>
  <c r="AG12" i="28"/>
  <c r="AH12" i="28"/>
  <c r="AI12" i="28"/>
  <c r="AJ12" i="28"/>
  <c r="AK12" i="28"/>
  <c r="AL12" i="28"/>
  <c r="AM12" i="28"/>
  <c r="AN12" i="28"/>
  <c r="AO12" i="28"/>
  <c r="AP12" i="28"/>
  <c r="AQ12" i="28"/>
  <c r="AR12" i="28"/>
  <c r="AX12" i="28"/>
  <c r="BH12" i="28"/>
  <c r="BI12" i="28"/>
  <c r="K13" i="28"/>
  <c r="L13" i="28"/>
  <c r="M13" i="28"/>
  <c r="N13" i="28"/>
  <c r="O13" i="28"/>
  <c r="P13" i="28"/>
  <c r="Q13" i="28"/>
  <c r="R13" i="28"/>
  <c r="S13" i="28"/>
  <c r="T13" i="28"/>
  <c r="U13" i="28"/>
  <c r="V13" i="28"/>
  <c r="W13" i="28"/>
  <c r="X13" i="28"/>
  <c r="Y13" i="28"/>
  <c r="Z13" i="28"/>
  <c r="AA13" i="28"/>
  <c r="AB13" i="28"/>
  <c r="AC13" i="28"/>
  <c r="AD13" i="28"/>
  <c r="AE13" i="28"/>
  <c r="AF13" i="28"/>
  <c r="AG13" i="28"/>
  <c r="AH13" i="28"/>
  <c r="AI13" i="28"/>
  <c r="AJ13" i="28"/>
  <c r="AK13" i="28"/>
  <c r="AL13" i="28"/>
  <c r="AM13" i="28"/>
  <c r="AN13" i="28"/>
  <c r="AO13" i="28"/>
  <c r="AP13" i="28"/>
  <c r="AQ13" i="28"/>
  <c r="AR13" i="28"/>
  <c r="AS13" i="28"/>
  <c r="AT13" i="28"/>
  <c r="AU13" i="28"/>
  <c r="AV13" i="28"/>
  <c r="AW13" i="28"/>
  <c r="AX13" i="28"/>
  <c r="AY13" i="28"/>
  <c r="AZ13" i="28"/>
  <c r="BA13" i="28"/>
  <c r="BB13" i="28"/>
  <c r="BC13" i="28"/>
  <c r="BD13" i="28"/>
  <c r="BE13" i="28"/>
  <c r="BF13" i="28"/>
  <c r="BG13" i="28"/>
  <c r="BH13" i="28"/>
  <c r="BI13" i="28"/>
  <c r="K14" i="28"/>
  <c r="L14" i="28"/>
  <c r="M14" i="28"/>
  <c r="N14" i="28"/>
  <c r="O14" i="28"/>
  <c r="P14" i="28"/>
  <c r="Q14" i="28"/>
  <c r="R14" i="28"/>
  <c r="S14" i="28"/>
  <c r="T14" i="28"/>
  <c r="U14" i="28"/>
  <c r="V14" i="28"/>
  <c r="W14" i="28"/>
  <c r="X14" i="28"/>
  <c r="Y14" i="28"/>
  <c r="Z14" i="28"/>
  <c r="AA14" i="28"/>
  <c r="AB14" i="28"/>
  <c r="AC14" i="28"/>
  <c r="AD14" i="28"/>
  <c r="AE14" i="28"/>
  <c r="AF14" i="28"/>
  <c r="AG14" i="28"/>
  <c r="AH14" i="28"/>
  <c r="AI14" i="28"/>
  <c r="AJ14" i="28"/>
  <c r="AK14" i="28"/>
  <c r="AL14" i="28"/>
  <c r="AM14" i="28"/>
  <c r="AN14" i="28"/>
  <c r="AO14" i="28"/>
  <c r="AP14" i="28"/>
  <c r="AQ14" i="28"/>
  <c r="AR14" i="28"/>
  <c r="AS14" i="28"/>
  <c r="AT14" i="28"/>
  <c r="AU14" i="28"/>
  <c r="AV14" i="28"/>
  <c r="AW14" i="28"/>
  <c r="AX14" i="28"/>
  <c r="AY14" i="28"/>
  <c r="AZ14" i="28"/>
  <c r="BA14" i="28"/>
  <c r="BB14" i="28"/>
  <c r="BC14" i="28"/>
  <c r="BD14" i="28"/>
  <c r="BE14" i="28"/>
  <c r="BF14" i="28"/>
  <c r="BG14" i="28"/>
  <c r="BH14" i="28"/>
  <c r="BI14" i="28"/>
  <c r="K15" i="28"/>
  <c r="L15" i="28"/>
  <c r="M15" i="28"/>
  <c r="N15" i="28"/>
  <c r="O15" i="28"/>
  <c r="P15" i="28"/>
  <c r="Q15" i="28"/>
  <c r="R15" i="28"/>
  <c r="S15" i="28"/>
  <c r="T15" i="28"/>
  <c r="U15" i="28"/>
  <c r="V15" i="28"/>
  <c r="W15" i="28"/>
  <c r="X15" i="28"/>
  <c r="Y15" i="28"/>
  <c r="Z15" i="28"/>
  <c r="AA15" i="28"/>
  <c r="AB15" i="28"/>
  <c r="AC15" i="28"/>
  <c r="AD15" i="28"/>
  <c r="AE15" i="28"/>
  <c r="AF15" i="28"/>
  <c r="AG15" i="28"/>
  <c r="AH15" i="28"/>
  <c r="AI15" i="28"/>
  <c r="AJ15" i="28"/>
  <c r="AK15" i="28"/>
  <c r="AL15" i="28"/>
  <c r="AM15" i="28"/>
  <c r="AN15" i="28"/>
  <c r="AO15" i="28"/>
  <c r="AP15" i="28"/>
  <c r="AQ15" i="28"/>
  <c r="AR15" i="28"/>
  <c r="AS15" i="28"/>
  <c r="AT15" i="28"/>
  <c r="AU15" i="28"/>
  <c r="AV15" i="28"/>
  <c r="AW15" i="28"/>
  <c r="AX15" i="28"/>
  <c r="AY15" i="28"/>
  <c r="AZ15" i="28"/>
  <c r="BA15" i="28"/>
  <c r="BB15" i="28"/>
  <c r="BC15" i="28"/>
  <c r="BD15" i="28"/>
  <c r="BE15" i="28"/>
  <c r="BF15" i="28"/>
  <c r="BG15" i="28"/>
  <c r="BH15" i="28"/>
  <c r="BI15" i="28"/>
  <c r="K16" i="28"/>
  <c r="L16" i="28"/>
  <c r="M16" i="28"/>
  <c r="N16" i="28"/>
  <c r="O16" i="28"/>
  <c r="P16" i="28"/>
  <c r="Q16" i="28"/>
  <c r="R16" i="28"/>
  <c r="S16" i="28"/>
  <c r="T16" i="28"/>
  <c r="U16" i="28"/>
  <c r="V16" i="28"/>
  <c r="W16" i="28"/>
  <c r="X16" i="28"/>
  <c r="Y16" i="28"/>
  <c r="Z16" i="28"/>
  <c r="AA16" i="28"/>
  <c r="AB16" i="28"/>
  <c r="AC16" i="28"/>
  <c r="AD16" i="28"/>
  <c r="AE16" i="28"/>
  <c r="AF16" i="28"/>
  <c r="AG16" i="28"/>
  <c r="AH16" i="28"/>
  <c r="AI16" i="28"/>
  <c r="AJ16" i="28"/>
  <c r="AK16" i="28"/>
  <c r="AL16" i="28"/>
  <c r="AM16" i="28"/>
  <c r="AN16" i="28"/>
  <c r="AO16" i="28"/>
  <c r="AP16" i="28"/>
  <c r="AQ16" i="28"/>
  <c r="AR16" i="28"/>
  <c r="AS16" i="28"/>
  <c r="AT16" i="28"/>
  <c r="AU16" i="28"/>
  <c r="AV16" i="28"/>
  <c r="AW16" i="28"/>
  <c r="AX16" i="28"/>
  <c r="AY16" i="28"/>
  <c r="AZ16" i="28"/>
  <c r="BA16" i="28"/>
  <c r="BB16" i="28"/>
  <c r="BC16" i="28"/>
  <c r="BD16" i="28"/>
  <c r="BE16" i="28"/>
  <c r="BF16" i="28"/>
  <c r="BG16" i="28"/>
  <c r="BH16" i="28"/>
  <c r="BI16" i="28"/>
  <c r="K17" i="28"/>
  <c r="L17" i="28"/>
  <c r="M17" i="28"/>
  <c r="O17" i="28"/>
  <c r="P17" i="28"/>
  <c r="Q17" i="28"/>
  <c r="R17" i="28"/>
  <c r="T17" i="28"/>
  <c r="U17" i="28"/>
  <c r="V17" i="28"/>
  <c r="W17" i="28"/>
  <c r="Y17" i="28"/>
  <c r="Z17" i="28"/>
  <c r="AA17" i="28"/>
  <c r="AF17" i="28"/>
  <c r="AG17" i="28"/>
  <c r="AH17" i="28"/>
  <c r="AI17" i="28"/>
  <c r="AJ17" i="28"/>
  <c r="AK17" i="28"/>
  <c r="AL17" i="28"/>
  <c r="AM17" i="28"/>
  <c r="AN17" i="28"/>
  <c r="AP17" i="28"/>
  <c r="AQ17" i="28"/>
  <c r="AR17" i="28"/>
  <c r="AS17" i="28"/>
  <c r="AT17" i="28"/>
  <c r="AW17" i="28"/>
  <c r="AY17" i="28"/>
  <c r="BA17" i="28"/>
  <c r="BB17" i="28"/>
  <c r="BC17" i="28"/>
  <c r="K18" i="28"/>
  <c r="L18" i="28"/>
  <c r="M18" i="28"/>
  <c r="O18" i="28"/>
  <c r="P18" i="28"/>
  <c r="Q18" i="28"/>
  <c r="R18" i="28"/>
  <c r="T18" i="28"/>
  <c r="U18" i="28"/>
  <c r="V18" i="28"/>
  <c r="W18" i="28"/>
  <c r="Y18" i="28"/>
  <c r="Z18" i="28"/>
  <c r="AA18" i="28"/>
  <c r="AF18" i="28"/>
  <c r="AG18" i="28"/>
  <c r="AH18" i="28"/>
  <c r="AI18" i="28"/>
  <c r="AJ18" i="28"/>
  <c r="AK18" i="28"/>
  <c r="AL18" i="28"/>
  <c r="AM18" i="28"/>
  <c r="AN18" i="28"/>
  <c r="AP18" i="28"/>
  <c r="AQ18" i="28"/>
  <c r="AR18" i="28"/>
  <c r="AS18" i="28"/>
  <c r="AT18" i="28"/>
  <c r="AW18" i="28"/>
  <c r="AY18" i="28"/>
  <c r="BA18" i="28"/>
  <c r="BB18" i="28"/>
  <c r="K19" i="28"/>
  <c r="L19" i="28"/>
  <c r="M19" i="28"/>
  <c r="N19" i="28"/>
  <c r="O19" i="28"/>
  <c r="P19" i="28"/>
  <c r="Q19" i="28"/>
  <c r="R19" i="28"/>
  <c r="S19" i="28"/>
  <c r="T19" i="28"/>
  <c r="U19" i="28"/>
  <c r="V19" i="28"/>
  <c r="W19" i="28"/>
  <c r="X19" i="28"/>
  <c r="Y19" i="28"/>
  <c r="Z19" i="28"/>
  <c r="AA19" i="28"/>
  <c r="AB19" i="28"/>
  <c r="AC19" i="28"/>
  <c r="AD19" i="28"/>
  <c r="AE19" i="28"/>
  <c r="AF19" i="28"/>
  <c r="AG19" i="28"/>
  <c r="AH19" i="28"/>
  <c r="AI19" i="28"/>
  <c r="AJ19" i="28"/>
  <c r="AK19" i="28"/>
  <c r="AL19" i="28"/>
  <c r="AM19" i="28"/>
  <c r="AN19" i="28"/>
  <c r="AO19" i="28"/>
  <c r="AP19" i="28"/>
  <c r="AQ19" i="28"/>
  <c r="AR19" i="28"/>
  <c r="AS19" i="28"/>
  <c r="AT19" i="28"/>
  <c r="AU19" i="28"/>
  <c r="AV19" i="28"/>
  <c r="AW19" i="28"/>
  <c r="AX19" i="28"/>
  <c r="AY19" i="28"/>
  <c r="AZ19" i="28"/>
  <c r="BA19" i="28"/>
  <c r="BB19" i="28"/>
  <c r="BC19" i="28"/>
  <c r="BD19" i="28"/>
  <c r="BE19" i="28"/>
  <c r="BF19" i="28"/>
  <c r="BG19" i="28"/>
  <c r="BH19" i="28"/>
  <c r="BI19" i="28"/>
  <c r="K20" i="28"/>
  <c r="L20" i="28"/>
  <c r="M20" i="28"/>
  <c r="N20" i="28"/>
  <c r="O20" i="28"/>
  <c r="P20" i="28"/>
  <c r="Q20" i="28"/>
  <c r="R20" i="28"/>
  <c r="S20" i="28"/>
  <c r="T20" i="28"/>
  <c r="U20" i="28"/>
  <c r="V20" i="28"/>
  <c r="W20" i="28"/>
  <c r="X20" i="28"/>
  <c r="Y20" i="28"/>
  <c r="Z20" i="28"/>
  <c r="AA20" i="28"/>
  <c r="AB20" i="28"/>
  <c r="AC20" i="28"/>
  <c r="AD20" i="28"/>
  <c r="AE20" i="28"/>
  <c r="AF20" i="28"/>
  <c r="AG20" i="28"/>
  <c r="AH20" i="28"/>
  <c r="AI20" i="28"/>
  <c r="AJ20" i="28"/>
  <c r="AK20" i="28"/>
  <c r="AL20" i="28"/>
  <c r="AM20" i="28"/>
  <c r="AN20" i="28"/>
  <c r="AO20" i="28"/>
  <c r="AP20" i="28"/>
  <c r="AQ20" i="28"/>
  <c r="AR20" i="28"/>
  <c r="AS20" i="28"/>
  <c r="AT20" i="28"/>
  <c r="AU20" i="28"/>
  <c r="AV20" i="28"/>
  <c r="AW20" i="28"/>
  <c r="AX20" i="28"/>
  <c r="AY20" i="28"/>
  <c r="AZ20" i="28"/>
  <c r="BA20" i="28"/>
  <c r="BB20" i="28"/>
  <c r="BC20" i="28"/>
  <c r="BD20" i="28"/>
  <c r="BE20" i="28"/>
  <c r="BF20" i="28"/>
  <c r="BG20" i="28"/>
  <c r="BH20" i="28"/>
  <c r="BI20" i="28"/>
  <c r="K21" i="28"/>
  <c r="L21" i="28"/>
  <c r="M21" i="28"/>
  <c r="N21" i="28"/>
  <c r="O21" i="28"/>
  <c r="P21" i="28"/>
  <c r="Q21" i="28"/>
  <c r="R21" i="28"/>
  <c r="S21" i="28"/>
  <c r="T21" i="28"/>
  <c r="U21" i="28"/>
  <c r="V21" i="28"/>
  <c r="W21" i="28"/>
  <c r="X21" i="28"/>
  <c r="Y21" i="28"/>
  <c r="Z21" i="28"/>
  <c r="AA21" i="28"/>
  <c r="AC21" i="28"/>
  <c r="AD21" i="28"/>
  <c r="AE21" i="28"/>
  <c r="AF21" i="28"/>
  <c r="AG21" i="28"/>
  <c r="AH21" i="28"/>
  <c r="AI21" i="28"/>
  <c r="AJ21" i="28"/>
  <c r="AK21" i="28"/>
  <c r="AL21" i="28"/>
  <c r="AM21" i="28"/>
  <c r="AN21" i="28"/>
  <c r="AO21" i="28"/>
  <c r="AP21" i="28"/>
  <c r="AQ21" i="28"/>
  <c r="AR21" i="28"/>
  <c r="AS21" i="28"/>
  <c r="AT21" i="28"/>
  <c r="AU21" i="28"/>
  <c r="AV21" i="28"/>
  <c r="AW21" i="28"/>
  <c r="AX21" i="28"/>
  <c r="AY21" i="28"/>
  <c r="AZ21" i="28"/>
  <c r="BA21" i="28"/>
  <c r="BB21" i="28"/>
  <c r="BC21" i="28"/>
  <c r="BD21" i="28"/>
  <c r="BE21" i="28"/>
  <c r="BF21" i="28"/>
  <c r="BG21" i="28"/>
  <c r="BH21" i="28"/>
  <c r="BI21" i="28"/>
  <c r="K22" i="28"/>
  <c r="L22" i="28"/>
  <c r="M22" i="28"/>
  <c r="N22" i="28"/>
  <c r="O22" i="28"/>
  <c r="P22" i="28"/>
  <c r="Q22" i="28"/>
  <c r="R22" i="28"/>
  <c r="S22" i="28"/>
  <c r="T22" i="28"/>
  <c r="U22" i="28"/>
  <c r="V22" i="28"/>
  <c r="W22" i="28"/>
  <c r="X22" i="28"/>
  <c r="Y22" i="28"/>
  <c r="Z22" i="28"/>
  <c r="AA22" i="28"/>
  <c r="AB22" i="28"/>
  <c r="AC22" i="28"/>
  <c r="AD22" i="28"/>
  <c r="AE22" i="28"/>
  <c r="AF22" i="28"/>
  <c r="AG22" i="28"/>
  <c r="AH22" i="28"/>
  <c r="AI22" i="28"/>
  <c r="AJ22" i="28"/>
  <c r="AK22" i="28"/>
  <c r="AL22" i="28"/>
  <c r="AM22" i="28"/>
  <c r="AN22" i="28"/>
  <c r="AO22" i="28"/>
  <c r="AP22" i="28"/>
  <c r="AQ22" i="28"/>
  <c r="AR22" i="28"/>
  <c r="AS22" i="28"/>
  <c r="AT22" i="28"/>
  <c r="AU22" i="28"/>
  <c r="AV22" i="28"/>
  <c r="AW22" i="28"/>
  <c r="AX22" i="28"/>
  <c r="AY22" i="28"/>
  <c r="AZ22" i="28"/>
  <c r="BA22" i="28"/>
  <c r="BB22" i="28"/>
  <c r="BC22" i="28"/>
  <c r="BD22" i="28"/>
  <c r="BE22" i="28"/>
  <c r="BF22" i="28"/>
  <c r="BG22" i="28"/>
  <c r="BH22" i="28"/>
  <c r="BI22" i="28"/>
  <c r="K23" i="28"/>
  <c r="L23" i="28"/>
  <c r="M23" i="28"/>
  <c r="N23" i="28"/>
  <c r="O23" i="28"/>
  <c r="P23" i="28"/>
  <c r="Q23" i="28"/>
  <c r="R23" i="28"/>
  <c r="S23" i="28"/>
  <c r="T23" i="28"/>
  <c r="U23" i="28"/>
  <c r="V23" i="28"/>
  <c r="W23" i="28"/>
  <c r="X23" i="28"/>
  <c r="Y23" i="28"/>
  <c r="Z23" i="28"/>
  <c r="AA23" i="28"/>
  <c r="AC23" i="28"/>
  <c r="AD23" i="28"/>
  <c r="AE23" i="28"/>
  <c r="AF23" i="28"/>
  <c r="AG23" i="28"/>
  <c r="AH23" i="28"/>
  <c r="AI23" i="28"/>
  <c r="AJ23" i="28"/>
  <c r="AK23" i="28"/>
  <c r="AL23" i="28"/>
  <c r="AM23" i="28"/>
  <c r="AN23" i="28"/>
  <c r="AO23" i="28"/>
  <c r="AP23" i="28"/>
  <c r="AQ23" i="28"/>
  <c r="AR23" i="28"/>
  <c r="AS23" i="28"/>
  <c r="AT23" i="28"/>
  <c r="AU23" i="28"/>
  <c r="AV23" i="28"/>
  <c r="AW23" i="28"/>
  <c r="AX23" i="28"/>
  <c r="AY23" i="28"/>
  <c r="AZ23" i="28"/>
  <c r="BA23" i="28"/>
  <c r="BB23" i="28"/>
  <c r="BC23" i="28"/>
  <c r="BD23" i="28"/>
  <c r="BE23" i="28"/>
  <c r="BF23" i="28"/>
  <c r="BG23" i="28"/>
  <c r="BH23" i="28"/>
  <c r="BI23" i="28"/>
  <c r="K24" i="28"/>
  <c r="L24" i="28"/>
  <c r="M24" i="28"/>
  <c r="N24" i="28"/>
  <c r="O24" i="28"/>
  <c r="P24" i="28"/>
  <c r="Q24" i="28"/>
  <c r="R24" i="28"/>
  <c r="S24" i="28"/>
  <c r="T24" i="28"/>
  <c r="U24" i="28"/>
  <c r="V24" i="28"/>
  <c r="W24" i="28"/>
  <c r="X24" i="28"/>
  <c r="Y24" i="28"/>
  <c r="Z24" i="28"/>
  <c r="AA24" i="28"/>
  <c r="AB24" i="28"/>
  <c r="AC24" i="28"/>
  <c r="AD24" i="28"/>
  <c r="AE24" i="28"/>
  <c r="AF24" i="28"/>
  <c r="AG24" i="28"/>
  <c r="AH24" i="28"/>
  <c r="AI24" i="28"/>
  <c r="AJ24" i="28"/>
  <c r="AK24" i="28"/>
  <c r="AL24" i="28"/>
  <c r="AM24" i="28"/>
  <c r="AN24" i="28"/>
  <c r="AO24" i="28"/>
  <c r="AP24" i="28"/>
  <c r="AQ24" i="28"/>
  <c r="AR24" i="28"/>
  <c r="AS24" i="28"/>
  <c r="AT24" i="28"/>
  <c r="AU24" i="28"/>
  <c r="AV24" i="28"/>
  <c r="AW24" i="28"/>
  <c r="AX24" i="28"/>
  <c r="AY24" i="28"/>
  <c r="AZ24" i="28"/>
  <c r="BA24" i="28"/>
  <c r="BB24" i="28"/>
  <c r="BC24" i="28"/>
  <c r="BD24" i="28"/>
  <c r="BE24" i="28"/>
  <c r="BF24" i="28"/>
  <c r="BG24" i="28"/>
  <c r="BH24" i="28"/>
  <c r="BI24" i="28"/>
  <c r="K25" i="28"/>
  <c r="L25" i="28"/>
  <c r="M25" i="28"/>
  <c r="N25" i="28"/>
  <c r="O25" i="28"/>
  <c r="P25" i="28"/>
  <c r="Q25" i="28"/>
  <c r="R25" i="28"/>
  <c r="S25" i="28"/>
  <c r="T25" i="28"/>
  <c r="U25" i="28"/>
  <c r="V25" i="28"/>
  <c r="W25" i="28"/>
  <c r="X25" i="28"/>
  <c r="Y25" i="28"/>
  <c r="Z25" i="28"/>
  <c r="AA25" i="28"/>
  <c r="AB25" i="28"/>
  <c r="AC25" i="28"/>
  <c r="AD25" i="28"/>
  <c r="AE25" i="28"/>
  <c r="AF25" i="28"/>
  <c r="AG25" i="28"/>
  <c r="AH25" i="28"/>
  <c r="AI25" i="28"/>
  <c r="AJ25" i="28"/>
  <c r="AK25" i="28"/>
  <c r="AL25" i="28"/>
  <c r="AM25" i="28"/>
  <c r="AN25" i="28"/>
  <c r="AO25" i="28"/>
  <c r="AP25" i="28"/>
  <c r="AQ25" i="28"/>
  <c r="AR25" i="28"/>
  <c r="AS25" i="28"/>
  <c r="AT25" i="28"/>
  <c r="AU25" i="28"/>
  <c r="AV25" i="28"/>
  <c r="AW25" i="28"/>
  <c r="AX25" i="28"/>
  <c r="AY25" i="28"/>
  <c r="AZ25" i="28"/>
  <c r="BA25" i="28"/>
  <c r="BB25" i="28"/>
  <c r="BC25" i="28"/>
  <c r="BD25" i="28"/>
  <c r="BE25" i="28"/>
  <c r="BF25" i="28"/>
  <c r="BG25" i="28"/>
  <c r="BH25" i="28"/>
  <c r="BI25" i="28"/>
  <c r="K26" i="28"/>
  <c r="L26" i="28"/>
  <c r="M26" i="28"/>
  <c r="N26" i="28"/>
  <c r="O26" i="28"/>
  <c r="P26" i="28"/>
  <c r="Q26" i="28"/>
  <c r="R26" i="28"/>
  <c r="S26" i="28"/>
  <c r="T26" i="28"/>
  <c r="U26" i="28"/>
  <c r="V26" i="28"/>
  <c r="W26" i="28"/>
  <c r="X26" i="28"/>
  <c r="Y26" i="28"/>
  <c r="Z26" i="28"/>
  <c r="AA26" i="28"/>
  <c r="AC26" i="28"/>
  <c r="AD26" i="28"/>
  <c r="AE26" i="28"/>
  <c r="AF26" i="28"/>
  <c r="AG26" i="28"/>
  <c r="AH26" i="28"/>
  <c r="AI26" i="28"/>
  <c r="AJ26" i="28"/>
  <c r="AK26" i="28"/>
  <c r="AL26" i="28"/>
  <c r="AM26" i="28"/>
  <c r="AN26" i="28"/>
  <c r="AO26" i="28"/>
  <c r="AP26" i="28"/>
  <c r="AQ26" i="28"/>
  <c r="AR26" i="28"/>
  <c r="AS26" i="28"/>
  <c r="AT26" i="28"/>
  <c r="AU26" i="28"/>
  <c r="AV26" i="28"/>
  <c r="AW26" i="28"/>
  <c r="AX26" i="28"/>
  <c r="AY26" i="28"/>
  <c r="AZ26" i="28"/>
  <c r="BA26" i="28"/>
  <c r="BB26" i="28"/>
  <c r="BC26" i="28"/>
  <c r="BD26" i="28"/>
  <c r="BE26" i="28"/>
  <c r="BF26" i="28"/>
  <c r="BG26" i="28"/>
  <c r="BH26" i="28"/>
  <c r="BI26" i="28"/>
  <c r="K27" i="28"/>
  <c r="L27" i="28"/>
  <c r="M27" i="28"/>
  <c r="N27" i="28"/>
  <c r="O27" i="28"/>
  <c r="P27" i="28"/>
  <c r="Q27" i="28"/>
  <c r="R27" i="28"/>
  <c r="S27" i="28"/>
  <c r="T27" i="28"/>
  <c r="U27" i="28"/>
  <c r="V27" i="28"/>
  <c r="W27" i="28"/>
  <c r="X27" i="28"/>
  <c r="Y27" i="28"/>
  <c r="Z27" i="28"/>
  <c r="AA27" i="28"/>
  <c r="AC27" i="28"/>
  <c r="AD27" i="28"/>
  <c r="AE27" i="28"/>
  <c r="AF27" i="28"/>
  <c r="AG27" i="28"/>
  <c r="AH27" i="28"/>
  <c r="AI27" i="28"/>
  <c r="AJ27" i="28"/>
  <c r="AK27" i="28"/>
  <c r="AL27" i="28"/>
  <c r="AM27" i="28"/>
  <c r="AN27" i="28"/>
  <c r="AO27" i="28"/>
  <c r="AP27" i="28"/>
  <c r="AQ27" i="28"/>
  <c r="AR27" i="28"/>
  <c r="AS27" i="28"/>
  <c r="AT27" i="28"/>
  <c r="AU27" i="28"/>
  <c r="AV27" i="28"/>
  <c r="AW27" i="28"/>
  <c r="AX27" i="28"/>
  <c r="AY27" i="28"/>
  <c r="AZ27" i="28"/>
  <c r="BA27" i="28"/>
  <c r="BB27" i="28"/>
  <c r="BC27" i="28"/>
  <c r="BD27" i="28"/>
  <c r="BE27" i="28"/>
  <c r="BF27" i="28"/>
  <c r="BG27" i="28"/>
  <c r="BH27" i="28"/>
  <c r="BI27" i="28"/>
  <c r="K28" i="28"/>
  <c r="L28" i="28"/>
  <c r="M28" i="28"/>
  <c r="N28" i="28"/>
  <c r="O28" i="28"/>
  <c r="P28" i="28"/>
  <c r="Q28" i="28"/>
  <c r="R28" i="28"/>
  <c r="S28" i="28"/>
  <c r="T28" i="28"/>
  <c r="U28" i="28"/>
  <c r="V28" i="28"/>
  <c r="W28" i="28"/>
  <c r="X28" i="28"/>
  <c r="Y28" i="28"/>
  <c r="Z28" i="28"/>
  <c r="AA28" i="28"/>
  <c r="AB28" i="28"/>
  <c r="AC28" i="28"/>
  <c r="AD28" i="28"/>
  <c r="AE28" i="28"/>
  <c r="AF28" i="28"/>
  <c r="AG28" i="28"/>
  <c r="AH28" i="28"/>
  <c r="AI28" i="28"/>
  <c r="AJ28" i="28"/>
  <c r="AK28" i="28"/>
  <c r="AL28" i="28"/>
  <c r="AM28" i="28"/>
  <c r="AN28" i="28"/>
  <c r="AO28" i="28"/>
  <c r="AP28" i="28"/>
  <c r="AQ28" i="28"/>
  <c r="AR28" i="28"/>
  <c r="AS28" i="28"/>
  <c r="AT28" i="28"/>
  <c r="AU28" i="28"/>
  <c r="AV28" i="28"/>
  <c r="AW28" i="28"/>
  <c r="AX28" i="28"/>
  <c r="AY28" i="28"/>
  <c r="AZ28" i="28"/>
  <c r="BA28" i="28"/>
  <c r="BB28" i="28"/>
  <c r="BC28" i="28"/>
  <c r="BD28" i="28"/>
  <c r="BE28" i="28"/>
  <c r="BF28" i="28"/>
  <c r="BG28" i="28"/>
  <c r="BH28" i="28"/>
  <c r="BI28" i="28"/>
  <c r="K29" i="28"/>
  <c r="L29" i="28"/>
  <c r="M29" i="28"/>
  <c r="N29" i="28"/>
  <c r="O29" i="28"/>
  <c r="P29" i="28"/>
  <c r="Q29" i="28"/>
  <c r="R29" i="28"/>
  <c r="S29" i="28"/>
  <c r="T29" i="28"/>
  <c r="U29" i="28"/>
  <c r="Y29" i="28"/>
  <c r="Z29" i="28"/>
  <c r="AA29" i="28"/>
  <c r="AF29" i="28"/>
  <c r="AG29" i="28"/>
  <c r="AH29" i="28"/>
  <c r="AI29" i="28"/>
  <c r="AJ29" i="28"/>
  <c r="AK29" i="28"/>
  <c r="AL29" i="28"/>
  <c r="AM29" i="28"/>
  <c r="AN29" i="28"/>
  <c r="AP29" i="28"/>
  <c r="AQ29" i="28"/>
  <c r="AR29" i="28"/>
  <c r="AY29" i="28"/>
  <c r="BB29" i="28"/>
  <c r="BE29" i="28"/>
  <c r="BH29" i="28"/>
  <c r="BI29" i="28"/>
  <c r="K30" i="28"/>
  <c r="L30" i="28"/>
  <c r="M30" i="28"/>
  <c r="N30" i="28"/>
  <c r="O30" i="28"/>
  <c r="P30" i="28"/>
  <c r="Q30" i="28"/>
  <c r="R30" i="28"/>
  <c r="S30" i="28"/>
  <c r="T30" i="28"/>
  <c r="U30" i="28"/>
  <c r="Y30" i="28"/>
  <c r="Z30" i="28"/>
  <c r="AA30" i="28"/>
  <c r="AF30" i="28"/>
  <c r="AG30" i="28"/>
  <c r="AH30" i="28"/>
  <c r="AI30" i="28"/>
  <c r="AJ30" i="28"/>
  <c r="AK30" i="28"/>
  <c r="AL30" i="28"/>
  <c r="AM30" i="28"/>
  <c r="AN30" i="28"/>
  <c r="AP30" i="28"/>
  <c r="AQ30" i="28"/>
  <c r="AR30" i="28"/>
  <c r="AZ30" i="28"/>
  <c r="BA30" i="28"/>
  <c r="BB30" i="28"/>
  <c r="BE30" i="28"/>
  <c r="BH30" i="28"/>
  <c r="BI30" i="28"/>
  <c r="K31" i="28"/>
  <c r="L31" i="28"/>
  <c r="M31" i="28"/>
  <c r="O31" i="28"/>
  <c r="P31" i="28"/>
  <c r="Q31" i="28"/>
  <c r="R31" i="28"/>
  <c r="T31" i="28"/>
  <c r="U31" i="28"/>
  <c r="V31" i="28"/>
  <c r="W31" i="28"/>
  <c r="X31" i="28"/>
  <c r="Y31" i="28"/>
  <c r="Z31" i="28"/>
  <c r="AA31" i="28"/>
  <c r="AB31" i="28"/>
  <c r="AC31" i="28"/>
  <c r="AD31" i="28"/>
  <c r="AE31" i="28"/>
  <c r="AF31" i="28"/>
  <c r="AG31" i="28"/>
  <c r="AH31" i="28"/>
  <c r="AI31" i="28"/>
  <c r="AJ31" i="28"/>
  <c r="AK31" i="28"/>
  <c r="AL31" i="28"/>
  <c r="AM31" i="28"/>
  <c r="AN31" i="28"/>
  <c r="AO31" i="28"/>
  <c r="AP31" i="28"/>
  <c r="AQ31" i="28"/>
  <c r="AR31" i="28"/>
  <c r="AS31" i="28"/>
  <c r="AT31" i="28"/>
  <c r="AU31" i="28"/>
  <c r="AV31" i="28"/>
  <c r="AW31" i="28"/>
  <c r="AX31" i="28"/>
  <c r="AY31" i="28"/>
  <c r="AZ31" i="28"/>
  <c r="BA31" i="28"/>
  <c r="BB31" i="28"/>
  <c r="BC31" i="28"/>
  <c r="BD31" i="28"/>
  <c r="BE31" i="28"/>
  <c r="BF31" i="28"/>
  <c r="BG31" i="28"/>
  <c r="BH31" i="28"/>
  <c r="BI31" i="28"/>
  <c r="K32" i="28"/>
  <c r="L32" i="28"/>
  <c r="M32" i="28"/>
  <c r="O32" i="28"/>
  <c r="P32" i="28"/>
  <c r="Q32" i="28"/>
  <c r="R32" i="28"/>
  <c r="T32" i="28"/>
  <c r="U32" i="28"/>
  <c r="Y32" i="28"/>
  <c r="Z32" i="28"/>
  <c r="AA32" i="28"/>
  <c r="AF32" i="28"/>
  <c r="AG32" i="28"/>
  <c r="AH32" i="28"/>
  <c r="AI32" i="28"/>
  <c r="AJ32" i="28"/>
  <c r="AK32" i="28"/>
  <c r="AL32" i="28"/>
  <c r="AM32" i="28"/>
  <c r="AN32" i="28"/>
  <c r="AP32" i="28"/>
  <c r="AQ32" i="28"/>
  <c r="AR32" i="28"/>
  <c r="BI32" i="28"/>
  <c r="K33" i="28"/>
  <c r="L33" i="28"/>
  <c r="M33" i="28"/>
  <c r="O33" i="28"/>
  <c r="P33" i="28"/>
  <c r="Q33" i="28"/>
  <c r="R33" i="28"/>
  <c r="T33" i="28"/>
  <c r="U33" i="28"/>
  <c r="Y33" i="28"/>
  <c r="Z33" i="28"/>
  <c r="AA33" i="28"/>
  <c r="AF33" i="28"/>
  <c r="AG33" i="28"/>
  <c r="AH33" i="28"/>
  <c r="AI33" i="28"/>
  <c r="AJ33" i="28"/>
  <c r="AK33" i="28"/>
  <c r="AL33" i="28"/>
  <c r="AM33" i="28"/>
  <c r="AN33" i="28"/>
  <c r="AP33" i="28"/>
  <c r="AQ33" i="28"/>
  <c r="AR33" i="28"/>
  <c r="AW33" i="28"/>
  <c r="BA33" i="28"/>
  <c r="BE33" i="28"/>
  <c r="BI33" i="28"/>
  <c r="K34" i="28"/>
  <c r="L34" i="28"/>
  <c r="M34" i="28"/>
  <c r="N34" i="28"/>
  <c r="O34" i="28"/>
  <c r="P34" i="28"/>
  <c r="Q34" i="28"/>
  <c r="R34" i="28"/>
  <c r="S34" i="28"/>
  <c r="T34" i="28"/>
  <c r="U34" i="28"/>
  <c r="V34" i="28"/>
  <c r="W34" i="28"/>
  <c r="X34" i="28"/>
  <c r="Y34" i="28"/>
  <c r="Z34" i="28"/>
  <c r="AA34" i="28"/>
  <c r="AC34" i="28"/>
  <c r="AD34" i="28"/>
  <c r="AE34" i="28"/>
  <c r="AF34" i="28"/>
  <c r="AG34" i="28"/>
  <c r="AH34" i="28"/>
  <c r="AI34" i="28"/>
  <c r="AJ34" i="28"/>
  <c r="AK34" i="28"/>
  <c r="AL34" i="28"/>
  <c r="AM34" i="28"/>
  <c r="AN34" i="28"/>
  <c r="AO34" i="28"/>
  <c r="AP34" i="28"/>
  <c r="AQ34" i="28"/>
  <c r="AR34" i="28"/>
  <c r="AS34" i="28"/>
  <c r="AT34" i="28"/>
  <c r="AU34" i="28"/>
  <c r="AV34" i="28"/>
  <c r="AW34" i="28"/>
  <c r="AX34" i="28"/>
  <c r="AY34" i="28"/>
  <c r="AZ34" i="28"/>
  <c r="BA34" i="28"/>
  <c r="BB34" i="28"/>
  <c r="BC34" i="28"/>
  <c r="BD34" i="28"/>
  <c r="BE34" i="28"/>
  <c r="BF34" i="28"/>
  <c r="BG34" i="28"/>
  <c r="BH34" i="28"/>
  <c r="BI34" i="28"/>
  <c r="K35" i="28"/>
  <c r="L35" i="28"/>
  <c r="M35" i="28"/>
  <c r="N35" i="28"/>
  <c r="O35" i="28"/>
  <c r="P35" i="28"/>
  <c r="Q35" i="28"/>
  <c r="R35" i="28"/>
  <c r="S35" i="28"/>
  <c r="T35" i="28"/>
  <c r="U35" i="28"/>
  <c r="V35" i="28"/>
  <c r="W35" i="28"/>
  <c r="X35" i="28"/>
  <c r="Y35" i="28"/>
  <c r="Z35" i="28"/>
  <c r="AA35" i="28"/>
  <c r="AC35" i="28"/>
  <c r="AD35" i="28"/>
  <c r="AE35" i="28"/>
  <c r="AF35" i="28"/>
  <c r="AG35" i="28"/>
  <c r="AH35" i="28"/>
  <c r="AI35" i="28"/>
  <c r="AJ35" i="28"/>
  <c r="AK35" i="28"/>
  <c r="AL35" i="28"/>
  <c r="AM35" i="28"/>
  <c r="AN35" i="28"/>
  <c r="AO35" i="28"/>
  <c r="AP35" i="28"/>
  <c r="AQ35" i="28"/>
  <c r="AR35" i="28"/>
  <c r="AS35" i="28"/>
  <c r="AT35" i="28"/>
  <c r="AU35" i="28"/>
  <c r="AV35" i="28"/>
  <c r="AW35" i="28"/>
  <c r="AX35" i="28"/>
  <c r="AY35" i="28"/>
  <c r="AZ35" i="28"/>
  <c r="BA35" i="28"/>
  <c r="BB35" i="28"/>
  <c r="BC35" i="28"/>
  <c r="BD35" i="28"/>
  <c r="BE35" i="28"/>
  <c r="BF35" i="28"/>
  <c r="BG35" i="28"/>
  <c r="BH35" i="28"/>
  <c r="BI35" i="28"/>
  <c r="K36" i="28"/>
  <c r="L36" i="28"/>
  <c r="M36" i="28"/>
  <c r="O36" i="28"/>
  <c r="P36" i="28"/>
  <c r="Q36" i="28"/>
  <c r="R36" i="28"/>
  <c r="T36" i="28"/>
  <c r="U36" i="28"/>
  <c r="V36" i="28"/>
  <c r="W36" i="28"/>
  <c r="X36" i="28"/>
  <c r="Y36" i="28"/>
  <c r="Z36" i="28"/>
  <c r="AA36" i="28"/>
  <c r="AB36" i="28"/>
  <c r="AC36" i="28"/>
  <c r="AD36" i="28"/>
  <c r="AE36" i="28"/>
  <c r="AF36" i="28"/>
  <c r="AG36" i="28"/>
  <c r="AH36" i="28"/>
  <c r="AI36" i="28"/>
  <c r="AJ36" i="28"/>
  <c r="AK36" i="28"/>
  <c r="AL36" i="28"/>
  <c r="AM36" i="28"/>
  <c r="AN36" i="28"/>
  <c r="AO36" i="28"/>
  <c r="AP36" i="28"/>
  <c r="AQ36" i="28"/>
  <c r="AR36" i="28"/>
  <c r="AS36" i="28"/>
  <c r="AT36" i="28"/>
  <c r="AU36" i="28"/>
  <c r="AV36" i="28"/>
  <c r="AW36" i="28"/>
  <c r="AX36" i="28"/>
  <c r="AZ36" i="28"/>
  <c r="BA36" i="28"/>
  <c r="BB36" i="28"/>
  <c r="BC36" i="28"/>
  <c r="BD36" i="28"/>
  <c r="BE36" i="28"/>
  <c r="BH36" i="28"/>
  <c r="BI36" i="28"/>
  <c r="K37" i="28"/>
  <c r="L37" i="28"/>
  <c r="M37" i="28"/>
  <c r="N37" i="28"/>
  <c r="O37" i="28"/>
  <c r="P37" i="28"/>
  <c r="Q37" i="28"/>
  <c r="R37" i="28"/>
  <c r="S37" i="28"/>
  <c r="T37" i="28"/>
  <c r="U37" i="28"/>
  <c r="V37" i="28"/>
  <c r="W37" i="28"/>
  <c r="X37" i="28"/>
  <c r="Y37" i="28"/>
  <c r="Z37" i="28"/>
  <c r="AA37" i="28"/>
  <c r="AB37" i="28"/>
  <c r="AC37" i="28"/>
  <c r="AD37" i="28"/>
  <c r="AE37" i="28"/>
  <c r="AF37" i="28"/>
  <c r="AG37" i="28"/>
  <c r="AH37" i="28"/>
  <c r="AI37" i="28"/>
  <c r="AJ37" i="28"/>
  <c r="AK37" i="28"/>
  <c r="AL37" i="28"/>
  <c r="AM37" i="28"/>
  <c r="AN37" i="28"/>
  <c r="AO37" i="28"/>
  <c r="AP37" i="28"/>
  <c r="AQ37" i="28"/>
  <c r="AR37" i="28"/>
  <c r="AS37" i="28"/>
  <c r="AT37" i="28"/>
  <c r="AU37" i="28"/>
  <c r="AV37" i="28"/>
  <c r="AW37" i="28"/>
  <c r="AX37" i="28"/>
  <c r="AY37" i="28"/>
  <c r="AZ37" i="28"/>
  <c r="BA37" i="28"/>
  <c r="BB37" i="28"/>
  <c r="BC37" i="28"/>
  <c r="BD37" i="28"/>
  <c r="BE37" i="28"/>
  <c r="BF37" i="28"/>
  <c r="BG37" i="28"/>
  <c r="BH37" i="28"/>
  <c r="BI37" i="28"/>
  <c r="K38" i="28"/>
  <c r="L38" i="28"/>
  <c r="M38" i="28"/>
  <c r="N38" i="28"/>
  <c r="O38" i="28"/>
  <c r="P38" i="28"/>
  <c r="Q38" i="28"/>
  <c r="R38" i="28"/>
  <c r="S38" i="28"/>
  <c r="T38" i="28"/>
  <c r="U38" i="28"/>
  <c r="V38" i="28"/>
  <c r="W38" i="28"/>
  <c r="X38" i="28"/>
  <c r="Y38" i="28"/>
  <c r="Z38" i="28"/>
  <c r="AA38" i="28"/>
  <c r="AC38" i="28"/>
  <c r="AD38" i="28"/>
  <c r="AE38" i="28"/>
  <c r="AF38" i="28"/>
  <c r="AG38" i="28"/>
  <c r="AH38" i="28"/>
  <c r="AI38" i="28"/>
  <c r="AJ38" i="28"/>
  <c r="AK38" i="28"/>
  <c r="AL38" i="28"/>
  <c r="AM38" i="28"/>
  <c r="AN38" i="28"/>
  <c r="AO38" i="28"/>
  <c r="AP38" i="28"/>
  <c r="AQ38" i="28"/>
  <c r="AR38" i="28"/>
  <c r="AS38" i="28"/>
  <c r="AT38" i="28"/>
  <c r="AU38" i="28"/>
  <c r="AV38" i="28"/>
  <c r="AW38" i="28"/>
  <c r="AX38" i="28"/>
  <c r="AY38" i="28"/>
  <c r="AZ38" i="28"/>
  <c r="BA38" i="28"/>
  <c r="BB38" i="28"/>
  <c r="BC38" i="28"/>
  <c r="BD38" i="28"/>
  <c r="BE38" i="28"/>
  <c r="BF38" i="28"/>
  <c r="BG38" i="28"/>
  <c r="BH38" i="28"/>
  <c r="BI38" i="28"/>
  <c r="K39" i="28"/>
  <c r="L39" i="28"/>
  <c r="M39" i="28"/>
  <c r="N39" i="28"/>
  <c r="O39" i="28"/>
  <c r="P39" i="28"/>
  <c r="Q39" i="28"/>
  <c r="R39" i="28"/>
  <c r="S39" i="28"/>
  <c r="T39" i="28"/>
  <c r="U39" i="28"/>
  <c r="V39" i="28"/>
  <c r="W39" i="28"/>
  <c r="X39" i="28"/>
  <c r="Y39" i="28"/>
  <c r="Z39" i="28"/>
  <c r="AA39" i="28"/>
  <c r="AC39" i="28"/>
  <c r="AD39" i="28"/>
  <c r="AE39" i="28"/>
  <c r="AF39" i="28"/>
  <c r="AG39" i="28"/>
  <c r="AH39" i="28"/>
  <c r="AI39" i="28"/>
  <c r="AJ39" i="28"/>
  <c r="AK39" i="28"/>
  <c r="AL39" i="28"/>
  <c r="AM39" i="28"/>
  <c r="AN39" i="28"/>
  <c r="AO39" i="28"/>
  <c r="AP39" i="28"/>
  <c r="AQ39" i="28"/>
  <c r="AR39" i="28"/>
  <c r="AS39" i="28"/>
  <c r="AT39" i="28"/>
  <c r="AU39" i="28"/>
  <c r="AV39" i="28"/>
  <c r="AW39" i="28"/>
  <c r="AX39" i="28"/>
  <c r="AY39" i="28"/>
  <c r="AZ39" i="28"/>
  <c r="BA39" i="28"/>
  <c r="BB39" i="28"/>
  <c r="BC39" i="28"/>
  <c r="BD39" i="28"/>
  <c r="BE39" i="28"/>
  <c r="BF39" i="28"/>
  <c r="BG39" i="28"/>
  <c r="BH39" i="28"/>
  <c r="BI39" i="28"/>
  <c r="K40" i="28"/>
  <c r="L40" i="28"/>
  <c r="M40" i="28"/>
  <c r="N40" i="28"/>
  <c r="O40" i="28"/>
  <c r="P40" i="28"/>
  <c r="Q40" i="28"/>
  <c r="R40" i="28"/>
  <c r="S40" i="28"/>
  <c r="T40" i="28"/>
  <c r="U40" i="28"/>
  <c r="V40" i="28"/>
  <c r="W40" i="28"/>
  <c r="X40" i="28"/>
  <c r="Y40" i="28"/>
  <c r="Z40" i="28"/>
  <c r="AA40" i="28"/>
  <c r="AC40" i="28"/>
  <c r="AD40" i="28"/>
  <c r="AE40" i="28"/>
  <c r="AF40" i="28"/>
  <c r="AG40" i="28"/>
  <c r="AH40" i="28"/>
  <c r="AI40" i="28"/>
  <c r="AJ40" i="28"/>
  <c r="AK40" i="28"/>
  <c r="AL40" i="28"/>
  <c r="AM40" i="28"/>
  <c r="AN40" i="28"/>
  <c r="AO40" i="28"/>
  <c r="AP40" i="28"/>
  <c r="AQ40" i="28"/>
  <c r="AR40" i="28"/>
  <c r="AS40" i="28"/>
  <c r="AT40" i="28"/>
  <c r="AU40" i="28"/>
  <c r="AV40" i="28"/>
  <c r="AW40" i="28"/>
  <c r="AX40" i="28"/>
  <c r="AY40" i="28"/>
  <c r="AZ40" i="28"/>
  <c r="BA40" i="28"/>
  <c r="BB40" i="28"/>
  <c r="BC40" i="28"/>
  <c r="BD40" i="28"/>
  <c r="BE40" i="28"/>
  <c r="BF40" i="28"/>
  <c r="BG40" i="28"/>
  <c r="BH40" i="28"/>
  <c r="BI40" i="28"/>
  <c r="K41" i="28"/>
  <c r="L41" i="28"/>
  <c r="M41" i="28"/>
  <c r="N41" i="28"/>
  <c r="O41" i="28"/>
  <c r="P41" i="28"/>
  <c r="Q41" i="28"/>
  <c r="R41" i="28"/>
  <c r="S41" i="28"/>
  <c r="T41" i="28"/>
  <c r="U41" i="28"/>
  <c r="V41" i="28"/>
  <c r="W41" i="28"/>
  <c r="X41" i="28"/>
  <c r="Y41" i="28"/>
  <c r="Z41" i="28"/>
  <c r="AA41" i="28"/>
  <c r="AC41" i="28"/>
  <c r="AD41" i="28"/>
  <c r="AE41" i="28"/>
  <c r="AF41" i="28"/>
  <c r="AG41" i="28"/>
  <c r="AH41" i="28"/>
  <c r="AI41" i="28"/>
  <c r="AJ41" i="28"/>
  <c r="AK41" i="28"/>
  <c r="AL41" i="28"/>
  <c r="AM41" i="28"/>
  <c r="AN41" i="28"/>
  <c r="AO41" i="28"/>
  <c r="AP41" i="28"/>
  <c r="AQ41" i="28"/>
  <c r="AR41" i="28"/>
  <c r="AS41" i="28"/>
  <c r="AT41" i="28"/>
  <c r="AU41" i="28"/>
  <c r="AV41" i="28"/>
  <c r="AW41" i="28"/>
  <c r="AX41" i="28"/>
  <c r="AY41" i="28"/>
  <c r="AZ41" i="28"/>
  <c r="BA41" i="28"/>
  <c r="BB41" i="28"/>
  <c r="BC41" i="28"/>
  <c r="BD41" i="28"/>
  <c r="BE41" i="28"/>
  <c r="BF41" i="28"/>
  <c r="BG41" i="28"/>
  <c r="BH41" i="28"/>
  <c r="BI41" i="28"/>
  <c r="K42" i="28"/>
  <c r="L42" i="28"/>
  <c r="M42" i="28"/>
  <c r="N42" i="28"/>
  <c r="O42" i="28"/>
  <c r="P42" i="28"/>
  <c r="Q42" i="28"/>
  <c r="R42" i="28"/>
  <c r="S42" i="28"/>
  <c r="T42" i="28"/>
  <c r="U42" i="28"/>
  <c r="V42" i="28"/>
  <c r="W42" i="28"/>
  <c r="X42" i="28"/>
  <c r="Y42" i="28"/>
  <c r="Z42" i="28"/>
  <c r="AA42" i="28"/>
  <c r="AC42" i="28"/>
  <c r="AD42" i="28"/>
  <c r="AE42" i="28"/>
  <c r="AF42" i="28"/>
  <c r="AG42" i="28"/>
  <c r="AH42" i="28"/>
  <c r="AI42" i="28"/>
  <c r="AJ42" i="28"/>
  <c r="AK42" i="28"/>
  <c r="AL42" i="28"/>
  <c r="AM42" i="28"/>
  <c r="AN42" i="28"/>
  <c r="AO42" i="28"/>
  <c r="AP42" i="28"/>
  <c r="AQ42" i="28"/>
  <c r="AR42" i="28"/>
  <c r="AS42" i="28"/>
  <c r="AT42" i="28"/>
  <c r="AU42" i="28"/>
  <c r="AV42" i="28"/>
  <c r="AW42" i="28"/>
  <c r="AX42" i="28"/>
  <c r="AY42" i="28"/>
  <c r="AZ42" i="28"/>
  <c r="BA42" i="28"/>
  <c r="BB42" i="28"/>
  <c r="BC42" i="28"/>
  <c r="BD42" i="28"/>
  <c r="BE42" i="28"/>
  <c r="BF42" i="28"/>
  <c r="BG42" i="28"/>
  <c r="BH42" i="28"/>
  <c r="BI42" i="28"/>
  <c r="K43" i="28"/>
  <c r="L43" i="28"/>
  <c r="M43" i="28"/>
  <c r="N43" i="28"/>
  <c r="O43" i="28"/>
  <c r="P43" i="28"/>
  <c r="Q43" i="28"/>
  <c r="R43" i="28"/>
  <c r="S43" i="28"/>
  <c r="T43" i="28"/>
  <c r="U43" i="28"/>
  <c r="V43" i="28"/>
  <c r="W43" i="28"/>
  <c r="X43" i="28"/>
  <c r="Y43" i="28"/>
  <c r="Z43" i="28"/>
  <c r="AA43" i="28"/>
  <c r="AC43" i="28"/>
  <c r="AD43" i="28"/>
  <c r="AE43" i="28"/>
  <c r="AF43" i="28"/>
  <c r="AG43" i="28"/>
  <c r="AH43" i="28"/>
  <c r="AI43" i="28"/>
  <c r="AJ43" i="28"/>
  <c r="AK43" i="28"/>
  <c r="AL43" i="28"/>
  <c r="AM43" i="28"/>
  <c r="AN43" i="28"/>
  <c r="AO43" i="28"/>
  <c r="AP43" i="28"/>
  <c r="AQ43" i="28"/>
  <c r="AR43" i="28"/>
  <c r="AS43" i="28"/>
  <c r="AT43" i="28"/>
  <c r="AU43" i="28"/>
  <c r="AV43" i="28"/>
  <c r="AW43" i="28"/>
  <c r="AX43" i="28"/>
  <c r="AY43" i="28"/>
  <c r="AZ43" i="28"/>
  <c r="BA43" i="28"/>
  <c r="BB43" i="28"/>
  <c r="BC43" i="28"/>
  <c r="BD43" i="28"/>
  <c r="BE43" i="28"/>
  <c r="BF43" i="28"/>
  <c r="BG43" i="28"/>
  <c r="BH43" i="28"/>
  <c r="BI43" i="28"/>
  <c r="K44" i="28"/>
  <c r="L44" i="28"/>
  <c r="M44" i="28"/>
  <c r="N44" i="28"/>
  <c r="O44" i="28"/>
  <c r="P44" i="28"/>
  <c r="Q44" i="28"/>
  <c r="R44" i="28"/>
  <c r="S44" i="28"/>
  <c r="T44" i="28"/>
  <c r="U44" i="28"/>
  <c r="V44" i="28"/>
  <c r="W44" i="28"/>
  <c r="X44" i="28"/>
  <c r="Y44" i="28"/>
  <c r="Z44" i="28"/>
  <c r="AA44" i="28"/>
  <c r="AC44" i="28"/>
  <c r="AD44" i="28"/>
  <c r="AE44" i="28"/>
  <c r="AF44" i="28"/>
  <c r="AG44" i="28"/>
  <c r="AH44" i="28"/>
  <c r="AI44" i="28"/>
  <c r="AJ44" i="28"/>
  <c r="AK44" i="28"/>
  <c r="AL44" i="28"/>
  <c r="AM44" i="28"/>
  <c r="AN44" i="28"/>
  <c r="AO44" i="28"/>
  <c r="AP44" i="28"/>
  <c r="AQ44" i="28"/>
  <c r="AR44" i="28"/>
  <c r="AS44" i="28"/>
  <c r="AT44" i="28"/>
  <c r="AU44" i="28"/>
  <c r="AV44" i="28"/>
  <c r="AW44" i="28"/>
  <c r="AX44" i="28"/>
  <c r="AY44" i="28"/>
  <c r="AZ44" i="28"/>
  <c r="BA44" i="28"/>
  <c r="BB44" i="28"/>
  <c r="BC44" i="28"/>
  <c r="BD44" i="28"/>
  <c r="BE44" i="28"/>
  <c r="BF44" i="28"/>
  <c r="BG44" i="28"/>
  <c r="BH44" i="28"/>
  <c r="BI44" i="28"/>
  <c r="K45" i="28"/>
  <c r="L45" i="28"/>
  <c r="M45" i="28"/>
  <c r="N45" i="28"/>
  <c r="O45" i="28"/>
  <c r="P45" i="28"/>
  <c r="Q45" i="28"/>
  <c r="R45" i="28"/>
  <c r="S45" i="28"/>
  <c r="T45" i="28"/>
  <c r="U45" i="28"/>
  <c r="V45" i="28"/>
  <c r="W45" i="28"/>
  <c r="X45" i="28"/>
  <c r="Y45" i="28"/>
  <c r="Z45" i="28"/>
  <c r="AA45" i="28"/>
  <c r="AC45" i="28"/>
  <c r="AD45" i="28"/>
  <c r="AE45" i="28"/>
  <c r="AF45" i="28"/>
  <c r="AG45" i="28"/>
  <c r="AH45" i="28"/>
  <c r="AI45" i="28"/>
  <c r="AJ45" i="28"/>
  <c r="AK45" i="28"/>
  <c r="AL45" i="28"/>
  <c r="AM45" i="28"/>
  <c r="AN45" i="28"/>
  <c r="AO45" i="28"/>
  <c r="AP45" i="28"/>
  <c r="AQ45" i="28"/>
  <c r="AR45" i="28"/>
  <c r="AS45" i="28"/>
  <c r="AT45" i="28"/>
  <c r="AU45" i="28"/>
  <c r="AV45" i="28"/>
  <c r="AW45" i="28"/>
  <c r="AX45" i="28"/>
  <c r="AY45" i="28"/>
  <c r="AZ45" i="28"/>
  <c r="BA45" i="28"/>
  <c r="BB45" i="28"/>
  <c r="BC45" i="28"/>
  <c r="BD45" i="28"/>
  <c r="BE45" i="28"/>
  <c r="BF45" i="28"/>
  <c r="BG45" i="28"/>
  <c r="BH45" i="28"/>
  <c r="BI45" i="28"/>
  <c r="K46" i="28"/>
  <c r="L46" i="28"/>
  <c r="M46" i="28"/>
  <c r="N46" i="28"/>
  <c r="O46" i="28"/>
  <c r="P46" i="28"/>
  <c r="Q46" i="28"/>
  <c r="R46" i="28"/>
  <c r="S46" i="28"/>
  <c r="T46" i="28"/>
  <c r="U46" i="28"/>
  <c r="V46" i="28"/>
  <c r="W46" i="28"/>
  <c r="X46" i="28"/>
  <c r="Y46" i="28"/>
  <c r="Z46" i="28"/>
  <c r="AA46" i="28"/>
  <c r="AB46" i="28"/>
  <c r="AC46" i="28"/>
  <c r="AD46" i="28"/>
  <c r="AE46" i="28"/>
  <c r="AF46" i="28"/>
  <c r="AG46" i="28"/>
  <c r="AH46" i="28"/>
  <c r="AI46" i="28"/>
  <c r="AJ46" i="28"/>
  <c r="AK46" i="28"/>
  <c r="AL46" i="28"/>
  <c r="AM46" i="28"/>
  <c r="AN46" i="28"/>
  <c r="AO46" i="28"/>
  <c r="AP46" i="28"/>
  <c r="AQ46" i="28"/>
  <c r="AR46" i="28"/>
  <c r="AS46" i="28"/>
  <c r="AT46" i="28"/>
  <c r="AU46" i="28"/>
  <c r="AV46" i="28"/>
  <c r="AW46" i="28"/>
  <c r="AX46" i="28"/>
  <c r="AY46" i="28"/>
  <c r="AZ46" i="28"/>
  <c r="BA46" i="28"/>
  <c r="BB46" i="28"/>
  <c r="BC46" i="28"/>
  <c r="BD46" i="28"/>
  <c r="BE46" i="28"/>
  <c r="BF46" i="28"/>
  <c r="BG46" i="28"/>
  <c r="BH46" i="28"/>
  <c r="BI46" i="28"/>
  <c r="K47" i="28"/>
  <c r="L47" i="28"/>
  <c r="M47" i="28"/>
  <c r="N47" i="28"/>
  <c r="O47" i="28"/>
  <c r="P47" i="28"/>
  <c r="Q47" i="28"/>
  <c r="R47" i="28"/>
  <c r="S47" i="28"/>
  <c r="T47" i="28"/>
  <c r="U47" i="28"/>
  <c r="V47" i="28"/>
  <c r="W47" i="28"/>
  <c r="X47" i="28"/>
  <c r="Y47" i="28"/>
  <c r="Z47" i="28"/>
  <c r="AA47" i="28"/>
  <c r="AB47" i="28"/>
  <c r="AC47" i="28"/>
  <c r="AD47" i="28"/>
  <c r="AE47" i="28"/>
  <c r="AF47" i="28"/>
  <c r="AG47" i="28"/>
  <c r="AH47" i="28"/>
  <c r="AI47" i="28"/>
  <c r="AJ47" i="28"/>
  <c r="AK47" i="28"/>
  <c r="AL47" i="28"/>
  <c r="AM47" i="28"/>
  <c r="AN47" i="28"/>
  <c r="AO47" i="28"/>
  <c r="AP47" i="28"/>
  <c r="AQ47" i="28"/>
  <c r="AR47" i="28"/>
  <c r="AS47" i="28"/>
  <c r="AT47" i="28"/>
  <c r="AU47" i="28"/>
  <c r="AV47" i="28"/>
  <c r="AW47" i="28"/>
  <c r="AX47" i="28"/>
  <c r="AY47" i="28"/>
  <c r="AZ47" i="28"/>
  <c r="BA47" i="28"/>
  <c r="BB47" i="28"/>
  <c r="BC47" i="28"/>
  <c r="BD47" i="28"/>
  <c r="BE47" i="28"/>
  <c r="BF47" i="28"/>
  <c r="BG47" i="28"/>
  <c r="BH47" i="28"/>
  <c r="BI47" i="28"/>
  <c r="K48" i="28"/>
  <c r="L48" i="28"/>
  <c r="M48" i="28"/>
  <c r="O48" i="28"/>
  <c r="P48" i="28"/>
  <c r="Q48" i="28"/>
  <c r="R48" i="28"/>
  <c r="T48" i="28"/>
  <c r="U48" i="28"/>
  <c r="V48" i="28"/>
  <c r="Y48" i="28"/>
  <c r="Z48" i="28"/>
  <c r="AA48" i="28"/>
  <c r="AF48" i="28"/>
  <c r="AG48" i="28"/>
  <c r="AH48" i="28"/>
  <c r="AI48" i="28"/>
  <c r="AJ48" i="28"/>
  <c r="AK48" i="28"/>
  <c r="AL48" i="28"/>
  <c r="AM48" i="28"/>
  <c r="AN48" i="28"/>
  <c r="AP48" i="28"/>
  <c r="AQ48" i="28"/>
  <c r="AR48" i="28"/>
  <c r="AT48" i="28"/>
  <c r="AU48" i="28"/>
  <c r="AV48" i="28"/>
  <c r="AW48" i="28"/>
  <c r="BB48" i="28"/>
  <c r="K49" i="28"/>
  <c r="L49" i="28"/>
  <c r="M49" i="28"/>
  <c r="O49" i="28"/>
  <c r="P49" i="28"/>
  <c r="Q49" i="28"/>
  <c r="R49" i="28"/>
  <c r="T49" i="28"/>
  <c r="U49" i="28"/>
  <c r="V49" i="28"/>
  <c r="W49" i="28"/>
  <c r="X49" i="28"/>
  <c r="Y49" i="28"/>
  <c r="Z49" i="28"/>
  <c r="AA49" i="28"/>
  <c r="AF49" i="28"/>
  <c r="AG49" i="28"/>
  <c r="AH49" i="28"/>
  <c r="AI49" i="28"/>
  <c r="AJ49" i="28"/>
  <c r="AK49" i="28"/>
  <c r="AL49" i="28"/>
  <c r="AM49" i="28"/>
  <c r="AN49" i="28"/>
  <c r="AP49" i="28"/>
  <c r="AQ49" i="28"/>
  <c r="AR49" i="28"/>
  <c r="AV49" i="28"/>
  <c r="K50" i="28"/>
  <c r="L50" i="28"/>
  <c r="M50" i="28"/>
  <c r="N50" i="28"/>
  <c r="O50" i="28"/>
  <c r="P50" i="28"/>
  <c r="Q50" i="28"/>
  <c r="R50" i="28"/>
  <c r="S50" i="28"/>
  <c r="T50" i="28"/>
  <c r="U50" i="28"/>
  <c r="V50" i="28"/>
  <c r="W50" i="28"/>
  <c r="X50" i="28"/>
  <c r="Y50" i="28"/>
  <c r="Z50" i="28"/>
  <c r="AA50" i="28"/>
  <c r="AB50" i="28"/>
  <c r="AC50" i="28"/>
  <c r="AD50" i="28"/>
  <c r="AE50" i="28"/>
  <c r="AF50" i="28"/>
  <c r="AG50" i="28"/>
  <c r="AH50" i="28"/>
  <c r="AI50" i="28"/>
  <c r="AJ50" i="28"/>
  <c r="AK50" i="28"/>
  <c r="AL50" i="28"/>
  <c r="AM50" i="28"/>
  <c r="AN50" i="28"/>
  <c r="AO50" i="28"/>
  <c r="AP50" i="28"/>
  <c r="AQ50" i="28"/>
  <c r="AR50" i="28"/>
  <c r="AS50" i="28"/>
  <c r="AT50" i="28"/>
  <c r="AU50" i="28"/>
  <c r="AV50" i="28"/>
  <c r="AW50" i="28"/>
  <c r="AX50" i="28"/>
  <c r="AY50" i="28"/>
  <c r="AZ50" i="28"/>
  <c r="BA50" i="28"/>
  <c r="BB50" i="28"/>
  <c r="BC50" i="28"/>
  <c r="BD50" i="28"/>
  <c r="BE50" i="28"/>
  <c r="BF50" i="28"/>
  <c r="BG50" i="28"/>
  <c r="BH50" i="28"/>
  <c r="BI50" i="28"/>
  <c r="K51" i="28"/>
  <c r="L51" i="28"/>
  <c r="M51" i="28"/>
  <c r="N51" i="28"/>
  <c r="O51" i="28"/>
  <c r="P51" i="28"/>
  <c r="Q51" i="28"/>
  <c r="R51" i="28"/>
  <c r="S51" i="28"/>
  <c r="T51" i="28"/>
  <c r="U51" i="28"/>
  <c r="V51" i="28"/>
  <c r="Y51" i="28"/>
  <c r="Z51" i="28"/>
  <c r="AA51" i="28"/>
  <c r="AB51" i="28"/>
  <c r="AF51" i="28"/>
  <c r="AG51" i="28"/>
  <c r="AH51" i="28"/>
  <c r="AI51" i="28"/>
  <c r="AJ51" i="28"/>
  <c r="AK51" i="28"/>
  <c r="AL51" i="28"/>
  <c r="AM51" i="28"/>
  <c r="AN51" i="28"/>
  <c r="AP51" i="28"/>
  <c r="AQ51" i="28"/>
  <c r="AR51" i="28"/>
  <c r="AS51" i="28"/>
  <c r="AT51" i="28"/>
  <c r="AV51" i="28"/>
  <c r="AW51" i="28"/>
  <c r="AY51" i="28"/>
  <c r="AZ51" i="28"/>
  <c r="BA51" i="28"/>
  <c r="BB51" i="28"/>
  <c r="BC51" i="28"/>
  <c r="BD51" i="28"/>
  <c r="BE51" i="28"/>
  <c r="BF51" i="28"/>
  <c r="BH51" i="28"/>
  <c r="BI51" i="28"/>
  <c r="K52" i="28"/>
  <c r="L52" i="28"/>
  <c r="M52" i="28"/>
  <c r="N52" i="28"/>
  <c r="O52" i="28"/>
  <c r="P52" i="28"/>
  <c r="Q52" i="28"/>
  <c r="R52" i="28"/>
  <c r="S52" i="28"/>
  <c r="T52" i="28"/>
  <c r="U52" i="28"/>
  <c r="V52" i="28"/>
  <c r="Y52" i="28"/>
  <c r="Z52" i="28"/>
  <c r="AA52" i="28"/>
  <c r="AB52" i="28"/>
  <c r="AF52" i="28"/>
  <c r="AG52" i="28"/>
  <c r="AH52" i="28"/>
  <c r="AI52" i="28"/>
  <c r="AJ52" i="28"/>
  <c r="AK52" i="28"/>
  <c r="AL52" i="28"/>
  <c r="AM52" i="28"/>
  <c r="AN52" i="28"/>
  <c r="AP52" i="28"/>
  <c r="AQ52" i="28"/>
  <c r="AR52" i="28"/>
  <c r="AS52" i="28"/>
  <c r="AT52" i="28"/>
  <c r="AU52" i="28"/>
  <c r="AV52" i="28"/>
  <c r="AW52" i="28"/>
  <c r="AY52" i="28"/>
  <c r="AZ52" i="28"/>
  <c r="BA52" i="28"/>
  <c r="BB52" i="28"/>
  <c r="BC52" i="28"/>
  <c r="BD52" i="28"/>
  <c r="BE52" i="28"/>
  <c r="BF52" i="28"/>
  <c r="BH52" i="28"/>
  <c r="BI52" i="28"/>
  <c r="K53" i="28"/>
  <c r="L53" i="28"/>
  <c r="M53" i="28"/>
  <c r="N53" i="28"/>
  <c r="O53" i="28"/>
  <c r="P53" i="28"/>
  <c r="Q53" i="28"/>
  <c r="R53" i="28"/>
  <c r="S53" i="28"/>
  <c r="T53" i="28"/>
  <c r="U53" i="28"/>
  <c r="V53" i="28"/>
  <c r="W53" i="28"/>
  <c r="X53" i="28"/>
  <c r="Y53" i="28"/>
  <c r="Z53" i="28"/>
  <c r="AA53" i="28"/>
  <c r="AC53" i="28"/>
  <c r="AD53" i="28"/>
  <c r="AE53" i="28"/>
  <c r="AF53" i="28"/>
  <c r="AG53" i="28"/>
  <c r="AH53" i="28"/>
  <c r="AI53" i="28"/>
  <c r="AJ53" i="28"/>
  <c r="AK53" i="28"/>
  <c r="AL53" i="28"/>
  <c r="AM53" i="28"/>
  <c r="AN53" i="28"/>
  <c r="AO53" i="28"/>
  <c r="AP53" i="28"/>
  <c r="AQ53" i="28"/>
  <c r="AR53" i="28"/>
  <c r="AS53" i="28"/>
  <c r="AT53" i="28"/>
  <c r="AU53" i="28"/>
  <c r="AV53" i="28"/>
  <c r="AW53" i="28"/>
  <c r="AX53" i="28"/>
  <c r="AY53" i="28"/>
  <c r="AZ53" i="28"/>
  <c r="BA53" i="28"/>
  <c r="BB53" i="28"/>
  <c r="BC53" i="28"/>
  <c r="BD53" i="28"/>
  <c r="BE53" i="28"/>
  <c r="BF53" i="28"/>
  <c r="BG53" i="28"/>
  <c r="BH53" i="28"/>
  <c r="BI53" i="28"/>
  <c r="K54" i="28"/>
  <c r="L54" i="28"/>
  <c r="M54" i="28"/>
  <c r="N54" i="28"/>
  <c r="O54" i="28"/>
  <c r="P54" i="28"/>
  <c r="Q54" i="28"/>
  <c r="R54" i="28"/>
  <c r="S54" i="28"/>
  <c r="T54" i="28"/>
  <c r="U54" i="28"/>
  <c r="V54" i="28"/>
  <c r="Y54" i="28"/>
  <c r="Z54" i="28"/>
  <c r="AA54" i="28"/>
  <c r="AF54" i="28"/>
  <c r="AG54" i="28"/>
  <c r="AH54" i="28"/>
  <c r="AI54" i="28"/>
  <c r="AJ54" i="28"/>
  <c r="AK54" i="28"/>
  <c r="AL54" i="28"/>
  <c r="AM54" i="28"/>
  <c r="AN54" i="28"/>
  <c r="AP54" i="28"/>
  <c r="AQ54" i="28"/>
  <c r="AR54" i="28"/>
  <c r="AS54" i="28"/>
  <c r="AT54" i="28"/>
  <c r="AU54" i="28"/>
  <c r="AV54" i="28"/>
  <c r="AW54" i="28"/>
  <c r="AY54" i="28"/>
  <c r="AZ54" i="28"/>
  <c r="BA54" i="28"/>
  <c r="BB54" i="28"/>
  <c r="BC54" i="28"/>
  <c r="BD54" i="28"/>
  <c r="BE54" i="28"/>
  <c r="BF54" i="28"/>
  <c r="BG54" i="28"/>
  <c r="BH54" i="28"/>
  <c r="BI54" i="28"/>
  <c r="K55" i="28"/>
  <c r="L55" i="28"/>
  <c r="M55" i="28"/>
  <c r="N55" i="28"/>
  <c r="O55" i="28"/>
  <c r="P55" i="28"/>
  <c r="Q55" i="28"/>
  <c r="R55" i="28"/>
  <c r="S55" i="28"/>
  <c r="T55" i="28"/>
  <c r="U55" i="28"/>
  <c r="V55" i="28"/>
  <c r="Y55" i="28"/>
  <c r="Z55" i="28"/>
  <c r="AA55" i="28"/>
  <c r="AF55" i="28"/>
  <c r="AG55" i="28"/>
  <c r="AH55" i="28"/>
  <c r="AI55" i="28"/>
  <c r="AJ55" i="28"/>
  <c r="AK55" i="28"/>
  <c r="AL55" i="28"/>
  <c r="AM55" i="28"/>
  <c r="AN55" i="28"/>
  <c r="AP55" i="28"/>
  <c r="AQ55" i="28"/>
  <c r="AR55" i="28"/>
  <c r="AS55" i="28"/>
  <c r="AT55" i="28"/>
  <c r="AU55" i="28"/>
  <c r="AV55" i="28"/>
  <c r="AW55" i="28"/>
  <c r="AY55" i="28"/>
  <c r="AZ55" i="28"/>
  <c r="BA55" i="28"/>
  <c r="BB55" i="28"/>
  <c r="BC55" i="28"/>
  <c r="BE55" i="28"/>
  <c r="BF55" i="28"/>
  <c r="BG55" i="28"/>
  <c r="BH55" i="28"/>
  <c r="BI55" i="28"/>
  <c r="K56" i="28"/>
  <c r="L56" i="28"/>
  <c r="M56" i="28"/>
  <c r="N56" i="28"/>
  <c r="O56" i="28"/>
  <c r="P56" i="28"/>
  <c r="Q56" i="28"/>
  <c r="R56" i="28"/>
  <c r="S56" i="28"/>
  <c r="T56" i="28"/>
  <c r="U56" i="28"/>
  <c r="V56" i="28"/>
  <c r="W56" i="28"/>
  <c r="X56" i="28"/>
  <c r="Y56" i="28"/>
  <c r="Z56" i="28"/>
  <c r="AA56" i="28"/>
  <c r="AB56" i="28"/>
  <c r="AC56" i="28"/>
  <c r="AD56" i="28"/>
  <c r="AE56" i="28"/>
  <c r="AF56" i="28"/>
  <c r="AG56" i="28"/>
  <c r="AH56" i="28"/>
  <c r="AI56" i="28"/>
  <c r="AJ56" i="28"/>
  <c r="AK56" i="28"/>
  <c r="AL56" i="28"/>
  <c r="AM56" i="28"/>
  <c r="AN56" i="28"/>
  <c r="AO56" i="28"/>
  <c r="AP56" i="28"/>
  <c r="AQ56" i="28"/>
  <c r="AR56" i="28"/>
  <c r="AS56" i="28"/>
  <c r="AT56" i="28"/>
  <c r="AU56" i="28"/>
  <c r="AV56" i="28"/>
  <c r="AW56" i="28"/>
  <c r="AX56" i="28"/>
  <c r="AY56" i="28"/>
  <c r="AZ56" i="28"/>
  <c r="BA56" i="28"/>
  <c r="BB56" i="28"/>
  <c r="BC56" i="28"/>
  <c r="BD56" i="28"/>
  <c r="BE56" i="28"/>
  <c r="BF56" i="28"/>
  <c r="BG56" i="28"/>
  <c r="BH56" i="28"/>
  <c r="BI56" i="28"/>
  <c r="K57" i="28"/>
  <c r="L57" i="28"/>
  <c r="M57" i="28"/>
  <c r="N57" i="28"/>
  <c r="O57" i="28"/>
  <c r="P57" i="28"/>
  <c r="Q57" i="28"/>
  <c r="R57" i="28"/>
  <c r="S57" i="28"/>
  <c r="T57" i="28"/>
  <c r="U57" i="28"/>
  <c r="V57" i="28"/>
  <c r="W57" i="28"/>
  <c r="X57" i="28"/>
  <c r="Y57" i="28"/>
  <c r="Z57" i="28"/>
  <c r="AA57" i="28"/>
  <c r="AB57" i="28"/>
  <c r="AC57" i="28"/>
  <c r="AD57" i="28"/>
  <c r="AE57" i="28"/>
  <c r="AF57" i="28"/>
  <c r="AG57" i="28"/>
  <c r="AH57" i="28"/>
  <c r="AI57" i="28"/>
  <c r="AJ57" i="28"/>
  <c r="AK57" i="28"/>
  <c r="AL57" i="28"/>
  <c r="AM57" i="28"/>
  <c r="AN57" i="28"/>
  <c r="AO57" i="28"/>
  <c r="AP57" i="28"/>
  <c r="AQ57" i="28"/>
  <c r="AR57" i="28"/>
  <c r="AS57" i="28"/>
  <c r="AT57" i="28"/>
  <c r="AU57" i="28"/>
  <c r="AV57" i="28"/>
  <c r="AW57" i="28"/>
  <c r="AX57" i="28"/>
  <c r="AY57" i="28"/>
  <c r="AZ57" i="28"/>
  <c r="BA57" i="28"/>
  <c r="BB57" i="28"/>
  <c r="BC57" i="28"/>
  <c r="BD57" i="28"/>
  <c r="BE57" i="28"/>
  <c r="BF57" i="28"/>
  <c r="BG57" i="28"/>
  <c r="BH57" i="28"/>
  <c r="BI57" i="28"/>
  <c r="K58" i="28"/>
  <c r="L58" i="28"/>
  <c r="M58" i="28"/>
  <c r="N58" i="28"/>
  <c r="O58" i="28"/>
  <c r="P58" i="28"/>
  <c r="Q58" i="28"/>
  <c r="R58" i="28"/>
  <c r="S58" i="28"/>
  <c r="T58" i="28"/>
  <c r="U58" i="28"/>
  <c r="V58" i="28"/>
  <c r="W58" i="28"/>
  <c r="X58" i="28"/>
  <c r="Y58" i="28"/>
  <c r="Z58" i="28"/>
  <c r="AA58" i="28"/>
  <c r="AB58" i="28"/>
  <c r="AC58" i="28"/>
  <c r="AD58" i="28"/>
  <c r="AE58" i="28"/>
  <c r="AF58" i="28"/>
  <c r="AG58" i="28"/>
  <c r="AH58" i="28"/>
  <c r="AI58" i="28"/>
  <c r="AJ58" i="28"/>
  <c r="AK58" i="28"/>
  <c r="AL58" i="28"/>
  <c r="AM58" i="28"/>
  <c r="AN58" i="28"/>
  <c r="AO58" i="28"/>
  <c r="AP58" i="28"/>
  <c r="AQ58" i="28"/>
  <c r="AR58" i="28"/>
  <c r="AS58" i="28"/>
  <c r="AT58" i="28"/>
  <c r="AU58" i="28"/>
  <c r="AV58" i="28"/>
  <c r="AW58" i="28"/>
  <c r="AX58" i="28"/>
  <c r="AY58" i="28"/>
  <c r="AZ58" i="28"/>
  <c r="BA58" i="28"/>
  <c r="BB58" i="28"/>
  <c r="BC58" i="28"/>
  <c r="BD58" i="28"/>
  <c r="BE58" i="28"/>
  <c r="BF58" i="28"/>
  <c r="BG58" i="28"/>
  <c r="BH58" i="28"/>
  <c r="BI58" i="28"/>
  <c r="K59" i="28"/>
  <c r="L59" i="28"/>
  <c r="M59" i="28"/>
  <c r="N59" i="28"/>
  <c r="O59" i="28"/>
  <c r="P59" i="28"/>
  <c r="Q59" i="28"/>
  <c r="R59" i="28"/>
  <c r="S59" i="28"/>
  <c r="T59" i="28"/>
  <c r="U59" i="28"/>
  <c r="Y59" i="28"/>
  <c r="Z59" i="28"/>
  <c r="AA59" i="28"/>
  <c r="AB59" i="28"/>
  <c r="AF59" i="28"/>
  <c r="AG59" i="28"/>
  <c r="AH59" i="28"/>
  <c r="AI59" i="28"/>
  <c r="AJ59" i="28"/>
  <c r="AK59" i="28"/>
  <c r="AL59" i="28"/>
  <c r="AM59" i="28"/>
  <c r="AN59" i="28"/>
  <c r="AP59" i="28"/>
  <c r="AQ59" i="28"/>
  <c r="AR59" i="28"/>
  <c r="AT59" i="28"/>
  <c r="AU59" i="28"/>
  <c r="AV59" i="28"/>
  <c r="AY59" i="28"/>
  <c r="AZ59" i="28"/>
  <c r="BB59" i="28"/>
  <c r="BC59" i="28"/>
  <c r="BE59" i="28"/>
  <c r="BF59" i="28"/>
  <c r="BG59" i="28"/>
  <c r="BH59" i="28"/>
  <c r="BI59" i="28"/>
  <c r="K60" i="28"/>
  <c r="L60" i="28"/>
  <c r="M60" i="28"/>
  <c r="N60" i="28"/>
  <c r="O60" i="28"/>
  <c r="P60" i="28"/>
  <c r="Q60" i="28"/>
  <c r="R60" i="28"/>
  <c r="S60" i="28"/>
  <c r="T60" i="28"/>
  <c r="U60" i="28"/>
  <c r="V60" i="28"/>
  <c r="W60" i="28"/>
  <c r="X60" i="28"/>
  <c r="Y60" i="28"/>
  <c r="Z60" i="28"/>
  <c r="AA60" i="28"/>
  <c r="AB60" i="28"/>
  <c r="AC60" i="28"/>
  <c r="AD60" i="28"/>
  <c r="AE60" i="28"/>
  <c r="AF60" i="28"/>
  <c r="AG60" i="28"/>
  <c r="AH60" i="28"/>
  <c r="AI60" i="28"/>
  <c r="AJ60" i="28"/>
  <c r="AK60" i="28"/>
  <c r="AL60" i="28"/>
  <c r="AM60" i="28"/>
  <c r="AN60" i="28"/>
  <c r="AO60" i="28"/>
  <c r="AP60" i="28"/>
  <c r="AQ60" i="28"/>
  <c r="AR60" i="28"/>
  <c r="AS60" i="28"/>
  <c r="AT60" i="28"/>
  <c r="AU60" i="28"/>
  <c r="AV60" i="28"/>
  <c r="AW60" i="28"/>
  <c r="AX60" i="28"/>
  <c r="AY60" i="28"/>
  <c r="AZ60" i="28"/>
  <c r="BA60" i="28"/>
  <c r="BB60" i="28"/>
  <c r="BC60" i="28"/>
  <c r="BD60" i="28"/>
  <c r="BE60" i="28"/>
  <c r="BF60" i="28"/>
  <c r="BG60" i="28"/>
  <c r="BH60" i="28"/>
  <c r="BI60" i="28"/>
  <c r="K61" i="28"/>
  <c r="L61" i="28"/>
  <c r="M61" i="28"/>
  <c r="N61" i="28"/>
  <c r="O61" i="28"/>
  <c r="P61" i="28"/>
  <c r="Q61" i="28"/>
  <c r="R61" i="28"/>
  <c r="S61" i="28"/>
  <c r="T61" i="28"/>
  <c r="U61" i="28"/>
  <c r="Y61" i="28"/>
  <c r="Z61" i="28"/>
  <c r="AA61" i="28"/>
  <c r="AB61" i="28"/>
  <c r="AF61" i="28"/>
  <c r="AG61" i="28"/>
  <c r="AH61" i="28"/>
  <c r="AI61" i="28"/>
  <c r="AJ61" i="28"/>
  <c r="AK61" i="28"/>
  <c r="AL61" i="28"/>
  <c r="AM61" i="28"/>
  <c r="AN61" i="28"/>
  <c r="AP61" i="28"/>
  <c r="AQ61" i="28"/>
  <c r="AR61" i="28"/>
  <c r="AT61" i="28"/>
  <c r="AY61" i="28"/>
  <c r="BA61" i="28"/>
  <c r="BB61" i="28"/>
  <c r="BC61" i="28"/>
  <c r="BE61" i="28"/>
  <c r="BH61" i="28"/>
  <c r="BI61" i="28"/>
  <c r="K62" i="28"/>
  <c r="L62" i="28"/>
  <c r="M62" i="28"/>
  <c r="N62" i="28"/>
  <c r="O62" i="28"/>
  <c r="P62" i="28"/>
  <c r="Q62" i="28"/>
  <c r="R62" i="28"/>
  <c r="S62" i="28"/>
  <c r="T62" i="28"/>
  <c r="U62" i="28"/>
  <c r="Y62" i="28"/>
  <c r="Z62" i="28"/>
  <c r="AA62" i="28"/>
  <c r="AB62" i="28"/>
  <c r="AF62" i="28"/>
  <c r="AG62" i="28"/>
  <c r="AH62" i="28"/>
  <c r="AI62" i="28"/>
  <c r="AJ62" i="28"/>
  <c r="AK62" i="28"/>
  <c r="AL62" i="28"/>
  <c r="AM62" i="28"/>
  <c r="AN62" i="28"/>
  <c r="AP62" i="28"/>
  <c r="AQ62" i="28"/>
  <c r="AR62" i="28"/>
  <c r="AS62" i="28"/>
  <c r="AT62" i="28"/>
  <c r="AU62" i="28"/>
  <c r="AV62" i="28"/>
  <c r="AW62" i="28"/>
  <c r="AX62" i="28"/>
  <c r="AY62" i="28"/>
  <c r="AZ62" i="28"/>
  <c r="BA62" i="28"/>
  <c r="BB62" i="28"/>
  <c r="BC62" i="28"/>
  <c r="BD62" i="28"/>
  <c r="BE62" i="28"/>
  <c r="BF62" i="28"/>
  <c r="BG62" i="28"/>
  <c r="BH62" i="28"/>
  <c r="BI62" i="28"/>
  <c r="K63" i="28"/>
  <c r="L63" i="28"/>
  <c r="M63" i="28"/>
  <c r="N63" i="28"/>
  <c r="O63" i="28"/>
  <c r="P63" i="28"/>
  <c r="Q63" i="28"/>
  <c r="R63" i="28"/>
  <c r="S63" i="28"/>
  <c r="T63" i="28"/>
  <c r="U63" i="28"/>
  <c r="V63" i="28"/>
  <c r="W63" i="28"/>
  <c r="X63" i="28"/>
  <c r="Y63" i="28"/>
  <c r="Z63" i="28"/>
  <c r="AA63" i="28"/>
  <c r="AB63" i="28"/>
  <c r="AC63" i="28"/>
  <c r="AD63" i="28"/>
  <c r="AE63" i="28"/>
  <c r="AF63" i="28"/>
  <c r="AG63" i="28"/>
  <c r="AH63" i="28"/>
  <c r="AI63" i="28"/>
  <c r="AJ63" i="28"/>
  <c r="AK63" i="28"/>
  <c r="AL63" i="28"/>
  <c r="AM63" i="28"/>
  <c r="AN63" i="28"/>
  <c r="AO63" i="28"/>
  <c r="AP63" i="28"/>
  <c r="AQ63" i="28"/>
  <c r="AR63" i="28"/>
  <c r="AS63" i="28"/>
  <c r="AT63" i="28"/>
  <c r="AU63" i="28"/>
  <c r="AV63" i="28"/>
  <c r="AW63" i="28"/>
  <c r="AX63" i="28"/>
  <c r="AY63" i="28"/>
  <c r="AZ63" i="28"/>
  <c r="BA63" i="28"/>
  <c r="BB63" i="28"/>
  <c r="BC63" i="28"/>
  <c r="BD63" i="28"/>
  <c r="BE63" i="28"/>
  <c r="BF63" i="28"/>
  <c r="BG63" i="28"/>
  <c r="BH63" i="28"/>
  <c r="BI63" i="28"/>
  <c r="K64" i="28"/>
  <c r="L64" i="28"/>
  <c r="M64" i="28"/>
  <c r="N64" i="28"/>
  <c r="O64" i="28"/>
  <c r="P64" i="28"/>
  <c r="Q64" i="28"/>
  <c r="R64" i="28"/>
  <c r="S64" i="28"/>
  <c r="T64" i="28"/>
  <c r="U64" i="28"/>
  <c r="V64" i="28"/>
  <c r="W64" i="28"/>
  <c r="X64" i="28"/>
  <c r="Y64" i="28"/>
  <c r="Z64" i="28"/>
  <c r="AA64" i="28"/>
  <c r="AB64" i="28"/>
  <c r="AC64" i="28"/>
  <c r="AD64" i="28"/>
  <c r="AE64" i="28"/>
  <c r="AF64" i="28"/>
  <c r="AG64" i="28"/>
  <c r="AH64" i="28"/>
  <c r="AI64" i="28"/>
  <c r="AJ64" i="28"/>
  <c r="AK64" i="28"/>
  <c r="AL64" i="28"/>
  <c r="AM64" i="28"/>
  <c r="AN64" i="28"/>
  <c r="AO64" i="28"/>
  <c r="AP64" i="28"/>
  <c r="AQ64" i="28"/>
  <c r="AR64" i="28"/>
  <c r="AS64" i="28"/>
  <c r="AT64" i="28"/>
  <c r="AU64" i="28"/>
  <c r="AV64" i="28"/>
  <c r="AW64" i="28"/>
  <c r="AX64" i="28"/>
  <c r="AY64" i="28"/>
  <c r="AZ64" i="28"/>
  <c r="BA64" i="28"/>
  <c r="BB64" i="28"/>
  <c r="BC64" i="28"/>
  <c r="BD64" i="28"/>
  <c r="BE64" i="28"/>
  <c r="BF64" i="28"/>
  <c r="BG64" i="28"/>
  <c r="BH64" i="28"/>
  <c r="BI64" i="28"/>
  <c r="K65" i="28"/>
  <c r="L65" i="28"/>
  <c r="M65" i="28"/>
  <c r="N65" i="28"/>
  <c r="O65" i="28"/>
  <c r="P65" i="28"/>
  <c r="Q65" i="28"/>
  <c r="R65" i="28"/>
  <c r="S65" i="28"/>
  <c r="T65" i="28"/>
  <c r="U65" i="28"/>
  <c r="Y65" i="28"/>
  <c r="Z65" i="28"/>
  <c r="AA65" i="28"/>
  <c r="AB65" i="28"/>
  <c r="AF65" i="28"/>
  <c r="AG65" i="28"/>
  <c r="AH65" i="28"/>
  <c r="AI65" i="28"/>
  <c r="AJ65" i="28"/>
  <c r="AK65" i="28"/>
  <c r="AL65" i="28"/>
  <c r="AM65" i="28"/>
  <c r="AN65" i="28"/>
  <c r="AP65" i="28"/>
  <c r="AQ65" i="28"/>
  <c r="AR65" i="28"/>
  <c r="AT65" i="28"/>
  <c r="AV65" i="28"/>
  <c r="BB65" i="28"/>
  <c r="BC65" i="28"/>
  <c r="BD65" i="28"/>
  <c r="BF65" i="28"/>
  <c r="BG65" i="28"/>
  <c r="BH65" i="28"/>
  <c r="BI65" i="28"/>
  <c r="K66" i="28"/>
  <c r="L66" i="28"/>
  <c r="M66" i="28"/>
  <c r="N66" i="28"/>
  <c r="O66" i="28"/>
  <c r="P66" i="28"/>
  <c r="Q66" i="28"/>
  <c r="R66" i="28"/>
  <c r="S66" i="28"/>
  <c r="T66" i="28"/>
  <c r="U66" i="28"/>
  <c r="Y66" i="28"/>
  <c r="Z66" i="28"/>
  <c r="AA66" i="28"/>
  <c r="AB66" i="28"/>
  <c r="AF66" i="28"/>
  <c r="AG66" i="28"/>
  <c r="AH66" i="28"/>
  <c r="AI66" i="28"/>
  <c r="AJ66" i="28"/>
  <c r="AK66" i="28"/>
  <c r="AL66" i="28"/>
  <c r="AM66" i="28"/>
  <c r="AN66" i="28"/>
  <c r="AP66" i="28"/>
  <c r="AQ66" i="28"/>
  <c r="AR66" i="28"/>
  <c r="AS66" i="28"/>
  <c r="AT66" i="28"/>
  <c r="AU66" i="28"/>
  <c r="AV66" i="28"/>
  <c r="AW66" i="28"/>
  <c r="AY66" i="28"/>
  <c r="AZ66" i="28"/>
  <c r="BA66" i="28"/>
  <c r="BB66" i="28"/>
  <c r="BC66" i="28"/>
  <c r="BD66" i="28"/>
  <c r="BE66" i="28"/>
  <c r="BF66" i="28"/>
  <c r="BG66" i="28"/>
  <c r="BH66" i="28"/>
  <c r="BI66" i="28"/>
  <c r="K67" i="28"/>
  <c r="L67" i="28"/>
  <c r="M67" i="28"/>
  <c r="N67" i="28"/>
  <c r="O67" i="28"/>
  <c r="P67" i="28"/>
  <c r="Q67" i="28"/>
  <c r="R67" i="28"/>
  <c r="S67" i="28"/>
  <c r="T67" i="28"/>
  <c r="U67" i="28"/>
  <c r="Y67" i="28"/>
  <c r="Z67" i="28"/>
  <c r="AA67" i="28"/>
  <c r="AB67" i="28"/>
  <c r="AF67" i="28"/>
  <c r="AG67" i="28"/>
  <c r="AH67" i="28"/>
  <c r="AI67" i="28"/>
  <c r="AJ67" i="28"/>
  <c r="AK67" i="28"/>
  <c r="AL67" i="28"/>
  <c r="AM67" i="28"/>
  <c r="AN67" i="28"/>
  <c r="AP67" i="28"/>
  <c r="AQ67" i="28"/>
  <c r="AR67" i="28"/>
  <c r="AT67" i="28"/>
  <c r="AW67" i="28"/>
  <c r="AY67" i="28"/>
  <c r="AZ67" i="28"/>
  <c r="BB67" i="28"/>
  <c r="BC67" i="28"/>
  <c r="BE67" i="28"/>
  <c r="BF67" i="28"/>
  <c r="BG67" i="28"/>
  <c r="BH67" i="28"/>
  <c r="BI67" i="28"/>
  <c r="K68" i="28"/>
  <c r="L68" i="28"/>
  <c r="M68" i="28"/>
  <c r="N68" i="28"/>
  <c r="O68" i="28"/>
  <c r="P68" i="28"/>
  <c r="Q68" i="28"/>
  <c r="R68" i="28"/>
  <c r="S68" i="28"/>
  <c r="T68" i="28"/>
  <c r="U68" i="28"/>
  <c r="Y68" i="28"/>
  <c r="Z68" i="28"/>
  <c r="AA68" i="28"/>
  <c r="AB68" i="28"/>
  <c r="AF68" i="28"/>
  <c r="AG68" i="28"/>
  <c r="AH68" i="28"/>
  <c r="AI68" i="28"/>
  <c r="AJ68" i="28"/>
  <c r="AK68" i="28"/>
  <c r="AL68" i="28"/>
  <c r="AM68" i="28"/>
  <c r="AN68" i="28"/>
  <c r="AP68" i="28"/>
  <c r="AQ68" i="28"/>
  <c r="AR68" i="28"/>
  <c r="BH68" i="28"/>
  <c r="BI68" i="28"/>
  <c r="K69" i="28"/>
  <c r="L69" i="28"/>
  <c r="M69" i="28"/>
  <c r="N69" i="28"/>
  <c r="O69" i="28"/>
  <c r="P69" i="28"/>
  <c r="Q69" i="28"/>
  <c r="R69" i="28"/>
  <c r="S69" i="28"/>
  <c r="T69" i="28"/>
  <c r="U69" i="28"/>
  <c r="V69" i="28"/>
  <c r="W69" i="28"/>
  <c r="Y69" i="28"/>
  <c r="Z69" i="28"/>
  <c r="AA69" i="28"/>
  <c r="AF69" i="28"/>
  <c r="AG69" i="28"/>
  <c r="AH69" i="28"/>
  <c r="AI69" i="28"/>
  <c r="AJ69" i="28"/>
  <c r="AK69" i="28"/>
  <c r="AL69" i="28"/>
  <c r="AM69" i="28"/>
  <c r="AN69" i="28"/>
  <c r="AP69" i="28"/>
  <c r="AQ69" i="28"/>
  <c r="AR69" i="28"/>
  <c r="AS69" i="28"/>
  <c r="AT69" i="28"/>
  <c r="BC69" i="28"/>
  <c r="BE69" i="28"/>
  <c r="K70" i="28"/>
  <c r="L70" i="28"/>
  <c r="M70" i="28"/>
  <c r="N70" i="28"/>
  <c r="O70" i="28"/>
  <c r="P70" i="28"/>
  <c r="Q70" i="28"/>
  <c r="R70" i="28"/>
  <c r="S70" i="28"/>
  <c r="T70" i="28"/>
  <c r="U70" i="28"/>
  <c r="V70" i="28"/>
  <c r="W70" i="28"/>
  <c r="Y70" i="28"/>
  <c r="Z70" i="28"/>
  <c r="AA70" i="28"/>
  <c r="AF70" i="28"/>
  <c r="AG70" i="28"/>
  <c r="AH70" i="28"/>
  <c r="AI70" i="28"/>
  <c r="AJ70" i="28"/>
  <c r="AK70" i="28"/>
  <c r="AL70" i="28"/>
  <c r="AM70" i="28"/>
  <c r="AN70" i="28"/>
  <c r="AP70" i="28"/>
  <c r="AQ70" i="28"/>
  <c r="AR70" i="28"/>
  <c r="AT70" i="28"/>
  <c r="K71" i="28"/>
  <c r="L71" i="28"/>
  <c r="M71" i="28"/>
  <c r="N71" i="28"/>
  <c r="O71" i="28"/>
  <c r="P71" i="28"/>
  <c r="Q71" i="28"/>
  <c r="R71" i="28"/>
  <c r="S71" i="28"/>
  <c r="T71" i="28"/>
  <c r="U71" i="28"/>
  <c r="V71" i="28"/>
  <c r="W71" i="28"/>
  <c r="X71" i="28"/>
  <c r="Y71" i="28"/>
  <c r="Z71" i="28"/>
  <c r="AA71" i="28"/>
  <c r="AB71" i="28"/>
  <c r="AC71" i="28"/>
  <c r="AD71" i="28"/>
  <c r="AE71" i="28"/>
  <c r="AF71" i="28"/>
  <c r="AG71" i="28"/>
  <c r="AH71" i="28"/>
  <c r="AI71" i="28"/>
  <c r="AJ71" i="28"/>
  <c r="AK71" i="28"/>
  <c r="AL71" i="28"/>
  <c r="AM71" i="28"/>
  <c r="AN71" i="28"/>
  <c r="AO71" i="28"/>
  <c r="AP71" i="28"/>
  <c r="AQ71" i="28"/>
  <c r="AR71" i="28"/>
  <c r="AS71" i="28"/>
  <c r="AT71" i="28"/>
  <c r="AU71" i="28"/>
  <c r="AV71" i="28"/>
  <c r="AW71" i="28"/>
  <c r="AX71" i="28"/>
  <c r="AY71" i="28"/>
  <c r="AZ71" i="28"/>
  <c r="BA71" i="28"/>
  <c r="BB71" i="28"/>
  <c r="BC71" i="28"/>
  <c r="BD71" i="28"/>
  <c r="BE71" i="28"/>
  <c r="BF71" i="28"/>
  <c r="BG71" i="28"/>
  <c r="BH71" i="28"/>
  <c r="BI71" i="28"/>
  <c r="K72" i="28"/>
  <c r="L72" i="28"/>
  <c r="M72" i="28"/>
  <c r="N72" i="28"/>
  <c r="O72" i="28"/>
  <c r="P72" i="28"/>
  <c r="Q72" i="28"/>
  <c r="R72" i="28"/>
  <c r="S72" i="28"/>
  <c r="T72" i="28"/>
  <c r="U72" i="28"/>
  <c r="V72" i="28"/>
  <c r="W72" i="28"/>
  <c r="X72" i="28"/>
  <c r="Y72" i="28"/>
  <c r="Z72" i="28"/>
  <c r="AA72" i="28"/>
  <c r="AB72" i="28"/>
  <c r="AC72" i="28"/>
  <c r="AD72" i="28"/>
  <c r="AE72" i="28"/>
  <c r="AF72" i="28"/>
  <c r="AG72" i="28"/>
  <c r="AH72" i="28"/>
  <c r="AI72" i="28"/>
  <c r="AJ72" i="28"/>
  <c r="AK72" i="28"/>
  <c r="AL72" i="28"/>
  <c r="AM72" i="28"/>
  <c r="AN72" i="28"/>
  <c r="AO72" i="28"/>
  <c r="AP72" i="28"/>
  <c r="AQ72" i="28"/>
  <c r="AR72" i="28"/>
  <c r="AS72" i="28"/>
  <c r="AT72" i="28"/>
  <c r="AU72" i="28"/>
  <c r="AV72" i="28"/>
  <c r="AW72" i="28"/>
  <c r="AX72" i="28"/>
  <c r="AY72" i="28"/>
  <c r="AZ72" i="28"/>
  <c r="BA72" i="28"/>
  <c r="BB72" i="28"/>
  <c r="BC72" i="28"/>
  <c r="BD72" i="28"/>
  <c r="BE72" i="28"/>
  <c r="BF72" i="28"/>
  <c r="BG72" i="28"/>
  <c r="BH72" i="28"/>
  <c r="BI72" i="28"/>
  <c r="K73" i="28"/>
  <c r="L73" i="28"/>
  <c r="M73" i="28"/>
  <c r="N73" i="28"/>
  <c r="O73" i="28"/>
  <c r="P73" i="28"/>
  <c r="Q73" i="28"/>
  <c r="R73" i="28"/>
  <c r="S73" i="28"/>
  <c r="T73" i="28"/>
  <c r="U73" i="28"/>
  <c r="V73" i="28"/>
  <c r="W73" i="28"/>
  <c r="X73" i="28"/>
  <c r="Y73" i="28"/>
  <c r="Z73" i="28"/>
  <c r="AA73" i="28"/>
  <c r="AB73" i="28"/>
  <c r="AC73" i="28"/>
  <c r="AD73" i="28"/>
  <c r="AE73" i="28"/>
  <c r="AF73" i="28"/>
  <c r="AG73" i="28"/>
  <c r="AH73" i="28"/>
  <c r="AI73" i="28"/>
  <c r="AJ73" i="28"/>
  <c r="AK73" i="28"/>
  <c r="AL73" i="28"/>
  <c r="AM73" i="28"/>
  <c r="AN73" i="28"/>
  <c r="AO73" i="28"/>
  <c r="AP73" i="28"/>
  <c r="AQ73" i="28"/>
  <c r="AR73" i="28"/>
  <c r="AS73" i="28"/>
  <c r="AT73" i="28"/>
  <c r="AU73" i="28"/>
  <c r="AV73" i="28"/>
  <c r="AW73" i="28"/>
  <c r="AX73" i="28"/>
  <c r="AY73" i="28"/>
  <c r="AZ73" i="28"/>
  <c r="BA73" i="28"/>
  <c r="BB73" i="28"/>
  <c r="BC73" i="28"/>
  <c r="BD73" i="28"/>
  <c r="BE73" i="28"/>
  <c r="BF73" i="28"/>
  <c r="BG73" i="28"/>
  <c r="BH73" i="28"/>
  <c r="BI73" i="28"/>
  <c r="K74" i="28"/>
  <c r="L74" i="28"/>
  <c r="M74" i="28"/>
  <c r="N74" i="28"/>
  <c r="O74" i="28"/>
  <c r="P74" i="28"/>
  <c r="Q74" i="28"/>
  <c r="R74" i="28"/>
  <c r="S74" i="28"/>
  <c r="T74" i="28"/>
  <c r="U74" i="28"/>
  <c r="V74" i="28"/>
  <c r="W74" i="28"/>
  <c r="X74" i="28"/>
  <c r="Y74" i="28"/>
  <c r="Z74" i="28"/>
  <c r="AA74" i="28"/>
  <c r="AB74" i="28"/>
  <c r="AC74" i="28"/>
  <c r="AD74" i="28"/>
  <c r="AE74" i="28"/>
  <c r="AF74" i="28"/>
  <c r="AG74" i="28"/>
  <c r="AH74" i="28"/>
  <c r="AI74" i="28"/>
  <c r="AJ74" i="28"/>
  <c r="AK74" i="28"/>
  <c r="AL74" i="28"/>
  <c r="AM74" i="28"/>
  <c r="AN74" i="28"/>
  <c r="AO74" i="28"/>
  <c r="AP74" i="28"/>
  <c r="AQ74" i="28"/>
  <c r="AR74" i="28"/>
  <c r="AS74" i="28"/>
  <c r="AT74" i="28"/>
  <c r="AU74" i="28"/>
  <c r="AV74" i="28"/>
  <c r="AW74" i="28"/>
  <c r="AX74" i="28"/>
  <c r="AY74" i="28"/>
  <c r="AZ74" i="28"/>
  <c r="BA74" i="28"/>
  <c r="BB74" i="28"/>
  <c r="BC74" i="28"/>
  <c r="BD74" i="28"/>
  <c r="BE74" i="28"/>
  <c r="BF74" i="28"/>
  <c r="BG74" i="28"/>
  <c r="BH74" i="28"/>
  <c r="BI74" i="28"/>
  <c r="K75" i="28"/>
  <c r="L75" i="28"/>
  <c r="M75" i="28"/>
  <c r="N75" i="28"/>
  <c r="O75" i="28"/>
  <c r="P75" i="28"/>
  <c r="Q75" i="28"/>
  <c r="R75" i="28"/>
  <c r="S75" i="28"/>
  <c r="T75" i="28"/>
  <c r="U75" i="28"/>
  <c r="V75" i="28"/>
  <c r="W75" i="28"/>
  <c r="X75" i="28"/>
  <c r="Y75" i="28"/>
  <c r="Z75" i="28"/>
  <c r="AA75" i="28"/>
  <c r="AB75" i="28"/>
  <c r="AC75" i="28"/>
  <c r="AD75" i="28"/>
  <c r="AE75" i="28"/>
  <c r="AF75" i="28"/>
  <c r="AG75" i="28"/>
  <c r="AH75" i="28"/>
  <c r="AI75" i="28"/>
  <c r="AJ75" i="28"/>
  <c r="AK75" i="28"/>
  <c r="AL75" i="28"/>
  <c r="AM75" i="28"/>
  <c r="AN75" i="28"/>
  <c r="AO75" i="28"/>
  <c r="AP75" i="28"/>
  <c r="AQ75" i="28"/>
  <c r="AR75" i="28"/>
  <c r="AS75" i="28"/>
  <c r="AT75" i="28"/>
  <c r="AU75" i="28"/>
  <c r="AV75" i="28"/>
  <c r="AW75" i="28"/>
  <c r="AX75" i="28"/>
  <c r="AY75" i="28"/>
  <c r="AZ75" i="28"/>
  <c r="BA75" i="28"/>
  <c r="BB75" i="28"/>
  <c r="BC75" i="28"/>
  <c r="BD75" i="28"/>
  <c r="BE75" i="28"/>
  <c r="BF75" i="28"/>
  <c r="BG75" i="28"/>
  <c r="BH75" i="28"/>
  <c r="BI75" i="28"/>
  <c r="K76" i="28"/>
  <c r="L76" i="28"/>
  <c r="M76" i="28"/>
  <c r="N76" i="28"/>
  <c r="O76" i="28"/>
  <c r="P76" i="28"/>
  <c r="Q76" i="28"/>
  <c r="R76" i="28"/>
  <c r="S76" i="28"/>
  <c r="T76" i="28"/>
  <c r="U76" i="28"/>
  <c r="V76" i="28"/>
  <c r="W76" i="28"/>
  <c r="X76" i="28"/>
  <c r="Y76" i="28"/>
  <c r="Z76" i="28"/>
  <c r="AA76" i="28"/>
  <c r="AB76" i="28"/>
  <c r="AC76" i="28"/>
  <c r="AD76" i="28"/>
  <c r="AE76" i="28"/>
  <c r="AF76" i="28"/>
  <c r="AG76" i="28"/>
  <c r="AH76" i="28"/>
  <c r="AI76" i="28"/>
  <c r="AJ76" i="28"/>
  <c r="AK76" i="28"/>
  <c r="AL76" i="28"/>
  <c r="AM76" i="28"/>
  <c r="AN76" i="28"/>
  <c r="AO76" i="28"/>
  <c r="AP76" i="28"/>
  <c r="AQ76" i="28"/>
  <c r="AR76" i="28"/>
  <c r="AS76" i="28"/>
  <c r="AT76" i="28"/>
  <c r="AU76" i="28"/>
  <c r="AV76" i="28"/>
  <c r="AW76" i="28"/>
  <c r="AX76" i="28"/>
  <c r="AY76" i="28"/>
  <c r="AZ76" i="28"/>
  <c r="BA76" i="28"/>
  <c r="BB76" i="28"/>
  <c r="BC76" i="28"/>
  <c r="BD76" i="28"/>
  <c r="BE76" i="28"/>
  <c r="BF76" i="28"/>
  <c r="BG76" i="28"/>
  <c r="BH76" i="28"/>
  <c r="BI76" i="28"/>
  <c r="K77" i="28"/>
  <c r="L77" i="28"/>
  <c r="M77" i="28"/>
  <c r="N77" i="28"/>
  <c r="O77" i="28"/>
  <c r="P77" i="28"/>
  <c r="Q77" i="28"/>
  <c r="R77" i="28"/>
  <c r="S77" i="28"/>
  <c r="T77" i="28"/>
  <c r="U77" i="28"/>
  <c r="V77" i="28"/>
  <c r="W77" i="28"/>
  <c r="X77" i="28"/>
  <c r="Y77" i="28"/>
  <c r="Z77" i="28"/>
  <c r="AA77" i="28"/>
  <c r="AB77" i="28"/>
  <c r="AC77" i="28"/>
  <c r="AD77" i="28"/>
  <c r="AE77" i="28"/>
  <c r="AF77" i="28"/>
  <c r="AG77" i="28"/>
  <c r="AH77" i="28"/>
  <c r="AI77" i="28"/>
  <c r="AJ77" i="28"/>
  <c r="AK77" i="28"/>
  <c r="AL77" i="28"/>
  <c r="AM77" i="28"/>
  <c r="AN77" i="28"/>
  <c r="AO77" i="28"/>
  <c r="AP77" i="28"/>
  <c r="AQ77" i="28"/>
  <c r="AR77" i="28"/>
  <c r="AS77" i="28"/>
  <c r="AT77" i="28"/>
  <c r="AU77" i="28"/>
  <c r="AV77" i="28"/>
  <c r="AW77" i="28"/>
  <c r="AX77" i="28"/>
  <c r="AY77" i="28"/>
  <c r="AZ77" i="28"/>
  <c r="BA77" i="28"/>
  <c r="BB77" i="28"/>
  <c r="BC77" i="28"/>
  <c r="BD77" i="28"/>
  <c r="BE77" i="28"/>
  <c r="BF77" i="28"/>
  <c r="BG77" i="28"/>
  <c r="BH77" i="28"/>
  <c r="BI77" i="28"/>
  <c r="K78" i="28"/>
  <c r="L78" i="28"/>
  <c r="M78" i="28"/>
  <c r="N78" i="28"/>
  <c r="O78" i="28"/>
  <c r="P78" i="28"/>
  <c r="Q78" i="28"/>
  <c r="R78" i="28"/>
  <c r="S78" i="28"/>
  <c r="T78" i="28"/>
  <c r="U78" i="28"/>
  <c r="V78" i="28"/>
  <c r="W78" i="28"/>
  <c r="X78" i="28"/>
  <c r="Y78" i="28"/>
  <c r="Z78" i="28"/>
  <c r="AA78" i="28"/>
  <c r="AB78" i="28"/>
  <c r="AC78" i="28"/>
  <c r="AD78" i="28"/>
  <c r="AE78" i="28"/>
  <c r="AF78" i="28"/>
  <c r="AG78" i="28"/>
  <c r="AH78" i="28"/>
  <c r="AI78" i="28"/>
  <c r="AJ78" i="28"/>
  <c r="AK78" i="28"/>
  <c r="AL78" i="28"/>
  <c r="AM78" i="28"/>
  <c r="AN78" i="28"/>
  <c r="AO78" i="28"/>
  <c r="AP78" i="28"/>
  <c r="AQ78" i="28"/>
  <c r="AR78" i="28"/>
  <c r="AS78" i="28"/>
  <c r="AT78" i="28"/>
  <c r="AU78" i="28"/>
  <c r="AV78" i="28"/>
  <c r="AW78" i="28"/>
  <c r="AX78" i="28"/>
  <c r="AY78" i="28"/>
  <c r="AZ78" i="28"/>
  <c r="BA78" i="28"/>
  <c r="BB78" i="28"/>
  <c r="BC78" i="28"/>
  <c r="BD78" i="28"/>
  <c r="BE78" i="28"/>
  <c r="BF78" i="28"/>
  <c r="BG78" i="28"/>
  <c r="BH78" i="28"/>
  <c r="BI78" i="28"/>
  <c r="K79" i="28"/>
  <c r="L79" i="28"/>
  <c r="M79" i="28"/>
  <c r="N79" i="28"/>
  <c r="O79" i="28"/>
  <c r="P79" i="28"/>
  <c r="Q79" i="28"/>
  <c r="R79" i="28"/>
  <c r="S79" i="28"/>
  <c r="T79" i="28"/>
  <c r="U79" i="28"/>
  <c r="V79" i="28"/>
  <c r="W79" i="28"/>
  <c r="X79" i="28"/>
  <c r="Y79" i="28"/>
  <c r="Z79" i="28"/>
  <c r="AA79" i="28"/>
  <c r="AB79" i="28"/>
  <c r="AC79" i="28"/>
  <c r="AD79" i="28"/>
  <c r="AE79" i="28"/>
  <c r="AF79" i="28"/>
  <c r="AG79" i="28"/>
  <c r="AH79" i="28"/>
  <c r="AI79" i="28"/>
  <c r="AJ79" i="28"/>
  <c r="AK79" i="28"/>
  <c r="AL79" i="28"/>
  <c r="AM79" i="28"/>
  <c r="AN79" i="28"/>
  <c r="AO79" i="28"/>
  <c r="AP79" i="28"/>
  <c r="AQ79" i="28"/>
  <c r="AR79" i="28"/>
  <c r="AS79" i="28"/>
  <c r="AT79" i="28"/>
  <c r="AU79" i="28"/>
  <c r="AV79" i="28"/>
  <c r="AW79" i="28"/>
  <c r="AX79" i="28"/>
  <c r="AY79" i="28"/>
  <c r="AZ79" i="28"/>
  <c r="BA79" i="28"/>
  <c r="BB79" i="28"/>
  <c r="BC79" i="28"/>
  <c r="BD79" i="28"/>
  <c r="BE79" i="28"/>
  <c r="BF79" i="28"/>
  <c r="BG79" i="28"/>
  <c r="BH79" i="28"/>
  <c r="BI79" i="28"/>
  <c r="K80" i="28"/>
  <c r="L80" i="28"/>
  <c r="M80" i="28"/>
  <c r="N80" i="28"/>
  <c r="O80" i="28"/>
  <c r="P80" i="28"/>
  <c r="Q80" i="28"/>
  <c r="R80" i="28"/>
  <c r="S80" i="28"/>
  <c r="T80" i="28"/>
  <c r="U80" i="28"/>
  <c r="V80" i="28"/>
  <c r="W80" i="28"/>
  <c r="X80" i="28"/>
  <c r="Y80" i="28"/>
  <c r="Z80" i="28"/>
  <c r="AA80" i="28"/>
  <c r="AB80" i="28"/>
  <c r="AC80" i="28"/>
  <c r="AD80" i="28"/>
  <c r="AE80" i="28"/>
  <c r="AF80" i="28"/>
  <c r="AG80" i="28"/>
  <c r="AH80" i="28"/>
  <c r="AI80" i="28"/>
  <c r="AJ80" i="28"/>
  <c r="AK80" i="28"/>
  <c r="AL80" i="28"/>
  <c r="AM80" i="28"/>
  <c r="AN80" i="28"/>
  <c r="AO80" i="28"/>
  <c r="AP80" i="28"/>
  <c r="AQ80" i="28"/>
  <c r="AR80" i="28"/>
  <c r="AS80" i="28"/>
  <c r="AT80" i="28"/>
  <c r="AU80" i="28"/>
  <c r="AV80" i="28"/>
  <c r="AW80" i="28"/>
  <c r="AX80" i="28"/>
  <c r="AY80" i="28"/>
  <c r="AZ80" i="28"/>
  <c r="BA80" i="28"/>
  <c r="BB80" i="28"/>
  <c r="BC80" i="28"/>
  <c r="BD80" i="28"/>
  <c r="BE80" i="28"/>
  <c r="BF80" i="28"/>
  <c r="BG80" i="28"/>
  <c r="BH80" i="28"/>
  <c r="BI80" i="28"/>
  <c r="K81" i="28"/>
  <c r="L81" i="28"/>
  <c r="M81" i="28"/>
  <c r="N81" i="28"/>
  <c r="O81" i="28"/>
  <c r="P81" i="28"/>
  <c r="Q81" i="28"/>
  <c r="R81" i="28"/>
  <c r="S81" i="28"/>
  <c r="T81" i="28"/>
  <c r="U81" i="28"/>
  <c r="V81" i="28"/>
  <c r="W81" i="28"/>
  <c r="X81" i="28"/>
  <c r="Y81" i="28"/>
  <c r="Z81" i="28"/>
  <c r="AA81" i="28"/>
  <c r="AB81" i="28"/>
  <c r="AC81" i="28"/>
  <c r="AD81" i="28"/>
  <c r="AE81" i="28"/>
  <c r="AF81" i="28"/>
  <c r="AG81" i="28"/>
  <c r="AH81" i="28"/>
  <c r="AI81" i="28"/>
  <c r="AJ81" i="28"/>
  <c r="AK81" i="28"/>
  <c r="AL81" i="28"/>
  <c r="AM81" i="28"/>
  <c r="AN81" i="28"/>
  <c r="AO81" i="28"/>
  <c r="AP81" i="28"/>
  <c r="AQ81" i="28"/>
  <c r="AR81" i="28"/>
  <c r="AS81" i="28"/>
  <c r="AT81" i="28"/>
  <c r="AU81" i="28"/>
  <c r="AV81" i="28"/>
  <c r="AW81" i="28"/>
  <c r="AX81" i="28"/>
  <c r="AY81" i="28"/>
  <c r="AZ81" i="28"/>
  <c r="BA81" i="28"/>
  <c r="BB81" i="28"/>
  <c r="BC81" i="28"/>
  <c r="BD81" i="28"/>
  <c r="BE81" i="28"/>
  <c r="BF81" i="28"/>
  <c r="BG81" i="28"/>
  <c r="BH81" i="28"/>
  <c r="BI81" i="28"/>
  <c r="K82" i="28"/>
  <c r="L82" i="28"/>
  <c r="M82" i="28"/>
  <c r="N82" i="28"/>
  <c r="O82" i="28"/>
  <c r="P82" i="28"/>
  <c r="Q82" i="28"/>
  <c r="R82" i="28"/>
  <c r="S82" i="28"/>
  <c r="T82" i="28"/>
  <c r="U82" i="28"/>
  <c r="V82" i="28"/>
  <c r="W82" i="28"/>
  <c r="X82" i="28"/>
  <c r="Y82" i="28"/>
  <c r="Z82" i="28"/>
  <c r="AA82" i="28"/>
  <c r="AC82" i="28"/>
  <c r="AD82" i="28"/>
  <c r="AE82" i="28"/>
  <c r="AF82" i="28"/>
  <c r="AG82" i="28"/>
  <c r="AH82" i="28"/>
  <c r="AI82" i="28"/>
  <c r="AJ82" i="28"/>
  <c r="AK82" i="28"/>
  <c r="AL82" i="28"/>
  <c r="AM82" i="28"/>
  <c r="AN82" i="28"/>
  <c r="AO82" i="28"/>
  <c r="AP82" i="28"/>
  <c r="AQ82" i="28"/>
  <c r="AR82" i="28"/>
  <c r="AS82" i="28"/>
  <c r="AT82" i="28"/>
  <c r="AU82" i="28"/>
  <c r="AV82" i="28"/>
  <c r="AW82" i="28"/>
  <c r="AX82" i="28"/>
  <c r="AY82" i="28"/>
  <c r="AZ82" i="28"/>
  <c r="BA82" i="28"/>
  <c r="BB82" i="28"/>
  <c r="BC82" i="28"/>
  <c r="BD82" i="28"/>
  <c r="BE82" i="28"/>
  <c r="BF82" i="28"/>
  <c r="BG82" i="28"/>
  <c r="BH82" i="28"/>
  <c r="BI82" i="28"/>
  <c r="K83" i="28"/>
  <c r="L83" i="28"/>
  <c r="M83" i="28"/>
  <c r="N83" i="28"/>
  <c r="O83" i="28"/>
  <c r="P83" i="28"/>
  <c r="Q83" i="28"/>
  <c r="R83" i="28"/>
  <c r="S83" i="28"/>
  <c r="T83" i="28"/>
  <c r="U83" i="28"/>
  <c r="V83" i="28"/>
  <c r="W83" i="28"/>
  <c r="X83" i="28"/>
  <c r="Y83" i="28"/>
  <c r="Z83" i="28"/>
  <c r="AA83" i="28"/>
  <c r="AC83" i="28"/>
  <c r="AD83" i="28"/>
  <c r="AE83" i="28"/>
  <c r="AF83" i="28"/>
  <c r="AG83" i="28"/>
  <c r="AH83" i="28"/>
  <c r="AI83" i="28"/>
  <c r="AJ83" i="28"/>
  <c r="AK83" i="28"/>
  <c r="AL83" i="28"/>
  <c r="AM83" i="28"/>
  <c r="AN83" i="28"/>
  <c r="AO83" i="28"/>
  <c r="AP83" i="28"/>
  <c r="AQ83" i="28"/>
  <c r="AR83" i="28"/>
  <c r="AS83" i="28"/>
  <c r="AT83" i="28"/>
  <c r="AU83" i="28"/>
  <c r="AV83" i="28"/>
  <c r="AW83" i="28"/>
  <c r="AX83" i="28"/>
  <c r="AY83" i="28"/>
  <c r="AZ83" i="28"/>
  <c r="BA83" i="28"/>
  <c r="BB83" i="28"/>
  <c r="BC83" i="28"/>
  <c r="BD83" i="28"/>
  <c r="BE83" i="28"/>
  <c r="BF83" i="28"/>
  <c r="BG83" i="28"/>
  <c r="BH83" i="28"/>
  <c r="BI83" i="28"/>
  <c r="K84" i="28"/>
  <c r="L84" i="28"/>
  <c r="M84" i="28"/>
  <c r="N84" i="28"/>
  <c r="O84" i="28"/>
  <c r="P84" i="28"/>
  <c r="Q84" i="28"/>
  <c r="R84" i="28"/>
  <c r="S84" i="28"/>
  <c r="T84" i="28"/>
  <c r="U84" i="28"/>
  <c r="V84" i="28"/>
  <c r="W84" i="28"/>
  <c r="X84" i="28"/>
  <c r="Y84" i="28"/>
  <c r="Z84" i="28"/>
  <c r="AA84" i="28"/>
  <c r="AC84" i="28"/>
  <c r="AD84" i="28"/>
  <c r="AE84" i="28"/>
  <c r="AF84" i="28"/>
  <c r="AG84" i="28"/>
  <c r="AH84" i="28"/>
  <c r="AI84" i="28"/>
  <c r="AJ84" i="28"/>
  <c r="AK84" i="28"/>
  <c r="AL84" i="28"/>
  <c r="AM84" i="28"/>
  <c r="AN84" i="28"/>
  <c r="AO84" i="28"/>
  <c r="AP84" i="28"/>
  <c r="AQ84" i="28"/>
  <c r="AR84" i="28"/>
  <c r="AS84" i="28"/>
  <c r="AT84" i="28"/>
  <c r="AU84" i="28"/>
  <c r="AV84" i="28"/>
  <c r="AW84" i="28"/>
  <c r="AX84" i="28"/>
  <c r="AY84" i="28"/>
  <c r="AZ84" i="28"/>
  <c r="BA84" i="28"/>
  <c r="BB84" i="28"/>
  <c r="BC84" i="28"/>
  <c r="BD84" i="28"/>
  <c r="BE84" i="28"/>
  <c r="BF84" i="28"/>
  <c r="BG84" i="28"/>
  <c r="BH84" i="28"/>
  <c r="BI84" i="28"/>
  <c r="K85" i="28"/>
  <c r="L85" i="28"/>
  <c r="M85" i="28"/>
  <c r="N85" i="28"/>
  <c r="O85" i="28"/>
  <c r="P85" i="28"/>
  <c r="Q85" i="28"/>
  <c r="R85" i="28"/>
  <c r="S85" i="28"/>
  <c r="T85" i="28"/>
  <c r="U85" i="28"/>
  <c r="V85" i="28"/>
  <c r="W85" i="28"/>
  <c r="X85" i="28"/>
  <c r="Y85" i="28"/>
  <c r="Z85" i="28"/>
  <c r="AA85" i="28"/>
  <c r="AC85" i="28"/>
  <c r="AD85" i="28"/>
  <c r="AE85" i="28"/>
  <c r="AF85" i="28"/>
  <c r="AG85" i="28"/>
  <c r="AH85" i="28"/>
  <c r="AI85" i="28"/>
  <c r="AJ85" i="28"/>
  <c r="AK85" i="28"/>
  <c r="AL85" i="28"/>
  <c r="AM85" i="28"/>
  <c r="AN85" i="28"/>
  <c r="AO85" i="28"/>
  <c r="AP85" i="28"/>
  <c r="AQ85" i="28"/>
  <c r="AR85" i="28"/>
  <c r="AS85" i="28"/>
  <c r="AT85" i="28"/>
  <c r="AU85" i="28"/>
  <c r="AV85" i="28"/>
  <c r="AW85" i="28"/>
  <c r="AX85" i="28"/>
  <c r="AY85" i="28"/>
  <c r="AZ85" i="28"/>
  <c r="BA85" i="28"/>
  <c r="BB85" i="28"/>
  <c r="BC85" i="28"/>
  <c r="BD85" i="28"/>
  <c r="BE85" i="28"/>
  <c r="BF85" i="28"/>
  <c r="BG85" i="28"/>
  <c r="BH85" i="28"/>
  <c r="BI85" i="28"/>
  <c r="K86" i="28"/>
  <c r="L86" i="28"/>
  <c r="M86" i="28"/>
  <c r="N86" i="28"/>
  <c r="O86" i="28"/>
  <c r="P86" i="28"/>
  <c r="Q86" i="28"/>
  <c r="R86" i="28"/>
  <c r="S86" i="28"/>
  <c r="T86" i="28"/>
  <c r="U86" i="28"/>
  <c r="V86" i="28"/>
  <c r="W86" i="28"/>
  <c r="X86" i="28"/>
  <c r="Y86" i="28"/>
  <c r="Z86" i="28"/>
  <c r="AA86" i="28"/>
  <c r="AB86" i="28"/>
  <c r="AC86" i="28"/>
  <c r="AD86" i="28"/>
  <c r="AE86" i="28"/>
  <c r="AF86" i="28"/>
  <c r="AG86" i="28"/>
  <c r="AH86" i="28"/>
  <c r="AI86" i="28"/>
  <c r="AJ86" i="28"/>
  <c r="AK86" i="28"/>
  <c r="AL86" i="28"/>
  <c r="AM86" i="28"/>
  <c r="AN86" i="28"/>
  <c r="AO86" i="28"/>
  <c r="AP86" i="28"/>
  <c r="AQ86" i="28"/>
  <c r="AR86" i="28"/>
  <c r="AS86" i="28"/>
  <c r="AT86" i="28"/>
  <c r="AU86" i="28"/>
  <c r="AV86" i="28"/>
  <c r="AW86" i="28"/>
  <c r="AX86" i="28"/>
  <c r="AY86" i="28"/>
  <c r="AZ86" i="28"/>
  <c r="BA86" i="28"/>
  <c r="BB86" i="28"/>
  <c r="BC86" i="28"/>
  <c r="BD86" i="28"/>
  <c r="BE86" i="28"/>
  <c r="BF86" i="28"/>
  <c r="BG86" i="28"/>
  <c r="BH86" i="28"/>
  <c r="BI86" i="28"/>
  <c r="K87" i="28"/>
  <c r="L87" i="28"/>
  <c r="M87" i="28"/>
  <c r="N87" i="28"/>
  <c r="O87" i="28"/>
  <c r="P87" i="28"/>
  <c r="Q87" i="28"/>
  <c r="R87" i="28"/>
  <c r="S87" i="28"/>
  <c r="T87" i="28"/>
  <c r="U87" i="28"/>
  <c r="V87" i="28"/>
  <c r="W87" i="28"/>
  <c r="X87" i="28"/>
  <c r="Y87" i="28"/>
  <c r="Z87" i="28"/>
  <c r="AA87" i="28"/>
  <c r="AB87" i="28"/>
  <c r="AC87" i="28"/>
  <c r="AD87" i="28"/>
  <c r="AE87" i="28"/>
  <c r="AF87" i="28"/>
  <c r="AG87" i="28"/>
  <c r="AH87" i="28"/>
  <c r="AI87" i="28"/>
  <c r="AJ87" i="28"/>
  <c r="AK87" i="28"/>
  <c r="AL87" i="28"/>
  <c r="AM87" i="28"/>
  <c r="AN87" i="28"/>
  <c r="AO87" i="28"/>
  <c r="AP87" i="28"/>
  <c r="AQ87" i="28"/>
  <c r="AR87" i="28"/>
  <c r="AS87" i="28"/>
  <c r="AT87" i="28"/>
  <c r="AU87" i="28"/>
  <c r="AV87" i="28"/>
  <c r="AW87" i="28"/>
  <c r="AX87" i="28"/>
  <c r="AY87" i="28"/>
  <c r="AZ87" i="28"/>
  <c r="BA87" i="28"/>
  <c r="BB87" i="28"/>
  <c r="BC87" i="28"/>
  <c r="BD87" i="28"/>
  <c r="BE87" i="28"/>
  <c r="BF87" i="28"/>
  <c r="BG87" i="28"/>
  <c r="BH87" i="28"/>
  <c r="BI87" i="28"/>
  <c r="K88" i="28"/>
  <c r="L88" i="28"/>
  <c r="M88" i="28"/>
  <c r="N88" i="28"/>
  <c r="O88" i="28"/>
  <c r="P88" i="28"/>
  <c r="Q88" i="28"/>
  <c r="R88" i="28"/>
  <c r="S88" i="28"/>
  <c r="T88" i="28"/>
  <c r="U88" i="28"/>
  <c r="Y88" i="28"/>
  <c r="Z88" i="28"/>
  <c r="AA88" i="28"/>
  <c r="AB88" i="28"/>
  <c r="AF88" i="28"/>
  <c r="AG88" i="28"/>
  <c r="AH88" i="28"/>
  <c r="AI88" i="28"/>
  <c r="AJ88" i="28"/>
  <c r="AK88" i="28"/>
  <c r="AL88" i="28"/>
  <c r="AM88" i="28"/>
  <c r="AN88" i="28"/>
  <c r="AP88" i="28"/>
  <c r="AQ88" i="28"/>
  <c r="AR88" i="28"/>
  <c r="AX88" i="28"/>
  <c r="K89" i="28"/>
  <c r="L89" i="28"/>
  <c r="M89" i="28"/>
  <c r="N89" i="28"/>
  <c r="O89" i="28"/>
  <c r="P89" i="28"/>
  <c r="Q89" i="28"/>
  <c r="R89" i="28"/>
  <c r="S89" i="28"/>
  <c r="T89" i="28"/>
  <c r="U89" i="28"/>
  <c r="V89" i="28"/>
  <c r="W89" i="28"/>
  <c r="X89" i="28"/>
  <c r="Y89" i="28"/>
  <c r="Z89" i="28"/>
  <c r="AA89" i="28"/>
  <c r="AC89" i="28"/>
  <c r="AD89" i="28"/>
  <c r="AE89" i="28"/>
  <c r="AF89" i="28"/>
  <c r="AG89" i="28"/>
  <c r="AH89" i="28"/>
  <c r="AI89" i="28"/>
  <c r="AJ89" i="28"/>
  <c r="AK89" i="28"/>
  <c r="AL89" i="28"/>
  <c r="AM89" i="28"/>
  <c r="AN89" i="28"/>
  <c r="AO89" i="28"/>
  <c r="AP89" i="28"/>
  <c r="AQ89" i="28"/>
  <c r="AR89" i="28"/>
  <c r="AS89" i="28"/>
  <c r="AT89" i="28"/>
  <c r="AU89" i="28"/>
  <c r="AV89" i="28"/>
  <c r="AW89" i="28"/>
  <c r="AX89" i="28"/>
  <c r="AY89" i="28"/>
  <c r="AZ89" i="28"/>
  <c r="BA89" i="28"/>
  <c r="BB89" i="28"/>
  <c r="BC89" i="28"/>
  <c r="BD89" i="28"/>
  <c r="BE89" i="28"/>
  <c r="BF89" i="28"/>
  <c r="BG89" i="28"/>
  <c r="BH89" i="28"/>
  <c r="BI89" i="28"/>
  <c r="K90" i="28"/>
  <c r="L90" i="28"/>
  <c r="M90" i="28"/>
  <c r="N90" i="28"/>
  <c r="O90" i="28"/>
  <c r="P90" i="28"/>
  <c r="Q90" i="28"/>
  <c r="R90" i="28"/>
  <c r="S90" i="28"/>
  <c r="T90" i="28"/>
  <c r="U90" i="28"/>
  <c r="V90" i="28"/>
  <c r="W90" i="28"/>
  <c r="X90" i="28"/>
  <c r="Y90" i="28"/>
  <c r="Z90" i="28"/>
  <c r="AA90" i="28"/>
  <c r="AC90" i="28"/>
  <c r="AD90" i="28"/>
  <c r="AE90" i="28"/>
  <c r="AF90" i="28"/>
  <c r="AG90" i="28"/>
  <c r="AH90" i="28"/>
  <c r="AI90" i="28"/>
  <c r="AJ90" i="28"/>
  <c r="AK90" i="28"/>
  <c r="AL90" i="28"/>
  <c r="AM90" i="28"/>
  <c r="AN90" i="28"/>
  <c r="AO90" i="28"/>
  <c r="AP90" i="28"/>
  <c r="AQ90" i="28"/>
  <c r="AR90" i="28"/>
  <c r="AS90" i="28"/>
  <c r="AT90" i="28"/>
  <c r="AU90" i="28"/>
  <c r="AV90" i="28"/>
  <c r="AW90" i="28"/>
  <c r="AX90" i="28"/>
  <c r="AY90" i="28"/>
  <c r="AZ90" i="28"/>
  <c r="BA90" i="28"/>
  <c r="BB90" i="28"/>
  <c r="BC90" i="28"/>
  <c r="BD90" i="28"/>
  <c r="BE90" i="28"/>
  <c r="BF90" i="28"/>
  <c r="BG90" i="28"/>
  <c r="BH90" i="28"/>
  <c r="BI90" i="28"/>
  <c r="K91" i="28"/>
  <c r="L91" i="28"/>
  <c r="M91" i="28"/>
  <c r="N91" i="28"/>
  <c r="O91" i="28"/>
  <c r="P91" i="28"/>
  <c r="Q91" i="28"/>
  <c r="R91" i="28"/>
  <c r="S91" i="28"/>
  <c r="T91" i="28"/>
  <c r="U91" i="28"/>
  <c r="V91" i="28"/>
  <c r="W91" i="28"/>
  <c r="X91" i="28"/>
  <c r="Y91" i="28"/>
  <c r="Z91" i="28"/>
  <c r="AA91" i="28"/>
  <c r="AB91" i="28"/>
  <c r="AC91" i="28"/>
  <c r="AD91" i="28"/>
  <c r="AE91" i="28"/>
  <c r="AF91" i="28"/>
  <c r="AG91" i="28"/>
  <c r="AH91" i="28"/>
  <c r="AI91" i="28"/>
  <c r="AJ91" i="28"/>
  <c r="AK91" i="28"/>
  <c r="AL91" i="28"/>
  <c r="AM91" i="28"/>
  <c r="AN91" i="28"/>
  <c r="AO91" i="28"/>
  <c r="AP91" i="28"/>
  <c r="AQ91" i="28"/>
  <c r="AR91" i="28"/>
  <c r="AS91" i="28"/>
  <c r="AT91" i="28"/>
  <c r="AU91" i="28"/>
  <c r="AV91" i="28"/>
  <c r="AW91" i="28"/>
  <c r="AX91" i="28"/>
  <c r="AY91" i="28"/>
  <c r="AZ91" i="28"/>
  <c r="BA91" i="28"/>
  <c r="BB91" i="28"/>
  <c r="BC91" i="28"/>
  <c r="BD91" i="28"/>
  <c r="BE91" i="28"/>
  <c r="BF91" i="28"/>
  <c r="BG91" i="28"/>
  <c r="BH91" i="28"/>
  <c r="BI91" i="28"/>
  <c r="K92" i="28"/>
  <c r="L92" i="28"/>
  <c r="M92" i="28"/>
  <c r="N92" i="28"/>
  <c r="O92" i="28"/>
  <c r="P92" i="28"/>
  <c r="Q92" i="28"/>
  <c r="R92" i="28"/>
  <c r="S92" i="28"/>
  <c r="T92" i="28"/>
  <c r="U92" i="28"/>
  <c r="V92" i="28"/>
  <c r="W92" i="28"/>
  <c r="X92" i="28"/>
  <c r="Y92" i="28"/>
  <c r="Z92" i="28"/>
  <c r="AA92" i="28"/>
  <c r="AC92" i="28"/>
  <c r="AD92" i="28"/>
  <c r="AE92" i="28"/>
  <c r="AF92" i="28"/>
  <c r="AG92" i="28"/>
  <c r="AH92" i="28"/>
  <c r="AI92" i="28"/>
  <c r="AJ92" i="28"/>
  <c r="AK92" i="28"/>
  <c r="AL92" i="28"/>
  <c r="AM92" i="28"/>
  <c r="AN92" i="28"/>
  <c r="AO92" i="28"/>
  <c r="AP92" i="28"/>
  <c r="AQ92" i="28"/>
  <c r="AR92" i="28"/>
  <c r="AS92" i="28"/>
  <c r="AT92" i="28"/>
  <c r="AU92" i="28"/>
  <c r="AV92" i="28"/>
  <c r="AW92" i="28"/>
  <c r="AX92" i="28"/>
  <c r="AY92" i="28"/>
  <c r="AZ92" i="28"/>
  <c r="BA92" i="28"/>
  <c r="BB92" i="28"/>
  <c r="BC92" i="28"/>
  <c r="BD92" i="28"/>
  <c r="BE92" i="28"/>
  <c r="BF92" i="28"/>
  <c r="BG92" i="28"/>
  <c r="BH92" i="28"/>
  <c r="BI92" i="28"/>
  <c r="K93" i="28"/>
  <c r="L93" i="28"/>
  <c r="M93" i="28"/>
  <c r="N93" i="28"/>
  <c r="O93" i="28"/>
  <c r="P93" i="28"/>
  <c r="Q93" i="28"/>
  <c r="R93" i="28"/>
  <c r="S93" i="28"/>
  <c r="T93" i="28"/>
  <c r="U93" i="28"/>
  <c r="V93" i="28"/>
  <c r="W93" i="28"/>
  <c r="X93" i="28"/>
  <c r="Y93" i="28"/>
  <c r="Z93" i="28"/>
  <c r="AA93" i="28"/>
  <c r="AC93" i="28"/>
  <c r="AD93" i="28"/>
  <c r="AE93" i="28"/>
  <c r="AF93" i="28"/>
  <c r="AG93" i="28"/>
  <c r="AH93" i="28"/>
  <c r="AI93" i="28"/>
  <c r="AJ93" i="28"/>
  <c r="AK93" i="28"/>
  <c r="AL93" i="28"/>
  <c r="AM93" i="28"/>
  <c r="AN93" i="28"/>
  <c r="AO93" i="28"/>
  <c r="AP93" i="28"/>
  <c r="AQ93" i="28"/>
  <c r="AR93" i="28"/>
  <c r="AS93" i="28"/>
  <c r="AT93" i="28"/>
  <c r="AU93" i="28"/>
  <c r="AV93" i="28"/>
  <c r="AW93" i="28"/>
  <c r="AX93" i="28"/>
  <c r="AY93" i="28"/>
  <c r="AZ93" i="28"/>
  <c r="BA93" i="28"/>
  <c r="BB93" i="28"/>
  <c r="BC93" i="28"/>
  <c r="BD93" i="28"/>
  <c r="BE93" i="28"/>
  <c r="BF93" i="28"/>
  <c r="BG93" i="28"/>
  <c r="BH93" i="28"/>
  <c r="BI93" i="28"/>
  <c r="K94" i="28"/>
  <c r="L94" i="28"/>
  <c r="M94" i="28"/>
  <c r="N94" i="28"/>
  <c r="O94" i="28"/>
  <c r="P94" i="28"/>
  <c r="Q94" i="28"/>
  <c r="R94" i="28"/>
  <c r="S94" i="28"/>
  <c r="T94" i="28"/>
  <c r="U94" i="28"/>
  <c r="V94" i="28"/>
  <c r="W94" i="28"/>
  <c r="X94" i="28"/>
  <c r="Y94" i="28"/>
  <c r="Z94" i="28"/>
  <c r="AA94" i="28"/>
  <c r="AB94" i="28"/>
  <c r="AC94" i="28"/>
  <c r="AD94" i="28"/>
  <c r="AE94" i="28"/>
  <c r="AF94" i="28"/>
  <c r="AG94" i="28"/>
  <c r="AH94" i="28"/>
  <c r="AI94" i="28"/>
  <c r="AJ94" i="28"/>
  <c r="AK94" i="28"/>
  <c r="AL94" i="28"/>
  <c r="AM94" i="28"/>
  <c r="AN94" i="28"/>
  <c r="AO94" i="28"/>
  <c r="AP94" i="28"/>
  <c r="AQ94" i="28"/>
  <c r="AR94" i="28"/>
  <c r="AS94" i="28"/>
  <c r="AT94" i="28"/>
  <c r="AU94" i="28"/>
  <c r="AV94" i="28"/>
  <c r="AW94" i="28"/>
  <c r="AX94" i="28"/>
  <c r="AY94" i="28"/>
  <c r="AZ94" i="28"/>
  <c r="BA94" i="28"/>
  <c r="BB94" i="28"/>
  <c r="BC94" i="28"/>
  <c r="BD94" i="28"/>
  <c r="BE94" i="28"/>
  <c r="BF94" i="28"/>
  <c r="BG94" i="28"/>
  <c r="BH94" i="28"/>
  <c r="BI94" i="28"/>
  <c r="K95" i="28"/>
  <c r="L95" i="28"/>
  <c r="M95" i="28"/>
  <c r="N95" i="28"/>
  <c r="O95" i="28"/>
  <c r="P95" i="28"/>
  <c r="Q95" i="28"/>
  <c r="R95" i="28"/>
  <c r="S95" i="28"/>
  <c r="T95" i="28"/>
  <c r="U95" i="28"/>
  <c r="V95" i="28"/>
  <c r="W95" i="28"/>
  <c r="X95" i="28"/>
  <c r="Y95" i="28"/>
  <c r="Z95" i="28"/>
  <c r="AA95" i="28"/>
  <c r="AB95" i="28"/>
  <c r="AC95" i="28"/>
  <c r="AD95" i="28"/>
  <c r="AE95" i="28"/>
  <c r="AF95" i="28"/>
  <c r="AG95" i="28"/>
  <c r="AH95" i="28"/>
  <c r="AI95" i="28"/>
  <c r="AJ95" i="28"/>
  <c r="AK95" i="28"/>
  <c r="AL95" i="28"/>
  <c r="AM95" i="28"/>
  <c r="AN95" i="28"/>
  <c r="AO95" i="28"/>
  <c r="AP95" i="28"/>
  <c r="AQ95" i="28"/>
  <c r="AR95" i="28"/>
  <c r="AS95" i="28"/>
  <c r="AT95" i="28"/>
  <c r="AU95" i="28"/>
  <c r="AV95" i="28"/>
  <c r="AW95" i="28"/>
  <c r="AX95" i="28"/>
  <c r="AY95" i="28"/>
  <c r="AZ95" i="28"/>
  <c r="BA95" i="28"/>
  <c r="BB95" i="28"/>
  <c r="BC95" i="28"/>
  <c r="BD95" i="28"/>
  <c r="BE95" i="28"/>
  <c r="BF95" i="28"/>
  <c r="BG95" i="28"/>
  <c r="BH95" i="28"/>
  <c r="BI95" i="28"/>
  <c r="K96" i="28"/>
  <c r="L96" i="28"/>
  <c r="M96" i="28"/>
  <c r="N96" i="28"/>
  <c r="O96" i="28"/>
  <c r="P96" i="28"/>
  <c r="Q96" i="28"/>
  <c r="R96" i="28"/>
  <c r="S96" i="28"/>
  <c r="T96" i="28"/>
  <c r="U96" i="28"/>
  <c r="V96" i="28"/>
  <c r="W96" i="28"/>
  <c r="X96" i="28"/>
  <c r="Y96" i="28"/>
  <c r="Z96" i="28"/>
  <c r="AA96" i="28"/>
  <c r="AB96" i="28"/>
  <c r="AC96" i="28"/>
  <c r="AD96" i="28"/>
  <c r="AE96" i="28"/>
  <c r="AF96" i="28"/>
  <c r="AG96" i="28"/>
  <c r="AH96" i="28"/>
  <c r="AI96" i="28"/>
  <c r="AJ96" i="28"/>
  <c r="AK96" i="28"/>
  <c r="AL96" i="28"/>
  <c r="AM96" i="28"/>
  <c r="AN96" i="28"/>
  <c r="AO96" i="28"/>
  <c r="AP96" i="28"/>
  <c r="AQ96" i="28"/>
  <c r="AR96" i="28"/>
  <c r="AS96" i="28"/>
  <c r="AT96" i="28"/>
  <c r="AU96" i="28"/>
  <c r="AV96" i="28"/>
  <c r="AW96" i="28"/>
  <c r="AX96" i="28"/>
  <c r="AY96" i="28"/>
  <c r="AZ96" i="28"/>
  <c r="BA96" i="28"/>
  <c r="BB96" i="28"/>
  <c r="BC96" i="28"/>
  <c r="BD96" i="28"/>
  <c r="BE96" i="28"/>
  <c r="BF96" i="28"/>
  <c r="BG96" i="28"/>
  <c r="BH96" i="28"/>
  <c r="BI96" i="28"/>
  <c r="K97" i="28"/>
  <c r="L97" i="28"/>
  <c r="M97" i="28"/>
  <c r="N97" i="28"/>
  <c r="O97" i="28"/>
  <c r="P97" i="28"/>
  <c r="Q97" i="28"/>
  <c r="R97" i="28"/>
  <c r="S97" i="28"/>
  <c r="T97" i="28"/>
  <c r="U97" i="28"/>
  <c r="V97" i="28"/>
  <c r="W97" i="28"/>
  <c r="X97" i="28"/>
  <c r="Y97" i="28"/>
  <c r="Z97" i="28"/>
  <c r="AA97" i="28"/>
  <c r="AB97" i="28"/>
  <c r="AC97" i="28"/>
  <c r="AD97" i="28"/>
  <c r="AE97" i="28"/>
  <c r="AF97" i="28"/>
  <c r="AG97" i="28"/>
  <c r="AH97" i="28"/>
  <c r="AI97" i="28"/>
  <c r="AJ97" i="28"/>
  <c r="AK97" i="28"/>
  <c r="AL97" i="28"/>
  <c r="AM97" i="28"/>
  <c r="AN97" i="28"/>
  <c r="AO97" i="28"/>
  <c r="AP97" i="28"/>
  <c r="AQ97" i="28"/>
  <c r="AR97" i="28"/>
  <c r="AS97" i="28"/>
  <c r="AT97" i="28"/>
  <c r="AU97" i="28"/>
  <c r="AV97" i="28"/>
  <c r="AW97" i="28"/>
  <c r="AX97" i="28"/>
  <c r="AY97" i="28"/>
  <c r="AZ97" i="28"/>
  <c r="BA97" i="28"/>
  <c r="BB97" i="28"/>
  <c r="BC97" i="28"/>
  <c r="BD97" i="28"/>
  <c r="BE97" i="28"/>
  <c r="BF97" i="28"/>
  <c r="BG97" i="28"/>
  <c r="BH97" i="28"/>
  <c r="BI97" i="28"/>
  <c r="K98" i="28"/>
  <c r="L98" i="28"/>
  <c r="M98" i="28"/>
  <c r="N98" i="28"/>
  <c r="O98" i="28"/>
  <c r="P98" i="28"/>
  <c r="Q98" i="28"/>
  <c r="R98" i="28"/>
  <c r="S98" i="28"/>
  <c r="T98" i="28"/>
  <c r="U98" i="28"/>
  <c r="V98" i="28"/>
  <c r="W98" i="28"/>
  <c r="X98" i="28"/>
  <c r="Y98" i="28"/>
  <c r="Z98" i="28"/>
  <c r="AA98" i="28"/>
  <c r="AB98" i="28"/>
  <c r="AC98" i="28"/>
  <c r="AD98" i="28"/>
  <c r="AE98" i="28"/>
  <c r="AF98" i="28"/>
  <c r="AG98" i="28"/>
  <c r="AH98" i="28"/>
  <c r="AI98" i="28"/>
  <c r="AJ98" i="28"/>
  <c r="AK98" i="28"/>
  <c r="AL98" i="28"/>
  <c r="AM98" i="28"/>
  <c r="AN98" i="28"/>
  <c r="AO98" i="28"/>
  <c r="AP98" i="28"/>
  <c r="AQ98" i="28"/>
  <c r="AR98" i="28"/>
  <c r="AS98" i="28"/>
  <c r="AT98" i="28"/>
  <c r="AU98" i="28"/>
  <c r="AV98" i="28"/>
  <c r="AW98" i="28"/>
  <c r="AX98" i="28"/>
  <c r="AY98" i="28"/>
  <c r="AZ98" i="28"/>
  <c r="BA98" i="28"/>
  <c r="BB98" i="28"/>
  <c r="BC98" i="28"/>
  <c r="BD98" i="28"/>
  <c r="BE98" i="28"/>
  <c r="BF98" i="28"/>
  <c r="BG98" i="28"/>
  <c r="BH98" i="28"/>
  <c r="BI98" i="28"/>
  <c r="K99" i="28"/>
  <c r="L99" i="28"/>
  <c r="M99" i="28"/>
  <c r="N99" i="28"/>
  <c r="O99" i="28"/>
  <c r="P99" i="28"/>
  <c r="Q99" i="28"/>
  <c r="R99" i="28"/>
  <c r="S99" i="28"/>
  <c r="T99" i="28"/>
  <c r="U99" i="28"/>
  <c r="V99" i="28"/>
  <c r="W99" i="28"/>
  <c r="X99" i="28"/>
  <c r="Y99" i="28"/>
  <c r="Z99" i="28"/>
  <c r="AA99" i="28"/>
  <c r="AB99" i="28"/>
  <c r="AC99" i="28"/>
  <c r="AD99" i="28"/>
  <c r="AE99" i="28"/>
  <c r="AF99" i="28"/>
  <c r="AG99" i="28"/>
  <c r="AH99" i="28"/>
  <c r="AI99" i="28"/>
  <c r="AJ99" i="28"/>
  <c r="AK99" i="28"/>
  <c r="AL99" i="28"/>
  <c r="AM99" i="28"/>
  <c r="AN99" i="28"/>
  <c r="AO99" i="28"/>
  <c r="AP99" i="28"/>
  <c r="AQ99" i="28"/>
  <c r="AR99" i="28"/>
  <c r="AS99" i="28"/>
  <c r="AT99" i="28"/>
  <c r="AU99" i="28"/>
  <c r="AV99" i="28"/>
  <c r="AW99" i="28"/>
  <c r="AX99" i="28"/>
  <c r="AY99" i="28"/>
  <c r="AZ99" i="28"/>
  <c r="BA99" i="28"/>
  <c r="BB99" i="28"/>
  <c r="BC99" i="28"/>
  <c r="BD99" i="28"/>
  <c r="BE99" i="28"/>
  <c r="BF99" i="28"/>
  <c r="BG99" i="28"/>
  <c r="BH99" i="28"/>
  <c r="BI99" i="28"/>
  <c r="K100" i="28"/>
  <c r="L100" i="28"/>
  <c r="M100" i="28"/>
  <c r="N100" i="28"/>
  <c r="O100" i="28"/>
  <c r="P100" i="28"/>
  <c r="Q100" i="28"/>
  <c r="R100" i="28"/>
  <c r="S100" i="28"/>
  <c r="T100" i="28"/>
  <c r="U100" i="28"/>
  <c r="V100" i="28"/>
  <c r="W100" i="28"/>
  <c r="X100" i="28"/>
  <c r="Y100" i="28"/>
  <c r="Z100" i="28"/>
  <c r="AA100" i="28"/>
  <c r="AB100" i="28"/>
  <c r="AC100" i="28"/>
  <c r="AD100" i="28"/>
  <c r="AE100" i="28"/>
  <c r="AF100" i="28"/>
  <c r="AG100" i="28"/>
  <c r="AH100" i="28"/>
  <c r="AI100" i="28"/>
  <c r="AJ100" i="28"/>
  <c r="AK100" i="28"/>
  <c r="AL100" i="28"/>
  <c r="AM100" i="28"/>
  <c r="AN100" i="28"/>
  <c r="AO100" i="28"/>
  <c r="AP100" i="28"/>
  <c r="AQ100" i="28"/>
  <c r="AR100" i="28"/>
  <c r="AS100" i="28"/>
  <c r="AT100" i="28"/>
  <c r="AU100" i="28"/>
  <c r="AV100" i="28"/>
  <c r="AW100" i="28"/>
  <c r="AX100" i="28"/>
  <c r="AY100" i="28"/>
  <c r="AZ100" i="28"/>
  <c r="BA100" i="28"/>
  <c r="BB100" i="28"/>
  <c r="BC100" i="28"/>
  <c r="BD100" i="28"/>
  <c r="BE100" i="28"/>
  <c r="BF100" i="28"/>
  <c r="BG100" i="28"/>
  <c r="BH100" i="28"/>
  <c r="BI100" i="28"/>
  <c r="K101" i="28"/>
  <c r="L101" i="28"/>
  <c r="M101" i="28"/>
  <c r="N101" i="28"/>
  <c r="O101" i="28"/>
  <c r="P101" i="28"/>
  <c r="Q101" i="28"/>
  <c r="R101" i="28"/>
  <c r="S101" i="28"/>
  <c r="T101" i="28"/>
  <c r="U101" i="28"/>
  <c r="V101" i="28"/>
  <c r="W101" i="28"/>
  <c r="X101" i="28"/>
  <c r="Y101" i="28"/>
  <c r="Z101" i="28"/>
  <c r="AA101" i="28"/>
  <c r="AB101" i="28"/>
  <c r="AC101" i="28"/>
  <c r="AD101" i="28"/>
  <c r="AE101" i="28"/>
  <c r="AF101" i="28"/>
  <c r="AG101" i="28"/>
  <c r="AH101" i="28"/>
  <c r="AI101" i="28"/>
  <c r="AJ101" i="28"/>
  <c r="AK101" i="28"/>
  <c r="AL101" i="28"/>
  <c r="AM101" i="28"/>
  <c r="AN101" i="28"/>
  <c r="AO101" i="28"/>
  <c r="AP101" i="28"/>
  <c r="AQ101" i="28"/>
  <c r="AR101" i="28"/>
  <c r="AS101" i="28"/>
  <c r="AT101" i="28"/>
  <c r="AU101" i="28"/>
  <c r="AV101" i="28"/>
  <c r="AW101" i="28"/>
  <c r="AX101" i="28"/>
  <c r="AY101" i="28"/>
  <c r="AZ101" i="28"/>
  <c r="BA101" i="28"/>
  <c r="BB101" i="28"/>
  <c r="BC101" i="28"/>
  <c r="BD101" i="28"/>
  <c r="BE101" i="28"/>
  <c r="BF101" i="28"/>
  <c r="BG101" i="28"/>
  <c r="BH101" i="28"/>
  <c r="BI101" i="28"/>
  <c r="K102" i="28"/>
  <c r="L102" i="28"/>
  <c r="M102" i="28"/>
  <c r="N102" i="28"/>
  <c r="O102" i="28"/>
  <c r="P102" i="28"/>
  <c r="Q102" i="28"/>
  <c r="R102" i="28"/>
  <c r="S102" i="28"/>
  <c r="T102" i="28"/>
  <c r="U102" i="28"/>
  <c r="V102" i="28"/>
  <c r="W102" i="28"/>
  <c r="X102" i="28"/>
  <c r="Y102" i="28"/>
  <c r="Z102" i="28"/>
  <c r="AA102" i="28"/>
  <c r="AB102" i="28"/>
  <c r="AC102" i="28"/>
  <c r="AD102" i="28"/>
  <c r="AE102" i="28"/>
  <c r="AF102" i="28"/>
  <c r="AG102" i="28"/>
  <c r="AH102" i="28"/>
  <c r="AI102" i="28"/>
  <c r="AJ102" i="28"/>
  <c r="AK102" i="28"/>
  <c r="AL102" i="28"/>
  <c r="AM102" i="28"/>
  <c r="AN102" i="28"/>
  <c r="AO102" i="28"/>
  <c r="AP102" i="28"/>
  <c r="AQ102" i="28"/>
  <c r="AR102" i="28"/>
  <c r="AS102" i="28"/>
  <c r="AT102" i="28"/>
  <c r="AU102" i="28"/>
  <c r="AV102" i="28"/>
  <c r="AW102" i="28"/>
  <c r="AX102" i="28"/>
  <c r="AY102" i="28"/>
  <c r="AZ102" i="28"/>
  <c r="BA102" i="28"/>
  <c r="BB102" i="28"/>
  <c r="BC102" i="28"/>
  <c r="BD102" i="28"/>
  <c r="BE102" i="28"/>
  <c r="BF102" i="28"/>
  <c r="BG102" i="28"/>
  <c r="BH102" i="28"/>
  <c r="BI102" i="28"/>
  <c r="K103" i="28"/>
  <c r="L103" i="28"/>
  <c r="M103" i="28"/>
  <c r="N103" i="28"/>
  <c r="O103" i="28"/>
  <c r="P103" i="28"/>
  <c r="Q103" i="28"/>
  <c r="R103" i="28"/>
  <c r="S103" i="28"/>
  <c r="T103" i="28"/>
  <c r="U103" i="28"/>
  <c r="V103" i="28"/>
  <c r="W103" i="28"/>
  <c r="X103" i="28"/>
  <c r="Y103" i="28"/>
  <c r="Z103" i="28"/>
  <c r="AA103" i="28"/>
  <c r="AB103" i="28"/>
  <c r="AC103" i="28"/>
  <c r="AD103" i="28"/>
  <c r="AE103" i="28"/>
  <c r="AF103" i="28"/>
  <c r="AG103" i="28"/>
  <c r="AH103" i="28"/>
  <c r="AI103" i="28"/>
  <c r="AJ103" i="28"/>
  <c r="AK103" i="28"/>
  <c r="AL103" i="28"/>
  <c r="AM103" i="28"/>
  <c r="AN103" i="28"/>
  <c r="AO103" i="28"/>
  <c r="AP103" i="28"/>
  <c r="AQ103" i="28"/>
  <c r="AR103" i="28"/>
  <c r="AS103" i="28"/>
  <c r="AT103" i="28"/>
  <c r="AU103" i="28"/>
  <c r="AV103" i="28"/>
  <c r="AW103" i="28"/>
  <c r="AX103" i="28"/>
  <c r="AY103" i="28"/>
  <c r="AZ103" i="28"/>
  <c r="BA103" i="28"/>
  <c r="BB103" i="28"/>
  <c r="BC103" i="28"/>
  <c r="BD103" i="28"/>
  <c r="BE103" i="28"/>
  <c r="BF103" i="28"/>
  <c r="BG103" i="28"/>
  <c r="BH103" i="28"/>
  <c r="BI103" i="28"/>
  <c r="K104" i="28"/>
  <c r="L104" i="28"/>
  <c r="M104" i="28"/>
  <c r="N104" i="28"/>
  <c r="O104" i="28"/>
  <c r="P104" i="28"/>
  <c r="Q104" i="28"/>
  <c r="R104" i="28"/>
  <c r="S104" i="28"/>
  <c r="T104" i="28"/>
  <c r="U104" i="28"/>
  <c r="V104" i="28"/>
  <c r="W104" i="28"/>
  <c r="X104" i="28"/>
  <c r="Y104" i="28"/>
  <c r="Z104" i="28"/>
  <c r="AA104" i="28"/>
  <c r="AB104" i="28"/>
  <c r="AC104" i="28"/>
  <c r="AD104" i="28"/>
  <c r="AE104" i="28"/>
  <c r="AF104" i="28"/>
  <c r="AG104" i="28"/>
  <c r="AH104" i="28"/>
  <c r="AI104" i="28"/>
  <c r="AJ104" i="28"/>
  <c r="AK104" i="28"/>
  <c r="AL104" i="28"/>
  <c r="AM104" i="28"/>
  <c r="AN104" i="28"/>
  <c r="AO104" i="28"/>
  <c r="AP104" i="28"/>
  <c r="AQ104" i="28"/>
  <c r="AR104" i="28"/>
  <c r="AS104" i="28"/>
  <c r="AT104" i="28"/>
  <c r="AU104" i="28"/>
  <c r="AV104" i="28"/>
  <c r="AW104" i="28"/>
  <c r="AX104" i="28"/>
  <c r="AY104" i="28"/>
  <c r="AZ104" i="28"/>
  <c r="BA104" i="28"/>
  <c r="BB104" i="28"/>
  <c r="BC104" i="28"/>
  <c r="BD104" i="28"/>
  <c r="BE104" i="28"/>
  <c r="BF104" i="28"/>
  <c r="BG104" i="28"/>
  <c r="BH104" i="28"/>
  <c r="BI104" i="28"/>
  <c r="K105" i="28"/>
  <c r="L105" i="28"/>
  <c r="M105" i="28"/>
  <c r="N105" i="28"/>
  <c r="O105" i="28"/>
  <c r="P105" i="28"/>
  <c r="Q105" i="28"/>
  <c r="R105" i="28"/>
  <c r="S105" i="28"/>
  <c r="T105" i="28"/>
  <c r="U105" i="28"/>
  <c r="V105" i="28"/>
  <c r="W105" i="28"/>
  <c r="X105" i="28"/>
  <c r="Y105" i="28"/>
  <c r="Z105" i="28"/>
  <c r="AA105" i="28"/>
  <c r="AB105" i="28"/>
  <c r="AC105" i="28"/>
  <c r="AD105" i="28"/>
  <c r="AE105" i="28"/>
  <c r="AF105" i="28"/>
  <c r="AG105" i="28"/>
  <c r="AH105" i="28"/>
  <c r="AI105" i="28"/>
  <c r="AJ105" i="28"/>
  <c r="AK105" i="28"/>
  <c r="AL105" i="28"/>
  <c r="AM105" i="28"/>
  <c r="AN105" i="28"/>
  <c r="AO105" i="28"/>
  <c r="AP105" i="28"/>
  <c r="AQ105" i="28"/>
  <c r="AR105" i="28"/>
  <c r="AS105" i="28"/>
  <c r="AT105" i="28"/>
  <c r="AU105" i="28"/>
  <c r="AV105" i="28"/>
  <c r="AW105" i="28"/>
  <c r="AX105" i="28"/>
  <c r="AY105" i="28"/>
  <c r="AZ105" i="28"/>
  <c r="BA105" i="28"/>
  <c r="BB105" i="28"/>
  <c r="BC105" i="28"/>
  <c r="BD105" i="28"/>
  <c r="BE105" i="28"/>
  <c r="BF105" i="28"/>
  <c r="BG105" i="28"/>
  <c r="BH105" i="28"/>
  <c r="BI105" i="28"/>
  <c r="K106" i="28"/>
  <c r="L106" i="28"/>
  <c r="M106" i="28"/>
  <c r="N106" i="28"/>
  <c r="O106" i="28"/>
  <c r="P106" i="28"/>
  <c r="Q106" i="28"/>
  <c r="R106" i="28"/>
  <c r="S106" i="28"/>
  <c r="T106" i="28"/>
  <c r="U106" i="28"/>
  <c r="V106" i="28"/>
  <c r="W106" i="28"/>
  <c r="X106" i="28"/>
  <c r="Y106" i="28"/>
  <c r="Z106" i="28"/>
  <c r="AA106" i="28"/>
  <c r="AB106" i="28"/>
  <c r="AC106" i="28"/>
  <c r="AD106" i="28"/>
  <c r="AE106" i="28"/>
  <c r="AF106" i="28"/>
  <c r="AG106" i="28"/>
  <c r="AH106" i="28"/>
  <c r="AI106" i="28"/>
  <c r="AJ106" i="28"/>
  <c r="AK106" i="28"/>
  <c r="AL106" i="28"/>
  <c r="AM106" i="28"/>
  <c r="AN106" i="28"/>
  <c r="AO106" i="28"/>
  <c r="AP106" i="28"/>
  <c r="AQ106" i="28"/>
  <c r="AR106" i="28"/>
  <c r="AS106" i="28"/>
  <c r="AT106" i="28"/>
  <c r="AU106" i="28"/>
  <c r="AV106" i="28"/>
  <c r="AW106" i="28"/>
  <c r="AX106" i="28"/>
  <c r="AY106" i="28"/>
  <c r="AZ106" i="28"/>
  <c r="BA106" i="28"/>
  <c r="BB106" i="28"/>
  <c r="BC106" i="28"/>
  <c r="BD106" i="28"/>
  <c r="BE106" i="28"/>
  <c r="BF106" i="28"/>
  <c r="BG106" i="28"/>
  <c r="BH106" i="28"/>
  <c r="BI106" i="28"/>
  <c r="K107" i="28"/>
  <c r="L107" i="28"/>
  <c r="M107" i="28"/>
  <c r="N107" i="28"/>
  <c r="O107" i="28"/>
  <c r="P107" i="28"/>
  <c r="Q107" i="28"/>
  <c r="R107" i="28"/>
  <c r="S107" i="28"/>
  <c r="T107" i="28"/>
  <c r="U107" i="28"/>
  <c r="V107" i="28"/>
  <c r="W107" i="28"/>
  <c r="X107" i="28"/>
  <c r="Y107" i="28"/>
  <c r="Z107" i="28"/>
  <c r="AA107" i="28"/>
  <c r="AB107" i="28"/>
  <c r="AC107" i="28"/>
  <c r="AD107" i="28"/>
  <c r="AE107" i="28"/>
  <c r="AF107" i="28"/>
  <c r="AG107" i="28"/>
  <c r="AH107" i="28"/>
  <c r="AI107" i="28"/>
  <c r="AJ107" i="28"/>
  <c r="AK107" i="28"/>
  <c r="AL107" i="28"/>
  <c r="AM107" i="28"/>
  <c r="AN107" i="28"/>
  <c r="AO107" i="28"/>
  <c r="AP107" i="28"/>
  <c r="AQ107" i="28"/>
  <c r="AR107" i="28"/>
  <c r="AS107" i="28"/>
  <c r="AT107" i="28"/>
  <c r="AU107" i="28"/>
  <c r="AV107" i="28"/>
  <c r="AW107" i="28"/>
  <c r="AX107" i="28"/>
  <c r="AY107" i="28"/>
  <c r="AZ107" i="28"/>
  <c r="BA107" i="28"/>
  <c r="BB107" i="28"/>
  <c r="BC107" i="28"/>
  <c r="BD107" i="28"/>
  <c r="BE107" i="28"/>
  <c r="BF107" i="28"/>
  <c r="BG107" i="28"/>
  <c r="BH107" i="28"/>
  <c r="BI107" i="28"/>
  <c r="K108" i="28"/>
  <c r="L108" i="28"/>
  <c r="M108" i="28"/>
  <c r="N108" i="28"/>
  <c r="O108" i="28"/>
  <c r="P108" i="28"/>
  <c r="Q108" i="28"/>
  <c r="R108" i="28"/>
  <c r="S108" i="28"/>
  <c r="T108" i="28"/>
  <c r="U108" i="28"/>
  <c r="V108" i="28"/>
  <c r="W108" i="28"/>
  <c r="X108" i="28"/>
  <c r="Y108" i="28"/>
  <c r="Z108" i="28"/>
  <c r="AA108" i="28"/>
  <c r="AB108" i="28"/>
  <c r="AC108" i="28"/>
  <c r="AD108" i="28"/>
  <c r="AE108" i="28"/>
  <c r="AF108" i="28"/>
  <c r="AG108" i="28"/>
  <c r="AH108" i="28"/>
  <c r="AI108" i="28"/>
  <c r="AJ108" i="28"/>
  <c r="AK108" i="28"/>
  <c r="AL108" i="28"/>
  <c r="AM108" i="28"/>
  <c r="AN108" i="28"/>
  <c r="AO108" i="28"/>
  <c r="AP108" i="28"/>
  <c r="AQ108" i="28"/>
  <c r="AR108" i="28"/>
  <c r="AS108" i="28"/>
  <c r="AT108" i="28"/>
  <c r="AU108" i="28"/>
  <c r="AV108" i="28"/>
  <c r="AW108" i="28"/>
  <c r="AX108" i="28"/>
  <c r="AY108" i="28"/>
  <c r="AZ108" i="28"/>
  <c r="BA108" i="28"/>
  <c r="BB108" i="28"/>
  <c r="BC108" i="28"/>
  <c r="BD108" i="28"/>
  <c r="BE108" i="28"/>
  <c r="BF108" i="28"/>
  <c r="BG108" i="28"/>
  <c r="BH108" i="28"/>
  <c r="BI108" i="28"/>
  <c r="K109" i="28"/>
  <c r="L109" i="28"/>
  <c r="M109" i="28"/>
  <c r="N109" i="28"/>
  <c r="O109" i="28"/>
  <c r="P109" i="28"/>
  <c r="Q109" i="28"/>
  <c r="R109" i="28"/>
  <c r="S109" i="28"/>
  <c r="T109" i="28"/>
  <c r="U109" i="28"/>
  <c r="V109" i="28"/>
  <c r="W109" i="28"/>
  <c r="X109" i="28"/>
  <c r="Y109" i="28"/>
  <c r="Z109" i="28"/>
  <c r="AA109" i="28"/>
  <c r="AB109" i="28"/>
  <c r="AC109" i="28"/>
  <c r="AD109" i="28"/>
  <c r="AE109" i="28"/>
  <c r="AF109" i="28"/>
  <c r="AG109" i="28"/>
  <c r="AH109" i="28"/>
  <c r="AI109" i="28"/>
  <c r="AJ109" i="28"/>
  <c r="AK109" i="28"/>
  <c r="AL109" i="28"/>
  <c r="AM109" i="28"/>
  <c r="AN109" i="28"/>
  <c r="AO109" i="28"/>
  <c r="AP109" i="28"/>
  <c r="AQ109" i="28"/>
  <c r="AR109" i="28"/>
  <c r="AS109" i="28"/>
  <c r="AT109" i="28"/>
  <c r="AU109" i="28"/>
  <c r="AV109" i="28"/>
  <c r="AW109" i="28"/>
  <c r="AX109" i="28"/>
  <c r="AY109" i="28"/>
  <c r="AZ109" i="28"/>
  <c r="BA109" i="28"/>
  <c r="BB109" i="28"/>
  <c r="BC109" i="28"/>
  <c r="BD109" i="28"/>
  <c r="BE109" i="28"/>
  <c r="BF109" i="28"/>
  <c r="BG109" i="28"/>
  <c r="BH109" i="28"/>
  <c r="BI109" i="28"/>
  <c r="K110" i="28"/>
  <c r="L110" i="28"/>
  <c r="M110" i="28"/>
  <c r="N110" i="28"/>
  <c r="O110" i="28"/>
  <c r="P110" i="28"/>
  <c r="Q110" i="28"/>
  <c r="R110" i="28"/>
  <c r="S110" i="28"/>
  <c r="T110" i="28"/>
  <c r="U110" i="28"/>
  <c r="V110" i="28"/>
  <c r="W110" i="28"/>
  <c r="X110" i="28"/>
  <c r="Y110" i="28"/>
  <c r="Z110" i="28"/>
  <c r="AA110" i="28"/>
  <c r="AB110" i="28"/>
  <c r="AC110" i="28"/>
  <c r="AD110" i="28"/>
  <c r="AE110" i="28"/>
  <c r="AF110" i="28"/>
  <c r="AG110" i="28"/>
  <c r="AH110" i="28"/>
  <c r="AI110" i="28"/>
  <c r="AJ110" i="28"/>
  <c r="AK110" i="28"/>
  <c r="AL110" i="28"/>
  <c r="AM110" i="28"/>
  <c r="AN110" i="28"/>
  <c r="AO110" i="28"/>
  <c r="AP110" i="28"/>
  <c r="AQ110" i="28"/>
  <c r="AR110" i="28"/>
  <c r="AS110" i="28"/>
  <c r="AT110" i="28"/>
  <c r="AU110" i="28"/>
  <c r="AV110" i="28"/>
  <c r="AW110" i="28"/>
  <c r="AX110" i="28"/>
  <c r="AY110" i="28"/>
  <c r="AZ110" i="28"/>
  <c r="BA110" i="28"/>
  <c r="BB110" i="28"/>
  <c r="BC110" i="28"/>
  <c r="BD110" i="28"/>
  <c r="BE110" i="28"/>
  <c r="BF110" i="28"/>
  <c r="BG110" i="28"/>
  <c r="BH110" i="28"/>
  <c r="BI110" i="28"/>
  <c r="K111" i="28"/>
  <c r="L111" i="28"/>
  <c r="M111" i="28"/>
  <c r="N111" i="28"/>
  <c r="O111" i="28"/>
  <c r="P111" i="28"/>
  <c r="Q111" i="28"/>
  <c r="R111" i="28"/>
  <c r="S111" i="28"/>
  <c r="T111" i="28"/>
  <c r="U111" i="28"/>
  <c r="V111" i="28"/>
  <c r="W111" i="28"/>
  <c r="X111" i="28"/>
  <c r="Y111" i="28"/>
  <c r="Z111" i="28"/>
  <c r="AA111" i="28"/>
  <c r="AB111" i="28"/>
  <c r="AC111" i="28"/>
  <c r="AD111" i="28"/>
  <c r="AE111" i="28"/>
  <c r="AF111" i="28"/>
  <c r="AG111" i="28"/>
  <c r="AH111" i="28"/>
  <c r="AI111" i="28"/>
  <c r="AJ111" i="28"/>
  <c r="AK111" i="28"/>
  <c r="AL111" i="28"/>
  <c r="AM111" i="28"/>
  <c r="AN111" i="28"/>
  <c r="AO111" i="28"/>
  <c r="AP111" i="28"/>
  <c r="AQ111" i="28"/>
  <c r="AR111" i="28"/>
  <c r="AS111" i="28"/>
  <c r="AT111" i="28"/>
  <c r="AU111" i="28"/>
  <c r="AV111" i="28"/>
  <c r="AW111" i="28"/>
  <c r="AX111" i="28"/>
  <c r="AY111" i="28"/>
  <c r="AZ111" i="28"/>
  <c r="BA111" i="28"/>
  <c r="BB111" i="28"/>
  <c r="BC111" i="28"/>
  <c r="BD111" i="28"/>
  <c r="BE111" i="28"/>
  <c r="BF111" i="28"/>
  <c r="BG111" i="28"/>
  <c r="BH111" i="28"/>
  <c r="BI111" i="28"/>
  <c r="K112" i="28"/>
  <c r="L112" i="28"/>
  <c r="M112" i="28"/>
  <c r="N112" i="28"/>
  <c r="O112" i="28"/>
  <c r="P112" i="28"/>
  <c r="Q112" i="28"/>
  <c r="R112" i="28"/>
  <c r="S112" i="28"/>
  <c r="T112" i="28"/>
  <c r="U112" i="28"/>
  <c r="V112" i="28"/>
  <c r="W112" i="28"/>
  <c r="X112" i="28"/>
  <c r="Y112" i="28"/>
  <c r="Z112" i="28"/>
  <c r="AA112" i="28"/>
  <c r="AB112" i="28"/>
  <c r="AC112" i="28"/>
  <c r="AD112" i="28"/>
  <c r="AE112" i="28"/>
  <c r="AF112" i="28"/>
  <c r="AG112" i="28"/>
  <c r="AH112" i="28"/>
  <c r="AI112" i="28"/>
  <c r="AJ112" i="28"/>
  <c r="AK112" i="28"/>
  <c r="AL112" i="28"/>
  <c r="AM112" i="28"/>
  <c r="AN112" i="28"/>
  <c r="AO112" i="28"/>
  <c r="AP112" i="28"/>
  <c r="AQ112" i="28"/>
  <c r="AR112" i="28"/>
  <c r="AS112" i="28"/>
  <c r="AT112" i="28"/>
  <c r="AU112" i="28"/>
  <c r="AV112" i="28"/>
  <c r="AW112" i="28"/>
  <c r="AX112" i="28"/>
  <c r="AY112" i="28"/>
  <c r="AZ112" i="28"/>
  <c r="BA112" i="28"/>
  <c r="BB112" i="28"/>
  <c r="BC112" i="28"/>
  <c r="BD112" i="28"/>
  <c r="BE112" i="28"/>
  <c r="BF112" i="28"/>
  <c r="BG112" i="28"/>
  <c r="BH112" i="28"/>
  <c r="BI112" i="28"/>
  <c r="K113" i="28"/>
  <c r="L113" i="28"/>
  <c r="M113" i="28"/>
  <c r="N113" i="28"/>
  <c r="O113" i="28"/>
  <c r="P113" i="28"/>
  <c r="Q113" i="28"/>
  <c r="R113" i="28"/>
  <c r="S113" i="28"/>
  <c r="T113" i="28"/>
  <c r="U113" i="28"/>
  <c r="V113" i="28"/>
  <c r="W113" i="28"/>
  <c r="X113" i="28"/>
  <c r="Y113" i="28"/>
  <c r="Z113" i="28"/>
  <c r="AA113" i="28"/>
  <c r="AB113" i="28"/>
  <c r="AC113" i="28"/>
  <c r="AD113" i="28"/>
  <c r="AE113" i="28"/>
  <c r="AF113" i="28"/>
  <c r="AG113" i="28"/>
  <c r="AH113" i="28"/>
  <c r="AI113" i="28"/>
  <c r="AJ113" i="28"/>
  <c r="AK113" i="28"/>
  <c r="AL113" i="28"/>
  <c r="AM113" i="28"/>
  <c r="AN113" i="28"/>
  <c r="AO113" i="28"/>
  <c r="AP113" i="28"/>
  <c r="AQ113" i="28"/>
  <c r="AR113" i="28"/>
  <c r="AS113" i="28"/>
  <c r="AT113" i="28"/>
  <c r="AU113" i="28"/>
  <c r="AV113" i="28"/>
  <c r="AW113" i="28"/>
  <c r="AX113" i="28"/>
  <c r="AY113" i="28"/>
  <c r="AZ113" i="28"/>
  <c r="BA113" i="28"/>
  <c r="BB113" i="28"/>
  <c r="BC113" i="28"/>
  <c r="BD113" i="28"/>
  <c r="BE113" i="28"/>
  <c r="BF113" i="28"/>
  <c r="BG113" i="28"/>
  <c r="BH113" i="28"/>
  <c r="BI113" i="28"/>
  <c r="I4" i="28"/>
  <c r="J4" i="28"/>
  <c r="I5" i="28"/>
  <c r="J5" i="28"/>
  <c r="I6" i="28"/>
  <c r="J6" i="28"/>
  <c r="I7" i="28"/>
  <c r="J7" i="28"/>
  <c r="I8" i="28"/>
  <c r="J8" i="28"/>
  <c r="I9" i="28"/>
  <c r="J9" i="28"/>
  <c r="I10" i="28"/>
  <c r="J10" i="28"/>
  <c r="I11" i="28"/>
  <c r="J11" i="28"/>
  <c r="I12" i="28"/>
  <c r="J12" i="28"/>
  <c r="I13" i="28"/>
  <c r="J13" i="28"/>
  <c r="I14" i="28"/>
  <c r="J14" i="28"/>
  <c r="I15" i="28"/>
  <c r="J15" i="28"/>
  <c r="I16" i="28"/>
  <c r="J16" i="28"/>
  <c r="I17" i="28"/>
  <c r="J17" i="28"/>
  <c r="I18" i="28"/>
  <c r="J18" i="28"/>
  <c r="I19" i="28"/>
  <c r="J19" i="28"/>
  <c r="I20" i="28"/>
  <c r="J20" i="28"/>
  <c r="I21" i="28"/>
  <c r="J21" i="28"/>
  <c r="I22" i="28"/>
  <c r="J22" i="28"/>
  <c r="I23" i="28"/>
  <c r="J23" i="28"/>
  <c r="I24" i="28"/>
  <c r="J24" i="28"/>
  <c r="I25" i="28"/>
  <c r="J25" i="28"/>
  <c r="I26" i="28"/>
  <c r="J26" i="28"/>
  <c r="I27" i="28"/>
  <c r="J27" i="28"/>
  <c r="I28" i="28"/>
  <c r="J28" i="28"/>
  <c r="I29" i="28"/>
  <c r="J29" i="28"/>
  <c r="I30" i="28"/>
  <c r="J30" i="28"/>
  <c r="I31" i="28"/>
  <c r="J31" i="28"/>
  <c r="I32" i="28"/>
  <c r="J32" i="28"/>
  <c r="I33" i="28"/>
  <c r="J33" i="28"/>
  <c r="I34" i="28"/>
  <c r="J34" i="28"/>
  <c r="I35" i="28"/>
  <c r="J35" i="28"/>
  <c r="I36" i="28"/>
  <c r="J36" i="28"/>
  <c r="I37" i="28"/>
  <c r="J37" i="28"/>
  <c r="I38" i="28"/>
  <c r="J38" i="28"/>
  <c r="I39" i="28"/>
  <c r="J39" i="28"/>
  <c r="I40" i="28"/>
  <c r="J40" i="28"/>
  <c r="I41" i="28"/>
  <c r="J41" i="28"/>
  <c r="I42" i="28"/>
  <c r="J42" i="28"/>
  <c r="I43" i="28"/>
  <c r="J43" i="28"/>
  <c r="I44" i="28"/>
  <c r="J44" i="28"/>
  <c r="I45" i="28"/>
  <c r="J45" i="28"/>
  <c r="I46" i="28"/>
  <c r="J46" i="28"/>
  <c r="I47" i="28"/>
  <c r="J47" i="28"/>
  <c r="I48" i="28"/>
  <c r="J48" i="28"/>
  <c r="I49" i="28"/>
  <c r="J49" i="28"/>
  <c r="I50" i="28"/>
  <c r="J50" i="28"/>
  <c r="I51" i="28"/>
  <c r="J51" i="28"/>
  <c r="I52" i="28"/>
  <c r="J52" i="28"/>
  <c r="I53" i="28"/>
  <c r="J53" i="28"/>
  <c r="I54" i="28"/>
  <c r="J54" i="28"/>
  <c r="I55" i="28"/>
  <c r="J55" i="28"/>
  <c r="I56" i="28"/>
  <c r="J56" i="28"/>
  <c r="I57" i="28"/>
  <c r="J57" i="28"/>
  <c r="I58" i="28"/>
  <c r="J58" i="28"/>
  <c r="I59" i="28"/>
  <c r="J59" i="28"/>
  <c r="I60" i="28"/>
  <c r="J60" i="28"/>
  <c r="I61" i="28"/>
  <c r="J61" i="28"/>
  <c r="I62" i="28"/>
  <c r="J62" i="28"/>
  <c r="I63" i="28"/>
  <c r="J63" i="28"/>
  <c r="I64" i="28"/>
  <c r="J64" i="28"/>
  <c r="I65" i="28"/>
  <c r="J65" i="28"/>
  <c r="I66" i="28"/>
  <c r="J66" i="28"/>
  <c r="I67" i="28"/>
  <c r="J67" i="28"/>
  <c r="I68" i="28"/>
  <c r="J68" i="28"/>
  <c r="I69" i="28"/>
  <c r="J69" i="28"/>
  <c r="I70" i="28"/>
  <c r="J70" i="28"/>
  <c r="I71" i="28"/>
  <c r="J71" i="28"/>
  <c r="I72" i="28"/>
  <c r="J72" i="28"/>
  <c r="I73" i="28"/>
  <c r="J73" i="28"/>
  <c r="I74" i="28"/>
  <c r="J74" i="28"/>
  <c r="I75" i="28"/>
  <c r="J75" i="28"/>
  <c r="I76" i="28"/>
  <c r="J76" i="28"/>
  <c r="I77" i="28"/>
  <c r="J77" i="28"/>
  <c r="I78" i="28"/>
  <c r="J78" i="28"/>
  <c r="I79" i="28"/>
  <c r="J79" i="28"/>
  <c r="I80" i="28"/>
  <c r="J80" i="28"/>
  <c r="I81" i="28"/>
  <c r="J81" i="28"/>
  <c r="I82" i="28"/>
  <c r="J82" i="28"/>
  <c r="I83" i="28"/>
  <c r="J83" i="28"/>
  <c r="I84" i="28"/>
  <c r="J84" i="28"/>
  <c r="I85" i="28"/>
  <c r="J85" i="28"/>
  <c r="I86" i="28"/>
  <c r="J86" i="28"/>
  <c r="I87" i="28"/>
  <c r="J87" i="28"/>
  <c r="I88" i="28"/>
  <c r="J88" i="28"/>
  <c r="I89" i="28"/>
  <c r="J89" i="28"/>
  <c r="I90" i="28"/>
  <c r="J90" i="28"/>
  <c r="I91" i="28"/>
  <c r="J91" i="28"/>
  <c r="I92" i="28"/>
  <c r="J92" i="28"/>
  <c r="I93" i="28"/>
  <c r="J93" i="28"/>
  <c r="I94" i="28"/>
  <c r="J94" i="28"/>
  <c r="I95" i="28"/>
  <c r="J95" i="28"/>
  <c r="I96" i="28"/>
  <c r="J96" i="28"/>
  <c r="I97" i="28"/>
  <c r="J97" i="28"/>
  <c r="I98" i="28"/>
  <c r="J98" i="28"/>
  <c r="I99" i="28"/>
  <c r="J99" i="28"/>
  <c r="I100" i="28"/>
  <c r="J100" i="28"/>
  <c r="I101" i="28"/>
  <c r="J101" i="28"/>
  <c r="I102" i="28"/>
  <c r="J102" i="28"/>
  <c r="I103" i="28"/>
  <c r="J103" i="28"/>
  <c r="I104" i="28"/>
  <c r="J104" i="28"/>
  <c r="I105" i="28"/>
  <c r="J105" i="28"/>
  <c r="I106" i="28"/>
  <c r="J106" i="28"/>
  <c r="I107" i="28"/>
  <c r="J107" i="28"/>
  <c r="I108" i="28"/>
  <c r="J108" i="28"/>
  <c r="I109" i="28"/>
  <c r="J109" i="28"/>
  <c r="I110" i="28"/>
  <c r="J110" i="28"/>
  <c r="I111" i="28"/>
  <c r="J111" i="28"/>
  <c r="I112" i="28"/>
  <c r="J112" i="28"/>
  <c r="I113" i="28"/>
  <c r="J113" i="28"/>
  <c r="J3" i="28"/>
  <c r="I3" i="28"/>
  <c r="H5" i="28"/>
  <c r="H6" i="28"/>
  <c r="H7" i="28"/>
  <c r="H8" i="28"/>
  <c r="H9" i="28"/>
  <c r="H10" i="28"/>
  <c r="H11" i="28"/>
  <c r="H12" i="28"/>
  <c r="H13" i="28"/>
  <c r="H14" i="28"/>
  <c r="H15" i="28"/>
  <c r="H16" i="28"/>
  <c r="H17" i="28"/>
  <c r="H18" i="28"/>
  <c r="H19" i="28"/>
  <c r="H20" i="28"/>
  <c r="H21" i="28"/>
  <c r="H22" i="28"/>
  <c r="H23" i="28"/>
  <c r="H24" i="28"/>
  <c r="H25" i="28"/>
  <c r="H26" i="28"/>
  <c r="H27" i="28"/>
  <c r="H28" i="28"/>
  <c r="H29" i="28"/>
  <c r="H30" i="28"/>
  <c r="H31" i="28"/>
  <c r="H32" i="28"/>
  <c r="H33" i="28"/>
  <c r="H34" i="28"/>
  <c r="H35" i="28"/>
  <c r="H36" i="28"/>
  <c r="H37" i="28"/>
  <c r="H38" i="28"/>
  <c r="H39" i="28"/>
  <c r="H40" i="28"/>
  <c r="H41" i="28"/>
  <c r="H42" i="28"/>
  <c r="H43" i="28"/>
  <c r="H44" i="28"/>
  <c r="H45" i="28"/>
  <c r="H46" i="28"/>
  <c r="H47" i="28"/>
  <c r="H48" i="28"/>
  <c r="H49" i="28"/>
  <c r="H50" i="28"/>
  <c r="H51" i="28"/>
  <c r="H52" i="28"/>
  <c r="H53" i="28"/>
  <c r="H54" i="28"/>
  <c r="H55" i="28"/>
  <c r="H56" i="28"/>
  <c r="H57" i="28"/>
  <c r="H58" i="28"/>
  <c r="H59" i="28"/>
  <c r="H60" i="28"/>
  <c r="H61" i="28"/>
  <c r="H62" i="28"/>
  <c r="H63" i="28"/>
  <c r="H64" i="28"/>
  <c r="H65" i="28"/>
  <c r="H66" i="28"/>
  <c r="H67" i="28"/>
  <c r="H68" i="28"/>
  <c r="H69" i="28"/>
  <c r="H70" i="28"/>
  <c r="H71" i="28"/>
  <c r="H72" i="28"/>
  <c r="H73" i="28"/>
  <c r="H74" i="28"/>
  <c r="H75" i="28"/>
  <c r="H76" i="28"/>
  <c r="H77" i="28"/>
  <c r="H78" i="28"/>
  <c r="H79" i="28"/>
  <c r="H80" i="28"/>
  <c r="H81" i="28"/>
  <c r="H82" i="28"/>
  <c r="H83" i="28"/>
  <c r="H84" i="28"/>
  <c r="H85" i="28"/>
  <c r="H86" i="28"/>
  <c r="H87" i="28"/>
  <c r="H88" i="28"/>
  <c r="H89" i="28"/>
  <c r="H90" i="28"/>
  <c r="H91" i="28"/>
  <c r="H92" i="28"/>
  <c r="H93" i="28"/>
  <c r="H94" i="28"/>
  <c r="H95" i="28"/>
  <c r="H96" i="28"/>
  <c r="H97" i="28"/>
  <c r="H98" i="28"/>
  <c r="H99" i="28"/>
  <c r="H100" i="28"/>
  <c r="H101" i="28"/>
  <c r="H102" i="28"/>
  <c r="H103" i="28"/>
  <c r="H104" i="28"/>
  <c r="H105" i="28"/>
  <c r="H106" i="28"/>
  <c r="H107" i="28"/>
  <c r="H108" i="28"/>
  <c r="H109" i="28"/>
  <c r="H110" i="28"/>
  <c r="H111" i="28"/>
  <c r="H112" i="28"/>
  <c r="H113" i="28"/>
  <c r="H4" i="28"/>
  <c r="D7" i="28" l="1"/>
  <c r="D8" i="28"/>
  <c r="D9" i="28"/>
  <c r="D10" i="28"/>
  <c r="D11" i="28"/>
  <c r="D12" i="28"/>
  <c r="D13" i="28"/>
  <c r="D14" i="28"/>
  <c r="D15" i="28"/>
  <c r="D16" i="28"/>
  <c r="D17" i="28"/>
  <c r="D18" i="28"/>
  <c r="D19" i="28"/>
  <c r="D20" i="28"/>
  <c r="D21" i="28"/>
  <c r="D22" i="28"/>
  <c r="D23" i="28"/>
  <c r="D24" i="28"/>
  <c r="D25" i="28"/>
  <c r="D26" i="28"/>
  <c r="D27" i="28"/>
  <c r="D28" i="28"/>
  <c r="D29" i="28"/>
  <c r="D30" i="28"/>
  <c r="D31" i="28"/>
  <c r="D32" i="28"/>
  <c r="D33" i="28"/>
  <c r="D34" i="28"/>
  <c r="D35" i="28"/>
  <c r="D36" i="28"/>
  <c r="D37" i="28"/>
  <c r="D38" i="28"/>
  <c r="D39" i="28"/>
  <c r="D40" i="28"/>
  <c r="D41" i="28"/>
  <c r="D42" i="28"/>
  <c r="D43" i="28"/>
  <c r="D44" i="28"/>
  <c r="D45" i="28"/>
  <c r="D46" i="28"/>
  <c r="D47" i="28"/>
  <c r="D48" i="28"/>
  <c r="D49" i="28"/>
  <c r="D50" i="28"/>
  <c r="D51" i="28"/>
  <c r="D52" i="28"/>
  <c r="D53" i="28"/>
  <c r="D54" i="28"/>
  <c r="D55" i="28"/>
  <c r="D56" i="28"/>
  <c r="D57" i="28"/>
  <c r="D58" i="28"/>
  <c r="D59" i="28"/>
  <c r="D60" i="28"/>
  <c r="D61" i="28"/>
  <c r="D62" i="28"/>
  <c r="D63" i="28"/>
  <c r="D64" i="28"/>
  <c r="D65" i="28"/>
  <c r="D66" i="28"/>
  <c r="D67" i="28"/>
  <c r="D68" i="28"/>
  <c r="D69" i="28"/>
  <c r="D70" i="28"/>
  <c r="D71" i="28"/>
  <c r="D72" i="28"/>
  <c r="D73" i="28"/>
  <c r="D74" i="28"/>
  <c r="D75" i="28"/>
  <c r="D76" i="28"/>
  <c r="D77" i="28"/>
  <c r="D78" i="28"/>
  <c r="D79" i="28"/>
  <c r="D80" i="28"/>
  <c r="D81" i="28"/>
  <c r="D82" i="28"/>
  <c r="D83" i="28"/>
  <c r="D84" i="28"/>
  <c r="D85" i="28"/>
  <c r="D86" i="28"/>
  <c r="D87" i="28"/>
  <c r="D88" i="28"/>
  <c r="D89" i="28"/>
  <c r="D90" i="28"/>
  <c r="D91" i="28"/>
  <c r="D92" i="28"/>
  <c r="D93" i="28"/>
  <c r="D94" i="28"/>
  <c r="D95" i="28"/>
  <c r="D96" i="28"/>
  <c r="D97" i="28"/>
  <c r="D98" i="28"/>
  <c r="D99" i="28"/>
  <c r="D100" i="28"/>
  <c r="D101" i="28"/>
  <c r="D102" i="28"/>
  <c r="D103" i="28"/>
  <c r="D104" i="28"/>
  <c r="D105" i="28"/>
  <c r="D106" i="28"/>
  <c r="D107" i="28"/>
  <c r="D108" i="28"/>
  <c r="D109" i="28"/>
  <c r="D110" i="28"/>
  <c r="D111" i="28"/>
  <c r="D112" i="28"/>
  <c r="D113" i="28"/>
  <c r="D5" i="28"/>
  <c r="D6" i="28"/>
  <c r="D4" i="28"/>
  <c r="C5" i="28"/>
  <c r="C6" i="28"/>
  <c r="C7" i="28"/>
  <c r="C8" i="28"/>
  <c r="C9" i="28"/>
  <c r="C10" i="28"/>
  <c r="C11" i="28"/>
  <c r="C12" i="28"/>
  <c r="C13" i="28"/>
  <c r="C14" i="28"/>
  <c r="C15" i="28"/>
  <c r="C16" i="28"/>
  <c r="C17" i="28"/>
  <c r="C18" i="28"/>
  <c r="C19" i="28"/>
  <c r="C20" i="28"/>
  <c r="C21" i="28"/>
  <c r="C22" i="28"/>
  <c r="C23" i="28"/>
  <c r="C24" i="28"/>
  <c r="C25" i="28"/>
  <c r="C26" i="28"/>
  <c r="C27" i="28"/>
  <c r="C28" i="28"/>
  <c r="C29" i="28"/>
  <c r="C30" i="28"/>
  <c r="C31" i="28"/>
  <c r="C32" i="28"/>
  <c r="C33" i="28"/>
  <c r="C34" i="28"/>
  <c r="C35" i="28"/>
  <c r="C36" i="28"/>
  <c r="C37" i="28"/>
  <c r="C38" i="28"/>
  <c r="C39" i="28"/>
  <c r="C40" i="28"/>
  <c r="C41" i="28"/>
  <c r="C42" i="28"/>
  <c r="C43" i="28"/>
  <c r="C44" i="28"/>
  <c r="C45" i="28"/>
  <c r="C46" i="28"/>
  <c r="C47" i="28"/>
  <c r="C48" i="28"/>
  <c r="C49" i="28"/>
  <c r="C50" i="28"/>
  <c r="C51" i="28"/>
  <c r="C52" i="28"/>
  <c r="C53" i="28"/>
  <c r="C54" i="28"/>
  <c r="C55" i="28"/>
  <c r="C56" i="28"/>
  <c r="C57" i="28"/>
  <c r="C58" i="28"/>
  <c r="C59" i="28"/>
  <c r="C60" i="28"/>
  <c r="C61" i="28"/>
  <c r="C62" i="28"/>
  <c r="C63" i="28"/>
  <c r="C64" i="28"/>
  <c r="C65" i="28"/>
  <c r="C66" i="28"/>
  <c r="C67" i="28"/>
  <c r="C68" i="28"/>
  <c r="C69" i="28"/>
  <c r="C70" i="28"/>
  <c r="C71" i="28"/>
  <c r="C72" i="28"/>
  <c r="C73" i="28"/>
  <c r="C74" i="28"/>
  <c r="C75" i="28"/>
  <c r="C76" i="28"/>
  <c r="C77" i="28"/>
  <c r="C78" i="28"/>
  <c r="C79" i="28"/>
  <c r="C80" i="28"/>
  <c r="C81" i="28"/>
  <c r="C82" i="28"/>
  <c r="C83" i="28"/>
  <c r="C84" i="28"/>
  <c r="C85" i="28"/>
  <c r="C86" i="28"/>
  <c r="C87" i="28"/>
  <c r="C88" i="28"/>
  <c r="C89" i="28"/>
  <c r="C90" i="28"/>
  <c r="C91" i="28"/>
  <c r="C92" i="28"/>
  <c r="C93" i="28"/>
  <c r="C94" i="28"/>
  <c r="C95" i="28"/>
  <c r="C96" i="28"/>
  <c r="C97" i="28"/>
  <c r="C98" i="28"/>
  <c r="C99" i="28"/>
  <c r="C100" i="28"/>
  <c r="C101" i="28"/>
  <c r="C102" i="28"/>
  <c r="C103" i="28"/>
  <c r="C104" i="28"/>
  <c r="C105" i="28"/>
  <c r="C106" i="28"/>
  <c r="C107" i="28"/>
  <c r="C108" i="28"/>
  <c r="C109" i="28"/>
  <c r="C110" i="28"/>
  <c r="C111" i="28"/>
  <c r="C112" i="28"/>
  <c r="C113" i="28"/>
  <c r="A5" i="28"/>
  <c r="A6" i="28"/>
  <c r="A7" i="28"/>
  <c r="A8" i="28"/>
  <c r="A9" i="28"/>
  <c r="A10" i="28"/>
  <c r="A11" i="28"/>
  <c r="A12" i="28"/>
  <c r="A13" i="28"/>
  <c r="A14" i="28"/>
  <c r="A15" i="28"/>
  <c r="A16" i="28"/>
  <c r="A17" i="28"/>
  <c r="A18" i="28"/>
  <c r="A19" i="28"/>
  <c r="A20" i="28"/>
  <c r="A21" i="28"/>
  <c r="A22" i="28"/>
  <c r="A23" i="28"/>
  <c r="A24" i="28"/>
  <c r="A25" i="28"/>
  <c r="A26" i="28"/>
  <c r="A27" i="28"/>
  <c r="A28" i="28"/>
  <c r="A29" i="28"/>
  <c r="A30" i="28"/>
  <c r="A31" i="28"/>
  <c r="A32" i="28"/>
  <c r="A33" i="28"/>
  <c r="A34" i="28"/>
  <c r="A35" i="28"/>
  <c r="A36" i="28"/>
  <c r="A37" i="28"/>
  <c r="A38" i="28"/>
  <c r="A39" i="28"/>
  <c r="A40" i="28"/>
  <c r="A41" i="28"/>
  <c r="A42" i="28"/>
  <c r="A43" i="28"/>
  <c r="A44" i="28"/>
  <c r="A45" i="28"/>
  <c r="A46" i="28"/>
  <c r="A47" i="28"/>
  <c r="A48" i="28"/>
  <c r="A49" i="28"/>
  <c r="A50" i="28"/>
  <c r="A51" i="28"/>
  <c r="A52" i="28"/>
  <c r="A53" i="28"/>
  <c r="A54" i="28"/>
  <c r="A55" i="28"/>
  <c r="A56" i="28"/>
  <c r="A57" i="28"/>
  <c r="A58" i="28"/>
  <c r="A59" i="28"/>
  <c r="A60" i="28"/>
  <c r="A61" i="28"/>
  <c r="A62" i="28"/>
  <c r="A63" i="28"/>
  <c r="A64" i="28"/>
  <c r="A65" i="28"/>
  <c r="A66" i="28"/>
  <c r="A67" i="28"/>
  <c r="A68" i="28"/>
  <c r="A69" i="28"/>
  <c r="A70" i="28"/>
  <c r="A71" i="28"/>
  <c r="A72" i="28"/>
  <c r="A73" i="28"/>
  <c r="A74" i="28"/>
  <c r="A75" i="28"/>
  <c r="A76" i="28"/>
  <c r="A77" i="28"/>
  <c r="A78" i="28"/>
  <c r="A79" i="28"/>
  <c r="A80" i="28"/>
  <c r="A81" i="28"/>
  <c r="A82" i="28"/>
  <c r="A83" i="28"/>
  <c r="A84" i="28"/>
  <c r="A85" i="28"/>
  <c r="A86" i="28"/>
  <c r="A87" i="28"/>
  <c r="A88" i="28"/>
  <c r="A89" i="28"/>
  <c r="A90" i="28"/>
  <c r="A91" i="28"/>
  <c r="A92" i="28"/>
  <c r="A93" i="28"/>
  <c r="A94" i="28"/>
  <c r="A95" i="28"/>
  <c r="A96" i="28"/>
  <c r="A97" i="28"/>
  <c r="A98" i="28"/>
  <c r="A99" i="28"/>
  <c r="A100" i="28"/>
  <c r="A101" i="28"/>
  <c r="A102" i="28"/>
  <c r="A103" i="28"/>
  <c r="A104" i="28"/>
  <c r="A105" i="28"/>
  <c r="A106" i="28"/>
  <c r="A107" i="28"/>
  <c r="A108" i="28"/>
  <c r="A109" i="28"/>
  <c r="A110" i="28"/>
  <c r="A111" i="28"/>
  <c r="A112" i="28"/>
  <c r="A113" i="28"/>
  <c r="C4" i="28"/>
  <c r="A4" i="28"/>
  <c r="D14" i="30" a="1"/>
  <c r="D14" i="30" s="1"/>
  <c r="D20" i="30" a="1"/>
  <c r="D20" i="30" s="1"/>
  <c r="D28" i="30" a="1"/>
  <c r="D28" i="30" s="1"/>
  <c r="D37" i="30" a="1"/>
  <c r="D37" i="30" s="1"/>
  <c r="D60" i="30" a="1"/>
  <c r="D60" i="30" s="1"/>
  <c r="D72" i="30" a="1"/>
  <c r="D72" i="30" s="1"/>
  <c r="D75" i="30" a="1"/>
  <c r="D75" i="30" s="1"/>
  <c r="D78" i="30" a="1"/>
  <c r="D78" i="30" s="1"/>
  <c r="D81" i="30" a="1"/>
  <c r="D81" i="30" s="1"/>
  <c r="D86" i="30" a="1"/>
  <c r="D86" i="30" s="1"/>
  <c r="D87" i="30" a="1"/>
  <c r="D87" i="30" s="1"/>
  <c r="D95" i="30" a="1"/>
  <c r="D95" i="30" s="1"/>
  <c r="D96" i="30" a="1"/>
  <c r="D96" i="30" s="1"/>
  <c r="D99" i="30" a="1"/>
  <c r="D99" i="30" s="1"/>
  <c r="D102" i="30" a="1"/>
  <c r="D102" i="30" s="1"/>
  <c r="D105" i="30" a="1"/>
  <c r="D105" i="30" s="1"/>
  <c r="D108" i="30" a="1"/>
  <c r="D108" i="30" s="1"/>
  <c r="D111" i="30" a="1"/>
  <c r="D111" i="30" s="1"/>
  <c r="D112" i="30" a="1"/>
  <c r="D112" i="30" s="1"/>
  <c r="NQ113" i="30"/>
  <c r="NP113" i="30"/>
  <c r="NN113" i="30"/>
  <c r="NL113" i="30"/>
  <c r="NJ113" i="30"/>
  <c r="NH113" i="30"/>
  <c r="NF113" i="30"/>
  <c r="ND113" i="30"/>
  <c r="NB113" i="30"/>
  <c r="LP113" i="30"/>
  <c r="LC113" i="30"/>
  <c r="LB113" i="30"/>
  <c r="NQ110" i="30"/>
  <c r="NP110" i="30"/>
  <c r="NN110" i="30"/>
  <c r="NL110" i="30"/>
  <c r="NJ110" i="30"/>
  <c r="NH110" i="30"/>
  <c r="NF110" i="30"/>
  <c r="ND110" i="30"/>
  <c r="MB110" i="30"/>
  <c r="LZ110" i="30"/>
  <c r="LX110" i="30"/>
  <c r="LV110" i="30"/>
  <c r="LP110" i="30"/>
  <c r="LN110" i="30"/>
  <c r="LM110" i="30"/>
  <c r="LL110" i="30"/>
  <c r="LJ110" i="30"/>
  <c r="LC110" i="30"/>
  <c r="LB110" i="30"/>
  <c r="KQ110" i="30"/>
  <c r="KP110" i="30"/>
  <c r="KO110" i="30"/>
  <c r="KN110" i="30"/>
  <c r="KM110" i="30"/>
  <c r="KL110" i="30"/>
  <c r="KK110" i="30"/>
  <c r="KJ110" i="30"/>
  <c r="KI110" i="30"/>
  <c r="KH110" i="30"/>
  <c r="NQ107" i="30"/>
  <c r="NP107" i="30"/>
  <c r="NN107" i="30"/>
  <c r="NL107" i="30"/>
  <c r="NJ107" i="30"/>
  <c r="NH107" i="30"/>
  <c r="NF107" i="30"/>
  <c r="ND107" i="30"/>
  <c r="MB107" i="30"/>
  <c r="LZ107" i="30"/>
  <c r="LX107" i="30"/>
  <c r="LV107" i="30"/>
  <c r="LP107" i="30"/>
  <c r="LN107" i="30"/>
  <c r="LM107" i="30"/>
  <c r="LL107" i="30"/>
  <c r="LJ107" i="30"/>
  <c r="LC107" i="30"/>
  <c r="LB107" i="30"/>
  <c r="KQ107" i="30"/>
  <c r="KP107" i="30"/>
  <c r="KO107" i="30"/>
  <c r="KN107" i="30"/>
  <c r="KM107" i="30"/>
  <c r="KL107" i="30"/>
  <c r="KK107" i="30"/>
  <c r="KJ107" i="30"/>
  <c r="KI107" i="30"/>
  <c r="KH107" i="30"/>
  <c r="JD107" i="30"/>
  <c r="JB107" i="30"/>
  <c r="IZ107" i="30"/>
  <c r="IX107" i="30"/>
  <c r="NQ104" i="30"/>
  <c r="NP104" i="30"/>
  <c r="NN104" i="30"/>
  <c r="NJ104" i="30"/>
  <c r="NH104" i="30"/>
  <c r="NF104" i="30"/>
  <c r="ND104" i="30"/>
  <c r="MB104" i="30"/>
  <c r="LZ104" i="30"/>
  <c r="LX104" i="30"/>
  <c r="LV104" i="30"/>
  <c r="LT104" i="30"/>
  <c r="LR104" i="30"/>
  <c r="LP104" i="30"/>
  <c r="LN104" i="30"/>
  <c r="LM104" i="30"/>
  <c r="LL104" i="30"/>
  <c r="LJ104" i="30"/>
  <c r="LC104" i="30"/>
  <c r="LB104" i="30"/>
  <c r="KQ104" i="30"/>
  <c r="KP104" i="30"/>
  <c r="KO104" i="30"/>
  <c r="KN104" i="30"/>
  <c r="KM104" i="30"/>
  <c r="KL104" i="30"/>
  <c r="KK104" i="30"/>
  <c r="KJ104" i="30"/>
  <c r="KI104" i="30"/>
  <c r="KH104" i="30"/>
  <c r="JD104" i="30"/>
  <c r="JB104" i="30"/>
  <c r="IZ104" i="30"/>
  <c r="IX104" i="30"/>
  <c r="LI109" i="30"/>
  <c r="LH109" i="30"/>
  <c r="LG109" i="30"/>
  <c r="LF109" i="30"/>
  <c r="LE109" i="30"/>
  <c r="LD109" i="30"/>
  <c r="LI106" i="30"/>
  <c r="LH106" i="30"/>
  <c r="LG106" i="30"/>
  <c r="LF106" i="30"/>
  <c r="LE106" i="30"/>
  <c r="LD106" i="30"/>
  <c r="LI103" i="30"/>
  <c r="LH103" i="30"/>
  <c r="LG103" i="30"/>
  <c r="LF103" i="30"/>
  <c r="LE103" i="30"/>
  <c r="LD103" i="30"/>
  <c r="NQ101" i="30"/>
  <c r="NP101" i="30"/>
  <c r="NN101" i="30"/>
  <c r="NL101" i="30"/>
  <c r="NJ101" i="30"/>
  <c r="NH101" i="30"/>
  <c r="NF101" i="30"/>
  <c r="ND101" i="30"/>
  <c r="NB101" i="30"/>
  <c r="MB101" i="30"/>
  <c r="LZ101" i="30"/>
  <c r="LX101" i="30"/>
  <c r="LV101" i="30"/>
  <c r="LT101" i="30"/>
  <c r="LR101" i="30"/>
  <c r="LP101" i="30"/>
  <c r="LN101" i="30"/>
  <c r="LJ101" i="30"/>
  <c r="LC101" i="30"/>
  <c r="LB101" i="30"/>
  <c r="KQ101" i="30"/>
  <c r="KP101" i="30"/>
  <c r="KO101" i="30"/>
  <c r="KN101" i="30"/>
  <c r="KM101" i="30"/>
  <c r="KL101" i="30"/>
  <c r="KK101" i="30"/>
  <c r="KJ101" i="30"/>
  <c r="KI101" i="30"/>
  <c r="KH101" i="30"/>
  <c r="JD101" i="30"/>
  <c r="JB101" i="30"/>
  <c r="IZ101" i="30"/>
  <c r="IX101" i="30"/>
  <c r="LI100" i="30"/>
  <c r="LH100" i="30"/>
  <c r="LG100" i="30"/>
  <c r="LF100" i="30"/>
  <c r="LE100" i="30"/>
  <c r="LD100" i="30"/>
  <c r="NQ98" i="30"/>
  <c r="NP98" i="30"/>
  <c r="NN98" i="30"/>
  <c r="NJ98" i="30"/>
  <c r="NH98" i="30"/>
  <c r="NF98" i="30"/>
  <c r="ND98" i="30"/>
  <c r="MB98" i="30"/>
  <c r="LZ98" i="30"/>
  <c r="LX98" i="30"/>
  <c r="LV98" i="30"/>
  <c r="LT98" i="30"/>
  <c r="LR98" i="30"/>
  <c r="LP98" i="30"/>
  <c r="LN98" i="30"/>
  <c r="LM98" i="30"/>
  <c r="LL98" i="30"/>
  <c r="LJ98" i="30"/>
  <c r="LC98" i="30"/>
  <c r="LB98" i="30"/>
  <c r="KQ98" i="30"/>
  <c r="KP98" i="30"/>
  <c r="KO98" i="30"/>
  <c r="KN98" i="30"/>
  <c r="KM98" i="30"/>
  <c r="KL98" i="30"/>
  <c r="KK98" i="30"/>
  <c r="KJ98" i="30"/>
  <c r="KI98" i="30"/>
  <c r="KH98" i="30"/>
  <c r="JD98" i="30"/>
  <c r="JB98" i="30"/>
  <c r="IZ98" i="30"/>
  <c r="IX98" i="30"/>
  <c r="LI97" i="30"/>
  <c r="LH97" i="30"/>
  <c r="LG97" i="30"/>
  <c r="LF97" i="30"/>
  <c r="LE97" i="30"/>
  <c r="LD97" i="30"/>
  <c r="NQ94" i="30"/>
  <c r="NP94" i="30"/>
  <c r="NN94" i="30"/>
  <c r="NL94" i="30"/>
  <c r="NJ94" i="30"/>
  <c r="NH94" i="30"/>
  <c r="NF94" i="30"/>
  <c r="ND94" i="30"/>
  <c r="NB94" i="30"/>
  <c r="MB94" i="30"/>
  <c r="LZ94" i="30"/>
  <c r="LX94" i="30"/>
  <c r="LV94" i="30"/>
  <c r="LT94" i="30"/>
  <c r="LR94" i="30"/>
  <c r="LP94" i="30"/>
  <c r="LN94" i="30"/>
  <c r="LM94" i="30"/>
  <c r="LL94" i="30"/>
  <c r="LJ94" i="30"/>
  <c r="LC94" i="30"/>
  <c r="LB94" i="30"/>
  <c r="KQ94" i="30"/>
  <c r="KP94" i="30"/>
  <c r="KO94" i="30"/>
  <c r="KN94" i="30"/>
  <c r="KM94" i="30"/>
  <c r="KL94" i="30"/>
  <c r="KK94" i="30"/>
  <c r="KJ94" i="30"/>
  <c r="KI94" i="30"/>
  <c r="KH94" i="30"/>
  <c r="JD94" i="30"/>
  <c r="JB94" i="30"/>
  <c r="IZ94" i="30"/>
  <c r="IX94" i="30"/>
  <c r="LI93" i="30"/>
  <c r="LH93" i="30"/>
  <c r="LG93" i="30"/>
  <c r="LF93" i="30"/>
  <c r="LE93" i="30"/>
  <c r="LD93" i="30"/>
  <c r="NQ91" i="30"/>
  <c r="NP91" i="30"/>
  <c r="NN91" i="30"/>
  <c r="NJ91" i="30"/>
  <c r="NH91" i="30"/>
  <c r="NF91" i="30"/>
  <c r="MB91" i="30"/>
  <c r="LZ91" i="30"/>
  <c r="LX91" i="30"/>
  <c r="LV91" i="30"/>
  <c r="LT91" i="30"/>
  <c r="LR91" i="30"/>
  <c r="LP91" i="30"/>
  <c r="LN91" i="30"/>
  <c r="LM91" i="30"/>
  <c r="LL91" i="30"/>
  <c r="LJ91" i="30"/>
  <c r="LC91" i="30"/>
  <c r="LB91" i="30"/>
  <c r="KQ91" i="30"/>
  <c r="KP91" i="30"/>
  <c r="KO91" i="30"/>
  <c r="KN91" i="30"/>
  <c r="KM91" i="30"/>
  <c r="KL91" i="30"/>
  <c r="KK91" i="30"/>
  <c r="KJ91" i="30"/>
  <c r="KI91" i="30"/>
  <c r="KH91" i="30"/>
  <c r="JD91" i="30"/>
  <c r="JB91" i="30"/>
  <c r="IZ91" i="30"/>
  <c r="IX91" i="30"/>
  <c r="LI90" i="30"/>
  <c r="LH90" i="30"/>
  <c r="LG90" i="30"/>
  <c r="LF90" i="30"/>
  <c r="LE90" i="30"/>
  <c r="LD90" i="30"/>
  <c r="NQ80" i="30"/>
  <c r="NP80" i="30"/>
  <c r="NL80" i="30"/>
  <c r="NF80" i="30"/>
  <c r="ND80" i="30"/>
  <c r="NB80" i="30"/>
  <c r="LI79" i="30"/>
  <c r="LH79" i="30"/>
  <c r="LG79" i="30"/>
  <c r="LF79" i="30"/>
  <c r="LE79" i="30"/>
  <c r="LD79" i="30"/>
  <c r="NQ77" i="30"/>
  <c r="NP77" i="30"/>
  <c r="NN77" i="30"/>
  <c r="NJ77" i="30"/>
  <c r="NH77" i="30"/>
  <c r="NF77" i="30"/>
  <c r="ND77" i="30"/>
  <c r="NB77" i="30"/>
  <c r="MB77" i="30"/>
  <c r="LZ77" i="30"/>
  <c r="LX77" i="30"/>
  <c r="LV77" i="30"/>
  <c r="LT77" i="30"/>
  <c r="LR77" i="30"/>
  <c r="LP77" i="30"/>
  <c r="LN77" i="30"/>
  <c r="LM77" i="30"/>
  <c r="LL77" i="30"/>
  <c r="LJ77" i="30"/>
  <c r="LC77" i="30"/>
  <c r="LB77" i="30"/>
  <c r="JB77" i="30"/>
  <c r="IX77" i="30"/>
  <c r="LI76" i="30"/>
  <c r="LH76" i="30"/>
  <c r="LG76" i="30"/>
  <c r="LF76" i="30"/>
  <c r="LE76" i="30"/>
  <c r="LD76" i="30"/>
  <c r="NQ73" i="30"/>
  <c r="NP73" i="30"/>
  <c r="NN73" i="30"/>
  <c r="NL73" i="30"/>
  <c r="NJ73" i="30"/>
  <c r="NH73" i="30"/>
  <c r="NF73" i="30"/>
  <c r="ND73" i="30"/>
  <c r="NB73" i="30"/>
  <c r="MB73" i="30"/>
  <c r="LZ73" i="30"/>
  <c r="LX73" i="30"/>
  <c r="LV73" i="30"/>
  <c r="LT73" i="30"/>
  <c r="LR73" i="30"/>
  <c r="LP73" i="30"/>
  <c r="LN73" i="30"/>
  <c r="LM73" i="30"/>
  <c r="LL73" i="30"/>
  <c r="LJ73" i="30"/>
  <c r="KQ73" i="30"/>
  <c r="KP73" i="30"/>
  <c r="KO73" i="30"/>
  <c r="KN73" i="30"/>
  <c r="KM73" i="30"/>
  <c r="KL73" i="30"/>
  <c r="KK73" i="30"/>
  <c r="KJ73" i="30"/>
  <c r="KI73" i="30"/>
  <c r="KH73" i="30"/>
  <c r="NQ71" i="30"/>
  <c r="NP71" i="30"/>
  <c r="NN71" i="30"/>
  <c r="NJ71" i="30"/>
  <c r="NH71" i="30"/>
  <c r="NF71" i="30"/>
  <c r="ND71" i="30"/>
  <c r="NB71" i="30"/>
  <c r="MB71" i="30"/>
  <c r="LZ71" i="30"/>
  <c r="LX71" i="30"/>
  <c r="LV71" i="30"/>
  <c r="LT71" i="30"/>
  <c r="LR71" i="30"/>
  <c r="LP71" i="30"/>
  <c r="LN71" i="30"/>
  <c r="LM71" i="30"/>
  <c r="LL71" i="30"/>
  <c r="LJ71" i="30"/>
  <c r="LC71" i="30"/>
  <c r="LB71" i="30"/>
  <c r="KQ71" i="30"/>
  <c r="KP71" i="30"/>
  <c r="KO71" i="30"/>
  <c r="KN71" i="30"/>
  <c r="KM71" i="30"/>
  <c r="KL71" i="30"/>
  <c r="KK71" i="30"/>
  <c r="KJ71" i="30"/>
  <c r="KI71" i="30"/>
  <c r="KH71" i="30"/>
  <c r="JD71" i="30"/>
  <c r="JB71" i="30"/>
  <c r="IZ71" i="30"/>
  <c r="IX71" i="30"/>
  <c r="LI70" i="30"/>
  <c r="LH70" i="30"/>
  <c r="LG70" i="30"/>
  <c r="LF70" i="30"/>
  <c r="LE70" i="30"/>
  <c r="LD70" i="30"/>
  <c r="FQ71" i="30"/>
  <c r="FP71" i="30"/>
  <c r="FO71" i="30"/>
  <c r="FN71" i="30"/>
  <c r="FK71" i="30"/>
  <c r="FJ71" i="30"/>
  <c r="FI71" i="30"/>
  <c r="FH71" i="30"/>
  <c r="FG71" i="30"/>
  <c r="FF71" i="30"/>
  <c r="FA71" i="30"/>
  <c r="EZ71" i="30"/>
  <c r="EY71" i="30"/>
  <c r="EX71" i="30"/>
  <c r="EW71" i="30"/>
  <c r="EV71" i="30"/>
  <c r="DS62" i="30"/>
  <c r="CY65" i="30"/>
  <c r="CX65" i="30"/>
  <c r="CQ65" i="30"/>
  <c r="CP65" i="30"/>
  <c r="CO65" i="30"/>
  <c r="CN65" i="30"/>
  <c r="CM65" i="30"/>
  <c r="CL65" i="30"/>
  <c r="CK65" i="30"/>
  <c r="CJ65" i="30"/>
  <c r="CI65" i="30"/>
  <c r="CH65" i="30"/>
  <c r="CE65" i="30"/>
  <c r="CD65" i="30"/>
  <c r="CA65" i="30"/>
  <c r="BZ65" i="30"/>
  <c r="BS65" i="30"/>
  <c r="BR65" i="30"/>
  <c r="AY65" i="30"/>
  <c r="AX65" i="30"/>
  <c r="AW65" i="30"/>
  <c r="AV65" i="30"/>
  <c r="AU65" i="30"/>
  <c r="AT65" i="30"/>
  <c r="AK65" i="30"/>
  <c r="AJ65" i="30"/>
  <c r="AI65" i="30"/>
  <c r="AH65" i="30"/>
  <c r="AG65" i="30"/>
  <c r="AF65" i="30"/>
  <c r="DP57" i="30"/>
  <c r="DQ57" i="30"/>
  <c r="DR57" i="30"/>
  <c r="DS57" i="30"/>
  <c r="CW59" i="30"/>
  <c r="CV59" i="30"/>
  <c r="CQ59" i="30"/>
  <c r="CP59" i="30"/>
  <c r="CK59" i="30"/>
  <c r="CJ59" i="30"/>
  <c r="CI59" i="30"/>
  <c r="CH59" i="30"/>
  <c r="CA59" i="30"/>
  <c r="BZ59" i="30"/>
  <c r="BS59" i="30"/>
  <c r="BR59" i="30"/>
  <c r="AY59" i="30"/>
  <c r="AX59" i="30"/>
  <c r="AW59" i="30"/>
  <c r="AV59" i="30"/>
  <c r="AU59" i="30"/>
  <c r="AT59" i="30"/>
  <c r="AK59" i="30"/>
  <c r="AJ59" i="30"/>
  <c r="AI59" i="30"/>
  <c r="AH59" i="30"/>
  <c r="AG59" i="30"/>
  <c r="AF59" i="30"/>
  <c r="DS56" i="30"/>
  <c r="DR56" i="30"/>
  <c r="DQ56" i="30"/>
  <c r="DP56" i="30"/>
  <c r="DM56" i="30"/>
  <c r="DL56" i="30"/>
  <c r="DK56" i="30"/>
  <c r="DJ56" i="30"/>
  <c r="DI56" i="30"/>
  <c r="DH56" i="30"/>
  <c r="AS53" i="30"/>
  <c r="AR53" i="30"/>
  <c r="NQ50" i="30"/>
  <c r="NP50" i="30"/>
  <c r="NN50" i="30"/>
  <c r="NL50" i="30"/>
  <c r="NJ50" i="30"/>
  <c r="NH50" i="30"/>
  <c r="NF50" i="30"/>
  <c r="ND50" i="30"/>
  <c r="NB50" i="30"/>
  <c r="MB50" i="30"/>
  <c r="LZ50" i="30"/>
  <c r="LX50" i="30"/>
  <c r="LV50" i="30"/>
  <c r="LT50" i="30"/>
  <c r="LR50" i="30"/>
  <c r="LP50" i="30"/>
  <c r="LN50" i="30"/>
  <c r="LM50" i="30"/>
  <c r="LL50" i="30"/>
  <c r="LJ50" i="30"/>
  <c r="LC50" i="30"/>
  <c r="LB50" i="30"/>
  <c r="KQ50" i="30"/>
  <c r="KP50" i="30"/>
  <c r="KO50" i="30"/>
  <c r="KN50" i="30"/>
  <c r="KM50" i="30"/>
  <c r="KL50" i="30"/>
  <c r="KK50" i="30"/>
  <c r="KJ50" i="30"/>
  <c r="KI50" i="30"/>
  <c r="KH50" i="30"/>
  <c r="JD50" i="30"/>
  <c r="JB50" i="30"/>
  <c r="IZ50" i="30"/>
  <c r="IX50" i="30"/>
  <c r="LI49" i="30"/>
  <c r="LH49" i="30"/>
  <c r="LG49" i="30"/>
  <c r="LF49" i="30"/>
  <c r="LE49" i="30"/>
  <c r="LD49" i="30"/>
  <c r="NQ47" i="30"/>
  <c r="NP47" i="30"/>
  <c r="NL47" i="30"/>
  <c r="NJ47" i="30"/>
  <c r="NH47" i="30"/>
  <c r="NF47" i="30"/>
  <c r="ND47" i="30"/>
  <c r="NB47" i="30"/>
  <c r="LI46" i="30"/>
  <c r="LH46" i="30"/>
  <c r="LG46" i="30"/>
  <c r="LF46" i="30"/>
  <c r="LE46" i="30"/>
  <c r="LD46" i="30"/>
  <c r="DU36" i="30"/>
  <c r="DT36" i="30"/>
  <c r="DS36" i="30"/>
  <c r="DR36" i="30"/>
  <c r="DQ36" i="30"/>
  <c r="DP36" i="30"/>
  <c r="DM36" i="30"/>
  <c r="DL36" i="30"/>
  <c r="DK36" i="30"/>
  <c r="DJ36" i="30"/>
  <c r="DI36" i="30"/>
  <c r="DH36" i="30"/>
  <c r="DC36" i="30"/>
  <c r="DB36" i="30"/>
  <c r="DA36" i="30"/>
  <c r="CZ36" i="30"/>
  <c r="CM36" i="30"/>
  <c r="CL36" i="30"/>
  <c r="AA36" i="30"/>
  <c r="Z36" i="30"/>
  <c r="Q36" i="30"/>
  <c r="P36" i="30"/>
  <c r="AA31" i="30"/>
  <c r="Z31" i="30"/>
  <c r="Q31" i="30"/>
  <c r="P31" i="30"/>
  <c r="GK110" i="28" l="1"/>
  <c r="GG113" i="28"/>
  <c r="N31" i="28"/>
  <c r="AY36" i="28"/>
  <c r="BK36" i="28"/>
  <c r="BP36" i="28"/>
  <c r="GG47" i="28"/>
  <c r="FH49" i="28"/>
  <c r="EG50" i="28"/>
  <c r="EZ50" i="28"/>
  <c r="FT50" i="28"/>
  <c r="GN50" i="28"/>
  <c r="BL56" i="28"/>
  <c r="W59" i="28"/>
  <c r="AE59" i="28"/>
  <c r="AX59" i="28"/>
  <c r="AC65" i="28"/>
  <c r="AS65" i="28"/>
  <c r="AY65" i="28"/>
  <c r="EF71" i="28"/>
  <c r="FL71" i="28"/>
  <c r="FS71" i="28"/>
  <c r="GN71" i="28"/>
  <c r="EZ73" i="28"/>
  <c r="FN73" i="28"/>
  <c r="GH73" i="28"/>
  <c r="FH76" i="28"/>
  <c r="FG77" i="28"/>
  <c r="FP77" i="28"/>
  <c r="GJ77" i="28"/>
  <c r="EF91" i="28"/>
  <c r="FL91" i="28"/>
  <c r="FS91" i="28"/>
  <c r="FH93" i="28"/>
  <c r="EG94" i="28"/>
  <c r="EZ94" i="28"/>
  <c r="FT94" i="28"/>
  <c r="GN94" i="28"/>
  <c r="EE98" i="28"/>
  <c r="EY98" i="28"/>
  <c r="FK98" i="28"/>
  <c r="FR98" i="28"/>
  <c r="GN98" i="28"/>
  <c r="EE101" i="28"/>
  <c r="EY101" i="28"/>
  <c r="FK101" i="28"/>
  <c r="FT101" i="28"/>
  <c r="GN101" i="28"/>
  <c r="FH106" i="28"/>
  <c r="FI109" i="28"/>
  <c r="EW104" i="28"/>
  <c r="FA104" i="28"/>
  <c r="FN104" i="28"/>
  <c r="GI104" i="28"/>
  <c r="EG107" i="28"/>
  <c r="EZ107" i="28"/>
  <c r="GI107" i="28"/>
  <c r="FQ110" i="28"/>
  <c r="GL110" i="28"/>
  <c r="GH113" i="28"/>
  <c r="GH47" i="28"/>
  <c r="EH50" i="28"/>
  <c r="FM50" i="28"/>
  <c r="GG50" i="28"/>
  <c r="BN57" i="28"/>
  <c r="CD71" i="28"/>
  <c r="CJ71" i="28"/>
  <c r="FH70" i="28"/>
  <c r="EG71" i="28"/>
  <c r="EZ71" i="28"/>
  <c r="FT71" i="28"/>
  <c r="FO73" i="28"/>
  <c r="GI73" i="28"/>
  <c r="FQ77" i="28"/>
  <c r="GK77" i="28"/>
  <c r="FJ79" i="28"/>
  <c r="FH90" i="28"/>
  <c r="EG91" i="28"/>
  <c r="EZ91" i="28"/>
  <c r="FT91" i="28"/>
  <c r="EH94" i="28"/>
  <c r="FM94" i="28"/>
  <c r="GG94" i="28"/>
  <c r="EF98" i="28"/>
  <c r="FL98" i="28"/>
  <c r="FS98" i="28"/>
  <c r="EF101" i="28"/>
  <c r="FM101" i="28"/>
  <c r="GG101" i="28"/>
  <c r="FO104" i="28"/>
  <c r="GJ104" i="28"/>
  <c r="EH107" i="28"/>
  <c r="FM107" i="28"/>
  <c r="GJ107" i="28"/>
  <c r="EX110" i="28"/>
  <c r="FG110" i="28"/>
  <c r="FR110" i="28"/>
  <c r="GM110" i="28"/>
  <c r="GI113" i="28"/>
  <c r="S31" i="28"/>
  <c r="BF36" i="28"/>
  <c r="BL36" i="28"/>
  <c r="FH46" i="28"/>
  <c r="GI47" i="28"/>
  <c r="FI49" i="28"/>
  <c r="EW50" i="28"/>
  <c r="FA50" i="28"/>
  <c r="FN50" i="28"/>
  <c r="GH50" i="28"/>
  <c r="BN56" i="28"/>
  <c r="X59" i="28"/>
  <c r="AO59" i="28"/>
  <c r="BA59" i="28"/>
  <c r="V65" i="28"/>
  <c r="AD65" i="28"/>
  <c r="AU65" i="28"/>
  <c r="AZ65" i="28"/>
  <c r="EH71" i="28"/>
  <c r="FM71" i="28"/>
  <c r="GG71" i="28"/>
  <c r="EW73" i="28"/>
  <c r="FA73" i="28"/>
  <c r="FP73" i="28"/>
  <c r="GJ73" i="28"/>
  <c r="FI76" i="28"/>
  <c r="FK77" i="28"/>
  <c r="FR77" i="28"/>
  <c r="GM77" i="28"/>
  <c r="EH91" i="28"/>
  <c r="FM91" i="28"/>
  <c r="GI91" i="28"/>
  <c r="FI93" i="28"/>
  <c r="EW94" i="28"/>
  <c r="FA94" i="28"/>
  <c r="FN94" i="28"/>
  <c r="GH94" i="28"/>
  <c r="FH97" i="28"/>
  <c r="EG98" i="28"/>
  <c r="EZ98" i="28"/>
  <c r="FT98" i="28"/>
  <c r="FH100" i="28"/>
  <c r="EG101" i="28"/>
  <c r="EZ101" i="28"/>
  <c r="FN101" i="28"/>
  <c r="GH101" i="28"/>
  <c r="FH103" i="28"/>
  <c r="FI106" i="28"/>
  <c r="FJ109" i="28"/>
  <c r="EX104" i="28"/>
  <c r="FG104" i="28"/>
  <c r="FP104" i="28"/>
  <c r="GK104" i="28"/>
  <c r="EW107" i="28"/>
  <c r="FA107" i="28"/>
  <c r="FN107" i="28"/>
  <c r="GK107" i="28"/>
  <c r="FS110" i="28"/>
  <c r="GN110" i="28"/>
  <c r="GJ113" i="28"/>
  <c r="GJ47" i="28"/>
  <c r="FO50" i="28"/>
  <c r="GI50" i="28"/>
  <c r="CE71" i="28"/>
  <c r="CK71" i="28"/>
  <c r="FI70" i="28"/>
  <c r="EW71" i="28"/>
  <c r="FA71" i="28"/>
  <c r="FN71" i="28"/>
  <c r="GH71" i="28"/>
  <c r="FQ73" i="28"/>
  <c r="GK73" i="28"/>
  <c r="FL77" i="28"/>
  <c r="FS77" i="28"/>
  <c r="GN77" i="28"/>
  <c r="GG80" i="28"/>
  <c r="FI90" i="28"/>
  <c r="EW91" i="28"/>
  <c r="FA91" i="28"/>
  <c r="FN91" i="28"/>
  <c r="GJ91" i="28"/>
  <c r="FO94" i="28"/>
  <c r="GI94" i="28"/>
  <c r="EH98" i="28"/>
  <c r="FM98" i="28"/>
  <c r="GH98" i="28"/>
  <c r="EH101" i="28"/>
  <c r="FO101" i="28"/>
  <c r="GI101" i="28"/>
  <c r="FQ104" i="28"/>
  <c r="GM104" i="28"/>
  <c r="FQ107" i="28"/>
  <c r="GL107" i="28"/>
  <c r="EY110" i="28"/>
  <c r="FK110" i="28"/>
  <c r="FT110" i="28"/>
  <c r="GK113" i="28"/>
  <c r="N36" i="28"/>
  <c r="BG36" i="28"/>
  <c r="BN36" i="28"/>
  <c r="FI46" i="28"/>
  <c r="GK47" i="28"/>
  <c r="FJ49" i="28"/>
  <c r="EX50" i="28"/>
  <c r="FG50" i="28"/>
  <c r="FP50" i="28"/>
  <c r="GJ50" i="28"/>
  <c r="BJ56" i="28"/>
  <c r="BO56" i="28"/>
  <c r="AC59" i="28"/>
  <c r="AS59" i="28"/>
  <c r="BD59" i="28"/>
  <c r="W65" i="28"/>
  <c r="AE65" i="28"/>
  <c r="AW65" i="28"/>
  <c r="BA65" i="28"/>
  <c r="FO71" i="28"/>
  <c r="GI71" i="28"/>
  <c r="EX73" i="28"/>
  <c r="FK73" i="28"/>
  <c r="FR73" i="28"/>
  <c r="GL73" i="28"/>
  <c r="FJ76" i="28"/>
  <c r="FT77" i="28"/>
  <c r="GH80" i="28"/>
  <c r="FO91" i="28"/>
  <c r="GK91" i="28"/>
  <c r="FJ93" i="28"/>
  <c r="EX94" i="28"/>
  <c r="FG94" i="28"/>
  <c r="FP94" i="28"/>
  <c r="GJ94" i="28"/>
  <c r="FI97" i="28"/>
  <c r="EW98" i="28"/>
  <c r="FA98" i="28"/>
  <c r="FN98" i="28"/>
  <c r="GI98" i="28"/>
  <c r="FI100" i="28"/>
  <c r="EW101" i="28"/>
  <c r="FA101" i="28"/>
  <c r="FP101" i="28"/>
  <c r="GJ101" i="28"/>
  <c r="FI103" i="28"/>
  <c r="FJ106" i="28"/>
  <c r="EE104" i="28"/>
  <c r="EY104" i="28"/>
  <c r="FK104" i="28"/>
  <c r="FR104" i="28"/>
  <c r="GN104" i="28"/>
  <c r="EX107" i="28"/>
  <c r="FG107" i="28"/>
  <c r="FR107" i="28"/>
  <c r="GM107" i="28"/>
  <c r="FL110" i="28"/>
  <c r="GH110" i="28"/>
  <c r="FG113" i="28"/>
  <c r="GL113" i="28"/>
  <c r="GL47" i="28"/>
  <c r="FQ50" i="28"/>
  <c r="GK50" i="28"/>
  <c r="CF71" i="28"/>
  <c r="CM71" i="28"/>
  <c r="FJ70" i="28"/>
  <c r="EX71" i="28"/>
  <c r="FG71" i="28"/>
  <c r="FP71" i="28"/>
  <c r="GJ71" i="28"/>
  <c r="FL73" i="28"/>
  <c r="FS73" i="28"/>
  <c r="GM73" i="28"/>
  <c r="FM77" i="28"/>
  <c r="GG77" i="28"/>
  <c r="FH79" i="28"/>
  <c r="GI80" i="28"/>
  <c r="FJ90" i="28"/>
  <c r="EX91" i="28"/>
  <c r="FG91" i="28"/>
  <c r="FP91" i="28"/>
  <c r="GM91" i="28"/>
  <c r="FQ94" i="28"/>
  <c r="GK94" i="28"/>
  <c r="FO98" i="28"/>
  <c r="GJ98" i="28"/>
  <c r="FQ101" i="28"/>
  <c r="GK101" i="28"/>
  <c r="EF104" i="28"/>
  <c r="FL104" i="28"/>
  <c r="FS104" i="28"/>
  <c r="FS107" i="28"/>
  <c r="GN107" i="28"/>
  <c r="EZ110" i="28"/>
  <c r="GI110" i="28"/>
  <c r="GM113" i="28"/>
  <c r="S36" i="28"/>
  <c r="BJ36" i="28"/>
  <c r="BO36" i="28"/>
  <c r="FJ46" i="28"/>
  <c r="GN47" i="28"/>
  <c r="EE50" i="28"/>
  <c r="EY50" i="28"/>
  <c r="FK50" i="28"/>
  <c r="FR50" i="28"/>
  <c r="GL50" i="28"/>
  <c r="BK56" i="28"/>
  <c r="V59" i="28"/>
  <c r="AD59" i="28"/>
  <c r="AW59" i="28"/>
  <c r="X65" i="28"/>
  <c r="AO65" i="28"/>
  <c r="AX65" i="28"/>
  <c r="BE65" i="28"/>
  <c r="FQ71" i="28"/>
  <c r="GK71" i="28"/>
  <c r="EY73" i="28"/>
  <c r="FT73" i="28"/>
  <c r="GN73" i="28"/>
  <c r="EE77" i="28"/>
  <c r="FN77" i="28"/>
  <c r="GH77" i="28"/>
  <c r="GL80" i="28"/>
  <c r="FQ91" i="28"/>
  <c r="GN91" i="28"/>
  <c r="EE94" i="28"/>
  <c r="EY94" i="28"/>
  <c r="FK94" i="28"/>
  <c r="FR94" i="28"/>
  <c r="GL94" i="28"/>
  <c r="FJ97" i="28"/>
  <c r="EX98" i="28"/>
  <c r="FG98" i="28"/>
  <c r="FP98" i="28"/>
  <c r="GK98" i="28"/>
  <c r="FJ100" i="28"/>
  <c r="EX101" i="28"/>
  <c r="FG101" i="28"/>
  <c r="FR101" i="28"/>
  <c r="GL101" i="28"/>
  <c r="FJ103" i="28"/>
  <c r="FH109" i="28"/>
  <c r="EG104" i="28"/>
  <c r="EZ104" i="28"/>
  <c r="FT104" i="28"/>
  <c r="EE107" i="28"/>
  <c r="EY107" i="28"/>
  <c r="FK107" i="28"/>
  <c r="FT107" i="28"/>
  <c r="FM110" i="28"/>
  <c r="GJ110" i="28"/>
  <c r="FN113" i="28"/>
  <c r="GN113" i="28"/>
  <c r="FL50" i="28"/>
  <c r="GM50" i="28"/>
  <c r="BO57" i="28"/>
  <c r="CN71" i="28"/>
  <c r="EE71" i="28"/>
  <c r="FK71" i="28"/>
  <c r="FR71" i="28"/>
  <c r="GI77" i="28"/>
  <c r="GN80" i="28"/>
  <c r="EE91" i="28"/>
  <c r="FR91" i="28"/>
  <c r="GM94" i="28"/>
  <c r="FQ98" i="28"/>
  <c r="GM98" i="28"/>
  <c r="FS101" i="28"/>
  <c r="GM101" i="28"/>
  <c r="EH104" i="28"/>
  <c r="FM104" i="28"/>
  <c r="GH104" i="28"/>
  <c r="EF107" i="28"/>
  <c r="GH107" i="28"/>
  <c r="EW110" i="28"/>
  <c r="FA110" i="28"/>
  <c r="FN110" i="28"/>
  <c r="EF50" i="28"/>
  <c r="FS50" i="28"/>
  <c r="CI71" i="28"/>
  <c r="EY71" i="28"/>
  <c r="GM71" i="28"/>
  <c r="FM73" i="28"/>
  <c r="GG73" i="28"/>
  <c r="EG77" i="28"/>
  <c r="FO77" i="28"/>
  <c r="FI79" i="28"/>
  <c r="EY91" i="28"/>
  <c r="FK91" i="28"/>
  <c r="EF94" i="28"/>
  <c r="FL94" i="28"/>
  <c r="FS94" i="28"/>
  <c r="FL107" i="28"/>
  <c r="D53" i="30" a="1"/>
  <c r="D53" i="30" s="1"/>
  <c r="AB53" i="28"/>
  <c r="D31" i="30" a="1"/>
  <c r="D31" i="30" s="1"/>
  <c r="D76" i="30" a="1"/>
  <c r="D76" i="30" s="1"/>
  <c r="D106" i="30" a="1"/>
  <c r="D106" i="30" s="1"/>
  <c r="D91" i="30" a="1"/>
  <c r="D91" i="30" s="1"/>
  <c r="D77" i="30" a="1"/>
  <c r="D77" i="30" s="1"/>
  <c r="D47" i="30" a="1"/>
  <c r="D47" i="30" s="1"/>
  <c r="D94" i="30" a="1"/>
  <c r="D94" i="30" s="1"/>
  <c r="D101" i="30" a="1"/>
  <c r="D101" i="30" s="1"/>
  <c r="D46" i="30" a="1"/>
  <c r="D46" i="30" s="1"/>
  <c r="D110" i="30" a="1"/>
  <c r="D110" i="30" s="1"/>
  <c r="D109" i="30" a="1"/>
  <c r="D109" i="30" s="1"/>
  <c r="D97" i="30" a="1"/>
  <c r="D97" i="30" s="1"/>
  <c r="D98" i="30" a="1"/>
  <c r="D98" i="30" s="1"/>
  <c r="D56" i="30" a="1"/>
  <c r="D56" i="30" s="1"/>
  <c r="D104" i="30" a="1"/>
  <c r="D104" i="30" s="1"/>
  <c r="D113" i="30" a="1"/>
  <c r="D113" i="30" s="1"/>
  <c r="D36" i="30" a="1"/>
  <c r="D36" i="30" s="1"/>
  <c r="D79" i="30" a="1"/>
  <c r="D79" i="30" s="1"/>
  <c r="D50" i="30" a="1"/>
  <c r="D50" i="30" s="1"/>
  <c r="D107" i="30" a="1"/>
  <c r="D107" i="30" s="1"/>
  <c r="D65" i="30" a="1"/>
  <c r="D65" i="30" s="1"/>
  <c r="D59" i="30" a="1"/>
  <c r="D59" i="30" s="1"/>
  <c r="D71" i="30" a="1"/>
  <c r="D71" i="30" s="1"/>
  <c r="D73" i="30" a="1"/>
  <c r="D73" i="30" s="1"/>
  <c r="D100" i="30" a="1"/>
  <c r="D100" i="30" s="1"/>
  <c r="D103" i="30" a="1"/>
  <c r="D103" i="30" s="1"/>
  <c r="D80" i="30" a="1"/>
  <c r="D80" i="30" s="1"/>
  <c r="NQ22" i="30"/>
  <c r="NP22" i="30"/>
  <c r="NN22" i="30"/>
  <c r="NL22" i="30"/>
  <c r="NJ22" i="30"/>
  <c r="NH22" i="30"/>
  <c r="NF22" i="30"/>
  <c r="ND22" i="30"/>
  <c r="NB22" i="30"/>
  <c r="MB22" i="30"/>
  <c r="LZ22" i="30"/>
  <c r="LX22" i="30"/>
  <c r="LV22" i="30"/>
  <c r="LT22" i="30"/>
  <c r="LR22" i="30"/>
  <c r="LP22" i="30"/>
  <c r="LN22" i="30"/>
  <c r="LM22" i="30"/>
  <c r="LL22" i="30"/>
  <c r="LJ22" i="30"/>
  <c r="LC22" i="30"/>
  <c r="LB22" i="30"/>
  <c r="KQ22" i="30"/>
  <c r="KP22" i="30"/>
  <c r="KO22" i="30"/>
  <c r="KN22" i="30"/>
  <c r="KM22" i="30"/>
  <c r="KL22" i="30"/>
  <c r="KK22" i="30"/>
  <c r="KJ22" i="30"/>
  <c r="KI22" i="30"/>
  <c r="KH22" i="30"/>
  <c r="JD22" i="30"/>
  <c r="JB22" i="30"/>
  <c r="IZ22" i="30"/>
  <c r="IX22" i="30"/>
  <c r="LI21" i="30"/>
  <c r="LH21" i="30"/>
  <c r="LG21" i="30"/>
  <c r="LF21" i="30"/>
  <c r="LE21" i="30"/>
  <c r="LD21" i="30"/>
  <c r="NQ19" i="30"/>
  <c r="NP19" i="30"/>
  <c r="NL19" i="30"/>
  <c r="NJ19" i="30"/>
  <c r="NF19" i="30"/>
  <c r="ND19" i="30"/>
  <c r="NB19" i="30"/>
  <c r="MB19" i="30"/>
  <c r="LZ19" i="30"/>
  <c r="LX19" i="30"/>
  <c r="LV19" i="30"/>
  <c r="LT19" i="30"/>
  <c r="LR19" i="30"/>
  <c r="LP19" i="30"/>
  <c r="LN19" i="30"/>
  <c r="LM19" i="30"/>
  <c r="LL19" i="30"/>
  <c r="LJ19" i="30"/>
  <c r="LC19" i="30"/>
  <c r="LB19" i="30"/>
  <c r="KQ19" i="30"/>
  <c r="KP19" i="30"/>
  <c r="KO19" i="30"/>
  <c r="KN19" i="30"/>
  <c r="KM19" i="30"/>
  <c r="KL19" i="30"/>
  <c r="KK19" i="30"/>
  <c r="KJ19" i="30"/>
  <c r="KI19" i="30"/>
  <c r="KH19" i="30"/>
  <c r="JD19" i="30"/>
  <c r="JB19" i="30"/>
  <c r="IZ19" i="30"/>
  <c r="IX19" i="30"/>
  <c r="LI18" i="30"/>
  <c r="LH18" i="30"/>
  <c r="LG18" i="30"/>
  <c r="LF18" i="30"/>
  <c r="LE18" i="30"/>
  <c r="LD18" i="30"/>
  <c r="LI17" i="30"/>
  <c r="LH17" i="30"/>
  <c r="LG17" i="30"/>
  <c r="LF17" i="30"/>
  <c r="LE17" i="30"/>
  <c r="LD17" i="30"/>
  <c r="MZ16" i="30"/>
  <c r="MX16" i="30"/>
  <c r="MV16" i="30"/>
  <c r="MT16" i="30"/>
  <c r="MR16" i="30"/>
  <c r="MP16" i="30"/>
  <c r="MN16" i="30"/>
  <c r="ML16" i="30"/>
  <c r="MJ16" i="30"/>
  <c r="MH16" i="30"/>
  <c r="MF16" i="30"/>
  <c r="MD16" i="30"/>
  <c r="MB16" i="30"/>
  <c r="LZ16" i="30"/>
  <c r="LX16" i="30"/>
  <c r="LV16" i="30"/>
  <c r="LP16" i="30"/>
  <c r="LJ16" i="30"/>
  <c r="LC16" i="30"/>
  <c r="LB16" i="30"/>
  <c r="KG15" i="30"/>
  <c r="KG116" i="30" s="1"/>
  <c r="KF15" i="30"/>
  <c r="KE15" i="30"/>
  <c r="KE116" i="30" s="1"/>
  <c r="KD15" i="30"/>
  <c r="KC15" i="30"/>
  <c r="KC116" i="30" s="1"/>
  <c r="KB15" i="30"/>
  <c r="KA15" i="30"/>
  <c r="KA116" i="30" s="1"/>
  <c r="JZ15" i="30"/>
  <c r="JY15" i="30"/>
  <c r="JY116" i="30" s="1"/>
  <c r="JX15" i="30"/>
  <c r="NQ13" i="30"/>
  <c r="NP13" i="30"/>
  <c r="NN13" i="30"/>
  <c r="NL13" i="30"/>
  <c r="NJ13" i="30"/>
  <c r="NH13" i="30"/>
  <c r="NF13" i="30"/>
  <c r="ND13" i="30"/>
  <c r="NB13" i="30"/>
  <c r="MB13" i="30"/>
  <c r="LZ13" i="30"/>
  <c r="LX13" i="30"/>
  <c r="LV13" i="30"/>
  <c r="LT13" i="30"/>
  <c r="LR13" i="30"/>
  <c r="LP13" i="30"/>
  <c r="LN13" i="30"/>
  <c r="LM13" i="30"/>
  <c r="LL13" i="30"/>
  <c r="LJ13" i="30"/>
  <c r="LC13" i="30"/>
  <c r="LB13" i="30"/>
  <c r="LI12" i="30"/>
  <c r="LH12" i="30"/>
  <c r="LG12" i="30"/>
  <c r="LF12" i="30"/>
  <c r="LE12" i="30"/>
  <c r="LD12" i="30"/>
  <c r="NQ8" i="30"/>
  <c r="NP8" i="30"/>
  <c r="NN8" i="30"/>
  <c r="NL8" i="30"/>
  <c r="NJ8" i="30"/>
  <c r="NH8" i="30"/>
  <c r="NF8" i="30"/>
  <c r="ND8" i="30"/>
  <c r="NB8" i="30"/>
  <c r="MB8" i="30"/>
  <c r="LZ8" i="30"/>
  <c r="LX8" i="30"/>
  <c r="LV8" i="30"/>
  <c r="LT8" i="30"/>
  <c r="LR8" i="30"/>
  <c r="LP8" i="30"/>
  <c r="LN8" i="30"/>
  <c r="LM8" i="30"/>
  <c r="LL8" i="30"/>
  <c r="LJ8" i="30"/>
  <c r="LC8" i="30"/>
  <c r="LB8" i="30"/>
  <c r="NU7" i="30"/>
  <c r="NT7" i="30"/>
  <c r="NS7" i="30"/>
  <c r="NR7" i="30"/>
  <c r="LI7" i="30"/>
  <c r="LH7" i="30"/>
  <c r="LG7" i="30"/>
  <c r="LF7" i="30"/>
  <c r="LE7" i="30"/>
  <c r="LD7" i="30"/>
  <c r="NU6" i="30"/>
  <c r="NT6" i="30"/>
  <c r="NS6" i="30"/>
  <c r="NR6" i="30"/>
  <c r="GO6" i="28" l="1"/>
  <c r="GP6" i="28"/>
  <c r="FJ7" i="28"/>
  <c r="FR8" i="28"/>
  <c r="GL8" i="28"/>
  <c r="FN13" i="28"/>
  <c r="GH13" i="28"/>
  <c r="FS16" i="28"/>
  <c r="FO8" i="28"/>
  <c r="GI8" i="28"/>
  <c r="FL13" i="28"/>
  <c r="FS13" i="28"/>
  <c r="GM13" i="28"/>
  <c r="FN16" i="28"/>
  <c r="EH19" i="28"/>
  <c r="FM19" i="28"/>
  <c r="GG19" i="28"/>
  <c r="EH22" i="28"/>
  <c r="FM22" i="28"/>
  <c r="GG22" i="28"/>
  <c r="FI7" i="28"/>
  <c r="FG8" i="28"/>
  <c r="FP8" i="28"/>
  <c r="GJ8" i="28"/>
  <c r="FI12" i="28"/>
  <c r="FT13" i="28"/>
  <c r="GN13" i="28"/>
  <c r="FQ16" i="28"/>
  <c r="FH17" i="28"/>
  <c r="FI18" i="28"/>
  <c r="EW19" i="28"/>
  <c r="FA19" i="28"/>
  <c r="FN19" i="28"/>
  <c r="GH19" i="28"/>
  <c r="FI21" i="28"/>
  <c r="EW22" i="28"/>
  <c r="FA22" i="28"/>
  <c r="FN22" i="28"/>
  <c r="GH22" i="28"/>
  <c r="FQ8" i="28"/>
  <c r="GK8" i="28"/>
  <c r="FM13" i="28"/>
  <c r="GG13" i="28"/>
  <c r="FR16" i="28"/>
  <c r="FO19" i="28"/>
  <c r="GI19" i="28"/>
  <c r="FO22" i="28"/>
  <c r="GI22" i="28"/>
  <c r="FK8" i="28"/>
  <c r="FJ12" i="28"/>
  <c r="FI17" i="28"/>
  <c r="FJ18" i="28"/>
  <c r="EX19" i="28"/>
  <c r="FG19" i="28"/>
  <c r="FP19" i="28"/>
  <c r="GK19" i="28"/>
  <c r="FJ21" i="28"/>
  <c r="EX22" i="28"/>
  <c r="FG22" i="28"/>
  <c r="FP22" i="28"/>
  <c r="GJ22" i="28"/>
  <c r="FM8" i="28"/>
  <c r="GG8" i="28"/>
  <c r="FQ13" i="28"/>
  <c r="GK13" i="28"/>
  <c r="EF19" i="28"/>
  <c r="FL19" i="28"/>
  <c r="FS19" i="28"/>
  <c r="EF22" i="28"/>
  <c r="FL22" i="28"/>
  <c r="FS22" i="28"/>
  <c r="GM22" i="28"/>
  <c r="FL8" i="28"/>
  <c r="FS8" i="28"/>
  <c r="GM8" i="28"/>
  <c r="FO13" i="28"/>
  <c r="GI13" i="28"/>
  <c r="FT16" i="28"/>
  <c r="FQ19" i="28"/>
  <c r="GL19" i="28"/>
  <c r="FQ22" i="28"/>
  <c r="GK22" i="28"/>
  <c r="GO7" i="28"/>
  <c r="GP7" i="28"/>
  <c r="FT8" i="28"/>
  <c r="GN8" i="28"/>
  <c r="FG13" i="28"/>
  <c r="FP13" i="28"/>
  <c r="GJ13" i="28"/>
  <c r="FG16" i="28"/>
  <c r="FJ17" i="28"/>
  <c r="EE19" i="28"/>
  <c r="EY19" i="28"/>
  <c r="FK19" i="28"/>
  <c r="FR19" i="28"/>
  <c r="GN19" i="28"/>
  <c r="EE22" i="28"/>
  <c r="EY22" i="28"/>
  <c r="FK22" i="28"/>
  <c r="FR22" i="28"/>
  <c r="GL22" i="28"/>
  <c r="FH7" i="28"/>
  <c r="FN8" i="28"/>
  <c r="GH8" i="28"/>
  <c r="FH12" i="28"/>
  <c r="FK13" i="28"/>
  <c r="FR13" i="28"/>
  <c r="GL13" i="28"/>
  <c r="FK16" i="28"/>
  <c r="FH18" i="28"/>
  <c r="EG19" i="28"/>
  <c r="EZ19" i="28"/>
  <c r="FT19" i="28"/>
  <c r="FH21" i="28"/>
  <c r="EG22" i="28"/>
  <c r="EZ22" i="28"/>
  <c r="FT22" i="28"/>
  <c r="GN22" i="28"/>
  <c r="JZ116" i="30"/>
  <c r="ES15" i="28"/>
  <c r="MF116" i="30"/>
  <c r="FV16" i="28"/>
  <c r="MV116" i="30"/>
  <c r="GD16" i="28"/>
  <c r="KB116" i="30"/>
  <c r="ET15" i="28"/>
  <c r="MN116" i="30"/>
  <c r="FZ16" i="28"/>
  <c r="MH116" i="30"/>
  <c r="FW16" i="28"/>
  <c r="MX116" i="30"/>
  <c r="GE16" i="28"/>
  <c r="KD116" i="30"/>
  <c r="EU15" i="28"/>
  <c r="ML116" i="30"/>
  <c r="FY16" i="28"/>
  <c r="JX116" i="30"/>
  <c r="ER15" i="28"/>
  <c r="KF116" i="30"/>
  <c r="EV15" i="28"/>
  <c r="MP116" i="30"/>
  <c r="GA16" i="28"/>
  <c r="MR116" i="30"/>
  <c r="GB16" i="28"/>
  <c r="MJ116" i="30"/>
  <c r="FX16" i="28"/>
  <c r="MZ116" i="30"/>
  <c r="GF16" i="28"/>
  <c r="MD116" i="30"/>
  <c r="FU16" i="28"/>
  <c r="MT116" i="30"/>
  <c r="GC16" i="28"/>
  <c r="D8" i="30" a="1"/>
  <c r="D8" i="30" s="1"/>
  <c r="D19" i="30" a="1"/>
  <c r="D19" i="30" s="1"/>
  <c r="D22" i="30" a="1"/>
  <c r="D22" i="30" s="1"/>
  <c r="D15" i="30" a="1"/>
  <c r="D15" i="30" s="1"/>
  <c r="D13" i="30" a="1"/>
  <c r="D13" i="30" s="1"/>
  <c r="D16" i="30" a="1"/>
  <c r="D16" i="30" s="1"/>
  <c r="AS93" i="30"/>
  <c r="AR93" i="30"/>
  <c r="AS92" i="30"/>
  <c r="AR92" i="30"/>
  <c r="AS90" i="30"/>
  <c r="AR90" i="30"/>
  <c r="AS89" i="30"/>
  <c r="AR89" i="30"/>
  <c r="GY88" i="30"/>
  <c r="GX88" i="30"/>
  <c r="FS88" i="30"/>
  <c r="FR88" i="30"/>
  <c r="FQ88" i="30"/>
  <c r="FP88" i="30"/>
  <c r="FO88" i="30"/>
  <c r="FN88" i="30"/>
  <c r="FM88" i="30"/>
  <c r="FL88" i="30"/>
  <c r="FK88" i="30"/>
  <c r="FJ88" i="30"/>
  <c r="FI88" i="30"/>
  <c r="FH88" i="30"/>
  <c r="FG88" i="30"/>
  <c r="FF88" i="30"/>
  <c r="FE88" i="30"/>
  <c r="FD88" i="30"/>
  <c r="FC88" i="30"/>
  <c r="FB88" i="30"/>
  <c r="FA88" i="30"/>
  <c r="EZ88" i="30"/>
  <c r="EY88" i="30"/>
  <c r="EX88" i="30"/>
  <c r="EW88" i="30"/>
  <c r="EV88" i="30"/>
  <c r="EU88" i="30"/>
  <c r="ET88" i="30"/>
  <c r="ES88" i="30"/>
  <c r="ER88" i="30"/>
  <c r="EM88" i="30"/>
  <c r="EL88" i="30"/>
  <c r="EK88" i="30"/>
  <c r="EJ88" i="30"/>
  <c r="EI88" i="30"/>
  <c r="EH88" i="30"/>
  <c r="EG88" i="30"/>
  <c r="EF88" i="30"/>
  <c r="EE88" i="30"/>
  <c r="ED88" i="30"/>
  <c r="EC88" i="30"/>
  <c r="EB88" i="30"/>
  <c r="EA88" i="30"/>
  <c r="DZ88" i="30"/>
  <c r="DY88" i="30"/>
  <c r="DX88" i="30"/>
  <c r="DW88" i="30"/>
  <c r="DV88" i="30"/>
  <c r="DU88" i="30"/>
  <c r="DT88" i="30"/>
  <c r="DS88" i="30"/>
  <c r="DR88" i="30"/>
  <c r="DQ88" i="30"/>
  <c r="DP88" i="30"/>
  <c r="DO88" i="30"/>
  <c r="DN88" i="30"/>
  <c r="DM88" i="30"/>
  <c r="DL88" i="30"/>
  <c r="DK88" i="30"/>
  <c r="DJ88" i="30"/>
  <c r="DI88" i="30"/>
  <c r="DH88" i="30"/>
  <c r="DG88" i="30"/>
  <c r="DF88" i="30"/>
  <c r="DE88" i="30"/>
  <c r="DD88" i="30"/>
  <c r="DC88" i="30"/>
  <c r="DB88" i="30"/>
  <c r="DA88" i="30"/>
  <c r="CZ88" i="30"/>
  <c r="CY88" i="30"/>
  <c r="CX88" i="30"/>
  <c r="CW88" i="30"/>
  <c r="CV88" i="30"/>
  <c r="CU88" i="30"/>
  <c r="CT88" i="30"/>
  <c r="CS88" i="30"/>
  <c r="CR88" i="30"/>
  <c r="CQ88" i="30"/>
  <c r="CP88" i="30"/>
  <c r="CO88" i="30"/>
  <c r="CN88" i="30"/>
  <c r="CM88" i="30"/>
  <c r="CL88" i="30"/>
  <c r="CI88" i="30"/>
  <c r="CH88" i="30"/>
  <c r="CG88" i="30"/>
  <c r="CF88" i="30"/>
  <c r="CE88" i="30"/>
  <c r="CD88" i="30"/>
  <c r="CC88" i="30"/>
  <c r="CB88" i="30"/>
  <c r="CA88" i="30"/>
  <c r="BZ88" i="30"/>
  <c r="BS88" i="30"/>
  <c r="BR88" i="30"/>
  <c r="AY88" i="30"/>
  <c r="AX88" i="30"/>
  <c r="AW88" i="30"/>
  <c r="AV88" i="30"/>
  <c r="AU88" i="30"/>
  <c r="AT88" i="30"/>
  <c r="AK88" i="30"/>
  <c r="AJ88" i="30"/>
  <c r="AI88" i="30"/>
  <c r="AH88" i="30"/>
  <c r="AG88" i="30"/>
  <c r="AF88" i="30"/>
  <c r="AS85" i="30"/>
  <c r="AR85" i="30"/>
  <c r="AS84" i="30"/>
  <c r="AR84" i="30"/>
  <c r="NU83" i="30"/>
  <c r="NT83" i="30"/>
  <c r="GP83" i="28" s="1"/>
  <c r="AS83" i="30"/>
  <c r="AR83" i="30"/>
  <c r="NU82" i="30"/>
  <c r="NT82" i="30"/>
  <c r="GP82" i="28" s="1"/>
  <c r="AS82" i="30"/>
  <c r="AR82" i="30"/>
  <c r="NN74" i="30"/>
  <c r="FS70" i="30"/>
  <c r="FR70" i="30"/>
  <c r="FM70" i="30"/>
  <c r="FL70" i="30"/>
  <c r="FC70" i="30"/>
  <c r="FB70" i="30"/>
  <c r="EQ70" i="30"/>
  <c r="EP70" i="30"/>
  <c r="EO70" i="30"/>
  <c r="EN70" i="30"/>
  <c r="EG70" i="30"/>
  <c r="EF70" i="30"/>
  <c r="EE70" i="30"/>
  <c r="ED70" i="30"/>
  <c r="EC70" i="30"/>
  <c r="EB70" i="30"/>
  <c r="EA70" i="30"/>
  <c r="DZ70" i="30"/>
  <c r="DU70" i="30"/>
  <c r="DT70" i="30"/>
  <c r="DS70" i="30"/>
  <c r="DR70" i="30"/>
  <c r="DQ70" i="30"/>
  <c r="DP70" i="30"/>
  <c r="DO70" i="30"/>
  <c r="DN70" i="30"/>
  <c r="DM70" i="30"/>
  <c r="DL70" i="30"/>
  <c r="DK70" i="30"/>
  <c r="DJ70" i="30"/>
  <c r="DI70" i="30"/>
  <c r="DH70" i="30"/>
  <c r="DG70" i="30"/>
  <c r="DF70" i="30"/>
  <c r="DE70" i="30"/>
  <c r="DD70" i="30"/>
  <c r="DC70" i="30"/>
  <c r="DB70" i="30"/>
  <c r="DA70" i="30"/>
  <c r="CZ70" i="30"/>
  <c r="CY70" i="30"/>
  <c r="CX70" i="30"/>
  <c r="CW70" i="30"/>
  <c r="CV70" i="30"/>
  <c r="CU70" i="30"/>
  <c r="CT70" i="30"/>
  <c r="CS70" i="30"/>
  <c r="CR70" i="30"/>
  <c r="CQ70" i="30"/>
  <c r="CP70" i="30"/>
  <c r="CO70" i="30"/>
  <c r="CN70" i="30"/>
  <c r="CM70" i="30"/>
  <c r="CL70" i="30"/>
  <c r="CK70" i="30"/>
  <c r="CJ70" i="30"/>
  <c r="CI70" i="30"/>
  <c r="CH70" i="30"/>
  <c r="CG70" i="30"/>
  <c r="CF70" i="30"/>
  <c r="CE70" i="30"/>
  <c r="CD70" i="30"/>
  <c r="BZ70" i="30"/>
  <c r="BS70" i="30"/>
  <c r="BR70" i="30"/>
  <c r="AY70" i="30"/>
  <c r="AX70" i="30"/>
  <c r="AW70" i="30"/>
  <c r="AV70" i="30"/>
  <c r="AU70" i="30"/>
  <c r="AT70" i="30"/>
  <c r="AS70" i="30"/>
  <c r="AR70" i="30"/>
  <c r="AK70" i="30"/>
  <c r="AJ70" i="30"/>
  <c r="FS69" i="30"/>
  <c r="FR69" i="30"/>
  <c r="FM69" i="30"/>
  <c r="FL69" i="30"/>
  <c r="FC69" i="30"/>
  <c r="FB69" i="30"/>
  <c r="EQ69" i="30"/>
  <c r="EP69" i="30"/>
  <c r="EO69" i="30"/>
  <c r="EN69" i="30"/>
  <c r="EG69" i="30"/>
  <c r="EF69" i="30"/>
  <c r="EE69" i="30"/>
  <c r="ED69" i="30"/>
  <c r="EC69" i="30"/>
  <c r="EB69" i="30"/>
  <c r="EA69" i="30"/>
  <c r="DZ69" i="30"/>
  <c r="DU69" i="30"/>
  <c r="DT69" i="30"/>
  <c r="DS69" i="30"/>
  <c r="DR69" i="30"/>
  <c r="DQ69" i="30"/>
  <c r="DP69" i="30"/>
  <c r="DO69" i="30"/>
  <c r="DN69" i="30"/>
  <c r="DM69" i="30"/>
  <c r="DL69" i="30"/>
  <c r="DK69" i="30"/>
  <c r="DJ69" i="30"/>
  <c r="DI69" i="30"/>
  <c r="DH69" i="30"/>
  <c r="DG69" i="30"/>
  <c r="DF69" i="30"/>
  <c r="DE69" i="30"/>
  <c r="DD69" i="30"/>
  <c r="DC69" i="30"/>
  <c r="DB69" i="30"/>
  <c r="DA69" i="30"/>
  <c r="CZ69" i="30"/>
  <c r="CW69" i="30"/>
  <c r="CV69" i="30"/>
  <c r="CS69" i="30"/>
  <c r="CR69" i="30"/>
  <c r="CQ69" i="30"/>
  <c r="CP69" i="30"/>
  <c r="CO69" i="30"/>
  <c r="CN69" i="30"/>
  <c r="CM69" i="30"/>
  <c r="CL69" i="30"/>
  <c r="CK69" i="30"/>
  <c r="CJ69" i="30"/>
  <c r="CI69" i="30"/>
  <c r="CH69" i="30"/>
  <c r="CG69" i="30"/>
  <c r="CF69" i="30"/>
  <c r="CE69" i="30"/>
  <c r="CD69" i="30"/>
  <c r="BS69" i="30"/>
  <c r="BR69" i="30"/>
  <c r="AY69" i="30"/>
  <c r="AX69" i="30"/>
  <c r="AW69" i="30"/>
  <c r="AV69" i="30"/>
  <c r="AU69" i="30"/>
  <c r="AT69" i="30"/>
  <c r="AS69" i="30"/>
  <c r="AR69" i="30"/>
  <c r="AK69" i="30"/>
  <c r="AJ69" i="30"/>
  <c r="GY68" i="30"/>
  <c r="GX68" i="30"/>
  <c r="EM68" i="30"/>
  <c r="EL68" i="30"/>
  <c r="EG68" i="30"/>
  <c r="EF68" i="30"/>
  <c r="EE68" i="30"/>
  <c r="ED68" i="30"/>
  <c r="EC68" i="30"/>
  <c r="EB68" i="30"/>
  <c r="EA68" i="30"/>
  <c r="DZ68" i="30"/>
  <c r="DY68" i="30"/>
  <c r="DX68" i="30"/>
  <c r="DW68" i="30"/>
  <c r="DV68" i="30"/>
  <c r="DU68" i="30"/>
  <c r="DT68" i="30"/>
  <c r="DS68" i="30"/>
  <c r="DR68" i="30"/>
  <c r="DQ68" i="30"/>
  <c r="DP68" i="30"/>
  <c r="DO68" i="30"/>
  <c r="DN68" i="30"/>
  <c r="DM68" i="30"/>
  <c r="DL68" i="30"/>
  <c r="DK68" i="30"/>
  <c r="DJ68" i="30"/>
  <c r="DI68" i="30"/>
  <c r="DH68" i="30"/>
  <c r="DC68" i="30"/>
  <c r="DB68" i="30"/>
  <c r="DA68" i="30"/>
  <c r="CZ68" i="30"/>
  <c r="CY68" i="30"/>
  <c r="CX68" i="30"/>
  <c r="CW68" i="30"/>
  <c r="CV68" i="30"/>
  <c r="CU68" i="30"/>
  <c r="CT68" i="30"/>
  <c r="CS68" i="30"/>
  <c r="CR68" i="30"/>
  <c r="CQ68" i="30"/>
  <c r="CP68" i="30"/>
  <c r="CO68" i="30"/>
  <c r="CN68" i="30"/>
  <c r="CM68" i="30"/>
  <c r="CL68" i="30"/>
  <c r="CK68" i="30"/>
  <c r="CJ68" i="30"/>
  <c r="CI68" i="30"/>
  <c r="CH68" i="30"/>
  <c r="CG68" i="30"/>
  <c r="CF68" i="30"/>
  <c r="CE68" i="30"/>
  <c r="CD68" i="30"/>
  <c r="CC68" i="30"/>
  <c r="CB68" i="30"/>
  <c r="CA68" i="30"/>
  <c r="BZ68" i="30"/>
  <c r="BS68" i="30"/>
  <c r="BR68" i="30"/>
  <c r="AY68" i="30"/>
  <c r="AX68" i="30"/>
  <c r="AW68" i="30"/>
  <c r="AV68" i="30"/>
  <c r="AU68" i="30"/>
  <c r="AT68" i="30"/>
  <c r="AK68" i="30"/>
  <c r="AJ68" i="30"/>
  <c r="AI68" i="30"/>
  <c r="AH68" i="30"/>
  <c r="AG68" i="30"/>
  <c r="AF68" i="30"/>
  <c r="DS67" i="30"/>
  <c r="DR67" i="30"/>
  <c r="DQ67" i="30"/>
  <c r="DP67" i="30"/>
  <c r="DM67" i="30"/>
  <c r="DL67" i="30"/>
  <c r="DK67" i="30"/>
  <c r="DJ67" i="30"/>
  <c r="DI67" i="30"/>
  <c r="DH67" i="30"/>
  <c r="CW67" i="30"/>
  <c r="CV67" i="30"/>
  <c r="CQ67" i="30"/>
  <c r="CP67" i="30"/>
  <c r="CK67" i="30"/>
  <c r="CJ67" i="30"/>
  <c r="CG67" i="30"/>
  <c r="CF67" i="30"/>
  <c r="CE67" i="30"/>
  <c r="CD67" i="30"/>
  <c r="CA67" i="30"/>
  <c r="BZ67" i="30"/>
  <c r="BS67" i="30"/>
  <c r="BR67" i="30"/>
  <c r="AY67" i="30"/>
  <c r="AX67" i="30"/>
  <c r="AW67" i="30"/>
  <c r="AV67" i="30"/>
  <c r="AU67" i="30"/>
  <c r="AT67" i="30"/>
  <c r="AK67" i="30"/>
  <c r="AJ67" i="30"/>
  <c r="AI67" i="30"/>
  <c r="AH67" i="30"/>
  <c r="AG67" i="30"/>
  <c r="AF67" i="30"/>
  <c r="DS66" i="30"/>
  <c r="DR66" i="30"/>
  <c r="DQ66" i="30"/>
  <c r="DP66" i="30"/>
  <c r="DM66" i="30"/>
  <c r="DL66" i="30"/>
  <c r="DK66" i="30"/>
  <c r="DJ66" i="30"/>
  <c r="DI66" i="30"/>
  <c r="DH66" i="30"/>
  <c r="CK66" i="30"/>
  <c r="CJ66" i="30"/>
  <c r="BS66" i="30"/>
  <c r="BR66" i="30"/>
  <c r="AY66" i="30"/>
  <c r="AX66" i="30"/>
  <c r="AW66" i="30"/>
  <c r="AV66" i="30"/>
  <c r="AU66" i="30"/>
  <c r="AT66" i="30"/>
  <c r="AK66" i="30"/>
  <c r="AJ66" i="30"/>
  <c r="AI66" i="30"/>
  <c r="AH66" i="30"/>
  <c r="AG66" i="30"/>
  <c r="AF66" i="30"/>
  <c r="DS64" i="30"/>
  <c r="DR64" i="30"/>
  <c r="DQ64" i="30"/>
  <c r="DP64" i="30"/>
  <c r="DM64" i="30"/>
  <c r="DL64" i="30"/>
  <c r="DK64" i="30"/>
  <c r="DJ64" i="30"/>
  <c r="DI64" i="30"/>
  <c r="DH64" i="30"/>
  <c r="DS63" i="30"/>
  <c r="DR63" i="30"/>
  <c r="DQ63" i="30"/>
  <c r="DP63" i="30"/>
  <c r="DM63" i="30"/>
  <c r="DL63" i="30"/>
  <c r="DK63" i="30"/>
  <c r="DJ63" i="30"/>
  <c r="DI63" i="30"/>
  <c r="DH63" i="30"/>
  <c r="DR62" i="30"/>
  <c r="DQ62" i="30"/>
  <c r="DP62" i="30"/>
  <c r="DM62" i="30"/>
  <c r="DL62" i="30"/>
  <c r="DK62" i="30"/>
  <c r="DJ62" i="30"/>
  <c r="DI62" i="30"/>
  <c r="DH62" i="30"/>
  <c r="BS62" i="30"/>
  <c r="BR62" i="30"/>
  <c r="AY62" i="30"/>
  <c r="AX62" i="30"/>
  <c r="AW62" i="30"/>
  <c r="AV62" i="30"/>
  <c r="AU62" i="30"/>
  <c r="AT62" i="30"/>
  <c r="AK62" i="30"/>
  <c r="AJ62" i="30"/>
  <c r="AI62" i="30"/>
  <c r="AH62" i="30"/>
  <c r="AG62" i="30"/>
  <c r="AF62" i="30"/>
  <c r="DU61" i="30"/>
  <c r="DT61" i="30"/>
  <c r="DS61" i="30"/>
  <c r="DR61" i="30"/>
  <c r="DQ61" i="30"/>
  <c r="DP61" i="30"/>
  <c r="DM61" i="30"/>
  <c r="DL61" i="30"/>
  <c r="DK61" i="30"/>
  <c r="DJ61" i="30"/>
  <c r="DI61" i="30"/>
  <c r="DH61" i="30"/>
  <c r="DC61" i="30"/>
  <c r="DB61" i="30"/>
  <c r="DA61" i="30"/>
  <c r="CZ61" i="30"/>
  <c r="CW61" i="30"/>
  <c r="CV61" i="30"/>
  <c r="CO61" i="30"/>
  <c r="CN61" i="30"/>
  <c r="CK61" i="30"/>
  <c r="CJ61" i="30"/>
  <c r="CI61" i="30"/>
  <c r="CH61" i="30"/>
  <c r="CG61" i="30"/>
  <c r="CF61" i="30"/>
  <c r="CE61" i="30"/>
  <c r="CD61" i="30"/>
  <c r="CA61" i="30"/>
  <c r="BZ61" i="30"/>
  <c r="BS61" i="30"/>
  <c r="BR61" i="30"/>
  <c r="AY61" i="30"/>
  <c r="AX61" i="30"/>
  <c r="AW61" i="30"/>
  <c r="AV61" i="30"/>
  <c r="AU61" i="30"/>
  <c r="AT61" i="30"/>
  <c r="AK61" i="30"/>
  <c r="AJ61" i="30"/>
  <c r="AI61" i="30"/>
  <c r="AH61" i="30"/>
  <c r="AG61" i="30"/>
  <c r="AF61" i="30"/>
  <c r="DS58" i="30"/>
  <c r="DR58" i="30"/>
  <c r="DQ58" i="30"/>
  <c r="DP58" i="30"/>
  <c r="DM58" i="30"/>
  <c r="DL58" i="30"/>
  <c r="DK58" i="30"/>
  <c r="DJ58" i="30"/>
  <c r="DI58" i="30"/>
  <c r="DH58" i="30"/>
  <c r="DM57" i="30"/>
  <c r="DL57" i="30"/>
  <c r="DK57" i="30"/>
  <c r="DJ57" i="30"/>
  <c r="DI57" i="30"/>
  <c r="DH57" i="30"/>
  <c r="CW55" i="30"/>
  <c r="CV55" i="30"/>
  <c r="CK55" i="30"/>
  <c r="CJ55" i="30"/>
  <c r="BS55" i="30"/>
  <c r="BR55" i="30"/>
  <c r="AY55" i="30"/>
  <c r="AX55" i="30"/>
  <c r="AW55" i="30"/>
  <c r="AV55" i="30"/>
  <c r="AU55" i="30"/>
  <c r="AT55" i="30"/>
  <c r="AS55" i="30"/>
  <c r="AR55" i="30"/>
  <c r="AK55" i="30"/>
  <c r="AJ55" i="30"/>
  <c r="AI55" i="30"/>
  <c r="AH55" i="30"/>
  <c r="CK54" i="30"/>
  <c r="CJ54" i="30"/>
  <c r="BS54" i="30"/>
  <c r="BR54" i="30"/>
  <c r="AY54" i="30"/>
  <c r="AX54" i="30"/>
  <c r="AW54" i="30"/>
  <c r="AV54" i="30"/>
  <c r="AU54" i="30"/>
  <c r="AT54" i="30"/>
  <c r="AS54" i="30"/>
  <c r="AR54" i="30"/>
  <c r="AK54" i="30"/>
  <c r="AJ54" i="30"/>
  <c r="AI54" i="30"/>
  <c r="AH54" i="30"/>
  <c r="DS52" i="30"/>
  <c r="DR52" i="30"/>
  <c r="DQ52" i="30"/>
  <c r="DP52" i="30"/>
  <c r="DM52" i="30"/>
  <c r="DL52" i="30"/>
  <c r="DK52" i="30"/>
  <c r="DJ52" i="30"/>
  <c r="DI52" i="30"/>
  <c r="DH52" i="30"/>
  <c r="DC52" i="30"/>
  <c r="DB52" i="30"/>
  <c r="CK52" i="30"/>
  <c r="CJ52" i="30"/>
  <c r="BS52" i="30"/>
  <c r="BR52" i="30"/>
  <c r="AY52" i="30"/>
  <c r="AX52" i="30"/>
  <c r="AW52" i="30"/>
  <c r="AV52" i="30"/>
  <c r="AU52" i="30"/>
  <c r="AT52" i="30"/>
  <c r="AK52" i="30"/>
  <c r="AJ52" i="30"/>
  <c r="AI52" i="30"/>
  <c r="AH52" i="30"/>
  <c r="DS51" i="30"/>
  <c r="DR51" i="30"/>
  <c r="DQ51" i="30"/>
  <c r="DP51" i="30"/>
  <c r="DM51" i="30"/>
  <c r="DL51" i="30"/>
  <c r="DK51" i="30"/>
  <c r="DJ51" i="30"/>
  <c r="DI51" i="30"/>
  <c r="DH51" i="30"/>
  <c r="DC51" i="30"/>
  <c r="DB51" i="30"/>
  <c r="CK51" i="30"/>
  <c r="CJ51" i="30"/>
  <c r="CE51" i="30"/>
  <c r="CD51" i="30"/>
  <c r="BS51" i="30"/>
  <c r="BR51" i="30"/>
  <c r="AY51" i="30"/>
  <c r="AX51" i="30"/>
  <c r="AW51" i="30"/>
  <c r="AV51" i="30"/>
  <c r="AU51" i="30"/>
  <c r="AT51" i="30"/>
  <c r="AK51" i="30"/>
  <c r="AJ51" i="30"/>
  <c r="AI51" i="30"/>
  <c r="AH51" i="30"/>
  <c r="FS49" i="30"/>
  <c r="FR49" i="30"/>
  <c r="FQ49" i="30"/>
  <c r="FP49" i="30"/>
  <c r="FO49" i="30"/>
  <c r="FN49" i="30"/>
  <c r="FM49" i="30"/>
  <c r="FL49" i="30"/>
  <c r="FK49" i="30"/>
  <c r="FJ49" i="30"/>
  <c r="FI49" i="30"/>
  <c r="FH49" i="30"/>
  <c r="FG49" i="30"/>
  <c r="FF49" i="30"/>
  <c r="FC49" i="30"/>
  <c r="FB49" i="30"/>
  <c r="FA49" i="30"/>
  <c r="EZ49" i="30"/>
  <c r="EY49" i="30"/>
  <c r="EX49" i="30"/>
  <c r="EW49" i="30"/>
  <c r="EV49" i="30"/>
  <c r="EQ49" i="30"/>
  <c r="EP49" i="30"/>
  <c r="EO49" i="30"/>
  <c r="EN49" i="30"/>
  <c r="EG49" i="30"/>
  <c r="EF49" i="30"/>
  <c r="EE49" i="30"/>
  <c r="ED49" i="30"/>
  <c r="EC49" i="30"/>
  <c r="EB49" i="30"/>
  <c r="DU49" i="30"/>
  <c r="DT49" i="30"/>
  <c r="DS49" i="30"/>
  <c r="DR49" i="30"/>
  <c r="DQ49" i="30"/>
  <c r="DP49" i="30"/>
  <c r="DO49" i="30"/>
  <c r="DN49" i="30"/>
  <c r="DM49" i="30"/>
  <c r="DL49" i="30"/>
  <c r="DK49" i="30"/>
  <c r="DJ49" i="30"/>
  <c r="DI49" i="30"/>
  <c r="DH49" i="30"/>
  <c r="DG49" i="30"/>
  <c r="DF49" i="30"/>
  <c r="DE49" i="30"/>
  <c r="DD49" i="30"/>
  <c r="DC49" i="30"/>
  <c r="DB49" i="30"/>
  <c r="CZ49" i="30"/>
  <c r="CY49" i="30"/>
  <c r="CX49" i="30"/>
  <c r="CW49" i="30"/>
  <c r="CV49" i="30"/>
  <c r="CU49" i="30"/>
  <c r="CT49" i="30"/>
  <c r="CS49" i="30"/>
  <c r="CR49" i="30"/>
  <c r="CQ49" i="30"/>
  <c r="CP49" i="30"/>
  <c r="CO49" i="30"/>
  <c r="CN49" i="30"/>
  <c r="CM49" i="30"/>
  <c r="CL49" i="30"/>
  <c r="CK49" i="30"/>
  <c r="CJ49" i="30"/>
  <c r="CI49" i="30"/>
  <c r="CH49" i="30"/>
  <c r="CE49" i="30"/>
  <c r="CD49" i="30"/>
  <c r="CC49" i="30"/>
  <c r="CB49" i="30"/>
  <c r="CA49" i="30"/>
  <c r="BZ49" i="30"/>
  <c r="BS49" i="30"/>
  <c r="BR49" i="30"/>
  <c r="AY49" i="30"/>
  <c r="AX49" i="30"/>
  <c r="AW49" i="30"/>
  <c r="AV49" i="30"/>
  <c r="AU49" i="30"/>
  <c r="AT49" i="30"/>
  <c r="AS49" i="30"/>
  <c r="AR49" i="30"/>
  <c r="AA49" i="30"/>
  <c r="Z49" i="30"/>
  <c r="Q49" i="30"/>
  <c r="P49" i="30"/>
  <c r="EQ48" i="30"/>
  <c r="EP48" i="30"/>
  <c r="EO48" i="30"/>
  <c r="EN48" i="30"/>
  <c r="DU48" i="30"/>
  <c r="DT48" i="30"/>
  <c r="DS48" i="30"/>
  <c r="DR48" i="30"/>
  <c r="DQ48" i="30"/>
  <c r="DP48" i="30"/>
  <c r="DO48" i="30"/>
  <c r="DN48" i="30"/>
  <c r="DM48" i="30"/>
  <c r="DL48" i="30"/>
  <c r="DK48" i="30"/>
  <c r="DJ48" i="30"/>
  <c r="DI48" i="30"/>
  <c r="DH48" i="30"/>
  <c r="DG48" i="30"/>
  <c r="DF48" i="30"/>
  <c r="DE48" i="30"/>
  <c r="DD48" i="30"/>
  <c r="DC48" i="30"/>
  <c r="DB48" i="30"/>
  <c r="DA48" i="30"/>
  <c r="CZ48" i="30"/>
  <c r="CY48" i="30"/>
  <c r="CX48" i="30"/>
  <c r="CW48" i="30"/>
  <c r="CV48" i="30"/>
  <c r="CU48" i="30"/>
  <c r="CT48" i="30"/>
  <c r="CQ48" i="30"/>
  <c r="CP48" i="30"/>
  <c r="CO48" i="30"/>
  <c r="CN48" i="30"/>
  <c r="CM48" i="30"/>
  <c r="CL48" i="30"/>
  <c r="CK48" i="30"/>
  <c r="CJ48" i="30"/>
  <c r="CA48" i="30"/>
  <c r="BZ48" i="30"/>
  <c r="BS48" i="30"/>
  <c r="BR48" i="30"/>
  <c r="AY48" i="30"/>
  <c r="AX48" i="30"/>
  <c r="AW48" i="30"/>
  <c r="AV48" i="30"/>
  <c r="AU48" i="30"/>
  <c r="AT48" i="30"/>
  <c r="AS48" i="30"/>
  <c r="AR48" i="30"/>
  <c r="AK48" i="30"/>
  <c r="AJ48" i="30"/>
  <c r="AI48" i="30"/>
  <c r="AH48" i="30"/>
  <c r="AA48" i="30"/>
  <c r="Z48" i="30"/>
  <c r="Q48" i="30"/>
  <c r="P48" i="30"/>
  <c r="NU45" i="30"/>
  <c r="NT45" i="30"/>
  <c r="NS45" i="30"/>
  <c r="NR45" i="30"/>
  <c r="AS45" i="30"/>
  <c r="AR45" i="30"/>
  <c r="NU44" i="30"/>
  <c r="NT44" i="30"/>
  <c r="GP44" i="28" s="1"/>
  <c r="AS44" i="30"/>
  <c r="AR44" i="30"/>
  <c r="NU43" i="30"/>
  <c r="NT43" i="30"/>
  <c r="GP43" i="28" s="1"/>
  <c r="AS43" i="30"/>
  <c r="AR43" i="30"/>
  <c r="NU42" i="30"/>
  <c r="NT42" i="30"/>
  <c r="GP42" i="28" s="1"/>
  <c r="AS42" i="30"/>
  <c r="AR42" i="30"/>
  <c r="NU41" i="30"/>
  <c r="NT41" i="30"/>
  <c r="GP41" i="28" s="1"/>
  <c r="AS41" i="30"/>
  <c r="AR41" i="30"/>
  <c r="AS40" i="30"/>
  <c r="AR40" i="30"/>
  <c r="AS39" i="30"/>
  <c r="AR39" i="30"/>
  <c r="NU38" i="30"/>
  <c r="NT38" i="30"/>
  <c r="NS38" i="30"/>
  <c r="NR38" i="30"/>
  <c r="AS38" i="30"/>
  <c r="AR38" i="30"/>
  <c r="NU35" i="30"/>
  <c r="NT35" i="30"/>
  <c r="GP35" i="28" s="1"/>
  <c r="AS35" i="30"/>
  <c r="AR35" i="30"/>
  <c r="NU34" i="30"/>
  <c r="NT34" i="30"/>
  <c r="GP34" i="28" s="1"/>
  <c r="AS34" i="30"/>
  <c r="AR34" i="30"/>
  <c r="FS33" i="30"/>
  <c r="FR33" i="30"/>
  <c r="FQ33" i="30"/>
  <c r="FP33" i="30"/>
  <c r="FO33" i="30"/>
  <c r="FN33" i="30"/>
  <c r="FM33" i="30"/>
  <c r="FL33" i="30"/>
  <c r="FK33" i="30"/>
  <c r="FJ33" i="30"/>
  <c r="FI33" i="30"/>
  <c r="FH33" i="30"/>
  <c r="FG33" i="30"/>
  <c r="FF33" i="30"/>
  <c r="FA33" i="30"/>
  <c r="EZ33" i="30"/>
  <c r="EY33" i="30"/>
  <c r="EX33" i="30"/>
  <c r="EW33" i="30"/>
  <c r="EV33" i="30"/>
  <c r="EU33" i="30"/>
  <c r="ET33" i="30"/>
  <c r="ES33" i="30"/>
  <c r="ER33" i="30"/>
  <c r="EO33" i="30"/>
  <c r="EN33" i="30"/>
  <c r="EC33" i="30"/>
  <c r="EB33" i="30"/>
  <c r="DU33" i="30"/>
  <c r="DT33" i="30"/>
  <c r="DS33" i="30"/>
  <c r="DR33" i="30"/>
  <c r="DQ33" i="30"/>
  <c r="DP33" i="30"/>
  <c r="DM33" i="30"/>
  <c r="DL33" i="30"/>
  <c r="DK33" i="30"/>
  <c r="DJ33" i="30"/>
  <c r="DI33" i="30"/>
  <c r="DH33" i="30"/>
  <c r="DE33" i="30"/>
  <c r="DD33" i="30"/>
  <c r="DC33" i="30"/>
  <c r="DB33" i="30"/>
  <c r="DA33" i="30"/>
  <c r="CZ33" i="30"/>
  <c r="CW33" i="30"/>
  <c r="CV33" i="30"/>
  <c r="CU33" i="30"/>
  <c r="CT33" i="30"/>
  <c r="CS33" i="30"/>
  <c r="CR33" i="30"/>
  <c r="CO33" i="30"/>
  <c r="CN33" i="30"/>
  <c r="CM33" i="30"/>
  <c r="CL33" i="30"/>
  <c r="CK33" i="30"/>
  <c r="CJ33" i="30"/>
  <c r="CG33" i="30"/>
  <c r="CF33" i="30"/>
  <c r="CE33" i="30"/>
  <c r="CD33" i="30"/>
  <c r="CC33" i="30"/>
  <c r="CB33" i="30"/>
  <c r="CA33" i="30"/>
  <c r="BZ33" i="30"/>
  <c r="BS33" i="30"/>
  <c r="BR33" i="30"/>
  <c r="AY33" i="30"/>
  <c r="AX33" i="30"/>
  <c r="AW33" i="30"/>
  <c r="AV33" i="30"/>
  <c r="AU33" i="30"/>
  <c r="AT33" i="30"/>
  <c r="AS33" i="30"/>
  <c r="AR33" i="30"/>
  <c r="AK33" i="30"/>
  <c r="AJ33" i="30"/>
  <c r="AI33" i="30"/>
  <c r="AH33" i="30"/>
  <c r="AG33" i="30"/>
  <c r="AF33" i="30"/>
  <c r="AA33" i="30"/>
  <c r="Z33" i="30"/>
  <c r="Q33" i="30"/>
  <c r="P33" i="30"/>
  <c r="LI32" i="30"/>
  <c r="LH32" i="30"/>
  <c r="LG32" i="30"/>
  <c r="LF32" i="30"/>
  <c r="LE32" i="30"/>
  <c r="LD32" i="30"/>
  <c r="GY32" i="30"/>
  <c r="GX32" i="30"/>
  <c r="FT32" i="30"/>
  <c r="FS32" i="30"/>
  <c r="FR32" i="30"/>
  <c r="FQ32" i="30"/>
  <c r="FP32" i="30"/>
  <c r="FO32" i="30"/>
  <c r="FN32" i="30"/>
  <c r="FM32" i="30"/>
  <c r="FL32" i="30"/>
  <c r="FK32" i="30"/>
  <c r="FJ32" i="30"/>
  <c r="FI32" i="30"/>
  <c r="FH32" i="30"/>
  <c r="FG32" i="30"/>
  <c r="FF32" i="30"/>
  <c r="FE32" i="30"/>
  <c r="FD32" i="30"/>
  <c r="FC32" i="30"/>
  <c r="FB32" i="30"/>
  <c r="EY32" i="30"/>
  <c r="EX32" i="30"/>
  <c r="EU32" i="30"/>
  <c r="ET32" i="30"/>
  <c r="ES32" i="30"/>
  <c r="ER32" i="30"/>
  <c r="EO32" i="30"/>
  <c r="EN32" i="30"/>
  <c r="EM32" i="30"/>
  <c r="EL32" i="30"/>
  <c r="EK32" i="30"/>
  <c r="EK116" i="30" s="1"/>
  <c r="EJ32" i="30"/>
  <c r="EI32" i="30"/>
  <c r="EH32" i="30"/>
  <c r="EG32" i="30"/>
  <c r="EF32" i="30"/>
  <c r="EE32" i="30"/>
  <c r="ED32" i="30"/>
  <c r="EC32" i="30"/>
  <c r="EB32" i="30"/>
  <c r="EA32" i="30"/>
  <c r="DZ32" i="30"/>
  <c r="DY32" i="30"/>
  <c r="DX32" i="30"/>
  <c r="DW32" i="30"/>
  <c r="DV32" i="30"/>
  <c r="DU32" i="30"/>
  <c r="DT32" i="30"/>
  <c r="DS32" i="30"/>
  <c r="DR32" i="30"/>
  <c r="DQ32" i="30"/>
  <c r="DP32" i="30"/>
  <c r="DO32" i="30"/>
  <c r="DN32" i="30"/>
  <c r="DM32" i="30"/>
  <c r="DL32" i="30"/>
  <c r="DK32" i="30"/>
  <c r="DJ32" i="30"/>
  <c r="DI32" i="30"/>
  <c r="DH32" i="30"/>
  <c r="DE32" i="30"/>
  <c r="DD32" i="30"/>
  <c r="DC32" i="30"/>
  <c r="DB32" i="30"/>
  <c r="DA32" i="30"/>
  <c r="CZ32" i="30"/>
  <c r="CY32" i="30"/>
  <c r="CX32" i="30"/>
  <c r="CW32" i="30"/>
  <c r="CV32" i="30"/>
  <c r="CU32" i="30"/>
  <c r="CT32" i="30"/>
  <c r="CS32" i="30"/>
  <c r="CR32" i="30"/>
  <c r="CQ32" i="30"/>
  <c r="CP32" i="30"/>
  <c r="CO32" i="30"/>
  <c r="CN32" i="30"/>
  <c r="CM32" i="30"/>
  <c r="CL32" i="30"/>
  <c r="CK32" i="30"/>
  <c r="CJ32" i="30"/>
  <c r="CI32" i="30"/>
  <c r="CH32" i="30"/>
  <c r="CG32" i="30"/>
  <c r="CF32" i="30"/>
  <c r="CE32" i="30"/>
  <c r="CD32" i="30"/>
  <c r="CC32" i="30"/>
  <c r="CB32" i="30"/>
  <c r="CA32" i="30"/>
  <c r="BZ32" i="30"/>
  <c r="BS32" i="30"/>
  <c r="BR32" i="30"/>
  <c r="AY32" i="30"/>
  <c r="AX32" i="30"/>
  <c r="AW32" i="30"/>
  <c r="AV32" i="30"/>
  <c r="AU32" i="30"/>
  <c r="AT32" i="30"/>
  <c r="AS32" i="30"/>
  <c r="AR32" i="30"/>
  <c r="AK32" i="30"/>
  <c r="AJ32" i="30"/>
  <c r="AI32" i="30"/>
  <c r="AH32" i="30"/>
  <c r="AG32" i="30"/>
  <c r="AF32" i="30"/>
  <c r="AA32" i="30"/>
  <c r="Z32" i="30"/>
  <c r="Q32" i="30"/>
  <c r="P32" i="30"/>
  <c r="NU30" i="30"/>
  <c r="NT30" i="30"/>
  <c r="NS30" i="30"/>
  <c r="NR30" i="30"/>
  <c r="FS30" i="30"/>
  <c r="FR30" i="30"/>
  <c r="FQ30" i="30"/>
  <c r="FP30" i="30"/>
  <c r="FO30" i="30"/>
  <c r="FN30" i="30"/>
  <c r="FM30" i="30"/>
  <c r="FL30" i="30"/>
  <c r="FK30" i="30"/>
  <c r="FJ30" i="30"/>
  <c r="FI30" i="30"/>
  <c r="FH30" i="30"/>
  <c r="FG30" i="30"/>
  <c r="FF30" i="30"/>
  <c r="FA30" i="30"/>
  <c r="EZ30" i="30"/>
  <c r="EY30" i="30"/>
  <c r="EX30" i="30"/>
  <c r="EU30" i="30"/>
  <c r="ET30" i="30"/>
  <c r="ES30" i="30"/>
  <c r="ER30" i="30"/>
  <c r="ED30" i="30"/>
  <c r="EB30" i="30"/>
  <c r="DU30" i="30"/>
  <c r="DT30" i="30"/>
  <c r="DS30" i="30"/>
  <c r="DR30" i="30"/>
  <c r="DQ30" i="30"/>
  <c r="DP30" i="30"/>
  <c r="DM30" i="30"/>
  <c r="DL30" i="30"/>
  <c r="DK30" i="30"/>
  <c r="DJ30" i="30"/>
  <c r="DI30" i="30"/>
  <c r="DH30" i="30"/>
  <c r="DC30" i="30"/>
  <c r="DB30" i="30"/>
  <c r="DA30" i="30"/>
  <c r="CZ30" i="30"/>
  <c r="CW30" i="30"/>
  <c r="CV30" i="30"/>
  <c r="CU30" i="30"/>
  <c r="CT30" i="30"/>
  <c r="CM30" i="30"/>
  <c r="CL30" i="30"/>
  <c r="CK30" i="30"/>
  <c r="CJ30" i="30"/>
  <c r="CI30" i="30"/>
  <c r="CH30" i="30"/>
  <c r="CG30" i="30"/>
  <c r="CF30" i="30"/>
  <c r="CE30" i="30"/>
  <c r="CD30" i="30"/>
  <c r="CC30" i="30"/>
  <c r="CB30" i="30"/>
  <c r="CA30" i="30"/>
  <c r="BZ30" i="30"/>
  <c r="BS30" i="30"/>
  <c r="BR30" i="30"/>
  <c r="AY30" i="30"/>
  <c r="AX30" i="30"/>
  <c r="AW30" i="30"/>
  <c r="AV30" i="30"/>
  <c r="AU30" i="30"/>
  <c r="AT30" i="30"/>
  <c r="AS30" i="30"/>
  <c r="AR30" i="30"/>
  <c r="AK30" i="30"/>
  <c r="AJ30" i="30"/>
  <c r="AI30" i="30"/>
  <c r="AH30" i="30"/>
  <c r="AG30" i="30"/>
  <c r="AF30" i="30"/>
  <c r="NU29" i="30"/>
  <c r="NT29" i="30"/>
  <c r="NS29" i="30"/>
  <c r="NR29" i="30"/>
  <c r="FS29" i="30"/>
  <c r="FR29" i="30"/>
  <c r="FQ29" i="30"/>
  <c r="FP29" i="30"/>
  <c r="FO29" i="30"/>
  <c r="FN29" i="30"/>
  <c r="FM29" i="30"/>
  <c r="FL29" i="30"/>
  <c r="FK29" i="30"/>
  <c r="FJ29" i="30"/>
  <c r="FI29" i="30"/>
  <c r="FH29" i="30"/>
  <c r="FG29" i="30"/>
  <c r="FF29" i="30"/>
  <c r="EY29" i="30"/>
  <c r="EX29" i="30"/>
  <c r="EU29" i="30"/>
  <c r="ET29" i="30"/>
  <c r="ES29" i="30"/>
  <c r="ER29" i="30"/>
  <c r="ED29" i="30"/>
  <c r="EB29" i="30"/>
  <c r="DU29" i="30"/>
  <c r="DT29" i="30"/>
  <c r="DS29" i="30"/>
  <c r="DR29" i="30"/>
  <c r="DQ29" i="30"/>
  <c r="DP29" i="30"/>
  <c r="DM29" i="30"/>
  <c r="DL29" i="30"/>
  <c r="DK29" i="30"/>
  <c r="DJ29" i="30"/>
  <c r="DI29" i="30"/>
  <c r="DH29" i="30"/>
  <c r="DC29" i="30"/>
  <c r="DB29" i="30"/>
  <c r="DA29" i="30"/>
  <c r="CZ29" i="30"/>
  <c r="CW29" i="30"/>
  <c r="CV29" i="30"/>
  <c r="CU29" i="30"/>
  <c r="CT29" i="30"/>
  <c r="CQ29" i="30"/>
  <c r="CP29" i="30"/>
  <c r="CO29" i="30"/>
  <c r="CN29" i="30"/>
  <c r="CK29" i="30"/>
  <c r="CJ29" i="30"/>
  <c r="CI29" i="30"/>
  <c r="CH29" i="30"/>
  <c r="CG29" i="30"/>
  <c r="CF29" i="30"/>
  <c r="CE29" i="30"/>
  <c r="CD29" i="30"/>
  <c r="CC29" i="30"/>
  <c r="CB29" i="30"/>
  <c r="CA29" i="30"/>
  <c r="BZ29" i="30"/>
  <c r="BS29" i="30"/>
  <c r="BR29" i="30"/>
  <c r="AY29" i="30"/>
  <c r="AX29" i="30"/>
  <c r="AW29" i="30"/>
  <c r="AV29" i="30"/>
  <c r="AU29" i="30"/>
  <c r="AT29" i="30"/>
  <c r="AS29" i="30"/>
  <c r="AR29" i="30"/>
  <c r="AK29" i="30"/>
  <c r="AJ29" i="30"/>
  <c r="AI29" i="30"/>
  <c r="AH29" i="30"/>
  <c r="AG29" i="30"/>
  <c r="AF29" i="30"/>
  <c r="NU27" i="30"/>
  <c r="NT27" i="30"/>
  <c r="NS27" i="30"/>
  <c r="NR27" i="30"/>
  <c r="AS27" i="30"/>
  <c r="AR27" i="30"/>
  <c r="NU26" i="30"/>
  <c r="NT26" i="30"/>
  <c r="NS26" i="30"/>
  <c r="NR26" i="30"/>
  <c r="AS26" i="30"/>
  <c r="AR26" i="30"/>
  <c r="NU25" i="30"/>
  <c r="NT25" i="30"/>
  <c r="NS25" i="30"/>
  <c r="NR25" i="30"/>
  <c r="NU24" i="30"/>
  <c r="NT24" i="30"/>
  <c r="NS24" i="30"/>
  <c r="NR24" i="30"/>
  <c r="NU23" i="30"/>
  <c r="NT23" i="30"/>
  <c r="NS23" i="30"/>
  <c r="NR23" i="30"/>
  <c r="AS23" i="30"/>
  <c r="AR23" i="30"/>
  <c r="NU21" i="30"/>
  <c r="NT21" i="30"/>
  <c r="GP21" i="28" s="1"/>
  <c r="FS21" i="30"/>
  <c r="FR21" i="30"/>
  <c r="FQ21" i="30"/>
  <c r="FP21" i="30"/>
  <c r="FO21" i="30"/>
  <c r="FN21" i="30"/>
  <c r="FM21" i="30"/>
  <c r="FL21" i="30"/>
  <c r="FK21" i="30"/>
  <c r="FJ21" i="30"/>
  <c r="FI21" i="30"/>
  <c r="FH21" i="30"/>
  <c r="FG21" i="30"/>
  <c r="FF21" i="30"/>
  <c r="FC21" i="30"/>
  <c r="FB21" i="30"/>
  <c r="FA21" i="30"/>
  <c r="EZ21" i="30"/>
  <c r="EY21" i="30"/>
  <c r="EX21" i="30"/>
  <c r="EW21" i="30"/>
  <c r="EV21" i="30"/>
  <c r="AS21" i="30"/>
  <c r="AR21" i="30"/>
  <c r="NU18" i="30"/>
  <c r="NT18" i="30"/>
  <c r="GP18" i="28" s="1"/>
  <c r="FS18" i="30"/>
  <c r="FR18" i="30"/>
  <c r="FQ18" i="30"/>
  <c r="FP18" i="30"/>
  <c r="FO18" i="30"/>
  <c r="FN18" i="30"/>
  <c r="FM18" i="30"/>
  <c r="FL18" i="30"/>
  <c r="FK18" i="30"/>
  <c r="FJ18" i="30"/>
  <c r="FI18" i="30"/>
  <c r="FH18" i="30"/>
  <c r="FG18" i="30"/>
  <c r="FF18" i="30"/>
  <c r="FC18" i="30"/>
  <c r="FB18" i="30"/>
  <c r="FA18" i="30"/>
  <c r="EZ18" i="30"/>
  <c r="EY18" i="30"/>
  <c r="EX18" i="30"/>
  <c r="EW18" i="30"/>
  <c r="EV18" i="30"/>
  <c r="EQ18" i="30"/>
  <c r="EP18" i="30"/>
  <c r="EO18" i="30"/>
  <c r="EN18" i="30"/>
  <c r="EG18" i="30"/>
  <c r="EF18" i="30"/>
  <c r="EE18" i="30"/>
  <c r="ED18" i="30"/>
  <c r="EC18" i="30"/>
  <c r="EB18" i="30"/>
  <c r="EA18" i="30"/>
  <c r="DZ18" i="30"/>
  <c r="DU18" i="30"/>
  <c r="DT18" i="30"/>
  <c r="DS18" i="30"/>
  <c r="DR18" i="30"/>
  <c r="DQ18" i="30"/>
  <c r="DP18" i="30"/>
  <c r="DO18" i="30"/>
  <c r="DN18" i="30"/>
  <c r="DM18" i="30"/>
  <c r="DL18" i="30"/>
  <c r="DK18" i="30"/>
  <c r="DJ18" i="30"/>
  <c r="DI18" i="30"/>
  <c r="DH18" i="30"/>
  <c r="DG18" i="30"/>
  <c r="DF18" i="30"/>
  <c r="DE18" i="30"/>
  <c r="DD18" i="30"/>
  <c r="DC18" i="30"/>
  <c r="DB18" i="30"/>
  <c r="DA18" i="30"/>
  <c r="CZ18" i="30"/>
  <c r="CY18" i="30"/>
  <c r="CX18" i="30"/>
  <c r="CW18" i="30"/>
  <c r="CV18" i="30"/>
  <c r="CU18" i="30"/>
  <c r="CT18" i="30"/>
  <c r="CO18" i="30"/>
  <c r="CN18" i="30"/>
  <c r="CK18" i="30"/>
  <c r="CJ18" i="30"/>
  <c r="CG18" i="30"/>
  <c r="CF18" i="30"/>
  <c r="CE18" i="30"/>
  <c r="CD18" i="30"/>
  <c r="BS18" i="30"/>
  <c r="BR18" i="30"/>
  <c r="AY18" i="30"/>
  <c r="AX18" i="30"/>
  <c r="AW18" i="30"/>
  <c r="AV18" i="30"/>
  <c r="AU18" i="30"/>
  <c r="AT18" i="30"/>
  <c r="AS18" i="30"/>
  <c r="AR18" i="30"/>
  <c r="AK18" i="30"/>
  <c r="AJ18" i="30"/>
  <c r="AA18" i="30"/>
  <c r="Z18" i="30"/>
  <c r="Q18" i="30"/>
  <c r="P18" i="30"/>
  <c r="NU17" i="30"/>
  <c r="NT17" i="30"/>
  <c r="GP17" i="28" s="1"/>
  <c r="FS17" i="30"/>
  <c r="FR17" i="30"/>
  <c r="FQ17" i="30"/>
  <c r="FP17" i="30"/>
  <c r="FO17" i="30"/>
  <c r="FN17" i="30"/>
  <c r="FM17" i="30"/>
  <c r="FL17" i="30"/>
  <c r="FK17" i="30"/>
  <c r="FJ17" i="30"/>
  <c r="FI17" i="30"/>
  <c r="FH17" i="30"/>
  <c r="FG17" i="30"/>
  <c r="FF17" i="30"/>
  <c r="FE17" i="30"/>
  <c r="FD17" i="30"/>
  <c r="FC17" i="30"/>
  <c r="FB17" i="30"/>
  <c r="FA17" i="30"/>
  <c r="EZ17" i="30"/>
  <c r="EY17" i="30"/>
  <c r="EX17" i="30"/>
  <c r="EW17" i="30"/>
  <c r="EV17" i="30"/>
  <c r="EQ17" i="30"/>
  <c r="EP17" i="30"/>
  <c r="EO17" i="30"/>
  <c r="EN17" i="30"/>
  <c r="EG17" i="30"/>
  <c r="EF17" i="30"/>
  <c r="EE17" i="30"/>
  <c r="ED17" i="30"/>
  <c r="EC17" i="30"/>
  <c r="EB17" i="30"/>
  <c r="EA17" i="30"/>
  <c r="DZ17" i="30"/>
  <c r="DU17" i="30"/>
  <c r="DT17" i="30"/>
  <c r="DS17" i="30"/>
  <c r="DR17" i="30"/>
  <c r="DQ17" i="30"/>
  <c r="DP17" i="30"/>
  <c r="DO17" i="30"/>
  <c r="DN17" i="30"/>
  <c r="DM17" i="30"/>
  <c r="DL17" i="30"/>
  <c r="DK17" i="30"/>
  <c r="DJ17" i="30"/>
  <c r="DI17" i="30"/>
  <c r="DH17" i="30"/>
  <c r="DG17" i="30"/>
  <c r="DF17" i="30"/>
  <c r="DE17" i="30"/>
  <c r="DD17" i="30"/>
  <c r="DC17" i="30"/>
  <c r="DB17" i="30"/>
  <c r="DA17" i="30"/>
  <c r="CZ17" i="30"/>
  <c r="CY17" i="30"/>
  <c r="CX17" i="30"/>
  <c r="CW17" i="30"/>
  <c r="CV17" i="30"/>
  <c r="CO17" i="30"/>
  <c r="CN17" i="30"/>
  <c r="CK17" i="30"/>
  <c r="CJ17" i="30"/>
  <c r="CG17" i="30"/>
  <c r="CF17" i="30"/>
  <c r="CE17" i="30"/>
  <c r="CD17" i="30"/>
  <c r="BS17" i="30"/>
  <c r="BR17" i="30"/>
  <c r="AY17" i="30"/>
  <c r="AX17" i="30"/>
  <c r="AW17" i="30"/>
  <c r="AV17" i="30"/>
  <c r="AU17" i="30"/>
  <c r="AT17" i="30"/>
  <c r="AS17" i="30"/>
  <c r="AR17" i="30"/>
  <c r="AK17" i="30"/>
  <c r="AJ17" i="30"/>
  <c r="AA17" i="30"/>
  <c r="Z17" i="30"/>
  <c r="Q17" i="30"/>
  <c r="P17" i="30"/>
  <c r="NU12" i="30"/>
  <c r="NT12" i="30"/>
  <c r="NS12" i="30"/>
  <c r="NR12" i="30"/>
  <c r="FS12" i="30"/>
  <c r="FR12" i="30"/>
  <c r="FQ12" i="30"/>
  <c r="FP12" i="30"/>
  <c r="FO12" i="30"/>
  <c r="FN12" i="30"/>
  <c r="FM12" i="30"/>
  <c r="FL12" i="30"/>
  <c r="FK12" i="30"/>
  <c r="FJ12" i="30"/>
  <c r="FI12" i="30"/>
  <c r="FH12" i="30"/>
  <c r="FG12" i="30"/>
  <c r="FF12" i="30"/>
  <c r="FC12" i="30"/>
  <c r="FB12" i="30"/>
  <c r="FA12" i="30"/>
  <c r="EZ12" i="30"/>
  <c r="EY12" i="30"/>
  <c r="EX12" i="30"/>
  <c r="EW12" i="30"/>
  <c r="EV12" i="30"/>
  <c r="EG12" i="30"/>
  <c r="EF12" i="30"/>
  <c r="EE12" i="30"/>
  <c r="ED12" i="30"/>
  <c r="EC12" i="30"/>
  <c r="EB12" i="30"/>
  <c r="EA12" i="30"/>
  <c r="DZ12" i="30"/>
  <c r="DU12" i="30"/>
  <c r="DT12" i="30"/>
  <c r="DS12" i="30"/>
  <c r="DR12" i="30"/>
  <c r="DQ12" i="30"/>
  <c r="DP12" i="30"/>
  <c r="DO12" i="30"/>
  <c r="DN12" i="30"/>
  <c r="DM12" i="30"/>
  <c r="DL12" i="30"/>
  <c r="DK12" i="30"/>
  <c r="DJ12" i="30"/>
  <c r="DI12" i="30"/>
  <c r="DH12" i="30"/>
  <c r="DC12" i="30"/>
  <c r="DB12" i="30"/>
  <c r="DA12" i="30"/>
  <c r="CZ12" i="30"/>
  <c r="CY12" i="30"/>
  <c r="CX12" i="30"/>
  <c r="CW12" i="30"/>
  <c r="CV12" i="30"/>
  <c r="CU12" i="30"/>
  <c r="CT12" i="30"/>
  <c r="CS12" i="30"/>
  <c r="CR12" i="30"/>
  <c r="CQ12" i="30"/>
  <c r="CP12" i="30"/>
  <c r="CO12" i="30"/>
  <c r="CN12" i="30"/>
  <c r="CL12" i="30"/>
  <c r="CI12" i="30"/>
  <c r="CH12" i="30"/>
  <c r="CG12" i="30"/>
  <c r="CF12" i="30"/>
  <c r="CE12" i="30"/>
  <c r="CD12" i="30"/>
  <c r="CC12" i="30"/>
  <c r="CB12" i="30"/>
  <c r="CA12" i="30"/>
  <c r="BZ12" i="30"/>
  <c r="AY12" i="30"/>
  <c r="AX12" i="30"/>
  <c r="AW12" i="30"/>
  <c r="AV12" i="30"/>
  <c r="AU12" i="30"/>
  <c r="AT12" i="30"/>
  <c r="AS12" i="30"/>
  <c r="AR12" i="30"/>
  <c r="NU11" i="30"/>
  <c r="NT11" i="30"/>
  <c r="NS11" i="30"/>
  <c r="NR11" i="30"/>
  <c r="FS11" i="30"/>
  <c r="FR11" i="30"/>
  <c r="FQ11" i="30"/>
  <c r="FP11" i="30"/>
  <c r="FO11" i="30"/>
  <c r="FN11" i="30"/>
  <c r="FM11" i="30"/>
  <c r="FL11" i="30"/>
  <c r="FK11" i="30"/>
  <c r="FJ11" i="30"/>
  <c r="FI11" i="30"/>
  <c r="FH11" i="30"/>
  <c r="FG11" i="30"/>
  <c r="FF11" i="30"/>
  <c r="FC11" i="30"/>
  <c r="FB11" i="30"/>
  <c r="FA11" i="30"/>
  <c r="EZ11" i="30"/>
  <c r="EY11" i="30"/>
  <c r="EX11" i="30"/>
  <c r="EW11" i="30"/>
  <c r="EV11" i="30"/>
  <c r="EG11" i="30"/>
  <c r="EF11" i="30"/>
  <c r="EE11" i="30"/>
  <c r="ED11" i="30"/>
  <c r="EA11" i="30"/>
  <c r="DZ11" i="30"/>
  <c r="DU11" i="30"/>
  <c r="DT11" i="30"/>
  <c r="DS11" i="30"/>
  <c r="DR11" i="30"/>
  <c r="DQ11" i="30"/>
  <c r="DP11" i="30"/>
  <c r="DO11" i="30"/>
  <c r="DN11" i="30"/>
  <c r="DM11" i="30"/>
  <c r="DL11" i="30"/>
  <c r="DK11" i="30"/>
  <c r="DJ11" i="30"/>
  <c r="DI11" i="30"/>
  <c r="DH11" i="30"/>
  <c r="DC11" i="30"/>
  <c r="DB11" i="30"/>
  <c r="CW11" i="30"/>
  <c r="CV11" i="30"/>
  <c r="CS11" i="30"/>
  <c r="CR11" i="30"/>
  <c r="CE11" i="30"/>
  <c r="CD11" i="30"/>
  <c r="AY11" i="30"/>
  <c r="AX11" i="30"/>
  <c r="AW11" i="30"/>
  <c r="AV11" i="30"/>
  <c r="AU11" i="30"/>
  <c r="AT11" i="30"/>
  <c r="AS11" i="30"/>
  <c r="AR11" i="30"/>
  <c r="AS10" i="30"/>
  <c r="AR10" i="30"/>
  <c r="NU9" i="30"/>
  <c r="NT9" i="30"/>
  <c r="NS9" i="30"/>
  <c r="NR9" i="30"/>
  <c r="GY9" i="30"/>
  <c r="GX9" i="30"/>
  <c r="FS9" i="30"/>
  <c r="FR9" i="30"/>
  <c r="FQ9" i="30"/>
  <c r="FP9" i="30"/>
  <c r="FO9" i="30"/>
  <c r="FN9" i="30"/>
  <c r="FM9" i="30"/>
  <c r="FL9" i="30"/>
  <c r="FK9" i="30"/>
  <c r="FJ9" i="30"/>
  <c r="FI9" i="30"/>
  <c r="FH9" i="30"/>
  <c r="FG9" i="30"/>
  <c r="FF9" i="30"/>
  <c r="FE9" i="30"/>
  <c r="FD9" i="30"/>
  <c r="FC9" i="30"/>
  <c r="FB9" i="30"/>
  <c r="FA9" i="30"/>
  <c r="EZ9" i="30"/>
  <c r="EY9" i="30"/>
  <c r="EX9" i="30"/>
  <c r="EW9" i="30"/>
  <c r="EV9" i="30"/>
  <c r="EU9" i="30"/>
  <c r="ET9" i="30"/>
  <c r="ES9" i="30"/>
  <c r="ER9" i="30"/>
  <c r="EQ9" i="30"/>
  <c r="EP9" i="30"/>
  <c r="EO9" i="30"/>
  <c r="EN9" i="30"/>
  <c r="EM9" i="30"/>
  <c r="EL9" i="30"/>
  <c r="EI9" i="30"/>
  <c r="EH9" i="30"/>
  <c r="EG9" i="30"/>
  <c r="EF9" i="30"/>
  <c r="EE9" i="30"/>
  <c r="ED9" i="30"/>
  <c r="EC9" i="30"/>
  <c r="EB9" i="30"/>
  <c r="EA9" i="30"/>
  <c r="DZ9" i="30"/>
  <c r="DY9" i="30"/>
  <c r="DX9" i="30"/>
  <c r="DW9" i="30"/>
  <c r="DV9" i="30"/>
  <c r="DU9" i="30"/>
  <c r="DT9" i="30"/>
  <c r="DS9" i="30"/>
  <c r="DR9" i="30"/>
  <c r="DQ9" i="30"/>
  <c r="DP9" i="30"/>
  <c r="DO9" i="30"/>
  <c r="DN9" i="30"/>
  <c r="DM9" i="30"/>
  <c r="DL9" i="30"/>
  <c r="DK9" i="30"/>
  <c r="DJ9" i="30"/>
  <c r="DI9" i="30"/>
  <c r="DH9" i="30"/>
  <c r="DG9" i="30"/>
  <c r="DF9" i="30"/>
  <c r="DE9" i="30"/>
  <c r="DD9" i="30"/>
  <c r="DC9" i="30"/>
  <c r="DB9" i="30"/>
  <c r="DA9" i="30"/>
  <c r="CZ9" i="30"/>
  <c r="CY9" i="30"/>
  <c r="CX9" i="30"/>
  <c r="CW9" i="30"/>
  <c r="CV9" i="30"/>
  <c r="CU9" i="30"/>
  <c r="CT9" i="30"/>
  <c r="CS9" i="30"/>
  <c r="CR9" i="30"/>
  <c r="CQ9" i="30"/>
  <c r="CP9" i="30"/>
  <c r="CO9" i="30"/>
  <c r="CN9" i="30"/>
  <c r="CM9" i="30"/>
  <c r="CL9" i="30"/>
  <c r="CK9" i="30"/>
  <c r="CJ9" i="30"/>
  <c r="CI9" i="30"/>
  <c r="CH9" i="30"/>
  <c r="CG9" i="30"/>
  <c r="CF9" i="30"/>
  <c r="CE9" i="30"/>
  <c r="CD9" i="30"/>
  <c r="CC9" i="30"/>
  <c r="CB9" i="30"/>
  <c r="CA9" i="30"/>
  <c r="BZ9" i="30"/>
  <c r="BS9" i="30"/>
  <c r="BR9" i="30"/>
  <c r="AY9" i="30"/>
  <c r="AX9" i="30"/>
  <c r="AW9" i="30"/>
  <c r="AV9" i="30"/>
  <c r="AU9" i="30"/>
  <c r="AT9" i="30"/>
  <c r="AS9" i="30"/>
  <c r="AR9" i="30"/>
  <c r="AK9" i="30"/>
  <c r="AJ9" i="30"/>
  <c r="AI9" i="30"/>
  <c r="AH9" i="30"/>
  <c r="AG9" i="30"/>
  <c r="AF9" i="30"/>
  <c r="AA9" i="30"/>
  <c r="Z9" i="30"/>
  <c r="Q9" i="30"/>
  <c r="P9" i="30"/>
  <c r="GY7" i="30"/>
  <c r="GX7" i="30"/>
  <c r="FS7" i="30"/>
  <c r="FR7" i="30"/>
  <c r="FQ7" i="30"/>
  <c r="FP7" i="30"/>
  <c r="FO7" i="30"/>
  <c r="FN7" i="30"/>
  <c r="FM7" i="30"/>
  <c r="FL7" i="30"/>
  <c r="FK7" i="30"/>
  <c r="FJ7" i="30"/>
  <c r="FI7" i="30"/>
  <c r="FH7" i="30"/>
  <c r="FG7" i="30"/>
  <c r="FF7" i="30"/>
  <c r="FC7" i="30"/>
  <c r="FB7" i="30"/>
  <c r="FA7" i="30"/>
  <c r="EZ7" i="30"/>
  <c r="EY7" i="30"/>
  <c r="EX7" i="30"/>
  <c r="EW7" i="30"/>
  <c r="EV7" i="30"/>
  <c r="EU7" i="30"/>
  <c r="ET7" i="30"/>
  <c r="ES7" i="30"/>
  <c r="ER7" i="30"/>
  <c r="EQ7" i="30"/>
  <c r="EP7" i="30"/>
  <c r="EO7" i="30"/>
  <c r="EN7" i="30"/>
  <c r="EG7" i="30"/>
  <c r="EF7" i="30"/>
  <c r="EE7" i="30"/>
  <c r="ED7" i="30"/>
  <c r="EC7" i="30"/>
  <c r="EB7" i="30"/>
  <c r="EA7" i="30"/>
  <c r="DZ7" i="30"/>
  <c r="DU7" i="30"/>
  <c r="DT7" i="30"/>
  <c r="DQ7" i="30"/>
  <c r="DP7" i="30"/>
  <c r="DO7" i="30"/>
  <c r="DN7" i="30"/>
  <c r="DM7" i="30"/>
  <c r="DL7" i="30"/>
  <c r="DK7" i="30"/>
  <c r="DJ7" i="30"/>
  <c r="DI7" i="30"/>
  <c r="DH7" i="30"/>
  <c r="DG7" i="30"/>
  <c r="DF7" i="30"/>
  <c r="DE7" i="30"/>
  <c r="DD7" i="30"/>
  <c r="DC7" i="30"/>
  <c r="DB7" i="30"/>
  <c r="DA7" i="30"/>
  <c r="CZ7" i="30"/>
  <c r="CY7" i="30"/>
  <c r="CX7" i="30"/>
  <c r="CW7" i="30"/>
  <c r="CV7" i="30"/>
  <c r="CU7" i="30"/>
  <c r="CT7" i="30"/>
  <c r="CS7" i="30"/>
  <c r="CR7" i="30"/>
  <c r="CQ7" i="30"/>
  <c r="CP7" i="30"/>
  <c r="CO7" i="30"/>
  <c r="CN7" i="30"/>
  <c r="CM7" i="30"/>
  <c r="CL7" i="30"/>
  <c r="CK7" i="30"/>
  <c r="CJ7" i="30"/>
  <c r="CI7" i="30"/>
  <c r="CH7" i="30"/>
  <c r="CG7" i="30"/>
  <c r="CF7" i="30"/>
  <c r="CE7" i="30"/>
  <c r="CD7" i="30"/>
  <c r="CC7" i="30"/>
  <c r="CB7" i="30"/>
  <c r="CA7" i="30"/>
  <c r="BZ7" i="30"/>
  <c r="BS7" i="30"/>
  <c r="BR7" i="30"/>
  <c r="AY7" i="30"/>
  <c r="AX7" i="30"/>
  <c r="AW7" i="30"/>
  <c r="AV7" i="30"/>
  <c r="AU7" i="30"/>
  <c r="AT7" i="30"/>
  <c r="AS7" i="30"/>
  <c r="AR7" i="30"/>
  <c r="AK7" i="30"/>
  <c r="AJ7" i="30"/>
  <c r="AI7" i="30"/>
  <c r="AH7" i="30"/>
  <c r="AG7" i="30"/>
  <c r="AF7" i="30"/>
  <c r="AA7" i="30"/>
  <c r="Z7" i="30"/>
  <c r="Q7" i="30"/>
  <c r="P7" i="30"/>
  <c r="GY6" i="30"/>
  <c r="GX6" i="30"/>
  <c r="FS6" i="30"/>
  <c r="FR6" i="30"/>
  <c r="FQ6" i="30"/>
  <c r="FP6" i="30"/>
  <c r="FO6" i="30"/>
  <c r="FN6" i="30"/>
  <c r="FM6" i="30"/>
  <c r="FL6" i="30"/>
  <c r="FK6" i="30"/>
  <c r="FJ6" i="30"/>
  <c r="FI6" i="30"/>
  <c r="FH6" i="30"/>
  <c r="FG6" i="30"/>
  <c r="FF6" i="30"/>
  <c r="FC6" i="30"/>
  <c r="FB6" i="30"/>
  <c r="FA6" i="30"/>
  <c r="EZ6" i="30"/>
  <c r="EY6" i="30"/>
  <c r="EX6" i="30"/>
  <c r="EW6" i="30"/>
  <c r="EV6" i="30"/>
  <c r="EU6" i="30"/>
  <c r="ET6" i="30"/>
  <c r="ES6" i="30"/>
  <c r="ER6" i="30"/>
  <c r="EQ6" i="30"/>
  <c r="EP6" i="30"/>
  <c r="EO6" i="30"/>
  <c r="EN6" i="30"/>
  <c r="EG6" i="30"/>
  <c r="EF6" i="30"/>
  <c r="EE6" i="30"/>
  <c r="ED6" i="30"/>
  <c r="EC6" i="30"/>
  <c r="EB6" i="30"/>
  <c r="EA6" i="30"/>
  <c r="DZ6" i="30"/>
  <c r="DU6" i="30"/>
  <c r="DT6" i="30"/>
  <c r="DS6" i="30"/>
  <c r="DR6" i="30"/>
  <c r="DQ6" i="30"/>
  <c r="DP6" i="30"/>
  <c r="DO6" i="30"/>
  <c r="DN6" i="30"/>
  <c r="DM6" i="30"/>
  <c r="DL6" i="30"/>
  <c r="DK6" i="30"/>
  <c r="DJ6" i="30"/>
  <c r="DI6" i="30"/>
  <c r="DH6" i="30"/>
  <c r="DG6" i="30"/>
  <c r="DF6" i="30"/>
  <c r="DE6" i="30"/>
  <c r="DD6" i="30"/>
  <c r="DC6" i="30"/>
  <c r="DB6" i="30"/>
  <c r="DA6" i="30"/>
  <c r="CZ6" i="30"/>
  <c r="CY6" i="30"/>
  <c r="CX6" i="30"/>
  <c r="CW6" i="30"/>
  <c r="CV6" i="30"/>
  <c r="CU6" i="30"/>
  <c r="CT6" i="30"/>
  <c r="CS6" i="30"/>
  <c r="CR6" i="30"/>
  <c r="CQ6" i="30"/>
  <c r="CP6" i="30"/>
  <c r="CO6" i="30"/>
  <c r="CN6" i="30"/>
  <c r="CM6" i="30"/>
  <c r="CL6" i="30"/>
  <c r="CK6" i="30"/>
  <c r="CJ6" i="30"/>
  <c r="CI6" i="30"/>
  <c r="CH6" i="30"/>
  <c r="CG6" i="30"/>
  <c r="CF6" i="30"/>
  <c r="CE6" i="30"/>
  <c r="CD6" i="30"/>
  <c r="CC6" i="30"/>
  <c r="CB6" i="30"/>
  <c r="CA6" i="30"/>
  <c r="BZ6" i="30"/>
  <c r="BS6" i="30"/>
  <c r="BR6" i="30"/>
  <c r="AY6" i="30"/>
  <c r="AX6" i="30"/>
  <c r="AW6" i="30"/>
  <c r="AV6" i="30"/>
  <c r="AU6" i="30"/>
  <c r="AT6" i="30"/>
  <c r="AS6" i="30"/>
  <c r="AR6" i="30"/>
  <c r="AK6" i="30"/>
  <c r="AJ6" i="30"/>
  <c r="AI6" i="30"/>
  <c r="AH6" i="30"/>
  <c r="AG6" i="30"/>
  <c r="AF6" i="30"/>
  <c r="AA6" i="30"/>
  <c r="Z6" i="30"/>
  <c r="Q6" i="30"/>
  <c r="P6" i="30"/>
  <c r="LI5" i="30"/>
  <c r="LH5" i="30"/>
  <c r="LG5" i="30"/>
  <c r="LF5" i="30"/>
  <c r="LE5" i="30"/>
  <c r="LD5" i="30"/>
  <c r="NU4" i="30"/>
  <c r="NT4" i="30"/>
  <c r="NS4" i="30"/>
  <c r="NR4" i="30"/>
  <c r="NQ4" i="30"/>
  <c r="NQ116" i="30" s="1"/>
  <c r="NP4" i="30"/>
  <c r="NN4" i="30"/>
  <c r="NL4" i="30"/>
  <c r="NJ4" i="30"/>
  <c r="NH4" i="30"/>
  <c r="NF4" i="30"/>
  <c r="ND4" i="30"/>
  <c r="NB4" i="30"/>
  <c r="MB4" i="30"/>
  <c r="LZ4" i="30"/>
  <c r="LX4" i="30"/>
  <c r="LV4" i="30"/>
  <c r="LT4" i="30"/>
  <c r="LR4" i="30"/>
  <c r="LP4" i="30"/>
  <c r="LN4" i="30"/>
  <c r="LM4" i="30"/>
  <c r="LM116" i="30" s="1"/>
  <c r="LL4" i="30"/>
  <c r="LJ4" i="30"/>
  <c r="LI4" i="30"/>
  <c r="LH4" i="30"/>
  <c r="LG4" i="30"/>
  <c r="LF4" i="30"/>
  <c r="LE4" i="30"/>
  <c r="LD4" i="30"/>
  <c r="LC4" i="30"/>
  <c r="LC116" i="30" s="1"/>
  <c r="LB4" i="30"/>
  <c r="KQ4" i="30"/>
  <c r="KQ116" i="30" s="1"/>
  <c r="KP4" i="30"/>
  <c r="KO4" i="30"/>
  <c r="KO116" i="30" s="1"/>
  <c r="KN4" i="30"/>
  <c r="KM4" i="30"/>
  <c r="KM116" i="30" s="1"/>
  <c r="KL4" i="30"/>
  <c r="KK4" i="30"/>
  <c r="KK116" i="30" s="1"/>
  <c r="KJ4" i="30"/>
  <c r="KI4" i="30"/>
  <c r="KI116" i="30" s="1"/>
  <c r="KH4" i="30"/>
  <c r="JD4" i="30"/>
  <c r="JB4" i="30"/>
  <c r="IZ4" i="30"/>
  <c r="IX4" i="30"/>
  <c r="GY4" i="30"/>
  <c r="GX4" i="30"/>
  <c r="FS4" i="30"/>
  <c r="FR4" i="30"/>
  <c r="FQ4" i="30"/>
  <c r="FP4" i="30"/>
  <c r="FO4" i="30"/>
  <c r="FN4" i="30"/>
  <c r="FM4" i="30"/>
  <c r="FL4" i="30"/>
  <c r="FK4" i="30"/>
  <c r="FJ4" i="30"/>
  <c r="FI4" i="30"/>
  <c r="FH4" i="30"/>
  <c r="FG4" i="30"/>
  <c r="FF4" i="30"/>
  <c r="FE4" i="30"/>
  <c r="FD4" i="30"/>
  <c r="FC4" i="30"/>
  <c r="FB4" i="30"/>
  <c r="FA4" i="30"/>
  <c r="EZ4" i="30"/>
  <c r="EY4" i="30"/>
  <c r="EX4" i="30"/>
  <c r="EW4" i="30"/>
  <c r="EV4" i="30"/>
  <c r="EU4" i="30"/>
  <c r="ET4" i="30"/>
  <c r="ES4" i="30"/>
  <c r="ER4" i="30"/>
  <c r="EQ4" i="30"/>
  <c r="EP4" i="30"/>
  <c r="EO4" i="30"/>
  <c r="EN4" i="30"/>
  <c r="EM4" i="30"/>
  <c r="EL4" i="30"/>
  <c r="EG4" i="30"/>
  <c r="EF4" i="30"/>
  <c r="EE4" i="30"/>
  <c r="ED4" i="30"/>
  <c r="EC4" i="30"/>
  <c r="EB4" i="30"/>
  <c r="EA4" i="30"/>
  <c r="DZ4" i="30"/>
  <c r="DY4" i="30"/>
  <c r="DX4" i="30"/>
  <c r="DW4" i="30"/>
  <c r="DV4" i="30"/>
  <c r="DU4" i="30"/>
  <c r="DT4" i="30"/>
  <c r="DS4" i="30"/>
  <c r="DR4" i="30"/>
  <c r="DQ4" i="30"/>
  <c r="DP4" i="30"/>
  <c r="DO4" i="30"/>
  <c r="DN4" i="30"/>
  <c r="DM4" i="30"/>
  <c r="DM116" i="30" s="1"/>
  <c r="DL4" i="30"/>
  <c r="DK4" i="30"/>
  <c r="DJ4" i="30"/>
  <c r="DI4" i="30"/>
  <c r="DH4" i="30"/>
  <c r="DG4" i="30"/>
  <c r="DF4" i="30"/>
  <c r="DE4" i="30"/>
  <c r="DE116" i="30" s="1"/>
  <c r="DD4" i="30"/>
  <c r="DC4" i="30"/>
  <c r="DB4" i="30"/>
  <c r="DA4" i="30"/>
  <c r="CZ4" i="30"/>
  <c r="CY4" i="30"/>
  <c r="CX4" i="30"/>
  <c r="CW4" i="30"/>
  <c r="CV4" i="30"/>
  <c r="CU4" i="30"/>
  <c r="CT4" i="30"/>
  <c r="CS4" i="30"/>
  <c r="CR4" i="30"/>
  <c r="CQ4" i="30"/>
  <c r="CP4" i="30"/>
  <c r="CO4" i="30"/>
  <c r="CN4" i="30"/>
  <c r="CM4" i="30"/>
  <c r="CL4" i="30"/>
  <c r="CK4" i="30"/>
  <c r="CJ4" i="30"/>
  <c r="CI4" i="30"/>
  <c r="CH4" i="30"/>
  <c r="CG4" i="30"/>
  <c r="CG116" i="30" s="1"/>
  <c r="CF4" i="30"/>
  <c r="CE4" i="30"/>
  <c r="CD4" i="30"/>
  <c r="CC4" i="30"/>
  <c r="CB4" i="30"/>
  <c r="CA4" i="30"/>
  <c r="BZ4" i="30"/>
  <c r="BS4" i="30"/>
  <c r="BR4" i="30"/>
  <c r="AY4" i="30"/>
  <c r="AX4" i="30"/>
  <c r="AW4" i="30"/>
  <c r="AV4" i="30"/>
  <c r="AU4" i="30"/>
  <c r="AT4" i="30"/>
  <c r="AS4" i="30"/>
  <c r="AR4" i="30"/>
  <c r="AK4" i="30"/>
  <c r="AJ4" i="30"/>
  <c r="AI4" i="30"/>
  <c r="AH4" i="30"/>
  <c r="AG4" i="30"/>
  <c r="AF4" i="30"/>
  <c r="AA4" i="30"/>
  <c r="AA116" i="30" s="1"/>
  <c r="Z4" i="30"/>
  <c r="Q4" i="30"/>
  <c r="P4" i="30"/>
  <c r="GP4" i="28" l="1"/>
  <c r="AO6" i="28"/>
  <c r="BL6" i="28"/>
  <c r="CC6" i="28"/>
  <c r="AD7" i="28"/>
  <c r="BJ7" i="28"/>
  <c r="CF7" i="28"/>
  <c r="AS9" i="28"/>
  <c r="BM9" i="28"/>
  <c r="CH9" i="28"/>
  <c r="AB11" i="28"/>
  <c r="BJ11" i="28"/>
  <c r="CO11" i="28"/>
  <c r="N33" i="28"/>
  <c r="AU33" i="28"/>
  <c r="BK33" i="28"/>
  <c r="CC33" i="28"/>
  <c r="CM33" i="28"/>
  <c r="AB43" i="28"/>
  <c r="AS48" i="28"/>
  <c r="BA48" i="28"/>
  <c r="BJ48" i="28"/>
  <c r="BN48" i="28"/>
  <c r="CA48" i="28"/>
  <c r="AC49" i="28"/>
  <c r="AS49" i="28"/>
  <c r="AX49" i="28"/>
  <c r="BS116" i="30"/>
  <c r="FE116" i="30"/>
  <c r="FJ32" i="28"/>
  <c r="W33" i="28"/>
  <c r="AD33" i="28"/>
  <c r="AT33" i="28"/>
  <c r="AY33" i="28"/>
  <c r="BD33" i="28"/>
  <c r="BJ33" i="28"/>
  <c r="BO33" i="28"/>
  <c r="CB33" i="28"/>
  <c r="CF33" i="28"/>
  <c r="CL33" i="28"/>
  <c r="AB38" i="28"/>
  <c r="N48" i="28"/>
  <c r="AB48" i="28"/>
  <c r="AO48" i="28"/>
  <c r="AZ48" i="28"/>
  <c r="BE48" i="28"/>
  <c r="BI48" i="28"/>
  <c r="BM48" i="28"/>
  <c r="BZ48" i="28"/>
  <c r="AB49" i="28"/>
  <c r="AO49" i="28"/>
  <c r="AW49" i="28"/>
  <c r="BA49" i="28"/>
  <c r="BE49" i="28"/>
  <c r="BN63" i="28"/>
  <c r="BL64" i="28"/>
  <c r="W66" i="28"/>
  <c r="AE66" i="28"/>
  <c r="BK66" i="28"/>
  <c r="V67" i="28"/>
  <c r="AD67" i="28"/>
  <c r="AU67" i="28"/>
  <c r="BD67" i="28"/>
  <c r="BN67" i="28"/>
  <c r="X68" i="28"/>
  <c r="AO68" i="28"/>
  <c r="AV68" i="28"/>
  <c r="AZ68" i="28"/>
  <c r="BD68" i="28"/>
  <c r="BJ68" i="28"/>
  <c r="BN68" i="28"/>
  <c r="BR68" i="28"/>
  <c r="BV68" i="28"/>
  <c r="AB69" i="28"/>
  <c r="AO69" i="28"/>
  <c r="AX69" i="28"/>
  <c r="BB69" i="28"/>
  <c r="BH69" i="28"/>
  <c r="BL69" i="28"/>
  <c r="BP69" i="28"/>
  <c r="BV69" i="28"/>
  <c r="CL69" i="28"/>
  <c r="AC70" i="28"/>
  <c r="AS70" i="28"/>
  <c r="X88" i="28"/>
  <c r="AO88" i="28"/>
  <c r="AV88" i="28"/>
  <c r="BA88" i="28"/>
  <c r="BE88" i="28"/>
  <c r="BI88" i="28"/>
  <c r="BM88" i="28"/>
  <c r="BQ88" i="28"/>
  <c r="BU88" i="28"/>
  <c r="BY88" i="28"/>
  <c r="CE88" i="28"/>
  <c r="CI88" i="28"/>
  <c r="CM88" i="28"/>
  <c r="AB89" i="28"/>
  <c r="S6" i="28"/>
  <c r="BD6" i="28"/>
  <c r="BV6" i="28"/>
  <c r="W7" i="28"/>
  <c r="BF7" i="28"/>
  <c r="CO7" i="28"/>
  <c r="AW9" i="28"/>
  <c r="BI9" i="28"/>
  <c r="BQ9" i="28"/>
  <c r="CD9" i="28"/>
  <c r="AU11" i="28"/>
  <c r="CF11" i="28"/>
  <c r="AY12" i="28"/>
  <c r="GO38" i="28"/>
  <c r="GP38" i="28"/>
  <c r="BF48" i="28"/>
  <c r="AS116" i="30"/>
  <c r="CW116" i="30"/>
  <c r="D4" i="30" a="1"/>
  <c r="D4" i="30" s="1"/>
  <c r="NT116" i="30"/>
  <c r="N6" i="28"/>
  <c r="X6" i="28"/>
  <c r="AE6" i="28"/>
  <c r="AU6" i="28"/>
  <c r="AY6" i="28"/>
  <c r="BC6" i="28"/>
  <c r="BG6" i="28"/>
  <c r="BK6" i="28"/>
  <c r="BO6" i="28"/>
  <c r="BU6" i="28"/>
  <c r="CB6" i="28"/>
  <c r="CF6" i="28"/>
  <c r="CK6" i="28"/>
  <c r="CO6" i="28"/>
  <c r="V7" i="28"/>
  <c r="AC7" i="28"/>
  <c r="AS7" i="28"/>
  <c r="AW7" i="28"/>
  <c r="BA7" i="28"/>
  <c r="BE7" i="28"/>
  <c r="BI7" i="28"/>
  <c r="BM7" i="28"/>
  <c r="BT7" i="28"/>
  <c r="CA7" i="28"/>
  <c r="CE7" i="28"/>
  <c r="CJ7" i="28"/>
  <c r="CN7" i="28"/>
  <c r="S9" i="28"/>
  <c r="AB9" i="28"/>
  <c r="AO9" i="28"/>
  <c r="AV9" i="28"/>
  <c r="AZ9" i="28"/>
  <c r="BD9" i="28"/>
  <c r="BH9" i="28"/>
  <c r="BL9" i="28"/>
  <c r="BP9" i="28"/>
  <c r="BT9" i="28"/>
  <c r="BY9" i="28"/>
  <c r="CC9" i="28"/>
  <c r="CG9" i="28"/>
  <c r="CK9" i="28"/>
  <c r="CO9" i="28"/>
  <c r="AE11" i="28"/>
  <c r="BG11" i="28"/>
  <c r="BM11" i="28"/>
  <c r="BS11" i="28"/>
  <c r="CE11" i="28"/>
  <c r="CJ11" i="28"/>
  <c r="CN11" i="28"/>
  <c r="AB12" i="28"/>
  <c r="AS12" i="28"/>
  <c r="AW12" i="28"/>
  <c r="BU30" i="28"/>
  <c r="EM116" i="30"/>
  <c r="LI116" i="30"/>
  <c r="BC12" i="28"/>
  <c r="BG12" i="28"/>
  <c r="BM12" i="28"/>
  <c r="BS12" i="28"/>
  <c r="CD12" i="28"/>
  <c r="CI12" i="28"/>
  <c r="CM12" i="28"/>
  <c r="AB17" i="28"/>
  <c r="AO17" i="28"/>
  <c r="AZ17" i="28"/>
  <c r="BG17" i="28"/>
  <c r="BK17" i="28"/>
  <c r="BO17" i="28"/>
  <c r="BU17" i="28"/>
  <c r="CD17" i="28"/>
  <c r="CH17" i="28"/>
  <c r="CL17" i="28"/>
  <c r="AB18" i="28"/>
  <c r="AO18" i="28"/>
  <c r="AZ18" i="28"/>
  <c r="BF18" i="28"/>
  <c r="BJ18" i="28"/>
  <c r="BN18" i="28"/>
  <c r="BT18" i="28"/>
  <c r="CA18" i="28"/>
  <c r="CG18" i="28"/>
  <c r="CL18" i="28"/>
  <c r="CF21" i="28"/>
  <c r="CK21" i="28"/>
  <c r="CO21" i="28"/>
  <c r="AB27" i="28"/>
  <c r="W29" i="28"/>
  <c r="AD29" i="28"/>
  <c r="AT29" i="28"/>
  <c r="AX29" i="28"/>
  <c r="BD29" i="28"/>
  <c r="BK29" i="28"/>
  <c r="BP29" i="28"/>
  <c r="CE29" i="28"/>
  <c r="CL29" i="28"/>
  <c r="GO29" i="28"/>
  <c r="GP29" i="28"/>
  <c r="X30" i="28"/>
  <c r="AE30" i="28"/>
  <c r="AU30" i="28"/>
  <c r="AY30" i="28"/>
  <c r="BG30" i="28"/>
  <c r="BN30" i="28"/>
  <c r="CB30" i="28"/>
  <c r="CI30" i="28"/>
  <c r="CM30" i="28"/>
  <c r="W32" i="28"/>
  <c r="AD32" i="28"/>
  <c r="AT32" i="28"/>
  <c r="AX32" i="28"/>
  <c r="BB32" i="28"/>
  <c r="BF32" i="28"/>
  <c r="BK32" i="28"/>
  <c r="BO32" i="28"/>
  <c r="BS32" i="28"/>
  <c r="BW32" i="28"/>
  <c r="CB32" i="28"/>
  <c r="CH32" i="28"/>
  <c r="CL32" i="28"/>
  <c r="BJ49" i="28"/>
  <c r="BN49" i="28"/>
  <c r="BU49" i="28"/>
  <c r="CD49" i="28"/>
  <c r="CI49" i="28"/>
  <c r="CM49" i="28"/>
  <c r="X51" i="28"/>
  <c r="AO51" i="28"/>
  <c r="BJ51" i="28"/>
  <c r="BO51" i="28"/>
  <c r="AD52" i="28"/>
  <c r="BG52" i="28"/>
  <c r="BN52" i="28"/>
  <c r="AB54" i="28"/>
  <c r="AO54" i="28"/>
  <c r="AB55" i="28"/>
  <c r="AO55" i="28"/>
  <c r="BK57" i="28"/>
  <c r="BL58" i="28"/>
  <c r="W61" i="28"/>
  <c r="AE61" i="28"/>
  <c r="AV61" i="28"/>
  <c r="BD61" i="28"/>
  <c r="BK61" i="28"/>
  <c r="BP61" i="28"/>
  <c r="AC62" i="28"/>
  <c r="BJ62" i="28"/>
  <c r="BO62" i="28"/>
  <c r="AU70" i="28"/>
  <c r="AY70" i="28"/>
  <c r="BC70" i="28"/>
  <c r="BG70" i="28"/>
  <c r="BK70" i="28"/>
  <c r="BO70" i="28"/>
  <c r="BU70" i="28"/>
  <c r="CG70" i="28"/>
  <c r="AZ6" i="28"/>
  <c r="CB7" i="28"/>
  <c r="AC12" i="28"/>
  <c r="BF33" i="28"/>
  <c r="S48" i="28"/>
  <c r="BF49" i="28"/>
  <c r="BJ63" i="28"/>
  <c r="BO63" i="28"/>
  <c r="BN64" i="28"/>
  <c r="X66" i="28"/>
  <c r="AO66" i="28"/>
  <c r="BL66" i="28"/>
  <c r="W67" i="28"/>
  <c r="AE67" i="28"/>
  <c r="AV67" i="28"/>
  <c r="BJ67" i="28"/>
  <c r="BO67" i="28"/>
  <c r="AC68" i="28"/>
  <c r="AS68" i="28"/>
  <c r="AW68" i="28"/>
  <c r="BA68" i="28"/>
  <c r="BE68" i="28"/>
  <c r="BK68" i="28"/>
  <c r="BO68" i="28"/>
  <c r="BS68" i="28"/>
  <c r="BY68" i="28"/>
  <c r="AC69" i="28"/>
  <c r="AU69" i="28"/>
  <c r="AY69" i="28"/>
  <c r="BD69" i="28"/>
  <c r="BI69" i="28"/>
  <c r="BM69" i="28"/>
  <c r="BS69" i="28"/>
  <c r="BZ69" i="28"/>
  <c r="CO69" i="28"/>
  <c r="AD70" i="28"/>
  <c r="AC88" i="28"/>
  <c r="AS88" i="28"/>
  <c r="AW88" i="28"/>
  <c r="BB88" i="28"/>
  <c r="BF88" i="28"/>
  <c r="BJ88" i="28"/>
  <c r="BN88" i="28"/>
  <c r="BR88" i="28"/>
  <c r="BV88" i="28"/>
  <c r="CB88" i="28"/>
  <c r="CF88" i="28"/>
  <c r="CJ88" i="28"/>
  <c r="CN88" i="28"/>
  <c r="BB7" i="28"/>
  <c r="CC32" i="28"/>
  <c r="CI32" i="28"/>
  <c r="CM32" i="28"/>
  <c r="BK49" i="28"/>
  <c r="BO49" i="28"/>
  <c r="BV49" i="28"/>
  <c r="CJ49" i="28"/>
  <c r="CN49" i="28"/>
  <c r="AC51" i="28"/>
  <c r="BK51" i="28"/>
  <c r="BJ52" i="28"/>
  <c r="AC54" i="28"/>
  <c r="AX54" i="28"/>
  <c r="AC55" i="28"/>
  <c r="AX55" i="28"/>
  <c r="BL57" i="28"/>
  <c r="BN58" i="28"/>
  <c r="X61" i="28"/>
  <c r="AO61" i="28"/>
  <c r="AW61" i="28"/>
  <c r="BF61" i="28"/>
  <c r="BL61" i="28"/>
  <c r="V62" i="28"/>
  <c r="AD62" i="28"/>
  <c r="BK62" i="28"/>
  <c r="AV70" i="28"/>
  <c r="AZ70" i="28"/>
  <c r="BD70" i="28"/>
  <c r="BH70" i="28"/>
  <c r="BL70" i="28"/>
  <c r="BP70" i="28"/>
  <c r="BV70" i="28"/>
  <c r="CL70" i="28"/>
  <c r="FI5" i="28"/>
  <c r="V6" i="28"/>
  <c r="AS6" i="28"/>
  <c r="BA6" i="28"/>
  <c r="BS6" i="28"/>
  <c r="CD6" i="28"/>
  <c r="CI6" i="28"/>
  <c r="CM6" i="28"/>
  <c r="N7" i="28"/>
  <c r="X7" i="28"/>
  <c r="AE7" i="28"/>
  <c r="AU7" i="28"/>
  <c r="AY7" i="28"/>
  <c r="BG7" i="28"/>
  <c r="BK7" i="28"/>
  <c r="BP7" i="28"/>
  <c r="BV7" i="28"/>
  <c r="CG7" i="28"/>
  <c r="W9" i="28"/>
  <c r="AD9" i="28"/>
  <c r="AT9" i="28"/>
  <c r="BB9" i="28"/>
  <c r="BF9" i="28"/>
  <c r="BR9" i="28"/>
  <c r="CI9" i="28"/>
  <c r="GO9" i="28"/>
  <c r="GP9" i="28"/>
  <c r="AC11" i="28"/>
  <c r="BK11" i="28"/>
  <c r="BO11" i="28"/>
  <c r="CL11" i="28"/>
  <c r="AD12" i="28"/>
  <c r="AU12" i="28"/>
  <c r="BU29" i="28"/>
  <c r="S33" i="28"/>
  <c r="AB33" i="28"/>
  <c r="AO33" i="28"/>
  <c r="AV33" i="28"/>
  <c r="BB33" i="28"/>
  <c r="BG33" i="28"/>
  <c r="BT33" i="28"/>
  <c r="CD33" i="28"/>
  <c r="CJ33" i="28"/>
  <c r="CN33" i="28"/>
  <c r="AB35" i="28"/>
  <c r="GO45" i="28"/>
  <c r="GP45" i="28"/>
  <c r="W48" i="28"/>
  <c r="AD48" i="28"/>
  <c r="AX48" i="28"/>
  <c r="BG48" i="28"/>
  <c r="BK48" i="28"/>
  <c r="BO48" i="28"/>
  <c r="N49" i="28"/>
  <c r="AD49" i="28"/>
  <c r="AT49" i="28"/>
  <c r="AY49" i="28"/>
  <c r="BC49" i="28"/>
  <c r="BK63" i="28"/>
  <c r="BJ64" i="28"/>
  <c r="BO64" i="28"/>
  <c r="AC66" i="28"/>
  <c r="AX66" i="28"/>
  <c r="BN66" i="28"/>
  <c r="X67" i="28"/>
  <c r="AO67" i="28"/>
  <c r="AX67" i="28"/>
  <c r="BK67" i="28"/>
  <c r="V68" i="28"/>
  <c r="AD68" i="28"/>
  <c r="AT68" i="28"/>
  <c r="AX68" i="28"/>
  <c r="BB68" i="28"/>
  <c r="BF68" i="28"/>
  <c r="BL68" i="28"/>
  <c r="BP68" i="28"/>
  <c r="BT68" i="28"/>
  <c r="DE68" i="28"/>
  <c r="AD69" i="28"/>
  <c r="AV69" i="28"/>
  <c r="AZ69" i="28"/>
  <c r="BF69" i="28"/>
  <c r="BJ69" i="28"/>
  <c r="BN69" i="28"/>
  <c r="BT69" i="28"/>
  <c r="X70" i="28"/>
  <c r="AE70" i="28"/>
  <c r="AB83" i="28"/>
  <c r="V88" i="28"/>
  <c r="AD88" i="28"/>
  <c r="AT88" i="28"/>
  <c r="AY88" i="28"/>
  <c r="BC88" i="28"/>
  <c r="BG88" i="28"/>
  <c r="BK88" i="28"/>
  <c r="BO88" i="28"/>
  <c r="BS88" i="28"/>
  <c r="BW88" i="28"/>
  <c r="CC88" i="28"/>
  <c r="CG88" i="28"/>
  <c r="CK88" i="28"/>
  <c r="CO88" i="28"/>
  <c r="AB92" i="28"/>
  <c r="AG116" i="30"/>
  <c r="AU116" i="30"/>
  <c r="CA116" i="30"/>
  <c r="CI116" i="30"/>
  <c r="CQ116" i="30"/>
  <c r="CY116" i="30"/>
  <c r="DG116" i="30"/>
  <c r="DO116" i="30"/>
  <c r="DW116" i="30"/>
  <c r="EE116" i="30"/>
  <c r="EQ116" i="30"/>
  <c r="EY116" i="30"/>
  <c r="FG116" i="30"/>
  <c r="FO116" i="30"/>
  <c r="LE116" i="30"/>
  <c r="BA12" i="28"/>
  <c r="BE12" i="28"/>
  <c r="BK12" i="28"/>
  <c r="BO12" i="28"/>
  <c r="BU12" i="28"/>
  <c r="CF12" i="28"/>
  <c r="CK12" i="28"/>
  <c r="CO12" i="28"/>
  <c r="S17" i="28"/>
  <c r="AD17" i="28"/>
  <c r="AV17" i="28"/>
  <c r="BE17" i="28"/>
  <c r="BI17" i="28"/>
  <c r="BM17" i="28"/>
  <c r="BS17" i="28"/>
  <c r="BZ17" i="28"/>
  <c r="CF17" i="28"/>
  <c r="CJ17" i="28"/>
  <c r="CN17" i="28"/>
  <c r="S18" i="28"/>
  <c r="AD18" i="28"/>
  <c r="AV18" i="28"/>
  <c r="BD18" i="28"/>
  <c r="BH18" i="28"/>
  <c r="BL18" i="28"/>
  <c r="BP18" i="28"/>
  <c r="BV18" i="28"/>
  <c r="CE18" i="28"/>
  <c r="CJ18" i="28"/>
  <c r="CN18" i="28"/>
  <c r="CD21" i="28"/>
  <c r="CI21" i="28"/>
  <c r="CM21" i="28"/>
  <c r="AB23" i="28"/>
  <c r="GO26" i="28"/>
  <c r="GP26" i="28"/>
  <c r="AB29" i="28"/>
  <c r="AO29" i="28"/>
  <c r="AV29" i="28"/>
  <c r="BA29" i="28"/>
  <c r="BG29" i="28"/>
  <c r="BN29" i="28"/>
  <c r="CB29" i="28"/>
  <c r="CJ29" i="28"/>
  <c r="CN29" i="28"/>
  <c r="V30" i="28"/>
  <c r="AC30" i="28"/>
  <c r="AS30" i="28"/>
  <c r="AW30" i="28"/>
  <c r="BD30" i="28"/>
  <c r="BK30" i="28"/>
  <c r="BP30" i="28"/>
  <c r="CE30" i="28"/>
  <c r="CK30" i="28"/>
  <c r="CO30" i="28"/>
  <c r="S32" i="28"/>
  <c r="AB32" i="28"/>
  <c r="AO32" i="28"/>
  <c r="AV32" i="28"/>
  <c r="AZ32" i="28"/>
  <c r="BD32" i="28"/>
  <c r="BH32" i="28"/>
  <c r="BM32" i="28"/>
  <c r="BQ32" i="28"/>
  <c r="BU32" i="28"/>
  <c r="BY32" i="28"/>
  <c r="CE32" i="28"/>
  <c r="CJ32" i="28"/>
  <c r="CN32" i="28"/>
  <c r="BH49" i="28"/>
  <c r="BL49" i="28"/>
  <c r="BP49" i="28"/>
  <c r="BZ49" i="28"/>
  <c r="CF49" i="28"/>
  <c r="CK49" i="28"/>
  <c r="CO49" i="28"/>
  <c r="AD51" i="28"/>
  <c r="AX51" i="28"/>
  <c r="BL51" i="28"/>
  <c r="X52" i="28"/>
  <c r="AO52" i="28"/>
  <c r="BK52" i="28"/>
  <c r="W54" i="28"/>
  <c r="AD54" i="28"/>
  <c r="W55" i="28"/>
  <c r="AD55" i="28"/>
  <c r="BD55" i="28"/>
  <c r="BJ58" i="28"/>
  <c r="BO58" i="28"/>
  <c r="AC61" i="28"/>
  <c r="AS61" i="28"/>
  <c r="AX61" i="28"/>
  <c r="BG61" i="28"/>
  <c r="BN61" i="28"/>
  <c r="W62" i="28"/>
  <c r="AE62" i="28"/>
  <c r="BL62" i="28"/>
  <c r="AW70" i="28"/>
  <c r="BA70" i="28"/>
  <c r="BE70" i="28"/>
  <c r="BI70" i="28"/>
  <c r="BM70" i="28"/>
  <c r="BS70" i="28"/>
  <c r="BZ70" i="28"/>
  <c r="CO70" i="28"/>
  <c r="FH5" i="28"/>
  <c r="AB6" i="28"/>
  <c r="BH6" i="28"/>
  <c r="CG6" i="28"/>
  <c r="DE6" i="28"/>
  <c r="AX7" i="28"/>
  <c r="BN7" i="28"/>
  <c r="CK7" i="28"/>
  <c r="V9" i="28"/>
  <c r="BA9" i="28"/>
  <c r="BU9" i="28"/>
  <c r="CL9" i="28"/>
  <c r="BN11" i="28"/>
  <c r="CK11" i="28"/>
  <c r="AB45" i="28"/>
  <c r="CO116" i="30"/>
  <c r="EC116" i="30"/>
  <c r="AZ12" i="28"/>
  <c r="BD12" i="28"/>
  <c r="BJ12" i="28"/>
  <c r="BN12" i="28"/>
  <c r="BT12" i="28"/>
  <c r="CE12" i="28"/>
  <c r="CJ12" i="28"/>
  <c r="CN12" i="28"/>
  <c r="N17" i="28"/>
  <c r="AC17" i="28"/>
  <c r="AU17" i="28"/>
  <c r="BD17" i="28"/>
  <c r="BH17" i="28"/>
  <c r="BL17" i="28"/>
  <c r="BP17" i="28"/>
  <c r="BV17" i="28"/>
  <c r="CE17" i="28"/>
  <c r="CI17" i="28"/>
  <c r="CM17" i="28"/>
  <c r="N18" i="28"/>
  <c r="AC18" i="28"/>
  <c r="AU18" i="28"/>
  <c r="BC18" i="28"/>
  <c r="BG18" i="28"/>
  <c r="BK18" i="28"/>
  <c r="BO18" i="28"/>
  <c r="BU18" i="28"/>
  <c r="CD18" i="28"/>
  <c r="CI18" i="28"/>
  <c r="CM18" i="28"/>
  <c r="AB21" i="28"/>
  <c r="CG21" i="28"/>
  <c r="CL21" i="28"/>
  <c r="GO24" i="28"/>
  <c r="GP24" i="28"/>
  <c r="AB26" i="28"/>
  <c r="GO27" i="28"/>
  <c r="GP27" i="28"/>
  <c r="X29" i="28"/>
  <c r="AE29" i="28"/>
  <c r="AU29" i="28"/>
  <c r="AZ29" i="28"/>
  <c r="BF29" i="28"/>
  <c r="BL29" i="28"/>
  <c r="BT29" i="28"/>
  <c r="CI29" i="28"/>
  <c r="CM29" i="28"/>
  <c r="AB30" i="28"/>
  <c r="AO30" i="28"/>
  <c r="AV30" i="28"/>
  <c r="BC30" i="28"/>
  <c r="BJ30" i="28"/>
  <c r="BO30" i="28"/>
  <c r="CC30" i="28"/>
  <c r="CJ30" i="28"/>
  <c r="CN30" i="28"/>
  <c r="N32" i="28"/>
  <c r="X32" i="28"/>
  <c r="AE32" i="28"/>
  <c r="AU32" i="28"/>
  <c r="AY32" i="28"/>
  <c r="BC32" i="28"/>
  <c r="BG32" i="28"/>
  <c r="BL32" i="28"/>
  <c r="BP32" i="28"/>
  <c r="BT32" i="28"/>
  <c r="BG49" i="28"/>
  <c r="CE49" i="28"/>
  <c r="AU51" i="28"/>
  <c r="W52" i="28"/>
  <c r="AE52" i="28"/>
  <c r="BO52" i="28"/>
  <c r="AC6" i="28"/>
  <c r="AW6" i="28"/>
  <c r="BE6" i="28"/>
  <c r="BI6" i="28"/>
  <c r="BM6" i="28"/>
  <c r="BZ6" i="28"/>
  <c r="BC7" i="28"/>
  <c r="CC7" i="28"/>
  <c r="CL7" i="28"/>
  <c r="DE7" i="28"/>
  <c r="AX9" i="28"/>
  <c r="BJ9" i="28"/>
  <c r="BN9" i="28"/>
  <c r="BV9" i="28"/>
  <c r="CA9" i="28"/>
  <c r="CE9" i="28"/>
  <c r="CM9" i="28"/>
  <c r="BB11" i="28"/>
  <c r="BV11" i="28"/>
  <c r="CG11" i="28"/>
  <c r="GO11" i="28"/>
  <c r="GP11" i="28"/>
  <c r="FH32" i="28"/>
  <c r="BL33" i="28"/>
  <c r="BC48" i="28"/>
  <c r="CA69" i="28"/>
  <c r="FJ5" i="28"/>
  <c r="W6" i="28"/>
  <c r="AD6" i="28"/>
  <c r="AT6" i="28"/>
  <c r="AX6" i="28"/>
  <c r="BB6" i="28"/>
  <c r="BF6" i="28"/>
  <c r="BJ6" i="28"/>
  <c r="BN6" i="28"/>
  <c r="BT6" i="28"/>
  <c r="CA6" i="28"/>
  <c r="CE6" i="28"/>
  <c r="CJ6" i="28"/>
  <c r="CN6" i="28"/>
  <c r="S7" i="28"/>
  <c r="AB7" i="28"/>
  <c r="AO7" i="28"/>
  <c r="AV7" i="28"/>
  <c r="AZ7" i="28"/>
  <c r="BD7" i="28"/>
  <c r="BH7" i="28"/>
  <c r="BL7" i="28"/>
  <c r="BS7" i="28"/>
  <c r="BZ7" i="28"/>
  <c r="CD7" i="28"/>
  <c r="CI7" i="28"/>
  <c r="CM7" i="28"/>
  <c r="N9" i="28"/>
  <c r="X9" i="28"/>
  <c r="AE9" i="28"/>
  <c r="AU9" i="28"/>
  <c r="AY9" i="28"/>
  <c r="BC9" i="28"/>
  <c r="BG9" i="28"/>
  <c r="BK9" i="28"/>
  <c r="BO9" i="28"/>
  <c r="BS9" i="28"/>
  <c r="CB9" i="28"/>
  <c r="CF9" i="28"/>
  <c r="CJ9" i="28"/>
  <c r="CN9" i="28"/>
  <c r="AD11" i="28"/>
  <c r="BD11" i="28"/>
  <c r="BL11" i="28"/>
  <c r="BP11" i="28"/>
  <c r="CD11" i="28"/>
  <c r="CI11" i="28"/>
  <c r="CM11" i="28"/>
  <c r="AE12" i="28"/>
  <c r="AV12" i="28"/>
  <c r="FI32" i="28"/>
  <c r="V33" i="28"/>
  <c r="AC33" i="28"/>
  <c r="AS33" i="28"/>
  <c r="AX33" i="28"/>
  <c r="BC33" i="28"/>
  <c r="BH33" i="28"/>
  <c r="BN33" i="28"/>
  <c r="BZ33" i="28"/>
  <c r="CE33" i="28"/>
  <c r="CK33" i="28"/>
  <c r="CO33" i="28"/>
  <c r="AB39" i="28"/>
  <c r="AB42" i="28"/>
  <c r="AB44" i="28"/>
  <c r="X48" i="28"/>
  <c r="AE48" i="28"/>
  <c r="AY48" i="28"/>
  <c r="BD48" i="28"/>
  <c r="BH48" i="28"/>
  <c r="BL48" i="28"/>
  <c r="BP48" i="28"/>
  <c r="S49" i="28"/>
  <c r="AE49" i="28"/>
  <c r="AU49" i="28"/>
  <c r="AZ49" i="28"/>
  <c r="BD49" i="28"/>
  <c r="BL63" i="28"/>
  <c r="BK64" i="28"/>
  <c r="V66" i="28"/>
  <c r="AD66" i="28"/>
  <c r="BJ66" i="28"/>
  <c r="BO66" i="28"/>
  <c r="AC67" i="28"/>
  <c r="AS67" i="28"/>
  <c r="BA67" i="28"/>
  <c r="BL67" i="28"/>
  <c r="W68" i="28"/>
  <c r="AE68" i="28"/>
  <c r="AU68" i="28"/>
  <c r="AY68" i="28"/>
  <c r="BC68" i="28"/>
  <c r="BG68" i="28"/>
  <c r="BM68" i="28"/>
  <c r="BQ68" i="28"/>
  <c r="BU68" i="28"/>
  <c r="X69" i="28"/>
  <c r="AE69" i="28"/>
  <c r="AW69" i="28"/>
  <c r="BA69" i="28"/>
  <c r="BG69" i="28"/>
  <c r="BK69" i="28"/>
  <c r="BO69" i="28"/>
  <c r="BU69" i="28"/>
  <c r="CG69" i="28"/>
  <c r="AB70" i="28"/>
  <c r="AO70" i="28"/>
  <c r="W88" i="28"/>
  <c r="AE88" i="28"/>
  <c r="AU88" i="28"/>
  <c r="AZ88" i="28"/>
  <c r="BD88" i="28"/>
  <c r="BH88" i="28"/>
  <c r="BL88" i="28"/>
  <c r="BP88" i="28"/>
  <c r="BT88" i="28"/>
  <c r="BX88" i="28"/>
  <c r="CD88" i="28"/>
  <c r="CH88" i="28"/>
  <c r="CL88" i="28"/>
  <c r="DE88" i="28"/>
  <c r="AB93" i="28"/>
  <c r="AV6" i="28"/>
  <c r="BP6" i="28"/>
  <c r="CL6" i="28"/>
  <c r="AT7" i="28"/>
  <c r="BU7" i="28"/>
  <c r="AC9" i="28"/>
  <c r="BE9" i="28"/>
  <c r="BZ9" i="28"/>
  <c r="DE9" i="28"/>
  <c r="BU11" i="28"/>
  <c r="AT12" i="28"/>
  <c r="DE32" i="28"/>
  <c r="X33" i="28"/>
  <c r="AE33" i="28"/>
  <c r="AZ33" i="28"/>
  <c r="BP33" i="28"/>
  <c r="CI33" i="28"/>
  <c r="AB41" i="28"/>
  <c r="AC48" i="28"/>
  <c r="BB49" i="28"/>
  <c r="BB12" i="28"/>
  <c r="BF12" i="28"/>
  <c r="BL12" i="28"/>
  <c r="BP12" i="28"/>
  <c r="BV12" i="28"/>
  <c r="CG12" i="28"/>
  <c r="CL12" i="28"/>
  <c r="GO12" i="28"/>
  <c r="GP12" i="28"/>
  <c r="X17" i="28"/>
  <c r="AE17" i="28"/>
  <c r="AX17" i="28"/>
  <c r="BF17" i="28"/>
  <c r="BJ17" i="28"/>
  <c r="BN17" i="28"/>
  <c r="BT17" i="28"/>
  <c r="CA17" i="28"/>
  <c r="CG17" i="28"/>
  <c r="CK17" i="28"/>
  <c r="CO17" i="28"/>
  <c r="X18" i="28"/>
  <c r="AE18" i="28"/>
  <c r="AX18" i="28"/>
  <c r="BE18" i="28"/>
  <c r="BI18" i="28"/>
  <c r="BM18" i="28"/>
  <c r="BS18" i="28"/>
  <c r="BZ18" i="28"/>
  <c r="CF18" i="28"/>
  <c r="CK18" i="28"/>
  <c r="CO18" i="28"/>
  <c r="CE21" i="28"/>
  <c r="CJ21" i="28"/>
  <c r="CN21" i="28"/>
  <c r="GO23" i="28"/>
  <c r="GP23" i="28"/>
  <c r="GO25" i="28"/>
  <c r="GP25" i="28"/>
  <c r="V29" i="28"/>
  <c r="AC29" i="28"/>
  <c r="AS29" i="28"/>
  <c r="AW29" i="28"/>
  <c r="BC29" i="28"/>
  <c r="BJ29" i="28"/>
  <c r="BO29" i="28"/>
  <c r="CC29" i="28"/>
  <c r="CK29" i="28"/>
  <c r="CO29" i="28"/>
  <c r="W30" i="28"/>
  <c r="AD30" i="28"/>
  <c r="AT30" i="28"/>
  <c r="AX30" i="28"/>
  <c r="BF30" i="28"/>
  <c r="BL30" i="28"/>
  <c r="BT30" i="28"/>
  <c r="CF30" i="28"/>
  <c r="CL30" i="28"/>
  <c r="GO30" i="28"/>
  <c r="GP30" i="28"/>
  <c r="V32" i="28"/>
  <c r="AC32" i="28"/>
  <c r="AS32" i="28"/>
  <c r="AW32" i="28"/>
  <c r="BA32" i="28"/>
  <c r="BE32" i="28"/>
  <c r="BJ32" i="28"/>
  <c r="BN32" i="28"/>
  <c r="BR32" i="28"/>
  <c r="BV32" i="28"/>
  <c r="BZ32" i="28"/>
  <c r="CG32" i="28"/>
  <c r="CK32" i="28"/>
  <c r="CO32" i="28"/>
  <c r="BI49" i="28"/>
  <c r="BM49" i="28"/>
  <c r="BT49" i="28"/>
  <c r="CA49" i="28"/>
  <c r="CG49" i="28"/>
  <c r="CL49" i="28"/>
  <c r="W51" i="28"/>
  <c r="AE51" i="28"/>
  <c r="BG51" i="28"/>
  <c r="BN51" i="28"/>
  <c r="AC52" i="28"/>
  <c r="AX52" i="28"/>
  <c r="BL52" i="28"/>
  <c r="X54" i="28"/>
  <c r="AE54" i="28"/>
  <c r="X55" i="28"/>
  <c r="AE55" i="28"/>
  <c r="BJ57" i="28"/>
  <c r="BK58" i="28"/>
  <c r="V61" i="28"/>
  <c r="AD61" i="28"/>
  <c r="AU61" i="28"/>
  <c r="AZ61" i="28"/>
  <c r="BJ61" i="28"/>
  <c r="BO61" i="28"/>
  <c r="X62" i="28"/>
  <c r="AO62" i="28"/>
  <c r="BN62" i="28"/>
  <c r="AX70" i="28"/>
  <c r="BB70" i="28"/>
  <c r="BF70" i="28"/>
  <c r="BJ70" i="28"/>
  <c r="BN70" i="28"/>
  <c r="BT70" i="28"/>
  <c r="CA70" i="28"/>
  <c r="P116" i="30"/>
  <c r="N4" i="28"/>
  <c r="AJ116" i="30"/>
  <c r="X4" i="28"/>
  <c r="CD116" i="30"/>
  <c r="AU4" i="28"/>
  <c r="CL116" i="30"/>
  <c r="AY4" i="28"/>
  <c r="DB116" i="30"/>
  <c r="BG4" i="28"/>
  <c r="DJ116" i="30"/>
  <c r="BK4" i="28"/>
  <c r="DZ116" i="30"/>
  <c r="BS4" i="28"/>
  <c r="ET116" i="30"/>
  <c r="CC4" i="28"/>
  <c r="FJ116" i="30"/>
  <c r="CK4" i="28"/>
  <c r="FR116" i="30"/>
  <c r="CO4" i="28"/>
  <c r="KP116" i="30"/>
  <c r="FA4" i="28"/>
  <c r="LH116" i="30"/>
  <c r="FJ4" i="28"/>
  <c r="LT116" i="30"/>
  <c r="FP4" i="28"/>
  <c r="NH116" i="30"/>
  <c r="GJ4" i="28"/>
  <c r="D34" i="30" a="1"/>
  <c r="D34" i="30" s="1"/>
  <c r="AB34" i="28"/>
  <c r="D40" i="30" a="1"/>
  <c r="D40" i="30" s="1"/>
  <c r="AB40" i="28"/>
  <c r="D82" i="30" a="1"/>
  <c r="D82" i="30" s="1"/>
  <c r="AB82" i="28"/>
  <c r="D84" i="30" a="1"/>
  <c r="D84" i="30" s="1"/>
  <c r="AB84" i="28"/>
  <c r="CP116" i="30"/>
  <c r="BA4" i="28"/>
  <c r="AX116" i="30"/>
  <c r="AE4" i="28"/>
  <c r="CT116" i="30"/>
  <c r="BC4" i="28"/>
  <c r="DR116" i="30"/>
  <c r="BO4" i="28"/>
  <c r="EL116" i="30"/>
  <c r="BY4" i="28"/>
  <c r="FB116" i="30"/>
  <c r="CG4" i="28"/>
  <c r="KH116" i="30"/>
  <c r="EW4" i="28"/>
  <c r="D10" i="30" a="1"/>
  <c r="D10" i="30" s="1"/>
  <c r="AB10" i="28"/>
  <c r="Q116" i="30"/>
  <c r="AK116" i="30"/>
  <c r="AY116" i="30"/>
  <c r="CE116" i="30"/>
  <c r="CM116" i="30"/>
  <c r="CU116" i="30"/>
  <c r="DC116" i="30"/>
  <c r="DK116" i="30"/>
  <c r="DS116" i="30"/>
  <c r="EA116" i="30"/>
  <c r="EU116" i="30"/>
  <c r="FC116" i="30"/>
  <c r="FK116" i="30"/>
  <c r="FS116" i="30"/>
  <c r="LV116" i="30"/>
  <c r="FQ4" i="28"/>
  <c r="NJ116" i="30"/>
  <c r="GK4" i="28"/>
  <c r="NU116" i="30"/>
  <c r="FT116" i="30"/>
  <c r="CP32" i="28"/>
  <c r="D85" i="30" a="1"/>
  <c r="D85" i="30" s="1"/>
  <c r="AB85" i="28"/>
  <c r="D90" i="30" a="1"/>
  <c r="D90" i="30" s="1"/>
  <c r="AB90" i="28"/>
  <c r="Z116" i="30"/>
  <c r="S4" i="28"/>
  <c r="AR116" i="30"/>
  <c r="AB4" i="28"/>
  <c r="BR116" i="30"/>
  <c r="AO4" i="28"/>
  <c r="CF116" i="30"/>
  <c r="AV4" i="28"/>
  <c r="CN116" i="30"/>
  <c r="AZ4" i="28"/>
  <c r="CV116" i="30"/>
  <c r="BD4" i="28"/>
  <c r="DD116" i="30"/>
  <c r="BH4" i="28"/>
  <c r="DL116" i="30"/>
  <c r="BL4" i="28"/>
  <c r="DT116" i="30"/>
  <c r="BP4" i="28"/>
  <c r="EB116" i="30"/>
  <c r="BT4" i="28"/>
  <c r="EN116" i="30"/>
  <c r="BZ4" i="28"/>
  <c r="EV116" i="30"/>
  <c r="CD4" i="28"/>
  <c r="FD116" i="30"/>
  <c r="CH4" i="28"/>
  <c r="FL116" i="30"/>
  <c r="CL4" i="28"/>
  <c r="GX116" i="30"/>
  <c r="DE4" i="28"/>
  <c r="KJ116" i="30"/>
  <c r="EX4" i="28"/>
  <c r="LB116" i="30"/>
  <c r="FG4" i="28"/>
  <c r="LJ116" i="30"/>
  <c r="FK4" i="28"/>
  <c r="LX116" i="30"/>
  <c r="FR4" i="28"/>
  <c r="NL116" i="30"/>
  <c r="GL4" i="28"/>
  <c r="DU116" i="30"/>
  <c r="EO116" i="30"/>
  <c r="EW116" i="30"/>
  <c r="FM116" i="30"/>
  <c r="GY116" i="30"/>
  <c r="LL116" i="30"/>
  <c r="FL4" i="28"/>
  <c r="LZ116" i="30"/>
  <c r="FS4" i="28"/>
  <c r="NN116" i="30"/>
  <c r="GM4" i="28"/>
  <c r="EJ116" i="30"/>
  <c r="BX32" i="28"/>
  <c r="AF116" i="30"/>
  <c r="V4" i="28"/>
  <c r="AT116" i="30"/>
  <c r="AC4" i="28"/>
  <c r="BZ116" i="30"/>
  <c r="AS4" i="28"/>
  <c r="CH116" i="30"/>
  <c r="AW4" i="28"/>
  <c r="CX116" i="30"/>
  <c r="BE4" i="28"/>
  <c r="DF116" i="30"/>
  <c r="BI4" i="28"/>
  <c r="DN116" i="30"/>
  <c r="BM4" i="28"/>
  <c r="DV116" i="30"/>
  <c r="BQ4" i="28"/>
  <c r="ED116" i="30"/>
  <c r="BU4" i="28"/>
  <c r="EP116" i="30"/>
  <c r="CA4" i="28"/>
  <c r="EX116" i="30"/>
  <c r="CE4" i="28"/>
  <c r="FF116" i="30"/>
  <c r="CI4" i="28"/>
  <c r="FN116" i="30"/>
  <c r="CM4" i="28"/>
  <c r="IX116" i="30"/>
  <c r="EE4" i="28"/>
  <c r="KL116" i="30"/>
  <c r="EY4" i="28"/>
  <c r="LD116" i="30"/>
  <c r="FH4" i="28"/>
  <c r="MB116" i="30"/>
  <c r="FT4" i="28"/>
  <c r="NP116" i="30"/>
  <c r="GN4" i="28"/>
  <c r="EH116" i="30"/>
  <c r="BW9" i="28"/>
  <c r="IZ116" i="30"/>
  <c r="EF4" i="28"/>
  <c r="LN116" i="30"/>
  <c r="FM4" i="28"/>
  <c r="NB116" i="30"/>
  <c r="GG4" i="28"/>
  <c r="AH116" i="30"/>
  <c r="W4" i="28"/>
  <c r="AV116" i="30"/>
  <c r="AD4" i="28"/>
  <c r="CB116" i="30"/>
  <c r="AT4" i="28"/>
  <c r="CJ116" i="30"/>
  <c r="AX4" i="28"/>
  <c r="CR116" i="30"/>
  <c r="BB4" i="28"/>
  <c r="CZ116" i="30"/>
  <c r="BF4" i="28"/>
  <c r="DH116" i="30"/>
  <c r="BJ4" i="28"/>
  <c r="DP116" i="30"/>
  <c r="BN4" i="28"/>
  <c r="DX116" i="30"/>
  <c r="BR4" i="28"/>
  <c r="EF116" i="30"/>
  <c r="BV4" i="28"/>
  <c r="ER116" i="30"/>
  <c r="CB4" i="28"/>
  <c r="EZ116" i="30"/>
  <c r="CF4" i="28"/>
  <c r="FH116" i="30"/>
  <c r="CJ4" i="28"/>
  <c r="FP116" i="30"/>
  <c r="CN4" i="28"/>
  <c r="JB116" i="30"/>
  <c r="EG4" i="28"/>
  <c r="KN116" i="30"/>
  <c r="EZ4" i="28"/>
  <c r="LF116" i="30"/>
  <c r="FI4" i="28"/>
  <c r="LP116" i="30"/>
  <c r="FN4" i="28"/>
  <c r="ND116" i="30"/>
  <c r="GH4" i="28"/>
  <c r="NR116" i="30"/>
  <c r="GO4" i="28"/>
  <c r="AI116" i="30"/>
  <c r="AW116" i="30"/>
  <c r="CC116" i="30"/>
  <c r="CK116" i="30"/>
  <c r="CS116" i="30"/>
  <c r="DA116" i="30"/>
  <c r="DI116" i="30"/>
  <c r="DQ116" i="30"/>
  <c r="DY116" i="30"/>
  <c r="EG116" i="30"/>
  <c r="ES116" i="30"/>
  <c r="FA116" i="30"/>
  <c r="FI116" i="30"/>
  <c r="FQ116" i="30"/>
  <c r="JD116" i="30"/>
  <c r="EH4" i="28"/>
  <c r="LG116" i="30"/>
  <c r="LR116" i="30"/>
  <c r="FO4" i="28"/>
  <c r="NF116" i="30"/>
  <c r="GI4" i="28"/>
  <c r="NS116" i="30"/>
  <c r="EI116" i="30"/>
  <c r="D74" i="30" a="1"/>
  <c r="D74" i="30" s="1"/>
  <c r="GM74" i="28"/>
  <c r="D89" i="30" a="1"/>
  <c r="D89" i="30" s="1"/>
  <c r="D23" i="30" a="1"/>
  <c r="D23" i="30" s="1"/>
  <c r="D39" i="30" a="1"/>
  <c r="D39" i="30" s="1"/>
  <c r="D42" i="30" a="1"/>
  <c r="D42" i="30" s="1"/>
  <c r="D44" i="30" a="1"/>
  <c r="D44" i="30" s="1"/>
  <c r="D93" i="30" a="1"/>
  <c r="D93" i="30" s="1"/>
  <c r="D25" i="30" a="1"/>
  <c r="D25" i="30" s="1"/>
  <c r="D57" i="30" a="1"/>
  <c r="D57" i="30" s="1"/>
  <c r="D30" i="30" a="1"/>
  <c r="D30" i="30" s="1"/>
  <c r="D54" i="30" a="1"/>
  <c r="D54" i="30" s="1"/>
  <c r="D55" i="30" a="1"/>
  <c r="D55" i="30" s="1"/>
  <c r="D58" i="30" a="1"/>
  <c r="D58" i="30" s="1"/>
  <c r="D51" i="30" a="1"/>
  <c r="D51" i="30" s="1"/>
  <c r="D67" i="30" a="1"/>
  <c r="D67" i="30" s="1"/>
  <c r="D9" i="30" a="1"/>
  <c r="D9" i="30" s="1"/>
  <c r="D66" i="30" a="1"/>
  <c r="D66" i="30" s="1"/>
  <c r="D61" i="30" a="1"/>
  <c r="D61" i="30" s="1"/>
  <c r="D12" i="30" a="1"/>
  <c r="D12" i="30" s="1"/>
  <c r="D38" i="30" a="1"/>
  <c r="D38" i="30" s="1"/>
  <c r="D48" i="30" a="1"/>
  <c r="D48" i="30" s="1"/>
  <c r="D27" i="30" a="1"/>
  <c r="D27" i="30" s="1"/>
  <c r="D29" i="30" a="1"/>
  <c r="D29" i="30" s="1"/>
  <c r="D6" i="30" a="1"/>
  <c r="D6" i="30" s="1"/>
  <c r="D5" i="30" a="1"/>
  <c r="D5" i="30" s="1"/>
  <c r="D11" i="30" a="1"/>
  <c r="D11" i="30" s="1"/>
  <c r="D33" i="30" a="1"/>
  <c r="D33" i="30" s="1"/>
  <c r="D41" i="30" a="1"/>
  <c r="D41" i="30" s="1"/>
  <c r="D43" i="30" a="1"/>
  <c r="D43" i="30" s="1"/>
  <c r="D45" i="30" a="1"/>
  <c r="D45" i="30" s="1"/>
  <c r="D63" i="30" a="1"/>
  <c r="D63" i="30" s="1"/>
  <c r="D17" i="30" a="1"/>
  <c r="D17" i="30" s="1"/>
  <c r="D18" i="30" a="1"/>
  <c r="D18" i="30" s="1"/>
  <c r="D21" i="30" a="1"/>
  <c r="D21" i="30" s="1"/>
  <c r="D24" i="30" a="1"/>
  <c r="D24" i="30" s="1"/>
  <c r="D26" i="30" a="1"/>
  <c r="D26" i="30" s="1"/>
  <c r="D32" i="30" a="1"/>
  <c r="D32" i="30" s="1"/>
  <c r="D52" i="30" a="1"/>
  <c r="D52" i="30" s="1"/>
  <c r="D62" i="30" a="1"/>
  <c r="D62" i="30" s="1"/>
  <c r="D69" i="30" a="1"/>
  <c r="D69" i="30" s="1"/>
  <c r="D7" i="30" a="1"/>
  <c r="D7" i="30" s="1"/>
  <c r="D35" i="30" a="1"/>
  <c r="D35" i="30" s="1"/>
  <c r="D49" i="30" a="1"/>
  <c r="D49" i="30" s="1"/>
  <c r="D64" i="30" a="1"/>
  <c r="D64" i="30" s="1"/>
  <c r="D68" i="30" a="1"/>
  <c r="D68" i="30" s="1"/>
  <c r="D70" i="30" a="1"/>
  <c r="D70" i="30" s="1"/>
  <c r="D83" i="30" a="1"/>
  <c r="D83" i="30" s="1"/>
  <c r="D88" i="30" a="1"/>
  <c r="D88" i="30" s="1"/>
  <c r="D92" i="30" a="1"/>
  <c r="D92" i="3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<sst xmlns="http://schemas.openxmlformats.org/spreadsheetml/2006/main" count="40817" uniqueCount="1473">
  <si>
    <t>Amino acid</t>
  </si>
  <si>
    <t>Glycine</t>
  </si>
  <si>
    <t>β-alanine</t>
  </si>
  <si>
    <t>D-serine</t>
  </si>
  <si>
    <t>L-serine</t>
  </si>
  <si>
    <t>D-cysteine</t>
  </si>
  <si>
    <t>L-cysteine</t>
  </si>
  <si>
    <t>D-aspartic acid</t>
  </si>
  <si>
    <t>L-aspartic acid</t>
  </si>
  <si>
    <t>D-threonine</t>
  </si>
  <si>
    <t>L-threonine</t>
  </si>
  <si>
    <t>ɣ-aminobutyric acid</t>
  </si>
  <si>
    <t>L-ɑ-alanine</t>
  </si>
  <si>
    <t>D-ɑ-alanine</t>
  </si>
  <si>
    <t>ɑ-aminoisobutyric acid</t>
  </si>
  <si>
    <t>D-valine</t>
  </si>
  <si>
    <t>L-valine</t>
  </si>
  <si>
    <t>D-glutamic acid</t>
  </si>
  <si>
    <t>L-glutamic acid</t>
  </si>
  <si>
    <t>D-proline</t>
  </si>
  <si>
    <t>L-proline</t>
  </si>
  <si>
    <t>D-methionine</t>
  </si>
  <si>
    <t>L-methionine</t>
  </si>
  <si>
    <t>D-isovaline</t>
  </si>
  <si>
    <t>L-isovaline</t>
  </si>
  <si>
    <t>D-norvaline</t>
  </si>
  <si>
    <t>L-norvaline</t>
  </si>
  <si>
    <t>ε-aminocaproic acid</t>
  </si>
  <si>
    <t>D-leucine</t>
  </si>
  <si>
    <t>L-leucine</t>
  </si>
  <si>
    <t>D-isoleucine</t>
  </si>
  <si>
    <t>L-isoleucine</t>
  </si>
  <si>
    <t>D-histidine</t>
  </si>
  <si>
    <t>L-histidine</t>
  </si>
  <si>
    <t>D-arginine</t>
  </si>
  <si>
    <t>L-arginine</t>
  </si>
  <si>
    <t>D-phenylalanine</t>
  </si>
  <si>
    <t>L-phenylalanine</t>
  </si>
  <si>
    <t>D-tyrosine</t>
  </si>
  <si>
    <t>L-tyrosine</t>
  </si>
  <si>
    <t>D-tryptophan</t>
  </si>
  <si>
    <t>L-tryptophan</t>
  </si>
  <si>
    <t>Acronym</t>
  </si>
  <si>
    <t>Single measurement</t>
  </si>
  <si>
    <t>Does not apply</t>
  </si>
  <si>
    <t>SD</t>
  </si>
  <si>
    <t>Standard deviation</t>
  </si>
  <si>
    <t>Imilac metal</t>
  </si>
  <si>
    <t>Imilac silicate</t>
  </si>
  <si>
    <t>Canyon Diablo</t>
  </si>
  <si>
    <t>Cape York</t>
  </si>
  <si>
    <t>Main Group Pallasites</t>
  </si>
  <si>
    <t>Iron meteorites group</t>
  </si>
  <si>
    <t>Campo del Cielo</t>
  </si>
  <si>
    <t>tr</t>
  </si>
  <si>
    <t>n.a.</t>
  </si>
  <si>
    <t>n.r.</t>
  </si>
  <si>
    <t>n.d.</t>
  </si>
  <si>
    <t>s.m.</t>
  </si>
  <si>
    <t>bb</t>
  </si>
  <si>
    <t>Detectable but below limit of quanitfication (&lt;0.9 pmol/g)</t>
  </si>
  <si>
    <t>n.s.</t>
  </si>
  <si>
    <t>Not reported</t>
  </si>
  <si>
    <t>D-ɑ-aminobutyric acid</t>
  </si>
  <si>
    <t>L-ɑ-aminobutyric acid</t>
  </si>
  <si>
    <t>D-β-aminobutyric acid</t>
  </si>
  <si>
    <t>L-β-aminobutyric acid</t>
  </si>
  <si>
    <t>Not separated/coelution</t>
  </si>
  <si>
    <t>3-amino-3-methyl butyric acid</t>
  </si>
  <si>
    <t>3-amino-2,2-dimethyl propanoic acid</t>
  </si>
  <si>
    <t>DL-3-amino-2-ethyl propanoic acid</t>
  </si>
  <si>
    <t>DL-4-amino-2-methyl butyric acid</t>
  </si>
  <si>
    <t>DL-4-amino-3-methyl butyric acid</t>
  </si>
  <si>
    <t>5-amino-n-pentanoic acid</t>
  </si>
  <si>
    <t>Not detectable above procedural blank levels (&lt;0.1 pmol/g)</t>
  </si>
  <si>
    <t>b.b.</t>
  </si>
  <si>
    <t>Description</t>
  </si>
  <si>
    <t>Elsila et al. 2021</t>
  </si>
  <si>
    <t>GRO 95577</t>
  </si>
  <si>
    <t>MIL 09001</t>
  </si>
  <si>
    <t>GRA 95229</t>
  </si>
  <si>
    <t>EET 92042</t>
  </si>
  <si>
    <t>QUE 99177</t>
  </si>
  <si>
    <t>Glavin et al. 2010</t>
  </si>
  <si>
    <t>MIL 090001</t>
  </si>
  <si>
    <t>Aponte et al. 2020</t>
  </si>
  <si>
    <t>Martins et al. 2007</t>
  </si>
  <si>
    <t>&lt;0.04</t>
  </si>
  <si>
    <t>&lt;0.03</t>
  </si>
  <si>
    <t>&lt;0.06</t>
  </si>
  <si>
    <t>&lt;0.02</t>
  </si>
  <si>
    <t>&lt;0.01</t>
  </si>
  <si>
    <t>&lt;3.15</t>
  </si>
  <si>
    <t>&lt;2.44</t>
  </si>
  <si>
    <t>&lt;2.13</t>
  </si>
  <si>
    <t>Molar mass (g/mol)</t>
  </si>
  <si>
    <t>MET 01070</t>
  </si>
  <si>
    <t>SCO 06043</t>
  </si>
  <si>
    <t>Murchison</t>
  </si>
  <si>
    <t>Murchison USNM 5453</t>
  </si>
  <si>
    <t>Murchison USNM 6650</t>
  </si>
  <si>
    <t>LEW 90500</t>
  </si>
  <si>
    <t>LON 94102</t>
  </si>
  <si>
    <t>Glavin et al. 2006</t>
  </si>
  <si>
    <t>Asuka 12236</t>
  </si>
  <si>
    <t>EET 96029</t>
  </si>
  <si>
    <t>Glavin et al. 2020a</t>
  </si>
  <si>
    <t>Aguas Zarcas UA 2741</t>
  </si>
  <si>
    <t>Aguas Zarcas UA 2746</t>
  </si>
  <si>
    <t>Paris</t>
  </si>
  <si>
    <t>Martins et al. 2015</t>
  </si>
  <si>
    <t>Glavin et al. 2020b</t>
  </si>
  <si>
    <t>&lt;0.05</t>
  </si>
  <si>
    <t>Classification</t>
  </si>
  <si>
    <t>Ref.</t>
  </si>
  <si>
    <t>Category</t>
  </si>
  <si>
    <t>Iron meteorites</t>
  </si>
  <si>
    <t>USNM 5620 2</t>
  </si>
  <si>
    <t>USNM 1725</t>
  </si>
  <si>
    <t>USNM 5727 25</t>
  </si>
  <si>
    <t>USNM 1333</t>
  </si>
  <si>
    <t>IAB</t>
  </si>
  <si>
    <t>IIIAB</t>
  </si>
  <si>
    <t>CM-type</t>
  </si>
  <si>
    <t>CR 2.0</t>
  </si>
  <si>
    <t>CR 2.7</t>
  </si>
  <si>
    <t>MIL 090657</t>
  </si>
  <si>
    <t>CR 2.8</t>
  </si>
  <si>
    <t>Amount extracted (g)</t>
  </si>
  <si>
    <t>Specific 58, parent 0</t>
  </si>
  <si>
    <t>Specific 29, parent 10</t>
  </si>
  <si>
    <t>Specific 46, parent 10</t>
  </si>
  <si>
    <t>Elsila et al. 2024</t>
  </si>
  <si>
    <t>Specific 16, parent 4</t>
  </si>
  <si>
    <t>Specific 19, parent 12</t>
  </si>
  <si>
    <t>p.c.r.</t>
  </si>
  <si>
    <t>Amino acids identified, but concentration not determined due to interfering peaks or other analytical issues</t>
  </si>
  <si>
    <t>CR-type</t>
  </si>
  <si>
    <t>USNM 5453</t>
  </si>
  <si>
    <t>Chicago Field Museum</t>
  </si>
  <si>
    <t>Aguas Zarcas</t>
  </si>
  <si>
    <t>UA 2741</t>
  </si>
  <si>
    <t>CM 2.7</t>
  </si>
  <si>
    <t>CM 1.0</t>
  </si>
  <si>
    <t>CM 2.0</t>
  </si>
  <si>
    <t>CM 3.0</t>
  </si>
  <si>
    <t>Glavin et al. 2009</t>
  </si>
  <si>
    <t>USNM 6650</t>
  </si>
  <si>
    <t xml:space="preserve">Murchison </t>
  </si>
  <si>
    <t>Murchison-type Carbonaceous Chondrites</t>
  </si>
  <si>
    <t>&lt;0.003</t>
  </si>
  <si>
    <t>&lt;0.004</t>
  </si>
  <si>
    <t>&lt;0.002</t>
  </si>
  <si>
    <t>&lt;0.6</t>
  </si>
  <si>
    <t>&lt;0.12</t>
  </si>
  <si>
    <t>&lt;1.28</t>
  </si>
  <si>
    <t>UA 2746</t>
  </si>
  <si>
    <t>&lt;0.1</t>
  </si>
  <si>
    <t>CI-type</t>
  </si>
  <si>
    <t>Orgueil</t>
  </si>
  <si>
    <t>CI 1.0</t>
  </si>
  <si>
    <t xml:space="preserve">Orgueil </t>
  </si>
  <si>
    <t>n.a</t>
  </si>
  <si>
    <t>&lt;0.26</t>
  </si>
  <si>
    <t>Ivuna</t>
  </si>
  <si>
    <t>Y-86029</t>
  </si>
  <si>
    <t>Y-980115</t>
  </si>
  <si>
    <t>Burton et al. 2009</t>
  </si>
  <si>
    <t>&lt;0.68</t>
  </si>
  <si>
    <t>ALHA77257</t>
  </si>
  <si>
    <t>Specific 145, parent 37</t>
  </si>
  <si>
    <t>EET 83309</t>
  </si>
  <si>
    <t>Specific 56, parent 0</t>
  </si>
  <si>
    <t>LEW 85328</t>
  </si>
  <si>
    <t>Specific 53, parent 43</t>
  </si>
  <si>
    <t>GRA 95205</t>
  </si>
  <si>
    <t>Specific 35, parent 28</t>
  </si>
  <si>
    <t>LAR 04315</t>
  </si>
  <si>
    <t>Specific 49, parent 3</t>
  </si>
  <si>
    <t>ALH 84028</t>
  </si>
  <si>
    <t>Specific 131, parent 29</t>
  </si>
  <si>
    <t>CV-type</t>
  </si>
  <si>
    <t>CV 3.0</t>
  </si>
  <si>
    <t>EET 96026</t>
  </si>
  <si>
    <t>Specific 49, parent 45</t>
  </si>
  <si>
    <t>LAP 02206</t>
  </si>
  <si>
    <t>Specific 29, parent 2</t>
  </si>
  <si>
    <t>GRA 06101</t>
  </si>
  <si>
    <t>LAR 06317</t>
  </si>
  <si>
    <t>Specific 7, parent 3</t>
  </si>
  <si>
    <t>Specific 134, parent 56</t>
  </si>
  <si>
    <t>CO-type</t>
  </si>
  <si>
    <t>CO 3.0</t>
  </si>
  <si>
    <t>ALHA 77307</t>
  </si>
  <si>
    <t>MIL 05013</t>
  </si>
  <si>
    <t>Specific 10, parent 3</t>
  </si>
  <si>
    <t>DOM 08006</t>
  </si>
  <si>
    <t>Specific 17, parent 9</t>
  </si>
  <si>
    <t>ALHA 77257</t>
  </si>
  <si>
    <t>&lt;0.3</t>
  </si>
  <si>
    <t>&lt;0.7</t>
  </si>
  <si>
    <t>&lt;4.1</t>
  </si>
  <si>
    <t>&lt;0.4</t>
  </si>
  <si>
    <t>&lt;0.5</t>
  </si>
  <si>
    <t>&lt;0.8</t>
  </si>
  <si>
    <t>&lt;</t>
  </si>
  <si>
    <t>Allende</t>
  </si>
  <si>
    <t>Burton et al. 2015</t>
  </si>
  <si>
    <t>Vigarano-type Carbonaceous Chondrites</t>
  </si>
  <si>
    <t>&lt;2.7</t>
  </si>
  <si>
    <t xml:space="preserve">tr </t>
  </si>
  <si>
    <t>Ornans-type Carbonaceous Chondrites</t>
  </si>
  <si>
    <t>ALH 85085</t>
  </si>
  <si>
    <t>CH-type</t>
  </si>
  <si>
    <t>CH 3.0</t>
  </si>
  <si>
    <t>PCA 91467</t>
  </si>
  <si>
    <t>PAT 91546</t>
  </si>
  <si>
    <t>MAC 02675</t>
  </si>
  <si>
    <t>MIL 05082</t>
  </si>
  <si>
    <t>MIL 07411</t>
  </si>
  <si>
    <t>CB-type</t>
  </si>
  <si>
    <t>Specific 36, parent 0</t>
  </si>
  <si>
    <t>Specific 34, parent 12</t>
  </si>
  <si>
    <t>Specific 30, parent 0</t>
  </si>
  <si>
    <t>Specific 18, parent 0</t>
  </si>
  <si>
    <t>Specific 16, parent 0</t>
  </si>
  <si>
    <t>Specific 5, parent 0</t>
  </si>
  <si>
    <t>b</t>
  </si>
  <si>
    <t>High-metal type Carbonaceous Chondrites</t>
  </si>
  <si>
    <t>&lt;0.001</t>
  </si>
  <si>
    <t>&lt;0.00001</t>
  </si>
  <si>
    <t>&lt;0.005</t>
  </si>
  <si>
    <t>&lt;0.0008</t>
  </si>
  <si>
    <t>&lt;0.0001</t>
  </si>
  <si>
    <t>&lt;0.00007</t>
  </si>
  <si>
    <t>&lt;0.015</t>
  </si>
  <si>
    <t>&lt;0.13</t>
  </si>
  <si>
    <t>&lt;0.024</t>
  </si>
  <si>
    <t>&lt;0.007</t>
  </si>
  <si>
    <t>&lt;0.011</t>
  </si>
  <si>
    <t>&lt;0.0009</t>
  </si>
  <si>
    <t>&lt;0.0010</t>
  </si>
  <si>
    <t>&lt;0.0017</t>
  </si>
  <si>
    <t>&lt;0.0025</t>
  </si>
  <si>
    <t>&lt;0.008</t>
  </si>
  <si>
    <t xml:space="preserve"> &lt;0.0009</t>
  </si>
  <si>
    <t>&lt;0.0007</t>
  </si>
  <si>
    <t>&lt;0.013</t>
  </si>
  <si>
    <t>&lt;0.034</t>
  </si>
  <si>
    <t>D-4-amino-n-pentanoic acid</t>
  </si>
  <si>
    <t>L-4-amino-n-pentanoic acid</t>
  </si>
  <si>
    <t>&lt;0.25</t>
  </si>
  <si>
    <t>NWA 5956</t>
  </si>
  <si>
    <t>CK-type</t>
  </si>
  <si>
    <t>CK 3.0</t>
  </si>
  <si>
    <t>LAR 04318</t>
  </si>
  <si>
    <t>Specific 0, parent 23</t>
  </si>
  <si>
    <t>CK 4.0</t>
  </si>
  <si>
    <t>ALH 85002</t>
  </si>
  <si>
    <t>Specific 75, parent 88</t>
  </si>
  <si>
    <t>PCA 82500</t>
  </si>
  <si>
    <t>Specific 19, parent 43</t>
  </si>
  <si>
    <t>EET 92002</t>
  </si>
  <si>
    <t xml:space="preserve">Specific 21, parent 46 </t>
  </si>
  <si>
    <t>CK 5.0</t>
  </si>
  <si>
    <t>LEW 87009</t>
  </si>
  <si>
    <t>Specific 38, parent 51</t>
  </si>
  <si>
    <t>CK 6.0</t>
  </si>
  <si>
    <t>LAR 06872</t>
  </si>
  <si>
    <t>Specific 0, parent 13</t>
  </si>
  <si>
    <t>Karoonda-type Carbonaceous Chondrites</t>
  </si>
  <si>
    <t>&lt;0.022</t>
  </si>
  <si>
    <t>&lt;0.11</t>
  </si>
  <si>
    <t>&lt;0.068</t>
  </si>
  <si>
    <t>&lt;0.18</t>
  </si>
  <si>
    <t>&lt;0.038</t>
  </si>
  <si>
    <t>&lt;0.023</t>
  </si>
  <si>
    <t>&lt;0.0078</t>
  </si>
  <si>
    <t>&lt;0.0068</t>
  </si>
  <si>
    <t>&lt;0.42</t>
  </si>
  <si>
    <t>&lt;0.026</t>
  </si>
  <si>
    <t>&lt;0.020</t>
  </si>
  <si>
    <t>&lt;0.014</t>
  </si>
  <si>
    <t>&lt;0.07</t>
  </si>
  <si>
    <t>DOM 14021</t>
  </si>
  <si>
    <t>LAR 12001</t>
  </si>
  <si>
    <t>LAR 06252</t>
  </si>
  <si>
    <t>Simkus et al. 2021</t>
  </si>
  <si>
    <t>Enstatites</t>
  </si>
  <si>
    <t>EH 3.0</t>
  </si>
  <si>
    <t>Enstatite Chondrites</t>
  </si>
  <si>
    <t>Colony</t>
  </si>
  <si>
    <t>Ornans</t>
  </si>
  <si>
    <t>Martins et al. 2012</t>
  </si>
  <si>
    <t>CO 3.4</t>
  </si>
  <si>
    <t>Ordinary Chondrites</t>
  </si>
  <si>
    <t>Chainpur</t>
  </si>
  <si>
    <t>Bishunpur</t>
  </si>
  <si>
    <t>Ordinary</t>
  </si>
  <si>
    <t>L/LL 3.1</t>
  </si>
  <si>
    <t>LL 3.4</t>
  </si>
  <si>
    <t>Aerts et al. 2020</t>
  </si>
  <si>
    <t>ATA01</t>
  </si>
  <si>
    <t>ATA02</t>
  </si>
  <si>
    <t>ATA03</t>
  </si>
  <si>
    <t>ATA04</t>
  </si>
  <si>
    <t>ATA05</t>
  </si>
  <si>
    <t>ATA07</t>
  </si>
  <si>
    <t>ATA08</t>
  </si>
  <si>
    <t>ATA09</t>
  </si>
  <si>
    <t>ATA10</t>
  </si>
  <si>
    <t>ATA11</t>
  </si>
  <si>
    <t>ATA12</t>
  </si>
  <si>
    <t>ATA13</t>
  </si>
  <si>
    <t>ATA14</t>
  </si>
  <si>
    <t>ATA15</t>
  </si>
  <si>
    <t>ATA16</t>
  </si>
  <si>
    <t>l.o.q.</t>
  </si>
  <si>
    <t>l.o.q</t>
  </si>
  <si>
    <t>b.d.</t>
  </si>
  <si>
    <t>7.7.</t>
  </si>
  <si>
    <t>L-lysine</t>
  </si>
  <si>
    <t>Sample ID</t>
  </si>
  <si>
    <t>Location</t>
  </si>
  <si>
    <t>Coordinates</t>
  </si>
  <si>
    <t>Laguna Tuyajto, margin, close to water</t>
  </si>
  <si>
    <t>Laguna Tuyajto, center</t>
  </si>
  <si>
    <t>Salar Laco, margin</t>
  </si>
  <si>
    <t>Salar Laco, center</t>
  </si>
  <si>
    <t>Laguna Tuyajto, margin</t>
  </si>
  <si>
    <t>Salar Aguas Calientes 3, center</t>
  </si>
  <si>
    <t>Salar Aguas Calientes 3, margin</t>
  </si>
  <si>
    <t>Salar de Atacama (Peine Road), margin</t>
  </si>
  <si>
    <t>-23.84926°, -67.42459°</t>
  </si>
  <si>
    <t>-23.84876°, -67.42517°</t>
  </si>
  <si>
    <t>-23.95548°, -67.58775°</t>
  </si>
  <si>
    <t>-23.95332°, -67.59512°</t>
  </si>
  <si>
    <t>-23.95965°, -67.59531°</t>
  </si>
  <si>
    <t>-23.91839°, -67.69846°</t>
  </si>
  <si>
    <t>-23.91834°, -67.69817°</t>
  </si>
  <si>
    <t>-23.65346°, -68.12642°</t>
  </si>
  <si>
    <t>-23.66163°, -67.09688°</t>
  </si>
  <si>
    <t>DGA</t>
  </si>
  <si>
    <t>NOA</t>
  </si>
  <si>
    <t>North of Antofagasta</t>
  </si>
  <si>
    <t>Our study</t>
  </si>
  <si>
    <t>AT02-22</t>
  </si>
  <si>
    <t>AT02-03</t>
  </si>
  <si>
    <t>AT02-28</t>
  </si>
  <si>
    <t>AT02-16</t>
  </si>
  <si>
    <t>AT02-23</t>
  </si>
  <si>
    <t>Tierra Amarilla</t>
  </si>
  <si>
    <t>28°07'04"S 69°55'08"W</t>
  </si>
  <si>
    <t>Kobayashi et al. 2022</t>
  </si>
  <si>
    <t>Copiapó</t>
  </si>
  <si>
    <t>27°01'17"S 70°17'40"W</t>
  </si>
  <si>
    <t>Balmaceda</t>
  </si>
  <si>
    <t>25°03'02"S 69°46'57"W</t>
  </si>
  <si>
    <t>Close to Pampa Anita</t>
  </si>
  <si>
    <t>24°49'01"S 69°47'02"W</t>
  </si>
  <si>
    <t>Yungay</t>
  </si>
  <si>
    <t>24°04'06"S 69°51'58"W</t>
  </si>
  <si>
    <t>Diego de Almagro</t>
  </si>
  <si>
    <t>26°23'11"S 70°04'14"W</t>
  </si>
  <si>
    <t>22°47'46"S 69°36'18"W</t>
  </si>
  <si>
    <t>ATA02-28</t>
  </si>
  <si>
    <t>ATA02-16</t>
  </si>
  <si>
    <t>ATA02-23</t>
  </si>
  <si>
    <t>ATA02-22</t>
  </si>
  <si>
    <t>AT45-A3</t>
  </si>
  <si>
    <t>Yungay Hill</t>
  </si>
  <si>
    <t>Noell et al. 2018</t>
  </si>
  <si>
    <t>n.dt.</t>
  </si>
  <si>
    <t>D-lysine</t>
  </si>
  <si>
    <t>24°03'65"S 69°52'10"W</t>
  </si>
  <si>
    <t>Botta et al. 2008</t>
  </si>
  <si>
    <t>LAP Ice</t>
  </si>
  <si>
    <t>LaPaz ice field</t>
  </si>
  <si>
    <t>Dry Valley</t>
  </si>
  <si>
    <t>77°31'11.9"S 161°51'18.1"E</t>
  </si>
  <si>
    <t>DV soil</t>
  </si>
  <si>
    <t>Mollisol-1</t>
  </si>
  <si>
    <t>Grassland</t>
  </si>
  <si>
    <t>Hailun, Heilongijian, China</t>
  </si>
  <si>
    <t>Hou et al. 2009</t>
  </si>
  <si>
    <t>PC-1</t>
  </si>
  <si>
    <t>PC-3</t>
  </si>
  <si>
    <t>Hydrothermal</t>
  </si>
  <si>
    <t>Fuchida et al. 2014</t>
  </si>
  <si>
    <t>Fuchida et al. 2015</t>
  </si>
  <si>
    <t>Shrub</t>
  </si>
  <si>
    <t>Moor</t>
  </si>
  <si>
    <t>Woodland</t>
  </si>
  <si>
    <t>Mixed Forest</t>
  </si>
  <si>
    <t>Tall Forest</t>
  </si>
  <si>
    <t>Mount Filed National Park, Tasmania</t>
  </si>
  <si>
    <t>42°40'60"S 146°35'4"E</t>
  </si>
  <si>
    <t>42°40'57"S 146°42'16"E</t>
  </si>
  <si>
    <t>Apollo 70011</t>
  </si>
  <si>
    <t>Apollo 72501</t>
  </si>
  <si>
    <t>Apollo 73131</t>
  </si>
  <si>
    <t>Apollo 73241</t>
  </si>
  <si>
    <t>Apollo 78421</t>
  </si>
  <si>
    <t>Apollo 69961</t>
  </si>
  <si>
    <t>Lunar regolith</t>
  </si>
  <si>
    <t>Specific 211, parent 26</t>
  </si>
  <si>
    <t>Specific 59, parent 0</t>
  </si>
  <si>
    <t>Specific 8, parent 0</t>
  </si>
  <si>
    <t>Specific 20, parent 5</t>
  </si>
  <si>
    <t>Specific 150, parent 44</t>
  </si>
  <si>
    <t>Specific 247, parent 234</t>
  </si>
  <si>
    <t>Elsila et al. 2016</t>
  </si>
  <si>
    <t>Apollo 61221</t>
  </si>
  <si>
    <t>Apollo 73141</t>
  </si>
  <si>
    <t>Apollo 76501</t>
  </si>
  <si>
    <t>Apollo 15271</t>
  </si>
  <si>
    <t>Apollo 15261</t>
  </si>
  <si>
    <t>Specific 11, parent 25</t>
  </si>
  <si>
    <t>Specific 25, parent 0</t>
  </si>
  <si>
    <t>Specific 26, parent 16</t>
  </si>
  <si>
    <t>Specific  26, parent 0</t>
  </si>
  <si>
    <t>Specific 33, parent 0</t>
  </si>
  <si>
    <t>Warren 2017</t>
  </si>
  <si>
    <t>Shrubland</t>
  </si>
  <si>
    <t>Rainforest</t>
  </si>
  <si>
    <t>A0106</t>
  </si>
  <si>
    <t>C0107</t>
  </si>
  <si>
    <t>Ryugu asteroid</t>
  </si>
  <si>
    <t>Parker et al. 2023</t>
  </si>
  <si>
    <t>Apollo 73002, 2009</t>
  </si>
  <si>
    <t>Apollo 73002, 2027</t>
  </si>
  <si>
    <t>Apollo 73002, 1</t>
  </si>
  <si>
    <t>Apollo 73001, 2002</t>
  </si>
  <si>
    <t>Apollo 73001, 2033</t>
  </si>
  <si>
    <t>Apollo 73001, 2070</t>
  </si>
  <si>
    <t>Apollo 70180, 10</t>
  </si>
  <si>
    <t>Apollo 72320, 9</t>
  </si>
  <si>
    <t>Apollo 76240, 52</t>
  </si>
  <si>
    <t>Apollo 70181, 196</t>
  </si>
  <si>
    <t>Apollo 72321, 42</t>
  </si>
  <si>
    <t>Apollo 76240</t>
  </si>
  <si>
    <t>Rat paotid gland</t>
  </si>
  <si>
    <t>Rat submandibular gland</t>
  </si>
  <si>
    <t>Siblingual gland</t>
  </si>
  <si>
    <t>Rat-1</t>
  </si>
  <si>
    <t>Rat-2</t>
  </si>
  <si>
    <t>Rat-3</t>
  </si>
  <si>
    <t>N/A</t>
  </si>
  <si>
    <t>Yoshikawa et al. 2022</t>
  </si>
  <si>
    <t>Almahata Sitta</t>
  </si>
  <si>
    <t>Glavin et al. 2010b</t>
  </si>
  <si>
    <t>Glavin et al. 2010a</t>
  </si>
  <si>
    <t>Ajwa-Al Madina</t>
  </si>
  <si>
    <t>Date</t>
  </si>
  <si>
    <t>Nabtat Ali</t>
  </si>
  <si>
    <t>Sukkari</t>
  </si>
  <si>
    <t>Shaihee</t>
  </si>
  <si>
    <t>Ruthana</t>
  </si>
  <si>
    <t>Rushodia</t>
  </si>
  <si>
    <t>Segae-2</t>
  </si>
  <si>
    <t>Barhi-2</t>
  </si>
  <si>
    <t>Barhi-1</t>
  </si>
  <si>
    <t>Segae-1</t>
  </si>
  <si>
    <t>Bells</t>
  </si>
  <si>
    <t>Monroe et al. 2011</t>
  </si>
  <si>
    <t>RAW 264.7 cells</t>
  </si>
  <si>
    <t>Mouse macrophage, peritoneal cavity</t>
  </si>
  <si>
    <t>Mouse-1</t>
  </si>
  <si>
    <t>Mouse-2</t>
  </si>
  <si>
    <t>Kato et al. 2015</t>
  </si>
  <si>
    <t>B02</t>
  </si>
  <si>
    <t>B04</t>
  </si>
  <si>
    <t>B05</t>
  </si>
  <si>
    <t>B06</t>
  </si>
  <si>
    <t>B07</t>
  </si>
  <si>
    <t>B08</t>
  </si>
  <si>
    <t>B09</t>
  </si>
  <si>
    <t>B12</t>
  </si>
  <si>
    <t>Hydrothermal field off Zannone Island</t>
  </si>
  <si>
    <t>Sañé et al. 2020</t>
  </si>
  <si>
    <t>&lt;0.0124</t>
  </si>
  <si>
    <t>&lt;0.0133</t>
  </si>
  <si>
    <t>&lt;0.0109</t>
  </si>
  <si>
    <t>&lt;0.0126</t>
  </si>
  <si>
    <t>&lt;0.0256</t>
  </si>
  <si>
    <t>&lt;0.0171</t>
  </si>
  <si>
    <t>&lt;0.0305</t>
  </si>
  <si>
    <t>&lt;0.0112</t>
  </si>
  <si>
    <t>&lt;0.0095</t>
  </si>
  <si>
    <t>&lt;0.0076</t>
  </si>
  <si>
    <t>&lt;0.0381</t>
  </si>
  <si>
    <t>&lt;0.0038</t>
  </si>
  <si>
    <t>&lt;0.0301</t>
  </si>
  <si>
    <t>&lt;0.0075</t>
  </si>
  <si>
    <t>&lt;0.0084</t>
  </si>
  <si>
    <t>&lt;0.0168</t>
  </si>
  <si>
    <t>&lt;0.0067</t>
  </si>
  <si>
    <t>&lt;0.0085</t>
  </si>
  <si>
    <t>&lt;0.0097</t>
  </si>
  <si>
    <t>&lt;0.0291</t>
  </si>
  <si>
    <t>&lt;0.0048</t>
  </si>
  <si>
    <t>&lt;0.0194</t>
  </si>
  <si>
    <t>&lt;0.0427</t>
  </si>
  <si>
    <t>&lt;0.0034</t>
  </si>
  <si>
    <t>&lt;0.0475</t>
  </si>
  <si>
    <t>&lt;0.0272</t>
  </si>
  <si>
    <t>&lt;0.0042</t>
  </si>
  <si>
    <t>&lt;0.0050</t>
  </si>
  <si>
    <t>&lt;0.44</t>
  </si>
  <si>
    <t>D-β-aminoisobutyric acid</t>
  </si>
  <si>
    <t>L-β-aminoisobutyric acid</t>
  </si>
  <si>
    <t xml:space="preserve">&lt;0.06 </t>
  </si>
  <si>
    <t>&lt;0.08</t>
  </si>
  <si>
    <t>&lt;0.17</t>
  </si>
  <si>
    <t>&lt;49.9</t>
  </si>
  <si>
    <t>DOI</t>
  </si>
  <si>
    <t>Reference</t>
  </si>
  <si>
    <t>https://onlinelibrary.wiley.com/doi/10.1111/j.1945-5100.2010.01132.x</t>
  </si>
  <si>
    <t>https://doi.org/10.1111/maps.13586</t>
  </si>
  <si>
    <t>Name</t>
  </si>
  <si>
    <t>https://doi.org/10.1111/maps.13638</t>
  </si>
  <si>
    <t>https://doi.org/10.1111/j.1945-5100.2007.tb01013.x</t>
  </si>
  <si>
    <t>https://doi.org/10.1111/maps.13560</t>
  </si>
  <si>
    <t>https://doi.org/10.1111/maps.13451</t>
  </si>
  <si>
    <t>https://doi.org/10.1111/maps.12442</t>
  </si>
  <si>
    <t>https://doi.org/10.1111/j.1945-5100.2012.01341.x</t>
  </si>
  <si>
    <t>https://doi.org/10.1111/maps.12063</t>
  </si>
  <si>
    <t>http://dx.doi.org/10.1016/j.polar.2014.05.002</t>
  </si>
  <si>
    <t>https://doi.org/10.1111/maps.12433</t>
  </si>
  <si>
    <t>Chan et al. 2012</t>
  </si>
  <si>
    <t>https://doi.org/10.1111/j.1945-5100.2012.01413.x</t>
  </si>
  <si>
    <t>https://doi.org/10.1111/maps.13757</t>
  </si>
  <si>
    <t>The soluble organic compounds of the Bells meteorite: Not a unique or unusual composition</t>
  </si>
  <si>
    <t>https://doi.org/10.1016/j.gca.2011.09.041</t>
  </si>
  <si>
    <t>https://doi.org/10.1111/j.1945-5100.2010.01094.x</t>
  </si>
  <si>
    <t>Article name</t>
  </si>
  <si>
    <t>https://doi.org/10.1016/j.gca.2023.02.017</t>
  </si>
  <si>
    <t>https://doi.org/10.1029/2023JE008133</t>
  </si>
  <si>
    <t>https://doi.org/10.1016/j.gca.2015.10.008</t>
  </si>
  <si>
    <t>https://doi.org/10.1089/ast.2019.2063</t>
  </si>
  <si>
    <t>https://doi.org/10.1002/elps.201700459</t>
  </si>
  <si>
    <t>Burton et al. 2014a</t>
  </si>
  <si>
    <t>Burton et al. 2014b</t>
  </si>
  <si>
    <t>Sutter's Mill 2</t>
  </si>
  <si>
    <t>Sutter's Mill 12</t>
  </si>
  <si>
    <t>Sutter's Mill 51</t>
  </si>
  <si>
    <t>Murchison 5453</t>
  </si>
  <si>
    <t>Burton et. al 2014b</t>
  </si>
  <si>
    <t>Sutter's Hill 2</t>
  </si>
  <si>
    <t>Sutter's Hill 12</t>
  </si>
  <si>
    <t>Sutter's Hill 51</t>
  </si>
  <si>
    <t xml:space="preserve">DV soil </t>
  </si>
  <si>
    <t>Similar concentration to blank levels and represent maximum values</t>
  </si>
  <si>
    <t>&lt;1.1</t>
  </si>
  <si>
    <t>https://doi.org/10.1111/j.1945-5100.2008.tb01021.x</t>
  </si>
  <si>
    <t>https://doi.org/10.1111/maps.12281</t>
  </si>
  <si>
    <t>n.r</t>
  </si>
  <si>
    <t>https://doi.org/10.1016/j.orggeochem.2019.103960</t>
  </si>
  <si>
    <t>PC-4</t>
  </si>
  <si>
    <t>PC-6</t>
  </si>
  <si>
    <t>Hakurei site, Izena Cauldron</t>
  </si>
  <si>
    <t>Achijah site, Yoron Cauldron</t>
  </si>
  <si>
    <t>27°14.56'N 127°03.97'E</t>
  </si>
  <si>
    <t>27°14.71'N 127°04.01'E</t>
  </si>
  <si>
    <t>27°14.52'N 127°04.00'E</t>
  </si>
  <si>
    <t>27°29.30'N 127°32.078'E</t>
  </si>
  <si>
    <t>Below detection limit</t>
  </si>
  <si>
    <t>D-asparagine</t>
  </si>
  <si>
    <t>L-asparagine</t>
  </si>
  <si>
    <t>https://doi.org/10.1016/j.soilbio.2017.08.030</t>
  </si>
  <si>
    <t>Ultisol</t>
  </si>
  <si>
    <t>Alfisol</t>
  </si>
  <si>
    <t>Inceptisol</t>
  </si>
  <si>
    <t>Mollisol-2</t>
  </si>
  <si>
    <t>Tropical</t>
  </si>
  <si>
    <t>Temperate forest</t>
  </si>
  <si>
    <t>Semi-arid</t>
  </si>
  <si>
    <t>Yingtan, Jiangxi</t>
  </si>
  <si>
    <t>Shenyang, Liaoning</t>
  </si>
  <si>
    <t>Gongzhuling, Jilin</t>
  </si>
  <si>
    <t>115°50' E 28°46' N</t>
  </si>
  <si>
    <t>123°24' E 41°31' N</t>
  </si>
  <si>
    <t>124°40' E 43°36' N</t>
  </si>
  <si>
    <t>126°38' E 47°26' N</t>
  </si>
  <si>
    <t>Polar desert</t>
  </si>
  <si>
    <t>Nonpolar desert</t>
  </si>
  <si>
    <t>https://doi.org/10.1016/j.talanta.2009.07.013</t>
  </si>
  <si>
    <t>b.l.q.</t>
  </si>
  <si>
    <t>D-glutamine</t>
  </si>
  <si>
    <t>https://doi.org/10.1016/j.jpba.2015.04.028</t>
  </si>
  <si>
    <t>Ajwa-Al Medina</t>
  </si>
  <si>
    <t>trans-4-Hydroxy-L-proline</t>
  </si>
  <si>
    <t>trans-5-Hydroxy-L-pipecolic acid</t>
  </si>
  <si>
    <t>D-alloisoleucine</t>
  </si>
  <si>
    <t>L-alloisoleucine</t>
  </si>
  <si>
    <t>1-Aminocyclopropane-1-carboxylic acid</t>
  </si>
  <si>
    <t>L-glutamine</t>
  </si>
  <si>
    <t>D-ornithine</t>
  </si>
  <si>
    <t>L-ornithine</t>
  </si>
  <si>
    <t>Khalas-1</t>
  </si>
  <si>
    <t>Khalas-2</t>
  </si>
  <si>
    <t>https://doi.org/10.1007/s00726-014-1770-7</t>
  </si>
  <si>
    <t>Yoshinawa et al. 2022</t>
  </si>
  <si>
    <t>https://doi.org/10.3390/biology11030390</t>
  </si>
  <si>
    <t>NC</t>
  </si>
  <si>
    <t>Vent Chimney, Suiyo Seamount, Izu-Bonin Arc</t>
  </si>
  <si>
    <t>Takano et al. 2004</t>
  </si>
  <si>
    <t>Takano et al. 2005</t>
  </si>
  <si>
    <t>https://doi.org/10.1246/bcsj.78.638</t>
  </si>
  <si>
    <t>RBT 04262</t>
  </si>
  <si>
    <t>Shergottite</t>
  </si>
  <si>
    <t>Callahan et al. 2013</t>
  </si>
  <si>
    <t>SNC  meteorites</t>
  </si>
  <si>
    <t>&lt;0.0190</t>
  </si>
  <si>
    <t>&lt;0.0485</t>
  </si>
  <si>
    <t>&lt;0.0388</t>
  </si>
  <si>
    <t>&lt;0.0683</t>
  </si>
  <si>
    <t>https://doi.org/10.1111/maps.12103</t>
  </si>
  <si>
    <t>Koga et al. 2017</t>
  </si>
  <si>
    <t>Sarcosine</t>
  </si>
  <si>
    <t>tr.</t>
  </si>
  <si>
    <t>D-homoserine</t>
  </si>
  <si>
    <t>L-homoserine</t>
  </si>
  <si>
    <t>D-allo-threonine</t>
  </si>
  <si>
    <t>L-allo-threonine</t>
  </si>
  <si>
    <t>D-4-Amino-3-hydroxybutyric acid</t>
  </si>
  <si>
    <t>L-4-Amino-3-hydroxybutyric acid</t>
  </si>
  <si>
    <t>DL-4-Amino-2-hydroxybutyric acid</t>
  </si>
  <si>
    <t>D-β-(Aminomethyl)-succinic acid</t>
  </si>
  <si>
    <t>L-β-(Aminomethyl)-succinic acid</t>
  </si>
  <si>
    <t>D-aminoadipic acid</t>
  </si>
  <si>
    <t>L-aminoadipic acid</t>
  </si>
  <si>
    <t>DL-3-Amino-2-(hydroxy-methyl) propanoic acid</t>
  </si>
  <si>
    <t>pH</t>
  </si>
  <si>
    <t>AA Synthesis-1</t>
  </si>
  <si>
    <t>AA Synthesis-2</t>
  </si>
  <si>
    <t>Temperature (°C)</t>
  </si>
  <si>
    <t>Time (days)</t>
  </si>
  <si>
    <t>Volume (μL)</t>
  </si>
  <si>
    <t>water/ammonia/formaldehyde/acetaldehyde (1000/100/10/1)</t>
  </si>
  <si>
    <t>water/ammonia/formaldehyde/acetaldehyde/glycolaldehyde (1000/100/10/1/1)</t>
  </si>
  <si>
    <t>Interstellar clouds simulations</t>
  </si>
  <si>
    <t>https://doi.org/10.1038/s41598-017-00693-9</t>
  </si>
  <si>
    <t>Animalia</t>
  </si>
  <si>
    <t>Plantae</t>
  </si>
  <si>
    <t>Bee-pollen-1</t>
  </si>
  <si>
    <t>Bee-pollen-2</t>
  </si>
  <si>
    <t>Bee-pollen-3</t>
  </si>
  <si>
    <t>Bee-pollen-4</t>
  </si>
  <si>
    <t>Bee-pollen-5</t>
  </si>
  <si>
    <t>Bee-pollen-6</t>
  </si>
  <si>
    <t>Maize</t>
  </si>
  <si>
    <t>Sunflower</t>
  </si>
  <si>
    <t>Multifloral-1</t>
  </si>
  <si>
    <t>Multifloral-2</t>
  </si>
  <si>
    <t>Multifloral-3</t>
  </si>
  <si>
    <t>Multifloral-4</t>
  </si>
  <si>
    <t>Ares et al. 2022</t>
  </si>
  <si>
    <t>l.o.d.</t>
  </si>
  <si>
    <t>https://doi.org/10.1007/s12161-022-02281-8</t>
  </si>
  <si>
    <t>Spirulina sp</t>
  </si>
  <si>
    <t>Bacteria</t>
  </si>
  <si>
    <t>Biomass</t>
  </si>
  <si>
    <t>https://doi.org/10.1007/s10811-023-03168-9</t>
  </si>
  <si>
    <t>Ackee aril</t>
  </si>
  <si>
    <t>Raw ackee aril</t>
  </si>
  <si>
    <t>Origbemisoye et al. 2024</t>
  </si>
  <si>
    <t>https://doi.org/10.1007/s11694-024-02407-y</t>
  </si>
  <si>
    <t>Fly-1</t>
  </si>
  <si>
    <t>Black soldier fly prepupae matter</t>
  </si>
  <si>
    <t>Caligiani et al. 2018</t>
  </si>
  <si>
    <t>https://doi.org/10.1016/j.foodres.2017.12.012</t>
  </si>
  <si>
    <t>Mollusk</t>
  </si>
  <si>
    <t>O. vulgaris brain</t>
  </si>
  <si>
    <t>Amphioxus</t>
  </si>
  <si>
    <t>B. lanceolatum neural tube</t>
  </si>
  <si>
    <t>Human-1</t>
  </si>
  <si>
    <t>H. sapiens hippocampus</t>
  </si>
  <si>
    <t>Pascual-Anaya et al. 2006</t>
  </si>
  <si>
    <t>Fish-1</t>
  </si>
  <si>
    <t>Fish-2</t>
  </si>
  <si>
    <t>Fish-3</t>
  </si>
  <si>
    <t>Fish-4</t>
  </si>
  <si>
    <t>Fish-5</t>
  </si>
  <si>
    <t>Fish-6</t>
  </si>
  <si>
    <t>Herring protein hydrolysates</t>
  </si>
  <si>
    <t>Liceaga-Gesualdo et al. 1999</t>
  </si>
  <si>
    <t>Black tilapia protein hydrolysates</t>
  </si>
  <si>
    <t>Abdul-Hamid et al. 2002</t>
  </si>
  <si>
    <t>Tuna protein hydrolysates</t>
  </si>
  <si>
    <t>Nilsang et al. 2005</t>
  </si>
  <si>
    <t>Grass carp skin protein hydrolysates</t>
  </si>
  <si>
    <t>Wasswa et al. 2007</t>
  </si>
  <si>
    <t>Mackerel defatted protein hydrolysates</t>
  </si>
  <si>
    <t>Alaska pollock frame protein hydrolysates</t>
  </si>
  <si>
    <t>Hou et al. 2011a</t>
  </si>
  <si>
    <t>Hou et al. 2011b</t>
  </si>
  <si>
    <t>Fungi</t>
  </si>
  <si>
    <t>Mushroom-1</t>
  </si>
  <si>
    <t>Mushroom-2</t>
  </si>
  <si>
    <t>Mushroom-3</t>
  </si>
  <si>
    <t>Mushroom-4</t>
  </si>
  <si>
    <t>P.ostreatus</t>
  </si>
  <si>
    <t>A.  Bisporus/brown</t>
  </si>
  <si>
    <t>A.  Bisporus/white</t>
  </si>
  <si>
    <t>L. edodes</t>
  </si>
  <si>
    <t>Mattila et al. 2022</t>
  </si>
  <si>
    <t>Taurine</t>
  </si>
  <si>
    <t>Free amino acids in the nervous system of the amphioxus Branchiostoma lanceolatum. A comparative study</t>
  </si>
  <si>
    <t>https://doi.org/10.7150/ijbs.2.87</t>
  </si>
  <si>
    <t>Mattila et al. 2002</t>
  </si>
  <si>
    <t>https://doi.org/10.1021/jf020608m</t>
  </si>
  <si>
    <t>Basic Composition and Amino Acid Contents of Mushrooms Cultivated in Finland</t>
  </si>
  <si>
    <t>Fish -1</t>
  </si>
  <si>
    <t>Fish -2</t>
  </si>
  <si>
    <t>Fish -3</t>
  </si>
  <si>
    <t>Fish -4</t>
  </si>
  <si>
    <t>Fish -5</t>
  </si>
  <si>
    <t>Fish -6</t>
  </si>
  <si>
    <t>C(C(=O)O)N</t>
  </si>
  <si>
    <t>C(CS(=O)(=O)O)N </t>
  </si>
  <si>
    <t>C[C@H](C(=O)O)N  </t>
  </si>
  <si>
    <t>C[C@@H](C(=O)O)N  </t>
  </si>
  <si>
    <t>C(CN)C(=O)O  </t>
  </si>
  <si>
    <t>CNCC(=O)O </t>
  </si>
  <si>
    <t>C([C@H](C(=O)O)N)O  </t>
  </si>
  <si>
    <t>C([C@@H](C(=O)O)N)O  </t>
  </si>
  <si>
    <t>C([C@H](C(=O)O)N)S  </t>
  </si>
  <si>
    <t>C([C@@H](C(=O)O)N)S  </t>
  </si>
  <si>
    <t>C([C@H](C(=O)O)N)C(=O)O </t>
  </si>
  <si>
    <t>C([C@@H](C(=O)O)N)C(=O)O </t>
  </si>
  <si>
    <t>C[C@@H]([C@H](C(=O)O)N)O  </t>
  </si>
  <si>
    <t xml:space="preserve">C[C@H]([C@@H](C(=O)O)N)O  </t>
  </si>
  <si>
    <t>CC[C@@H](C(=O)O)N </t>
  </si>
  <si>
    <t>C1CC1(C(=O)O)N  </t>
  </si>
  <si>
    <t>C(CN)C(C(=O)O)O </t>
  </si>
  <si>
    <t>CN[C@@H](CO)C(=O)O</t>
  </si>
  <si>
    <t>C(CO)[C@H](C(=O)O)N</t>
  </si>
  <si>
    <t>C(CO)[C@@H](C(=O)O)N  </t>
  </si>
  <si>
    <t>C([C@H](C(=O)O)N)C(=O)N  </t>
  </si>
  <si>
    <t>C([C@@H](C(=O)O)N)C(=O)N  </t>
  </si>
  <si>
    <t>CC(C)[C@H](C(=O)O)N  </t>
  </si>
  <si>
    <t>CC(C)[C@@H](C(=O)O)N</t>
  </si>
  <si>
    <t>CCC[C@@H](C(=O)O)N</t>
  </si>
  <si>
    <t>CCC[C@H](C(=O)O)N  </t>
  </si>
  <si>
    <t>CC(C)(CC(=O)O)N  </t>
  </si>
  <si>
    <t>CC(C)(CN)C(=O)O </t>
  </si>
  <si>
    <t>C(CC(=O)O)[C@H](C(=O)O)N  </t>
  </si>
  <si>
    <t>C(CC(=O)O)[C@@H](C(=O)O)N</t>
  </si>
  <si>
    <t>C1C[C@H](NC1)C(=O)O </t>
  </si>
  <si>
    <t>C1C[C@@H](NC1)C(=O)O  </t>
  </si>
  <si>
    <t>C1[C@H](CN[C@@H]1C(=O)O)O </t>
  </si>
  <si>
    <t>CSCC[C@H](C(=O)O)N  </t>
  </si>
  <si>
    <t>CSCC[C@@H](C(=O)O)N  </t>
  </si>
  <si>
    <t>C(CC(=O)N)[C@H](C(=O)O)N </t>
  </si>
  <si>
    <t>C(CC(=O)N)[C@@H](C(=O)O)N </t>
  </si>
  <si>
    <t>C(C[C@H](C(=O)O)N)CN  </t>
  </si>
  <si>
    <t>C(C[C@@H](C(=O)O)N)CN  </t>
  </si>
  <si>
    <t>C(C[C@H](C(=O)O)N)CC(=O)O </t>
  </si>
  <si>
    <t>C(C[C@@H](C(=O)O)N)CC(=O)O</t>
  </si>
  <si>
    <t>C1C[C@H](NC[C@@H]1O)C(=O)O  </t>
  </si>
  <si>
    <t>CC(C)C[C@H](C(=O)O)N  </t>
  </si>
  <si>
    <t>CC(C)C[C@@H](C(=O)O)N  </t>
  </si>
  <si>
    <t>CC[C@@H](C)[C@H](C(=O)O)N  </t>
  </si>
  <si>
    <t>CC[C@H](C)[C@@H](C(=O)O)N</t>
  </si>
  <si>
    <t>CC[C@H](C)[C@H](C(=O)O)N</t>
  </si>
  <si>
    <t>CC[C@@H](C)[C@@H](C(=O)O)N</t>
  </si>
  <si>
    <t>C(CCN)C[C@H](C(=O)O)N </t>
  </si>
  <si>
    <t>C(CCN)C[C@@H](C(=O)O)N</t>
  </si>
  <si>
    <t>C(C[C@@H](C(=O)O)N)[C@H](CN)O  </t>
  </si>
  <si>
    <t>C1=C(NC=N1)C[C@H](C(=O)O)N  </t>
  </si>
  <si>
    <t>C1=C(NC=N1)C[C@@H](C(=O)O)N </t>
  </si>
  <si>
    <t>C(C[C@H](C(=O)O)N)CN=C(N)N  </t>
  </si>
  <si>
    <t>C(C[C@@H](C(=O)O)N)CN=C(N)N  </t>
  </si>
  <si>
    <t>C1=CC=C(C=C1)C[C@H](C(=O)O)N </t>
  </si>
  <si>
    <t>C1=CC=C(C=C1)C[C@@H](C(=O)O)N</t>
  </si>
  <si>
    <t>C1=CC(=CC=C1C[C@H](C(=O)O)N)O </t>
  </si>
  <si>
    <t>C1=CC(=CC=C1C[C@@H](C(=O)O)N)O </t>
  </si>
  <si>
    <t>C1=CC=C2C(=C1)C(=CN2)C[C@H](C(=O)O)N </t>
  </si>
  <si>
    <t>C1=CC=C2C(=C1)C(=CN2)C[C@@H](C(=O)O)N </t>
  </si>
  <si>
    <t>C(C[C@H](C(=O)O)N)[C@H](CN)O  </t>
  </si>
  <si>
    <t>C(CCC(=O)O)CCN</t>
  </si>
  <si>
    <t>L-pipecolic acid</t>
  </si>
  <si>
    <t>D-pipecolic acid</t>
  </si>
  <si>
    <t>C1CCN[C@H](C1)C(=O)O  </t>
  </si>
  <si>
    <t>C1CCN[C@@H](C1)C(=O)O  </t>
  </si>
  <si>
    <t>C[C@@H]([C@@H](C(=O)O)N)O</t>
  </si>
  <si>
    <t>C[C@H]([C@H](C(=O)O)N)O  </t>
  </si>
  <si>
    <t>CC[C@H](C(=O)O)N </t>
  </si>
  <si>
    <t>C[C@@H](C(=O)O)N</t>
  </si>
  <si>
    <t>C[C@H](C(=O)O)N</t>
  </si>
  <si>
    <t>CC([C@H](N)C(=O)O)C</t>
  </si>
  <si>
    <t>CC([C@@H](N)C(=O)O)C</t>
  </si>
  <si>
    <t>C([C@H](CN)O)C(=O)O</t>
  </si>
  <si>
    <t>C([C@@H](CN)O)C(=O)O</t>
  </si>
  <si>
    <t>C(C(C(C(=O)O)N)O)C</t>
  </si>
  <si>
    <t>C(C(CO)N)C(=O)O</t>
  </si>
  <si>
    <t>CC(CN)C(=O)O</t>
  </si>
  <si>
    <t>CC[C@](C)(C(=O)O)N</t>
  </si>
  <si>
    <t>CC[C@@](C)(C(=O)O)N</t>
  </si>
  <si>
    <t>CC[C@@H](CC(=O)O)N</t>
  </si>
  <si>
    <t>CC[C@H](CC(=O)O)N</t>
  </si>
  <si>
    <t>C[C@H](CCC(=O)O)N</t>
  </si>
  <si>
    <t>C[C@@H](CCC(=O)O)N</t>
  </si>
  <si>
    <t>CC(CCN)C(=O)O</t>
  </si>
  <si>
    <t>CC(CC(=O)O)CN</t>
  </si>
  <si>
    <t>C(CCN)CC(=O)O</t>
  </si>
  <si>
    <t>N[C@H](CC(C(=O)O)C(=O)O)C</t>
  </si>
  <si>
    <t>N[C@@H](CC(C(=O)O)C(=O)O)C</t>
  </si>
  <si>
    <t>CC(C(C(=O)O)N)O</t>
  </si>
  <si>
    <t>CC(C(=O)O)N</t>
  </si>
  <si>
    <t>C(C(C(=O)O)N)O</t>
  </si>
  <si>
    <t>C(C(C(=O)O)N)S</t>
  </si>
  <si>
    <t>C(C(C(=O)O)N)C(=O)O</t>
  </si>
  <si>
    <t>C(CC(=O)O)CN</t>
  </si>
  <si>
    <t>CCC(C(=O)O)N</t>
  </si>
  <si>
    <t>C(C(C(=O)O)N)C(=O)N</t>
  </si>
  <si>
    <t>CC(C)C(C(=O)O)N</t>
  </si>
  <si>
    <t>CCC(C)(C(=O)O)N</t>
  </si>
  <si>
    <t>CCCC(C(=O)O)N</t>
  </si>
  <si>
    <t>CC(CCC(=O)O)N</t>
  </si>
  <si>
    <t>C(CC(=O)O)C(C(=O)O)N</t>
  </si>
  <si>
    <t>C1CC(NC1)C(=O)O</t>
  </si>
  <si>
    <t>CSCCC(C(=O)O)N</t>
  </si>
  <si>
    <t>C(CC(=O)N)C(C(=O)O)N</t>
  </si>
  <si>
    <t>C(CC(C(=O)O)N)CN</t>
  </si>
  <si>
    <t>C1CCNC(C1)C(=O)O</t>
  </si>
  <si>
    <t>CC(C)CC(C(=O)O)N</t>
  </si>
  <si>
    <t>CCC(C)C(C(=O)O)N</t>
  </si>
  <si>
    <t>C(CCN)CC(C(=O)O)N</t>
  </si>
  <si>
    <t>C1=C(NC=N1)CC(C(=O)O)N</t>
  </si>
  <si>
    <t>C(CC(C(=O)O)N)CN=C(N)N</t>
  </si>
  <si>
    <t>C1=CC=C(C=C1)CC(C(=O)O)N</t>
  </si>
  <si>
    <t>C1=CC(=CC=C1CC(C(=O)O)N)O</t>
  </si>
  <si>
    <t>C1=CC=C2C(=C1)C(=CN2)CC(C(=O)O)N</t>
  </si>
  <si>
    <t>CC(C)(C(=O)O)N</t>
  </si>
  <si>
    <t>CCC(N)C(=O)O</t>
  </si>
  <si>
    <t>CC(C(N)C(=O)O)C</t>
  </si>
  <si>
    <t>CCCCCC(=O)O</t>
  </si>
  <si>
    <t>C(C(C(C(C(CN)O)N)O)O)C(=O)O</t>
  </si>
  <si>
    <t>Not determined</t>
  </si>
  <si>
    <t>D-3-amino-n-pentanoic acid</t>
  </si>
  <si>
    <t>L-3-amino-n-pentanoic acid</t>
  </si>
  <si>
    <t>Both</t>
  </si>
  <si>
    <t>Amino_Acid</t>
  </si>
  <si>
    <t>Molar_mass_g_mol</t>
  </si>
  <si>
    <t>Carbon_number</t>
  </si>
  <si>
    <t>Class_Label</t>
  </si>
  <si>
    <t>Class</t>
  </si>
  <si>
    <t>NaN</t>
  </si>
  <si>
    <t>Amino_Acid_Label</t>
  </si>
  <si>
    <t>Chirality</t>
  </si>
  <si>
    <t>Symbol</t>
  </si>
  <si>
    <t>Molar_Mass</t>
  </si>
  <si>
    <t>glycine</t>
  </si>
  <si>
    <t>G</t>
  </si>
  <si>
    <t>taurine</t>
  </si>
  <si>
    <t>alanine</t>
  </si>
  <si>
    <t>D</t>
  </si>
  <si>
    <t>L</t>
  </si>
  <si>
    <t>beta-alanine</t>
  </si>
  <si>
    <t>sarcosine</t>
  </si>
  <si>
    <t>serine</t>
  </si>
  <si>
    <t>cysteine</t>
  </si>
  <si>
    <t>aspartic acid</t>
  </si>
  <si>
    <t>threonine</t>
  </si>
  <si>
    <t>isothreonine</t>
  </si>
  <si>
    <t>allo-threonine</t>
  </si>
  <si>
    <t>asparagine</t>
  </si>
  <si>
    <t>valine</t>
  </si>
  <si>
    <t>isovaline</t>
  </si>
  <si>
    <t>norvaline</t>
  </si>
  <si>
    <t>glutamic acid</t>
  </si>
  <si>
    <t>proline</t>
  </si>
  <si>
    <t>methionine</t>
  </si>
  <si>
    <t>glutamine</t>
  </si>
  <si>
    <t>ornithine</t>
  </si>
  <si>
    <t>aminoadipic acid</t>
  </si>
  <si>
    <t>pipeloic acid</t>
  </si>
  <si>
    <t>leucine</t>
  </si>
  <si>
    <t>isoleucine</t>
  </si>
  <si>
    <t>alloisoleucine</t>
  </si>
  <si>
    <t>lysine</t>
  </si>
  <si>
    <t>hydroxylysine</t>
  </si>
  <si>
    <t>histidine</t>
  </si>
  <si>
    <t>arginine</t>
  </si>
  <si>
    <t>tyrosine</t>
  </si>
  <si>
    <t>tryptophan</t>
  </si>
  <si>
    <t>Pub_chem_ID</t>
  </si>
  <si>
    <t>aba</t>
  </si>
  <si>
    <t>baba</t>
  </si>
  <si>
    <t>aiba</t>
  </si>
  <si>
    <t>baiba</t>
  </si>
  <si>
    <t>methylserine</t>
  </si>
  <si>
    <t>homoserine</t>
  </si>
  <si>
    <t>eaca</t>
  </si>
  <si>
    <t>TAU</t>
  </si>
  <si>
    <t>BALA</t>
  </si>
  <si>
    <t>SAR</t>
  </si>
  <si>
    <t>DA</t>
  </si>
  <si>
    <t>LA</t>
  </si>
  <si>
    <t>DS</t>
  </si>
  <si>
    <t>LS</t>
  </si>
  <si>
    <t>DC</t>
  </si>
  <si>
    <t>LC</t>
  </si>
  <si>
    <t>DT</t>
  </si>
  <si>
    <t>LT</t>
  </si>
  <si>
    <t>IST</t>
  </si>
  <si>
    <t>DAT</t>
  </si>
  <si>
    <t>LAT</t>
  </si>
  <si>
    <t>DABA</t>
  </si>
  <si>
    <t>LABA</t>
  </si>
  <si>
    <t>DBABA</t>
  </si>
  <si>
    <t>LBABA</t>
  </si>
  <si>
    <t>GABA</t>
  </si>
  <si>
    <t>gaba</t>
  </si>
  <si>
    <t>AIBA</t>
  </si>
  <si>
    <t>DBAIBA</t>
  </si>
  <si>
    <t>LBAIBA</t>
  </si>
  <si>
    <t>ACP</t>
  </si>
  <si>
    <t>MSER</t>
  </si>
  <si>
    <t>DHSER</t>
  </si>
  <si>
    <t>LHSER</t>
  </si>
  <si>
    <t>BHSER</t>
  </si>
  <si>
    <t>DN</t>
  </si>
  <si>
    <t>LN</t>
  </si>
  <si>
    <t>DV</t>
  </si>
  <si>
    <t>LV</t>
  </si>
  <si>
    <t>DIVAL</t>
  </si>
  <si>
    <t>LIVAL</t>
  </si>
  <si>
    <t>DNVAL</t>
  </si>
  <si>
    <t>IIMBA</t>
  </si>
  <si>
    <t>IIIMBA</t>
  </si>
  <si>
    <t>DIVAPEN</t>
  </si>
  <si>
    <t>LIVAPEN</t>
  </si>
  <si>
    <t>IIDPA</t>
  </si>
  <si>
    <t>LIIIAPEN</t>
  </si>
  <si>
    <t>DIIIAPEN</t>
  </si>
  <si>
    <t>IIHMPA</t>
  </si>
  <si>
    <t>LIIIHBA</t>
  </si>
  <si>
    <t>DIIIHBA</t>
  </si>
  <si>
    <t>IIHBA</t>
  </si>
  <si>
    <t>IIETA</t>
  </si>
  <si>
    <t>APA</t>
  </si>
  <si>
    <t>DE</t>
  </si>
  <si>
    <t>LE</t>
  </si>
  <si>
    <t>DP</t>
  </si>
  <si>
    <t>LP</t>
  </si>
  <si>
    <t>THP</t>
  </si>
  <si>
    <t>DM</t>
  </si>
  <si>
    <t>LM</t>
  </si>
  <si>
    <t>DQ</t>
  </si>
  <si>
    <t>LQ</t>
  </si>
  <si>
    <t>DO</t>
  </si>
  <si>
    <t>LO</t>
  </si>
  <si>
    <t>DASA</t>
  </si>
  <si>
    <t>LASA</t>
  </si>
  <si>
    <t>DADA</t>
  </si>
  <si>
    <t>LADA</t>
  </si>
  <si>
    <t>DPA</t>
  </si>
  <si>
    <t>LPA</t>
  </si>
  <si>
    <t>THPA</t>
  </si>
  <si>
    <t>EACA</t>
  </si>
  <si>
    <t>DL</t>
  </si>
  <si>
    <t>LL</t>
  </si>
  <si>
    <t>DI</t>
  </si>
  <si>
    <t>LI</t>
  </si>
  <si>
    <t>DAIL</t>
  </si>
  <si>
    <t>LAIL</t>
  </si>
  <si>
    <t>DK</t>
  </si>
  <si>
    <t>LK</t>
  </si>
  <si>
    <t>DHK</t>
  </si>
  <si>
    <t>LHK</t>
  </si>
  <si>
    <t>DH</t>
  </si>
  <si>
    <t>LH</t>
  </si>
  <si>
    <t>DR</t>
  </si>
  <si>
    <t>LR</t>
  </si>
  <si>
    <t>DF</t>
  </si>
  <si>
    <t>LF</t>
  </si>
  <si>
    <t>DY</t>
  </si>
  <si>
    <t>LY</t>
  </si>
  <si>
    <t>DW</t>
  </si>
  <si>
    <t>LW</t>
  </si>
  <si>
    <t>IIIVMBA</t>
  </si>
  <si>
    <t>MA_index</t>
  </si>
  <si>
    <t>Heat_Formation_kJ_mol</t>
  </si>
  <si>
    <t>Gibbs_Energy_kJ_mol</t>
  </si>
  <si>
    <t>LogP</t>
  </si>
  <si>
    <t>LogS</t>
  </si>
  <si>
    <t>MGP</t>
  </si>
  <si>
    <t>IMG</t>
  </si>
  <si>
    <t>SNC</t>
  </si>
  <si>
    <t>T</t>
  </si>
  <si>
    <t>A</t>
  </si>
  <si>
    <t>F</t>
  </si>
  <si>
    <t>P</t>
  </si>
  <si>
    <t>ISCS</t>
  </si>
  <si>
    <t>SMILES</t>
  </si>
  <si>
    <t>Musée National Paris</t>
  </si>
  <si>
    <t>Sample 4</t>
  </si>
  <si>
    <t>Split 71 (NIPR)</t>
  </si>
  <si>
    <t>Specific 71, parent 68</t>
  </si>
  <si>
    <t>NIPR</t>
  </si>
  <si>
    <t>NHML</t>
  </si>
  <si>
    <t>LNVAL</t>
  </si>
  <si>
    <t>HLG_MNDO_H2O_eV</t>
  </si>
  <si>
    <t>beta-homoserine</t>
  </si>
  <si>
    <t>3-apa</t>
  </si>
  <si>
    <t>admp</t>
  </si>
  <si>
    <t>aep</t>
  </si>
  <si>
    <t>4-apa</t>
  </si>
  <si>
    <t>5-apa</t>
  </si>
  <si>
    <t>4-amba-2</t>
  </si>
  <si>
    <t>4-amba-3</t>
  </si>
  <si>
    <t>acpa</t>
  </si>
  <si>
    <t>4-ahba-2</t>
  </si>
  <si>
    <t>4-ahba-3</t>
  </si>
  <si>
    <t>ahmpa</t>
  </si>
  <si>
    <t>trans-4-pro</t>
  </si>
  <si>
    <t>beta-amsa</t>
  </si>
  <si>
    <t>trans-5-pipe</t>
  </si>
  <si>
    <t>S</t>
  </si>
  <si>
    <t>C</t>
  </si>
  <si>
    <t>N</t>
  </si>
  <si>
    <t>V</t>
  </si>
  <si>
    <t>E</t>
  </si>
  <si>
    <t>M</t>
  </si>
  <si>
    <t>Q</t>
  </si>
  <si>
    <t>I</t>
  </si>
  <si>
    <t>K</t>
  </si>
  <si>
    <t>H</t>
  </si>
  <si>
    <t>R</t>
  </si>
  <si>
    <t>Y</t>
  </si>
  <si>
    <t>W</t>
  </si>
  <si>
    <t>Code</t>
  </si>
  <si>
    <t>Achiral</t>
  </si>
  <si>
    <t>Position of amino group</t>
  </si>
  <si>
    <t>ɑ</t>
  </si>
  <si>
    <t>D-alanine</t>
  </si>
  <si>
    <t>L-alanine</t>
  </si>
  <si>
    <t>β</t>
  </si>
  <si>
    <t>ɑ-aminobutyric acid</t>
  </si>
  <si>
    <t>β-aminobutyric acid</t>
  </si>
  <si>
    <t>ɣ</t>
  </si>
  <si>
    <t>β-aminoisobutyric acid</t>
  </si>
  <si>
    <t>4-Amino-2-hydroxybutyric acid</t>
  </si>
  <si>
    <t>β-homoserine</t>
  </si>
  <si>
    <t>3-Amino-2-(hydroxy-methyl) propanoic acid</t>
  </si>
  <si>
    <t>3-amino-n-pentanoic acid</t>
  </si>
  <si>
    <t>4-amino-n-pentanoic acid</t>
  </si>
  <si>
    <t>4-amino-2-methyl butyric acid</t>
  </si>
  <si>
    <t>4-amino-3-methyl butyric acid</t>
  </si>
  <si>
    <t>δ</t>
  </si>
  <si>
    <t xml:space="preserve">Both </t>
  </si>
  <si>
    <t>ε</t>
  </si>
  <si>
    <t>phenylalanine</t>
  </si>
  <si>
    <t>n..a</t>
  </si>
  <si>
    <t>Number of samples represented (total 189, only numeric)</t>
  </si>
  <si>
    <t>ABA</t>
  </si>
  <si>
    <t>BABA</t>
  </si>
  <si>
    <t>BAIBA</t>
  </si>
  <si>
    <t>IVAL</t>
  </si>
  <si>
    <t>NVAL</t>
  </si>
  <si>
    <t>IIIAPEN</t>
  </si>
  <si>
    <t>IVAPEN</t>
  </si>
  <si>
    <t>O</t>
  </si>
  <si>
    <t>pipecolic acid</t>
  </si>
  <si>
    <t>PA</t>
  </si>
  <si>
    <t>AIL</t>
  </si>
  <si>
    <t>HK</t>
  </si>
  <si>
    <t>3032849  </t>
  </si>
  <si>
    <t>Mixture (Ratio)</t>
  </si>
  <si>
    <t>Murchison CFM 1</t>
  </si>
  <si>
    <t>Murchison CFM 2</t>
  </si>
  <si>
    <t>Chicago Field Museum 2</t>
  </si>
  <si>
    <t>Chicago Field Museum 1</t>
  </si>
  <si>
    <t>Apollo 78501 a</t>
  </si>
  <si>
    <t>Apollo 78501 b</t>
  </si>
  <si>
    <t>Der. Agent</t>
  </si>
  <si>
    <t>Analytical method</t>
  </si>
  <si>
    <t>OPA/NAC</t>
  </si>
  <si>
    <t>LC-FD/Q-ToF-MS</t>
  </si>
  <si>
    <t>Unhydrolyzed water extract</t>
  </si>
  <si>
    <t>UPLC-FD/ToF-MS</t>
  </si>
  <si>
    <t>TFAA-IPA</t>
  </si>
  <si>
    <t>GC-MS</t>
  </si>
  <si>
    <t xml:space="preserve">6M HCl acid hydrolyzed hot water extract </t>
  </si>
  <si>
    <t>HPLC-FD</t>
  </si>
  <si>
    <t>Not specified</t>
  </si>
  <si>
    <t>Analysis of amino acids, hydroxy acids, and amines in CR chondrites</t>
  </si>
  <si>
    <t>LC-FD/ToF-MS</t>
  </si>
  <si>
    <t>Specific 19, parent 7</t>
  </si>
  <si>
    <t>Specific 34, parent 0</t>
  </si>
  <si>
    <t>HPLC-FD/ToF-MS</t>
  </si>
  <si>
    <t>Amino acid analyses of Antarctic CM2 meteorites using liquid chromatography-time of flight-mass spectrometry</t>
  </si>
  <si>
    <t>https://doi.org/10.1111/j.1945-5100.2006.tb00493.x</t>
  </si>
  <si>
    <t>Split 69, parent 1</t>
  </si>
  <si>
    <t>GC-MS/IRMS</t>
  </si>
  <si>
    <t>TFAA/IPA</t>
  </si>
  <si>
    <t>UPLC-FD/QToF-MS</t>
  </si>
  <si>
    <t>LC-FD/QToF-MS</t>
  </si>
  <si>
    <t>second touchdown site</t>
  </si>
  <si>
    <t>first touchdown site</t>
  </si>
  <si>
    <t>UPLC-FD/HRMS</t>
  </si>
  <si>
    <t xml:space="preserve">6M ddHCl acid hydrolyzed hot water extract </t>
  </si>
  <si>
    <t>MNHN</t>
  </si>
  <si>
    <t>CMS/ASU</t>
  </si>
  <si>
    <t>To be published</t>
  </si>
  <si>
    <t>Amine_Position</t>
  </si>
  <si>
    <t>3-amba-3</t>
  </si>
  <si>
    <t>9060, 6305</t>
  </si>
  <si>
    <t>71098, 6057</t>
  </si>
  <si>
    <t>71567, 6140</t>
  </si>
  <si>
    <t>71070, 6322</t>
  </si>
  <si>
    <t>3032849, 3032850</t>
  </si>
  <si>
    <t>71083, 6274</t>
  </si>
  <si>
    <t>57449, 5962</t>
  </si>
  <si>
    <t>94206, 99288</t>
  </si>
  <si>
    <t>76551, 6306</t>
  </si>
  <si>
    <t>439524, 6106</t>
  </si>
  <si>
    <t>736316, 439227</t>
  </si>
  <si>
    <t>71082, 6262</t>
  </si>
  <si>
    <t>145815, 5961</t>
  </si>
  <si>
    <t>84815, 6137</t>
  </si>
  <si>
    <t>8988, 145742</t>
  </si>
  <si>
    <t>23327, 33032</t>
  </si>
  <si>
    <t>444458, 5312968</t>
  </si>
  <si>
    <t>14731979, 11320932</t>
  </si>
  <si>
    <t>439575, 65098</t>
  </si>
  <si>
    <t>94744, 6971276</t>
  </si>
  <si>
    <t>71563, 6287</t>
  </si>
  <si>
    <t>439600, 6267</t>
  </si>
  <si>
    <t>439433, 439434</t>
  </si>
  <si>
    <t>5706670, 5706671</t>
  </si>
  <si>
    <t>439691, 80283</t>
  </si>
  <si>
    <t>69435, 6288</t>
  </si>
  <si>
    <t>83887, 5960</t>
  </si>
  <si>
    <t>92851, 5862</t>
  </si>
  <si>
    <t>71077, 5951</t>
  </si>
  <si>
    <t>71080, 5950</t>
  </si>
  <si>
    <t>DD</t>
  </si>
  <si>
    <t>LD</t>
  </si>
  <si>
    <t xml:space="preserve">Extracted Sample type </t>
  </si>
  <si>
    <t>LC/MS</t>
  </si>
  <si>
    <t xml:space="preserve">GCxGC/MS </t>
  </si>
  <si>
    <t>ECHFBE</t>
  </si>
  <si>
    <t>None</t>
  </si>
  <si>
    <t>AccQ-Tag</t>
  </si>
  <si>
    <t>HPLC-LIF</t>
  </si>
  <si>
    <t>LC-MS</t>
  </si>
  <si>
    <t xml:space="preserve">Direct 6M HCl acid hydrolysis </t>
  </si>
  <si>
    <t xml:space="preserve">0.5M HCl acid hydrolyzed hot water extract </t>
  </si>
  <si>
    <t>OPA</t>
  </si>
  <si>
    <t>28°34.274'N 140°38.602'E</t>
  </si>
  <si>
    <t xml:space="preserve">6M HCl acid hydrolyzed HF-HCl extract </t>
  </si>
  <si>
    <t>2D-HPLC-FD</t>
  </si>
  <si>
    <t>Methanol precipitation</t>
  </si>
  <si>
    <t>NBD-F</t>
  </si>
  <si>
    <t>TCA precipitation</t>
  </si>
  <si>
    <t>SSA precipitation</t>
  </si>
  <si>
    <t>Free L-amino acids and D-aspartate content in the nervous system of Cephalopoda. A comparative study</t>
  </si>
  <si>
    <t>D'Aniello et al. 1995</t>
  </si>
  <si>
    <t>https://doi.org/10.1016/0305-0491(95)00227-8</t>
  </si>
  <si>
    <t>Hippocampal Free Amino Acids in Alzheimer's Disease</t>
  </si>
  <si>
    <t>https://doi.org/10.1111/j.1471-4159.1980.tb07883.x</t>
  </si>
  <si>
    <t>Tarbit et al. 1980</t>
  </si>
  <si>
    <t>Ninhydrin</t>
  </si>
  <si>
    <t>LC-IEC-PD</t>
  </si>
  <si>
    <t>Water extraction</t>
  </si>
  <si>
    <t>LC-FID</t>
  </si>
  <si>
    <t>OPA/NAC &amp; FMOC-Cl</t>
  </si>
  <si>
    <t>MTBSTFA</t>
  </si>
  <si>
    <t>IEC</t>
  </si>
  <si>
    <t>Enzymatic hydrolysis</t>
  </si>
  <si>
    <t>Liceaga et al. 2006</t>
  </si>
  <si>
    <t>Liceaga-Gesualdo et al. 2006</t>
  </si>
  <si>
    <t>Functional Properties of Fish Protein Hydrolysate from Herring (Clupea harengus)</t>
  </si>
  <si>
    <t>https://doi.org/10.1111/j.1365-2621.1999.tb12268.x</t>
  </si>
  <si>
    <t>Nutritional quality of spray dried protein hydrolysate from Black Tilapia (Oreochromis mossambicus)</t>
  </si>
  <si>
    <t>https://doi.org/10.1016/S0308-8146(01)00380-6</t>
  </si>
  <si>
    <t xml:space="preserve">Enzymatic hydrolysis &amp; 6M HCl acid hydrolysis </t>
  </si>
  <si>
    <t>PICO TAG</t>
  </si>
  <si>
    <t>Optimization of enzymatic hydrolysis of fish soluble concentrate by commercial proteases</t>
  </si>
  <si>
    <t>Concentrations of amino acids in hydrothermal sediment collected from the Izena and Yoron Cauldrons, Okinawa Trough</t>
  </si>
  <si>
    <t>Variation in small organic N compounds and amino acid enantiomers along an altitudinal gradient</t>
  </si>
  <si>
    <t>Free d-Amino Acids in Salivary Gland in Rat</t>
  </si>
  <si>
    <t>In Situ Ore Formation Experiment: Amino Acids and Amino Sugars Trapped in Artificial Chimneys on Deep-Sea Hydrothermal Systems at Suiyo Seamount, Izu-Bonin Arc, Pacific Ocean</t>
  </si>
  <si>
    <t>Low total abundances and a predominance of n-ω-amino acids in enstatite chondrites: Implications for thermal stability of amino acids in the inner solar system</t>
  </si>
  <si>
    <t>Amino acids in surface sediments of the Zannone Island shelf (Western Mediterranean Sea): Possible bioindicators of submarine hydrothermal activity</t>
  </si>
  <si>
    <t>Extraterrestrial amino acids and amines identified in asteroid Ryugu samples returned by the Hayabusa2 mission</t>
  </si>
  <si>
    <t>Nutritional evaluation, amino acid, and fatty acid properties of boiled ackee arils</t>
  </si>
  <si>
    <t>Subcritical water extraction of amino acids from Mars analog soils</t>
  </si>
  <si>
    <t>Determination and stereochemistry of proteinogenic and non-proteinogenic amino acids in Saudi Arabian date fruits</t>
  </si>
  <si>
    <t>Microalgae amino acids: Method validation using gas chromatography coupled to mass spectrometry</t>
  </si>
  <si>
    <t>The amino acid and hydrocarbon contents of the Paris meteorite: Insights into the most primitive CM chondrite</t>
  </si>
  <si>
    <t>Indigenous amino acids in primitive CR meteorites</t>
  </si>
  <si>
    <t>A new family of extraterrestrial amino acids in the Murchison meteorite</t>
  </si>
  <si>
    <t>Biomarkers in the Atacama Desert along the moisture gradient and the depth in the hyperarid zone: Phosphatase activity as trace of microbial activity</t>
  </si>
  <si>
    <t>Enantioselective analysis of d- and l-amino acids from mouse macrophages using high performance liquid chromatography</t>
  </si>
  <si>
    <t>Determination of soil amino acids by high performance liquid chromatography-electro spray ionization-mass spectrometry derivatized with 6-aminoquinolyl-N-hydroxysuccinimidyl carbamate</t>
  </si>
  <si>
    <t>Extraterrestrial amino acids and L-enantiomeric excesses in the CM2 carbonaceous chondrites Aguas Zarcas and Murchison</t>
  </si>
  <si>
    <t>Abundant extraterrestrial amino acids in the primitive CM carbonaceous chondrite Asuka 12236</t>
  </si>
  <si>
    <t>Extraterrestrial amino acids in the Almahata Sitta meteorite</t>
  </si>
  <si>
    <t>The effects of parent body processes on amino acids in carbonaceous chondrites</t>
  </si>
  <si>
    <t>Soluble Organic Compounds and Cyanide in Apollo 17 Lunar Samples: Origins and Curation Effects</t>
  </si>
  <si>
    <t>Amino acid abundances and compositions in iron and stony-iron meteorites</t>
  </si>
  <si>
    <t>The origin of amino acids in lunar regolith samples</t>
  </si>
  <si>
    <t>Amino acid analyses of type 3 chondrites Colony, Ornans, Chainpur, and Bishunpur</t>
  </si>
  <si>
    <t>A search for amino acids and nucleobases in the Martian meteorite Roberts Massif 04262 using liquid chromatography-mass spectrometry</t>
  </si>
  <si>
    <t>Composition of black soldier fly prepupae and systematic approaches for extraction and fractionation of proteins, lipids and chitin</t>
  </si>
  <si>
    <t>Amino acid analyses of R and CK chondrites</t>
  </si>
  <si>
    <t>The amino acid composition of the Sutter's Mill CM2 carbonaceous chondrite</t>
  </si>
  <si>
    <t>The effects of parent-body hydrothermal heating on amino acid abundances in CI-like chondrites</t>
  </si>
  <si>
    <t>Extraterrestrial amino acids identified in metal-rich CH and CB carbonaceous chondrites from Antarctica</t>
  </si>
  <si>
    <t>Biosignature Analysis of Mars Soil Analogs from the Atacama Desert: Challenges and Implications for Future Missions to Mars</t>
  </si>
  <si>
    <t>Determination of Free Amino Acids in Bee Pollen by Liquid Chromatography with Fluorescence Detection</t>
  </si>
  <si>
    <t>Polycyclic aromatic hydrocarbons and amino acids in meteorites and ice samplesfrom LaPaz Icefield, Antarctica</t>
  </si>
  <si>
    <t>A propensity for n-x-amino acids in thermally altered Antarctic meteorites</t>
  </si>
  <si>
    <t>https://doi.org/10.1016/j.jfoodeng.2004.10.011</t>
  </si>
  <si>
    <t>Influence of the extent of enzymatic hydrolysis on the functional properties of protein hydrolysate from grass carp (Ctenopharyngodon idella) skin</t>
  </si>
  <si>
    <t>https://doi.org/10.1016/j.foodchem.2007.03.044</t>
  </si>
  <si>
    <t>SSA hydrolysis</t>
  </si>
  <si>
    <t>RP-HPLC</t>
  </si>
  <si>
    <t>Enzymatic hydrolysis of defatted mackerel protein with low bitter taste</t>
  </si>
  <si>
    <t> https://doi.org/10.1007/s11802-011-1785-6</t>
  </si>
  <si>
    <t>Optimization of enzymatic hydrolysis of Alaska pollock frame for preparing protein hydrolysates with low-bitterness</t>
  </si>
  <si>
    <t>Melted</t>
  </si>
  <si>
    <t>Ureilites</t>
  </si>
  <si>
    <t>Burton et al. 2012</t>
  </si>
  <si>
    <t>Burton et al. 2013</t>
  </si>
  <si>
    <t>Bencubbin-type Carbonaceous Chondrites</t>
  </si>
  <si>
    <t>Ali et al. 2014</t>
  </si>
  <si>
    <t>Furlan et al. 2024</t>
  </si>
  <si>
    <t xml:space="preserve"> Furlan et al. 2024</t>
  </si>
  <si>
    <t>Temperate</t>
  </si>
  <si>
    <t>Polar</t>
  </si>
  <si>
    <t>Non-polar</t>
  </si>
  <si>
    <t>Ryugu</t>
  </si>
  <si>
    <t>Lunar</t>
  </si>
  <si>
    <t>CO</t>
  </si>
  <si>
    <t>Enstatite</t>
  </si>
  <si>
    <t>CK</t>
  </si>
  <si>
    <t>CB</t>
  </si>
  <si>
    <t>CH</t>
  </si>
  <si>
    <t>CV</t>
  </si>
  <si>
    <t>CI</t>
  </si>
  <si>
    <t>CM</t>
  </si>
  <si>
    <t>Renazzo-type Carbonaceous Chondrites</t>
  </si>
  <si>
    <t>CR</t>
  </si>
  <si>
    <t>Number of amino acids quantified</t>
  </si>
  <si>
    <t>Bennu asteroid</t>
  </si>
  <si>
    <t>OREX-803001-0</t>
  </si>
  <si>
    <t>Glavin et al. 2025</t>
  </si>
  <si>
    <t>&lt;0.2</t>
  </si>
  <si>
    <t>Bennu</t>
  </si>
  <si>
    <t>poor chromatographic resolution</t>
  </si>
  <si>
    <t>5-hydroxylysine</t>
  </si>
  <si>
    <t>L-5-hydroxylysine</t>
  </si>
  <si>
    <t>D-5-hydroxylysine</t>
  </si>
  <si>
    <t>HLG_wB97XD_TZVP_H2O_eV</t>
  </si>
  <si>
    <t>TopoPSA</t>
  </si>
  <si>
    <t>Dipole_moment</t>
  </si>
  <si>
    <t>Ivuna-type and -like Carbonaceous Chondrites</t>
  </si>
  <si>
    <t>Property</t>
  </si>
  <si>
    <t>isoserine</t>
  </si>
  <si>
    <t>β-OH-Asp</t>
  </si>
  <si>
    <t>D-ɑ-ABA</t>
  </si>
  <si>
    <t>L-ɑ-ABA</t>
  </si>
  <si>
    <t>ɑ-ABA</t>
  </si>
  <si>
    <t>D-βABA</t>
  </si>
  <si>
    <t>L-βABA</t>
  </si>
  <si>
    <t>βABA</t>
  </si>
  <si>
    <t>ɑ-AIB</t>
  </si>
  <si>
    <t>D-βAIB</t>
  </si>
  <si>
    <t>L-βAIB</t>
  </si>
  <si>
    <t>βAIB</t>
  </si>
  <si>
    <t>ACPA</t>
  </si>
  <si>
    <t>D-4-ahba-3</t>
  </si>
  <si>
    <t>L-4-ahba-3</t>
  </si>
  <si>
    <t>2-Me-Ser</t>
  </si>
  <si>
    <t>S-methylcys</t>
  </si>
  <si>
    <t>homocysteic acid</t>
  </si>
  <si>
    <t>D-3-apa</t>
  </si>
  <si>
    <t>L-3-apa</t>
  </si>
  <si>
    <t>2-dpa</t>
  </si>
  <si>
    <t>2-eta</t>
  </si>
  <si>
    <t>D-4-apa</t>
  </si>
  <si>
    <t>L-4-apa</t>
  </si>
  <si>
    <t>met sulfoxide</t>
  </si>
  <si>
    <t>met sulfone</t>
  </si>
  <si>
    <t>D-β-amsa</t>
  </si>
  <si>
    <t>L-β-amsa</t>
  </si>
  <si>
    <t>D-ɑ-AAA</t>
  </si>
  <si>
    <t>L-ɑ-AAA</t>
  </si>
  <si>
    <t>ɑ-AAA</t>
  </si>
  <si>
    <t>εaca</t>
  </si>
  <si>
    <t>allo-isoleucine</t>
  </si>
  <si>
    <t>2-Me-Glu</t>
  </si>
  <si>
    <t>HOMO</t>
  </si>
  <si>
    <t>ID</t>
  </si>
  <si>
    <t>Subcategory</t>
  </si>
  <si>
    <t>Experimental conditions</t>
  </si>
  <si>
    <t>HE-SD1</t>
  </si>
  <si>
    <t>Hadean Earth</t>
  </si>
  <si>
    <t>Classic Experiment</t>
  </si>
  <si>
    <r>
      <t>Miller spark discharge apparatus, CH</t>
    </r>
    <r>
      <rPr>
        <vertAlign val="subscript"/>
        <sz val="12"/>
        <color theme="1"/>
        <rFont val="Aptos Narrow (Body)"/>
      </rPr>
      <t xml:space="preserve">4 </t>
    </r>
    <r>
      <rPr>
        <sz val="12"/>
        <color theme="1"/>
        <rFont val="Aptos Narrow"/>
        <family val="2"/>
        <scheme val="minor"/>
      </rPr>
      <t>(200 torr), NH3 (200 torr), H</t>
    </r>
    <r>
      <rPr>
        <vertAlign val="subscript"/>
        <sz val="12"/>
        <color theme="1"/>
        <rFont val="Aptos Narrow (Body)"/>
      </rPr>
      <t>2</t>
    </r>
    <r>
      <rPr>
        <sz val="12"/>
        <color theme="1"/>
        <rFont val="Aptos Narrow"/>
        <family val="2"/>
        <scheme val="minor"/>
      </rPr>
      <t xml:space="preserve"> (100 torr), 500 mL H</t>
    </r>
    <r>
      <rPr>
        <vertAlign val="subscript"/>
        <sz val="12"/>
        <color theme="1"/>
        <rFont val="Aptos Narrow (Body)"/>
      </rPr>
      <t>2</t>
    </r>
    <r>
      <rPr>
        <sz val="12"/>
        <color theme="1"/>
        <rFont val="Aptos Narrow"/>
        <family val="2"/>
        <scheme val="minor"/>
      </rPr>
      <t>O</t>
    </r>
  </si>
  <si>
    <t>Johnson et al. 2008</t>
  </si>
  <si>
    <t>HE-SD2</t>
  </si>
  <si>
    <t>Volcanic Experiment</t>
  </si>
  <si>
    <r>
      <t>Miller spark discharge apparatus + aspirating nozzle, CH</t>
    </r>
    <r>
      <rPr>
        <vertAlign val="subscript"/>
        <sz val="12"/>
        <color theme="1"/>
        <rFont val="Aptos Narrow (Body)"/>
      </rPr>
      <t>4</t>
    </r>
    <r>
      <rPr>
        <sz val="12"/>
        <color theme="1"/>
        <rFont val="Aptos Narrow"/>
        <family val="2"/>
        <scheme val="minor"/>
      </rPr>
      <t xml:space="preserve"> (200 torr), NH</t>
    </r>
    <r>
      <rPr>
        <vertAlign val="subscript"/>
        <sz val="12"/>
        <color theme="1"/>
        <rFont val="Aptos Narrow (Body)"/>
      </rPr>
      <t xml:space="preserve">3 </t>
    </r>
    <r>
      <rPr>
        <sz val="12"/>
        <color theme="1"/>
        <rFont val="Aptos Narrow"/>
        <family val="2"/>
        <scheme val="minor"/>
      </rPr>
      <t>(200 torr), H</t>
    </r>
    <r>
      <rPr>
        <vertAlign val="subscript"/>
        <sz val="12"/>
        <color theme="1"/>
        <rFont val="Aptos Narrow (Body)"/>
      </rPr>
      <t xml:space="preserve">2 </t>
    </r>
    <r>
      <rPr>
        <sz val="12"/>
        <color theme="1"/>
        <rFont val="Aptos Narrow"/>
        <family val="2"/>
        <scheme val="minor"/>
      </rPr>
      <t>(100 torr), 500 mL H</t>
    </r>
    <r>
      <rPr>
        <vertAlign val="subscript"/>
        <sz val="12"/>
        <color theme="1"/>
        <rFont val="Aptos Narrow (Body)"/>
      </rPr>
      <t>2</t>
    </r>
    <r>
      <rPr>
        <sz val="12"/>
        <color theme="1"/>
        <rFont val="Aptos Narrow"/>
        <family val="2"/>
        <scheme val="minor"/>
      </rPr>
      <t>O</t>
    </r>
  </si>
  <si>
    <t>HE-SD3</t>
  </si>
  <si>
    <t>Silent Experiment</t>
  </si>
  <si>
    <r>
      <t>Miller spark discharge apparatus + aspirator device, CH</t>
    </r>
    <r>
      <rPr>
        <vertAlign val="subscript"/>
        <sz val="12"/>
        <color theme="1"/>
        <rFont val="Aptos Narrow (Body)"/>
      </rPr>
      <t>4</t>
    </r>
    <r>
      <rPr>
        <sz val="12"/>
        <color theme="1"/>
        <rFont val="Aptos Narrow"/>
        <family val="2"/>
        <scheme val="minor"/>
      </rPr>
      <t xml:space="preserve"> (200 torr), NH</t>
    </r>
    <r>
      <rPr>
        <vertAlign val="subscript"/>
        <sz val="12"/>
        <color theme="1"/>
        <rFont val="Aptos Narrow (Body)"/>
      </rPr>
      <t>3</t>
    </r>
    <r>
      <rPr>
        <sz val="12"/>
        <color theme="1"/>
        <rFont val="Aptos Narrow"/>
        <family val="2"/>
        <scheme val="minor"/>
      </rPr>
      <t xml:space="preserve"> (200 torr), H</t>
    </r>
    <r>
      <rPr>
        <vertAlign val="subscript"/>
        <sz val="12"/>
        <color theme="1"/>
        <rFont val="Aptos Narrow (Body)"/>
      </rPr>
      <t>2</t>
    </r>
    <r>
      <rPr>
        <sz val="12"/>
        <color theme="1"/>
        <rFont val="Aptos Narrow"/>
        <family val="2"/>
        <scheme val="minor"/>
      </rPr>
      <t xml:space="preserve"> (100 torr), 500 mL H</t>
    </r>
    <r>
      <rPr>
        <vertAlign val="subscript"/>
        <sz val="12"/>
        <color theme="1"/>
        <rFont val="Aptos Narrow (Body)"/>
      </rPr>
      <t>2</t>
    </r>
    <r>
      <rPr>
        <sz val="12"/>
        <color theme="1"/>
        <rFont val="Aptos Narrow"/>
        <family val="2"/>
        <scheme val="minor"/>
      </rPr>
      <t>O</t>
    </r>
  </si>
  <si>
    <t>HE-SD4</t>
  </si>
  <si>
    <t>Hydrogen Sulfide Experiment</t>
  </si>
  <si>
    <t>Miller spark discharge 5-L apparatus (tesla coils), CH4/H2S/NH3/CO2 mixture (258 mmHg/100 mmHg/250 mmHg/87 mmHg), 300 mL H2O (boiled), 3 days</t>
  </si>
  <si>
    <t>Parker et al. 2011</t>
  </si>
  <si>
    <t>HE-SD5</t>
  </si>
  <si>
    <t>Cyanamide Experiment</t>
  </si>
  <si>
    <t>Miller Cyanamide spark discharge (tesla coils), 250 mL H20, 300 mmHg CH4, 250 mmHg NH3, addition of cyanamide (3.3-4.4 mg in water) at different intervals</t>
  </si>
  <si>
    <t>Parker et al. 2014</t>
  </si>
  <si>
    <t>HEA-PR1</t>
  </si>
  <si>
    <t>Atmosphere</t>
  </si>
  <si>
    <t>Proton irradiation, 1.58-2.5 MeV, 1-2 h, N2/CO2/CH4 mixture (350 torr/350 torr/0), 5 mL water</t>
  </si>
  <si>
    <t>Kobayashi et al. 2023</t>
  </si>
  <si>
    <t>HEA-PR2</t>
  </si>
  <si>
    <t>Proton irradiation, 1.58-2.5 MeV, 1-2 h, N2/CO2/CH4 mixture (350 torr/346.5 torr/3.5 torr), 5 mL water</t>
  </si>
  <si>
    <t>HEA-PR3</t>
  </si>
  <si>
    <t>Proton irradiation, 1.58-2.5 MeV, 1-2 h, N2/CO2/CH4 mixture (350 torr/343 torr/7 torr), 5 mL water</t>
  </si>
  <si>
    <t>HEA-PR4</t>
  </si>
  <si>
    <t>Proton irradiation, 1.58-2.5 MeV, 1-2 h, N2/CO2/CH4 mixture (350 torr/336 torr/14 torr), 5 mL water</t>
  </si>
  <si>
    <t>HEA-PR5</t>
  </si>
  <si>
    <t>Proton irradiation, 1.58-2.5 MeV, 1-2 h, N2/CO2/CH4 mixture (350 torr/329 torr/21 torr), 5 mL water</t>
  </si>
  <si>
    <t>HEA-PR6</t>
  </si>
  <si>
    <t>Proton irradiation, 1.58-2.5 MeV, 1-2 h, N2/CO2/CH4 mixture (350 torr/315 torr/35 torr), 5 mL water</t>
  </si>
  <si>
    <t>HEA-PR7</t>
  </si>
  <si>
    <t>Proton irradiation, 1.58-2.5 MeV, 1-2 h, N2/CO2/CH4 mixture (350 torr/280 torr/70 torr), 5 mL water</t>
  </si>
  <si>
    <t>HEA-PR8</t>
  </si>
  <si>
    <t>Proton irradiation, 1.58-2.5 MeV, 1-2 h, N2/CO2/CH4 mixture (350 torr/245 torr/105 torr), 5 mL water</t>
  </si>
  <si>
    <t>HEA-PR9</t>
  </si>
  <si>
    <t>Proton irradiation, 1.58-2.5 MeV, 1-2 h, N2/CO2/CH4 mixture (350 torr/210 torr/140 torr), 5 mL water</t>
  </si>
  <si>
    <t>HEA-PR10</t>
  </si>
  <si>
    <t>Proton irradiation, 1.58-2.5 MeV, 1-2 h, N2/CO2/CH4 mixture (350 torr/175 torr/175 torr), 5 mL water</t>
  </si>
  <si>
    <t>HEA-PR11</t>
  </si>
  <si>
    <t>Proton irradiation, 1.58-2.5 MeV, 1-2 h, N2/CO2/CH4 mixture (350 torr/140 torr/210 torr), 5 mL water</t>
  </si>
  <si>
    <t>HEA-PR12</t>
  </si>
  <si>
    <t>Proton irradiation, 1.58-2.5 MeV, 1-2 h, N2/CO2/CH4 mixture (350 torr/0 torr/350 torr), 5 mL water</t>
  </si>
  <si>
    <t>HEA-SD1</t>
  </si>
  <si>
    <t>Spark discharge (tesla coil, 1mon on/1 min off, 24h), N2/CO2/CH4 mixture (350 torr/350 torr/0), 5 mL water</t>
  </si>
  <si>
    <t>HEA-SD2</t>
  </si>
  <si>
    <t>Spark discharge (tesla coil, 1mon on/1 min off, 24h), N2/CO2/CH4 mixture (350 torr/315 torr/35 torr), 5 mL water</t>
  </si>
  <si>
    <t>HEA-SD3</t>
  </si>
  <si>
    <t>Spark discharge (tesla coil, 1mon on/1 min off, 24h), N2/CO2/CH4 mixture (350 torr/280 torr/70 torr), 5 mL water</t>
  </si>
  <si>
    <t>HEA-SD4</t>
  </si>
  <si>
    <t>Spark discharge (tesla coil, 1mon on/1 min off, 24h), N2/CO2/CH4 mixture (350 torr/245 torr/105 torr), 5 mL water</t>
  </si>
  <si>
    <t>HEA-SD5</t>
  </si>
  <si>
    <t>Spark discharge (tesla coil, 1mon on/1 min off, 24h), N2/CO2/CH4 mixture (350 torr/210 torr/140 torr), 5 mL water</t>
  </si>
  <si>
    <t>HEA-SD6</t>
  </si>
  <si>
    <t>Spark discharge (tesla coil, 1mon on/1 min off, 24h), N2/CO2/CH4 mixture (350 torr/175 torr/175 torr), 5 mL water</t>
  </si>
  <si>
    <t>HEA-SD7</t>
  </si>
  <si>
    <t>Spark discharge (tesla coil, 1mon on/1 min off, 24h), N2/CO2/CH4 mixture (350 torr/140 torr/210 torr), 5 mL water</t>
  </si>
  <si>
    <t>HEA-SD8</t>
  </si>
  <si>
    <t>Spark discharge (tesla coil, 1mon on/1 min off, 24h), N2/CO2/CH4 mixture (350 torr/70 torr/280 torr), 5 mL water</t>
  </si>
  <si>
    <t>HEA-SD9</t>
  </si>
  <si>
    <t>Spark discharge (tesla coil, 1mon on/1 min off, 24h), N2/CO2/CH4 mixture (350 torr/0/350 torr), 5 mL water</t>
  </si>
  <si>
    <t>EUR-CN1</t>
  </si>
  <si>
    <t>Europa</t>
  </si>
  <si>
    <r>
      <t>0.1 M NH</t>
    </r>
    <r>
      <rPr>
        <vertAlign val="subscript"/>
        <sz val="12"/>
        <color theme="1"/>
        <rFont val="Aptos Narrow (Body)"/>
      </rPr>
      <t>4</t>
    </r>
    <r>
      <rPr>
        <sz val="12"/>
        <color theme="1"/>
        <rFont val="Aptos Narrow"/>
        <family val="2"/>
        <scheme val="minor"/>
      </rPr>
      <t>CN, 25 years storage at -78°C</t>
    </r>
  </si>
  <si>
    <t>Levy &amp; Miller, 2000</t>
  </si>
  <si>
    <t>EUR-CN2</t>
  </si>
  <si>
    <r>
      <t>0.1 M NH</t>
    </r>
    <r>
      <rPr>
        <vertAlign val="subscript"/>
        <sz val="12"/>
        <color theme="1"/>
        <rFont val="Aptos Narrow (Body)"/>
      </rPr>
      <t>4</t>
    </r>
    <r>
      <rPr>
        <sz val="12"/>
        <color theme="1"/>
        <rFont val="Aptos Narrow"/>
        <family val="2"/>
        <scheme val="minor"/>
      </rPr>
      <t>CN, 25 years storage at -20°C</t>
    </r>
  </si>
  <si>
    <t>EUR-CN3</t>
  </si>
  <si>
    <r>
      <t>0.1 M NH</t>
    </r>
    <r>
      <rPr>
        <vertAlign val="subscript"/>
        <sz val="12"/>
        <color theme="1"/>
        <rFont val="Aptos Narrow (Body)"/>
      </rPr>
      <t>4</t>
    </r>
    <r>
      <rPr>
        <sz val="12"/>
        <color theme="1"/>
        <rFont val="Aptos Narrow"/>
        <family val="2"/>
        <scheme val="minor"/>
      </rPr>
      <t>CN, 2 months storage at -20°C</t>
    </r>
  </si>
  <si>
    <t>EUR-SD1</t>
  </si>
  <si>
    <t>Spark discharge, 5 years storage -20°C</t>
  </si>
  <si>
    <t>NOM-OC1</t>
  </si>
  <si>
    <t>Noachian Mars</t>
  </si>
  <si>
    <t>Ordinary chondrite analogue [metallic Fe (100 mg) and Ni (10 mg), forsterite(200 mg)], heat-treated at 450C for 6h, shock experiment with NAHCO3 + N2, 1km/sec acceleration, 300C</t>
  </si>
  <si>
    <t>Takeuchi et al. 2020</t>
  </si>
  <si>
    <t>NOM-IC1</t>
  </si>
  <si>
    <t>Iron chondrite analogue [metallic Fe (300 mg) and Ni (10 mg)], heat-treated at 450C for 6h, shock experiment with NAHCO3 + N2, 1km/sec acceleration, 300C</t>
  </si>
  <si>
    <t>NOM-OC2</t>
  </si>
  <si>
    <t>Ordinary chondrite analogue [metallic Fe (100 mg) and Ni (10 mg), forsterite(200 mg)], heat-treated at 450C for 6h, shock experiment with NAHCO3 + N2 + 20 mmol/L NH3, 1km/sec acceleration, 300C</t>
  </si>
  <si>
    <t>NOM-IC2</t>
  </si>
  <si>
    <t>Iron chondrite analogue [metallic Fe (300 mg) and Ni (10 mg)], heat-treated at 450C for 6h, shock experiment with NAHCO3 + N2 +  20 mmol/L NH3, 1km/sec acceleration, 300C</t>
  </si>
  <si>
    <t>NOM-OC3</t>
  </si>
  <si>
    <t>Ordinary chondrite analogue [metallic Fe (100 mg) and Ni (10 mg), forsterite(200 mg)], heat-treated at 450C for 6h, shock experiment with NAHCO3 + N2 +  2 mol/L NH3, 1km/sec acceleration, 300C</t>
  </si>
  <si>
    <t>NOM-IC3</t>
  </si>
  <si>
    <t>Iron chondrite analogue [metallic Fe (300 mg) and Ni (10 mg)], heat-treated at 450C for 6h, shock experiment with NAHCO3 + N2 +  2 mol/L NH3, 1km/sec acceleration, 300C</t>
  </si>
  <si>
    <t>TIT-RF1</t>
  </si>
  <si>
    <t>Titan</t>
  </si>
  <si>
    <t xml:space="preserve">Radio frequency discharge (30 W, 13.6 MHz),0.9 mbar, N2/CH4/CO mixture (96.2%/2.0%/1.8%), 330K, 8 h analysis </t>
  </si>
  <si>
    <t>Hörst et al. 2012</t>
  </si>
  <si>
    <t>TIT-RF2</t>
  </si>
  <si>
    <t xml:space="preserve">Radio frequency discharge (30 W, 13.6 MHz),0.9 mbar, N2/CH4/C18O mixture (96.2%/2.0%/1.8%), 330K, 8 h analysis </t>
  </si>
  <si>
    <t>TIT-RF3</t>
  </si>
  <si>
    <t xml:space="preserve">Radio frequency discharge (30 W, 13.6 MHz),0.9 mbar, N2/CH4/CO mixture (93.2%/5.0%/1.8%), 330K, 8 h analysis </t>
  </si>
  <si>
    <t>TIT-RF4</t>
  </si>
  <si>
    <t xml:space="preserve">Radio frequency discharge (30 W, 13.6 MHz),0.9 mbar, N2/CH4/C18O mixture (93.2%/5.0%/1.8%), 330K, 8 h analysis </t>
  </si>
  <si>
    <t>TIT-MP1</t>
  </si>
  <si>
    <t>Icy surface</t>
  </si>
  <si>
    <t>H2O + 12CH313CN ice, 10-25 K, vacuum (10-7 torr), 10-20 MeV H+ irradiation</t>
  </si>
  <si>
    <t>Hudson et al. 2008</t>
  </si>
  <si>
    <t>TIT-MP2</t>
  </si>
  <si>
    <t>Impact melt pool</t>
  </si>
  <si>
    <t>Electrical discharge (4.5 atm L h-1), 880 Pa, N2/CH4 mixture (98%/2%), 195K, further hydrolysis in ammonia-H2O soln at 253 K for 1 year</t>
  </si>
  <si>
    <t>Neish et al. 2010</t>
  </si>
  <si>
    <t>TIT-ICE</t>
  </si>
  <si>
    <t>Electrical discharge (4.5 atm L h-1), 880 Pa, N2/CH4 mixture (98%/2%), 195K, further hydrolysis in ammonia-H2O soln at 293 K for 1 year</t>
  </si>
  <si>
    <t>Interstellar Clouds</t>
  </si>
  <si>
    <t>Meteorite</t>
  </si>
  <si>
    <t>Iron Meteorite Group</t>
  </si>
  <si>
    <t>GRO 95577a</t>
  </si>
  <si>
    <t>GRO 95577b</t>
  </si>
  <si>
    <t>EET 92042a</t>
  </si>
  <si>
    <t>EET 92042b</t>
  </si>
  <si>
    <t>Shutter's Hill 2</t>
  </si>
  <si>
    <t>Shutter's Hill 12</t>
  </si>
  <si>
    <t>Shutter's Hill 51</t>
  </si>
  <si>
    <t>Apollo 69961a</t>
  </si>
  <si>
    <t>Apollo 78501a</t>
  </si>
  <si>
    <t>Apollo 69961b</t>
  </si>
  <si>
    <t>Apollo 78501b</t>
  </si>
  <si>
    <t>Apollo 780181, 196</t>
  </si>
  <si>
    <t>Apollo 72321,42</t>
  </si>
  <si>
    <t>Asteroid</t>
  </si>
  <si>
    <t>Terrestrial biome</t>
  </si>
  <si>
    <t>Non-Polar Desert</t>
  </si>
  <si>
    <t>AT02-3</t>
  </si>
  <si>
    <t>Polar Desert</t>
  </si>
  <si>
    <t>Mixed forest</t>
  </si>
  <si>
    <t>Tall forest</t>
  </si>
  <si>
    <t>Organism</t>
  </si>
  <si>
    <t>Nabtata Ali</t>
  </si>
  <si>
    <t>Ackee-aril</t>
  </si>
  <si>
    <t>Prebiotic Synthesis of Adenine and Amino Acids Under Europa-like Conditions</t>
  </si>
  <si>
    <t>Formation of Amino Acids and Nucleotide Bases in a Titan Atmosphere Simulation Experiment</t>
  </si>
  <si>
    <t>Amino Acids from Ion-Irradiated Nitrile-Containing Ices</t>
  </si>
  <si>
    <t>The Miller Volcanic Spark Discharge Experiment</t>
  </si>
  <si>
    <t>Formation of Amino Acids and Carboxylic Acids in Weakly Reducing Planetary Atmospheres by Solar Energetic Particles from the Young Sun</t>
  </si>
  <si>
    <t>Titan’s Primordial Soup: Formation of Amino Acids via Low-Temperature Hydrolysis of Tholins</t>
  </si>
  <si>
    <t>Primordial synthesis of amines and amino acids in a 1958 Miller H2S-rich spark discharge experiment</t>
  </si>
  <si>
    <t>A Plausible Simultaneous Synthesis of Amino Acids and Simple Peptides on the Primordial Earth</t>
  </si>
  <si>
    <t>Impact-induced amino acid formation on Hadean Earth and Noachian Mars</t>
  </si>
  <si>
    <t>https://doi.org/10.1017/S1473550422000325</t>
  </si>
  <si>
    <t>https://doi.org/10.2343/geochemj.2.0357</t>
  </si>
  <si>
    <t>https://doi.org/10.1016/j.lwt.2010.09.009 </t>
  </si>
  <si>
    <t>https://doi.org/10.1089/ast.2011.0623</t>
  </si>
  <si>
    <t>https://doi.org/10.1089/ast.2007.0131</t>
  </si>
  <si>
    <t>https://doi.org/10.1126/science.1161527</t>
  </si>
  <si>
    <t>https://doi.org/10.1006/icar.2000.6365</t>
  </si>
  <si>
    <t>https://doi.org/10.1089/ast.2009.0402</t>
  </si>
  <si>
    <t>https://doi.org/10.1073/pnas.1019191108</t>
  </si>
  <si>
    <t>https://doi.org/10.1002/anie.201403683</t>
  </si>
  <si>
    <t>https://doi.org/10.1038/s41598-020-66112-8</t>
  </si>
  <si>
    <t>Detected</t>
  </si>
  <si>
    <t>Not detected</t>
  </si>
  <si>
    <t>Not detected with confidence (below blank, could not be separated or trace)</t>
  </si>
  <si>
    <t>Detected but likely contaminant</t>
  </si>
  <si>
    <t>Color</t>
  </si>
  <si>
    <t>Legend for Database</t>
  </si>
  <si>
    <t>Molar_mass</t>
  </si>
  <si>
    <t>Chemical_hardness</t>
  </si>
  <si>
    <t>Global_softness</t>
  </si>
  <si>
    <t>HOMO_LUMO_Gap</t>
  </si>
  <si>
    <t>LUMO</t>
  </si>
  <si>
    <t>Biotic</t>
  </si>
  <si>
    <t>Abiotic_D</t>
  </si>
  <si>
    <t>Abiotic_S</t>
  </si>
  <si>
    <t>β-amsa</t>
  </si>
  <si>
    <t>Legend for MATLAB_Distributions</t>
  </si>
  <si>
    <t>Abiotic</t>
  </si>
  <si>
    <t>Sample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</si>
</sst>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"/>
    <numFmt numFmtId="167" formatCode="#,##0.0000"/>
  </numFmts>
  <fonts count="1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2"/>
      <color theme="1"/>
      <name val="Helvetica"/>
      <family val="2"/>
    </font>
    <font>
      <b/>
      <sz val="12"/>
      <color theme="1"/>
      <name val="Aptos Narrow"/>
    </font>
    <font>
      <sz val="12"/>
      <color theme="1"/>
      <name val="Aptos Narrow"/>
    </font>
    <font>
      <b/>
      <sz val="11"/>
      <color theme="1"/>
      <name val="Aptos Narrow"/>
      <scheme val="minor"/>
    </font>
    <font>
      <sz val="12"/>
      <color rgb="FF000000"/>
      <name val="Aptos Narrow"/>
    </font>
    <font>
      <b/>
      <sz val="12"/>
      <color rgb="FF000000"/>
      <name val="Aptos Narrow"/>
      <scheme val="minor"/>
    </font>
    <font>
      <vertAlign val="subscript"/>
      <sz val="12"/>
      <color theme="1"/>
      <name val="Aptos Narrow (Body)"/>
    </font>
  </fonts>
  <fills count="1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44B3E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10" fillId="0" borderId="0"/>
  </cellStyleXfs>
  <cellXfs count="11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2" xfId="0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/>
    </xf>
    <xf numFmtId="0" fontId="3" fillId="0" borderId="0" xfId="0" applyFont="1" applyAlignment="1">
      <alignment horizontal="left"/>
    </xf>
    <xf numFmtId="0" fontId="0" fillId="0" borderId="0" xfId="0" applyAlignment="1">
      <alignment vertical="center"/>
    </xf>
    <xf numFmtId="0" fontId="2" fillId="4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 vertical="center"/>
    </xf>
    <xf numFmtId="164" fontId="0" fillId="0" borderId="0" xfId="0" applyNumberFormat="1"/>
    <xf numFmtId="0" fontId="2" fillId="6" borderId="0" xfId="0" applyFont="1" applyFill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3" fillId="0" borderId="0" xfId="0" applyFont="1"/>
    <xf numFmtId="0" fontId="0" fillId="0" borderId="0" xfId="0" quotePrefix="1" applyAlignment="1">
      <alignment horizontal="center"/>
    </xf>
    <xf numFmtId="0" fontId="1" fillId="0" borderId="0" xfId="1" applyFont="1"/>
    <xf numFmtId="167" fontId="0" fillId="0" borderId="0" xfId="0" applyNumberFormat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164" fontId="3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0" fillId="0" borderId="0" xfId="0" applyAlignment="1">
      <alignment wrapText="1"/>
    </xf>
    <xf numFmtId="1" fontId="0" fillId="0" borderId="0" xfId="0" applyNumberFormat="1" applyAlignment="1">
      <alignment horizontal="center" wrapText="1"/>
    </xf>
    <xf numFmtId="0" fontId="12" fillId="0" borderId="0" xfId="2" applyFont="1" applyAlignment="1">
      <alignment horizontal="center"/>
    </xf>
    <xf numFmtId="0" fontId="12" fillId="0" borderId="0" xfId="0" applyFont="1"/>
    <xf numFmtId="0" fontId="14" fillId="0" borderId="0" xfId="0" applyFont="1" applyAlignment="1">
      <alignment horizontal="center"/>
    </xf>
    <xf numFmtId="0" fontId="2" fillId="4" borderId="0" xfId="1" applyFont="1" applyFill="1" applyAlignment="1">
      <alignment horizontal="center"/>
    </xf>
    <xf numFmtId="0" fontId="2" fillId="4" borderId="1" xfId="1" applyFont="1" applyFill="1" applyBorder="1" applyAlignment="1">
      <alignment horizontal="center"/>
    </xf>
    <xf numFmtId="0" fontId="2" fillId="4" borderId="1" xfId="1" applyFont="1" applyFill="1" applyBorder="1" applyAlignment="1">
      <alignment horizontal="center" vertical="center"/>
    </xf>
    <xf numFmtId="0" fontId="2" fillId="6" borderId="1" xfId="1" applyFont="1" applyFill="1" applyBorder="1" applyAlignment="1">
      <alignment horizontal="center"/>
    </xf>
    <xf numFmtId="0" fontId="2" fillId="6" borderId="0" xfId="1" applyFont="1" applyFill="1" applyAlignment="1">
      <alignment horizontal="center"/>
    </xf>
    <xf numFmtId="0" fontId="2" fillId="6" borderId="1" xfId="1" applyFont="1" applyFill="1" applyBorder="1" applyAlignment="1">
      <alignment horizontal="center" vertical="center"/>
    </xf>
    <xf numFmtId="0" fontId="2" fillId="8" borderId="1" xfId="1" applyFont="1" applyFill="1" applyBorder="1" applyAlignment="1">
      <alignment horizontal="center"/>
    </xf>
    <xf numFmtId="0" fontId="0" fillId="0" borderId="0" xfId="0" applyAlignment="1">
      <alignment horizontal="left"/>
    </xf>
    <xf numFmtId="165" fontId="12" fillId="0" borderId="0" xfId="0" applyNumberFormat="1" applyFont="1" applyAlignment="1">
      <alignment horizontal="center"/>
    </xf>
    <xf numFmtId="165" fontId="14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2" fillId="0" borderId="0" xfId="0" applyFont="1" applyAlignment="1">
      <alignment vertical="center" wrapText="1"/>
    </xf>
    <xf numFmtId="0" fontId="0" fillId="11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12" borderId="3" xfId="0" applyFill="1" applyBorder="1" applyAlignment="1">
      <alignment horizontal="center"/>
    </xf>
    <xf numFmtId="0" fontId="0" fillId="13" borderId="3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6" fillId="0" borderId="0" xfId="0" applyFont="1"/>
    <xf numFmtId="0" fontId="0" fillId="11" borderId="3" xfId="0" applyFill="1" applyBorder="1"/>
    <xf numFmtId="0" fontId="0" fillId="2" borderId="3" xfId="0" applyFill="1" applyBorder="1"/>
    <xf numFmtId="0" fontId="0" fillId="10" borderId="3" xfId="0" applyFill="1" applyBorder="1"/>
    <xf numFmtId="0" fontId="0" fillId="7" borderId="3" xfId="0" applyFill="1" applyBorder="1"/>
    <xf numFmtId="0" fontId="0" fillId="12" borderId="3" xfId="0" applyFill="1" applyBorder="1"/>
    <xf numFmtId="166" fontId="12" fillId="0" borderId="0" xfId="0" applyNumberFormat="1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3" fillId="0" borderId="0" xfId="0" applyFont="1" applyAlignment="1">
      <alignment horizontal="left" vertical="center"/>
    </xf>
    <xf numFmtId="0" fontId="12" fillId="0" borderId="0" xfId="0" applyFont="1" applyAlignment="1">
      <alignment horizontal="left" vertical="top"/>
    </xf>
    <xf numFmtId="1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top"/>
    </xf>
    <xf numFmtId="0" fontId="2" fillId="0" borderId="3" xfId="0" applyFon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2" fillId="0" borderId="6" xfId="0" applyFont="1" applyBorder="1"/>
    <xf numFmtId="0" fontId="0" fillId="0" borderId="6" xfId="0" applyBorder="1"/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9" borderId="0" xfId="0" applyFont="1" applyFill="1" applyAlignment="1">
      <alignment horizontal="center"/>
    </xf>
    <xf numFmtId="0" fontId="2" fillId="9" borderId="2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10" borderId="0" xfId="0" applyFont="1" applyFill="1" applyAlignment="1">
      <alignment horizontal="center"/>
    </xf>
    <xf numFmtId="0" fontId="2" fillId="10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7" borderId="0" xfId="0" applyFont="1" applyFill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</cellXfs>
  <cellStyles count="3">
    <cellStyle name="Hyperlink" xfId="1" builtinId="8"/>
    <cellStyle name="Normal" xfId="0" builtinId="0"/>
    <cellStyle name="Normal 2" xfId="2" xr:uid="{D01D4CD0-3AB1-B54F-858B-C309543AFB06}"/>
  </cellStyles>
  <dxfs count="8">
    <dxf>
      <fill>
        <patternFill>
          <bgColor rgb="FF44B3E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5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44B3E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5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44B3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B3598-B590-D942-948B-875EC5DACFF4}">
  <sheetPr codeName="Sheet1"/>
  <dimension ref="A1:GP113"/>
  <sheetViews>
    <sheetView zoomScale="125" zoomScaleNormal="133" workbookViewId="0">
      <selection activeCell="B23" sqref="B23"/>
    </sheetView>
  </sheetViews>
  <sheetFormatPr baseColWidth="10" defaultRowHeight="16" x14ac:dyDescent="0.2"/>
  <cols>
    <col min="1" max="1" width="37" style="50" bestFit="1" customWidth="1"/>
    <col min="2" max="2" width="15" style="1" bestFit="1" customWidth="1"/>
    <col min="3" max="3" width="13.5" style="4" bestFit="1" customWidth="1"/>
    <col min="4" max="4" width="8.1640625" style="4" bestFit="1" customWidth="1"/>
    <col min="5" max="5" width="8.1640625" style="4" customWidth="1"/>
    <col min="6" max="6" width="11.5" style="1" customWidth="1"/>
    <col min="7" max="7" width="19.1640625" style="1" bestFit="1" customWidth="1"/>
    <col min="8" max="8" width="11.33203125" style="1" bestFit="1" customWidth="1"/>
    <col min="9" max="150" width="11" style="1" bestFit="1" customWidth="1"/>
    <col min="151" max="152" width="11.6640625" style="1" bestFit="1" customWidth="1"/>
    <col min="153" max="153" width="12.6640625" style="1" bestFit="1" customWidth="1"/>
    <col min="154" max="156" width="11.6640625" style="1" bestFit="1" customWidth="1"/>
    <col min="157" max="161" width="11" style="1" bestFit="1" customWidth="1"/>
    <col min="162" max="162" width="11.6640625" style="1" bestFit="1" customWidth="1"/>
    <col min="163" max="165" width="11" style="1" bestFit="1" customWidth="1"/>
    <col min="166" max="167" width="12.6640625" style="1" bestFit="1" customWidth="1"/>
    <col min="168" max="168" width="11.6640625" style="1" bestFit="1" customWidth="1"/>
    <col min="169" max="170" width="12.6640625" style="1" bestFit="1" customWidth="1"/>
    <col min="171" max="172" width="14.1640625" style="1" bestFit="1" customWidth="1"/>
    <col min="173" max="188" width="12" style="1" bestFit="1" customWidth="1"/>
    <col min="189" max="191" width="13" style="1" bestFit="1" customWidth="1"/>
    <col min="192" max="192" width="12" style="1" bestFit="1" customWidth="1"/>
    <col min="193" max="193" width="13" style="1" bestFit="1" customWidth="1"/>
    <col min="194" max="195" width="12" style="1" bestFit="1" customWidth="1"/>
    <col min="196" max="196" width="13" style="1" bestFit="1" customWidth="1"/>
    <col min="197" max="197" width="11.33203125" style="1" bestFit="1" customWidth="1"/>
    <col min="198" max="198" width="13" style="1" bestFit="1" customWidth="1"/>
    <col min="199" max="16384" width="10.83203125" style="1"/>
  </cols>
  <sheetData>
    <row r="1" spans="1:198" x14ac:dyDescent="0.2">
      <c r="A1" s="50" t="s">
        <v>847</v>
      </c>
      <c r="H1" s="1" t="s">
        <v>447</v>
      </c>
      <c r="I1" s="1" t="str">
        <f ca="1">OFFSET(Database!$F114,0,COLUMN(Database!F114)*2-12)</f>
        <v>MGP</v>
      </c>
      <c r="J1" s="1" t="str">
        <f ca="1">OFFSET(Database!$F114,0,COLUMN(Database!G114)*2-12)</f>
        <v>MGP</v>
      </c>
      <c r="K1" s="1" t="str">
        <f ca="1">OFFSET(Database!$F114,0,COLUMN(Database!H114)*2-12)</f>
        <v>IMG</v>
      </c>
      <c r="L1" s="1" t="str">
        <f ca="1">OFFSET(Database!$F114,0,COLUMN(Database!I114)*2-12)</f>
        <v>IMG</v>
      </c>
      <c r="M1" s="1" t="str">
        <f ca="1">OFFSET(Database!$F114,0,COLUMN(Database!J114)*2-12)</f>
        <v>IMG</v>
      </c>
      <c r="N1" s="1" t="str">
        <f ca="1">OFFSET(Database!$F114,0,COLUMN(Database!K114)*2-12)</f>
        <v>CR</v>
      </c>
      <c r="O1" s="1" t="str">
        <f ca="1">OFFSET(Database!$F114,0,COLUMN(Database!L114)*2-12)</f>
        <v>CR</v>
      </c>
      <c r="P1" s="1" t="str">
        <f ca="1">OFFSET(Database!$F114,0,COLUMN(Database!M114)*2-12)</f>
        <v>CR</v>
      </c>
      <c r="Q1" s="1" t="str">
        <f ca="1">OFFSET(Database!$F114,0,COLUMN(Database!N114)*2-12)</f>
        <v>CR</v>
      </c>
      <c r="R1" s="1" t="str">
        <f ca="1">OFFSET(Database!$F114,0,COLUMN(Database!O114)*2-12)</f>
        <v>CR</v>
      </c>
      <c r="S1" s="1" t="str">
        <f ca="1">OFFSET(Database!$F114,0,COLUMN(Database!P114)*2-12)</f>
        <v>CR</v>
      </c>
      <c r="T1" s="1" t="str">
        <f ca="1">OFFSET(Database!$F114,0,COLUMN(Database!Q114)*2-12)</f>
        <v>CR</v>
      </c>
      <c r="U1" s="1" t="str">
        <f ca="1">OFFSET(Database!$F114,0,COLUMN(Database!R114)*2-12)</f>
        <v>CR</v>
      </c>
      <c r="V1" s="1" t="str">
        <f ca="1">OFFSET(Database!$F114,0,COLUMN(Database!S114)*2-12)</f>
        <v>CM</v>
      </c>
      <c r="W1" s="1" t="str">
        <f ca="1">OFFSET(Database!$F114,0,COLUMN(Database!T114)*2-12)</f>
        <v>CM</v>
      </c>
      <c r="X1" s="1" t="str">
        <f ca="1">OFFSET(Database!$F114,0,COLUMN(Database!U114)*2-12)</f>
        <v>CM</v>
      </c>
      <c r="Y1" s="1" t="str">
        <f ca="1">OFFSET(Database!$F114,0,COLUMN(Database!V114)*2-12)</f>
        <v>CM</v>
      </c>
      <c r="Z1" s="1" t="str">
        <f ca="1">OFFSET(Database!$F114,0,COLUMN(Database!W114)*2-12)</f>
        <v>CM</v>
      </c>
      <c r="AA1" s="1" t="str">
        <f ca="1">OFFSET(Database!$F114,0,COLUMN(Database!X114)*2-12)</f>
        <v>CM</v>
      </c>
      <c r="AB1" s="1" t="str">
        <f ca="1">OFFSET(Database!$F114,0,COLUMN(Database!Y114)*2-12)</f>
        <v>CM</v>
      </c>
      <c r="AC1" s="1" t="str">
        <f ca="1">OFFSET(Database!$F114,0,COLUMN(Database!Z114)*2-12)</f>
        <v>CM</v>
      </c>
      <c r="AD1" s="1" t="str">
        <f ca="1">OFFSET(Database!$F114,0,COLUMN(Database!AA114)*2-12)</f>
        <v>CM</v>
      </c>
      <c r="AE1" s="1" t="str">
        <f ca="1">OFFSET(Database!$F114,0,COLUMN(Database!AB114)*2-12)</f>
        <v>CM</v>
      </c>
      <c r="AF1" s="1" t="str">
        <f ca="1">OFFSET(Database!$F114,0,COLUMN(Database!AC114)*2-12)</f>
        <v>CM</v>
      </c>
      <c r="AG1" s="1" t="str">
        <f ca="1">OFFSET(Database!$F114,0,COLUMN(Database!AD114)*2-12)</f>
        <v>CM</v>
      </c>
      <c r="AH1" s="1" t="str">
        <f ca="1">OFFSET(Database!$F114,0,COLUMN(Database!AE114)*2-12)</f>
        <v>CM</v>
      </c>
      <c r="AI1" s="1" t="str">
        <f ca="1">OFFSET(Database!$F114,0,COLUMN(Database!AF114)*2-12)</f>
        <v>CM</v>
      </c>
      <c r="AJ1" s="1" t="str">
        <f ca="1">OFFSET(Database!$F114,0,COLUMN(Database!AG114)*2-12)</f>
        <v>CM</v>
      </c>
      <c r="AK1" s="1" t="str">
        <f ca="1">OFFSET(Database!$F114,0,COLUMN(Database!AH114)*2-12)</f>
        <v>CM</v>
      </c>
      <c r="AL1" s="1" t="str">
        <f ca="1">OFFSET(Database!$F114,0,COLUMN(Database!AI114)*2-12)</f>
        <v>CM</v>
      </c>
      <c r="AM1" s="1" t="str">
        <f ca="1">OFFSET(Database!$F114,0,COLUMN(Database!AJ114)*2-12)</f>
        <v>CM</v>
      </c>
      <c r="AN1" s="1" t="str">
        <f ca="1">OFFSET(Database!$F114,0,COLUMN(Database!AK114)*2-12)</f>
        <v>CM</v>
      </c>
      <c r="AO1" s="1" t="str">
        <f ca="1">OFFSET(Database!$F114,0,COLUMN(Database!AL114)*2-12)</f>
        <v>CI</v>
      </c>
      <c r="AP1" s="1" t="str">
        <f ca="1">OFFSET(Database!$F114,0,COLUMN(Database!AM114)*2-12)</f>
        <v>CI</v>
      </c>
      <c r="AQ1" s="1" t="str">
        <f ca="1">OFFSET(Database!$F114,0,COLUMN(Database!AN114)*2-12)</f>
        <v>CI</v>
      </c>
      <c r="AR1" s="1" t="str">
        <f ca="1">OFFSET(Database!$F114,0,COLUMN(Database!AO114)*2-12)</f>
        <v>CI</v>
      </c>
      <c r="AS1" s="1" t="str">
        <f ca="1">OFFSET(Database!$F114,0,COLUMN(Database!AP114)*2-12)</f>
        <v>Ureilites</v>
      </c>
      <c r="AT1" s="1" t="str">
        <f ca="1">OFFSET(Database!$F114,0,COLUMN(Database!AQ114)*2-12)</f>
        <v>Ureilites</v>
      </c>
      <c r="AU1" s="1" t="str">
        <f ca="1">OFFSET(Database!$F114,0,COLUMN(Database!AR114)*2-12)</f>
        <v>Ureilites</v>
      </c>
      <c r="AV1" s="1" t="str">
        <f ca="1">OFFSET(Database!$F114,0,COLUMN(Database!AS114)*2-12)</f>
        <v>Ureilites</v>
      </c>
      <c r="AW1" s="1" t="str">
        <f ca="1">OFFSET(Database!$F114,0,COLUMN(Database!AT114)*2-12)</f>
        <v>Ureilites</v>
      </c>
      <c r="AX1" s="1" t="str">
        <f ca="1">OFFSET(Database!$F114,0,COLUMN(Database!AU114)*2-12)</f>
        <v>Ureilites</v>
      </c>
      <c r="AY1" s="1" t="str">
        <f ca="1">OFFSET(Database!$F114,0,COLUMN(Database!AV114)*2-12)</f>
        <v>CV</v>
      </c>
      <c r="AZ1" s="1" t="str">
        <f ca="1">OFFSET(Database!$F114,0,COLUMN(Database!AW114)*2-12)</f>
        <v>CV</v>
      </c>
      <c r="BA1" s="1" t="str">
        <f ca="1">OFFSET(Database!$F114,0,COLUMN(Database!AX114)*2-12)</f>
        <v>CV</v>
      </c>
      <c r="BB1" s="1" t="str">
        <f ca="1">OFFSET(Database!$F114,0,COLUMN(Database!AY114)*2-12)</f>
        <v>CV</v>
      </c>
      <c r="BC1" s="1" t="str">
        <f ca="1">OFFSET(Database!$F114,0,COLUMN(Database!AZ114)*2-12)</f>
        <v>CV</v>
      </c>
      <c r="BD1" s="1" t="str">
        <f ca="1">OFFSET(Database!$F114,0,COLUMN(Database!BA114)*2-12)</f>
        <v>CV</v>
      </c>
      <c r="BE1" s="1" t="str">
        <f ca="1">OFFSET(Database!$F114,0,COLUMN(Database!BB114)*2-12)</f>
        <v>CO</v>
      </c>
      <c r="BF1" s="1" t="str">
        <f ca="1">OFFSET(Database!$F114,0,COLUMN(Database!BC114)*2-12)</f>
        <v>CO</v>
      </c>
      <c r="BG1" s="1" t="str">
        <f ca="1">OFFSET(Database!$F114,0,COLUMN(Database!BD114)*2-12)</f>
        <v>CO</v>
      </c>
      <c r="BH1" s="1" t="str">
        <f ca="1">OFFSET(Database!$F114,0,COLUMN(Database!BE114)*2-12)</f>
        <v>CO</v>
      </c>
      <c r="BI1" s="1" t="str">
        <f ca="1">OFFSET(Database!$F114,0,COLUMN(Database!BF114)*2-12)</f>
        <v>CO</v>
      </c>
      <c r="BJ1" s="1" t="str">
        <f ca="1">OFFSET(Database!$F114,0,COLUMN(Database!BG114)*2-12)</f>
        <v>CH</v>
      </c>
      <c r="BK1" s="1" t="str">
        <f ca="1">OFFSET(Database!$F114,0,COLUMN(Database!BH114)*2-12)</f>
        <v>CH</v>
      </c>
      <c r="BL1" s="1" t="str">
        <f ca="1">OFFSET(Database!$F114,0,COLUMN(Database!BI114)*2-12)</f>
        <v>CH</v>
      </c>
      <c r="BM1" s="1" t="str">
        <f ca="1">OFFSET(Database!$F114,0,COLUMN(Database!BJ114)*2-12)</f>
        <v>CB</v>
      </c>
      <c r="BN1" s="1" t="str">
        <f ca="1">OFFSET(Database!$F114,0,COLUMN(Database!BK114)*2-12)</f>
        <v>CB</v>
      </c>
      <c r="BO1" s="1" t="str">
        <f ca="1">OFFSET(Database!$F114,0,COLUMN(Database!BL114)*2-12)</f>
        <v>CB</v>
      </c>
      <c r="BP1" s="1" t="str">
        <f ca="1">OFFSET(Database!$F114,0,COLUMN(Database!BM114)*2-12)</f>
        <v>CK</v>
      </c>
      <c r="BQ1" s="1" t="str">
        <f ca="1">OFFSET(Database!$F114,0,COLUMN(Database!BN114)*2-12)</f>
        <v>CK</v>
      </c>
      <c r="BR1" s="1" t="str">
        <f ca="1">OFFSET(Database!$F114,0,COLUMN(Database!BO114)*2-12)</f>
        <v>CK</v>
      </c>
      <c r="BS1" s="1" t="str">
        <f ca="1">OFFSET(Database!$F114,0,COLUMN(Database!BP114)*2-12)</f>
        <v>CK</v>
      </c>
      <c r="BT1" s="1" t="str">
        <f ca="1">OFFSET(Database!$F114,0,COLUMN(Database!BQ114)*2-12)</f>
        <v>CK</v>
      </c>
      <c r="BU1" s="1" t="str">
        <f ca="1">OFFSET(Database!$F114,0,COLUMN(Database!BR114)*2-12)</f>
        <v>CK</v>
      </c>
      <c r="BV1" s="1" t="str">
        <f ca="1">OFFSET(Database!$F114,0,COLUMN(Database!BS114)*2-12)</f>
        <v>CK</v>
      </c>
      <c r="BW1" s="1" t="str">
        <f ca="1">OFFSET(Database!$F114,0,COLUMN(Database!BT114)*2-12)</f>
        <v>Enstatite</v>
      </c>
      <c r="BX1" s="1" t="str">
        <f ca="1">OFFSET(Database!$F114,0,COLUMN(Database!BU114)*2-12)</f>
        <v>Enstatite</v>
      </c>
      <c r="BY1" s="1" t="str">
        <f ca="1">OFFSET(Database!$F114,0,COLUMN(Database!BV114)*2-12)</f>
        <v>Enstatite</v>
      </c>
      <c r="BZ1" s="1" t="str">
        <f ca="1">OFFSET(Database!$F114,0,COLUMN(Database!BW114)*2-12)</f>
        <v>CO</v>
      </c>
      <c r="CA1" s="1" t="str">
        <f ca="1">OFFSET(Database!$F114,0,COLUMN(Database!BX114)*2-12)</f>
        <v>CO</v>
      </c>
      <c r="CB1" s="1" t="str">
        <f ca="1">OFFSET(Database!$F114,0,COLUMN(Database!BY114)*2-12)</f>
        <v>Lunar</v>
      </c>
      <c r="CC1" s="1" t="str">
        <f ca="1">OFFSET(Database!$F114,0,COLUMN(Database!BZ114)*2-12)</f>
        <v>Lunar</v>
      </c>
      <c r="CD1" s="1" t="str">
        <f ca="1">OFFSET(Database!$F114,0,COLUMN(Database!CA114)*2-12)</f>
        <v>Lunar</v>
      </c>
      <c r="CE1" s="1" t="str">
        <f ca="1">OFFSET(Database!$F114,0,COLUMN(Database!CB114)*2-12)</f>
        <v>Lunar</v>
      </c>
      <c r="CF1" s="1" t="str">
        <f ca="1">OFFSET(Database!$F114,0,COLUMN(Database!CC114)*2-12)</f>
        <v>Lunar</v>
      </c>
      <c r="CG1" s="1" t="str">
        <f ca="1">OFFSET(Database!$F114,0,COLUMN(Database!CD114)*2-12)</f>
        <v>Lunar</v>
      </c>
      <c r="CH1" s="1" t="str">
        <f ca="1">OFFSET(Database!$F114,0,COLUMN(Database!CE114)*2-12)</f>
        <v>Lunar</v>
      </c>
      <c r="CI1" s="1" t="str">
        <f ca="1">OFFSET(Database!$F114,0,COLUMN(Database!CF114)*2-12)</f>
        <v>Lunar</v>
      </c>
      <c r="CJ1" s="1" t="str">
        <f ca="1">OFFSET(Database!$F114,0,COLUMN(Database!CG114)*2-12)</f>
        <v>Lunar</v>
      </c>
      <c r="CK1" s="1" t="str">
        <f ca="1">OFFSET(Database!$F114,0,COLUMN(Database!CH114)*2-12)</f>
        <v>Lunar</v>
      </c>
      <c r="CL1" s="1" t="str">
        <f ca="1">OFFSET(Database!$F114,0,COLUMN(Database!CI114)*2-12)</f>
        <v>Lunar</v>
      </c>
      <c r="CM1" s="1" t="str">
        <f ca="1">OFFSET(Database!$F114,0,COLUMN(Database!CJ114)*2-12)</f>
        <v>Lunar</v>
      </c>
      <c r="CN1" s="1" t="str">
        <f ca="1">OFFSET(Database!$F114,0,COLUMN(Database!CK114)*2-12)</f>
        <v>Lunar</v>
      </c>
      <c r="CO1" s="1" t="str">
        <f ca="1">OFFSET(Database!$F114,0,COLUMN(Database!CL114)*2-12)</f>
        <v>Lunar</v>
      </c>
      <c r="CP1" s="1" t="str">
        <f ca="1">OFFSET(Database!$F114,0,COLUMN(Database!CM114)*2-12)</f>
        <v>Lunar</v>
      </c>
      <c r="CQ1" s="1" t="str">
        <f ca="1">OFFSET(Database!$F114,0,COLUMN(Database!CN114)*2-12)</f>
        <v>Lunar</v>
      </c>
      <c r="CR1" s="1" t="str">
        <f ca="1">OFFSET(Database!$F114,0,COLUMN(Database!CO114)*2-12)</f>
        <v>Lunar</v>
      </c>
      <c r="CS1" s="1" t="str">
        <f ca="1">OFFSET(Database!$F114,0,COLUMN(Database!CP114)*2-12)</f>
        <v>Lunar</v>
      </c>
      <c r="CT1" s="1" t="str">
        <f ca="1">OFFSET(Database!$F114,0,COLUMN(Database!CQ114)*2-12)</f>
        <v>Lunar</v>
      </c>
      <c r="CU1" s="1" t="str">
        <f ca="1">OFFSET(Database!$F114,0,COLUMN(Database!CR114)*2-12)</f>
        <v>Lunar</v>
      </c>
      <c r="CV1" s="1" t="str">
        <f ca="1">OFFSET(Database!$F114,0,COLUMN(Database!CS114)*2-12)</f>
        <v>Lunar</v>
      </c>
      <c r="CW1" s="1" t="str">
        <f ca="1">OFFSET(Database!$F114,0,COLUMN(Database!CT114)*2-12)</f>
        <v>Lunar</v>
      </c>
      <c r="CX1" s="1" t="str">
        <f ca="1">OFFSET(Database!$F114,0,COLUMN(Database!CU114)*2-12)</f>
        <v>Lunar</v>
      </c>
      <c r="CY1" s="1" t="str">
        <f ca="1">OFFSET(Database!$F114,0,COLUMN(Database!CV114)*2-12)</f>
        <v>Lunar</v>
      </c>
      <c r="CZ1" s="1" t="str">
        <f ca="1">OFFSET(Database!$F114,0,COLUMN(Database!CW114)*2-12)</f>
        <v>Lunar</v>
      </c>
      <c r="DA1" s="1" t="str">
        <f ca="1">OFFSET(Database!$F114,0,COLUMN(Database!CX114)*2-12)</f>
        <v>Lunar</v>
      </c>
      <c r="DB1" s="1" t="str">
        <f ca="1">OFFSET(Database!$F114,0,COLUMN(Database!CY114)*2-12)</f>
        <v>Ryugu</v>
      </c>
      <c r="DC1" s="1" t="str">
        <f ca="1">OFFSET(Database!$F114,0,COLUMN(Database!CZ114)*2-12)</f>
        <v>Ryugu</v>
      </c>
      <c r="DD1" s="1" t="str">
        <f ca="1">OFFSET(Database!$F114,0,COLUMN(Database!DA114)*2-12)</f>
        <v>Bennu</v>
      </c>
      <c r="DE1" s="1" t="str">
        <f ca="1">OFFSET(Database!$F114,0,COLUMN(Database!DB114)*2-12)</f>
        <v>SNC</v>
      </c>
      <c r="DF1" s="1" t="str">
        <f ca="1">OFFSET(Database!$F114,0,COLUMN(Database!DC114)*2-12)</f>
        <v>Non-polar</v>
      </c>
      <c r="DG1" s="1" t="str">
        <f ca="1">OFFSET(Database!$F114,0,COLUMN(Database!DD114)*2-12)</f>
        <v>Non-polar</v>
      </c>
      <c r="DH1" s="1" t="str">
        <f ca="1">OFFSET(Database!$F114,0,COLUMN(Database!DE114)*2-12)</f>
        <v>Non-polar</v>
      </c>
      <c r="DI1" s="1" t="str">
        <f ca="1">OFFSET(Database!$F114,0,COLUMN(Database!DF114)*2-12)</f>
        <v>Non-polar</v>
      </c>
      <c r="DJ1" s="1" t="str">
        <f ca="1">OFFSET(Database!$F114,0,COLUMN(Database!DG114)*2-12)</f>
        <v>Non-polar</v>
      </c>
      <c r="DK1" s="1" t="str">
        <f ca="1">OFFSET(Database!$F114,0,COLUMN(Database!DH114)*2-12)</f>
        <v>Non-polar</v>
      </c>
      <c r="DL1" s="1" t="str">
        <f ca="1">OFFSET(Database!$F114,0,COLUMN(Database!DI114)*2-12)</f>
        <v>Non-polar</v>
      </c>
      <c r="DM1" s="1" t="str">
        <f ca="1">OFFSET(Database!$F114,0,COLUMN(Database!DJ114)*2-12)</f>
        <v>Non-polar</v>
      </c>
      <c r="DN1" s="1" t="str">
        <f ca="1">OFFSET(Database!$F114,0,COLUMN(Database!DK114)*2-12)</f>
        <v>Non-polar</v>
      </c>
      <c r="DO1" s="1" t="str">
        <f ca="1">OFFSET(Database!$F114,0,COLUMN(Database!DL114)*2-12)</f>
        <v>Non-polar</v>
      </c>
      <c r="DP1" s="1" t="str">
        <f ca="1">OFFSET(Database!$F114,0,COLUMN(Database!DM114)*2-12)</f>
        <v>Non-polar</v>
      </c>
      <c r="DQ1" s="1" t="str">
        <f ca="1">OFFSET(Database!$F114,0,COLUMN(Database!DN114)*2-12)</f>
        <v>Non-polar</v>
      </c>
      <c r="DR1" s="1" t="str">
        <f ca="1">OFFSET(Database!$F114,0,COLUMN(Database!DO114)*2-12)</f>
        <v>Non-polar</v>
      </c>
      <c r="DS1" s="1" t="str">
        <f ca="1">OFFSET(Database!$F114,0,COLUMN(Database!DP114)*2-12)</f>
        <v>Non-polar</v>
      </c>
      <c r="DT1" s="1" t="str">
        <f ca="1">OFFSET(Database!$F114,0,COLUMN(Database!DQ114)*2-12)</f>
        <v>Non-polar</v>
      </c>
      <c r="DU1" s="1" t="str">
        <f ca="1">OFFSET(Database!$F114,0,COLUMN(Database!DR114)*2-12)</f>
        <v>Non-polar</v>
      </c>
      <c r="DV1" s="1" t="str">
        <f ca="1">OFFSET(Database!$F114,0,COLUMN(Database!DS114)*2-12)</f>
        <v>Non-polar</v>
      </c>
      <c r="DW1" s="1" t="str">
        <f ca="1">OFFSET(Database!$F114,0,COLUMN(Database!DT114)*2-12)</f>
        <v>Non-polar</v>
      </c>
      <c r="DX1" s="1" t="str">
        <f ca="1">OFFSET(Database!$F114,0,COLUMN(Database!DU114)*2-12)</f>
        <v>Non-polar</v>
      </c>
      <c r="DY1" s="1" t="str">
        <f ca="1">OFFSET(Database!$F114,0,COLUMN(Database!DV114)*2-12)</f>
        <v>Non-polar</v>
      </c>
      <c r="DZ1" s="1" t="str">
        <f ca="1">OFFSET(Database!$F114,0,COLUMN(Database!DW114)*2-12)</f>
        <v>Non-polar</v>
      </c>
      <c r="EA1" s="1" t="str">
        <f ca="1">OFFSET(Database!$F114,0,COLUMN(Database!DX114)*2-12)</f>
        <v>Non-polar</v>
      </c>
      <c r="EB1" s="1" t="str">
        <f ca="1">OFFSET(Database!$F114,0,COLUMN(Database!DY114)*2-12)</f>
        <v>Non-polar</v>
      </c>
      <c r="EC1" s="1" t="str">
        <f ca="1">OFFSET(Database!$F114,0,COLUMN(Database!DZ114)*2-12)</f>
        <v>Non-polar</v>
      </c>
      <c r="ED1" s="1" t="str">
        <f ca="1">OFFSET(Database!$F114,0,COLUMN(Database!EA114)*2-12)</f>
        <v>Polar</v>
      </c>
      <c r="EE1" s="1" t="str">
        <f ca="1">OFFSET(Database!$F114,0,COLUMN(Database!EB114)*2-12)</f>
        <v>Hydrothermal</v>
      </c>
      <c r="EF1" s="1" t="str">
        <f ca="1">OFFSET(Database!$F114,0,COLUMN(Database!EC114)*2-12)</f>
        <v>Hydrothermal</v>
      </c>
      <c r="EG1" s="1" t="str">
        <f ca="1">OFFSET(Database!$F114,0,COLUMN(Database!ED114)*2-12)</f>
        <v>Hydrothermal</v>
      </c>
      <c r="EH1" s="1" t="str">
        <f ca="1">OFFSET(Database!$F114,0,COLUMN(Database!EE114)*2-12)</f>
        <v>Hydrothermal</v>
      </c>
      <c r="EI1" s="1" t="str">
        <f ca="1">OFFSET(Database!$F114,0,COLUMN(Database!EF114)*2-12)</f>
        <v>Hydrothermal</v>
      </c>
      <c r="EJ1" s="1" t="str">
        <f ca="1">OFFSET(Database!$F114,0,COLUMN(Database!EG114)*2-12)</f>
        <v>Hydrothermal</v>
      </c>
      <c r="EK1" s="1" t="str">
        <f ca="1">OFFSET(Database!$F114,0,COLUMN(Database!EH114)*2-12)</f>
        <v>Hydrothermal</v>
      </c>
      <c r="EL1" s="1" t="str">
        <f ca="1">OFFSET(Database!$F114,0,COLUMN(Database!EI114)*2-12)</f>
        <v>Hydrothermal</v>
      </c>
      <c r="EM1" s="1" t="str">
        <f ca="1">OFFSET(Database!$F114,0,COLUMN(Database!EJ114)*2-12)</f>
        <v>Hydrothermal</v>
      </c>
      <c r="EN1" s="1" t="str">
        <f ca="1">OFFSET(Database!$F114,0,COLUMN(Database!EK114)*2-12)</f>
        <v>Hydrothermal</v>
      </c>
      <c r="EO1" s="1" t="str">
        <f ca="1">OFFSET(Database!$F114,0,COLUMN(Database!EL114)*2-12)</f>
        <v>Hydrothermal</v>
      </c>
      <c r="EP1" s="1" t="str">
        <f ca="1">OFFSET(Database!$F114,0,COLUMN(Database!EM114)*2-12)</f>
        <v>Hydrothermal</v>
      </c>
      <c r="EQ1" s="1" t="str">
        <f ca="1">OFFSET(Database!$F114,0,COLUMN(Database!EN114)*2-12)</f>
        <v>Hydrothermal</v>
      </c>
      <c r="ER1" s="1" t="str">
        <f ca="1">OFFSET(Database!$F114,0,COLUMN(Database!EO114)*2-12)</f>
        <v>Shrubland</v>
      </c>
      <c r="ES1" s="1" t="str">
        <f ca="1">OFFSET(Database!$F114,0,COLUMN(Database!EP114)*2-12)</f>
        <v>Shrubland</v>
      </c>
      <c r="ET1" s="1" t="str">
        <f ca="1">OFFSET(Database!$F114,0,COLUMN(Database!EQ114)*2-12)</f>
        <v>Woodland</v>
      </c>
      <c r="EU1" s="1" t="str">
        <f ca="1">OFFSET(Database!$F114,0,COLUMN(Database!ER114)*2-12)</f>
        <v>Rainforest</v>
      </c>
      <c r="EV1" s="1" t="str">
        <f ca="1">OFFSET(Database!$F114,0,COLUMN(Database!ES114)*2-12)</f>
        <v>Rainforest</v>
      </c>
      <c r="EW1" s="1" t="str">
        <f ca="1">OFFSET(Database!$F114,0,COLUMN(Database!ET114)*2-12)</f>
        <v>Grassland</v>
      </c>
      <c r="EX1" s="1" t="str">
        <f ca="1">OFFSET(Database!$F114,0,COLUMN(Database!EU114)*2-12)</f>
        <v>Grassland</v>
      </c>
      <c r="EY1" s="1" t="str">
        <f ca="1">OFFSET(Database!$F114,0,COLUMN(Database!EV114)*2-12)</f>
        <v>Tropical</v>
      </c>
      <c r="EZ1" s="1" t="str">
        <f ca="1">OFFSET(Database!$F114,0,COLUMN(Database!EW114)*2-12)</f>
        <v>Temperate</v>
      </c>
      <c r="FA1" s="1" t="str">
        <f ca="1">OFFSET(Database!$F114,0,COLUMN(Database!EX114)*2-12)</f>
        <v>Semi-arid</v>
      </c>
      <c r="FB1" s="1" t="str">
        <f ca="1">OFFSET(Database!$F114,0,COLUMN(Database!EY114)*2-12)</f>
        <v>Animalia</v>
      </c>
      <c r="FC1" s="1" t="str">
        <f ca="1">OFFSET(Database!$F114,0,COLUMN(Database!EZ114)*2-12)</f>
        <v>Animalia</v>
      </c>
      <c r="FD1" s="1" t="str">
        <f ca="1">OFFSET(Database!$F114,0,COLUMN(Database!FA114)*2-12)</f>
        <v>Animalia</v>
      </c>
      <c r="FE1" s="1" t="str">
        <f ca="1">OFFSET(Database!$F114,0,COLUMN(Database!FB114)*2-12)</f>
        <v>Animalia</v>
      </c>
      <c r="FF1" s="1" t="str">
        <f ca="1">OFFSET(Database!$F114,0,COLUMN(Database!FC114)*2-12)</f>
        <v>Animalia</v>
      </c>
      <c r="FG1" s="1" t="str">
        <f ca="1">OFFSET(Database!$F114,0,COLUMN(Database!FD114)*2-12)</f>
        <v>Animalia</v>
      </c>
      <c r="FH1" s="1" t="str">
        <f ca="1">OFFSET(Database!$F114,0,COLUMN(Database!FE114)*2-12)</f>
        <v>Animalia</v>
      </c>
      <c r="FI1" s="1" t="str">
        <f ca="1">OFFSET(Database!$F114,0,COLUMN(Database!FF114)*2-12)</f>
        <v>Animalia</v>
      </c>
      <c r="FJ1" s="1" t="str">
        <f ca="1">OFFSET(Database!$F114,0,COLUMN(Database!FG114)*2-12)</f>
        <v>Animalia</v>
      </c>
      <c r="FK1" s="1" t="str">
        <f ca="1">OFFSET(Database!$F114,0,COLUMN(Database!FH114)*2-12)</f>
        <v>Animalia</v>
      </c>
      <c r="FL1" s="1" t="str">
        <f ca="1">OFFSET(Database!$F114,0,COLUMN(Database!FI114)*2-12)</f>
        <v>Animalia</v>
      </c>
      <c r="FM1" s="1" t="str">
        <f ca="1">OFFSET(Database!$F114,0,COLUMN(Database!FJ114)*2-12)</f>
        <v>Animalia</v>
      </c>
      <c r="FN1" s="1" t="str">
        <f ca="1">OFFSET(Database!$F114,0,COLUMN(Database!FK114)*2-12)</f>
        <v>Animalia</v>
      </c>
      <c r="FO1" s="1" t="str">
        <f ca="1">OFFSET(Database!$F114,0,COLUMN(Database!FL114)*2-12)</f>
        <v>Animalia</v>
      </c>
      <c r="FP1" s="1" t="str">
        <f ca="1">OFFSET(Database!$F114,0,COLUMN(Database!FM114)*2-12)</f>
        <v>Animalia</v>
      </c>
      <c r="FQ1" s="1" t="str">
        <f ca="1">OFFSET(Database!$F114,0,COLUMN(Database!FN114)*2-12)</f>
        <v>Fungi</v>
      </c>
      <c r="FR1" s="1" t="str">
        <f ca="1">OFFSET(Database!$F114,0,COLUMN(Database!FO114)*2-12)</f>
        <v>Fungi</v>
      </c>
      <c r="FS1" s="1" t="str">
        <f ca="1">OFFSET(Database!$F114,0,COLUMN(Database!FP114)*2-12)</f>
        <v>Fungi</v>
      </c>
      <c r="FT1" s="1" t="str">
        <f ca="1">OFFSET(Database!$F114,0,COLUMN(Database!FQ114)*2-12)</f>
        <v>Fungi</v>
      </c>
      <c r="FU1" s="1" t="str">
        <f ca="1">OFFSET(Database!$F114,0,COLUMN(Database!FR114)*2-12)</f>
        <v>Plantae</v>
      </c>
      <c r="FV1" s="1" t="str">
        <f ca="1">OFFSET(Database!$F114,0,COLUMN(Database!FS114)*2-12)</f>
        <v>Plantae</v>
      </c>
      <c r="FW1" s="1" t="str">
        <f ca="1">OFFSET(Database!$F114,0,COLUMN(Database!FT114)*2-12)</f>
        <v>Plantae</v>
      </c>
      <c r="FX1" s="1" t="str">
        <f ca="1">OFFSET(Database!$F114,0,COLUMN(Database!FU114)*2-12)</f>
        <v>Plantae</v>
      </c>
      <c r="FY1" s="1" t="str">
        <f ca="1">OFFSET(Database!$F114,0,COLUMN(Database!FV114)*2-12)</f>
        <v>Plantae</v>
      </c>
      <c r="FZ1" s="1" t="str">
        <f ca="1">OFFSET(Database!$F114,0,COLUMN(Database!FW114)*2-12)</f>
        <v>Plantae</v>
      </c>
      <c r="GA1" s="1" t="str">
        <f ca="1">OFFSET(Database!$F114,0,COLUMN(Database!FX114)*2-12)</f>
        <v>Plantae</v>
      </c>
      <c r="GB1" s="1" t="str">
        <f ca="1">OFFSET(Database!$F114,0,COLUMN(Database!FY114)*2-12)</f>
        <v>Plantae</v>
      </c>
      <c r="GC1" s="1" t="str">
        <f ca="1">OFFSET(Database!$F114,0,COLUMN(Database!FZ114)*2-12)</f>
        <v>Plantae</v>
      </c>
      <c r="GD1" s="1" t="str">
        <f ca="1">OFFSET(Database!$F114,0,COLUMN(Database!GA114)*2-12)</f>
        <v>Plantae</v>
      </c>
      <c r="GE1" s="1" t="str">
        <f ca="1">OFFSET(Database!$F114,0,COLUMN(Database!GB114)*2-12)</f>
        <v>Plantae</v>
      </c>
      <c r="GF1" s="1" t="str">
        <f ca="1">OFFSET(Database!$F114,0,COLUMN(Database!GC114)*2-12)</f>
        <v>Plantae</v>
      </c>
      <c r="GG1" s="1" t="str">
        <f ca="1">OFFSET(Database!$F114,0,COLUMN(Database!GD114)*2-12)</f>
        <v>Plantae</v>
      </c>
      <c r="GH1" s="1" t="str">
        <f ca="1">OFFSET(Database!$F114,0,COLUMN(Database!GE114)*2-12)</f>
        <v>Plantae</v>
      </c>
      <c r="GI1" s="1" t="str">
        <f ca="1">OFFSET(Database!$F114,0,COLUMN(Database!GF114)*2-12)</f>
        <v>Plantae</v>
      </c>
      <c r="GJ1" s="1" t="str">
        <f ca="1">OFFSET(Database!$F114,0,COLUMN(Database!GG114)*2-12)</f>
        <v>Plantae</v>
      </c>
      <c r="GK1" s="1" t="str">
        <f ca="1">OFFSET(Database!$F114,0,COLUMN(Database!GH114)*2-12)</f>
        <v>Plantae</v>
      </c>
      <c r="GL1" s="1" t="str">
        <f ca="1">OFFSET(Database!$F114,0,COLUMN(Database!GI114)*2-12)</f>
        <v>Plantae</v>
      </c>
      <c r="GM1" s="1" t="str">
        <f ca="1">OFFSET(Database!$F114,0,COLUMN(Database!GJ114)*2-12)</f>
        <v>Plantae</v>
      </c>
      <c r="GN1" s="1" t="str">
        <f ca="1">OFFSET(Database!$F114,0,COLUMN(Database!GK114)*2-12)</f>
        <v>Bacteria</v>
      </c>
      <c r="GO1" s="1" t="str">
        <f ca="1">OFFSET(Database!$F114,0,COLUMN(Database!GL114)*2-12)</f>
        <v>ISCS</v>
      </c>
      <c r="GP1" s="1" t="str">
        <f ca="1">OFFSET(Database!$F114,0,COLUMN(Database!GM114)*2-12)</f>
        <v>ISCS</v>
      </c>
    </row>
    <row r="2" spans="1:198" x14ac:dyDescent="0.2">
      <c r="A2" s="50" t="s">
        <v>848</v>
      </c>
      <c r="H2" s="1" t="s">
        <v>849</v>
      </c>
      <c r="I2" s="1">
        <f ca="1">OFFSET(Database!$F115,0,COLUMN(Database!F115)*2-12)</f>
        <v>0</v>
      </c>
      <c r="J2" s="1">
        <f ca="1">OFFSET(Database!$F115,0,COLUMN(Database!G115)*2-12)</f>
        <v>0</v>
      </c>
      <c r="K2" s="1">
        <f ca="1">OFFSET(Database!$F115,0,COLUMN(Database!H115)*2-12)</f>
        <v>0</v>
      </c>
      <c r="L2" s="1">
        <f ca="1">OFFSET(Database!$F115,0,COLUMN(Database!I115)*2-12)</f>
        <v>0</v>
      </c>
      <c r="M2" s="1">
        <f ca="1">OFFSET(Database!$F115,0,COLUMN(Database!J115)*2-12)</f>
        <v>0</v>
      </c>
      <c r="N2" s="1">
        <f ca="1">OFFSET(Database!$F115,0,COLUMN(Database!K115)*2-12)</f>
        <v>0</v>
      </c>
      <c r="O2" s="1">
        <f ca="1">OFFSET(Database!$F115,0,COLUMN(Database!L115)*2-12)</f>
        <v>0</v>
      </c>
      <c r="P2" s="1">
        <f ca="1">OFFSET(Database!$F115,0,COLUMN(Database!M115)*2-12)</f>
        <v>0</v>
      </c>
      <c r="Q2" s="1">
        <f ca="1">OFFSET(Database!$F115,0,COLUMN(Database!N115)*2-12)</f>
        <v>0</v>
      </c>
      <c r="R2" s="1">
        <f ca="1">OFFSET(Database!$F115,0,COLUMN(Database!O115)*2-12)</f>
        <v>0</v>
      </c>
      <c r="S2" s="1">
        <f ca="1">OFFSET(Database!$F115,0,COLUMN(Database!P115)*2-12)</f>
        <v>0</v>
      </c>
      <c r="T2" s="1">
        <f ca="1">OFFSET(Database!$F115,0,COLUMN(Database!Q115)*2-12)</f>
        <v>0</v>
      </c>
      <c r="U2" s="1">
        <f ca="1">OFFSET(Database!$F115,0,COLUMN(Database!R115)*2-12)</f>
        <v>0</v>
      </c>
      <c r="V2" s="1">
        <f ca="1">OFFSET(Database!$F115,0,COLUMN(Database!S115)*2-12)</f>
        <v>0</v>
      </c>
      <c r="W2" s="1">
        <f ca="1">OFFSET(Database!$F115,0,COLUMN(Database!T115)*2-12)</f>
        <v>0</v>
      </c>
      <c r="X2" s="1">
        <f ca="1">OFFSET(Database!$F115,0,COLUMN(Database!U115)*2-12)</f>
        <v>0</v>
      </c>
      <c r="Y2" s="1">
        <f ca="1">OFFSET(Database!$F115,0,COLUMN(Database!V115)*2-12)</f>
        <v>0</v>
      </c>
      <c r="Z2" s="1">
        <f ca="1">OFFSET(Database!$F115,0,COLUMN(Database!W115)*2-12)</f>
        <v>0</v>
      </c>
      <c r="AA2" s="1">
        <f ca="1">OFFSET(Database!$F115,0,COLUMN(Database!X115)*2-12)</f>
        <v>0</v>
      </c>
      <c r="AB2" s="1">
        <f ca="1">OFFSET(Database!$F115,0,COLUMN(Database!Y115)*2-12)</f>
        <v>0</v>
      </c>
      <c r="AC2" s="1">
        <f ca="1">OFFSET(Database!$F115,0,COLUMN(Database!Z115)*2-12)</f>
        <v>0</v>
      </c>
      <c r="AD2" s="1">
        <f ca="1">OFFSET(Database!$F115,0,COLUMN(Database!AA115)*2-12)</f>
        <v>0</v>
      </c>
      <c r="AE2" s="1">
        <f ca="1">OFFSET(Database!$F115,0,COLUMN(Database!AB115)*2-12)</f>
        <v>0</v>
      </c>
      <c r="AF2" s="1">
        <f ca="1">OFFSET(Database!$F115,0,COLUMN(Database!AC115)*2-12)</f>
        <v>0</v>
      </c>
      <c r="AG2" s="1">
        <f ca="1">OFFSET(Database!$F115,0,COLUMN(Database!AD115)*2-12)</f>
        <v>0</v>
      </c>
      <c r="AH2" s="1">
        <f ca="1">OFFSET(Database!$F115,0,COLUMN(Database!AE115)*2-12)</f>
        <v>0</v>
      </c>
      <c r="AI2" s="1">
        <f ca="1">OFFSET(Database!$F115,0,COLUMN(Database!AF115)*2-12)</f>
        <v>0</v>
      </c>
      <c r="AJ2" s="1">
        <f ca="1">OFFSET(Database!$F115,0,COLUMN(Database!AG115)*2-12)</f>
        <v>0</v>
      </c>
      <c r="AK2" s="1">
        <f ca="1">OFFSET(Database!$F115,0,COLUMN(Database!AH115)*2-12)</f>
        <v>0</v>
      </c>
      <c r="AL2" s="1">
        <f ca="1">OFFSET(Database!$F115,0,COLUMN(Database!AI115)*2-12)</f>
        <v>0</v>
      </c>
      <c r="AM2" s="1">
        <f ca="1">OFFSET(Database!$F115,0,COLUMN(Database!AJ115)*2-12)</f>
        <v>0</v>
      </c>
      <c r="AN2" s="1">
        <f ca="1">OFFSET(Database!$F115,0,COLUMN(Database!AK115)*2-12)</f>
        <v>0</v>
      </c>
      <c r="AO2" s="1">
        <f ca="1">OFFSET(Database!$F115,0,COLUMN(Database!AL115)*2-12)</f>
        <v>0</v>
      </c>
      <c r="AP2" s="1">
        <f ca="1">OFFSET(Database!$F115,0,COLUMN(Database!AM115)*2-12)</f>
        <v>0</v>
      </c>
      <c r="AQ2" s="1">
        <f ca="1">OFFSET(Database!$F115,0,COLUMN(Database!AN115)*2-12)</f>
        <v>0</v>
      </c>
      <c r="AR2" s="1">
        <f ca="1">OFFSET(Database!$F115,0,COLUMN(Database!AO115)*2-12)</f>
        <v>0</v>
      </c>
      <c r="AS2" s="1">
        <f ca="1">OFFSET(Database!$F115,0,COLUMN(Database!AP115)*2-12)</f>
        <v>0</v>
      </c>
      <c r="AT2" s="1">
        <f ca="1">OFFSET(Database!$F115,0,COLUMN(Database!AQ115)*2-12)</f>
        <v>0</v>
      </c>
      <c r="AU2" s="1">
        <f ca="1">OFFSET(Database!$F115,0,COLUMN(Database!AR115)*2-12)</f>
        <v>0</v>
      </c>
      <c r="AV2" s="1">
        <f ca="1">OFFSET(Database!$F115,0,COLUMN(Database!AS115)*2-12)</f>
        <v>0</v>
      </c>
      <c r="AW2" s="1">
        <f ca="1">OFFSET(Database!$F115,0,COLUMN(Database!AT115)*2-12)</f>
        <v>0</v>
      </c>
      <c r="AX2" s="1">
        <f ca="1">OFFSET(Database!$F115,0,COLUMN(Database!AU115)*2-12)</f>
        <v>0</v>
      </c>
      <c r="AY2" s="1">
        <f ca="1">OFFSET(Database!$F115,0,COLUMN(Database!AV115)*2-12)</f>
        <v>0</v>
      </c>
      <c r="AZ2" s="1">
        <f ca="1">OFFSET(Database!$F115,0,COLUMN(Database!AW115)*2-12)</f>
        <v>0</v>
      </c>
      <c r="BA2" s="1">
        <f ca="1">OFFSET(Database!$F115,0,COLUMN(Database!AX115)*2-12)</f>
        <v>0</v>
      </c>
      <c r="BB2" s="1">
        <f ca="1">OFFSET(Database!$F115,0,COLUMN(Database!AY115)*2-12)</f>
        <v>0</v>
      </c>
      <c r="BC2" s="1">
        <f ca="1">OFFSET(Database!$F115,0,COLUMN(Database!AZ115)*2-12)</f>
        <v>0</v>
      </c>
      <c r="BD2" s="1">
        <f ca="1">OFFSET(Database!$F115,0,COLUMN(Database!BA115)*2-12)</f>
        <v>0</v>
      </c>
      <c r="BE2" s="1">
        <f ca="1">OFFSET(Database!$F115,0,COLUMN(Database!BB115)*2-12)</f>
        <v>0</v>
      </c>
      <c r="BF2" s="1">
        <f ca="1">OFFSET(Database!$F115,0,COLUMN(Database!BC115)*2-12)</f>
        <v>0</v>
      </c>
      <c r="BG2" s="1">
        <f ca="1">OFFSET(Database!$F115,0,COLUMN(Database!BD115)*2-12)</f>
        <v>0</v>
      </c>
      <c r="BH2" s="1">
        <f ca="1">OFFSET(Database!$F115,0,COLUMN(Database!BE115)*2-12)</f>
        <v>0</v>
      </c>
      <c r="BI2" s="1">
        <f ca="1">OFFSET(Database!$F115,0,COLUMN(Database!BF115)*2-12)</f>
        <v>0</v>
      </c>
      <c r="BJ2" s="1">
        <f ca="1">OFFSET(Database!$F115,0,COLUMN(Database!BG115)*2-12)</f>
        <v>0</v>
      </c>
      <c r="BK2" s="1">
        <f ca="1">OFFSET(Database!$F115,0,COLUMN(Database!BH115)*2-12)</f>
        <v>0</v>
      </c>
      <c r="BL2" s="1">
        <f ca="1">OFFSET(Database!$F115,0,COLUMN(Database!BI115)*2-12)</f>
        <v>0</v>
      </c>
      <c r="BM2" s="1">
        <f ca="1">OFFSET(Database!$F115,0,COLUMN(Database!BJ115)*2-12)</f>
        <v>0</v>
      </c>
      <c r="BN2" s="1">
        <f ca="1">OFFSET(Database!$F115,0,COLUMN(Database!BK115)*2-12)</f>
        <v>0</v>
      </c>
      <c r="BO2" s="1">
        <f ca="1">OFFSET(Database!$F115,0,COLUMN(Database!BL115)*2-12)</f>
        <v>0</v>
      </c>
      <c r="BP2" s="1">
        <f ca="1">OFFSET(Database!$F115,0,COLUMN(Database!BM115)*2-12)</f>
        <v>0</v>
      </c>
      <c r="BQ2" s="1">
        <f ca="1">OFFSET(Database!$F115,0,COLUMN(Database!BN115)*2-12)</f>
        <v>0</v>
      </c>
      <c r="BR2" s="1">
        <f ca="1">OFFSET(Database!$F115,0,COLUMN(Database!BO115)*2-12)</f>
        <v>0</v>
      </c>
      <c r="BS2" s="1">
        <f ca="1">OFFSET(Database!$F115,0,COLUMN(Database!BP115)*2-12)</f>
        <v>0</v>
      </c>
      <c r="BT2" s="1">
        <f ca="1">OFFSET(Database!$F115,0,COLUMN(Database!BQ115)*2-12)</f>
        <v>0</v>
      </c>
      <c r="BU2" s="1">
        <f ca="1">OFFSET(Database!$F115,0,COLUMN(Database!BR115)*2-12)</f>
        <v>0</v>
      </c>
      <c r="BV2" s="1">
        <f ca="1">OFFSET(Database!$F115,0,COLUMN(Database!BS115)*2-12)</f>
        <v>0</v>
      </c>
      <c r="BW2" s="1">
        <f ca="1">OFFSET(Database!$F115,0,COLUMN(Database!BT115)*2-12)</f>
        <v>0</v>
      </c>
      <c r="BX2" s="1">
        <f ca="1">OFFSET(Database!$F115,0,COLUMN(Database!BU115)*2-12)</f>
        <v>0</v>
      </c>
      <c r="BY2" s="1">
        <f ca="1">OFFSET(Database!$F115,0,COLUMN(Database!BV115)*2-12)</f>
        <v>0</v>
      </c>
      <c r="BZ2" s="1">
        <f ca="1">OFFSET(Database!$F115,0,COLUMN(Database!BW115)*2-12)</f>
        <v>0</v>
      </c>
      <c r="CA2" s="1">
        <f ca="1">OFFSET(Database!$F115,0,COLUMN(Database!BX115)*2-12)</f>
        <v>0</v>
      </c>
      <c r="CB2" s="1">
        <f ca="1">OFFSET(Database!$F115,0,COLUMN(Database!BY115)*2-12)</f>
        <v>0</v>
      </c>
      <c r="CC2" s="1">
        <f ca="1">OFFSET(Database!$F115,0,COLUMN(Database!BZ115)*2-12)</f>
        <v>0</v>
      </c>
      <c r="CD2" s="1">
        <f ca="1">OFFSET(Database!$F115,0,COLUMN(Database!CA115)*2-12)</f>
        <v>0</v>
      </c>
      <c r="CE2" s="1">
        <f ca="1">OFFSET(Database!$F115,0,COLUMN(Database!CB115)*2-12)</f>
        <v>0</v>
      </c>
      <c r="CF2" s="1">
        <f ca="1">OFFSET(Database!$F115,0,COLUMN(Database!CC115)*2-12)</f>
        <v>0</v>
      </c>
      <c r="CG2" s="1">
        <f ca="1">OFFSET(Database!$F115,0,COLUMN(Database!CD115)*2-12)</f>
        <v>0</v>
      </c>
      <c r="CH2" s="1">
        <f ca="1">OFFSET(Database!$F115,0,COLUMN(Database!CE115)*2-12)</f>
        <v>0</v>
      </c>
      <c r="CI2" s="1">
        <f ca="1">OFFSET(Database!$F115,0,COLUMN(Database!CF115)*2-12)</f>
        <v>0</v>
      </c>
      <c r="CJ2" s="1">
        <f ca="1">OFFSET(Database!$F115,0,COLUMN(Database!CG115)*2-12)</f>
        <v>0</v>
      </c>
      <c r="CK2" s="1">
        <f ca="1">OFFSET(Database!$F115,0,COLUMN(Database!CH115)*2-12)</f>
        <v>0</v>
      </c>
      <c r="CL2" s="1">
        <f ca="1">OFFSET(Database!$F115,0,COLUMN(Database!CI115)*2-12)</f>
        <v>0</v>
      </c>
      <c r="CM2" s="1">
        <f ca="1">OFFSET(Database!$F115,0,COLUMN(Database!CJ115)*2-12)</f>
        <v>0</v>
      </c>
      <c r="CN2" s="1">
        <f ca="1">OFFSET(Database!$F115,0,COLUMN(Database!CK115)*2-12)</f>
        <v>0</v>
      </c>
      <c r="CO2" s="1">
        <f ca="1">OFFSET(Database!$F115,0,COLUMN(Database!CL115)*2-12)</f>
        <v>0</v>
      </c>
      <c r="CP2" s="1">
        <f ca="1">OFFSET(Database!$F115,0,COLUMN(Database!CM115)*2-12)</f>
        <v>0</v>
      </c>
      <c r="CQ2" s="1">
        <f ca="1">OFFSET(Database!$F115,0,COLUMN(Database!CN115)*2-12)</f>
        <v>0</v>
      </c>
      <c r="CR2" s="1">
        <f ca="1">OFFSET(Database!$F115,0,COLUMN(Database!CO115)*2-12)</f>
        <v>0</v>
      </c>
      <c r="CS2" s="1">
        <f ca="1">OFFSET(Database!$F115,0,COLUMN(Database!CP115)*2-12)</f>
        <v>0</v>
      </c>
      <c r="CT2" s="1">
        <f ca="1">OFFSET(Database!$F115,0,COLUMN(Database!CQ115)*2-12)</f>
        <v>0</v>
      </c>
      <c r="CU2" s="1">
        <f ca="1">OFFSET(Database!$F115,0,COLUMN(Database!CR115)*2-12)</f>
        <v>0</v>
      </c>
      <c r="CV2" s="1">
        <f ca="1">OFFSET(Database!$F115,0,COLUMN(Database!CS115)*2-12)</f>
        <v>0</v>
      </c>
      <c r="CW2" s="1">
        <f ca="1">OFFSET(Database!$F115,0,COLUMN(Database!CT115)*2-12)</f>
        <v>0</v>
      </c>
      <c r="CX2" s="1">
        <f ca="1">OFFSET(Database!$F115,0,COLUMN(Database!CU115)*2-12)</f>
        <v>0</v>
      </c>
      <c r="CY2" s="1">
        <f ca="1">OFFSET(Database!$F115,0,COLUMN(Database!CV115)*2-12)</f>
        <v>0</v>
      </c>
      <c r="CZ2" s="1">
        <f ca="1">OFFSET(Database!$F115,0,COLUMN(Database!CW115)*2-12)</f>
        <v>0</v>
      </c>
      <c r="DA2" s="1">
        <f ca="1">OFFSET(Database!$F115,0,COLUMN(Database!CX115)*2-12)</f>
        <v>0</v>
      </c>
      <c r="DB2" s="1">
        <f ca="1">OFFSET(Database!$F115,0,COLUMN(Database!CY115)*2-12)</f>
        <v>0</v>
      </c>
      <c r="DC2" s="1">
        <f ca="1">OFFSET(Database!$F115,0,COLUMN(Database!CZ115)*2-12)</f>
        <v>0</v>
      </c>
      <c r="DD2" s="1">
        <f ca="1">OFFSET(Database!$F115,0,COLUMN(Database!DA115)*2-12)</f>
        <v>0</v>
      </c>
      <c r="DE2" s="1">
        <f ca="1">OFFSET(Database!$F115,0,COLUMN(Database!DB115)*2-12)</f>
        <v>0</v>
      </c>
      <c r="DF2" s="1">
        <f ca="1">OFFSET(Database!$F115,0,COLUMN(Database!DC115)*2-12)</f>
        <v>1</v>
      </c>
      <c r="DG2" s="1">
        <f ca="1">OFFSET(Database!$F115,0,COLUMN(Database!DD115)*2-12)</f>
        <v>1</v>
      </c>
      <c r="DH2" s="1">
        <f ca="1">OFFSET(Database!$F115,0,COLUMN(Database!DE115)*2-12)</f>
        <v>1</v>
      </c>
      <c r="DI2" s="1">
        <f ca="1">OFFSET(Database!$F115,0,COLUMN(Database!DF115)*2-12)</f>
        <v>1</v>
      </c>
      <c r="DJ2" s="1">
        <f ca="1">OFFSET(Database!$F115,0,COLUMN(Database!DG115)*2-12)</f>
        <v>1</v>
      </c>
      <c r="DK2" s="1">
        <f ca="1">OFFSET(Database!$F115,0,COLUMN(Database!DH115)*2-12)</f>
        <v>1</v>
      </c>
      <c r="DL2" s="1">
        <f ca="1">OFFSET(Database!$F115,0,COLUMN(Database!DI115)*2-12)</f>
        <v>1</v>
      </c>
      <c r="DM2" s="1">
        <f ca="1">OFFSET(Database!$F115,0,COLUMN(Database!DJ115)*2-12)</f>
        <v>1</v>
      </c>
      <c r="DN2" s="1">
        <f ca="1">OFFSET(Database!$F115,0,COLUMN(Database!DK115)*2-12)</f>
        <v>1</v>
      </c>
      <c r="DO2" s="1">
        <f ca="1">OFFSET(Database!$F115,0,COLUMN(Database!DL115)*2-12)</f>
        <v>1</v>
      </c>
      <c r="DP2" s="1">
        <f ca="1">OFFSET(Database!$F115,0,COLUMN(Database!DM115)*2-12)</f>
        <v>1</v>
      </c>
      <c r="DQ2" s="1">
        <f ca="1">OFFSET(Database!$F115,0,COLUMN(Database!DN115)*2-12)</f>
        <v>1</v>
      </c>
      <c r="DR2" s="1">
        <f ca="1">OFFSET(Database!$F115,0,COLUMN(Database!DO115)*2-12)</f>
        <v>1</v>
      </c>
      <c r="DS2" s="1">
        <f ca="1">OFFSET(Database!$F115,0,COLUMN(Database!DP115)*2-12)</f>
        <v>1</v>
      </c>
      <c r="DT2" s="1">
        <f ca="1">OFFSET(Database!$F115,0,COLUMN(Database!DQ115)*2-12)</f>
        <v>1</v>
      </c>
      <c r="DU2" s="1">
        <f ca="1">OFFSET(Database!$F115,0,COLUMN(Database!DR115)*2-12)</f>
        <v>1</v>
      </c>
      <c r="DV2" s="1">
        <f ca="1">OFFSET(Database!$F115,0,COLUMN(Database!DS115)*2-12)</f>
        <v>1</v>
      </c>
      <c r="DW2" s="1">
        <f ca="1">OFFSET(Database!$F115,0,COLUMN(Database!DT115)*2-12)</f>
        <v>1</v>
      </c>
      <c r="DX2" s="1">
        <f ca="1">OFFSET(Database!$F115,0,COLUMN(Database!DU115)*2-12)</f>
        <v>1</v>
      </c>
      <c r="DY2" s="1">
        <f ca="1">OFFSET(Database!$F115,0,COLUMN(Database!DV115)*2-12)</f>
        <v>1</v>
      </c>
      <c r="DZ2" s="1">
        <f ca="1">OFFSET(Database!$F115,0,COLUMN(Database!DW115)*2-12)</f>
        <v>1</v>
      </c>
      <c r="EA2" s="1">
        <f ca="1">OFFSET(Database!$F115,0,COLUMN(Database!DX115)*2-12)</f>
        <v>1</v>
      </c>
      <c r="EB2" s="1">
        <f ca="1">OFFSET(Database!$F115,0,COLUMN(Database!DY115)*2-12)</f>
        <v>1</v>
      </c>
      <c r="EC2" s="1">
        <f ca="1">OFFSET(Database!$F115,0,COLUMN(Database!DZ115)*2-12)</f>
        <v>1</v>
      </c>
      <c r="ED2" s="1">
        <f ca="1">OFFSET(Database!$F115,0,COLUMN(Database!EA115)*2-12)</f>
        <v>1</v>
      </c>
      <c r="EE2" s="1">
        <f ca="1">OFFSET(Database!$F115,0,COLUMN(Database!EB115)*2-12)</f>
        <v>1</v>
      </c>
      <c r="EF2" s="1">
        <f ca="1">OFFSET(Database!$F115,0,COLUMN(Database!EC115)*2-12)</f>
        <v>1</v>
      </c>
      <c r="EG2" s="1">
        <f ca="1">OFFSET(Database!$F115,0,COLUMN(Database!ED115)*2-12)</f>
        <v>1</v>
      </c>
      <c r="EH2" s="1">
        <f ca="1">OFFSET(Database!$F115,0,COLUMN(Database!EE115)*2-12)</f>
        <v>1</v>
      </c>
      <c r="EI2" s="1">
        <f ca="1">OFFSET(Database!$F115,0,COLUMN(Database!EF115)*2-12)</f>
        <v>1</v>
      </c>
      <c r="EJ2" s="1">
        <f ca="1">OFFSET(Database!$F115,0,COLUMN(Database!EG115)*2-12)</f>
        <v>1</v>
      </c>
      <c r="EK2" s="1">
        <f ca="1">OFFSET(Database!$F115,0,COLUMN(Database!EH115)*2-12)</f>
        <v>1</v>
      </c>
      <c r="EL2" s="1">
        <f ca="1">OFFSET(Database!$F115,0,COLUMN(Database!EI115)*2-12)</f>
        <v>1</v>
      </c>
      <c r="EM2" s="1">
        <f ca="1">OFFSET(Database!$F115,0,COLUMN(Database!EJ115)*2-12)</f>
        <v>1</v>
      </c>
      <c r="EN2" s="1">
        <f ca="1">OFFSET(Database!$F115,0,COLUMN(Database!EK115)*2-12)</f>
        <v>1</v>
      </c>
      <c r="EO2" s="1">
        <f ca="1">OFFSET(Database!$F115,0,COLUMN(Database!EL115)*2-12)</f>
        <v>1</v>
      </c>
      <c r="EP2" s="1">
        <f ca="1">OFFSET(Database!$F115,0,COLUMN(Database!EM115)*2-12)</f>
        <v>1</v>
      </c>
      <c r="EQ2" s="1">
        <f ca="1">OFFSET(Database!$F115,0,COLUMN(Database!EN115)*2-12)</f>
        <v>1</v>
      </c>
      <c r="ER2" s="1">
        <f ca="1">OFFSET(Database!$F115,0,COLUMN(Database!EO115)*2-12)</f>
        <v>1</v>
      </c>
      <c r="ES2" s="1">
        <f ca="1">OFFSET(Database!$F115,0,COLUMN(Database!EP115)*2-12)</f>
        <v>1</v>
      </c>
      <c r="ET2" s="1">
        <f ca="1">OFFSET(Database!$F115,0,COLUMN(Database!EQ115)*2-12)</f>
        <v>1</v>
      </c>
      <c r="EU2" s="1">
        <f ca="1">OFFSET(Database!$F115,0,COLUMN(Database!ER115)*2-12)</f>
        <v>1</v>
      </c>
      <c r="EV2" s="1">
        <f ca="1">OFFSET(Database!$F115,0,COLUMN(Database!ES115)*2-12)</f>
        <v>1</v>
      </c>
      <c r="EW2" s="1">
        <f ca="1">OFFSET(Database!$F115,0,COLUMN(Database!ET115)*2-12)</f>
        <v>1</v>
      </c>
      <c r="EX2" s="1">
        <f ca="1">OFFSET(Database!$F115,0,COLUMN(Database!EU115)*2-12)</f>
        <v>1</v>
      </c>
      <c r="EY2" s="1">
        <f ca="1">OFFSET(Database!$F115,0,COLUMN(Database!EV115)*2-12)</f>
        <v>1</v>
      </c>
      <c r="EZ2" s="1">
        <f ca="1">OFFSET(Database!$F115,0,COLUMN(Database!EW115)*2-12)</f>
        <v>1</v>
      </c>
      <c r="FA2" s="1">
        <f ca="1">OFFSET(Database!$F115,0,COLUMN(Database!EX115)*2-12)</f>
        <v>1</v>
      </c>
      <c r="FB2" s="1">
        <f ca="1">OFFSET(Database!$F115,0,COLUMN(Database!EY115)*2-12)</f>
        <v>1</v>
      </c>
      <c r="FC2" s="1">
        <f ca="1">OFFSET(Database!$F115,0,COLUMN(Database!EZ115)*2-12)</f>
        <v>1</v>
      </c>
      <c r="FD2" s="1">
        <f ca="1">OFFSET(Database!$F115,0,COLUMN(Database!FA115)*2-12)</f>
        <v>1</v>
      </c>
      <c r="FE2" s="1">
        <f ca="1">OFFSET(Database!$F115,0,COLUMN(Database!FB115)*2-12)</f>
        <v>1</v>
      </c>
      <c r="FF2" s="1">
        <f ca="1">OFFSET(Database!$F115,0,COLUMN(Database!FC115)*2-12)</f>
        <v>1</v>
      </c>
      <c r="FG2" s="1">
        <f ca="1">OFFSET(Database!$F115,0,COLUMN(Database!FD115)*2-12)</f>
        <v>1</v>
      </c>
      <c r="FH2" s="1">
        <f ca="1">OFFSET(Database!$F115,0,COLUMN(Database!FE115)*2-12)</f>
        <v>1</v>
      </c>
      <c r="FI2" s="1">
        <f ca="1">OFFSET(Database!$F115,0,COLUMN(Database!FF115)*2-12)</f>
        <v>1</v>
      </c>
      <c r="FJ2" s="1">
        <f ca="1">OFFSET(Database!$F115,0,COLUMN(Database!FG115)*2-12)</f>
        <v>1</v>
      </c>
      <c r="FK2" s="1">
        <f ca="1">OFFSET(Database!$F115,0,COLUMN(Database!FH115)*2-12)</f>
        <v>1</v>
      </c>
      <c r="FL2" s="1">
        <f ca="1">OFFSET(Database!$F115,0,COLUMN(Database!FI115)*2-12)</f>
        <v>1</v>
      </c>
      <c r="FM2" s="1">
        <f ca="1">OFFSET(Database!$F115,0,COLUMN(Database!FJ115)*2-12)</f>
        <v>1</v>
      </c>
      <c r="FN2" s="1">
        <f ca="1">OFFSET(Database!$F115,0,COLUMN(Database!FK115)*2-12)</f>
        <v>1</v>
      </c>
      <c r="FO2" s="1">
        <f ca="1">OFFSET(Database!$F115,0,COLUMN(Database!FL115)*2-12)</f>
        <v>1</v>
      </c>
      <c r="FP2" s="1">
        <f ca="1">OFFSET(Database!$F115,0,COLUMN(Database!FM115)*2-12)</f>
        <v>1</v>
      </c>
      <c r="FQ2" s="1">
        <f ca="1">OFFSET(Database!$F115,0,COLUMN(Database!FN115)*2-12)</f>
        <v>1</v>
      </c>
      <c r="FR2" s="1">
        <f ca="1">OFFSET(Database!$F115,0,COLUMN(Database!FO115)*2-12)</f>
        <v>1</v>
      </c>
      <c r="FS2" s="1">
        <f ca="1">OFFSET(Database!$F115,0,COLUMN(Database!FP115)*2-12)</f>
        <v>1</v>
      </c>
      <c r="FT2" s="1">
        <f ca="1">OFFSET(Database!$F115,0,COLUMN(Database!FQ115)*2-12)</f>
        <v>1</v>
      </c>
      <c r="FU2" s="1">
        <f ca="1">OFFSET(Database!$F115,0,COLUMN(Database!FR115)*2-12)</f>
        <v>1</v>
      </c>
      <c r="FV2" s="1">
        <f ca="1">OFFSET(Database!$F115,0,COLUMN(Database!FS115)*2-12)</f>
        <v>1</v>
      </c>
      <c r="FW2" s="1">
        <f ca="1">OFFSET(Database!$F115,0,COLUMN(Database!FT115)*2-12)</f>
        <v>1</v>
      </c>
      <c r="FX2" s="1">
        <f ca="1">OFFSET(Database!$F115,0,COLUMN(Database!FU115)*2-12)</f>
        <v>1</v>
      </c>
      <c r="FY2" s="1">
        <f ca="1">OFFSET(Database!$F115,0,COLUMN(Database!FV115)*2-12)</f>
        <v>1</v>
      </c>
      <c r="FZ2" s="1">
        <f ca="1">OFFSET(Database!$F115,0,COLUMN(Database!FW115)*2-12)</f>
        <v>1</v>
      </c>
      <c r="GA2" s="1">
        <f ca="1">OFFSET(Database!$F115,0,COLUMN(Database!FX115)*2-12)</f>
        <v>1</v>
      </c>
      <c r="GB2" s="1">
        <f ca="1">OFFSET(Database!$F115,0,COLUMN(Database!FY115)*2-12)</f>
        <v>1</v>
      </c>
      <c r="GC2" s="1">
        <f ca="1">OFFSET(Database!$F115,0,COLUMN(Database!FZ115)*2-12)</f>
        <v>1</v>
      </c>
      <c r="GD2" s="1">
        <f ca="1">OFFSET(Database!$F115,0,COLUMN(Database!GA115)*2-12)</f>
        <v>1</v>
      </c>
      <c r="GE2" s="1">
        <f ca="1">OFFSET(Database!$F115,0,COLUMN(Database!GB115)*2-12)</f>
        <v>1</v>
      </c>
      <c r="GF2" s="1">
        <f ca="1">OFFSET(Database!$F115,0,COLUMN(Database!GC115)*2-12)</f>
        <v>1</v>
      </c>
      <c r="GG2" s="1">
        <f ca="1">OFFSET(Database!$F115,0,COLUMN(Database!GD115)*2-12)</f>
        <v>1</v>
      </c>
      <c r="GH2" s="1">
        <f ca="1">OFFSET(Database!$F115,0,COLUMN(Database!GE115)*2-12)</f>
        <v>1</v>
      </c>
      <c r="GI2" s="1">
        <f ca="1">OFFSET(Database!$F115,0,COLUMN(Database!GF115)*2-12)</f>
        <v>1</v>
      </c>
      <c r="GJ2" s="1">
        <f ca="1">OFFSET(Database!$F115,0,COLUMN(Database!GG115)*2-12)</f>
        <v>1</v>
      </c>
      <c r="GK2" s="1">
        <f ca="1">OFFSET(Database!$F115,0,COLUMN(Database!GH115)*2-12)</f>
        <v>1</v>
      </c>
      <c r="GL2" s="1">
        <f ca="1">OFFSET(Database!$F115,0,COLUMN(Database!GI115)*2-12)</f>
        <v>1</v>
      </c>
      <c r="GM2" s="1">
        <f ca="1">OFFSET(Database!$F115,0,COLUMN(Database!GJ115)*2-12)</f>
        <v>1</v>
      </c>
      <c r="GN2" s="1">
        <f ca="1">OFFSET(Database!$F115,0,COLUMN(Database!GK115)*2-12)</f>
        <v>1</v>
      </c>
      <c r="GO2" s="1">
        <f ca="1">OFFSET(Database!$F115,0,COLUMN(Database!GL115)*2-12)</f>
        <v>0</v>
      </c>
      <c r="GP2" s="1">
        <f ca="1">OFFSET(Database!$F115,0,COLUMN(Database!GM115)*2-12)</f>
        <v>0</v>
      </c>
    </row>
    <row r="3" spans="1:198" x14ac:dyDescent="0.2">
      <c r="A3" s="50" t="s">
        <v>850</v>
      </c>
      <c r="B3" s="1" t="s">
        <v>844</v>
      </c>
      <c r="C3" s="4" t="s">
        <v>1108</v>
      </c>
      <c r="D3" s="4" t="s">
        <v>851</v>
      </c>
      <c r="E3" s="4" t="s">
        <v>1023</v>
      </c>
      <c r="F3" s="1" t="s">
        <v>852</v>
      </c>
      <c r="G3" s="1" t="s">
        <v>888</v>
      </c>
      <c r="H3" s="1" t="s">
        <v>853</v>
      </c>
      <c r="I3" s="1" t="str">
        <f ca="1">OFFSET(Database!$F3,0,COLUMN(Database!F3)*2-12)</f>
        <v>Imilac metal</v>
      </c>
      <c r="J3" s="1" t="str">
        <f ca="1">OFFSET(Database!$F3,0,COLUMN(Database!G3)*2-12)</f>
        <v>Imilac silicate</v>
      </c>
      <c r="K3" s="1" t="str">
        <f ca="1">OFFSET(Database!$F3,0,COLUMN(Database!H3)*2-12)</f>
        <v>Canyon Diablo</v>
      </c>
      <c r="L3" s="1" t="str">
        <f ca="1">OFFSET(Database!$F3,0,COLUMN(Database!I3)*2-12)</f>
        <v>Cape York</v>
      </c>
      <c r="M3" s="1" t="str">
        <f ca="1">OFFSET(Database!$F3,0,COLUMN(Database!J3)*2-12)</f>
        <v>Campo del Cielo</v>
      </c>
      <c r="N3" s="1" t="str">
        <f ca="1">OFFSET(Database!$F3,0,COLUMN(Database!K3)*2-12)</f>
        <v>GRO 95577</v>
      </c>
      <c r="O3" s="1" t="str">
        <f ca="1">OFFSET(Database!$F3,0,COLUMN(Database!L3)*2-12)</f>
        <v>GRO 95577</v>
      </c>
      <c r="P3" s="1" t="str">
        <f ca="1">OFFSET(Database!$F3,0,COLUMN(Database!M3)*2-12)</f>
        <v>MIL 09001</v>
      </c>
      <c r="Q3" s="1" t="str">
        <f ca="1">OFFSET(Database!$F3,0,COLUMN(Database!N3)*2-12)</f>
        <v>MIL 090657</v>
      </c>
      <c r="R3" s="1" t="str">
        <f ca="1">OFFSET(Database!$F3,0,COLUMN(Database!O3)*2-12)</f>
        <v>GRA 95229</v>
      </c>
      <c r="S3" s="1" t="str">
        <f ca="1">OFFSET(Database!$F3,0,COLUMN(Database!P3)*2-12)</f>
        <v>EET 92042</v>
      </c>
      <c r="T3" s="1" t="str">
        <f ca="1">OFFSET(Database!$F3,0,COLUMN(Database!Q3)*2-12)</f>
        <v>EET 92042</v>
      </c>
      <c r="U3" s="1" t="str">
        <f ca="1">OFFSET(Database!$F3,0,COLUMN(Database!R3)*2-12)</f>
        <v>QUE 99177</v>
      </c>
      <c r="V3" s="1" t="str">
        <f ca="1">OFFSET(Database!$F3,0,COLUMN(Database!S3)*2-12)</f>
        <v>MET 01070</v>
      </c>
      <c r="W3" s="1" t="str">
        <f ca="1">OFFSET(Database!$F3,0,COLUMN(Database!T3)*2-12)</f>
        <v>SCO 06043</v>
      </c>
      <c r="X3" s="1" t="str">
        <f ca="1">OFFSET(Database!$F3,0,COLUMN(Database!U3)*2-12)</f>
        <v>Murchison USNM 5453</v>
      </c>
      <c r="Y3" s="1" t="str">
        <f ca="1">OFFSET(Database!$F3,0,COLUMN(Database!V3)*2-12)</f>
        <v>Murchison CFM 1</v>
      </c>
      <c r="Z3" s="1" t="str">
        <f ca="1">OFFSET(Database!$F3,0,COLUMN(Database!W3)*2-12)</f>
        <v>Murchison CFM 2</v>
      </c>
      <c r="AA3" s="1" t="str">
        <f ca="1">OFFSET(Database!$F3,0,COLUMN(Database!X3)*2-12)</f>
        <v>Murchison 5453</v>
      </c>
      <c r="AB3" s="1" t="str">
        <f ca="1">OFFSET(Database!$F3,0,COLUMN(Database!Y3)*2-12)</f>
        <v>Murchison</v>
      </c>
      <c r="AC3" s="1" t="str">
        <f ca="1">OFFSET(Database!$F3,0,COLUMN(Database!Z3)*2-12)</f>
        <v>Murchison USNM 6650</v>
      </c>
      <c r="AD3" s="1" t="str">
        <f ca="1">OFFSET(Database!$F3,0,COLUMN(Database!AA3)*2-12)</f>
        <v>LEW 90500</v>
      </c>
      <c r="AE3" s="1" t="str">
        <f ca="1">OFFSET(Database!$F3,0,COLUMN(Database!AB3)*2-12)</f>
        <v>LON 94102</v>
      </c>
      <c r="AF3" s="1" t="str">
        <f ca="1">OFFSET(Database!$F3,0,COLUMN(Database!AC3)*2-12)</f>
        <v>Asuka 12236</v>
      </c>
      <c r="AG3" s="1" t="str">
        <f ca="1">OFFSET(Database!$F3,0,COLUMN(Database!AD3)*2-12)</f>
        <v>EET 96029</v>
      </c>
      <c r="AH3" s="1" t="str">
        <f ca="1">OFFSET(Database!$F3,0,COLUMN(Database!AE3)*2-12)</f>
        <v>Bells</v>
      </c>
      <c r="AI3" s="1" t="str">
        <f ca="1">OFFSET(Database!$F3,0,COLUMN(Database!AF3)*2-12)</f>
        <v>Sutter's Hill 2</v>
      </c>
      <c r="AJ3" s="1" t="str">
        <f ca="1">OFFSET(Database!$F3,0,COLUMN(Database!AG3)*2-12)</f>
        <v>Sutter's Hill 12</v>
      </c>
      <c r="AK3" s="1" t="str">
        <f ca="1">OFFSET(Database!$F3,0,COLUMN(Database!AH3)*2-12)</f>
        <v>Sutter's Hill 51</v>
      </c>
      <c r="AL3" s="1" t="str">
        <f ca="1">OFFSET(Database!$F3,0,COLUMN(Database!AI3)*2-12)</f>
        <v>Paris</v>
      </c>
      <c r="AM3" s="1" t="str">
        <f ca="1">OFFSET(Database!$F3,0,COLUMN(Database!AJ3)*2-12)</f>
        <v>Aguas Zarcas UA 2741</v>
      </c>
      <c r="AN3" s="1" t="str">
        <f ca="1">OFFSET(Database!$F3,0,COLUMN(Database!AK3)*2-12)</f>
        <v>Aguas Zarcas UA 2746</v>
      </c>
      <c r="AO3" s="1" t="str">
        <f ca="1">OFFSET(Database!$F3,0,COLUMN(Database!AL3)*2-12)</f>
        <v xml:space="preserve">Orgueil </v>
      </c>
      <c r="AP3" s="1" t="str">
        <f ca="1">OFFSET(Database!$F3,0,COLUMN(Database!AM3)*2-12)</f>
        <v>Ivuna</v>
      </c>
      <c r="AQ3" s="1" t="str">
        <f ca="1">OFFSET(Database!$F3,0,COLUMN(Database!AN3)*2-12)</f>
        <v>Y-86029</v>
      </c>
      <c r="AR3" s="1" t="str">
        <f ca="1">OFFSET(Database!$F3,0,COLUMN(Database!AO3)*2-12)</f>
        <v>Y-980115</v>
      </c>
      <c r="AS3" s="1" t="str">
        <f ca="1">OFFSET(Database!$F3,0,COLUMN(Database!AP3)*2-12)</f>
        <v>ALHA 77257</v>
      </c>
      <c r="AT3" s="1" t="str">
        <f ca="1">OFFSET(Database!$F3,0,COLUMN(Database!AQ3)*2-12)</f>
        <v>EET 83309</v>
      </c>
      <c r="AU3" s="1" t="str">
        <f ca="1">OFFSET(Database!$F3,0,COLUMN(Database!AR3)*2-12)</f>
        <v>LEW 85328</v>
      </c>
      <c r="AV3" s="1" t="str">
        <f ca="1">OFFSET(Database!$F3,0,COLUMN(Database!AS3)*2-12)</f>
        <v>GRA 95205</v>
      </c>
      <c r="AW3" s="1" t="str">
        <f ca="1">OFFSET(Database!$F3,0,COLUMN(Database!AT3)*2-12)</f>
        <v>LAR 04315</v>
      </c>
      <c r="AX3" s="1" t="str">
        <f ca="1">OFFSET(Database!$F3,0,COLUMN(Database!AU3)*2-12)</f>
        <v>Almahata Sitta</v>
      </c>
      <c r="AY3" s="1" t="str">
        <f ca="1">OFFSET(Database!$F3,0,COLUMN(Database!AV3)*2-12)</f>
        <v>ALH 84028</v>
      </c>
      <c r="AZ3" s="1" t="str">
        <f ca="1">OFFSET(Database!$F3,0,COLUMN(Database!AW3)*2-12)</f>
        <v>EET 96026</v>
      </c>
      <c r="BA3" s="1" t="str">
        <f ca="1">OFFSET(Database!$F3,0,COLUMN(Database!AX3)*2-12)</f>
        <v>LAP 02206</v>
      </c>
      <c r="BB3" s="1" t="str">
        <f ca="1">OFFSET(Database!$F3,0,COLUMN(Database!AY3)*2-12)</f>
        <v>LAR 06317</v>
      </c>
      <c r="BC3" s="1" t="str">
        <f ca="1">OFFSET(Database!$F3,0,COLUMN(Database!AZ3)*2-12)</f>
        <v>GRA 06101</v>
      </c>
      <c r="BD3" s="1" t="str">
        <f ca="1">OFFSET(Database!$F3,0,COLUMN(Database!BA3)*2-12)</f>
        <v>Allende</v>
      </c>
      <c r="BE3" s="1" t="str">
        <f ca="1">OFFSET(Database!$F3,0,COLUMN(Database!BB3)*2-12)</f>
        <v>ALHA 77307</v>
      </c>
      <c r="BF3" s="1" t="str">
        <f ca="1">OFFSET(Database!$F3,0,COLUMN(Database!BC3)*2-12)</f>
        <v>MIL 05013</v>
      </c>
      <c r="BG3" s="1" t="str">
        <f ca="1">OFFSET(Database!$F3,0,COLUMN(Database!BD3)*2-12)</f>
        <v>DOM 08006</v>
      </c>
      <c r="BH3" s="1" t="str">
        <f ca="1">OFFSET(Database!$F3,0,COLUMN(Database!BE3)*2-12)</f>
        <v>Colony</v>
      </c>
      <c r="BI3" s="1" t="str">
        <f ca="1">OFFSET(Database!$F3,0,COLUMN(Database!BF3)*2-12)</f>
        <v>Ornans</v>
      </c>
      <c r="BJ3" s="1" t="str">
        <f ca="1">OFFSET(Database!$F3,0,COLUMN(Database!BG3)*2-12)</f>
        <v>ALH 85085</v>
      </c>
      <c r="BK3" s="1" t="str">
        <f ca="1">OFFSET(Database!$F3,0,COLUMN(Database!BH3)*2-12)</f>
        <v>PCA 91467</v>
      </c>
      <c r="BL3" s="1" t="str">
        <f ca="1">OFFSET(Database!$F3,0,COLUMN(Database!BI3)*2-12)</f>
        <v>PAT 91546</v>
      </c>
      <c r="BM3" s="1" t="str">
        <f ca="1">OFFSET(Database!$F3,0,COLUMN(Database!BJ3)*2-12)</f>
        <v>MAC 02675</v>
      </c>
      <c r="BN3" s="1" t="str">
        <f ca="1">OFFSET(Database!$F3,0,COLUMN(Database!BK3)*2-12)</f>
        <v>MIL 05082</v>
      </c>
      <c r="BO3" s="1" t="str">
        <f ca="1">OFFSET(Database!$F3,0,COLUMN(Database!BL3)*2-12)</f>
        <v>MIL 07411</v>
      </c>
      <c r="BP3" s="1" t="str">
        <f ca="1">OFFSET(Database!$F3,0,COLUMN(Database!BM3)*2-12)</f>
        <v>NWA 5956</v>
      </c>
      <c r="BQ3" s="1" t="str">
        <f ca="1">OFFSET(Database!$F3,0,COLUMN(Database!BN3)*2-12)</f>
        <v>LAR 04318</v>
      </c>
      <c r="BR3" s="1" t="str">
        <f ca="1">OFFSET(Database!$F3,0,COLUMN(Database!BO3)*2-12)</f>
        <v>ALH 85002</v>
      </c>
      <c r="BS3" s="1" t="str">
        <f ca="1">OFFSET(Database!$F3,0,COLUMN(Database!BP3)*2-12)</f>
        <v>PCA 82500</v>
      </c>
      <c r="BT3" s="1" t="str">
        <f ca="1">OFFSET(Database!$F3,0,COLUMN(Database!BQ3)*2-12)</f>
        <v>EET 92002</v>
      </c>
      <c r="BU3" s="1" t="str">
        <f ca="1">OFFSET(Database!$F3,0,COLUMN(Database!BR3)*2-12)</f>
        <v>LEW 87009</v>
      </c>
      <c r="BV3" s="1" t="str">
        <f ca="1">OFFSET(Database!$F3,0,COLUMN(Database!BS3)*2-12)</f>
        <v>LAR 06872</v>
      </c>
      <c r="BW3" s="1" t="str">
        <f ca="1">OFFSET(Database!$F3,0,COLUMN(Database!BT3)*2-12)</f>
        <v>DOM 14021</v>
      </c>
      <c r="BX3" s="1" t="str">
        <f ca="1">OFFSET(Database!$F3,0,COLUMN(Database!BU3)*2-12)</f>
        <v>LAR 12001</v>
      </c>
      <c r="BY3" s="1" t="str">
        <f ca="1">OFFSET(Database!$F3,0,COLUMN(Database!BV3)*2-12)</f>
        <v>LAR 06252</v>
      </c>
      <c r="BZ3" s="1" t="str">
        <f ca="1">OFFSET(Database!$F3,0,COLUMN(Database!BW3)*2-12)</f>
        <v>Chainpur</v>
      </c>
      <c r="CA3" s="1" t="str">
        <f ca="1">OFFSET(Database!$F3,0,COLUMN(Database!BX3)*2-12)</f>
        <v>Bishunpur</v>
      </c>
      <c r="CB3" s="1" t="str">
        <f ca="1">OFFSET(Database!$F3,0,COLUMN(Database!BY3)*2-12)</f>
        <v>Apollo 70011</v>
      </c>
      <c r="CC3" s="1" t="str">
        <f ca="1">OFFSET(Database!$F3,0,COLUMN(Database!BZ3)*2-12)</f>
        <v>Apollo 72501</v>
      </c>
      <c r="CD3" s="1" t="str">
        <f ca="1">OFFSET(Database!$F3,0,COLUMN(Database!CA3)*2-12)</f>
        <v>Apollo 73131</v>
      </c>
      <c r="CE3" s="1" t="str">
        <f ca="1">OFFSET(Database!$F3,0,COLUMN(Database!CB3)*2-12)</f>
        <v>Apollo 73241</v>
      </c>
      <c r="CF3" s="1" t="str">
        <f ca="1">OFFSET(Database!$F3,0,COLUMN(Database!CC3)*2-12)</f>
        <v>Apollo 78421</v>
      </c>
      <c r="CG3" s="1" t="str">
        <f ca="1">OFFSET(Database!$F3,0,COLUMN(Database!CD3)*2-12)</f>
        <v>Apollo 69961</v>
      </c>
      <c r="CH3" s="1" t="str">
        <f ca="1">OFFSET(Database!$F3,0,COLUMN(Database!CE3)*2-12)</f>
        <v>Apollo 78501 a</v>
      </c>
      <c r="CI3" s="1" t="str">
        <f ca="1">OFFSET(Database!$F3,0,COLUMN(Database!CF3)*2-12)</f>
        <v>Apollo 15261</v>
      </c>
      <c r="CJ3" s="1" t="str">
        <f ca="1">OFFSET(Database!$F3,0,COLUMN(Database!CG3)*2-12)</f>
        <v>Apollo 15271</v>
      </c>
      <c r="CK3" s="1" t="str">
        <f ca="1">OFFSET(Database!$F3,0,COLUMN(Database!CH3)*2-12)</f>
        <v>Apollo 61221</v>
      </c>
      <c r="CL3" s="1" t="str">
        <f ca="1">OFFSET(Database!$F3,0,COLUMN(Database!CI3)*2-12)</f>
        <v>Apollo 69961</v>
      </c>
      <c r="CM3" s="1" t="str">
        <f ca="1">OFFSET(Database!$F3,0,COLUMN(Database!CJ3)*2-12)</f>
        <v>Apollo 73141</v>
      </c>
      <c r="CN3" s="1" t="str">
        <f ca="1">OFFSET(Database!$F3,0,COLUMN(Database!CK3)*2-12)</f>
        <v>Apollo 76501</v>
      </c>
      <c r="CO3" s="1" t="str">
        <f ca="1">OFFSET(Database!$F3,0,COLUMN(Database!CL3)*2-12)</f>
        <v>Apollo 78501 b</v>
      </c>
      <c r="CP3" s="1" t="str">
        <f ca="1">OFFSET(Database!$F3,0,COLUMN(Database!CM3)*2-12)</f>
        <v>Apollo 73002, 2009</v>
      </c>
      <c r="CQ3" s="1" t="str">
        <f ca="1">OFFSET(Database!$F3,0,COLUMN(Database!CN3)*2-12)</f>
        <v>Apollo 73002, 2027</v>
      </c>
      <c r="CR3" s="1" t="str">
        <f ca="1">OFFSET(Database!$F3,0,COLUMN(Database!CO3)*2-12)</f>
        <v>Apollo 73002, 1</v>
      </c>
      <c r="CS3" s="1" t="str">
        <f ca="1">OFFSET(Database!$F3,0,COLUMN(Database!CP3)*2-12)</f>
        <v>Apollo 73001, 2002</v>
      </c>
      <c r="CT3" s="1" t="str">
        <f ca="1">OFFSET(Database!$F3,0,COLUMN(Database!CQ3)*2-12)</f>
        <v>Apollo 73001, 2033</v>
      </c>
      <c r="CU3" s="1" t="str">
        <f ca="1">OFFSET(Database!$F3,0,COLUMN(Database!CR3)*2-12)</f>
        <v>Apollo 73001, 2070</v>
      </c>
      <c r="CV3" s="1" t="str">
        <f ca="1">OFFSET(Database!$F3,0,COLUMN(Database!CS3)*2-12)</f>
        <v>Apollo 70180, 10</v>
      </c>
      <c r="CW3" s="1" t="str">
        <f ca="1">OFFSET(Database!$F3,0,COLUMN(Database!CT3)*2-12)</f>
        <v>Apollo 72320, 9</v>
      </c>
      <c r="CX3" s="1" t="str">
        <f ca="1">OFFSET(Database!$F3,0,COLUMN(Database!CU3)*2-12)</f>
        <v>Apollo 76240, 52</v>
      </c>
      <c r="CY3" s="1" t="str">
        <f ca="1">OFFSET(Database!$F3,0,COLUMN(Database!CV3)*2-12)</f>
        <v>Apollo 70181, 196</v>
      </c>
      <c r="CZ3" s="1" t="str">
        <f ca="1">OFFSET(Database!$F3,0,COLUMN(Database!CW3)*2-12)</f>
        <v>Apollo 72321, 42</v>
      </c>
      <c r="DA3" s="1" t="str">
        <f ca="1">OFFSET(Database!$F3,0,COLUMN(Database!CX3)*2-12)</f>
        <v>Apollo 76240</v>
      </c>
      <c r="DB3" s="1" t="str">
        <f ca="1">OFFSET(Database!$F3,0,COLUMN(Database!CY3)*2-12)</f>
        <v>A0106</v>
      </c>
      <c r="DC3" s="1" t="str">
        <f ca="1">OFFSET(Database!$F3,0,COLUMN(Database!CZ3)*2-12)</f>
        <v>C0107</v>
      </c>
      <c r="DD3" s="1" t="str">
        <f ca="1">OFFSET(Database!$F3,0,COLUMN(Database!DA3)*2-12)</f>
        <v>OREX-803001-0</v>
      </c>
      <c r="DE3" s="1" t="str">
        <f ca="1">OFFSET(Database!$F3,0,COLUMN(Database!DB3)*2-12)</f>
        <v>RBT 04262</v>
      </c>
      <c r="DF3" s="1" t="str">
        <f ca="1">OFFSET(Database!$F3,0,COLUMN(Database!DC3)*2-12)</f>
        <v>ATA01</v>
      </c>
      <c r="DG3" s="1" t="str">
        <f ca="1">OFFSET(Database!$F3,0,COLUMN(Database!DD3)*2-12)</f>
        <v>ATA02</v>
      </c>
      <c r="DH3" s="1" t="str">
        <f ca="1">OFFSET(Database!$F3,0,COLUMN(Database!DE3)*2-12)</f>
        <v>ATA03</v>
      </c>
      <c r="DI3" s="1" t="str">
        <f ca="1">OFFSET(Database!$F3,0,COLUMN(Database!DF3)*2-12)</f>
        <v>ATA04</v>
      </c>
      <c r="DJ3" s="1" t="str">
        <f ca="1">OFFSET(Database!$F3,0,COLUMN(Database!DG3)*2-12)</f>
        <v>ATA05</v>
      </c>
      <c r="DK3" s="1" t="str">
        <f ca="1">OFFSET(Database!$F3,0,COLUMN(Database!DH3)*2-12)</f>
        <v>ATA07</v>
      </c>
      <c r="DL3" s="1" t="str">
        <f ca="1">OFFSET(Database!$F3,0,COLUMN(Database!DI3)*2-12)</f>
        <v>ATA08</v>
      </c>
      <c r="DM3" s="1" t="str">
        <f ca="1">OFFSET(Database!$F3,0,COLUMN(Database!DJ3)*2-12)</f>
        <v>ATA09</v>
      </c>
      <c r="DN3" s="1" t="str">
        <f ca="1">OFFSET(Database!$F3,0,COLUMN(Database!DK3)*2-12)</f>
        <v>ATA10</v>
      </c>
      <c r="DO3" s="1" t="str">
        <f ca="1">OFFSET(Database!$F3,0,COLUMN(Database!DL3)*2-12)</f>
        <v>ATA11</v>
      </c>
      <c r="DP3" s="1" t="str">
        <f ca="1">OFFSET(Database!$F3,0,COLUMN(Database!DM3)*2-12)</f>
        <v>ATA12</v>
      </c>
      <c r="DQ3" s="1" t="str">
        <f ca="1">OFFSET(Database!$F3,0,COLUMN(Database!DN3)*2-12)</f>
        <v>ATA13</v>
      </c>
      <c r="DR3" s="1" t="str">
        <f ca="1">OFFSET(Database!$F3,0,COLUMN(Database!DO3)*2-12)</f>
        <v>ATA14</v>
      </c>
      <c r="DS3" s="1" t="str">
        <f ca="1">OFFSET(Database!$F3,0,COLUMN(Database!DP3)*2-12)</f>
        <v>ATA15</v>
      </c>
      <c r="DT3" s="1" t="str">
        <f ca="1">OFFSET(Database!$F3,0,COLUMN(Database!DQ3)*2-12)</f>
        <v>ATA16</v>
      </c>
      <c r="DU3" s="1" t="str">
        <f ca="1">OFFSET(Database!$F3,0,COLUMN(Database!DR3)*2-12)</f>
        <v>DGA</v>
      </c>
      <c r="DV3" s="1" t="str">
        <f ca="1">OFFSET(Database!$F3,0,COLUMN(Database!DS3)*2-12)</f>
        <v>NOA</v>
      </c>
      <c r="DW3" s="1" t="str">
        <f ca="1">OFFSET(Database!$F3,0,COLUMN(Database!DT3)*2-12)</f>
        <v>AT02-03</v>
      </c>
      <c r="DX3" s="1" t="str">
        <f ca="1">OFFSET(Database!$F3,0,COLUMN(Database!DU3)*2-12)</f>
        <v>ATA02-28</v>
      </c>
      <c r="DY3" s="1" t="str">
        <f ca="1">OFFSET(Database!$F3,0,COLUMN(Database!DV3)*2-12)</f>
        <v>ATA02-16</v>
      </c>
      <c r="DZ3" s="1" t="str">
        <f ca="1">OFFSET(Database!$F3,0,COLUMN(Database!DW3)*2-12)</f>
        <v>ATA02-23</v>
      </c>
      <c r="EA3" s="1" t="str">
        <f ca="1">OFFSET(Database!$F3,0,COLUMN(Database!DX3)*2-12)</f>
        <v>ATA02-22</v>
      </c>
      <c r="EB3" s="1" t="str">
        <f ca="1">OFFSET(Database!$F3,0,COLUMN(Database!DY3)*2-12)</f>
        <v>AT45-A3</v>
      </c>
      <c r="EC3" s="1" t="str">
        <f ca="1">OFFSET(Database!$F3,0,COLUMN(Database!DZ3)*2-12)</f>
        <v>LAP Ice</v>
      </c>
      <c r="ED3" s="1" t="str">
        <f ca="1">OFFSET(Database!$F3,0,COLUMN(Database!EA3)*2-12)</f>
        <v xml:space="preserve">DV soil </v>
      </c>
      <c r="EE3" s="1" t="str">
        <f ca="1">OFFSET(Database!$F3,0,COLUMN(Database!EB3)*2-12)</f>
        <v>PC-1</v>
      </c>
      <c r="EF3" s="1" t="str">
        <f ca="1">OFFSET(Database!$F3,0,COLUMN(Database!EC3)*2-12)</f>
        <v>PC-3</v>
      </c>
      <c r="EG3" s="1" t="str">
        <f ca="1">OFFSET(Database!$F3,0,COLUMN(Database!ED3)*2-12)</f>
        <v>PC-4</v>
      </c>
      <c r="EH3" s="1" t="str">
        <f ca="1">OFFSET(Database!$F3,0,COLUMN(Database!EE3)*2-12)</f>
        <v>PC-6</v>
      </c>
      <c r="EI3" s="1" t="str">
        <f ca="1">OFFSET(Database!$F3,0,COLUMN(Database!EF3)*2-12)</f>
        <v>B02</v>
      </c>
      <c r="EJ3" s="1" t="str">
        <f ca="1">OFFSET(Database!$F3,0,COLUMN(Database!EG3)*2-12)</f>
        <v>B04</v>
      </c>
      <c r="EK3" s="1" t="str">
        <f ca="1">OFFSET(Database!$F3,0,COLUMN(Database!EH3)*2-12)</f>
        <v>B05</v>
      </c>
      <c r="EL3" s="1" t="str">
        <f ca="1">OFFSET(Database!$F3,0,COLUMN(Database!EI3)*2-12)</f>
        <v>B06</v>
      </c>
      <c r="EM3" s="1" t="str">
        <f ca="1">OFFSET(Database!$F3,0,COLUMN(Database!EJ3)*2-12)</f>
        <v>B07</v>
      </c>
      <c r="EN3" s="1" t="str">
        <f ca="1">OFFSET(Database!$F3,0,COLUMN(Database!EK3)*2-12)</f>
        <v>B08</v>
      </c>
      <c r="EO3" s="1" t="str">
        <f ca="1">OFFSET(Database!$F3,0,COLUMN(Database!EL3)*2-12)</f>
        <v>B09</v>
      </c>
      <c r="EP3" s="1" t="str">
        <f ca="1">OFFSET(Database!$F3,0,COLUMN(Database!EM3)*2-12)</f>
        <v>B12</v>
      </c>
      <c r="EQ3" s="1" t="str">
        <f ca="1">OFFSET(Database!$F3,0,COLUMN(Database!EN3)*2-12)</f>
        <v>NC</v>
      </c>
      <c r="ER3" s="1" t="str">
        <f ca="1">OFFSET(Database!$F3,0,COLUMN(Database!EO3)*2-12)</f>
        <v>Shrub</v>
      </c>
      <c r="ES3" s="1" t="str">
        <f ca="1">OFFSET(Database!$F3,0,COLUMN(Database!EP3)*2-12)</f>
        <v>Moor</v>
      </c>
      <c r="ET3" s="1" t="str">
        <f ca="1">OFFSET(Database!$F3,0,COLUMN(Database!EQ3)*2-12)</f>
        <v>Woodland</v>
      </c>
      <c r="EU3" s="1" t="str">
        <f ca="1">OFFSET(Database!$F3,0,COLUMN(Database!ER3)*2-12)</f>
        <v>Mixed Forest</v>
      </c>
      <c r="EV3" s="1" t="str">
        <f ca="1">OFFSET(Database!$F3,0,COLUMN(Database!ES3)*2-12)</f>
        <v>Tall Forest</v>
      </c>
      <c r="EW3" s="1" t="str">
        <f ca="1">OFFSET(Database!$F3,0,COLUMN(Database!ET3)*2-12)</f>
        <v>Mollisol-1</v>
      </c>
      <c r="EX3" s="1" t="str">
        <f ca="1">OFFSET(Database!$F3,0,COLUMN(Database!EU3)*2-12)</f>
        <v>Mollisol-2</v>
      </c>
      <c r="EY3" s="1" t="str">
        <f ca="1">OFFSET(Database!$F3,0,COLUMN(Database!EV3)*2-12)</f>
        <v>Ultisol</v>
      </c>
      <c r="EZ3" s="1" t="str">
        <f ca="1">OFFSET(Database!$F3,0,COLUMN(Database!EW3)*2-12)</f>
        <v>Alfisol</v>
      </c>
      <c r="FA3" s="1" t="str">
        <f ca="1">OFFSET(Database!$F3,0,COLUMN(Database!EX3)*2-12)</f>
        <v>Inceptisol</v>
      </c>
      <c r="FB3" s="1" t="str">
        <f ca="1">OFFSET(Database!$F3,0,COLUMN(Database!EY3)*2-12)</f>
        <v>Mouse-1</v>
      </c>
      <c r="FC3" s="1" t="str">
        <f ca="1">OFFSET(Database!$F3,0,COLUMN(Database!EZ3)*2-12)</f>
        <v>Mouse-2</v>
      </c>
      <c r="FD3" s="1" t="str">
        <f ca="1">OFFSET(Database!$F3,0,COLUMN(Database!FA3)*2-12)</f>
        <v>Rat-1</v>
      </c>
      <c r="FE3" s="1" t="str">
        <f ca="1">OFFSET(Database!$F3,0,COLUMN(Database!FB3)*2-12)</f>
        <v>Rat-2</v>
      </c>
      <c r="FF3" s="1" t="str">
        <f ca="1">OFFSET(Database!$F3,0,COLUMN(Database!FC3)*2-12)</f>
        <v>Rat-3</v>
      </c>
      <c r="FG3" s="1" t="str">
        <f ca="1">OFFSET(Database!$F3,0,COLUMN(Database!FD3)*2-12)</f>
        <v>Fly-1</v>
      </c>
      <c r="FH3" s="1" t="str">
        <f ca="1">OFFSET(Database!$F3,0,COLUMN(Database!FE3)*2-12)</f>
        <v>Mollusk</v>
      </c>
      <c r="FI3" s="1" t="str">
        <f ca="1">OFFSET(Database!$F3,0,COLUMN(Database!FF3)*2-12)</f>
        <v>Amphioxus</v>
      </c>
      <c r="FJ3" s="1" t="str">
        <f ca="1">OFFSET(Database!$F3,0,COLUMN(Database!FG3)*2-12)</f>
        <v>Human-1</v>
      </c>
      <c r="FK3" s="1" t="str">
        <f ca="1">OFFSET(Database!$F3,0,COLUMN(Database!FH3)*2-12)</f>
        <v>Fish -1</v>
      </c>
      <c r="FL3" s="1" t="str">
        <f ca="1">OFFSET(Database!$F3,0,COLUMN(Database!FI3)*2-12)</f>
        <v>Fish -2</v>
      </c>
      <c r="FM3" s="1" t="str">
        <f ca="1">OFFSET(Database!$F3,0,COLUMN(Database!FJ3)*2-12)</f>
        <v>Fish -3</v>
      </c>
      <c r="FN3" s="1" t="str">
        <f ca="1">OFFSET(Database!$F3,0,COLUMN(Database!FK3)*2-12)</f>
        <v>Fish -4</v>
      </c>
      <c r="FO3" s="1" t="str">
        <f ca="1">OFFSET(Database!$F3,0,COLUMN(Database!FL3)*2-12)</f>
        <v>Fish -5</v>
      </c>
      <c r="FP3" s="1" t="str">
        <f ca="1">OFFSET(Database!$F3,0,COLUMN(Database!FM3)*2-12)</f>
        <v>Fish -6</v>
      </c>
      <c r="FQ3" s="1" t="str">
        <f ca="1">OFFSET(Database!$F3,0,COLUMN(Database!FN3)*2-12)</f>
        <v>Mushroom-1</v>
      </c>
      <c r="FR3" s="1" t="str">
        <f ca="1">OFFSET(Database!$F3,0,COLUMN(Database!FO3)*2-12)</f>
        <v>Mushroom-2</v>
      </c>
      <c r="FS3" s="1" t="str">
        <f ca="1">OFFSET(Database!$F3,0,COLUMN(Database!FP3)*2-12)</f>
        <v>Mushroom-3</v>
      </c>
      <c r="FT3" s="1" t="str">
        <f ca="1">OFFSET(Database!$F3,0,COLUMN(Database!FQ3)*2-12)</f>
        <v>Mushroom-4</v>
      </c>
      <c r="FU3" s="1" t="str">
        <f ca="1">OFFSET(Database!$F3,0,COLUMN(Database!FR3)*2-12)</f>
        <v>Ajwa-Al Medina</v>
      </c>
      <c r="FV3" s="1" t="str">
        <f ca="1">OFFSET(Database!$F3,0,COLUMN(Database!FS3)*2-12)</f>
        <v>Nabtat Ali</v>
      </c>
      <c r="FW3" s="1" t="str">
        <f ca="1">OFFSET(Database!$F3,0,COLUMN(Database!FT3)*2-12)</f>
        <v>Sukkari</v>
      </c>
      <c r="FX3" s="1" t="str">
        <f ca="1">OFFSET(Database!$F3,0,COLUMN(Database!FU3)*2-12)</f>
        <v>Segae-1</v>
      </c>
      <c r="FY3" s="1" t="str">
        <f ca="1">OFFSET(Database!$F3,0,COLUMN(Database!FV3)*2-12)</f>
        <v>Shaihee</v>
      </c>
      <c r="FZ3" s="1" t="str">
        <f ca="1">OFFSET(Database!$F3,0,COLUMN(Database!FW3)*2-12)</f>
        <v>Ruthana</v>
      </c>
      <c r="GA3" s="1" t="str">
        <f ca="1">OFFSET(Database!$F3,0,COLUMN(Database!FX3)*2-12)</f>
        <v>Rushodia</v>
      </c>
      <c r="GB3" s="1" t="str">
        <f ca="1">OFFSET(Database!$F3,0,COLUMN(Database!FY3)*2-12)</f>
        <v>Khalas-1</v>
      </c>
      <c r="GC3" s="1" t="str">
        <f ca="1">OFFSET(Database!$F3,0,COLUMN(Database!FZ3)*2-12)</f>
        <v>Barhi-1</v>
      </c>
      <c r="GD3" s="1" t="str">
        <f ca="1">OFFSET(Database!$F3,0,COLUMN(Database!GA3)*2-12)</f>
        <v>Barhi-2</v>
      </c>
      <c r="GE3" s="1" t="str">
        <f ca="1">OFFSET(Database!$F3,0,COLUMN(Database!GB3)*2-12)</f>
        <v>Segae-2</v>
      </c>
      <c r="GF3" s="1" t="str">
        <f ca="1">OFFSET(Database!$F3,0,COLUMN(Database!GC3)*2-12)</f>
        <v>Khalas-2</v>
      </c>
      <c r="GG3" s="1" t="str">
        <f ca="1">OFFSET(Database!$F3,0,COLUMN(Database!GD3)*2-12)</f>
        <v>Bee-pollen-1</v>
      </c>
      <c r="GH3" s="1" t="str">
        <f ca="1">OFFSET(Database!$F3,0,COLUMN(Database!GE3)*2-12)</f>
        <v>Bee-pollen-2</v>
      </c>
      <c r="GI3" s="1" t="str">
        <f ca="1">OFFSET(Database!$F3,0,COLUMN(Database!GF3)*2-12)</f>
        <v>Bee-pollen-3</v>
      </c>
      <c r="GJ3" s="1" t="str">
        <f ca="1">OFFSET(Database!$F3,0,COLUMN(Database!GG3)*2-12)</f>
        <v>Bee-pollen-4</v>
      </c>
      <c r="GK3" s="1" t="str">
        <f ca="1">OFFSET(Database!$F3,0,COLUMN(Database!GH3)*2-12)</f>
        <v>Bee-pollen-5</v>
      </c>
      <c r="GL3" s="1" t="str">
        <f ca="1">OFFSET(Database!$F3,0,COLUMN(Database!GI3)*2-12)</f>
        <v>Bee-pollen-6</v>
      </c>
      <c r="GM3" s="1" t="str">
        <f ca="1">OFFSET(Database!$F3,0,COLUMN(Database!GJ3)*2-12)</f>
        <v>Ackee aril</v>
      </c>
      <c r="GN3" s="1" t="str">
        <f ca="1">OFFSET(Database!$F3,0,COLUMN(Database!GK3)*2-12)</f>
        <v>Spirulina sp</v>
      </c>
      <c r="GO3" s="1" t="str">
        <f ca="1">OFFSET(Database!$F3,0,COLUMN(Database!GL3)*2-12)</f>
        <v>AA Synthesis-1</v>
      </c>
      <c r="GP3" s="1" t="str">
        <f ca="1">OFFSET(Database!$F3,0,COLUMN(Database!GM3)*2-12)</f>
        <v>AA Synthesis-2</v>
      </c>
    </row>
    <row r="4" spans="1:198" x14ac:dyDescent="0.2">
      <c r="A4" s="50" t="str">
        <f>Database!A4</f>
        <v>Glycine</v>
      </c>
      <c r="B4" s="1" t="s">
        <v>854</v>
      </c>
      <c r="C4" s="4" t="str">
        <f>Database!B4</f>
        <v>ɑ</v>
      </c>
      <c r="D4" s="4" t="str">
        <f>Database!C4</f>
        <v>Achiral</v>
      </c>
      <c r="E4" s="74">
        <f>Database!D4</f>
        <v>183</v>
      </c>
      <c r="F4" s="1" t="s">
        <v>855</v>
      </c>
      <c r="G4" s="1">
        <v>750</v>
      </c>
      <c r="H4" s="1">
        <f>Database!E4</f>
        <v>75.069999999999993</v>
      </c>
      <c r="I4" s="8">
        <f ca="1">OFFSET(Database!$F4,0,COLUMN(Database!F4)*2-12)</f>
        <v>0.19020000000000001</v>
      </c>
      <c r="J4" s="8">
        <f ca="1">OFFSET(Database!$F4,0,COLUMN(Database!G4)*2-12)</f>
        <v>0.8024</v>
      </c>
      <c r="K4" s="8">
        <f ca="1">OFFSET(Database!$F4,0,COLUMN(Database!H4)*2-12)</f>
        <v>0.52739999999999998</v>
      </c>
      <c r="L4" s="8">
        <f ca="1">OFFSET(Database!$F4,0,COLUMN(Database!I4)*2-12)</f>
        <v>0.27279999999999999</v>
      </c>
      <c r="M4" s="8">
        <f ca="1">OFFSET(Database!$F4,0,COLUMN(Database!J4)*2-12)</f>
        <v>0.36470000000000002</v>
      </c>
      <c r="N4" s="8">
        <f ca="1">OFFSET(Database!$F4,0,COLUMN(Database!K4)*2-12)</f>
        <v>1.8116424670307714</v>
      </c>
      <c r="O4" s="8">
        <f ca="1">OFFSET(Database!$F4,0,COLUMN(Database!L4)*2-12)</f>
        <v>3.7</v>
      </c>
      <c r="P4" s="8">
        <f ca="1">OFFSET(Database!$F4,0,COLUMN(Database!M4)*2-12)</f>
        <v>3.46</v>
      </c>
      <c r="Q4" s="8">
        <f ca="1">OFFSET(Database!$F4,0,COLUMN(Database!N4)*2-12)</f>
        <v>275</v>
      </c>
      <c r="R4" s="8">
        <f ca="1">OFFSET(Database!$F4,0,COLUMN(Database!O4)*2-12)</f>
        <v>770</v>
      </c>
      <c r="S4" s="8">
        <f ca="1">OFFSET(Database!$F4,0,COLUMN(Database!P4)*2-12)</f>
        <v>357.99920074597048</v>
      </c>
      <c r="T4" s="8">
        <f ca="1">OFFSET(Database!$F4,0,COLUMN(Database!Q4)*2-12)</f>
        <v>726</v>
      </c>
      <c r="U4" s="8">
        <f ca="1">OFFSET(Database!$F4,0,COLUMN(Database!R4)*2-12)</f>
        <v>188</v>
      </c>
      <c r="V4" s="8">
        <f ca="1">OFFSET(Database!$F4,0,COLUMN(Database!S4)*2-12)</f>
        <v>1.3986945517516984</v>
      </c>
      <c r="W4" s="8">
        <f ca="1">OFFSET(Database!$F4,0,COLUMN(Database!T4)*2-12)</f>
        <v>0.63940322365791935</v>
      </c>
      <c r="X4" s="8">
        <f ca="1">OFFSET(Database!$F4,0,COLUMN(Database!U4)*2-12)</f>
        <v>34.714266684427869</v>
      </c>
      <c r="Y4" s="8">
        <f ca="1">OFFSET(Database!$F4,0,COLUMN(Database!V4)*2-12)</f>
        <v>40</v>
      </c>
      <c r="Z4" s="8">
        <f ca="1">OFFSET(Database!$F4,0,COLUMN(Database!W4)*2-12)</f>
        <v>32</v>
      </c>
      <c r="AA4" s="8">
        <f ca="1">OFFSET(Database!$F4,0,COLUMN(Database!X4)*2-12)</f>
        <v>30.1</v>
      </c>
      <c r="AB4" s="8">
        <f ca="1">OFFSET(Database!$F4,0,COLUMN(Database!Y4)*2-12)</f>
        <v>18.289596376715068</v>
      </c>
      <c r="AC4" s="8">
        <f ca="1">OFFSET(Database!$F4,0,COLUMN(Database!Z4)*2-12)</f>
        <v>26.575196483282273</v>
      </c>
      <c r="AD4" s="8">
        <f ca="1">OFFSET(Database!$F4,0,COLUMN(Database!AA4)*2-12)</f>
        <v>19.288663913680566</v>
      </c>
      <c r="AE4" s="8">
        <f ca="1">OFFSET(Database!$F4,0,COLUMN(Database!AB4)*2-12)</f>
        <v>45.171173571333426</v>
      </c>
      <c r="AF4" s="8">
        <f ca="1">OFFSET(Database!$F4,0,COLUMN(Database!AC4)*2-12)</f>
        <v>160</v>
      </c>
      <c r="AG4" s="8">
        <f ca="1">OFFSET(Database!$F4,0,COLUMN(Database!AD4)*2-12)</f>
        <v>1.7</v>
      </c>
      <c r="AH4" s="8">
        <f ca="1">OFFSET(Database!$F4,0,COLUMN(Database!AE4)*2-12)</f>
        <v>42.1</v>
      </c>
      <c r="AI4" s="8">
        <f ca="1">OFFSET(Database!$F4,0,COLUMN(Database!AF4)*2-12)</f>
        <v>2.2599999999999998</v>
      </c>
      <c r="AJ4" s="8">
        <f ca="1">OFFSET(Database!$F4,0,COLUMN(Database!AG4)*2-12)</f>
        <v>2.96</v>
      </c>
      <c r="AK4" s="8">
        <f ca="1">OFFSET(Database!$F4,0,COLUMN(Database!AH4)*2-12)</f>
        <v>12.8</v>
      </c>
      <c r="AL4" s="8">
        <f ca="1">OFFSET(Database!$F4,0,COLUMN(Database!AI4)*2-12)</f>
        <v>110</v>
      </c>
      <c r="AM4" s="8">
        <f ca="1">OFFSET(Database!$F4,0,COLUMN(Database!AJ4)*2-12)</f>
        <v>20</v>
      </c>
      <c r="AN4" s="8">
        <f ca="1">OFFSET(Database!$F4,0,COLUMN(Database!AK4)*2-12)</f>
        <v>158</v>
      </c>
      <c r="AO4" s="8">
        <f ca="1">OFFSET(Database!$F4,0,COLUMN(Database!AL4)*2-12)</f>
        <v>11.522578926335422</v>
      </c>
      <c r="AP4" s="8">
        <f ca="1">OFFSET(Database!$F4,0,COLUMN(Database!AM4)*2-12)</f>
        <v>10.7</v>
      </c>
      <c r="AQ4" s="8">
        <f ca="1">OFFSET(Database!$F4,0,COLUMN(Database!AN4)*2-12)</f>
        <v>0.79</v>
      </c>
      <c r="AR4" s="8">
        <f ca="1">OFFSET(Database!$F4,0,COLUMN(Database!AO4)*2-12)</f>
        <v>0.25</v>
      </c>
      <c r="AS4" s="8">
        <f ca="1">OFFSET(Database!$F4,0,COLUMN(Database!AP4)*2-12)</f>
        <v>1.0656720394298655</v>
      </c>
      <c r="AT4" s="8">
        <f ca="1">OFFSET(Database!$F4,0,COLUMN(Database!AQ4)*2-12)</f>
        <v>9.857466364726257E-2</v>
      </c>
      <c r="AU4" s="8">
        <f ca="1">OFFSET(Database!$F4,0,COLUMN(Database!AR4)*2-12)</f>
        <v>0.83921673105101913</v>
      </c>
      <c r="AV4" s="8">
        <f ca="1">OFFSET(Database!$F4,0,COLUMN(Database!AS4)*2-12)</f>
        <v>0.47955241774343949</v>
      </c>
      <c r="AW4" s="8">
        <f ca="1">OFFSET(Database!$F4,0,COLUMN(Database!AT4)*2-12)</f>
        <v>0.31970161182895968</v>
      </c>
      <c r="AX4" s="8">
        <f ca="1">OFFSET(Database!$F4,0,COLUMN(Database!AU4)*2-12)</f>
        <v>0.91914213400825906</v>
      </c>
      <c r="AY4" s="8">
        <f ca="1">OFFSET(Database!$F4,0,COLUMN(Database!AV4)*2-12)</f>
        <v>0.25309710936459306</v>
      </c>
      <c r="AZ4" s="8">
        <f ca="1">OFFSET(Database!$F4,0,COLUMN(Database!AW4)*2-12)</f>
        <v>0.75929132809377919</v>
      </c>
      <c r="BA4" s="8">
        <f ca="1">OFFSET(Database!$F4,0,COLUMN(Database!AX4)*2-12)</f>
        <v>1.5985080591447984</v>
      </c>
      <c r="BB4" s="8">
        <f ca="1">OFFSET(Database!$F4,0,COLUMN(Database!AY4)*2-12)</f>
        <v>0.65272412415079262</v>
      </c>
      <c r="BC4" s="8">
        <f ca="1">OFFSET(Database!$F4,0,COLUMN(Database!AZ4)*2-12)</f>
        <v>0.62608232316504597</v>
      </c>
      <c r="BD4" s="8">
        <f ca="1">OFFSET(Database!$F4,0,COLUMN(Database!BA4)*2-12)</f>
        <v>11.336086319435195</v>
      </c>
      <c r="BE4" s="8">
        <f ca="1">OFFSET(Database!$F4,0,COLUMN(Database!BB4)*2-12)</f>
        <v>9.9906753696549902E-2</v>
      </c>
      <c r="BF4" s="8">
        <f ca="1">OFFSET(Database!$F4,0,COLUMN(Database!BC4)*2-12)</f>
        <v>0.17317170640735316</v>
      </c>
      <c r="BG4" s="8">
        <f ca="1">OFFSET(Database!$F4,0,COLUMN(Database!BD4)*2-12)</f>
        <v>0.25309710936459306</v>
      </c>
      <c r="BH4" s="8">
        <f ca="1">OFFSET(Database!$F4,0,COLUMN(Database!BE4)*2-12)</f>
        <v>1.3733848408152391</v>
      </c>
      <c r="BI4" s="8">
        <f ca="1">OFFSET(Database!$F4,0,COLUMN(Database!BF4)*2-12)</f>
        <v>3.4194751565205808</v>
      </c>
      <c r="BJ4" s="8">
        <f ca="1">OFFSET(Database!$F4,0,COLUMN(Database!BG4)*2-12)</f>
        <v>60.357000133209013</v>
      </c>
      <c r="BK4" s="8">
        <f ca="1">OFFSET(Database!$F4,0,COLUMN(Database!BH4)*2-12)</f>
        <v>61.396030371653133</v>
      </c>
      <c r="BL4" s="8">
        <f ca="1">OFFSET(Database!$F4,0,COLUMN(Database!BI4)*2-12)</f>
        <v>76.555215132542969</v>
      </c>
      <c r="BM4" s="8">
        <f ca="1">OFFSET(Database!$F4,0,COLUMN(Database!BJ4)*2-12)</f>
        <v>0.51951511922205951</v>
      </c>
      <c r="BN4" s="8">
        <f ca="1">OFFSET(Database!$F4,0,COLUMN(Database!BK4)*2-12)</f>
        <v>11.988810443585988</v>
      </c>
      <c r="BO4" s="8">
        <f ca="1">OFFSET(Database!$F4,0,COLUMN(Database!BL4)*2-12)</f>
        <v>8.5253763154389248E-2</v>
      </c>
      <c r="BP4" s="8">
        <f ca="1">OFFSET(Database!$F4,0,COLUMN(Database!BM4)*2-12)</f>
        <v>8.2989210070600787</v>
      </c>
      <c r="BQ4" s="8">
        <f ca="1">OFFSET(Database!$F4,0,COLUMN(Database!BN4)*2-12)</f>
        <v>0.25309710936459306</v>
      </c>
      <c r="BR4" s="8">
        <f ca="1">OFFSET(Database!$F4,0,COLUMN(Database!BO4)*2-12)</f>
        <v>0.17317170640735316</v>
      </c>
      <c r="BS4" s="8">
        <f ca="1">OFFSET(Database!$F4,0,COLUMN(Database!BP4)*2-12)</f>
        <v>0.78593312907952584</v>
      </c>
      <c r="BT4" s="8">
        <f ca="1">OFFSET(Database!$F4,0,COLUMN(Database!BQ4)*2-12)</f>
        <v>5.061942187291861E-2</v>
      </c>
      <c r="BU4" s="8">
        <f ca="1">OFFSET(Database!$F4,0,COLUMN(Database!BR4)*2-12)</f>
        <v>0.59944052217929933</v>
      </c>
      <c r="BV4" s="8">
        <f ca="1">OFFSET(Database!$F4,0,COLUMN(Database!BS4)*2-12)</f>
        <v>0.18649260690022648</v>
      </c>
      <c r="BW4" s="8" t="str">
        <f ca="1">OFFSET(Database!$F4,0,COLUMN(Database!BT4)*2-12)</f>
        <v>&lt;0.0001</v>
      </c>
      <c r="BX4" s="8" t="str">
        <f ca="1">OFFSET(Database!$F4,0,COLUMN(Database!BU4)*2-12)</f>
        <v>&lt;0.0001</v>
      </c>
      <c r="BY4" s="8">
        <f ca="1">OFFSET(Database!$F4,0,COLUMN(Database!BV4)*2-12)</f>
        <v>3.5999999999999999E-3</v>
      </c>
      <c r="BZ4" s="8">
        <f ca="1">OFFSET(Database!$F4,0,COLUMN(Database!BW4)*2-12)</f>
        <v>7.1213534034900769</v>
      </c>
      <c r="CA4" s="8">
        <f ca="1">OFFSET(Database!$F4,0,COLUMN(Database!BX4)*2-12)</f>
        <v>3.9190089250033306</v>
      </c>
      <c r="CB4" s="8">
        <f ca="1">OFFSET(Database!$F4,0,COLUMN(Database!BY4)*2-12)</f>
        <v>0.1998135073930998</v>
      </c>
      <c r="CC4" s="8">
        <f ca="1">OFFSET(Database!$F4,0,COLUMN(Database!BZ4)*2-12)</f>
        <v>0.17317170640735316</v>
      </c>
      <c r="CD4" s="8">
        <f ca="1">OFFSET(Database!$F4,0,COLUMN(Database!CA4)*2-12)</f>
        <v>0.54615692020780615</v>
      </c>
      <c r="CE4" s="8">
        <f ca="1">OFFSET(Database!$F4,0,COLUMN(Database!CB4)*2-12)</f>
        <v>0.59944052217929933</v>
      </c>
      <c r="CF4" s="8">
        <f ca="1">OFFSET(Database!$F4,0,COLUMN(Database!CC4)*2-12)</f>
        <v>0.31970161182895968</v>
      </c>
      <c r="CG4" s="8">
        <f ca="1">OFFSET(Database!$F4,0,COLUMN(Database!CD4)*2-12)</f>
        <v>0.23977620887171974</v>
      </c>
      <c r="CH4" s="8">
        <f ca="1">OFFSET(Database!$F4,0,COLUMN(Database!CE4)*2-12)</f>
        <v>2.3977620887171976E-2</v>
      </c>
      <c r="CI4" s="8">
        <f ca="1">OFFSET(Database!$F4,0,COLUMN(Database!CF4)*2-12)</f>
        <v>1.7983215665378982</v>
      </c>
      <c r="CJ4" s="8">
        <f ca="1">OFFSET(Database!$F4,0,COLUMN(Database!CG4)*2-12)</f>
        <v>1.8382842680165181</v>
      </c>
      <c r="CK4" s="8">
        <f ca="1">OFFSET(Database!$F4,0,COLUMN(Database!CH4)*2-12)</f>
        <v>1.3853736512588253</v>
      </c>
      <c r="CL4" s="8">
        <f ca="1">OFFSET(Database!$F4,0,COLUMN(Database!CI4)*2-12)</f>
        <v>2.3977620887171973</v>
      </c>
      <c r="CM4" s="8">
        <f ca="1">OFFSET(Database!$F4,0,COLUMN(Database!CJ4)*2-12)</f>
        <v>3.3435460237112031</v>
      </c>
      <c r="CN4" s="8">
        <f ca="1">OFFSET(Database!$F4,0,COLUMN(Database!CK4)*2-12)</f>
        <v>0.78593312907952584</v>
      </c>
      <c r="CO4" s="8">
        <f ca="1">OFFSET(Database!$F4,0,COLUMN(Database!CL4)*2-12)</f>
        <v>1.6784334621020383</v>
      </c>
      <c r="CP4" s="8">
        <f ca="1">OFFSET(Database!$F4,0,COLUMN(Database!CM4)*2-12)</f>
        <v>17.68</v>
      </c>
      <c r="CQ4" s="8">
        <f ca="1">OFFSET(Database!$F4,0,COLUMN(Database!CN4)*2-12)</f>
        <v>4.18</v>
      </c>
      <c r="CR4" s="8">
        <f ca="1">OFFSET(Database!$F4,0,COLUMN(Database!CO4)*2-12)</f>
        <v>1.3</v>
      </c>
      <c r="CS4" s="8">
        <f ca="1">OFFSET(Database!$F4,0,COLUMN(Database!CP4)*2-12)</f>
        <v>3.17</v>
      </c>
      <c r="CT4" s="8">
        <f ca="1">OFFSET(Database!$F4,0,COLUMN(Database!CQ4)*2-12)</f>
        <v>0.44</v>
      </c>
      <c r="CU4" s="8">
        <f ca="1">OFFSET(Database!$F4,0,COLUMN(Database!CR4)*2-12)</f>
        <v>0.42</v>
      </c>
      <c r="CV4" s="8">
        <f ca="1">OFFSET(Database!$F4,0,COLUMN(Database!CS4)*2-12)</f>
        <v>1.52</v>
      </c>
      <c r="CW4" s="8" t="str">
        <f ca="1">OFFSET(Database!$F4,0,COLUMN(Database!CT4)*2-12)</f>
        <v>&lt;0.1</v>
      </c>
      <c r="CX4" s="8">
        <f ca="1">OFFSET(Database!$F4,0,COLUMN(Database!CU4)*2-12)</f>
        <v>30.41</v>
      </c>
      <c r="CY4" s="8">
        <f ca="1">OFFSET(Database!$F4,0,COLUMN(Database!CV4)*2-12)</f>
        <v>1.44</v>
      </c>
      <c r="CZ4" s="8">
        <f ca="1">OFFSET(Database!$F4,0,COLUMN(Database!CW4)*2-12)</f>
        <v>1.57</v>
      </c>
      <c r="DA4" s="8">
        <f ca="1">OFFSET(Database!$F4,0,COLUMN(Database!CX4)*2-12)</f>
        <v>34.4</v>
      </c>
      <c r="DB4" s="8">
        <f ca="1">OFFSET(Database!$F4,0,COLUMN(Database!CY4)*2-12)</f>
        <v>0.46</v>
      </c>
      <c r="DC4" s="8">
        <f ca="1">OFFSET(Database!$F4,0,COLUMN(Database!CZ4)*2-12)</f>
        <v>1</v>
      </c>
      <c r="DD4" s="8">
        <f ca="1">OFFSET(Database!$F4,0,COLUMN(Database!DA4)*2-12)</f>
        <v>44</v>
      </c>
      <c r="DE4" s="8">
        <f ca="1">OFFSET(Database!$F4,0,COLUMN(Database!DB4)*2-12)</f>
        <v>0.30638071133608635</v>
      </c>
      <c r="DF4" s="8">
        <f ca="1">OFFSET(Database!$F4,0,COLUMN(Database!DC4)*2-12)</f>
        <v>28.456099999999999</v>
      </c>
      <c r="DG4" s="8">
        <f ca="1">OFFSET(Database!$F4,0,COLUMN(Database!DD4)*2-12)</f>
        <v>29.298500000000001</v>
      </c>
      <c r="DH4" s="8">
        <f ca="1">OFFSET(Database!$F4,0,COLUMN(Database!DE4)*2-12)</f>
        <v>112.59269999999999</v>
      </c>
      <c r="DI4" s="8">
        <f ca="1">OFFSET(Database!$F4,0,COLUMN(Database!DF4)*2-12)</f>
        <v>130.3263</v>
      </c>
      <c r="DJ4" s="8">
        <f ca="1">OFFSET(Database!$F4,0,COLUMN(Database!DG4)*2-12)</f>
        <v>184.07060000000001</v>
      </c>
      <c r="DK4" s="8">
        <f ca="1">OFFSET(Database!$F4,0,COLUMN(Database!DH4)*2-12)</f>
        <v>32.5197</v>
      </c>
      <c r="DL4" s="8">
        <f ca="1">OFFSET(Database!$F4,0,COLUMN(Database!DI4)*2-12)</f>
        <v>19.717400000000001</v>
      </c>
      <c r="DM4" s="8">
        <f ca="1">OFFSET(Database!$F4,0,COLUMN(Database!DJ4)*2-12)</f>
        <v>76.515299999999996</v>
      </c>
      <c r="DN4" s="8">
        <f ca="1">OFFSET(Database!$F4,0,COLUMN(Database!DK4)*2-12)</f>
        <v>1370</v>
      </c>
      <c r="DO4" s="8">
        <f ca="1">OFFSET(Database!$F4,0,COLUMN(Database!DL4)*2-12)</f>
        <v>1330</v>
      </c>
      <c r="DP4" s="8">
        <f ca="1">OFFSET(Database!$F4,0,COLUMN(Database!DM4)*2-12)</f>
        <v>240</v>
      </c>
      <c r="DQ4" s="8">
        <f ca="1">OFFSET(Database!$F4,0,COLUMN(Database!DN4)*2-12)</f>
        <v>140</v>
      </c>
      <c r="DR4" s="8" t="str">
        <f ca="1">OFFSET(Database!$F4,0,COLUMN(Database!DO4)*2-12)</f>
        <v>b.b.</v>
      </c>
      <c r="DS4" s="8">
        <f ca="1">OFFSET(Database!$F4,0,COLUMN(Database!DP4)*2-12)</f>
        <v>185</v>
      </c>
      <c r="DT4" s="8">
        <f ca="1">OFFSET(Database!$F4,0,COLUMN(Database!DQ4)*2-12)</f>
        <v>195</v>
      </c>
      <c r="DU4" s="8">
        <f ca="1">OFFSET(Database!$F4,0,COLUMN(Database!DR4)*2-12)</f>
        <v>15.6157</v>
      </c>
      <c r="DV4" s="8" t="str">
        <f ca="1">OFFSET(Database!$F4,0,COLUMN(Database!DS4)*2-12)</f>
        <v>b.b.</v>
      </c>
      <c r="DW4" s="8">
        <f ca="1">OFFSET(Database!$F4,0,COLUMN(Database!DT4)*2-12)</f>
        <v>9.4</v>
      </c>
      <c r="DX4" s="8">
        <f ca="1">OFFSET(Database!$F4,0,COLUMN(Database!DU4)*2-12)</f>
        <v>4.3</v>
      </c>
      <c r="DY4" s="8">
        <f ca="1">OFFSET(Database!$F4,0,COLUMN(Database!DV4)*2-12)</f>
        <v>2.1</v>
      </c>
      <c r="DZ4" s="8">
        <f ca="1">OFFSET(Database!$F4,0,COLUMN(Database!DW4)*2-12)</f>
        <v>19.399999999999999</v>
      </c>
      <c r="EA4" s="8">
        <f ca="1">OFFSET(Database!$F4,0,COLUMN(Database!DX4)*2-12)</f>
        <v>213</v>
      </c>
      <c r="EB4" s="8">
        <f ca="1">OFFSET(Database!$F4,0,COLUMN(Database!DY4)*2-12)</f>
        <v>4.18</v>
      </c>
      <c r="EC4" s="8">
        <f ca="1">OFFSET(Database!$F4,0,COLUMN(Database!DZ4)*2-12)</f>
        <v>7.2</v>
      </c>
      <c r="ED4" s="8">
        <f ca="1">OFFSET(Database!$F4,0,COLUMN(Database!EA4)*2-12)</f>
        <v>9.0299999999999994</v>
      </c>
      <c r="EE4" s="8">
        <f ca="1">OFFSET(Database!$F4,0,COLUMN(Database!EB4)*2-12)</f>
        <v>5330</v>
      </c>
      <c r="EF4" s="8">
        <f ca="1">OFFSET(Database!$F4,0,COLUMN(Database!EC4)*2-12)</f>
        <v>2620</v>
      </c>
      <c r="EG4" s="8">
        <f ca="1">OFFSET(Database!$F4,0,COLUMN(Database!ED4)*2-12)</f>
        <v>2850</v>
      </c>
      <c r="EH4" s="8">
        <f ca="1">OFFSET(Database!$F4,0,COLUMN(Database!EE4)*2-12)</f>
        <v>810</v>
      </c>
      <c r="EI4" s="8">
        <f ca="1">OFFSET(Database!$F4,0,COLUMN(Database!EF4)*2-12)</f>
        <v>0.44800000000000001</v>
      </c>
      <c r="EJ4" s="8">
        <f ca="1">OFFSET(Database!$F4,0,COLUMN(Database!EG4)*2-12)</f>
        <v>0.36199999999999999</v>
      </c>
      <c r="EK4" s="8">
        <f ca="1">OFFSET(Database!$F4,0,COLUMN(Database!EH4)*2-12)</f>
        <v>0.54200000000000004</v>
      </c>
      <c r="EL4" s="8">
        <f ca="1">OFFSET(Database!$F4,0,COLUMN(Database!EI4)*2-12)</f>
        <v>2.633</v>
      </c>
      <c r="EM4" s="8">
        <f ca="1">OFFSET(Database!$F4,0,COLUMN(Database!EJ4)*2-12)</f>
        <v>1.619</v>
      </c>
      <c r="EN4" s="8">
        <f ca="1">OFFSET(Database!$F4,0,COLUMN(Database!EK4)*2-12)</f>
        <v>1.2549999999999999</v>
      </c>
      <c r="EO4" s="8">
        <f ca="1">OFFSET(Database!$F4,0,COLUMN(Database!EL4)*2-12)</f>
        <v>1.524</v>
      </c>
      <c r="EP4" s="8">
        <f ca="1">OFFSET(Database!$F4,0,COLUMN(Database!EM4)*2-12)</f>
        <v>1.5509999999999999</v>
      </c>
      <c r="EQ4" s="8">
        <f ca="1">OFFSET(Database!$F4,0,COLUMN(Database!EN4)*2-12)</f>
        <v>76.28</v>
      </c>
      <c r="ER4" s="8">
        <f ca="1">OFFSET(Database!$F4,0,COLUMN(Database!EO4)*2-12)</f>
        <v>3988.5955375770905</v>
      </c>
      <c r="ES4" s="8">
        <f ca="1">OFFSET(Database!$F4,0,COLUMN(Database!EP4)*2-12)</f>
        <v>4133.6994977525801</v>
      </c>
      <c r="ET4" s="8">
        <f ca="1">OFFSET(Database!$F4,0,COLUMN(Database!EQ4)*2-12)</f>
        <v>4011.3628615314906</v>
      </c>
      <c r="EU4" s="8">
        <f ca="1">OFFSET(Database!$F4,0,COLUMN(Database!ER4)*2-12)</f>
        <v>11909.261315126443</v>
      </c>
      <c r="EV4" s="8">
        <f ca="1">OFFSET(Database!$F4,0,COLUMN(Database!ES4)*2-12)</f>
        <v>4767.8105316750089</v>
      </c>
      <c r="EW4" s="8">
        <f ca="1">OFFSET(Database!$F4,0,COLUMN(Database!ET4)*2-12)</f>
        <v>203700</v>
      </c>
      <c r="EX4" s="8">
        <f ca="1">OFFSET(Database!$F4,0,COLUMN(Database!EU4)*2-12)</f>
        <v>875300</v>
      </c>
      <c r="EY4" s="8">
        <f ca="1">OFFSET(Database!$F4,0,COLUMN(Database!EV4)*2-12)</f>
        <v>83200</v>
      </c>
      <c r="EZ4" s="8">
        <f ca="1">OFFSET(Database!$F4,0,COLUMN(Database!EW4)*2-12)</f>
        <v>166400</v>
      </c>
      <c r="FA4" s="8">
        <f ca="1">OFFSET(Database!$F4,0,COLUMN(Database!EX4)*2-12)</f>
        <v>455600</v>
      </c>
      <c r="FB4" s="8" t="str">
        <f ca="1">OFFSET(Database!$F4,0,COLUMN(Database!EY4)*2-12)</f>
        <v>n.r.</v>
      </c>
      <c r="FC4" s="8" t="str">
        <f ca="1">OFFSET(Database!$F4,0,COLUMN(Database!EZ4)*2-12)</f>
        <v>n.r.</v>
      </c>
      <c r="FD4" s="8">
        <f ca="1">OFFSET(Database!$F4,0,COLUMN(Database!FA4)*2-12)</f>
        <v>3538.3</v>
      </c>
      <c r="FE4" s="8">
        <f ca="1">OFFSET(Database!$F4,0,COLUMN(Database!FB4)*2-12)</f>
        <v>4483.3999999999996</v>
      </c>
      <c r="FF4" s="8">
        <f ca="1">OFFSET(Database!$F4,0,COLUMN(Database!FC4)*2-12)</f>
        <v>4450.3</v>
      </c>
      <c r="FG4" s="8">
        <f ca="1">OFFSET(Database!$F4,0,COLUMN(Database!FD4)*2-12)</f>
        <v>355668.04315971758</v>
      </c>
      <c r="FH4" s="8">
        <f ca="1">OFFSET(Database!$F4,0,COLUMN(Database!FE4)*2-12)</f>
        <v>2400</v>
      </c>
      <c r="FI4" s="8">
        <f ca="1">OFFSET(Database!$F4,0,COLUMN(Database!FF4)*2-12)</f>
        <v>2350</v>
      </c>
      <c r="FJ4" s="8">
        <f ca="1">OFFSET(Database!$F4,0,COLUMN(Database!FG4)*2-12)</f>
        <v>1680</v>
      </c>
      <c r="FK4" s="8">
        <f ca="1">OFFSET(Database!$F4,0,COLUMN(Database!FH4)*2-12)</f>
        <v>1011056.3474090849</v>
      </c>
      <c r="FL4" s="8">
        <f ca="1">OFFSET(Database!$F4,0,COLUMN(Database!FI4)*2-12)</f>
        <v>544824.83015851874</v>
      </c>
      <c r="FM4" s="8">
        <f ca="1">OFFSET(Database!$F4,0,COLUMN(Database!FJ4)*2-12)</f>
        <v>396962.83468762494</v>
      </c>
      <c r="FN4" s="8">
        <f ca="1">OFFSET(Database!$F4,0,COLUMN(Database!FK4)*2-12)</f>
        <v>2277873.9842813378</v>
      </c>
      <c r="FO4" s="8">
        <f ca="1">OFFSET(Database!$F4,0,COLUMN(Database!FL4)*2-12)</f>
        <v>572798.72119355272</v>
      </c>
      <c r="FP4" s="8">
        <f ca="1">OFFSET(Database!$F4,0,COLUMN(Database!FM4)*2-12)</f>
        <v>1603836.4193419477</v>
      </c>
      <c r="FQ4" s="8">
        <f ca="1">OFFSET(Database!$F4,0,COLUMN(Database!FN4)*2-12)</f>
        <v>12921.27347808712</v>
      </c>
      <c r="FR4" s="8">
        <f ca="1">OFFSET(Database!$F4,0,COLUMN(Database!FO4)*2-12)</f>
        <v>12921.27347808712</v>
      </c>
      <c r="FS4" s="8">
        <f ca="1">OFFSET(Database!$F4,0,COLUMN(Database!FP4)*2-12)</f>
        <v>14120.154522445719</v>
      </c>
      <c r="FT4" s="8">
        <f ca="1">OFFSET(Database!$F4,0,COLUMN(Database!FQ4)*2-12)</f>
        <v>12122.01944851472</v>
      </c>
      <c r="FU4" s="8">
        <f ca="1">OFFSET(Database!$F4,0,COLUMN(Database!FR4)*2-12)</f>
        <v>13043</v>
      </c>
      <c r="FV4" s="8">
        <f ca="1">OFFSET(Database!$F4,0,COLUMN(Database!FS4)*2-12)</f>
        <v>12284</v>
      </c>
      <c r="FW4" s="8">
        <f ca="1">OFFSET(Database!$F4,0,COLUMN(Database!FT4)*2-12)</f>
        <v>11886</v>
      </c>
      <c r="FX4" s="8">
        <f ca="1">OFFSET(Database!$F4,0,COLUMN(Database!FU4)*2-12)</f>
        <v>11604</v>
      </c>
      <c r="FY4" s="8">
        <f ca="1">OFFSET(Database!$F4,0,COLUMN(Database!FV4)*2-12)</f>
        <v>13351</v>
      </c>
      <c r="FZ4" s="8">
        <f ca="1">OFFSET(Database!$F4,0,COLUMN(Database!FW4)*2-12)</f>
        <v>15486</v>
      </c>
      <c r="GA4" s="8">
        <f ca="1">OFFSET(Database!$F4,0,COLUMN(Database!FX4)*2-12)</f>
        <v>13824</v>
      </c>
      <c r="GB4" s="8">
        <f ca="1">OFFSET(Database!$F4,0,COLUMN(Database!FY4)*2-12)</f>
        <v>12183</v>
      </c>
      <c r="GC4" s="8">
        <f ca="1">OFFSET(Database!$F4,0,COLUMN(Database!FZ4)*2-12)</f>
        <v>14719</v>
      </c>
      <c r="GD4" s="8">
        <f ca="1">OFFSET(Database!$F4,0,COLUMN(Database!GA4)*2-12)</f>
        <v>13059</v>
      </c>
      <c r="GE4" s="8">
        <f ca="1">OFFSET(Database!$F4,0,COLUMN(Database!GB4)*2-12)</f>
        <v>9958</v>
      </c>
      <c r="GF4" s="8">
        <f ca="1">OFFSET(Database!$F4,0,COLUMN(Database!GC4)*2-12)</f>
        <v>13611</v>
      </c>
      <c r="GG4" s="8">
        <f ca="1">OFFSET(Database!$F4,0,COLUMN(Database!GD4)*2-12)</f>
        <v>2131.3440788597313</v>
      </c>
      <c r="GH4" s="8">
        <f ca="1">OFFSET(Database!$F4,0,COLUMN(Database!GE4)*2-12)</f>
        <v>1864.9260690022647</v>
      </c>
      <c r="GI4" s="8">
        <f ca="1">OFFSET(Database!$F4,0,COLUMN(Database!GF4)*2-12)</f>
        <v>1332.090049287332</v>
      </c>
      <c r="GJ4" s="8">
        <f ca="1">OFFSET(Database!$F4,0,COLUMN(Database!GG4)*2-12)</f>
        <v>30371.65312375117</v>
      </c>
      <c r="GK4" s="8">
        <f ca="1">OFFSET(Database!$F4,0,COLUMN(Database!GH4)*2-12)</f>
        <v>239776.20887171975</v>
      </c>
      <c r="GL4" s="8">
        <f ca="1">OFFSET(Database!$F4,0,COLUMN(Database!GI4)*2-12)</f>
        <v>4862.1286798987612</v>
      </c>
      <c r="GM4" s="8">
        <f ca="1">OFFSET(Database!$F4,0,COLUMN(Database!GJ4)*2-12)</f>
        <v>949.78020514186767</v>
      </c>
      <c r="GN4" s="8">
        <f ca="1">OFFSET(Database!$F4,0,COLUMN(Database!GK4)*2-12)</f>
        <v>383641.93419475161</v>
      </c>
      <c r="GO4" s="8">
        <f ca="1">OFFSET(Database!$F4,0,COLUMN(Database!GL4)*2-12)</f>
        <v>3157.0534168109766</v>
      </c>
      <c r="GP4" s="8">
        <f ca="1">OFFSET(Database!$F4,0,COLUMN(Database!GM4)*2-12)</f>
        <v>3836.4193419475159</v>
      </c>
    </row>
    <row r="5" spans="1:198" x14ac:dyDescent="0.2">
      <c r="A5" s="50" t="str">
        <f>Database!A5</f>
        <v>Taurine</v>
      </c>
      <c r="B5" s="1" t="s">
        <v>856</v>
      </c>
      <c r="C5" s="4" t="str">
        <f>Database!B5</f>
        <v>β</v>
      </c>
      <c r="D5" s="4" t="str">
        <f>Database!C5</f>
        <v>Achiral</v>
      </c>
      <c r="E5" s="74">
        <f>Database!D5</f>
        <v>3</v>
      </c>
      <c r="F5" s="32" t="s">
        <v>896</v>
      </c>
      <c r="G5" s="1">
        <v>1123</v>
      </c>
      <c r="H5" s="1">
        <f>Database!E5</f>
        <v>125.14</v>
      </c>
      <c r="I5" s="8" t="str">
        <f ca="1">OFFSET(Database!$F5,0,COLUMN(Database!F5)*2-12)</f>
        <v>n.r.</v>
      </c>
      <c r="J5" s="8" t="str">
        <f ca="1">OFFSET(Database!$F5,0,COLUMN(Database!G5)*2-12)</f>
        <v>n.r.</v>
      </c>
      <c r="K5" s="8" t="str">
        <f ca="1">OFFSET(Database!$F5,0,COLUMN(Database!H5)*2-12)</f>
        <v>n.r.</v>
      </c>
      <c r="L5" s="8" t="str">
        <f ca="1">OFFSET(Database!$F5,0,COLUMN(Database!I5)*2-12)</f>
        <v>n.r.</v>
      </c>
      <c r="M5" s="8" t="str">
        <f ca="1">OFFSET(Database!$F5,0,COLUMN(Database!J5)*2-12)</f>
        <v>n.r.</v>
      </c>
      <c r="N5" s="8" t="str">
        <f ca="1">OFFSET(Database!$F5,0,COLUMN(Database!K5)*2-12)</f>
        <v>n.r.</v>
      </c>
      <c r="O5" s="8" t="str">
        <f ca="1">OFFSET(Database!$F5,0,COLUMN(Database!L5)*2-12)</f>
        <v>n.r.</v>
      </c>
      <c r="P5" s="8" t="str">
        <f ca="1">OFFSET(Database!$F5,0,COLUMN(Database!M5)*2-12)</f>
        <v>n.r.</v>
      </c>
      <c r="Q5" s="8" t="str">
        <f ca="1">OFFSET(Database!$F5,0,COLUMN(Database!N5)*2-12)</f>
        <v>n.r.</v>
      </c>
      <c r="R5" s="8" t="str">
        <f ca="1">OFFSET(Database!$F5,0,COLUMN(Database!O5)*2-12)</f>
        <v>n.r.</v>
      </c>
      <c r="S5" s="8" t="str">
        <f ca="1">OFFSET(Database!$F5,0,COLUMN(Database!P5)*2-12)</f>
        <v>n.r.</v>
      </c>
      <c r="T5" s="8" t="str">
        <f ca="1">OFFSET(Database!$F5,0,COLUMN(Database!Q5)*2-12)</f>
        <v>n.r.</v>
      </c>
      <c r="U5" s="8" t="str">
        <f ca="1">OFFSET(Database!$F5,0,COLUMN(Database!R5)*2-12)</f>
        <v>n.r.</v>
      </c>
      <c r="V5" s="8" t="str">
        <f ca="1">OFFSET(Database!$F5,0,COLUMN(Database!S5)*2-12)</f>
        <v>n.r.</v>
      </c>
      <c r="W5" s="8" t="str">
        <f ca="1">OFFSET(Database!$F5,0,COLUMN(Database!T5)*2-12)</f>
        <v>n.r.</v>
      </c>
      <c r="X5" s="8" t="str">
        <f ca="1">OFFSET(Database!$F5,0,COLUMN(Database!U5)*2-12)</f>
        <v>n.r.</v>
      </c>
      <c r="Y5" s="8" t="str">
        <f ca="1">OFFSET(Database!$F5,0,COLUMN(Database!V5)*2-12)</f>
        <v>n.r.</v>
      </c>
      <c r="Z5" s="8" t="str">
        <f ca="1">OFFSET(Database!$F5,0,COLUMN(Database!W5)*2-12)</f>
        <v>n.r.</v>
      </c>
      <c r="AA5" s="8" t="str">
        <f ca="1">OFFSET(Database!$F5,0,COLUMN(Database!X5)*2-12)</f>
        <v>n.r.</v>
      </c>
      <c r="AB5" s="8" t="str">
        <f ca="1">OFFSET(Database!$F5,0,COLUMN(Database!Y5)*2-12)</f>
        <v>n.r.</v>
      </c>
      <c r="AC5" s="8" t="str">
        <f ca="1">OFFSET(Database!$F5,0,COLUMN(Database!Z5)*2-12)</f>
        <v>n.r.</v>
      </c>
      <c r="AD5" s="8" t="str">
        <f ca="1">OFFSET(Database!$F5,0,COLUMN(Database!AA5)*2-12)</f>
        <v>n.r.</v>
      </c>
      <c r="AE5" s="8" t="str">
        <f ca="1">OFFSET(Database!$F5,0,COLUMN(Database!AB5)*2-12)</f>
        <v>n.r.</v>
      </c>
      <c r="AF5" s="8" t="str">
        <f ca="1">OFFSET(Database!$F5,0,COLUMN(Database!AC5)*2-12)</f>
        <v>n.r.</v>
      </c>
      <c r="AG5" s="8" t="str">
        <f ca="1">OFFSET(Database!$F5,0,COLUMN(Database!AD5)*2-12)</f>
        <v>n.r.</v>
      </c>
      <c r="AH5" s="8" t="str">
        <f ca="1">OFFSET(Database!$F5,0,COLUMN(Database!AE5)*2-12)</f>
        <v>n.r.</v>
      </c>
      <c r="AI5" s="8" t="str">
        <f ca="1">OFFSET(Database!$F5,0,COLUMN(Database!AF5)*2-12)</f>
        <v>n.r.</v>
      </c>
      <c r="AJ5" s="8" t="str">
        <f ca="1">OFFSET(Database!$F5,0,COLUMN(Database!AG5)*2-12)</f>
        <v>n.r.</v>
      </c>
      <c r="AK5" s="8" t="str">
        <f ca="1">OFFSET(Database!$F5,0,COLUMN(Database!AH5)*2-12)</f>
        <v>n.r.</v>
      </c>
      <c r="AL5" s="8" t="str">
        <f ca="1">OFFSET(Database!$F5,0,COLUMN(Database!AI5)*2-12)</f>
        <v>n.r.</v>
      </c>
      <c r="AM5" s="8" t="str">
        <f ca="1">OFFSET(Database!$F5,0,COLUMN(Database!AJ5)*2-12)</f>
        <v>n.r.</v>
      </c>
      <c r="AN5" s="8" t="str">
        <f ca="1">OFFSET(Database!$F5,0,COLUMN(Database!AK5)*2-12)</f>
        <v>n.r.</v>
      </c>
      <c r="AO5" s="8" t="str">
        <f ca="1">OFFSET(Database!$F5,0,COLUMN(Database!AL5)*2-12)</f>
        <v>n.r.</v>
      </c>
      <c r="AP5" s="8" t="str">
        <f ca="1">OFFSET(Database!$F5,0,COLUMN(Database!AM5)*2-12)</f>
        <v>n.r.</v>
      </c>
      <c r="AQ5" s="8" t="str">
        <f ca="1">OFFSET(Database!$F5,0,COLUMN(Database!AN5)*2-12)</f>
        <v>n.r.</v>
      </c>
      <c r="AR5" s="8" t="str">
        <f ca="1">OFFSET(Database!$F5,0,COLUMN(Database!AO5)*2-12)</f>
        <v>n.r.</v>
      </c>
      <c r="AS5" s="8" t="str">
        <f ca="1">OFFSET(Database!$F5,0,COLUMN(Database!AP5)*2-12)</f>
        <v>n.r.</v>
      </c>
      <c r="AT5" s="8" t="str">
        <f ca="1">OFFSET(Database!$F5,0,COLUMN(Database!AQ5)*2-12)</f>
        <v>n.r.</v>
      </c>
      <c r="AU5" s="8" t="str">
        <f ca="1">OFFSET(Database!$F5,0,COLUMN(Database!AR5)*2-12)</f>
        <v>n.r.</v>
      </c>
      <c r="AV5" s="8" t="str">
        <f ca="1">OFFSET(Database!$F5,0,COLUMN(Database!AS5)*2-12)</f>
        <v>n.r.</v>
      </c>
      <c r="AW5" s="8" t="str">
        <f ca="1">OFFSET(Database!$F5,0,COLUMN(Database!AT5)*2-12)</f>
        <v>n.r.</v>
      </c>
      <c r="AX5" s="8" t="str">
        <f ca="1">OFFSET(Database!$F5,0,COLUMN(Database!AU5)*2-12)</f>
        <v>n.r.</v>
      </c>
      <c r="AY5" s="8" t="str">
        <f ca="1">OFFSET(Database!$F5,0,COLUMN(Database!AV5)*2-12)</f>
        <v>n.r.</v>
      </c>
      <c r="AZ5" s="8" t="str">
        <f ca="1">OFFSET(Database!$F5,0,COLUMN(Database!AW5)*2-12)</f>
        <v>n.r.</v>
      </c>
      <c r="BA5" s="8" t="str">
        <f ca="1">OFFSET(Database!$F5,0,COLUMN(Database!AX5)*2-12)</f>
        <v>n.r.</v>
      </c>
      <c r="BB5" s="8" t="str">
        <f ca="1">OFFSET(Database!$F5,0,COLUMN(Database!AY5)*2-12)</f>
        <v>n.r.</v>
      </c>
      <c r="BC5" s="8" t="str">
        <f ca="1">OFFSET(Database!$F5,0,COLUMN(Database!AZ5)*2-12)</f>
        <v>n.r.</v>
      </c>
      <c r="BD5" s="8" t="str">
        <f ca="1">OFFSET(Database!$F5,0,COLUMN(Database!BA5)*2-12)</f>
        <v>n.r.</v>
      </c>
      <c r="BE5" s="8" t="str">
        <f ca="1">OFFSET(Database!$F5,0,COLUMN(Database!BB5)*2-12)</f>
        <v>n.r.</v>
      </c>
      <c r="BF5" s="8" t="str">
        <f ca="1">OFFSET(Database!$F5,0,COLUMN(Database!BC5)*2-12)</f>
        <v>n.r.</v>
      </c>
      <c r="BG5" s="8" t="str">
        <f ca="1">OFFSET(Database!$F5,0,COLUMN(Database!BD5)*2-12)</f>
        <v>n.r.</v>
      </c>
      <c r="BH5" s="8" t="str">
        <f ca="1">OFFSET(Database!$F5,0,COLUMN(Database!BE5)*2-12)</f>
        <v>n.r.</v>
      </c>
      <c r="BI5" s="8" t="str">
        <f ca="1">OFFSET(Database!$F5,0,COLUMN(Database!BF5)*2-12)</f>
        <v>n.r.</v>
      </c>
      <c r="BJ5" s="8" t="str">
        <f ca="1">OFFSET(Database!$F5,0,COLUMN(Database!BG5)*2-12)</f>
        <v>n.r.</v>
      </c>
      <c r="BK5" s="8" t="str">
        <f ca="1">OFFSET(Database!$F5,0,COLUMN(Database!BH5)*2-12)</f>
        <v>n.r.</v>
      </c>
      <c r="BL5" s="8" t="str">
        <f ca="1">OFFSET(Database!$F5,0,COLUMN(Database!BI5)*2-12)</f>
        <v>n.r.</v>
      </c>
      <c r="BM5" s="8" t="str">
        <f ca="1">OFFSET(Database!$F5,0,COLUMN(Database!BJ5)*2-12)</f>
        <v>n.r.</v>
      </c>
      <c r="BN5" s="8" t="str">
        <f ca="1">OFFSET(Database!$F5,0,COLUMN(Database!BK5)*2-12)</f>
        <v>n.r.</v>
      </c>
      <c r="BO5" s="8" t="str">
        <f ca="1">OFFSET(Database!$F5,0,COLUMN(Database!BL5)*2-12)</f>
        <v>n.r.</v>
      </c>
      <c r="BP5" s="8" t="str">
        <f ca="1">OFFSET(Database!$F5,0,COLUMN(Database!BM5)*2-12)</f>
        <v>n.r.</v>
      </c>
      <c r="BQ5" s="8" t="str">
        <f ca="1">OFFSET(Database!$F5,0,COLUMN(Database!BN5)*2-12)</f>
        <v>n.r.</v>
      </c>
      <c r="BR5" s="8" t="str">
        <f ca="1">OFFSET(Database!$F5,0,COLUMN(Database!BO5)*2-12)</f>
        <v>n.r.</v>
      </c>
      <c r="BS5" s="8" t="str">
        <f ca="1">OFFSET(Database!$F5,0,COLUMN(Database!BP5)*2-12)</f>
        <v>n.r.</v>
      </c>
      <c r="BT5" s="8" t="str">
        <f ca="1">OFFSET(Database!$F5,0,COLUMN(Database!BQ5)*2-12)</f>
        <v>n.r.</v>
      </c>
      <c r="BU5" s="8" t="str">
        <f ca="1">OFFSET(Database!$F5,0,COLUMN(Database!BR5)*2-12)</f>
        <v>n.r.</v>
      </c>
      <c r="BV5" s="8" t="str">
        <f ca="1">OFFSET(Database!$F5,0,COLUMN(Database!BS5)*2-12)</f>
        <v>n.r.</v>
      </c>
      <c r="BW5" s="8" t="str">
        <f ca="1">OFFSET(Database!$F5,0,COLUMN(Database!BT5)*2-12)</f>
        <v>n.r.</v>
      </c>
      <c r="BX5" s="8" t="str">
        <f ca="1">OFFSET(Database!$F5,0,COLUMN(Database!BU5)*2-12)</f>
        <v>n.r.</v>
      </c>
      <c r="BY5" s="8" t="str">
        <f ca="1">OFFSET(Database!$F5,0,COLUMN(Database!BV5)*2-12)</f>
        <v>n.r.</v>
      </c>
      <c r="BZ5" s="8" t="str">
        <f ca="1">OFFSET(Database!$F5,0,COLUMN(Database!BW5)*2-12)</f>
        <v>n.r.</v>
      </c>
      <c r="CA5" s="8" t="str">
        <f ca="1">OFFSET(Database!$F5,0,COLUMN(Database!BX5)*2-12)</f>
        <v>n.r.</v>
      </c>
      <c r="CB5" s="8" t="str">
        <f ca="1">OFFSET(Database!$F5,0,COLUMN(Database!BY5)*2-12)</f>
        <v>n.r.</v>
      </c>
      <c r="CC5" s="8" t="str">
        <f ca="1">OFFSET(Database!$F5,0,COLUMN(Database!BZ5)*2-12)</f>
        <v>n.r.</v>
      </c>
      <c r="CD5" s="8" t="str">
        <f ca="1">OFFSET(Database!$F5,0,COLUMN(Database!CA5)*2-12)</f>
        <v>n.r.</v>
      </c>
      <c r="CE5" s="8" t="str">
        <f ca="1">OFFSET(Database!$F5,0,COLUMN(Database!CB5)*2-12)</f>
        <v>n.r.</v>
      </c>
      <c r="CF5" s="8" t="str">
        <f ca="1">OFFSET(Database!$F5,0,COLUMN(Database!CC5)*2-12)</f>
        <v>n.r.</v>
      </c>
      <c r="CG5" s="8" t="str">
        <f ca="1">OFFSET(Database!$F5,0,COLUMN(Database!CD5)*2-12)</f>
        <v>n.r.</v>
      </c>
      <c r="CH5" s="8" t="str">
        <f ca="1">OFFSET(Database!$F5,0,COLUMN(Database!CE5)*2-12)</f>
        <v>n.r.</v>
      </c>
      <c r="CI5" s="8" t="str">
        <f ca="1">OFFSET(Database!$F5,0,COLUMN(Database!CF5)*2-12)</f>
        <v>n.r.</v>
      </c>
      <c r="CJ5" s="8" t="str">
        <f ca="1">OFFSET(Database!$F5,0,COLUMN(Database!CG5)*2-12)</f>
        <v>n.r.</v>
      </c>
      <c r="CK5" s="8" t="str">
        <f ca="1">OFFSET(Database!$F5,0,COLUMN(Database!CH5)*2-12)</f>
        <v>n.r.</v>
      </c>
      <c r="CL5" s="8" t="str">
        <f ca="1">OFFSET(Database!$F5,0,COLUMN(Database!CI5)*2-12)</f>
        <v>n.r.</v>
      </c>
      <c r="CM5" s="8" t="str">
        <f ca="1">OFFSET(Database!$F5,0,COLUMN(Database!CJ5)*2-12)</f>
        <v>n.r.</v>
      </c>
      <c r="CN5" s="8" t="str">
        <f ca="1">OFFSET(Database!$F5,0,COLUMN(Database!CK5)*2-12)</f>
        <v>n.r.</v>
      </c>
      <c r="CO5" s="8" t="str">
        <f ca="1">OFFSET(Database!$F5,0,COLUMN(Database!CL5)*2-12)</f>
        <v>n.r.</v>
      </c>
      <c r="CP5" s="8" t="str">
        <f ca="1">OFFSET(Database!$F5,0,COLUMN(Database!CM5)*2-12)</f>
        <v>n.r.</v>
      </c>
      <c r="CQ5" s="8" t="str">
        <f ca="1">OFFSET(Database!$F5,0,COLUMN(Database!CN5)*2-12)</f>
        <v>n.r.</v>
      </c>
      <c r="CR5" s="8" t="str">
        <f ca="1">OFFSET(Database!$F5,0,COLUMN(Database!CO5)*2-12)</f>
        <v>n.r.</v>
      </c>
      <c r="CS5" s="8" t="str">
        <f ca="1">OFFSET(Database!$F5,0,COLUMN(Database!CP5)*2-12)</f>
        <v>n.r.</v>
      </c>
      <c r="CT5" s="8" t="str">
        <f ca="1">OFFSET(Database!$F5,0,COLUMN(Database!CQ5)*2-12)</f>
        <v>n.r.</v>
      </c>
      <c r="CU5" s="8" t="str">
        <f ca="1">OFFSET(Database!$F5,0,COLUMN(Database!CR5)*2-12)</f>
        <v>n.r.</v>
      </c>
      <c r="CV5" s="8" t="str">
        <f ca="1">OFFSET(Database!$F5,0,COLUMN(Database!CS5)*2-12)</f>
        <v>n.r.</v>
      </c>
      <c r="CW5" s="8" t="str">
        <f ca="1">OFFSET(Database!$F5,0,COLUMN(Database!CT5)*2-12)</f>
        <v>n.r.</v>
      </c>
      <c r="CX5" s="8" t="str">
        <f ca="1">OFFSET(Database!$F5,0,COLUMN(Database!CU5)*2-12)</f>
        <v>n.r.</v>
      </c>
      <c r="CY5" s="8" t="str">
        <f ca="1">OFFSET(Database!$F5,0,COLUMN(Database!CV5)*2-12)</f>
        <v>n.r.</v>
      </c>
      <c r="CZ5" s="8" t="str">
        <f ca="1">OFFSET(Database!$F5,0,COLUMN(Database!CW5)*2-12)</f>
        <v>n.r.</v>
      </c>
      <c r="DA5" s="8" t="str">
        <f ca="1">OFFSET(Database!$F5,0,COLUMN(Database!CX5)*2-12)</f>
        <v>n.r.</v>
      </c>
      <c r="DB5" s="8" t="str">
        <f ca="1">OFFSET(Database!$F5,0,COLUMN(Database!CY5)*2-12)</f>
        <v>n.r.</v>
      </c>
      <c r="DC5" s="8" t="str">
        <f ca="1">OFFSET(Database!$F5,0,COLUMN(Database!CZ5)*2-12)</f>
        <v>n.r.</v>
      </c>
      <c r="DD5" s="8" t="str">
        <f ca="1">OFFSET(Database!$F5,0,COLUMN(Database!DA5)*2-12)</f>
        <v>n.r.</v>
      </c>
      <c r="DE5" s="8" t="str">
        <f ca="1">OFFSET(Database!$F5,0,COLUMN(Database!DB5)*2-12)</f>
        <v>n.r.</v>
      </c>
      <c r="DF5" s="8" t="str">
        <f ca="1">OFFSET(Database!$F5,0,COLUMN(Database!DC5)*2-12)</f>
        <v>n.r.</v>
      </c>
      <c r="DG5" s="8" t="str">
        <f ca="1">OFFSET(Database!$F5,0,COLUMN(Database!DD5)*2-12)</f>
        <v>n.r.</v>
      </c>
      <c r="DH5" s="8" t="str">
        <f ca="1">OFFSET(Database!$F5,0,COLUMN(Database!DE5)*2-12)</f>
        <v>n.r.</v>
      </c>
      <c r="DI5" s="8" t="str">
        <f ca="1">OFFSET(Database!$F5,0,COLUMN(Database!DF5)*2-12)</f>
        <v>n.r.</v>
      </c>
      <c r="DJ5" s="8" t="str">
        <f ca="1">OFFSET(Database!$F5,0,COLUMN(Database!DG5)*2-12)</f>
        <v>n.r.</v>
      </c>
      <c r="DK5" s="8" t="str">
        <f ca="1">OFFSET(Database!$F5,0,COLUMN(Database!DH5)*2-12)</f>
        <v>n.r.</v>
      </c>
      <c r="DL5" s="8" t="str">
        <f ca="1">OFFSET(Database!$F5,0,COLUMN(Database!DI5)*2-12)</f>
        <v>n.r.</v>
      </c>
      <c r="DM5" s="8" t="str">
        <f ca="1">OFFSET(Database!$F5,0,COLUMN(Database!DJ5)*2-12)</f>
        <v>n.r.</v>
      </c>
      <c r="DN5" s="8" t="str">
        <f ca="1">OFFSET(Database!$F5,0,COLUMN(Database!DK5)*2-12)</f>
        <v>n.r.</v>
      </c>
      <c r="DO5" s="8" t="str">
        <f ca="1">OFFSET(Database!$F5,0,COLUMN(Database!DL5)*2-12)</f>
        <v>n.r.</v>
      </c>
      <c r="DP5" s="8" t="str">
        <f ca="1">OFFSET(Database!$F5,0,COLUMN(Database!DM5)*2-12)</f>
        <v>n.r.</v>
      </c>
      <c r="DQ5" s="8" t="str">
        <f ca="1">OFFSET(Database!$F5,0,COLUMN(Database!DN5)*2-12)</f>
        <v>n.r.</v>
      </c>
      <c r="DR5" s="8" t="str">
        <f ca="1">OFFSET(Database!$F5,0,COLUMN(Database!DO5)*2-12)</f>
        <v>n.r.</v>
      </c>
      <c r="DS5" s="8" t="str">
        <f ca="1">OFFSET(Database!$F5,0,COLUMN(Database!DP5)*2-12)</f>
        <v>n.r.</v>
      </c>
      <c r="DT5" s="8" t="str">
        <f ca="1">OFFSET(Database!$F5,0,COLUMN(Database!DQ5)*2-12)</f>
        <v>n.r.</v>
      </c>
      <c r="DU5" s="8" t="str">
        <f ca="1">OFFSET(Database!$F5,0,COLUMN(Database!DR5)*2-12)</f>
        <v>n.r.</v>
      </c>
      <c r="DV5" s="8" t="str">
        <f ca="1">OFFSET(Database!$F5,0,COLUMN(Database!DS5)*2-12)</f>
        <v>n.r.</v>
      </c>
      <c r="DW5" s="8" t="str">
        <f ca="1">OFFSET(Database!$F5,0,COLUMN(Database!DT5)*2-12)</f>
        <v>n.r.</v>
      </c>
      <c r="DX5" s="8" t="str">
        <f ca="1">OFFSET(Database!$F5,0,COLUMN(Database!DU5)*2-12)</f>
        <v>n.r.</v>
      </c>
      <c r="DY5" s="8" t="str">
        <f ca="1">OFFSET(Database!$F5,0,COLUMN(Database!DV5)*2-12)</f>
        <v>n.r.</v>
      </c>
      <c r="DZ5" s="8" t="str">
        <f ca="1">OFFSET(Database!$F5,0,COLUMN(Database!DW5)*2-12)</f>
        <v>n.r.</v>
      </c>
      <c r="EA5" s="8" t="str">
        <f ca="1">OFFSET(Database!$F5,0,COLUMN(Database!DX5)*2-12)</f>
        <v>n.r.</v>
      </c>
      <c r="EB5" s="8" t="str">
        <f ca="1">OFFSET(Database!$F5,0,COLUMN(Database!DY5)*2-12)</f>
        <v>n.r.</v>
      </c>
      <c r="EC5" s="8" t="str">
        <f ca="1">OFFSET(Database!$F5,0,COLUMN(Database!DZ5)*2-12)</f>
        <v>n.r.</v>
      </c>
      <c r="ED5" s="8" t="str">
        <f ca="1">OFFSET(Database!$F5,0,COLUMN(Database!EA5)*2-12)</f>
        <v>n.r.</v>
      </c>
      <c r="EE5" s="8" t="str">
        <f ca="1">OFFSET(Database!$F5,0,COLUMN(Database!EB5)*2-12)</f>
        <v>n.r.</v>
      </c>
      <c r="EF5" s="8" t="str">
        <f ca="1">OFFSET(Database!$F5,0,COLUMN(Database!EC5)*2-12)</f>
        <v>n.r.</v>
      </c>
      <c r="EG5" s="8" t="str">
        <f ca="1">OFFSET(Database!$F5,0,COLUMN(Database!ED5)*2-12)</f>
        <v>n.r.</v>
      </c>
      <c r="EH5" s="8" t="str">
        <f ca="1">OFFSET(Database!$F5,0,COLUMN(Database!EE5)*2-12)</f>
        <v>n.r.</v>
      </c>
      <c r="EI5" s="8" t="str">
        <f ca="1">OFFSET(Database!$F5,0,COLUMN(Database!EF5)*2-12)</f>
        <v>n.r.</v>
      </c>
      <c r="EJ5" s="8" t="str">
        <f ca="1">OFFSET(Database!$F5,0,COLUMN(Database!EG5)*2-12)</f>
        <v>n.r.</v>
      </c>
      <c r="EK5" s="8" t="str">
        <f ca="1">OFFSET(Database!$F5,0,COLUMN(Database!EH5)*2-12)</f>
        <v>n.r.</v>
      </c>
      <c r="EL5" s="8" t="str">
        <f ca="1">OFFSET(Database!$F5,0,COLUMN(Database!EI5)*2-12)</f>
        <v>n.r.</v>
      </c>
      <c r="EM5" s="8" t="str">
        <f ca="1">OFFSET(Database!$F5,0,COLUMN(Database!EJ5)*2-12)</f>
        <v>n.r.</v>
      </c>
      <c r="EN5" s="8" t="str">
        <f ca="1">OFFSET(Database!$F5,0,COLUMN(Database!EK5)*2-12)</f>
        <v>n.r.</v>
      </c>
      <c r="EO5" s="8" t="str">
        <f ca="1">OFFSET(Database!$F5,0,COLUMN(Database!EL5)*2-12)</f>
        <v>n.r.</v>
      </c>
      <c r="EP5" s="8" t="str">
        <f ca="1">OFFSET(Database!$F5,0,COLUMN(Database!EM5)*2-12)</f>
        <v>n.r.</v>
      </c>
      <c r="EQ5" s="8" t="str">
        <f ca="1">OFFSET(Database!$F5,0,COLUMN(Database!EN5)*2-12)</f>
        <v>n.r.</v>
      </c>
      <c r="ER5" s="8" t="str">
        <f ca="1">OFFSET(Database!$F5,0,COLUMN(Database!EO5)*2-12)</f>
        <v>n.r.</v>
      </c>
      <c r="ES5" s="8" t="str">
        <f ca="1">OFFSET(Database!$F5,0,COLUMN(Database!EP5)*2-12)</f>
        <v>n.r.</v>
      </c>
      <c r="ET5" s="8" t="str">
        <f ca="1">OFFSET(Database!$F5,0,COLUMN(Database!EQ5)*2-12)</f>
        <v>n.r.</v>
      </c>
      <c r="EU5" s="8" t="str">
        <f ca="1">OFFSET(Database!$F5,0,COLUMN(Database!ER5)*2-12)</f>
        <v>n.r.</v>
      </c>
      <c r="EV5" s="8" t="str">
        <f ca="1">OFFSET(Database!$F5,0,COLUMN(Database!ES5)*2-12)</f>
        <v>n.r.</v>
      </c>
      <c r="EW5" s="8" t="str">
        <f ca="1">OFFSET(Database!$F5,0,COLUMN(Database!ET5)*2-12)</f>
        <v>n.r.</v>
      </c>
      <c r="EX5" s="8" t="str">
        <f ca="1">OFFSET(Database!$F5,0,COLUMN(Database!EU5)*2-12)</f>
        <v>n.r.</v>
      </c>
      <c r="EY5" s="8" t="str">
        <f ca="1">OFFSET(Database!$F5,0,COLUMN(Database!EV5)*2-12)</f>
        <v>n.r.</v>
      </c>
      <c r="EZ5" s="8" t="str">
        <f ca="1">OFFSET(Database!$F5,0,COLUMN(Database!EW5)*2-12)</f>
        <v>n.r.</v>
      </c>
      <c r="FA5" s="8" t="str">
        <f ca="1">OFFSET(Database!$F5,0,COLUMN(Database!EX5)*2-12)</f>
        <v>n.r.</v>
      </c>
      <c r="FB5" s="8" t="str">
        <f ca="1">OFFSET(Database!$F5,0,COLUMN(Database!EY5)*2-12)</f>
        <v>n.r.</v>
      </c>
      <c r="FC5" s="8" t="str">
        <f ca="1">OFFSET(Database!$F5,0,COLUMN(Database!EZ5)*2-12)</f>
        <v>n.r.</v>
      </c>
      <c r="FD5" s="8" t="str">
        <f ca="1">OFFSET(Database!$F5,0,COLUMN(Database!FA5)*2-12)</f>
        <v>n.r.</v>
      </c>
      <c r="FE5" s="8" t="str">
        <f ca="1">OFFSET(Database!$F5,0,COLUMN(Database!FB5)*2-12)</f>
        <v>n.r.</v>
      </c>
      <c r="FF5" s="8" t="str">
        <f ca="1">OFFSET(Database!$F5,0,COLUMN(Database!FC5)*2-12)</f>
        <v>n.r.</v>
      </c>
      <c r="FG5" s="8" t="str">
        <f ca="1">OFFSET(Database!$F5,0,COLUMN(Database!FD5)*2-12)</f>
        <v>n.r.</v>
      </c>
      <c r="FH5" s="8">
        <f ca="1">OFFSET(Database!$F5,0,COLUMN(Database!FE5)*2-12)</f>
        <v>80200</v>
      </c>
      <c r="FI5" s="8">
        <f ca="1">OFFSET(Database!$F5,0,COLUMN(Database!FF5)*2-12)</f>
        <v>350</v>
      </c>
      <c r="FJ5" s="8">
        <f ca="1">OFFSET(Database!$F5,0,COLUMN(Database!FG5)*2-12)</f>
        <v>1870</v>
      </c>
      <c r="FK5" s="8" t="str">
        <f ca="1">OFFSET(Database!$F5,0,COLUMN(Database!FH5)*2-12)</f>
        <v>n.r.</v>
      </c>
      <c r="FL5" s="8" t="str">
        <f ca="1">OFFSET(Database!$F5,0,COLUMN(Database!FI5)*2-12)</f>
        <v>n.r.</v>
      </c>
      <c r="FM5" s="8" t="str">
        <f ca="1">OFFSET(Database!$F5,0,COLUMN(Database!FJ5)*2-12)</f>
        <v>n.r.</v>
      </c>
      <c r="FN5" s="8" t="str">
        <f ca="1">OFFSET(Database!$F5,0,COLUMN(Database!FK5)*2-12)</f>
        <v>n.r.</v>
      </c>
      <c r="FO5" s="8" t="str">
        <f ca="1">OFFSET(Database!$F5,0,COLUMN(Database!FL5)*2-12)</f>
        <v>n.r.</v>
      </c>
      <c r="FP5" s="8" t="str">
        <f ca="1">OFFSET(Database!$F5,0,COLUMN(Database!FM5)*2-12)</f>
        <v>n.r.</v>
      </c>
      <c r="FQ5" s="8" t="str">
        <f ca="1">OFFSET(Database!$F5,0,COLUMN(Database!FN5)*2-12)</f>
        <v>n.r.</v>
      </c>
      <c r="FR5" s="8" t="str">
        <f ca="1">OFFSET(Database!$F5,0,COLUMN(Database!FO5)*2-12)</f>
        <v>n.r.</v>
      </c>
      <c r="FS5" s="8" t="str">
        <f ca="1">OFFSET(Database!$F5,0,COLUMN(Database!FP5)*2-12)</f>
        <v>n.r.</v>
      </c>
      <c r="FT5" s="8" t="str">
        <f ca="1">OFFSET(Database!$F5,0,COLUMN(Database!FQ5)*2-12)</f>
        <v>n.r.</v>
      </c>
      <c r="FU5" s="8" t="str">
        <f ca="1">OFFSET(Database!$F5,0,COLUMN(Database!FR5)*2-12)</f>
        <v>n.r.</v>
      </c>
      <c r="FV5" s="8" t="str">
        <f ca="1">OFFSET(Database!$F5,0,COLUMN(Database!FS5)*2-12)</f>
        <v>n.r.</v>
      </c>
      <c r="FW5" s="8" t="str">
        <f ca="1">OFFSET(Database!$F5,0,COLUMN(Database!FT5)*2-12)</f>
        <v>n.r.</v>
      </c>
      <c r="FX5" s="8" t="str">
        <f ca="1">OFFSET(Database!$F5,0,COLUMN(Database!FU5)*2-12)</f>
        <v>n.r.</v>
      </c>
      <c r="FY5" s="8" t="str">
        <f ca="1">OFFSET(Database!$F5,0,COLUMN(Database!FV5)*2-12)</f>
        <v>n.r.</v>
      </c>
      <c r="FZ5" s="8" t="str">
        <f ca="1">OFFSET(Database!$F5,0,COLUMN(Database!FW5)*2-12)</f>
        <v>n.r.</v>
      </c>
      <c r="GA5" s="8" t="str">
        <f ca="1">OFFSET(Database!$F5,0,COLUMN(Database!FX5)*2-12)</f>
        <v>n.r.</v>
      </c>
      <c r="GB5" s="8" t="str">
        <f ca="1">OFFSET(Database!$F5,0,COLUMN(Database!FY5)*2-12)</f>
        <v>n.r.</v>
      </c>
      <c r="GC5" s="8" t="str">
        <f ca="1">OFFSET(Database!$F5,0,COLUMN(Database!FZ5)*2-12)</f>
        <v>n.r.</v>
      </c>
      <c r="GD5" s="8" t="str">
        <f ca="1">OFFSET(Database!$F5,0,COLUMN(Database!GA5)*2-12)</f>
        <v>n.r.</v>
      </c>
      <c r="GE5" s="8" t="str">
        <f ca="1">OFFSET(Database!$F5,0,COLUMN(Database!GB5)*2-12)</f>
        <v>n.r.</v>
      </c>
      <c r="GF5" s="8" t="str">
        <f ca="1">OFFSET(Database!$F5,0,COLUMN(Database!GC5)*2-12)</f>
        <v>n.r.</v>
      </c>
      <c r="GG5" s="8" t="str">
        <f ca="1">OFFSET(Database!$F5,0,COLUMN(Database!GD5)*2-12)</f>
        <v>n.r.</v>
      </c>
      <c r="GH5" s="8" t="str">
        <f ca="1">OFFSET(Database!$F5,0,COLUMN(Database!GE5)*2-12)</f>
        <v>n.r.</v>
      </c>
      <c r="GI5" s="8" t="str">
        <f ca="1">OFFSET(Database!$F5,0,COLUMN(Database!GF5)*2-12)</f>
        <v>n.r.</v>
      </c>
      <c r="GJ5" s="8" t="str">
        <f ca="1">OFFSET(Database!$F5,0,COLUMN(Database!GG5)*2-12)</f>
        <v>n.r.</v>
      </c>
      <c r="GK5" s="8" t="str">
        <f ca="1">OFFSET(Database!$F5,0,COLUMN(Database!GH5)*2-12)</f>
        <v>n.r.</v>
      </c>
      <c r="GL5" s="8" t="str">
        <f ca="1">OFFSET(Database!$F5,0,COLUMN(Database!GI5)*2-12)</f>
        <v>n.r.</v>
      </c>
      <c r="GM5" s="8" t="str">
        <f ca="1">OFFSET(Database!$F5,0,COLUMN(Database!GJ5)*2-12)</f>
        <v>n.r.</v>
      </c>
      <c r="GN5" s="8" t="str">
        <f ca="1">OFFSET(Database!$F5,0,COLUMN(Database!GK5)*2-12)</f>
        <v>n.r.</v>
      </c>
      <c r="GO5" s="8" t="str">
        <f ca="1">OFFSET(Database!$F5,0,COLUMN(Database!GL5)*2-12)</f>
        <v>n.r.</v>
      </c>
      <c r="GP5" s="8" t="str">
        <f ca="1">OFFSET(Database!$F5,0,COLUMN(Database!GM5)*2-12)</f>
        <v>n.r.</v>
      </c>
    </row>
    <row r="6" spans="1:198" x14ac:dyDescent="0.2">
      <c r="A6" s="50" t="str">
        <f>Database!A6</f>
        <v>D-alanine</v>
      </c>
      <c r="B6" s="1" t="s">
        <v>857</v>
      </c>
      <c r="C6" s="4" t="str">
        <f>Database!B6</f>
        <v>ɑ</v>
      </c>
      <c r="D6" s="4" t="str">
        <f>Database!C6</f>
        <v>D</v>
      </c>
      <c r="E6" s="74">
        <f>Database!D6</f>
        <v>106</v>
      </c>
      <c r="F6" s="1" t="s">
        <v>899</v>
      </c>
      <c r="G6" s="1">
        <v>71080</v>
      </c>
      <c r="H6" s="1">
        <f>Database!E6</f>
        <v>89.09</v>
      </c>
      <c r="I6" s="8">
        <f ca="1">OFFSET(Database!$F6,0,COLUMN(Database!F6)*2-12)</f>
        <v>6.8999999999999999E-3</v>
      </c>
      <c r="J6" s="8">
        <f ca="1">OFFSET(Database!$F6,0,COLUMN(Database!G6)*2-12)</f>
        <v>1.6400000000000001E-2</v>
      </c>
      <c r="K6" s="8">
        <f ca="1">OFFSET(Database!$F6,0,COLUMN(Database!H6)*2-12)</f>
        <v>2.0799999999999999E-2</v>
      </c>
      <c r="L6" s="8">
        <f ca="1">OFFSET(Database!$F6,0,COLUMN(Database!I6)*2-12)</f>
        <v>7.7999999999999996E-3</v>
      </c>
      <c r="M6" s="8">
        <f ca="1">OFFSET(Database!$F6,0,COLUMN(Database!J6)*2-12)</f>
        <v>8.9999999999999993E-3</v>
      </c>
      <c r="N6" s="8">
        <f ca="1">OFFSET(Database!$F6,0,COLUMN(Database!K6)*2-12)</f>
        <v>0.83062072061959813</v>
      </c>
      <c r="O6" s="8">
        <f ca="1">OFFSET(Database!$F6,0,COLUMN(Database!L6)*2-12)</f>
        <v>0.52</v>
      </c>
      <c r="P6" s="8">
        <f ca="1">OFFSET(Database!$F6,0,COLUMN(Database!M6)*2-12)</f>
        <v>0.93</v>
      </c>
      <c r="Q6" s="8">
        <f ca="1">OFFSET(Database!$F6,0,COLUMN(Database!N6)*2-12)</f>
        <v>260</v>
      </c>
      <c r="R6" s="8">
        <f ca="1">OFFSET(Database!$F6,0,COLUMN(Database!O6)*2-12)</f>
        <v>569</v>
      </c>
      <c r="S6" s="8">
        <f ca="1">OFFSET(Database!$F6,0,COLUMN(Database!P6)*2-12)</f>
        <v>267.84150858682233</v>
      </c>
      <c r="T6" s="8">
        <f ca="1">OFFSET(Database!$F6,0,COLUMN(Database!Q6)*2-12)</f>
        <v>450</v>
      </c>
      <c r="U6" s="8">
        <f ca="1">OFFSET(Database!$F6,0,COLUMN(Database!R6)*2-12)</f>
        <v>40.299999999999997</v>
      </c>
      <c r="V6" s="8">
        <f ca="1">OFFSET(Database!$F6,0,COLUMN(Database!S6)*2-12)</f>
        <v>0.20204287798855089</v>
      </c>
      <c r="W6" s="8">
        <f ca="1">OFFSET(Database!$F6,0,COLUMN(Database!T6)*2-12)</f>
        <v>0.11224604332697272</v>
      </c>
      <c r="X6" s="8">
        <f ca="1">OFFSET(Database!$F6,0,COLUMN(Database!U6)*2-12)</f>
        <v>6.644965764956785</v>
      </c>
      <c r="Y6" s="8">
        <f ca="1">OFFSET(Database!$F6,0,COLUMN(Database!V6)*2-12)</f>
        <v>2.2000000000000002</v>
      </c>
      <c r="Z6" s="8">
        <f ca="1">OFFSET(Database!$F6,0,COLUMN(Database!W6)*2-12)</f>
        <v>8.3000000000000007</v>
      </c>
      <c r="AA6" s="8">
        <f ca="1">OFFSET(Database!$F6,0,COLUMN(Database!X6)*2-12)</f>
        <v>9.4</v>
      </c>
      <c r="AB6" s="8">
        <f ca="1">OFFSET(Database!$F6,0,COLUMN(Database!Y6)*2-12)</f>
        <v>3.5694241777977327</v>
      </c>
      <c r="AC6" s="8">
        <f ca="1">OFFSET(Database!$F6,0,COLUMN(Database!Z6)*2-12)</f>
        <v>6.9929284992704002</v>
      </c>
      <c r="AD6" s="8">
        <f ca="1">OFFSET(Database!$F6,0,COLUMN(Database!AA6)*2-12)</f>
        <v>3.8500392861151642</v>
      </c>
      <c r="AE6" s="8">
        <f ca="1">OFFSET(Database!$F6,0,COLUMN(Database!AB6)*2-12)</f>
        <v>9.2378493658098542</v>
      </c>
      <c r="AF6" s="8">
        <f ca="1">OFFSET(Database!$F6,0,COLUMN(Database!AC6)*2-12)</f>
        <v>28</v>
      </c>
      <c r="AG6" s="8" t="str">
        <f ca="1">OFFSET(Database!$F6,0,COLUMN(Database!AD6)*2-12)</f>
        <v>&lt;0.01</v>
      </c>
      <c r="AH6" s="8">
        <f ca="1">OFFSET(Database!$F6,0,COLUMN(Database!AE6)*2-12)</f>
        <v>6.1</v>
      </c>
      <c r="AI6" s="8">
        <f ca="1">OFFSET(Database!$F6,0,COLUMN(Database!AF6)*2-12)</f>
        <v>0.21</v>
      </c>
      <c r="AJ6" s="8">
        <f ca="1">OFFSET(Database!$F6,0,COLUMN(Database!AG6)*2-12)</f>
        <v>0.19</v>
      </c>
      <c r="AK6" s="8">
        <f ca="1">OFFSET(Database!$F6,0,COLUMN(Database!AH6)*2-12)</f>
        <v>1.1299999999999999</v>
      </c>
      <c r="AL6" s="8">
        <f ca="1">OFFSET(Database!$F6,0,COLUMN(Database!AI6)*2-12)</f>
        <v>8</v>
      </c>
      <c r="AM6" s="8">
        <f ca="1">OFFSET(Database!$F6,0,COLUMN(Database!AJ6)*2-12)</f>
        <v>3.7</v>
      </c>
      <c r="AN6" s="8">
        <f ca="1">OFFSET(Database!$F6,0,COLUMN(Database!AK6)*2-12)</f>
        <v>17</v>
      </c>
      <c r="AO6" s="8">
        <f ca="1">OFFSET(Database!$F6,0,COLUMN(Database!AL6)*2-12)</f>
        <v>0.89796834661578173</v>
      </c>
      <c r="AP6" s="8">
        <f ca="1">OFFSET(Database!$F6,0,COLUMN(Database!AM6)*2-12)</f>
        <v>2.2999999999999998</v>
      </c>
      <c r="AQ6" s="8">
        <f ca="1">OFFSET(Database!$F6,0,COLUMN(Database!AN6)*2-12)</f>
        <v>7.0000000000000007E-2</v>
      </c>
      <c r="AR6" s="8">
        <f ca="1">OFFSET(Database!$F6,0,COLUMN(Database!AO6)*2-12)</f>
        <v>0.15</v>
      </c>
      <c r="AS6" s="8">
        <f ca="1">OFFSET(Database!$F6,0,COLUMN(Database!AP6)*2-12)</f>
        <v>6.7347625996183628E-3</v>
      </c>
      <c r="AT6" s="8">
        <f ca="1">OFFSET(Database!$F6,0,COLUMN(Database!AQ6)*2-12)</f>
        <v>2.2449208665394544E-3</v>
      </c>
      <c r="AU6" s="8">
        <f ca="1">OFFSET(Database!$F6,0,COLUMN(Database!AR6)*2-12)</f>
        <v>2.8061510831743179E-2</v>
      </c>
      <c r="AV6" s="8">
        <f ca="1">OFFSET(Database!$F6,0,COLUMN(Database!AS6)*2-12)</f>
        <v>3.2551352564822091E-2</v>
      </c>
      <c r="AW6" s="8">
        <f ca="1">OFFSET(Database!$F6,0,COLUMN(Database!AT6)*2-12)</f>
        <v>6.7347625996183628E-3</v>
      </c>
      <c r="AX6" s="8">
        <f ca="1">OFFSET(Database!$F6,0,COLUMN(Database!AU6)*2-12)</f>
        <v>0.12347064765966999</v>
      </c>
      <c r="AY6" s="8">
        <f ca="1">OFFSET(Database!$F6,0,COLUMN(Database!AV6)*2-12)</f>
        <v>3.0306431698282635E-2</v>
      </c>
      <c r="AZ6" s="8">
        <f ca="1">OFFSET(Database!$F6,0,COLUMN(Database!AW6)*2-12)</f>
        <v>4.4898417330789087E-2</v>
      </c>
      <c r="BA6" s="8">
        <f ca="1">OFFSET(Database!$F6,0,COLUMN(Database!AX6)*2-12)</f>
        <v>4.4898417330789087E-2</v>
      </c>
      <c r="BB6" s="8">
        <f ca="1">OFFSET(Database!$F6,0,COLUMN(Database!AY6)*2-12)</f>
        <v>5.8367942530025814E-2</v>
      </c>
      <c r="BC6" s="8">
        <f ca="1">OFFSET(Database!$F6,0,COLUMN(Database!AZ6)*2-12)</f>
        <v>6.1735323829834994E-2</v>
      </c>
      <c r="BD6" s="8">
        <f ca="1">OFFSET(Database!$F6,0,COLUMN(Database!BA6)*2-12)</f>
        <v>2.480637557526097</v>
      </c>
      <c r="BE6" s="8">
        <f ca="1">OFFSET(Database!$F6,0,COLUMN(Database!BB6)*2-12)</f>
        <v>1.6836906499045907E-2</v>
      </c>
      <c r="BF6" s="8">
        <f ca="1">OFFSET(Database!$F6,0,COLUMN(Database!BC6)*2-12)</f>
        <v>1.6836906499045907E-2</v>
      </c>
      <c r="BG6" s="8">
        <f ca="1">OFFSET(Database!$F6,0,COLUMN(Database!BD6)*2-12)</f>
        <v>1.0102143899427546E-2</v>
      </c>
      <c r="BH6" s="8">
        <f ca="1">OFFSET(Database!$F6,0,COLUMN(Database!BE6)*2-12)</f>
        <v>0.14928723762487373</v>
      </c>
      <c r="BI6" s="8">
        <f ca="1">OFFSET(Database!$F6,0,COLUMN(Database!BF6)*2-12)</f>
        <v>0.25030867661914918</v>
      </c>
      <c r="BJ6" s="8">
        <f ca="1">OFFSET(Database!$F6,0,COLUMN(Database!BG6)*2-12)</f>
        <v>9.3164215961387349</v>
      </c>
      <c r="BK6" s="8">
        <f ca="1">OFFSET(Database!$F6,0,COLUMN(Database!BH6)*2-12)</f>
        <v>2.6714558311819507</v>
      </c>
      <c r="BL6" s="8">
        <f ca="1">OFFSET(Database!$F6,0,COLUMN(Database!BI6)*2-12)</f>
        <v>4.2429004377595687</v>
      </c>
      <c r="BM6" s="8">
        <f ca="1">OFFSET(Database!$F6,0,COLUMN(Database!BJ6)*2-12)</f>
        <v>3.0306431698282635E-2</v>
      </c>
      <c r="BN6" s="8">
        <f ca="1">OFFSET(Database!$F6,0,COLUMN(Database!BK6)*2-12)</f>
        <v>1.6500168369064989</v>
      </c>
      <c r="BO6" s="8">
        <f ca="1">OFFSET(Database!$F6,0,COLUMN(Database!BL6)*2-12)</f>
        <v>0.16836906499045909</v>
      </c>
      <c r="BP6" s="8">
        <f ca="1">OFFSET(Database!$F6,0,COLUMN(Database!BM6)*2-12)</f>
        <v>1.60511841957571</v>
      </c>
      <c r="BQ6" s="8" t="str">
        <f ca="1">OFFSET(Database!$F6,0,COLUMN(Database!BN6)*2-12)</f>
        <v>&lt;0.022</v>
      </c>
      <c r="BR6" s="8" t="str">
        <f ca="1">OFFSET(Database!$F6,0,COLUMN(Database!BO6)*2-12)</f>
        <v>&lt;0.011</v>
      </c>
      <c r="BS6" s="8">
        <f ca="1">OFFSET(Database!$F6,0,COLUMN(Database!BP6)*2-12)</f>
        <v>2.9183971265012907E-2</v>
      </c>
      <c r="BT6" s="8">
        <f ca="1">OFFSET(Database!$F6,0,COLUMN(Database!BQ6)*2-12)</f>
        <v>1.0102143899427546E-2</v>
      </c>
      <c r="BU6" s="8">
        <f ca="1">OFFSET(Database!$F6,0,COLUMN(Database!BR6)*2-12)</f>
        <v>5.6123021663486358E-3</v>
      </c>
      <c r="BV6" s="8">
        <f ca="1">OFFSET(Database!$F6,0,COLUMN(Database!BS6)*2-12)</f>
        <v>2.2449208665394544E-3</v>
      </c>
      <c r="BW6" s="8" t="str">
        <f ca="1">OFFSET(Database!$F6,0,COLUMN(Database!BT6)*2-12)</f>
        <v>&lt;0.0001</v>
      </c>
      <c r="BX6" s="8" t="str">
        <f ca="1">OFFSET(Database!$F6,0,COLUMN(Database!BU6)*2-12)</f>
        <v>&lt;0.0001</v>
      </c>
      <c r="BY6" s="8" t="str">
        <f ca="1">OFFSET(Database!$F6,0,COLUMN(Database!BV6)*2-12)</f>
        <v>&lt;0.0001</v>
      </c>
      <c r="BZ6" s="8">
        <f ca="1">OFFSET(Database!$F6,0,COLUMN(Database!BW6)*2-12)</f>
        <v>0.76551801548995402</v>
      </c>
      <c r="CA6" s="8">
        <f ca="1">OFFSET(Database!$F6,0,COLUMN(Database!BX6)*2-12)</f>
        <v>0.46918846110674595</v>
      </c>
      <c r="CB6" s="8">
        <f ca="1">OFFSET(Database!$F6,0,COLUMN(Database!BY6)*2-12)</f>
        <v>3.8163654731170726E-2</v>
      </c>
      <c r="CC6" s="8">
        <f ca="1">OFFSET(Database!$F6,0,COLUMN(Database!BZ6)*2-12)</f>
        <v>2.8061510831743179E-2</v>
      </c>
      <c r="CD6" s="8">
        <f ca="1">OFFSET(Database!$F6,0,COLUMN(Database!CA6)*2-12)</f>
        <v>5.1633179930407447E-2</v>
      </c>
      <c r="CE6" s="8">
        <f ca="1">OFFSET(Database!$F6,0,COLUMN(Database!CB6)*2-12)</f>
        <v>3.8163654731170726E-2</v>
      </c>
      <c r="CF6" s="8">
        <f ca="1">OFFSET(Database!$F6,0,COLUMN(Database!CC6)*2-12)</f>
        <v>1.0102143899427546E-2</v>
      </c>
      <c r="CG6" s="8">
        <f ca="1">OFFSET(Database!$F6,0,COLUMN(Database!CD6)*2-12)</f>
        <v>5.6123021663486358E-3</v>
      </c>
      <c r="CH6" s="8" t="str">
        <f ca="1">OFFSET(Database!$F6,0,COLUMN(Database!CE6)*2-12)</f>
        <v>&lt;0.0112</v>
      </c>
      <c r="CI6" s="8">
        <f ca="1">OFFSET(Database!$F6,0,COLUMN(Database!CF6)*2-12)</f>
        <v>0.14591985632506455</v>
      </c>
      <c r="CJ6" s="8">
        <f ca="1">OFFSET(Database!$F6,0,COLUMN(Database!CG6)*2-12)</f>
        <v>0.13469525199236726</v>
      </c>
      <c r="CK6" s="8">
        <f ca="1">OFFSET(Database!$F6,0,COLUMN(Database!CH6)*2-12)</f>
        <v>0.10551128072735436</v>
      </c>
      <c r="CL6" s="8">
        <f ca="1">OFFSET(Database!$F6,0,COLUMN(Database!CI6)*2-12)</f>
        <v>0.11224604332697272</v>
      </c>
      <c r="CM6" s="8">
        <f ca="1">OFFSET(Database!$F6,0,COLUMN(Database!CJ6)*2-12)</f>
        <v>0.19081827365585363</v>
      </c>
      <c r="CN6" s="8">
        <f ca="1">OFFSET(Database!$F6,0,COLUMN(Database!CK6)*2-12)</f>
        <v>8.7551913795038724E-2</v>
      </c>
      <c r="CO6" s="8">
        <f ca="1">OFFSET(Database!$F6,0,COLUMN(Database!CL6)*2-12)</f>
        <v>8.1939611628690082E-2</v>
      </c>
      <c r="CP6" s="8">
        <f ca="1">OFFSET(Database!$F6,0,COLUMN(Database!CM6)*2-12)</f>
        <v>0.33</v>
      </c>
      <c r="CQ6" s="8">
        <f ca="1">OFFSET(Database!$F6,0,COLUMN(Database!CN6)*2-12)</f>
        <v>0.15</v>
      </c>
      <c r="CR6" s="8">
        <f ca="1">OFFSET(Database!$F6,0,COLUMN(Database!CO6)*2-12)</f>
        <v>0.8</v>
      </c>
      <c r="CS6" s="8" t="str">
        <f ca="1">OFFSET(Database!$F6,0,COLUMN(Database!CP6)*2-12)</f>
        <v>&lt;0.1</v>
      </c>
      <c r="CT6" s="8" t="str">
        <f ca="1">OFFSET(Database!$F6,0,COLUMN(Database!CQ6)*2-12)</f>
        <v>&lt;0.1</v>
      </c>
      <c r="CU6" s="8" t="str">
        <f ca="1">OFFSET(Database!$F6,0,COLUMN(Database!CR6)*2-12)</f>
        <v>&lt;0.1</v>
      </c>
      <c r="CV6" s="8" t="str">
        <f ca="1">OFFSET(Database!$F6,0,COLUMN(Database!CS6)*2-12)</f>
        <v>&lt;0.1</v>
      </c>
      <c r="CW6" s="8">
        <f ca="1">OFFSET(Database!$F6,0,COLUMN(Database!CT6)*2-12)</f>
        <v>0.21</v>
      </c>
      <c r="CX6" s="8">
        <f ca="1">OFFSET(Database!$F6,0,COLUMN(Database!CU6)*2-12)</f>
        <v>0.24</v>
      </c>
      <c r="CY6" s="8" t="str">
        <f ca="1">OFFSET(Database!$F6,0,COLUMN(Database!CV6)*2-12)</f>
        <v>&lt;0.1</v>
      </c>
      <c r="CZ6" s="8" t="str">
        <f ca="1">OFFSET(Database!$F6,0,COLUMN(Database!CW6)*2-12)</f>
        <v>&lt;0.1</v>
      </c>
      <c r="DA6" s="8">
        <f ca="1">OFFSET(Database!$F6,0,COLUMN(Database!CX6)*2-12)</f>
        <v>0.77</v>
      </c>
      <c r="DB6" s="8">
        <f ca="1">OFFSET(Database!$F6,0,COLUMN(Database!CY6)*2-12)</f>
        <v>2.5000000000000001E-2</v>
      </c>
      <c r="DC6" s="8">
        <f ca="1">OFFSET(Database!$F6,0,COLUMN(Database!CZ6)*2-12)</f>
        <v>5.2999999999999999E-2</v>
      </c>
      <c r="DD6" s="8">
        <f ca="1">OFFSET(Database!$F6,0,COLUMN(Database!DA6)*2-12)</f>
        <v>4</v>
      </c>
      <c r="DE6" s="8">
        <f ca="1">OFFSET(Database!$F6,0,COLUMN(Database!DB6)*2-12)</f>
        <v>6.7347625996183628E-3</v>
      </c>
      <c r="DF6" s="8" t="str">
        <f ca="1">OFFSET(Database!$F6,0,COLUMN(Database!DC6)*2-12)</f>
        <v>n.r.</v>
      </c>
      <c r="DG6" s="8" t="str">
        <f ca="1">OFFSET(Database!$F6,0,COLUMN(Database!DD6)*2-12)</f>
        <v>n.r.</v>
      </c>
      <c r="DH6" s="8" t="str">
        <f ca="1">OFFSET(Database!$F6,0,COLUMN(Database!DE6)*2-12)</f>
        <v>n.r.</v>
      </c>
      <c r="DI6" s="8" t="str">
        <f ca="1">OFFSET(Database!$F6,0,COLUMN(Database!DF6)*2-12)</f>
        <v>n.r.</v>
      </c>
      <c r="DJ6" s="8" t="str">
        <f ca="1">OFFSET(Database!$F6,0,COLUMN(Database!DG6)*2-12)</f>
        <v>n.r.</v>
      </c>
      <c r="DK6" s="8" t="str">
        <f ca="1">OFFSET(Database!$F6,0,COLUMN(Database!DH6)*2-12)</f>
        <v>n.r.</v>
      </c>
      <c r="DL6" s="8" t="str">
        <f ca="1">OFFSET(Database!$F6,0,COLUMN(Database!DI6)*2-12)</f>
        <v>n.r.</v>
      </c>
      <c r="DM6" s="8" t="str">
        <f ca="1">OFFSET(Database!$F6,0,COLUMN(Database!DJ6)*2-12)</f>
        <v>n.r.</v>
      </c>
      <c r="DN6" s="8">
        <f ca="1">OFFSET(Database!$F6,0,COLUMN(Database!DK6)*2-12)</f>
        <v>39</v>
      </c>
      <c r="DO6" s="8">
        <f ca="1">OFFSET(Database!$F6,0,COLUMN(Database!DL6)*2-12)</f>
        <v>39</v>
      </c>
      <c r="DP6" s="8" t="str">
        <f ca="1">OFFSET(Database!$F6,0,COLUMN(Database!DM6)*2-12)</f>
        <v>l.o.q.</v>
      </c>
      <c r="DQ6" s="8" t="str">
        <f ca="1">OFFSET(Database!$F6,0,COLUMN(Database!DN6)*2-12)</f>
        <v>b.b.</v>
      </c>
      <c r="DR6" s="8" t="str">
        <f ca="1">OFFSET(Database!$F6,0,COLUMN(Database!DO6)*2-12)</f>
        <v>b.b.</v>
      </c>
      <c r="DS6" s="8" t="str">
        <f ca="1">OFFSET(Database!$F6,0,COLUMN(Database!DP6)*2-12)</f>
        <v>l.o.q.</v>
      </c>
      <c r="DT6" s="8">
        <f ca="1">OFFSET(Database!$F6,0,COLUMN(Database!DQ6)*2-12)</f>
        <v>3.12</v>
      </c>
      <c r="DU6" s="8">
        <f ca="1">OFFSET(Database!$F6,0,COLUMN(Database!DR6)*2-12)</f>
        <v>1.1592</v>
      </c>
      <c r="DV6" s="8">
        <f ca="1">OFFSET(Database!$F6,0,COLUMN(Database!DS6)*2-12)</f>
        <v>1.6400000000000001E-2</v>
      </c>
      <c r="DW6" s="8" t="str">
        <f ca="1">OFFSET(Database!$F6,0,COLUMN(Database!DT6)*2-12)</f>
        <v>n.r.</v>
      </c>
      <c r="DX6" s="8" t="str">
        <f ca="1">OFFSET(Database!$F6,0,COLUMN(Database!DU6)*2-12)</f>
        <v>n.r.</v>
      </c>
      <c r="DY6" s="8" t="str">
        <f ca="1">OFFSET(Database!$F6,0,COLUMN(Database!DV6)*2-12)</f>
        <v>n.r.</v>
      </c>
      <c r="DZ6" s="8" t="str">
        <f ca="1">OFFSET(Database!$F6,0,COLUMN(Database!DW6)*2-12)</f>
        <v>n.r.</v>
      </c>
      <c r="EA6" s="8" t="str">
        <f ca="1">OFFSET(Database!$F6,0,COLUMN(Database!DX6)*2-12)</f>
        <v>n.r.</v>
      </c>
      <c r="EB6" s="8" t="str">
        <f ca="1">OFFSET(Database!$F6,0,COLUMN(Database!DY6)*2-12)</f>
        <v>n.r.</v>
      </c>
      <c r="EC6" s="8">
        <f ca="1">OFFSET(Database!$F6,0,COLUMN(Database!DZ6)*2-12)</f>
        <v>1.5</v>
      </c>
      <c r="ED6" s="8" t="str">
        <f ca="1">OFFSET(Database!$F6,0,COLUMN(Database!EA6)*2-12)</f>
        <v>n.r.</v>
      </c>
      <c r="EE6" s="8" t="str">
        <f ca="1">OFFSET(Database!$F6,0,COLUMN(Database!EB6)*2-12)</f>
        <v>n.r.</v>
      </c>
      <c r="EF6" s="8" t="str">
        <f ca="1">OFFSET(Database!$F6,0,COLUMN(Database!EC6)*2-12)</f>
        <v>n.r.</v>
      </c>
      <c r="EG6" s="8" t="str">
        <f ca="1">OFFSET(Database!$F6,0,COLUMN(Database!ED6)*2-12)</f>
        <v>n.r.</v>
      </c>
      <c r="EH6" s="8" t="str">
        <f ca="1">OFFSET(Database!$F6,0,COLUMN(Database!EE6)*2-12)</f>
        <v>n.r.</v>
      </c>
      <c r="EI6" s="8" t="str">
        <f ca="1">OFFSET(Database!$F6,0,COLUMN(Database!EF6)*2-12)</f>
        <v>n.r.</v>
      </c>
      <c r="EJ6" s="8" t="str">
        <f ca="1">OFFSET(Database!$F6,0,COLUMN(Database!EG6)*2-12)</f>
        <v>n.r.</v>
      </c>
      <c r="EK6" s="8" t="str">
        <f ca="1">OFFSET(Database!$F6,0,COLUMN(Database!EH6)*2-12)</f>
        <v>n.r.</v>
      </c>
      <c r="EL6" s="8" t="str">
        <f ca="1">OFFSET(Database!$F6,0,COLUMN(Database!EI6)*2-12)</f>
        <v>n.r.</v>
      </c>
      <c r="EM6" s="8" t="str">
        <f ca="1">OFFSET(Database!$F6,0,COLUMN(Database!EJ6)*2-12)</f>
        <v>n.r.</v>
      </c>
      <c r="EN6" s="8" t="str">
        <f ca="1">OFFSET(Database!$F6,0,COLUMN(Database!EK6)*2-12)</f>
        <v>n.r.</v>
      </c>
      <c r="EO6" s="8" t="str">
        <f ca="1">OFFSET(Database!$F6,0,COLUMN(Database!EL6)*2-12)</f>
        <v>n.r.</v>
      </c>
      <c r="EP6" s="8" t="str">
        <f ca="1">OFFSET(Database!$F6,0,COLUMN(Database!EM6)*2-12)</f>
        <v>n.r.</v>
      </c>
      <c r="EQ6" s="8" t="str">
        <f ca="1">OFFSET(Database!$F6,0,COLUMN(Database!EN6)*2-12)</f>
        <v>n.r.</v>
      </c>
      <c r="ER6" s="8">
        <f ca="1">OFFSET(Database!$F6,0,COLUMN(Database!EO6)*2-12)</f>
        <v>96.826994538335995</v>
      </c>
      <c r="ES6" s="8">
        <f ca="1">OFFSET(Database!$F6,0,COLUMN(Database!EP6)*2-12)</f>
        <v>108.92646557268317</v>
      </c>
      <c r="ET6" s="8">
        <f ca="1">OFFSET(Database!$F6,0,COLUMN(Database!EQ6)*2-12)</f>
        <v>217.62539380833354</v>
      </c>
      <c r="EU6" s="8">
        <f ca="1">OFFSET(Database!$F6,0,COLUMN(Database!ER6)*2-12)</f>
        <v>255.95478329472687</v>
      </c>
      <c r="EV6" s="8">
        <f ca="1">OFFSET(Database!$F6,0,COLUMN(Database!ES6)*2-12)</f>
        <v>140.48180835141821</v>
      </c>
      <c r="EW6" s="8" t="str">
        <f ca="1">OFFSET(Database!$F6,0,COLUMN(Database!ET6)*2-12)</f>
        <v>n.r.</v>
      </c>
      <c r="EX6" s="8" t="str">
        <f ca="1">OFFSET(Database!$F6,0,COLUMN(Database!EU6)*2-12)</f>
        <v>n.r.</v>
      </c>
      <c r="EY6" s="8" t="str">
        <f ca="1">OFFSET(Database!$F6,0,COLUMN(Database!EV6)*2-12)</f>
        <v>n.r.</v>
      </c>
      <c r="EZ6" s="8" t="str">
        <f ca="1">OFFSET(Database!$F6,0,COLUMN(Database!EW6)*2-12)</f>
        <v>n.r.</v>
      </c>
      <c r="FA6" s="8" t="str">
        <f ca="1">OFFSET(Database!$F6,0,COLUMN(Database!EX6)*2-12)</f>
        <v>n.r.</v>
      </c>
      <c r="FB6" s="8">
        <f ca="1">OFFSET(Database!$F6,0,COLUMN(Database!EY6)*2-12)</f>
        <v>3.54</v>
      </c>
      <c r="FC6" s="8">
        <f ca="1">OFFSET(Database!$F6,0,COLUMN(Database!EZ6)*2-12)</f>
        <v>2.92</v>
      </c>
      <c r="FD6" s="8">
        <f ca="1">OFFSET(Database!$F6,0,COLUMN(Database!FA6)*2-12)</f>
        <v>11.6</v>
      </c>
      <c r="FE6" s="8">
        <f ca="1">OFFSET(Database!$F6,0,COLUMN(Database!FB6)*2-12)</f>
        <v>14.1</v>
      </c>
      <c r="FF6" s="8">
        <f ca="1">OFFSET(Database!$F6,0,COLUMN(Database!FC6)*2-12)</f>
        <v>13</v>
      </c>
      <c r="FG6" s="8" t="str">
        <f ca="1">OFFSET(Database!$F6,0,COLUMN(Database!FD6)*2-12)</f>
        <v>n.r.</v>
      </c>
      <c r="FH6" s="8" t="str">
        <f ca="1">OFFSET(Database!$F6,0,COLUMN(Database!FE6)*2-12)</f>
        <v>n.r.</v>
      </c>
      <c r="FI6" s="8" t="str">
        <f ca="1">OFFSET(Database!$F6,0,COLUMN(Database!FF6)*2-12)</f>
        <v>n.r.</v>
      </c>
      <c r="FJ6" s="8" t="str">
        <f ca="1">OFFSET(Database!$F6,0,COLUMN(Database!FG6)*2-12)</f>
        <v>n.r.</v>
      </c>
      <c r="FK6" s="8" t="str">
        <f ca="1">OFFSET(Database!$F6,0,COLUMN(Database!FH6)*2-12)</f>
        <v>n.r.</v>
      </c>
      <c r="FL6" s="8" t="str">
        <f ca="1">OFFSET(Database!$F6,0,COLUMN(Database!FI6)*2-12)</f>
        <v>n.r.</v>
      </c>
      <c r="FM6" s="8" t="str">
        <f ca="1">OFFSET(Database!$F6,0,COLUMN(Database!FJ6)*2-12)</f>
        <v>n.r.</v>
      </c>
      <c r="FN6" s="8" t="str">
        <f ca="1">OFFSET(Database!$F6,0,COLUMN(Database!FK6)*2-12)</f>
        <v>n.r.</v>
      </c>
      <c r="FO6" s="8" t="str">
        <f ca="1">OFFSET(Database!$F6,0,COLUMN(Database!FL6)*2-12)</f>
        <v>n.r.</v>
      </c>
      <c r="FP6" s="8" t="str">
        <f ca="1">OFFSET(Database!$F6,0,COLUMN(Database!FM6)*2-12)</f>
        <v>n.r.</v>
      </c>
      <c r="FQ6" s="8" t="str">
        <f ca="1">OFFSET(Database!$F6,0,COLUMN(Database!FN6)*2-12)</f>
        <v>n.r.</v>
      </c>
      <c r="FR6" s="8" t="str">
        <f ca="1">OFFSET(Database!$F6,0,COLUMN(Database!FO6)*2-12)</f>
        <v>n.r.</v>
      </c>
      <c r="FS6" s="8" t="str">
        <f ca="1">OFFSET(Database!$F6,0,COLUMN(Database!FP6)*2-12)</f>
        <v>n.r.</v>
      </c>
      <c r="FT6" s="8" t="str">
        <f ca="1">OFFSET(Database!$F6,0,COLUMN(Database!FQ6)*2-12)</f>
        <v>n.r.</v>
      </c>
      <c r="FU6" s="8" t="str">
        <f ca="1">OFFSET(Database!$F6,0,COLUMN(Database!FR6)*2-12)</f>
        <v>n.r.</v>
      </c>
      <c r="FV6" s="8" t="str">
        <f ca="1">OFFSET(Database!$F6,0,COLUMN(Database!FS6)*2-12)</f>
        <v>n.r.</v>
      </c>
      <c r="FW6" s="8" t="str">
        <f ca="1">OFFSET(Database!$F6,0,COLUMN(Database!FT6)*2-12)</f>
        <v>n.r.</v>
      </c>
      <c r="FX6" s="8" t="str">
        <f ca="1">OFFSET(Database!$F6,0,COLUMN(Database!FU6)*2-12)</f>
        <v>n.r.</v>
      </c>
      <c r="FY6" s="8" t="str">
        <f ca="1">OFFSET(Database!$F6,0,COLUMN(Database!FV6)*2-12)</f>
        <v>n.r.</v>
      </c>
      <c r="FZ6" s="8" t="str">
        <f ca="1">OFFSET(Database!$F6,0,COLUMN(Database!FW6)*2-12)</f>
        <v>n.r.</v>
      </c>
      <c r="GA6" s="8" t="str">
        <f ca="1">OFFSET(Database!$F6,0,COLUMN(Database!FX6)*2-12)</f>
        <v>n.r.</v>
      </c>
      <c r="GB6" s="8" t="str">
        <f ca="1">OFFSET(Database!$F6,0,COLUMN(Database!FY6)*2-12)</f>
        <v>n.r.</v>
      </c>
      <c r="GC6" s="8" t="str">
        <f ca="1">OFFSET(Database!$F6,0,COLUMN(Database!FZ6)*2-12)</f>
        <v>n.r.</v>
      </c>
      <c r="GD6" s="8" t="str">
        <f ca="1">OFFSET(Database!$F6,0,COLUMN(Database!GA6)*2-12)</f>
        <v>n.r.</v>
      </c>
      <c r="GE6" s="8" t="str">
        <f ca="1">OFFSET(Database!$F6,0,COLUMN(Database!GB6)*2-12)</f>
        <v>n.r.</v>
      </c>
      <c r="GF6" s="8" t="str">
        <f ca="1">OFFSET(Database!$F6,0,COLUMN(Database!GC6)*2-12)</f>
        <v>n.r.</v>
      </c>
      <c r="GG6" s="8" t="str">
        <f ca="1">OFFSET(Database!$F6,0,COLUMN(Database!GD6)*2-12)</f>
        <v>n.r.</v>
      </c>
      <c r="GH6" s="8" t="str">
        <f ca="1">OFFSET(Database!$F6,0,COLUMN(Database!GE6)*2-12)</f>
        <v>n.r.</v>
      </c>
      <c r="GI6" s="8" t="str">
        <f ca="1">OFFSET(Database!$F6,0,COLUMN(Database!GF6)*2-12)</f>
        <v>n.r.</v>
      </c>
      <c r="GJ6" s="8" t="str">
        <f ca="1">OFFSET(Database!$F6,0,COLUMN(Database!GG6)*2-12)</f>
        <v>n.r.</v>
      </c>
      <c r="GK6" s="8" t="str">
        <f ca="1">OFFSET(Database!$F6,0,COLUMN(Database!GH6)*2-12)</f>
        <v>n.r.</v>
      </c>
      <c r="GL6" s="8" t="str">
        <f ca="1">OFFSET(Database!$F6,0,COLUMN(Database!GI6)*2-12)</f>
        <v>n.r.</v>
      </c>
      <c r="GM6" s="8" t="str">
        <f ca="1">OFFSET(Database!$F6,0,COLUMN(Database!GJ6)*2-12)</f>
        <v>n.r.</v>
      </c>
      <c r="GN6" s="8" t="str">
        <f ca="1">OFFSET(Database!$F6,0,COLUMN(Database!GK6)*2-12)</f>
        <v>n.r.</v>
      </c>
      <c r="GO6" s="8">
        <f ca="1">OFFSET(Database!$F6,0,COLUMN(Database!GL6)*2-12)</f>
        <v>157.14446065776181</v>
      </c>
      <c r="GP6" s="8">
        <f ca="1">OFFSET(Database!$F6,0,COLUMN(Database!GM6)*2-12)</f>
        <v>1784.7120888988663</v>
      </c>
    </row>
    <row r="7" spans="1:198" x14ac:dyDescent="0.2">
      <c r="A7" s="50" t="str">
        <f>Database!A7</f>
        <v>L-alanine</v>
      </c>
      <c r="B7" s="1" t="s">
        <v>857</v>
      </c>
      <c r="C7" s="4" t="str">
        <f>Database!B7</f>
        <v>ɑ</v>
      </c>
      <c r="D7" s="4" t="str">
        <f>Database!C7</f>
        <v>L</v>
      </c>
      <c r="E7" s="74">
        <f>Database!D7</f>
        <v>116</v>
      </c>
      <c r="F7" s="1" t="s">
        <v>900</v>
      </c>
      <c r="G7" s="1">
        <v>5950</v>
      </c>
      <c r="H7" s="1">
        <f>Database!E7</f>
        <v>89.09</v>
      </c>
      <c r="I7" s="8">
        <f ca="1">OFFSET(Database!$F7,0,COLUMN(Database!F7)*2-12)</f>
        <v>1.0699999999999999E-2</v>
      </c>
      <c r="J7" s="8">
        <f ca="1">OFFSET(Database!$F7,0,COLUMN(Database!G7)*2-12)</f>
        <v>5.7299999999999997E-2</v>
      </c>
      <c r="K7" s="8">
        <f ca="1">OFFSET(Database!$F7,0,COLUMN(Database!H7)*2-12)</f>
        <v>0.12379999999999999</v>
      </c>
      <c r="L7" s="8">
        <f ca="1">OFFSET(Database!$F7,0,COLUMN(Database!I7)*2-12)</f>
        <v>1.5E-3</v>
      </c>
      <c r="M7" s="8">
        <f ca="1">OFFSET(Database!$F7,0,COLUMN(Database!J7)*2-12)</f>
        <v>1.8499999999999999E-2</v>
      </c>
      <c r="N7" s="8">
        <f ca="1">OFFSET(Database!$F7,0,COLUMN(Database!K7)*2-12)</f>
        <v>1.0775620159389381</v>
      </c>
      <c r="O7" s="8">
        <f ca="1">OFFSET(Database!$F7,0,COLUMN(Database!L7)*2-12)</f>
        <v>0.39</v>
      </c>
      <c r="P7" s="8">
        <f ca="1">OFFSET(Database!$F7,0,COLUMN(Database!M7)*2-12)</f>
        <v>1.06</v>
      </c>
      <c r="Q7" s="8">
        <f ca="1">OFFSET(Database!$F7,0,COLUMN(Database!N7)*2-12)</f>
        <v>267</v>
      </c>
      <c r="R7" s="8">
        <f ca="1">OFFSET(Database!$F7,0,COLUMN(Database!O7)*2-12)</f>
        <v>569</v>
      </c>
      <c r="S7" s="8">
        <f ca="1">OFFSET(Database!$F7,0,COLUMN(Database!P7)*2-12)</f>
        <v>260.57918958356714</v>
      </c>
      <c r="T7" s="8">
        <f ca="1">OFFSET(Database!$F7,0,COLUMN(Database!Q7)*2-12)</f>
        <v>464</v>
      </c>
      <c r="U7" s="8">
        <f ca="1">OFFSET(Database!$F7,0,COLUMN(Database!R7)*2-12)</f>
        <v>39.799999999999997</v>
      </c>
      <c r="V7" s="8">
        <f ca="1">OFFSET(Database!$F7,0,COLUMN(Database!S7)*2-12)</f>
        <v>0.23571669098664272</v>
      </c>
      <c r="W7" s="8">
        <f ca="1">OFFSET(Database!$F7,0,COLUMN(Database!T7)*2-12)</f>
        <v>0.11224604332697272</v>
      </c>
      <c r="X7" s="8">
        <f ca="1">OFFSET(Database!$F7,0,COLUMN(Database!U7)*2-12)</f>
        <v>8.0592659108766416</v>
      </c>
      <c r="Y7" s="8">
        <f ca="1">OFFSET(Database!$F7,0,COLUMN(Database!V7)*2-12)</f>
        <v>3</v>
      </c>
      <c r="Z7" s="8">
        <f ca="1">OFFSET(Database!$F7,0,COLUMN(Database!W7)*2-12)</f>
        <v>8.1999999999999993</v>
      </c>
      <c r="AA7" s="8">
        <f ca="1">OFFSET(Database!$F7,0,COLUMN(Database!X7)*2-12)</f>
        <v>10.5</v>
      </c>
      <c r="AB7" s="8">
        <f ca="1">OFFSET(Database!$F7,0,COLUMN(Database!Y7)*2-12)</f>
        <v>4.4673925244135146</v>
      </c>
      <c r="AC7" s="8">
        <f ca="1">OFFSET(Database!$F7,0,COLUMN(Database!Z7)*2-12)</f>
        <v>7.3970142552475027</v>
      </c>
      <c r="AD7" s="8">
        <f ca="1">OFFSET(Database!$F7,0,COLUMN(Database!AA7)*2-12)</f>
        <v>3.9510607251094396</v>
      </c>
      <c r="AE7" s="8">
        <f ca="1">OFFSET(Database!$F7,0,COLUMN(Database!AB7)*2-12)</f>
        <v>8.3623302278594682</v>
      </c>
      <c r="AF7" s="8">
        <f ca="1">OFFSET(Database!$F7,0,COLUMN(Database!AC7)*2-12)</f>
        <v>30</v>
      </c>
      <c r="AG7" s="8" t="str">
        <f ca="1">OFFSET(Database!$F7,0,COLUMN(Database!AD7)*2-12)</f>
        <v>&lt;0.01</v>
      </c>
      <c r="AH7" s="8">
        <f ca="1">OFFSET(Database!$F7,0,COLUMN(Database!AE7)*2-12)</f>
        <v>12.1</v>
      </c>
      <c r="AI7" s="8">
        <f ca="1">OFFSET(Database!$F7,0,COLUMN(Database!AF7)*2-12)</f>
        <v>0.39</v>
      </c>
      <c r="AJ7" s="8">
        <f ca="1">OFFSET(Database!$F7,0,COLUMN(Database!AG7)*2-12)</f>
        <v>1.2</v>
      </c>
      <c r="AK7" s="8">
        <f ca="1">OFFSET(Database!$F7,0,COLUMN(Database!AH7)*2-12)</f>
        <v>8</v>
      </c>
      <c r="AL7" s="8">
        <f ca="1">OFFSET(Database!$F7,0,COLUMN(Database!AI7)*2-12)</f>
        <v>10.8</v>
      </c>
      <c r="AM7" s="8">
        <f ca="1">OFFSET(Database!$F7,0,COLUMN(Database!AJ7)*2-12)</f>
        <v>18.399999999999999</v>
      </c>
      <c r="AN7" s="8">
        <f ca="1">OFFSET(Database!$F7,0,COLUMN(Database!AK7)*2-12)</f>
        <v>38</v>
      </c>
      <c r="AO7" s="8">
        <f ca="1">OFFSET(Database!$F7,0,COLUMN(Database!AL7)*2-12)</f>
        <v>1.0551128072735436</v>
      </c>
      <c r="AP7" s="8">
        <f ca="1">OFFSET(Database!$F7,0,COLUMN(Database!AM7)*2-12)</f>
        <v>2.5</v>
      </c>
      <c r="AQ7" s="8">
        <f ca="1">OFFSET(Database!$F7,0,COLUMN(Database!AN7)*2-12)</f>
        <v>0.1</v>
      </c>
      <c r="AR7" s="8">
        <f ca="1">OFFSET(Database!$F7,0,COLUMN(Database!AO7)*2-12)</f>
        <v>0.51</v>
      </c>
      <c r="AS7" s="8">
        <f ca="1">OFFSET(Database!$F7,0,COLUMN(Database!AP7)*2-12)</f>
        <v>0.59490402963295541</v>
      </c>
      <c r="AT7" s="8">
        <f ca="1">OFFSET(Database!$F7,0,COLUMN(Database!AQ7)*2-12)</f>
        <v>6.7347625996183628E-3</v>
      </c>
      <c r="AU7" s="8">
        <f ca="1">OFFSET(Database!$F7,0,COLUMN(Database!AR7)*2-12)</f>
        <v>3.3673812998091815E-2</v>
      </c>
      <c r="AV7" s="8">
        <f ca="1">OFFSET(Database!$F7,0,COLUMN(Database!AS7)*2-12)</f>
        <v>7.6327309462341453E-2</v>
      </c>
      <c r="AW7" s="8">
        <f ca="1">OFFSET(Database!$F7,0,COLUMN(Database!AT7)*2-12)</f>
        <v>7.5204849029071721E-2</v>
      </c>
      <c r="AX7" s="8">
        <f ca="1">OFFSET(Database!$F7,0,COLUMN(Database!AU7)*2-12)</f>
        <v>0.12347064765966999</v>
      </c>
      <c r="AY7" s="8">
        <f ca="1">OFFSET(Database!$F7,0,COLUMN(Database!AV7)*2-12)</f>
        <v>7.5204849029071721E-2</v>
      </c>
      <c r="AZ7" s="8">
        <f ca="1">OFFSET(Database!$F7,0,COLUMN(Database!AW7)*2-12)</f>
        <v>8.4184532495229544E-2</v>
      </c>
      <c r="BA7" s="8">
        <f ca="1">OFFSET(Database!$F7,0,COLUMN(Database!AX7)*2-12)</f>
        <v>8.9796834661578173E-2</v>
      </c>
      <c r="BB7" s="8">
        <f ca="1">OFFSET(Database!$F7,0,COLUMN(Database!AY7)*2-12)</f>
        <v>0.11224604332697272</v>
      </c>
      <c r="BC7" s="8">
        <f ca="1">OFFSET(Database!$F7,0,COLUMN(Database!AZ7)*2-12)</f>
        <v>3.0867661914917499</v>
      </c>
      <c r="BD7" s="8">
        <f ca="1">OFFSET(Database!$F7,0,COLUMN(Database!BA7)*2-12)</f>
        <v>7.7000785722303284</v>
      </c>
      <c r="BE7" s="8">
        <f ca="1">OFFSET(Database!$F7,0,COLUMN(Database!BB7)*2-12)</f>
        <v>0.10663374116062409</v>
      </c>
      <c r="BF7" s="8">
        <f ca="1">OFFSET(Database!$F7,0,COLUMN(Database!BC7)*2-12)</f>
        <v>2.8061510831743179E-2</v>
      </c>
      <c r="BG7" s="8">
        <f ca="1">OFFSET(Database!$F7,0,COLUMN(Database!BD7)*2-12)</f>
        <v>6.1735323829834994E-2</v>
      </c>
      <c r="BH7" s="8">
        <f ca="1">OFFSET(Database!$F7,0,COLUMN(Database!BE7)*2-12)</f>
        <v>0.25704343921876749</v>
      </c>
      <c r="BI7" s="8">
        <f ca="1">OFFSET(Database!$F7,0,COLUMN(Database!BF7)*2-12)</f>
        <v>0.40184083511056229</v>
      </c>
      <c r="BJ7" s="8">
        <f ca="1">OFFSET(Database!$F7,0,COLUMN(Database!BG7)*2-12)</f>
        <v>10.495005051071949</v>
      </c>
      <c r="BK7" s="8">
        <f ca="1">OFFSET(Database!$F7,0,COLUMN(Database!BH7)*2-12)</f>
        <v>2.4581883488607024</v>
      </c>
      <c r="BL7" s="8">
        <f ca="1">OFFSET(Database!$F7,0,COLUMN(Database!BI7)*2-12)</f>
        <v>3.7377932427881917</v>
      </c>
      <c r="BM7" s="8">
        <f ca="1">OFFSET(Database!$F7,0,COLUMN(Database!BJ7)*2-12)</f>
        <v>0.12347064765966999</v>
      </c>
      <c r="BN7" s="8">
        <f ca="1">OFFSET(Database!$F7,0,COLUMN(Database!BK7)*2-12)</f>
        <v>1.403075541587159</v>
      </c>
      <c r="BO7" s="8" t="str">
        <f ca="1">OFFSET(Database!$F7,0,COLUMN(Database!BL7)*2-12)</f>
        <v>&lt;0.25</v>
      </c>
      <c r="BP7" s="8">
        <f ca="1">OFFSET(Database!$F7,0,COLUMN(Database!BM7)*2-12)</f>
        <v>2.3796161185318216</v>
      </c>
      <c r="BQ7" s="8" t="str">
        <f ca="1">OFFSET(Database!$F7,0,COLUMN(Database!BN7)*2-12)</f>
        <v>&lt;0.11</v>
      </c>
      <c r="BR7" s="8" t="str">
        <f ca="1">OFFSET(Database!$F7,0,COLUMN(Database!BO7)*2-12)</f>
        <v>&lt;0.068</v>
      </c>
      <c r="BS7" s="8">
        <f ca="1">OFFSET(Database!$F7,0,COLUMN(Database!BP7)*2-12)</f>
        <v>0.12347064765966999</v>
      </c>
      <c r="BT7" s="8">
        <f ca="1">OFFSET(Database!$F7,0,COLUMN(Database!BQ7)*2-12)</f>
        <v>3.5918733864631271E-2</v>
      </c>
      <c r="BU7" s="8">
        <f ca="1">OFFSET(Database!$F7,0,COLUMN(Database!BR7)*2-12)</f>
        <v>7.8572230328880898E-3</v>
      </c>
      <c r="BV7" s="8">
        <f ca="1">OFFSET(Database!$F7,0,COLUMN(Database!BS7)*2-12)</f>
        <v>3.4796273431361546E-2</v>
      </c>
      <c r="BW7" s="8" t="str">
        <f ca="1">OFFSET(Database!$F7,0,COLUMN(Database!BT7)*2-12)</f>
        <v>&lt;0.0001</v>
      </c>
      <c r="BX7" s="8" t="str">
        <f ca="1">OFFSET(Database!$F7,0,COLUMN(Database!BU7)*2-12)</f>
        <v>&lt;0.0001</v>
      </c>
      <c r="BY7" s="8" t="str">
        <f ca="1">OFFSET(Database!$F7,0,COLUMN(Database!BV7)*2-12)</f>
        <v>&lt;0.0001</v>
      </c>
      <c r="BZ7" s="8">
        <f ca="1">OFFSET(Database!$F7,0,COLUMN(Database!BW7)*2-12)</f>
        <v>1.4187899876529353</v>
      </c>
      <c r="CA7" s="8">
        <f ca="1">OFFSET(Database!$F7,0,COLUMN(Database!BX7)*2-12)</f>
        <v>0.68470086429453358</v>
      </c>
      <c r="CB7" s="8">
        <f ca="1">OFFSET(Database!$F7,0,COLUMN(Database!BY7)*2-12)</f>
        <v>3.3673812998091815E-2</v>
      </c>
      <c r="CC7" s="8">
        <f ca="1">OFFSET(Database!$F7,0,COLUMN(Database!BZ7)*2-12)</f>
        <v>2.8061510831743179E-2</v>
      </c>
      <c r="CD7" s="8">
        <f ca="1">OFFSET(Database!$F7,0,COLUMN(Database!CA7)*2-12)</f>
        <v>0.53878100796946904</v>
      </c>
      <c r="CE7" s="8">
        <f ca="1">OFFSET(Database!$F7,0,COLUMN(Database!CB7)*2-12)</f>
        <v>0.16836906499045909</v>
      </c>
      <c r="CF7" s="8">
        <f ca="1">OFFSET(Database!$F7,0,COLUMN(Database!CC7)*2-12)</f>
        <v>5.6123021663486358E-2</v>
      </c>
      <c r="CG7" s="8">
        <f ca="1">OFFSET(Database!$F7,0,COLUMN(Database!CD7)*2-12)</f>
        <v>2.2449208665394543E-2</v>
      </c>
      <c r="CH7" s="8" t="str">
        <f ca="1">OFFSET(Database!$F7,0,COLUMN(Database!CE7)*2-12)</f>
        <v>&lt;0.0112</v>
      </c>
      <c r="CI7" s="8">
        <f ca="1">OFFSET(Database!$F7,0,COLUMN(Database!CF7)*2-12)</f>
        <v>1.6500168369064989</v>
      </c>
      <c r="CJ7" s="8">
        <f ca="1">OFFSET(Database!$F7,0,COLUMN(Database!CG7)*2-12)</f>
        <v>0.21326748232124818</v>
      </c>
      <c r="CK7" s="8">
        <f ca="1">OFFSET(Database!$F7,0,COLUMN(Database!CH7)*2-12)</f>
        <v>0.111123582893703</v>
      </c>
      <c r="CL7" s="8">
        <f ca="1">OFFSET(Database!$F7,0,COLUMN(Database!CI7)*2-12)</f>
        <v>0.25816589965203723</v>
      </c>
      <c r="CM7" s="8">
        <f ca="1">OFFSET(Database!$F7,0,COLUMN(Database!CJ7)*2-12)</f>
        <v>0.26939050398473452</v>
      </c>
      <c r="CN7" s="8">
        <f ca="1">OFFSET(Database!$F7,0,COLUMN(Database!CK7)*2-12)</f>
        <v>0.16836906499045909</v>
      </c>
      <c r="CO7" s="8">
        <f ca="1">OFFSET(Database!$F7,0,COLUMN(Database!CL7)*2-12)</f>
        <v>0.11000112246043327</v>
      </c>
      <c r="CP7" s="8">
        <f ca="1">OFFSET(Database!$F7,0,COLUMN(Database!CM7)*2-12)</f>
        <v>1.46</v>
      </c>
      <c r="CQ7" s="8">
        <f ca="1">OFFSET(Database!$F7,0,COLUMN(Database!CN7)*2-12)</f>
        <v>0.36</v>
      </c>
      <c r="CR7" s="8">
        <f ca="1">OFFSET(Database!$F7,0,COLUMN(Database!CO7)*2-12)</f>
        <v>1.18</v>
      </c>
      <c r="CS7" s="8">
        <f ca="1">OFFSET(Database!$F7,0,COLUMN(Database!CP7)*2-12)</f>
        <v>0.53</v>
      </c>
      <c r="CT7" s="8" t="str">
        <f ca="1">OFFSET(Database!$F7,0,COLUMN(Database!CQ7)*2-12)</f>
        <v>&lt;0.1</v>
      </c>
      <c r="CU7" s="8" t="str">
        <f ca="1">OFFSET(Database!$F7,0,COLUMN(Database!CR7)*2-12)</f>
        <v>&lt;0.1</v>
      </c>
      <c r="CV7" s="8" t="str">
        <f ca="1">OFFSET(Database!$F7,0,COLUMN(Database!CS7)*2-12)</f>
        <v>&lt;0.1</v>
      </c>
      <c r="CW7" s="8" t="str">
        <f ca="1">OFFSET(Database!$F7,0,COLUMN(Database!CT7)*2-12)</f>
        <v>&lt;0.1</v>
      </c>
      <c r="CX7" s="8">
        <f ca="1">OFFSET(Database!$F7,0,COLUMN(Database!CU7)*2-12)</f>
        <v>1.61</v>
      </c>
      <c r="CY7" s="8" t="str">
        <f ca="1">OFFSET(Database!$F7,0,COLUMN(Database!CV7)*2-12)</f>
        <v>&lt;0.1</v>
      </c>
      <c r="CZ7" s="8" t="str">
        <f ca="1">OFFSET(Database!$F7,0,COLUMN(Database!CW7)*2-12)</f>
        <v>&lt;0.1</v>
      </c>
      <c r="DA7" s="8">
        <f ca="1">OFFSET(Database!$F7,0,COLUMN(Database!CX7)*2-12)</f>
        <v>3.27</v>
      </c>
      <c r="DB7" s="8" t="str">
        <f ca="1">OFFSET(Database!$F7,0,COLUMN(Database!CY7)*2-12)</f>
        <v>&lt;0.44</v>
      </c>
      <c r="DC7" s="8">
        <f ca="1">OFFSET(Database!$F7,0,COLUMN(Database!CZ7)*2-12)</f>
        <v>0.3</v>
      </c>
      <c r="DD7" s="8">
        <f ca="1">OFFSET(Database!$F7,0,COLUMN(Database!DA7)*2-12)</f>
        <v>3.9</v>
      </c>
      <c r="DE7" s="8">
        <f ca="1">OFFSET(Database!$F7,0,COLUMN(Database!DB7)*2-12)</f>
        <v>6.2857784263104718E-2</v>
      </c>
      <c r="DF7" s="8">
        <f ca="1">OFFSET(Database!$F7,0,COLUMN(Database!DC7)*2-12)</f>
        <v>14.8567</v>
      </c>
      <c r="DG7" s="8">
        <f ca="1">OFFSET(Database!$F7,0,COLUMN(Database!DD7)*2-12)</f>
        <v>9.4829000000000008</v>
      </c>
      <c r="DH7" s="8">
        <f ca="1">OFFSET(Database!$F7,0,COLUMN(Database!DE7)*2-12)</f>
        <v>52.668199999999999</v>
      </c>
      <c r="DI7" s="8">
        <f ca="1">OFFSET(Database!$F7,0,COLUMN(Database!DF7)*2-12)</f>
        <v>60.995800000000003</v>
      </c>
      <c r="DJ7" s="8">
        <f ca="1">OFFSET(Database!$F7,0,COLUMN(Database!DG7)*2-12)</f>
        <v>83.423299999999998</v>
      </c>
      <c r="DK7" s="8">
        <f ca="1">OFFSET(Database!$F7,0,COLUMN(Database!DH7)*2-12)</f>
        <v>27.520499999999998</v>
      </c>
      <c r="DL7" s="8">
        <f ca="1">OFFSET(Database!$F7,0,COLUMN(Database!DI7)*2-12)</f>
        <v>5.5068000000000001</v>
      </c>
      <c r="DM7" s="8">
        <f ca="1">OFFSET(Database!$F7,0,COLUMN(Database!DJ7)*2-12)</f>
        <v>41.264499999999998</v>
      </c>
      <c r="DN7" s="8">
        <f ca="1">OFFSET(Database!$F7,0,COLUMN(Database!DK7)*2-12)</f>
        <v>510</v>
      </c>
      <c r="DO7" s="8">
        <f ca="1">OFFSET(Database!$F7,0,COLUMN(Database!DL7)*2-12)</f>
        <v>510</v>
      </c>
      <c r="DP7" s="8">
        <f ca="1">OFFSET(Database!$F7,0,COLUMN(Database!DM7)*2-12)</f>
        <v>74</v>
      </c>
      <c r="DQ7" s="8">
        <f ca="1">OFFSET(Database!$F7,0,COLUMN(Database!DN7)*2-12)</f>
        <v>46</v>
      </c>
      <c r="DR7" s="8" t="str">
        <f ca="1">OFFSET(Database!$F7,0,COLUMN(Database!DO7)*2-12)</f>
        <v>b.b.</v>
      </c>
      <c r="DS7" s="8">
        <f ca="1">OFFSET(Database!$F7,0,COLUMN(Database!DP7)*2-12)</f>
        <v>136</v>
      </c>
      <c r="DT7" s="8">
        <f ca="1">OFFSET(Database!$F7,0,COLUMN(Database!DQ7)*2-12)</f>
        <v>48</v>
      </c>
      <c r="DU7" s="8">
        <f ca="1">OFFSET(Database!$F7,0,COLUMN(Database!DR7)*2-12)</f>
        <v>5.6111000000000004</v>
      </c>
      <c r="DV7" s="8" t="str">
        <f ca="1">OFFSET(Database!$F7,0,COLUMN(Database!DS7)*2-12)</f>
        <v>b.b.</v>
      </c>
      <c r="DW7" s="8" t="str">
        <f ca="1">OFFSET(Database!$F7,0,COLUMN(Database!DT7)*2-12)</f>
        <v>n.r.</v>
      </c>
      <c r="DX7" s="8" t="str">
        <f ca="1">OFFSET(Database!$F7,0,COLUMN(Database!DU7)*2-12)</f>
        <v>n.r.</v>
      </c>
      <c r="DY7" s="8" t="str">
        <f ca="1">OFFSET(Database!$F7,0,COLUMN(Database!DV7)*2-12)</f>
        <v>n.r.</v>
      </c>
      <c r="DZ7" s="8" t="str">
        <f ca="1">OFFSET(Database!$F7,0,COLUMN(Database!DW7)*2-12)</f>
        <v>n.r.</v>
      </c>
      <c r="EA7" s="8" t="str">
        <f ca="1">OFFSET(Database!$F7,0,COLUMN(Database!DX7)*2-12)</f>
        <v>n.r.</v>
      </c>
      <c r="EB7" s="8" t="str">
        <f ca="1">OFFSET(Database!$F7,0,COLUMN(Database!DY7)*2-12)</f>
        <v>n.r.</v>
      </c>
      <c r="EC7" s="8" t="str">
        <f ca="1">OFFSET(Database!$F7,0,COLUMN(Database!DZ7)*2-12)</f>
        <v>&lt;4.1</v>
      </c>
      <c r="ED7" s="8" t="str">
        <f ca="1">OFFSET(Database!$F7,0,COLUMN(Database!EA7)*2-12)</f>
        <v>n.r.</v>
      </c>
      <c r="EE7" s="8" t="str">
        <f ca="1">OFFSET(Database!$F7,0,COLUMN(Database!EB7)*2-12)</f>
        <v>n.r.</v>
      </c>
      <c r="EF7" s="8" t="str">
        <f ca="1">OFFSET(Database!$F7,0,COLUMN(Database!EC7)*2-12)</f>
        <v>n.r.</v>
      </c>
      <c r="EG7" s="8" t="str">
        <f ca="1">OFFSET(Database!$F7,0,COLUMN(Database!ED7)*2-12)</f>
        <v>n.r.</v>
      </c>
      <c r="EH7" s="8" t="str">
        <f ca="1">OFFSET(Database!$F7,0,COLUMN(Database!EE7)*2-12)</f>
        <v>n.r.</v>
      </c>
      <c r="EI7" s="8" t="str">
        <f ca="1">OFFSET(Database!$F7,0,COLUMN(Database!EF7)*2-12)</f>
        <v>n.r.</v>
      </c>
      <c r="EJ7" s="8" t="str">
        <f ca="1">OFFSET(Database!$F7,0,COLUMN(Database!EG7)*2-12)</f>
        <v>n.r.</v>
      </c>
      <c r="EK7" s="8" t="str">
        <f ca="1">OFFSET(Database!$F7,0,COLUMN(Database!EH7)*2-12)</f>
        <v>n.r.</v>
      </c>
      <c r="EL7" s="8" t="str">
        <f ca="1">OFFSET(Database!$F7,0,COLUMN(Database!EI7)*2-12)</f>
        <v>n.r.</v>
      </c>
      <c r="EM7" s="8" t="str">
        <f ca="1">OFFSET(Database!$F7,0,COLUMN(Database!EJ7)*2-12)</f>
        <v>n.r.</v>
      </c>
      <c r="EN7" s="8" t="str">
        <f ca="1">OFFSET(Database!$F7,0,COLUMN(Database!EK7)*2-12)</f>
        <v>n.r.</v>
      </c>
      <c r="EO7" s="8" t="str">
        <f ca="1">OFFSET(Database!$F7,0,COLUMN(Database!EL7)*2-12)</f>
        <v>n.r.</v>
      </c>
      <c r="EP7" s="8" t="str">
        <f ca="1">OFFSET(Database!$F7,0,COLUMN(Database!EM7)*2-12)</f>
        <v>n.r.</v>
      </c>
      <c r="EQ7" s="8" t="str">
        <f ca="1">OFFSET(Database!$F7,0,COLUMN(Database!EN7)*2-12)</f>
        <v>n.r.</v>
      </c>
      <c r="ER7" s="8">
        <f ca="1">OFFSET(Database!$F7,0,COLUMN(Database!EO7)*2-12)</f>
        <v>5930.0486145216501</v>
      </c>
      <c r="ES7" s="8">
        <f ca="1">OFFSET(Database!$F7,0,COLUMN(Database!EP7)*2-12)</f>
        <v>4438.2736910916101</v>
      </c>
      <c r="ET7" s="8">
        <f ca="1">OFFSET(Database!$F7,0,COLUMN(Database!EQ7)*2-12)</f>
        <v>3639.6302466238558</v>
      </c>
      <c r="EU7" s="8">
        <f ca="1">OFFSET(Database!$F7,0,COLUMN(Database!ER7)*2-12)</f>
        <v>11932.32948690167</v>
      </c>
      <c r="EV7" s="8">
        <f ca="1">OFFSET(Database!$F7,0,COLUMN(Database!ES7)*2-12)</f>
        <v>5000.2873897067002</v>
      </c>
      <c r="EW7" s="8" t="str">
        <f ca="1">OFFSET(Database!$F7,0,COLUMN(Database!ET7)*2-12)</f>
        <v>n.r.</v>
      </c>
      <c r="EX7" s="8" t="str">
        <f ca="1">OFFSET(Database!$F7,0,COLUMN(Database!EU7)*2-12)</f>
        <v>n.r.</v>
      </c>
      <c r="EY7" s="8" t="str">
        <f ca="1">OFFSET(Database!$F7,0,COLUMN(Database!EV7)*2-12)</f>
        <v>n.r.</v>
      </c>
      <c r="EZ7" s="8" t="str">
        <f ca="1">OFFSET(Database!$F7,0,COLUMN(Database!EW7)*2-12)</f>
        <v>n.r.</v>
      </c>
      <c r="FA7" s="8" t="str">
        <f ca="1">OFFSET(Database!$F7,0,COLUMN(Database!EX7)*2-12)</f>
        <v>n.r.</v>
      </c>
      <c r="FB7" s="8">
        <f ca="1">OFFSET(Database!$F7,0,COLUMN(Database!EY7)*2-12)</f>
        <v>328</v>
      </c>
      <c r="FC7" s="8">
        <f ca="1">OFFSET(Database!$F7,0,COLUMN(Database!EZ7)*2-12)</f>
        <v>51.6</v>
      </c>
      <c r="FD7" s="8">
        <f ca="1">OFFSET(Database!$F7,0,COLUMN(Database!FA7)*2-12)</f>
        <v>3285.3</v>
      </c>
      <c r="FE7" s="8">
        <f ca="1">OFFSET(Database!$F7,0,COLUMN(Database!FB7)*2-12)</f>
        <v>6405</v>
      </c>
      <c r="FF7" s="8">
        <f ca="1">OFFSET(Database!$F7,0,COLUMN(Database!FC7)*2-12)</f>
        <v>5680.3</v>
      </c>
      <c r="FG7" s="8" t="str">
        <f ca="1">OFFSET(Database!$F7,0,COLUMN(Database!FD7)*2-12)</f>
        <v>n.r.</v>
      </c>
      <c r="FH7" s="8">
        <f ca="1">OFFSET(Database!$F7,0,COLUMN(Database!FE7)*2-12)</f>
        <v>15300</v>
      </c>
      <c r="FI7" s="8">
        <f ca="1">OFFSET(Database!$F7,0,COLUMN(Database!FF7)*2-12)</f>
        <v>2500</v>
      </c>
      <c r="FJ7" s="8">
        <f ca="1">OFFSET(Database!$F7,0,COLUMN(Database!FG7)*2-12)</f>
        <v>1620</v>
      </c>
      <c r="FK7" s="8" t="str">
        <f ca="1">OFFSET(Database!$F7,0,COLUMN(Database!FH7)*2-12)</f>
        <v>n.r.</v>
      </c>
      <c r="FL7" s="8" t="str">
        <f ca="1">OFFSET(Database!$F7,0,COLUMN(Database!FI7)*2-12)</f>
        <v>n.r.</v>
      </c>
      <c r="FM7" s="8" t="str">
        <f ca="1">OFFSET(Database!$F7,0,COLUMN(Database!FJ7)*2-12)</f>
        <v>n.r.</v>
      </c>
      <c r="FN7" s="8" t="str">
        <f ca="1">OFFSET(Database!$F7,0,COLUMN(Database!FK7)*2-12)</f>
        <v>n.r.</v>
      </c>
      <c r="FO7" s="8" t="str">
        <f ca="1">OFFSET(Database!$F7,0,COLUMN(Database!FL7)*2-12)</f>
        <v>n.r.</v>
      </c>
      <c r="FP7" s="8" t="str">
        <f ca="1">OFFSET(Database!$F7,0,COLUMN(Database!FM7)*2-12)</f>
        <v>n.r.</v>
      </c>
      <c r="FQ7" s="8" t="str">
        <f ca="1">OFFSET(Database!$F7,0,COLUMN(Database!FN7)*2-12)</f>
        <v>n.r.</v>
      </c>
      <c r="FR7" s="8" t="str">
        <f ca="1">OFFSET(Database!$F7,0,COLUMN(Database!FO7)*2-12)</f>
        <v>n.r.</v>
      </c>
      <c r="FS7" s="8" t="str">
        <f ca="1">OFFSET(Database!$F7,0,COLUMN(Database!FP7)*2-12)</f>
        <v>n.r.</v>
      </c>
      <c r="FT7" s="8" t="str">
        <f ca="1">OFFSET(Database!$F7,0,COLUMN(Database!FQ7)*2-12)</f>
        <v>n.r.</v>
      </c>
      <c r="FU7" s="8" t="str">
        <f ca="1">OFFSET(Database!$F7,0,COLUMN(Database!FR7)*2-12)</f>
        <v>n.r.</v>
      </c>
      <c r="FV7" s="8" t="str">
        <f ca="1">OFFSET(Database!$F7,0,COLUMN(Database!FS7)*2-12)</f>
        <v>n.r.</v>
      </c>
      <c r="FW7" s="8" t="str">
        <f ca="1">OFFSET(Database!$F7,0,COLUMN(Database!FT7)*2-12)</f>
        <v>n.r.</v>
      </c>
      <c r="FX7" s="8" t="str">
        <f ca="1">OFFSET(Database!$F7,0,COLUMN(Database!FU7)*2-12)</f>
        <v>n.r.</v>
      </c>
      <c r="FY7" s="8" t="str">
        <f ca="1">OFFSET(Database!$F7,0,COLUMN(Database!FV7)*2-12)</f>
        <v>n.r.</v>
      </c>
      <c r="FZ7" s="8" t="str">
        <f ca="1">OFFSET(Database!$F7,0,COLUMN(Database!FW7)*2-12)</f>
        <v>n.r.</v>
      </c>
      <c r="GA7" s="8" t="str">
        <f ca="1">OFFSET(Database!$F7,0,COLUMN(Database!FX7)*2-12)</f>
        <v>n.r.</v>
      </c>
      <c r="GB7" s="8" t="str">
        <f ca="1">OFFSET(Database!$F7,0,COLUMN(Database!FY7)*2-12)</f>
        <v>n.r.</v>
      </c>
      <c r="GC7" s="8" t="str">
        <f ca="1">OFFSET(Database!$F7,0,COLUMN(Database!FZ7)*2-12)</f>
        <v>n.r.</v>
      </c>
      <c r="GD7" s="8" t="str">
        <f ca="1">OFFSET(Database!$F7,0,COLUMN(Database!GA7)*2-12)</f>
        <v>n.r.</v>
      </c>
      <c r="GE7" s="8" t="str">
        <f ca="1">OFFSET(Database!$F7,0,COLUMN(Database!GB7)*2-12)</f>
        <v>n.r.</v>
      </c>
      <c r="GF7" s="8" t="str">
        <f ca="1">OFFSET(Database!$F7,0,COLUMN(Database!GC7)*2-12)</f>
        <v>n.r.</v>
      </c>
      <c r="GG7" s="8" t="str">
        <f ca="1">OFFSET(Database!$F7,0,COLUMN(Database!GD7)*2-12)</f>
        <v>n.r.</v>
      </c>
      <c r="GH7" s="8" t="str">
        <f ca="1">OFFSET(Database!$F7,0,COLUMN(Database!GE7)*2-12)</f>
        <v>n.r.</v>
      </c>
      <c r="GI7" s="8" t="str">
        <f ca="1">OFFSET(Database!$F7,0,COLUMN(Database!GF7)*2-12)</f>
        <v>n.r.</v>
      </c>
      <c r="GJ7" s="8" t="str">
        <f ca="1">OFFSET(Database!$F7,0,COLUMN(Database!GG7)*2-12)</f>
        <v>n.r.</v>
      </c>
      <c r="GK7" s="8" t="str">
        <f ca="1">OFFSET(Database!$F7,0,COLUMN(Database!GH7)*2-12)</f>
        <v>n.r.</v>
      </c>
      <c r="GL7" s="8" t="str">
        <f ca="1">OFFSET(Database!$F7,0,COLUMN(Database!GI7)*2-12)</f>
        <v>n.r.</v>
      </c>
      <c r="GM7" s="8" t="str">
        <f ca="1">OFFSET(Database!$F7,0,COLUMN(Database!GJ7)*2-12)</f>
        <v>n.r.</v>
      </c>
      <c r="GN7" s="8" t="str">
        <f ca="1">OFFSET(Database!$F7,0,COLUMN(Database!GK7)*2-12)</f>
        <v>n.r.</v>
      </c>
      <c r="GO7" s="8">
        <f ca="1">OFFSET(Database!$F7,0,COLUMN(Database!GL7)*2-12)</f>
        <v>157.14446065776181</v>
      </c>
      <c r="GP7" s="8">
        <f ca="1">OFFSET(Database!$F7,0,COLUMN(Database!GM7)*2-12)</f>
        <v>1829.6105062296554</v>
      </c>
    </row>
    <row r="8" spans="1:198" x14ac:dyDescent="0.2">
      <c r="A8" s="50" t="str">
        <f>Database!A8</f>
        <v>alanine</v>
      </c>
      <c r="B8" s="1" t="s">
        <v>857</v>
      </c>
      <c r="C8" s="4" t="str">
        <f>Database!B8</f>
        <v>ɑ</v>
      </c>
      <c r="D8" s="4" t="str">
        <f>Database!C8</f>
        <v>Both</v>
      </c>
      <c r="E8" s="74">
        <f>Database!D8</f>
        <v>56</v>
      </c>
      <c r="F8" s="1" t="s">
        <v>993</v>
      </c>
      <c r="G8" s="1" t="s">
        <v>1139</v>
      </c>
      <c r="H8" s="1">
        <f>Database!E8</f>
        <v>89.09</v>
      </c>
      <c r="I8" s="8" t="str">
        <f ca="1">OFFSET(Database!$F8,0,COLUMN(Database!F8)*2-12)</f>
        <v>n.r.</v>
      </c>
      <c r="J8" s="8" t="str">
        <f ca="1">OFFSET(Database!$F8,0,COLUMN(Database!G8)*2-12)</f>
        <v>n.r.</v>
      </c>
      <c r="K8" s="8" t="str">
        <f ca="1">OFFSET(Database!$F8,0,COLUMN(Database!H8)*2-12)</f>
        <v>n.r.</v>
      </c>
      <c r="L8" s="8" t="str">
        <f ca="1">OFFSET(Database!$F8,0,COLUMN(Database!I8)*2-12)</f>
        <v>n.r.</v>
      </c>
      <c r="M8" s="8" t="str">
        <f ca="1">OFFSET(Database!$F8,0,COLUMN(Database!J8)*2-12)</f>
        <v>n.r.</v>
      </c>
      <c r="N8" s="8" t="str">
        <f ca="1">OFFSET(Database!$F8,0,COLUMN(Database!K8)*2-12)</f>
        <v>n.r.</v>
      </c>
      <c r="O8" s="8" t="str">
        <f ca="1">OFFSET(Database!$F8,0,COLUMN(Database!L8)*2-12)</f>
        <v>n.r.</v>
      </c>
      <c r="P8" s="8" t="str">
        <f ca="1">OFFSET(Database!$F8,0,COLUMN(Database!M8)*2-12)</f>
        <v>n.r.</v>
      </c>
      <c r="Q8" s="8" t="str">
        <f ca="1">OFFSET(Database!$F8,0,COLUMN(Database!N8)*2-12)</f>
        <v>n.r.</v>
      </c>
      <c r="R8" s="8" t="str">
        <f ca="1">OFFSET(Database!$F8,0,COLUMN(Database!O8)*2-12)</f>
        <v>n.r.</v>
      </c>
      <c r="S8" s="8" t="str">
        <f ca="1">OFFSET(Database!$F8,0,COLUMN(Database!P8)*2-12)</f>
        <v>n.r.</v>
      </c>
      <c r="T8" s="8" t="str">
        <f ca="1">OFFSET(Database!$F8,0,COLUMN(Database!Q8)*2-12)</f>
        <v>n.r.</v>
      </c>
      <c r="U8" s="8" t="str">
        <f ca="1">OFFSET(Database!$F8,0,COLUMN(Database!R8)*2-12)</f>
        <v>n.r.</v>
      </c>
      <c r="V8" s="8" t="str">
        <f ca="1">OFFSET(Database!$F8,0,COLUMN(Database!S8)*2-12)</f>
        <v>n.r.</v>
      </c>
      <c r="W8" s="8" t="str">
        <f ca="1">OFFSET(Database!$F8,0,COLUMN(Database!T8)*2-12)</f>
        <v>n.r.</v>
      </c>
      <c r="X8" s="8" t="str">
        <f ca="1">OFFSET(Database!$F8,0,COLUMN(Database!U8)*2-12)</f>
        <v>n.r.</v>
      </c>
      <c r="Y8" s="8" t="str">
        <f ca="1">OFFSET(Database!$F8,0,COLUMN(Database!V8)*2-12)</f>
        <v>n.r.</v>
      </c>
      <c r="Z8" s="8" t="str">
        <f ca="1">OFFSET(Database!$F8,0,COLUMN(Database!W8)*2-12)</f>
        <v>n.r.</v>
      </c>
      <c r="AA8" s="8" t="str">
        <f ca="1">OFFSET(Database!$F8,0,COLUMN(Database!X8)*2-12)</f>
        <v>n.r.</v>
      </c>
      <c r="AB8" s="8" t="str">
        <f ca="1">OFFSET(Database!$F8,0,COLUMN(Database!Y8)*2-12)</f>
        <v>n.r.</v>
      </c>
      <c r="AC8" s="8" t="str">
        <f ca="1">OFFSET(Database!$F8,0,COLUMN(Database!Z8)*2-12)</f>
        <v>n.r.</v>
      </c>
      <c r="AD8" s="8" t="str">
        <f ca="1">OFFSET(Database!$F8,0,COLUMN(Database!AA8)*2-12)</f>
        <v>n.r.</v>
      </c>
      <c r="AE8" s="8" t="str">
        <f ca="1">OFFSET(Database!$F8,0,COLUMN(Database!AB8)*2-12)</f>
        <v>n.r.</v>
      </c>
      <c r="AF8" s="8" t="str">
        <f ca="1">OFFSET(Database!$F8,0,COLUMN(Database!AC8)*2-12)</f>
        <v>n.r.</v>
      </c>
      <c r="AG8" s="8" t="str">
        <f ca="1">OFFSET(Database!$F8,0,COLUMN(Database!AD8)*2-12)</f>
        <v>n.r.</v>
      </c>
      <c r="AH8" s="8" t="str">
        <f ca="1">OFFSET(Database!$F8,0,COLUMN(Database!AE8)*2-12)</f>
        <v>n.r.</v>
      </c>
      <c r="AI8" s="8" t="str">
        <f ca="1">OFFSET(Database!$F8,0,COLUMN(Database!AF8)*2-12)</f>
        <v>n.r.</v>
      </c>
      <c r="AJ8" s="8" t="str">
        <f ca="1">OFFSET(Database!$F8,0,COLUMN(Database!AG8)*2-12)</f>
        <v>n.r.</v>
      </c>
      <c r="AK8" s="8" t="str">
        <f ca="1">OFFSET(Database!$F8,0,COLUMN(Database!AH8)*2-12)</f>
        <v>n.r.</v>
      </c>
      <c r="AL8" s="8" t="str">
        <f ca="1">OFFSET(Database!$F8,0,COLUMN(Database!AI8)*2-12)</f>
        <v>n.r.</v>
      </c>
      <c r="AM8" s="8" t="str">
        <f ca="1">OFFSET(Database!$F8,0,COLUMN(Database!AJ8)*2-12)</f>
        <v>n.r.</v>
      </c>
      <c r="AN8" s="8" t="str">
        <f ca="1">OFFSET(Database!$F8,0,COLUMN(Database!AK8)*2-12)</f>
        <v>n.r.</v>
      </c>
      <c r="AO8" s="8" t="str">
        <f ca="1">OFFSET(Database!$F8,0,COLUMN(Database!AL8)*2-12)</f>
        <v>n.r.</v>
      </c>
      <c r="AP8" s="8" t="str">
        <f ca="1">OFFSET(Database!$F8,0,COLUMN(Database!AM8)*2-12)</f>
        <v>n.r.</v>
      </c>
      <c r="AQ8" s="8" t="str">
        <f ca="1">OFFSET(Database!$F8,0,COLUMN(Database!AN8)*2-12)</f>
        <v>n.r.</v>
      </c>
      <c r="AR8" s="8" t="str">
        <f ca="1">OFFSET(Database!$F8,0,COLUMN(Database!AO8)*2-12)</f>
        <v>n.r.</v>
      </c>
      <c r="AS8" s="8" t="str">
        <f ca="1">OFFSET(Database!$F8,0,COLUMN(Database!AP8)*2-12)</f>
        <v>n.r.</v>
      </c>
      <c r="AT8" s="8" t="str">
        <f ca="1">OFFSET(Database!$F8,0,COLUMN(Database!AQ8)*2-12)</f>
        <v>n.r.</v>
      </c>
      <c r="AU8" s="8" t="str">
        <f ca="1">OFFSET(Database!$F8,0,COLUMN(Database!AR8)*2-12)</f>
        <v>n.r.</v>
      </c>
      <c r="AV8" s="8" t="str">
        <f ca="1">OFFSET(Database!$F8,0,COLUMN(Database!AS8)*2-12)</f>
        <v>n.r.</v>
      </c>
      <c r="AW8" s="8" t="str">
        <f ca="1">OFFSET(Database!$F8,0,COLUMN(Database!AT8)*2-12)</f>
        <v>n.r.</v>
      </c>
      <c r="AX8" s="8" t="str">
        <f ca="1">OFFSET(Database!$F8,0,COLUMN(Database!AU8)*2-12)</f>
        <v>n.r.</v>
      </c>
      <c r="AY8" s="8" t="str">
        <f ca="1">OFFSET(Database!$F8,0,COLUMN(Database!AV8)*2-12)</f>
        <v>n.r.</v>
      </c>
      <c r="AZ8" s="8" t="str">
        <f ca="1">OFFSET(Database!$F8,0,COLUMN(Database!AW8)*2-12)</f>
        <v>n.r.</v>
      </c>
      <c r="BA8" s="8" t="str">
        <f ca="1">OFFSET(Database!$F8,0,COLUMN(Database!AX8)*2-12)</f>
        <v>n.r.</v>
      </c>
      <c r="BB8" s="8" t="str">
        <f ca="1">OFFSET(Database!$F8,0,COLUMN(Database!AY8)*2-12)</f>
        <v>n.r.</v>
      </c>
      <c r="BC8" s="8" t="str">
        <f ca="1">OFFSET(Database!$F8,0,COLUMN(Database!AZ8)*2-12)</f>
        <v>n.r.</v>
      </c>
      <c r="BD8" s="8" t="str">
        <f ca="1">OFFSET(Database!$F8,0,COLUMN(Database!BA8)*2-12)</f>
        <v>n.r.</v>
      </c>
      <c r="BE8" s="8" t="str">
        <f ca="1">OFFSET(Database!$F8,0,COLUMN(Database!BB8)*2-12)</f>
        <v>n.r.</v>
      </c>
      <c r="BF8" s="8" t="str">
        <f ca="1">OFFSET(Database!$F8,0,COLUMN(Database!BC8)*2-12)</f>
        <v>n.r.</v>
      </c>
      <c r="BG8" s="8" t="str">
        <f ca="1">OFFSET(Database!$F8,0,COLUMN(Database!BD8)*2-12)</f>
        <v>n.r.</v>
      </c>
      <c r="BH8" s="8" t="str">
        <f ca="1">OFFSET(Database!$F8,0,COLUMN(Database!BE8)*2-12)</f>
        <v>n.r.</v>
      </c>
      <c r="BI8" s="8" t="str">
        <f ca="1">OFFSET(Database!$F8,0,COLUMN(Database!BF8)*2-12)</f>
        <v>n.r.</v>
      </c>
      <c r="BJ8" s="8" t="str">
        <f ca="1">OFFSET(Database!$F8,0,COLUMN(Database!BG8)*2-12)</f>
        <v>n.r.</v>
      </c>
      <c r="BK8" s="8" t="str">
        <f ca="1">OFFSET(Database!$F8,0,COLUMN(Database!BH8)*2-12)</f>
        <v>n.r.</v>
      </c>
      <c r="BL8" s="8" t="str">
        <f ca="1">OFFSET(Database!$F8,0,COLUMN(Database!BI8)*2-12)</f>
        <v>n.r.</v>
      </c>
      <c r="BM8" s="8" t="str">
        <f ca="1">OFFSET(Database!$F8,0,COLUMN(Database!BJ8)*2-12)</f>
        <v>n.r.</v>
      </c>
      <c r="BN8" s="8" t="str">
        <f ca="1">OFFSET(Database!$F8,0,COLUMN(Database!BK8)*2-12)</f>
        <v>n.r.</v>
      </c>
      <c r="BO8" s="8" t="str">
        <f ca="1">OFFSET(Database!$F8,0,COLUMN(Database!BL8)*2-12)</f>
        <v>n.r.</v>
      </c>
      <c r="BP8" s="8" t="str">
        <f ca="1">OFFSET(Database!$F8,0,COLUMN(Database!BM8)*2-12)</f>
        <v>n.r.</v>
      </c>
      <c r="BQ8" s="8" t="str">
        <f ca="1">OFFSET(Database!$F8,0,COLUMN(Database!BN8)*2-12)</f>
        <v>n.r.</v>
      </c>
      <c r="BR8" s="8" t="str">
        <f ca="1">OFFSET(Database!$F8,0,COLUMN(Database!BO8)*2-12)</f>
        <v>n.r.</v>
      </c>
      <c r="BS8" s="8" t="str">
        <f ca="1">OFFSET(Database!$F8,0,COLUMN(Database!BP8)*2-12)</f>
        <v>n.r.</v>
      </c>
      <c r="BT8" s="8" t="str">
        <f ca="1">OFFSET(Database!$F8,0,COLUMN(Database!BQ8)*2-12)</f>
        <v>n.r.</v>
      </c>
      <c r="BU8" s="8" t="str">
        <f ca="1">OFFSET(Database!$F8,0,COLUMN(Database!BR8)*2-12)</f>
        <v>n.r.</v>
      </c>
      <c r="BV8" s="8" t="str">
        <f ca="1">OFFSET(Database!$F8,0,COLUMN(Database!BS8)*2-12)</f>
        <v>n.r.</v>
      </c>
      <c r="BW8" s="8" t="str">
        <f ca="1">OFFSET(Database!$F8,0,COLUMN(Database!BT8)*2-12)</f>
        <v>n.r.</v>
      </c>
      <c r="BX8" s="8" t="str">
        <f ca="1">OFFSET(Database!$F8,0,COLUMN(Database!BU8)*2-12)</f>
        <v>n.r.</v>
      </c>
      <c r="BY8" s="8" t="str">
        <f ca="1">OFFSET(Database!$F8,0,COLUMN(Database!BV8)*2-12)</f>
        <v>n.r.</v>
      </c>
      <c r="BZ8" s="8" t="str">
        <f ca="1">OFFSET(Database!$F8,0,COLUMN(Database!BW8)*2-12)</f>
        <v>n.r.</v>
      </c>
      <c r="CA8" s="8" t="str">
        <f ca="1">OFFSET(Database!$F8,0,COLUMN(Database!BX8)*2-12)</f>
        <v>n.r.</v>
      </c>
      <c r="CB8" s="8" t="str">
        <f ca="1">OFFSET(Database!$F8,0,COLUMN(Database!BY8)*2-12)</f>
        <v>n.r.</v>
      </c>
      <c r="CC8" s="8" t="str">
        <f ca="1">OFFSET(Database!$F8,0,COLUMN(Database!BZ8)*2-12)</f>
        <v>n.r.</v>
      </c>
      <c r="CD8" s="8" t="str">
        <f ca="1">OFFSET(Database!$F8,0,COLUMN(Database!CA8)*2-12)</f>
        <v>n.r.</v>
      </c>
      <c r="CE8" s="8" t="str">
        <f ca="1">OFFSET(Database!$F8,0,COLUMN(Database!CB8)*2-12)</f>
        <v>n.r.</v>
      </c>
      <c r="CF8" s="8" t="str">
        <f ca="1">OFFSET(Database!$F8,0,COLUMN(Database!CC8)*2-12)</f>
        <v>n.r.</v>
      </c>
      <c r="CG8" s="8" t="str">
        <f ca="1">OFFSET(Database!$F8,0,COLUMN(Database!CD8)*2-12)</f>
        <v>n.r.</v>
      </c>
      <c r="CH8" s="8" t="str">
        <f ca="1">OFFSET(Database!$F8,0,COLUMN(Database!CE8)*2-12)</f>
        <v>n.r.</v>
      </c>
      <c r="CI8" s="8" t="str">
        <f ca="1">OFFSET(Database!$F8,0,COLUMN(Database!CF8)*2-12)</f>
        <v>n.r.</v>
      </c>
      <c r="CJ8" s="8" t="str">
        <f ca="1">OFFSET(Database!$F8,0,COLUMN(Database!CG8)*2-12)</f>
        <v>n.r.</v>
      </c>
      <c r="CK8" s="8" t="str">
        <f ca="1">OFFSET(Database!$F8,0,COLUMN(Database!CH8)*2-12)</f>
        <v>n.r.</v>
      </c>
      <c r="CL8" s="8" t="str">
        <f ca="1">OFFSET(Database!$F8,0,COLUMN(Database!CI8)*2-12)</f>
        <v>n.r.</v>
      </c>
      <c r="CM8" s="8" t="str">
        <f ca="1">OFFSET(Database!$F8,0,COLUMN(Database!CJ8)*2-12)</f>
        <v>n.r.</v>
      </c>
      <c r="CN8" s="8" t="str">
        <f ca="1">OFFSET(Database!$F8,0,COLUMN(Database!CK8)*2-12)</f>
        <v>n.r.</v>
      </c>
      <c r="CO8" s="8" t="str">
        <f ca="1">OFFSET(Database!$F8,0,COLUMN(Database!CL8)*2-12)</f>
        <v>n.r.</v>
      </c>
      <c r="CP8" s="8" t="str">
        <f ca="1">OFFSET(Database!$F8,0,COLUMN(Database!CM8)*2-12)</f>
        <v>n.r.</v>
      </c>
      <c r="CQ8" s="8" t="str">
        <f ca="1">OFFSET(Database!$F8,0,COLUMN(Database!CN8)*2-12)</f>
        <v>n.r.</v>
      </c>
      <c r="CR8" s="8" t="str">
        <f ca="1">OFFSET(Database!$F8,0,COLUMN(Database!CO8)*2-12)</f>
        <v>n.r.</v>
      </c>
      <c r="CS8" s="8" t="str">
        <f ca="1">OFFSET(Database!$F8,0,COLUMN(Database!CP8)*2-12)</f>
        <v>n.r.</v>
      </c>
      <c r="CT8" s="8" t="str">
        <f ca="1">OFFSET(Database!$F8,0,COLUMN(Database!CQ8)*2-12)</f>
        <v>n.r.</v>
      </c>
      <c r="CU8" s="8" t="str">
        <f ca="1">OFFSET(Database!$F8,0,COLUMN(Database!CR8)*2-12)</f>
        <v>n.r.</v>
      </c>
      <c r="CV8" s="8" t="str">
        <f ca="1">OFFSET(Database!$F8,0,COLUMN(Database!CS8)*2-12)</f>
        <v>n.r.</v>
      </c>
      <c r="CW8" s="8" t="str">
        <f ca="1">OFFSET(Database!$F8,0,COLUMN(Database!CT8)*2-12)</f>
        <v>n.r.</v>
      </c>
      <c r="CX8" s="8" t="str">
        <f ca="1">OFFSET(Database!$F8,0,COLUMN(Database!CU8)*2-12)</f>
        <v>n.r.</v>
      </c>
      <c r="CY8" s="8" t="str">
        <f ca="1">OFFSET(Database!$F8,0,COLUMN(Database!CV8)*2-12)</f>
        <v>n.r.</v>
      </c>
      <c r="CZ8" s="8" t="str">
        <f ca="1">OFFSET(Database!$F8,0,COLUMN(Database!CW8)*2-12)</f>
        <v>n.r.</v>
      </c>
      <c r="DA8" s="8" t="str">
        <f ca="1">OFFSET(Database!$F8,0,COLUMN(Database!CX8)*2-12)</f>
        <v>n.r.</v>
      </c>
      <c r="DB8" s="8" t="str">
        <f ca="1">OFFSET(Database!$F8,0,COLUMN(Database!CY8)*2-12)</f>
        <v>n.r.</v>
      </c>
      <c r="DC8" s="8" t="str">
        <f ca="1">OFFSET(Database!$F8,0,COLUMN(Database!CZ8)*2-12)</f>
        <v>n.r.</v>
      </c>
      <c r="DD8" s="8" t="str">
        <f ca="1">OFFSET(Database!$F8,0,COLUMN(Database!DA8)*2-12)</f>
        <v>n.r.</v>
      </c>
      <c r="DE8" s="8" t="str">
        <f ca="1">OFFSET(Database!$F8,0,COLUMN(Database!DB8)*2-12)</f>
        <v>n.r.</v>
      </c>
      <c r="DF8" s="8" t="str">
        <f ca="1">OFFSET(Database!$F8,0,COLUMN(Database!DC8)*2-12)</f>
        <v>n.r.</v>
      </c>
      <c r="DG8" s="8" t="str">
        <f ca="1">OFFSET(Database!$F8,0,COLUMN(Database!DD8)*2-12)</f>
        <v>n.r.</v>
      </c>
      <c r="DH8" s="8" t="str">
        <f ca="1">OFFSET(Database!$F8,0,COLUMN(Database!DE8)*2-12)</f>
        <v>n.r.</v>
      </c>
      <c r="DI8" s="8" t="str">
        <f ca="1">OFFSET(Database!$F8,0,COLUMN(Database!DF8)*2-12)</f>
        <v>n.r.</v>
      </c>
      <c r="DJ8" s="8" t="str">
        <f ca="1">OFFSET(Database!$F8,0,COLUMN(Database!DG8)*2-12)</f>
        <v>n.r.</v>
      </c>
      <c r="DK8" s="8" t="str">
        <f ca="1">OFFSET(Database!$F8,0,COLUMN(Database!DH8)*2-12)</f>
        <v>n.r.</v>
      </c>
      <c r="DL8" s="8" t="str">
        <f ca="1">OFFSET(Database!$F8,0,COLUMN(Database!DI8)*2-12)</f>
        <v>n.r.</v>
      </c>
      <c r="DM8" s="8" t="str">
        <f ca="1">OFFSET(Database!$F8,0,COLUMN(Database!DJ8)*2-12)</f>
        <v>n.r.</v>
      </c>
      <c r="DN8" s="8" t="str">
        <f ca="1">OFFSET(Database!$F8,0,COLUMN(Database!DK8)*2-12)</f>
        <v>n.r.</v>
      </c>
      <c r="DO8" s="8" t="str">
        <f ca="1">OFFSET(Database!$F8,0,COLUMN(Database!DL8)*2-12)</f>
        <v>n.r.</v>
      </c>
      <c r="DP8" s="8" t="str">
        <f ca="1">OFFSET(Database!$F8,0,COLUMN(Database!DM8)*2-12)</f>
        <v>n.r.</v>
      </c>
      <c r="DQ8" s="8" t="str">
        <f ca="1">OFFSET(Database!$F8,0,COLUMN(Database!DN8)*2-12)</f>
        <v>n.r.</v>
      </c>
      <c r="DR8" s="8" t="str">
        <f ca="1">OFFSET(Database!$F8,0,COLUMN(Database!DO8)*2-12)</f>
        <v>n.r.</v>
      </c>
      <c r="DS8" s="8" t="str">
        <f ca="1">OFFSET(Database!$F8,0,COLUMN(Database!DP8)*2-12)</f>
        <v>n.r.</v>
      </c>
      <c r="DT8" s="8" t="str">
        <f ca="1">OFFSET(Database!$F8,0,COLUMN(Database!DQ8)*2-12)</f>
        <v>n.r.</v>
      </c>
      <c r="DU8" s="8" t="str">
        <f ca="1">OFFSET(Database!$F8,0,COLUMN(Database!DR8)*2-12)</f>
        <v>n.r.</v>
      </c>
      <c r="DV8" s="8" t="str">
        <f ca="1">OFFSET(Database!$F8,0,COLUMN(Database!DS8)*2-12)</f>
        <v>n.r.</v>
      </c>
      <c r="DW8" s="8">
        <f ca="1">OFFSET(Database!$F8,0,COLUMN(Database!DT8)*2-12)</f>
        <v>9.9</v>
      </c>
      <c r="DX8" s="8">
        <f ca="1">OFFSET(Database!$F8,0,COLUMN(Database!DU8)*2-12)</f>
        <v>4.0999999999999996</v>
      </c>
      <c r="DY8" s="8">
        <f ca="1">OFFSET(Database!$F8,0,COLUMN(Database!DV8)*2-12)</f>
        <v>4.8</v>
      </c>
      <c r="DZ8" s="8">
        <f ca="1">OFFSET(Database!$F8,0,COLUMN(Database!DW8)*2-12)</f>
        <v>20.8</v>
      </c>
      <c r="EA8" s="8">
        <f ca="1">OFFSET(Database!$F8,0,COLUMN(Database!DX8)*2-12)</f>
        <v>207</v>
      </c>
      <c r="EB8" s="8">
        <f ca="1">OFFSET(Database!$F8,0,COLUMN(Database!DY8)*2-12)</f>
        <v>3.31</v>
      </c>
      <c r="EC8" s="8" t="str">
        <f ca="1">OFFSET(Database!$F8,0,COLUMN(Database!DZ8)*2-12)</f>
        <v>n.r.</v>
      </c>
      <c r="ED8" s="8">
        <f ca="1">OFFSET(Database!$F8,0,COLUMN(Database!EA8)*2-12)</f>
        <v>10.73</v>
      </c>
      <c r="EE8" s="8">
        <f ca="1">OFFSET(Database!$F8,0,COLUMN(Database!EB8)*2-12)</f>
        <v>1440</v>
      </c>
      <c r="EF8" s="8">
        <f ca="1">OFFSET(Database!$F8,0,COLUMN(Database!EC8)*2-12)</f>
        <v>420</v>
      </c>
      <c r="EG8" s="8">
        <f ca="1">OFFSET(Database!$F8,0,COLUMN(Database!ED8)*2-12)</f>
        <v>980</v>
      </c>
      <c r="EH8" s="8">
        <f ca="1">OFFSET(Database!$F8,0,COLUMN(Database!EE8)*2-12)</f>
        <v>240</v>
      </c>
      <c r="EI8" s="8">
        <f ca="1">OFFSET(Database!$F8,0,COLUMN(Database!EF8)*2-12)</f>
        <v>0.22900000000000001</v>
      </c>
      <c r="EJ8" s="8">
        <f ca="1">OFFSET(Database!$F8,0,COLUMN(Database!EG8)*2-12)</f>
        <v>0.20499999999999999</v>
      </c>
      <c r="EK8" s="8">
        <f ca="1">OFFSET(Database!$F8,0,COLUMN(Database!EH8)*2-12)</f>
        <v>0.28599999999999998</v>
      </c>
      <c r="EL8" s="8">
        <f ca="1">OFFSET(Database!$F8,0,COLUMN(Database!EI8)*2-12)</f>
        <v>1.0549999999999999</v>
      </c>
      <c r="EM8" s="8">
        <f ca="1">OFFSET(Database!$F8,0,COLUMN(Database!EJ8)*2-12)</f>
        <v>0.77300000000000002</v>
      </c>
      <c r="EN8" s="8">
        <f ca="1">OFFSET(Database!$F8,0,COLUMN(Database!EK8)*2-12)</f>
        <v>0.59599999999999997</v>
      </c>
      <c r="EO8" s="8">
        <f ca="1">OFFSET(Database!$F8,0,COLUMN(Database!EL8)*2-12)</f>
        <v>0.76700000000000002</v>
      </c>
      <c r="EP8" s="8">
        <f ca="1">OFFSET(Database!$F8,0,COLUMN(Database!EM8)*2-12)</f>
        <v>0.73099999999999998</v>
      </c>
      <c r="EQ8" s="8">
        <f ca="1">OFFSET(Database!$F8,0,COLUMN(Database!EN8)*2-12)</f>
        <v>39.130000000000003</v>
      </c>
      <c r="ER8" s="8" t="str">
        <f ca="1">OFFSET(Database!$F8,0,COLUMN(Database!EO8)*2-12)</f>
        <v>n.r.</v>
      </c>
      <c r="ES8" s="8" t="str">
        <f ca="1">OFFSET(Database!$F8,0,COLUMN(Database!EP8)*2-12)</f>
        <v>n.r.</v>
      </c>
      <c r="ET8" s="8" t="str">
        <f ca="1">OFFSET(Database!$F8,0,COLUMN(Database!EQ8)*2-12)</f>
        <v>n.r.</v>
      </c>
      <c r="EU8" s="8" t="str">
        <f ca="1">OFFSET(Database!$F8,0,COLUMN(Database!ER8)*2-12)</f>
        <v>n.r.</v>
      </c>
      <c r="EV8" s="8" t="str">
        <f ca="1">OFFSET(Database!$F8,0,COLUMN(Database!ES8)*2-12)</f>
        <v>n.r.</v>
      </c>
      <c r="EW8" s="8">
        <f ca="1">OFFSET(Database!$F8,0,COLUMN(Database!ET8)*2-12)</f>
        <v>196500</v>
      </c>
      <c r="EX8" s="8">
        <f ca="1">OFFSET(Database!$F8,0,COLUMN(Database!EU8)*2-12)</f>
        <v>978000</v>
      </c>
      <c r="EY8" s="8">
        <f ca="1">OFFSET(Database!$F8,0,COLUMN(Database!EV8)*2-12)</f>
        <v>110200</v>
      </c>
      <c r="EZ8" s="8">
        <f ca="1">OFFSET(Database!$F8,0,COLUMN(Database!EW8)*2-12)</f>
        <v>151400</v>
      </c>
      <c r="FA8" s="8">
        <f ca="1">OFFSET(Database!$F8,0,COLUMN(Database!EX8)*2-12)</f>
        <v>409900</v>
      </c>
      <c r="FB8" s="8" t="str">
        <f ca="1">OFFSET(Database!$F8,0,COLUMN(Database!EY8)*2-12)</f>
        <v>n.r.</v>
      </c>
      <c r="FC8" s="8" t="str">
        <f ca="1">OFFSET(Database!$F8,0,COLUMN(Database!EZ8)*2-12)</f>
        <v>n.r.</v>
      </c>
      <c r="FD8" s="8" t="str">
        <f ca="1">OFFSET(Database!$F8,0,COLUMN(Database!FA8)*2-12)</f>
        <v>n.r.</v>
      </c>
      <c r="FE8" s="8" t="str">
        <f ca="1">OFFSET(Database!$F8,0,COLUMN(Database!FB8)*2-12)</f>
        <v>n.r.</v>
      </c>
      <c r="FF8" s="8" t="str">
        <f ca="1">OFFSET(Database!$F8,0,COLUMN(Database!FC8)*2-12)</f>
        <v>n.r.</v>
      </c>
      <c r="FG8" s="8">
        <f ca="1">OFFSET(Database!$F8,0,COLUMN(Database!FD8)*2-12)</f>
        <v>426534.96464249631</v>
      </c>
      <c r="FH8" s="8" t="str">
        <f ca="1">OFFSET(Database!$F8,0,COLUMN(Database!FE8)*2-12)</f>
        <v>n.r.</v>
      </c>
      <c r="FI8" s="8" t="str">
        <f ca="1">OFFSET(Database!$F8,0,COLUMN(Database!FF8)*2-12)</f>
        <v>n.r.</v>
      </c>
      <c r="FJ8" s="8" t="str">
        <f ca="1">OFFSET(Database!$F8,0,COLUMN(Database!FG8)*2-12)</f>
        <v>n.r.</v>
      </c>
      <c r="FK8" s="8">
        <f ca="1">OFFSET(Database!$F8,0,COLUMN(Database!FH8)*2-12)</f>
        <v>868784.37535076879</v>
      </c>
      <c r="FL8" s="8">
        <f ca="1">OFFSET(Database!$F8,0,COLUMN(Database!FI8)*2-12)</f>
        <v>423167.58334268717</v>
      </c>
      <c r="FM8" s="8">
        <f ca="1">OFFSET(Database!$F8,0,COLUMN(Database!FJ8)*2-12)</f>
        <v>149287.23762487373</v>
      </c>
      <c r="FN8" s="8">
        <f ca="1">OFFSET(Database!$F8,0,COLUMN(Database!FK8)*2-12)</f>
        <v>1751038.2759007744</v>
      </c>
      <c r="FO8" s="8">
        <f ca="1">OFFSET(Database!$F8,0,COLUMN(Database!FL8)*2-12)</f>
        <v>952968.90784599842</v>
      </c>
      <c r="FP8" s="8">
        <f ca="1">OFFSET(Database!$F8,0,COLUMN(Database!FM8)*2-12)</f>
        <v>1175216.0736334044</v>
      </c>
      <c r="FQ8" s="8">
        <f ca="1">OFFSET(Database!$F8,0,COLUMN(Database!FN8)*2-12)</f>
        <v>13918.509372544617</v>
      </c>
      <c r="FR8" s="8">
        <f ca="1">OFFSET(Database!$F8,0,COLUMN(Database!FO8)*2-12)</f>
        <v>17734.874845661689</v>
      </c>
      <c r="FS8" s="8">
        <f ca="1">OFFSET(Database!$F8,0,COLUMN(Database!FP8)*2-12)</f>
        <v>17847.120888988662</v>
      </c>
      <c r="FT8" s="8">
        <f ca="1">OFFSET(Database!$F8,0,COLUMN(Database!FQ8)*2-12)</f>
        <v>11673.588506005162</v>
      </c>
      <c r="FU8" s="8">
        <f ca="1">OFFSET(Database!$F8,0,COLUMN(Database!FR8)*2-12)</f>
        <v>12271</v>
      </c>
      <c r="FV8" s="8">
        <f ca="1">OFFSET(Database!$F8,0,COLUMN(Database!FS8)*2-12)</f>
        <v>13121</v>
      </c>
      <c r="FW8" s="8">
        <f ca="1">OFFSET(Database!$F8,0,COLUMN(Database!FT8)*2-12)</f>
        <v>14112</v>
      </c>
      <c r="FX8" s="8">
        <f ca="1">OFFSET(Database!$F8,0,COLUMN(Database!FU8)*2-12)</f>
        <v>12375</v>
      </c>
      <c r="FY8" s="8">
        <f ca="1">OFFSET(Database!$F8,0,COLUMN(Database!FV8)*2-12)</f>
        <v>15430</v>
      </c>
      <c r="FZ8" s="8">
        <f ca="1">OFFSET(Database!$F8,0,COLUMN(Database!FW8)*2-12)</f>
        <v>16349</v>
      </c>
      <c r="GA8" s="8">
        <f ca="1">OFFSET(Database!$F8,0,COLUMN(Database!FX8)*2-12)</f>
        <v>15494</v>
      </c>
      <c r="GB8" s="8">
        <f ca="1">OFFSET(Database!$F8,0,COLUMN(Database!FY8)*2-12)</f>
        <v>11449</v>
      </c>
      <c r="GC8" s="8">
        <f ca="1">OFFSET(Database!$F8,0,COLUMN(Database!FZ8)*2-12)</f>
        <v>13150</v>
      </c>
      <c r="GD8" s="8">
        <f ca="1">OFFSET(Database!$F8,0,COLUMN(Database!GA8)*2-12)</f>
        <v>12701</v>
      </c>
      <c r="GE8" s="8">
        <f ca="1">OFFSET(Database!$F8,0,COLUMN(Database!GB8)*2-12)</f>
        <v>9745</v>
      </c>
      <c r="GF8" s="8">
        <f ca="1">OFFSET(Database!$F8,0,COLUMN(Database!GC8)*2-12)</f>
        <v>13563</v>
      </c>
      <c r="GG8" s="8">
        <f ca="1">OFFSET(Database!$F8,0,COLUMN(Database!GD8)*2-12)</f>
        <v>1885.7335278931416</v>
      </c>
      <c r="GH8" s="8">
        <f ca="1">OFFSET(Database!$F8,0,COLUMN(Database!GE8)*2-12)</f>
        <v>4624.5369850712759</v>
      </c>
      <c r="GI8" s="8">
        <f ca="1">OFFSET(Database!$F8,0,COLUMN(Database!GF8)*2-12)</f>
        <v>7801.1000112246038</v>
      </c>
      <c r="GJ8" s="8">
        <f ca="1">OFFSET(Database!$F8,0,COLUMN(Database!GG8)*2-12)</f>
        <v>10753.170950723987</v>
      </c>
      <c r="GK8" s="8">
        <f ca="1">OFFSET(Database!$F8,0,COLUMN(Database!GH8)*2-12)</f>
        <v>126838.02895947917</v>
      </c>
      <c r="GL8" s="8">
        <f ca="1">OFFSET(Database!$F8,0,COLUMN(Database!GI8)*2-12)</f>
        <v>5275.5640363677176</v>
      </c>
      <c r="GM8" s="8">
        <f ca="1">OFFSET(Database!$F8,0,COLUMN(Database!GJ8)*2-12)</f>
        <v>1618.5879447749467</v>
      </c>
      <c r="GN8" s="8">
        <f ca="1">OFFSET(Database!$F8,0,COLUMN(Database!GK8)*2-12)</f>
        <v>661129.19519586931</v>
      </c>
      <c r="GO8" s="8" t="str">
        <f ca="1">OFFSET(Database!$F8,0,COLUMN(Database!GL8)*2-12)</f>
        <v>n.r.</v>
      </c>
      <c r="GP8" s="8" t="str">
        <f ca="1">OFFSET(Database!$F8,0,COLUMN(Database!GM8)*2-12)</f>
        <v>n.r.</v>
      </c>
    </row>
    <row r="9" spans="1:198" x14ac:dyDescent="0.2">
      <c r="A9" s="50" t="str">
        <f>Database!A9</f>
        <v>β-alanine</v>
      </c>
      <c r="B9" s="1" t="s">
        <v>860</v>
      </c>
      <c r="C9" s="4" t="str">
        <f>Database!B9</f>
        <v>β</v>
      </c>
      <c r="D9" s="4" t="str">
        <f>Database!C9</f>
        <v>Both</v>
      </c>
      <c r="E9" s="74">
        <f>Database!D9</f>
        <v>138</v>
      </c>
      <c r="F9" s="32" t="s">
        <v>897</v>
      </c>
      <c r="G9" s="1">
        <v>239</v>
      </c>
      <c r="H9" s="1">
        <f>Database!E9</f>
        <v>89.09</v>
      </c>
      <c r="I9" s="8">
        <f ca="1">OFFSET(Database!$F9,0,COLUMN(Database!F9)*2-12)</f>
        <v>5.3699999999999998E-2</v>
      </c>
      <c r="J9" s="8">
        <f ca="1">OFFSET(Database!$F9,0,COLUMN(Database!G9)*2-12)</f>
        <v>8.2100000000000006E-2</v>
      </c>
      <c r="K9" s="8">
        <f ca="1">OFFSET(Database!$F9,0,COLUMN(Database!H9)*2-12)</f>
        <v>5.6500000000000002E-2</v>
      </c>
      <c r="L9" s="8">
        <f ca="1">OFFSET(Database!$F9,0,COLUMN(Database!I9)*2-12)</f>
        <v>4.2799999999999998E-2</v>
      </c>
      <c r="M9" s="8">
        <f ca="1">OFFSET(Database!$F9,0,COLUMN(Database!J9)*2-12)</f>
        <v>3.7400000000000003E-2</v>
      </c>
      <c r="N9" s="8">
        <f ca="1">OFFSET(Database!$F9,0,COLUMN(Database!K9)*2-12)</f>
        <v>1.3694017285890672</v>
      </c>
      <c r="O9" s="8">
        <f ca="1">OFFSET(Database!$F9,0,COLUMN(Database!L9)*2-12)</f>
        <v>3.3</v>
      </c>
      <c r="P9" s="8">
        <f ca="1">OFFSET(Database!$F9,0,COLUMN(Database!M9)*2-12)</f>
        <v>3.55</v>
      </c>
      <c r="Q9" s="8">
        <f ca="1">OFFSET(Database!$F9,0,COLUMN(Database!N9)*2-12)</f>
        <v>26</v>
      </c>
      <c r="R9" s="8">
        <f ca="1">OFFSET(Database!$F9,0,COLUMN(Database!O9)*2-12)</f>
        <v>32.700000000000003</v>
      </c>
      <c r="S9" s="8">
        <f ca="1">OFFSET(Database!$F9,0,COLUMN(Database!P9)*2-12)</f>
        <v>33.7299360197553</v>
      </c>
      <c r="T9" s="8">
        <f ca="1">OFFSET(Database!$F9,0,COLUMN(Database!Q9)*2-12)</f>
        <v>46.7</v>
      </c>
      <c r="U9" s="8">
        <f ca="1">OFFSET(Database!$F9,0,COLUMN(Database!R9)*2-12)</f>
        <v>21.9</v>
      </c>
      <c r="V9" s="8">
        <f ca="1">OFFSET(Database!$F9,0,COLUMN(Database!S9)*2-12)</f>
        <v>2.0990010102143897</v>
      </c>
      <c r="W9" s="8">
        <f ca="1">OFFSET(Database!$F9,0,COLUMN(Database!T9)*2-12)</f>
        <v>1.3694017285890672</v>
      </c>
      <c r="X9" s="8">
        <f ca="1">OFFSET(Database!$F9,0,COLUMN(Database!U9)*2-12)</f>
        <v>12.133797283645752</v>
      </c>
      <c r="Y9" s="8">
        <f ca="1">OFFSET(Database!$F9,0,COLUMN(Database!V9)*2-12)</f>
        <v>6</v>
      </c>
      <c r="Z9" s="8">
        <f ca="1">OFFSET(Database!$F9,0,COLUMN(Database!W9)*2-12)</f>
        <v>16</v>
      </c>
      <c r="AA9" s="8">
        <f ca="1">OFFSET(Database!$F9,0,COLUMN(Database!X9)*2-12)</f>
        <v>15.5</v>
      </c>
      <c r="AB9" s="8">
        <f ca="1">OFFSET(Database!$F9,0,COLUMN(Database!Y9)*2-12)</f>
        <v>11.942979009989898</v>
      </c>
      <c r="AC9" s="8">
        <f ca="1">OFFSET(Database!$F9,0,COLUMN(Database!Z9)*2-12)</f>
        <v>15.927713548097429</v>
      </c>
      <c r="AD9" s="8">
        <f ca="1">OFFSET(Database!$F9,0,COLUMN(Database!AA9)*2-12)</f>
        <v>4.9612751150521941</v>
      </c>
      <c r="AE9" s="8">
        <f ca="1">OFFSET(Database!$F9,0,COLUMN(Database!AB9)*2-12)</f>
        <v>9.2154001571444599</v>
      </c>
      <c r="AF9" s="8">
        <f ca="1">OFFSET(Database!$F9,0,COLUMN(Database!AC9)*2-12)</f>
        <v>21</v>
      </c>
      <c r="AG9" s="8" t="str">
        <f ca="1">OFFSET(Database!$F9,0,COLUMN(Database!AD9)*2-12)</f>
        <v>&lt;0.01</v>
      </c>
      <c r="AH9" s="8">
        <f ca="1">OFFSET(Database!$F9,0,COLUMN(Database!AE9)*2-12)</f>
        <v>2.5</v>
      </c>
      <c r="AI9" s="8">
        <f ca="1">OFFSET(Database!$F9,0,COLUMN(Database!AF9)*2-12)</f>
        <v>0.51</v>
      </c>
      <c r="AJ9" s="8">
        <f ca="1">OFFSET(Database!$F9,0,COLUMN(Database!AG9)*2-12)</f>
        <v>0.53</v>
      </c>
      <c r="AK9" s="8">
        <f ca="1">OFFSET(Database!$F9,0,COLUMN(Database!AH9)*2-12)</f>
        <v>2.04</v>
      </c>
      <c r="AL9" s="8">
        <f ca="1">OFFSET(Database!$F9,0,COLUMN(Database!AI9)*2-12)</f>
        <v>14</v>
      </c>
      <c r="AM9" s="8">
        <f ca="1">OFFSET(Database!$F9,0,COLUMN(Database!AJ9)*2-12)</f>
        <v>3.4</v>
      </c>
      <c r="AN9" s="8">
        <f ca="1">OFFSET(Database!$F9,0,COLUMN(Database!AK9)*2-12)</f>
        <v>10</v>
      </c>
      <c r="AO9" s="8">
        <f ca="1">OFFSET(Database!$F9,0,COLUMN(Database!AL9)*2-12)</f>
        <v>30.665619036928948</v>
      </c>
      <c r="AP9" s="8">
        <f ca="1">OFFSET(Database!$F9,0,COLUMN(Database!AM9)*2-12)</f>
        <v>29.2</v>
      </c>
      <c r="AQ9" s="8">
        <f ca="1">OFFSET(Database!$F9,0,COLUMN(Database!AN9)*2-12)</f>
        <v>0.36</v>
      </c>
      <c r="AR9" s="8">
        <f ca="1">OFFSET(Database!$F9,0,COLUMN(Database!AO9)*2-12)</f>
        <v>0.19</v>
      </c>
      <c r="AS9" s="8">
        <f ca="1">OFFSET(Database!$F9,0,COLUMN(Database!AP9)*2-12)</f>
        <v>1.156134246267819</v>
      </c>
      <c r="AT9" s="8">
        <f ca="1">OFFSET(Database!$F9,0,COLUMN(Database!AQ9)*2-12)</f>
        <v>1.0214389942754518</v>
      </c>
      <c r="AU9" s="8">
        <f ca="1">OFFSET(Database!$F9,0,COLUMN(Database!AR9)*2-12)</f>
        <v>1.773487484566169</v>
      </c>
      <c r="AV9" s="8">
        <f ca="1">OFFSET(Database!$F9,0,COLUMN(Database!AS9)*2-12)</f>
        <v>1.8071612975642608</v>
      </c>
      <c r="AW9" s="8">
        <f ca="1">OFFSET(Database!$F9,0,COLUMN(Database!AT9)*2-12)</f>
        <v>1.1449096419351217</v>
      </c>
      <c r="AX9" s="8">
        <f ca="1">OFFSET(Database!$F9,0,COLUMN(Database!AU9)*2-12)</f>
        <v>0.19081827365585363</v>
      </c>
      <c r="AY9" s="8">
        <f ca="1">OFFSET(Database!$F9,0,COLUMN(Database!AV9)*2-12)</f>
        <v>1.2571556852620944</v>
      </c>
      <c r="AZ9" s="8">
        <f ca="1">OFFSET(Database!$F9,0,COLUMN(Database!AW9)*2-12)</f>
        <v>1.6163430239084071</v>
      </c>
      <c r="BA9" s="8">
        <f ca="1">OFFSET(Database!$F9,0,COLUMN(Database!AX9)*2-12)</f>
        <v>3.0418677741609605</v>
      </c>
      <c r="BB9" s="8">
        <f ca="1">OFFSET(Database!$F9,0,COLUMN(Database!AY9)*2-12)</f>
        <v>2.0316533842182061</v>
      </c>
      <c r="BC9" s="8">
        <f ca="1">OFFSET(Database!$F9,0,COLUMN(Database!AZ9)*2-12)</f>
        <v>5.6123021663486358E-2</v>
      </c>
      <c r="BD9" s="8">
        <f ca="1">OFFSET(Database!$F9,0,COLUMN(Database!BA9)*2-12)</f>
        <v>3.3112582781456954</v>
      </c>
      <c r="BE9" s="8">
        <f ca="1">OFFSET(Database!$F9,0,COLUMN(Database!BB9)*2-12)</f>
        <v>3.1316646088225388</v>
      </c>
      <c r="BF9" s="8">
        <f ca="1">OFFSET(Database!$F9,0,COLUMN(Database!BC9)*2-12)</f>
        <v>0.14591985632506455</v>
      </c>
      <c r="BG9" s="8">
        <f ca="1">OFFSET(Database!$F9,0,COLUMN(Database!BD9)*2-12)</f>
        <v>0.65102705129644178</v>
      </c>
      <c r="BH9" s="8">
        <f ca="1">OFFSET(Database!$F9,0,COLUMN(Database!BE9)*2-12)</f>
        <v>1.3649118868559882</v>
      </c>
      <c r="BI9" s="8">
        <f ca="1">OFFSET(Database!$F9,0,COLUMN(Database!BF9)*2-12)</f>
        <v>0.1739813671568077</v>
      </c>
      <c r="BJ9" s="8">
        <f ca="1">OFFSET(Database!$F9,0,COLUMN(Database!BG9)*2-12)</f>
        <v>12.268492535638119</v>
      </c>
      <c r="BK9" s="8">
        <f ca="1">OFFSET(Database!$F9,0,COLUMN(Database!BH9)*2-12)</f>
        <v>42.855539342238181</v>
      </c>
      <c r="BL9" s="8">
        <f ca="1">OFFSET(Database!$F9,0,COLUMN(Database!BI9)*2-12)</f>
        <v>47.345381075317093</v>
      </c>
      <c r="BM9" s="8">
        <f ca="1">OFFSET(Database!$F9,0,COLUMN(Database!BJ9)*2-12)</f>
        <v>0.28061510831743181</v>
      </c>
      <c r="BN9" s="8">
        <f ca="1">OFFSET(Database!$F9,0,COLUMN(Database!BK9)*2-12)</f>
        <v>2.9969693568301716</v>
      </c>
      <c r="BO9" s="8">
        <f ca="1">OFFSET(Database!$F9,0,COLUMN(Database!BL9)*2-12)</f>
        <v>0.31428892131552361</v>
      </c>
      <c r="BP9" s="8">
        <f ca="1">OFFSET(Database!$F9,0,COLUMN(Database!BM9)*2-12)</f>
        <v>8.2388595801997973</v>
      </c>
      <c r="BQ9" s="8">
        <f ca="1">OFFSET(Database!$F9,0,COLUMN(Database!BN9)*2-12)</f>
        <v>0.20204287798855089</v>
      </c>
      <c r="BR9" s="8">
        <f ca="1">OFFSET(Database!$F9,0,COLUMN(Database!BO9)*2-12)</f>
        <v>7.071500729599281E-2</v>
      </c>
      <c r="BS9" s="8">
        <f ca="1">OFFSET(Database!$F9,0,COLUMN(Database!BP9)*2-12)</f>
        <v>1.8183859018969581</v>
      </c>
      <c r="BT9" s="8">
        <f ca="1">OFFSET(Database!$F9,0,COLUMN(Database!BQ9)*2-12)</f>
        <v>0.21326748232124818</v>
      </c>
      <c r="BU9" s="8">
        <f ca="1">OFFSET(Database!$F9,0,COLUMN(Database!BR9)*2-12)</f>
        <v>1.1336850376024246</v>
      </c>
      <c r="BV9" s="8">
        <f ca="1">OFFSET(Database!$F9,0,COLUMN(Database!BS9)*2-12)</f>
        <v>0.13469525199236726</v>
      </c>
      <c r="BW9" s="8">
        <f ca="1">OFFSET(Database!$F9,0,COLUMN(Database!BT9)*2-12)</f>
        <v>2.7000000000000001E-3</v>
      </c>
      <c r="BX9" s="8" t="str">
        <f ca="1">OFFSET(Database!$F9,0,COLUMN(Database!BU9)*2-12)</f>
        <v>&lt;0.0001</v>
      </c>
      <c r="BY9" s="8">
        <f ca="1">OFFSET(Database!$F9,0,COLUMN(Database!BV9)*2-12)</f>
        <v>1.0699999999999999E-2</v>
      </c>
      <c r="BZ9" s="8">
        <f ca="1">OFFSET(Database!$F9,0,COLUMN(Database!BW9)*2-12)</f>
        <v>3.8174879335503427</v>
      </c>
      <c r="CA9" s="8">
        <f ca="1">OFFSET(Database!$F9,0,COLUMN(Database!BX9)*2-12)</f>
        <v>2.6097205073521157</v>
      </c>
      <c r="CB9" s="8">
        <f ca="1">OFFSET(Database!$F9,0,COLUMN(Database!BY9)*2-12)</f>
        <v>0.20204287798855089</v>
      </c>
      <c r="CC9" s="8">
        <f ca="1">OFFSET(Database!$F9,0,COLUMN(Database!BZ9)*2-12)</f>
        <v>0.50510719497137724</v>
      </c>
      <c r="CD9" s="8">
        <f ca="1">OFFSET(Database!$F9,0,COLUMN(Database!CA9)*2-12)</f>
        <v>4.6020877764058811E-2</v>
      </c>
      <c r="CE9" s="8">
        <f ca="1">OFFSET(Database!$F9,0,COLUMN(Database!CB9)*2-12)</f>
        <v>0.19081827365585363</v>
      </c>
      <c r="CF9" s="8">
        <f ca="1">OFFSET(Database!$F9,0,COLUMN(Database!CC9)*2-12)</f>
        <v>0.21326748232124818</v>
      </c>
      <c r="CG9" s="8">
        <f ca="1">OFFSET(Database!$F9,0,COLUMN(Database!CD9)*2-12)</f>
        <v>2.6939050398473451E-2</v>
      </c>
      <c r="CH9" s="8">
        <f ca="1">OFFSET(Database!$F9,0,COLUMN(Database!CE9)*2-12)</f>
        <v>2.1326748232124815E-2</v>
      </c>
      <c r="CI9" s="8">
        <f ca="1">OFFSET(Database!$F9,0,COLUMN(Database!CF9)*2-12)</f>
        <v>1.3806263329217645</v>
      </c>
      <c r="CJ9" s="8">
        <f ca="1">OFFSET(Database!$F9,0,COLUMN(Database!CG9)*2-12)</f>
        <v>0.48265798630598272</v>
      </c>
      <c r="CK9" s="8">
        <f ca="1">OFFSET(Database!$F9,0,COLUMN(Database!CH9)*2-12)</f>
        <v>2.2449208665394543E-2</v>
      </c>
      <c r="CL9" s="8">
        <f ca="1">OFFSET(Database!$F9,0,COLUMN(Database!CI9)*2-12)</f>
        <v>7.8572230328880902E-2</v>
      </c>
      <c r="CM9" s="8">
        <f ca="1">OFFSET(Database!$F9,0,COLUMN(Database!CJ9)*2-12)</f>
        <v>3.3673812998091815E-2</v>
      </c>
      <c r="CN9" s="8">
        <f ca="1">OFFSET(Database!$F9,0,COLUMN(Database!CK9)*2-12)</f>
        <v>0.31428892131552361</v>
      </c>
      <c r="CO9" s="8">
        <f ca="1">OFFSET(Database!$F9,0,COLUMN(Database!CL9)*2-12)</f>
        <v>0.24694129531933998</v>
      </c>
      <c r="CP9" s="8">
        <f ca="1">OFFSET(Database!$F9,0,COLUMN(Database!CM9)*2-12)</f>
        <v>0.21</v>
      </c>
      <c r="CQ9" s="8">
        <f ca="1">OFFSET(Database!$F9,0,COLUMN(Database!CN9)*2-12)</f>
        <v>0.25</v>
      </c>
      <c r="CR9" s="8">
        <f ca="1">OFFSET(Database!$F9,0,COLUMN(Database!CO9)*2-12)</f>
        <v>1.1000000000000001</v>
      </c>
      <c r="CS9" s="8" t="str">
        <f ca="1">OFFSET(Database!$F9,0,COLUMN(Database!CP9)*2-12)</f>
        <v>&lt;0.1</v>
      </c>
      <c r="CT9" s="8" t="str">
        <f ca="1">OFFSET(Database!$F9,0,COLUMN(Database!CQ9)*2-12)</f>
        <v>&lt;0.1</v>
      </c>
      <c r="CU9" s="8" t="str">
        <f ca="1">OFFSET(Database!$F9,0,COLUMN(Database!CR9)*2-12)</f>
        <v>&lt;0.1</v>
      </c>
      <c r="CV9" s="8">
        <f ca="1">OFFSET(Database!$F9,0,COLUMN(Database!CS9)*2-12)</f>
        <v>0.1</v>
      </c>
      <c r="CW9" s="8">
        <f ca="1">OFFSET(Database!$F9,0,COLUMN(Database!CT9)*2-12)</f>
        <v>0.68</v>
      </c>
      <c r="CX9" s="8">
        <f ca="1">OFFSET(Database!$F9,0,COLUMN(Database!CU9)*2-12)</f>
        <v>0.35</v>
      </c>
      <c r="CY9" s="8">
        <f ca="1">OFFSET(Database!$F9,0,COLUMN(Database!CV9)*2-12)</f>
        <v>1.1000000000000001</v>
      </c>
      <c r="CZ9" s="8">
        <f ca="1">OFFSET(Database!$F9,0,COLUMN(Database!CW9)*2-12)</f>
        <v>1.99</v>
      </c>
      <c r="DA9" s="8">
        <f ca="1">OFFSET(Database!$F9,0,COLUMN(Database!CX9)*2-12)</f>
        <v>2.44</v>
      </c>
      <c r="DB9" s="8">
        <f ca="1">OFFSET(Database!$F9,0,COLUMN(Database!CY9)*2-12)</f>
        <v>3.3</v>
      </c>
      <c r="DC9" s="8">
        <f ca="1">OFFSET(Database!$F9,0,COLUMN(Database!CZ9)*2-12)</f>
        <v>3.6</v>
      </c>
      <c r="DD9" s="8">
        <f ca="1">OFFSET(Database!$F9,0,COLUMN(Database!DA9)*2-12)</f>
        <v>3.3</v>
      </c>
      <c r="DE9" s="8">
        <f ca="1">OFFSET(Database!$F9,0,COLUMN(Database!DB9)*2-12)</f>
        <v>0.66225165562913901</v>
      </c>
      <c r="DF9" s="8">
        <f ca="1">OFFSET(Database!$F9,0,COLUMN(Database!DC9)*2-12)</f>
        <v>2.7706</v>
      </c>
      <c r="DG9" s="8">
        <f ca="1">OFFSET(Database!$F9,0,COLUMN(Database!DD9)*2-12)</f>
        <v>1.7261</v>
      </c>
      <c r="DH9" s="8">
        <f ca="1">OFFSET(Database!$F9,0,COLUMN(Database!DE9)*2-12)</f>
        <v>10.071999999999999</v>
      </c>
      <c r="DI9" s="8">
        <f ca="1">OFFSET(Database!$F9,0,COLUMN(Database!DF9)*2-12)</f>
        <v>14.559200000000001</v>
      </c>
      <c r="DJ9" s="8">
        <f ca="1">OFFSET(Database!$F9,0,COLUMN(Database!DG9)*2-12)</f>
        <v>26.9636</v>
      </c>
      <c r="DK9" s="8">
        <f ca="1">OFFSET(Database!$F9,0,COLUMN(Database!DH9)*2-12)</f>
        <v>1.8149</v>
      </c>
      <c r="DL9" s="8">
        <f ca="1">OFFSET(Database!$F9,0,COLUMN(Database!DI9)*2-12)</f>
        <v>2.2183000000000002</v>
      </c>
      <c r="DM9" s="8">
        <f ca="1">OFFSET(Database!$F9,0,COLUMN(Database!DJ9)*2-12)</f>
        <v>7.1848000000000001</v>
      </c>
      <c r="DN9" s="8">
        <f ca="1">OFFSET(Database!$F9,0,COLUMN(Database!DK9)*2-12)</f>
        <v>28</v>
      </c>
      <c r="DO9" s="8">
        <f ca="1">OFFSET(Database!$F9,0,COLUMN(Database!DL9)*2-12)</f>
        <v>27</v>
      </c>
      <c r="DP9" s="8">
        <f ca="1">OFFSET(Database!$F9,0,COLUMN(Database!DM9)*2-12)</f>
        <v>11.6</v>
      </c>
      <c r="DQ9" s="8" t="str">
        <f ca="1">OFFSET(Database!$F9,0,COLUMN(Database!DN9)*2-12)</f>
        <v>b.b.</v>
      </c>
      <c r="DR9" s="8" t="str">
        <f ca="1">OFFSET(Database!$F9,0,COLUMN(Database!DO9)*2-12)</f>
        <v>b.b.</v>
      </c>
      <c r="DS9" s="8" t="str">
        <f ca="1">OFFSET(Database!$F9,0,COLUMN(Database!DP9)*2-12)</f>
        <v>b.d.</v>
      </c>
      <c r="DT9" s="8">
        <f ca="1">OFFSET(Database!$F9,0,COLUMN(Database!DQ9)*2-12)</f>
        <v>9</v>
      </c>
      <c r="DU9" s="8">
        <f ca="1">OFFSET(Database!$F9,0,COLUMN(Database!DR9)*2-12)</f>
        <v>3.2345000000000002</v>
      </c>
      <c r="DV9" s="8">
        <f ca="1">OFFSET(Database!$F9,0,COLUMN(Database!DS9)*2-12)</f>
        <v>0.19750000000000001</v>
      </c>
      <c r="DW9" s="8">
        <f ca="1">OFFSET(Database!$F9,0,COLUMN(Database!DT9)*2-12)</f>
        <v>20</v>
      </c>
      <c r="DX9" s="8">
        <f ca="1">OFFSET(Database!$F9,0,COLUMN(Database!DU9)*2-12)</f>
        <v>0.4</v>
      </c>
      <c r="DY9" s="8">
        <f ca="1">OFFSET(Database!$F9,0,COLUMN(Database!DV9)*2-12)</f>
        <v>0.5</v>
      </c>
      <c r="DZ9" s="8">
        <f ca="1">OFFSET(Database!$F9,0,COLUMN(Database!DW9)*2-12)</f>
        <v>0.1</v>
      </c>
      <c r="EA9" s="8">
        <f ca="1">OFFSET(Database!$F9,0,COLUMN(Database!DX9)*2-12)</f>
        <v>16</v>
      </c>
      <c r="EB9" s="8" t="str">
        <f ca="1">OFFSET(Database!$F9,0,COLUMN(Database!DY9)*2-12)</f>
        <v>n.r.</v>
      </c>
      <c r="EC9" s="8" t="str">
        <f ca="1">OFFSET(Database!$F9,0,COLUMN(Database!DZ9)*2-12)</f>
        <v>&lt;0.6</v>
      </c>
      <c r="ED9" s="8" t="str">
        <f ca="1">OFFSET(Database!$F9,0,COLUMN(Database!EA9)*2-12)</f>
        <v>n.r</v>
      </c>
      <c r="EE9" s="8" t="str">
        <f ca="1">OFFSET(Database!$F9,0,COLUMN(Database!EB9)*2-12)</f>
        <v>n.r.</v>
      </c>
      <c r="EF9" s="8" t="str">
        <f ca="1">OFFSET(Database!$F9,0,COLUMN(Database!EC9)*2-12)</f>
        <v>n.r.</v>
      </c>
      <c r="EG9" s="8" t="str">
        <f ca="1">OFFSET(Database!$F9,0,COLUMN(Database!ED9)*2-12)</f>
        <v>n.r.</v>
      </c>
      <c r="EH9" s="8" t="str">
        <f ca="1">OFFSET(Database!$F9,0,COLUMN(Database!EE9)*2-12)</f>
        <v>n.r.</v>
      </c>
      <c r="EI9" s="8">
        <f ca="1">OFFSET(Database!$F9,0,COLUMN(Database!EF9)*2-12)</f>
        <v>3.5999999999999997E-2</v>
      </c>
      <c r="EJ9" s="8">
        <f ca="1">OFFSET(Database!$F9,0,COLUMN(Database!EG9)*2-12)</f>
        <v>3.4000000000000002E-2</v>
      </c>
      <c r="EK9" s="8">
        <f ca="1">OFFSET(Database!$F9,0,COLUMN(Database!EH9)*2-12)</f>
        <v>5.6000000000000001E-2</v>
      </c>
      <c r="EL9" s="8">
        <f ca="1">OFFSET(Database!$F9,0,COLUMN(Database!EI9)*2-12)</f>
        <v>9.2999999999999999E-2</v>
      </c>
      <c r="EM9" s="8">
        <f ca="1">OFFSET(Database!$F9,0,COLUMN(Database!EJ9)*2-12)</f>
        <v>4.5999999999999999E-2</v>
      </c>
      <c r="EN9" s="8">
        <f ca="1">OFFSET(Database!$F9,0,COLUMN(Database!EK9)*2-12)</f>
        <v>5.0999999999999997E-2</v>
      </c>
      <c r="EO9" s="8">
        <f ca="1">OFFSET(Database!$F9,0,COLUMN(Database!EL9)*2-12)</f>
        <v>8.4000000000000005E-2</v>
      </c>
      <c r="EP9" s="8">
        <f ca="1">OFFSET(Database!$F9,0,COLUMN(Database!EM9)*2-12)</f>
        <v>0.10299999999999999</v>
      </c>
      <c r="EQ9" s="8">
        <f ca="1">OFFSET(Database!$F9,0,COLUMN(Database!EN9)*2-12)</f>
        <v>0.5</v>
      </c>
      <c r="ER9" s="8" t="str">
        <f ca="1">OFFSET(Database!$F9,0,COLUMN(Database!EO9)*2-12)</f>
        <v>n.r.</v>
      </c>
      <c r="ES9" s="8" t="str">
        <f ca="1">OFFSET(Database!$F9,0,COLUMN(Database!EP9)*2-12)</f>
        <v>n.r.</v>
      </c>
      <c r="ET9" s="8" t="str">
        <f ca="1">OFFSET(Database!$F9,0,COLUMN(Database!EQ9)*2-12)</f>
        <v>n.r.</v>
      </c>
      <c r="EU9" s="8" t="str">
        <f ca="1">OFFSET(Database!$F9,0,COLUMN(Database!ER9)*2-12)</f>
        <v>n.r.</v>
      </c>
      <c r="EV9" s="8" t="str">
        <f ca="1">OFFSET(Database!$F9,0,COLUMN(Database!ES9)*2-12)</f>
        <v>n.r.</v>
      </c>
      <c r="EW9" s="8" t="str">
        <f ca="1">OFFSET(Database!$F9,0,COLUMN(Database!ET9)*2-12)</f>
        <v>n.r.</v>
      </c>
      <c r="EX9" s="8" t="str">
        <f ca="1">OFFSET(Database!$F9,0,COLUMN(Database!EU9)*2-12)</f>
        <v>n.r.</v>
      </c>
      <c r="EY9" s="8" t="str">
        <f ca="1">OFFSET(Database!$F9,0,COLUMN(Database!EV9)*2-12)</f>
        <v>n.r.</v>
      </c>
      <c r="EZ9" s="8" t="str">
        <f ca="1">OFFSET(Database!$F9,0,COLUMN(Database!EW9)*2-12)</f>
        <v>n.r.</v>
      </c>
      <c r="FA9" s="8" t="str">
        <f ca="1">OFFSET(Database!$F9,0,COLUMN(Database!EX9)*2-12)</f>
        <v>n.r.</v>
      </c>
      <c r="FB9" s="8" t="str">
        <f ca="1">OFFSET(Database!$F9,0,COLUMN(Database!EY9)*2-12)</f>
        <v>n.r.</v>
      </c>
      <c r="FC9" s="8" t="str">
        <f ca="1">OFFSET(Database!$F9,0,COLUMN(Database!EZ9)*2-12)</f>
        <v>n.r.</v>
      </c>
      <c r="FD9" s="8" t="str">
        <f ca="1">OFFSET(Database!$F9,0,COLUMN(Database!FA9)*2-12)</f>
        <v>n.r.</v>
      </c>
      <c r="FE9" s="8" t="str">
        <f ca="1">OFFSET(Database!$F9,0,COLUMN(Database!FB9)*2-12)</f>
        <v>n.r.</v>
      </c>
      <c r="FF9" s="8" t="str">
        <f ca="1">OFFSET(Database!$F9,0,COLUMN(Database!FC9)*2-12)</f>
        <v>n.r.</v>
      </c>
      <c r="FG9" s="8" t="str">
        <f ca="1">OFFSET(Database!$F9,0,COLUMN(Database!FD9)*2-12)</f>
        <v>n.r.</v>
      </c>
      <c r="FH9" s="8" t="str">
        <f ca="1">OFFSET(Database!$F9,0,COLUMN(Database!FE9)*2-12)</f>
        <v>n.r.</v>
      </c>
      <c r="FI9" s="8" t="str">
        <f ca="1">OFFSET(Database!$F9,0,COLUMN(Database!FF9)*2-12)</f>
        <v>n.r.</v>
      </c>
      <c r="FJ9" s="8" t="str">
        <f ca="1">OFFSET(Database!$F9,0,COLUMN(Database!FG9)*2-12)</f>
        <v>n.r.</v>
      </c>
      <c r="FK9" s="8" t="str">
        <f ca="1">OFFSET(Database!$F9,0,COLUMN(Database!FH9)*2-12)</f>
        <v>n.r.</v>
      </c>
      <c r="FL9" s="8" t="str">
        <f ca="1">OFFSET(Database!$F9,0,COLUMN(Database!FI9)*2-12)</f>
        <v>n.r.</v>
      </c>
      <c r="FM9" s="8" t="str">
        <f ca="1">OFFSET(Database!$F9,0,COLUMN(Database!FJ9)*2-12)</f>
        <v>n.r.</v>
      </c>
      <c r="FN9" s="8" t="str">
        <f ca="1">OFFSET(Database!$F9,0,COLUMN(Database!FK9)*2-12)</f>
        <v>n.r.</v>
      </c>
      <c r="FO9" s="8" t="str">
        <f ca="1">OFFSET(Database!$F9,0,COLUMN(Database!FL9)*2-12)</f>
        <v>n.r.</v>
      </c>
      <c r="FP9" s="8" t="str">
        <f ca="1">OFFSET(Database!$F9,0,COLUMN(Database!FM9)*2-12)</f>
        <v>n.r.</v>
      </c>
      <c r="FQ9" s="8" t="str">
        <f ca="1">OFFSET(Database!$F9,0,COLUMN(Database!FN9)*2-12)</f>
        <v>n.r.</v>
      </c>
      <c r="FR9" s="8" t="str">
        <f ca="1">OFFSET(Database!$F9,0,COLUMN(Database!FO9)*2-12)</f>
        <v>n.r.</v>
      </c>
      <c r="FS9" s="8" t="str">
        <f ca="1">OFFSET(Database!$F9,0,COLUMN(Database!FP9)*2-12)</f>
        <v>n.r.</v>
      </c>
      <c r="FT9" s="8" t="str">
        <f ca="1">OFFSET(Database!$F9,0,COLUMN(Database!FQ9)*2-12)</f>
        <v>n.r.</v>
      </c>
      <c r="FU9" s="8">
        <f ca="1">OFFSET(Database!$F9,0,COLUMN(Database!FR9)*2-12)</f>
        <v>248</v>
      </c>
      <c r="FV9" s="8">
        <f ca="1">OFFSET(Database!$F9,0,COLUMN(Database!FS9)*2-12)</f>
        <v>332</v>
      </c>
      <c r="FW9" s="8">
        <f ca="1">OFFSET(Database!$F9,0,COLUMN(Database!FT9)*2-12)</f>
        <v>571</v>
      </c>
      <c r="FX9" s="8">
        <f ca="1">OFFSET(Database!$F9,0,COLUMN(Database!FU9)*2-12)</f>
        <v>390</v>
      </c>
      <c r="FY9" s="8">
        <f ca="1">OFFSET(Database!$F9,0,COLUMN(Database!FV9)*2-12)</f>
        <v>240</v>
      </c>
      <c r="FZ9" s="8">
        <f ca="1">OFFSET(Database!$F9,0,COLUMN(Database!FW9)*2-12)</f>
        <v>561</v>
      </c>
      <c r="GA9" s="8">
        <f ca="1">OFFSET(Database!$F9,0,COLUMN(Database!FX9)*2-12)</f>
        <v>518</v>
      </c>
      <c r="GB9" s="8">
        <f ca="1">OFFSET(Database!$F9,0,COLUMN(Database!FY9)*2-12)</f>
        <v>179</v>
      </c>
      <c r="GC9" s="8">
        <f ca="1">OFFSET(Database!$F9,0,COLUMN(Database!FZ9)*2-12)</f>
        <v>495</v>
      </c>
      <c r="GD9" s="8">
        <f ca="1">OFFSET(Database!$F9,0,COLUMN(Database!GA9)*2-12)</f>
        <v>357</v>
      </c>
      <c r="GE9" s="8">
        <f ca="1">OFFSET(Database!$F9,0,COLUMN(Database!GB9)*2-12)</f>
        <v>115</v>
      </c>
      <c r="GF9" s="8">
        <f ca="1">OFFSET(Database!$F9,0,COLUMN(Database!GC9)*2-12)</f>
        <v>389</v>
      </c>
      <c r="GG9" s="8" t="str">
        <f ca="1">OFFSET(Database!$F9,0,COLUMN(Database!GD9)*2-12)</f>
        <v>n.r.</v>
      </c>
      <c r="GH9" s="8" t="str">
        <f ca="1">OFFSET(Database!$F9,0,COLUMN(Database!GE9)*2-12)</f>
        <v>n.r.</v>
      </c>
      <c r="GI9" s="8" t="str">
        <f ca="1">OFFSET(Database!$F9,0,COLUMN(Database!GF9)*2-12)</f>
        <v>n.r.</v>
      </c>
      <c r="GJ9" s="8" t="str">
        <f ca="1">OFFSET(Database!$F9,0,COLUMN(Database!GG9)*2-12)</f>
        <v>n.r.</v>
      </c>
      <c r="GK9" s="8" t="str">
        <f ca="1">OFFSET(Database!$F9,0,COLUMN(Database!GH9)*2-12)</f>
        <v>n.r.</v>
      </c>
      <c r="GL9" s="8" t="str">
        <f ca="1">OFFSET(Database!$F9,0,COLUMN(Database!GI9)*2-12)</f>
        <v>n.r.</v>
      </c>
      <c r="GM9" s="8" t="str">
        <f ca="1">OFFSET(Database!$F9,0,COLUMN(Database!GJ9)*2-12)</f>
        <v>n.r.</v>
      </c>
      <c r="GN9" s="8" t="str">
        <f ca="1">OFFSET(Database!$F9,0,COLUMN(Database!GK9)*2-12)</f>
        <v>n.r.</v>
      </c>
      <c r="GO9" s="8">
        <f ca="1">OFFSET(Database!$F9,0,COLUMN(Database!GL9)*2-12)</f>
        <v>482.65798630598272</v>
      </c>
      <c r="GP9" s="8">
        <f ca="1">OFFSET(Database!$F9,0,COLUMN(Database!GM9)*2-12)</f>
        <v>2222.4716578740599</v>
      </c>
    </row>
    <row r="10" spans="1:198" x14ac:dyDescent="0.2">
      <c r="A10" s="50" t="str">
        <f>Database!A10</f>
        <v>Sarcosine</v>
      </c>
      <c r="B10" s="1" t="s">
        <v>861</v>
      </c>
      <c r="C10" s="4" t="str">
        <f>Database!B10</f>
        <v>ɑ</v>
      </c>
      <c r="D10" s="4" t="str">
        <f>Database!C10</f>
        <v>Achiral</v>
      </c>
      <c r="E10" s="74">
        <f>Database!D10</f>
        <v>1</v>
      </c>
      <c r="F10" s="32" t="s">
        <v>898</v>
      </c>
      <c r="G10" s="1">
        <v>1088</v>
      </c>
      <c r="H10" s="1">
        <f>Database!E10</f>
        <v>89.09</v>
      </c>
      <c r="I10" s="8" t="str">
        <f ca="1">OFFSET(Database!$F10,0,COLUMN(Database!F10)*2-12)</f>
        <v>n.r.</v>
      </c>
      <c r="J10" s="8" t="str">
        <f ca="1">OFFSET(Database!$F10,0,COLUMN(Database!G10)*2-12)</f>
        <v>n.r.</v>
      </c>
      <c r="K10" s="8" t="str">
        <f ca="1">OFFSET(Database!$F10,0,COLUMN(Database!H10)*2-12)</f>
        <v>n.r.</v>
      </c>
      <c r="L10" s="8" t="str">
        <f ca="1">OFFSET(Database!$F10,0,COLUMN(Database!I10)*2-12)</f>
        <v>n.r.</v>
      </c>
      <c r="M10" s="8" t="str">
        <f ca="1">OFFSET(Database!$F10,0,COLUMN(Database!J10)*2-12)</f>
        <v>n.r.</v>
      </c>
      <c r="N10" s="8" t="str">
        <f ca="1">OFFSET(Database!$F10,0,COLUMN(Database!K10)*2-12)</f>
        <v>n.r.</v>
      </c>
      <c r="O10" s="8" t="str">
        <f ca="1">OFFSET(Database!$F10,0,COLUMN(Database!L10)*2-12)</f>
        <v>n.r.</v>
      </c>
      <c r="P10" s="8" t="str">
        <f ca="1">OFFSET(Database!$F10,0,COLUMN(Database!M10)*2-12)</f>
        <v>n.r.</v>
      </c>
      <c r="Q10" s="8" t="str">
        <f ca="1">OFFSET(Database!$F10,0,COLUMN(Database!N10)*2-12)</f>
        <v>n.r.</v>
      </c>
      <c r="R10" s="8" t="str">
        <f ca="1">OFFSET(Database!$F10,0,COLUMN(Database!O10)*2-12)</f>
        <v>n.r.</v>
      </c>
      <c r="S10" s="8" t="str">
        <f ca="1">OFFSET(Database!$F10,0,COLUMN(Database!P10)*2-12)</f>
        <v>n.r.</v>
      </c>
      <c r="T10" s="8" t="str">
        <f ca="1">OFFSET(Database!$F10,0,COLUMN(Database!Q10)*2-12)</f>
        <v>n.r.</v>
      </c>
      <c r="U10" s="8" t="str">
        <f ca="1">OFFSET(Database!$F10,0,COLUMN(Database!R10)*2-12)</f>
        <v>n.r.</v>
      </c>
      <c r="V10" s="8" t="str">
        <f ca="1">OFFSET(Database!$F10,0,COLUMN(Database!S10)*2-12)</f>
        <v>n.r.</v>
      </c>
      <c r="W10" s="8" t="str">
        <f ca="1">OFFSET(Database!$F10,0,COLUMN(Database!T10)*2-12)</f>
        <v>n.r.</v>
      </c>
      <c r="X10" s="8" t="str">
        <f ca="1">OFFSET(Database!$F10,0,COLUMN(Database!U10)*2-12)</f>
        <v>n.r.</v>
      </c>
      <c r="Y10" s="8" t="str">
        <f ca="1">OFFSET(Database!$F10,0,COLUMN(Database!V10)*2-12)</f>
        <v>n.r.</v>
      </c>
      <c r="Z10" s="8" t="str">
        <f ca="1">OFFSET(Database!$F10,0,COLUMN(Database!W10)*2-12)</f>
        <v>n.r.</v>
      </c>
      <c r="AA10" s="8" t="str">
        <f ca="1">OFFSET(Database!$F10,0,COLUMN(Database!X10)*2-12)</f>
        <v>n.r.</v>
      </c>
      <c r="AB10" s="8">
        <f ca="1">OFFSET(Database!$F10,0,COLUMN(Database!Y10)*2-12)</f>
        <v>2.2561454708721516</v>
      </c>
      <c r="AC10" s="8" t="str">
        <f ca="1">OFFSET(Database!$F10,0,COLUMN(Database!Z10)*2-12)</f>
        <v>n.r.</v>
      </c>
      <c r="AD10" s="8" t="str">
        <f ca="1">OFFSET(Database!$F10,0,COLUMN(Database!AA10)*2-12)</f>
        <v>n.r.</v>
      </c>
      <c r="AE10" s="8" t="str">
        <f ca="1">OFFSET(Database!$F10,0,COLUMN(Database!AB10)*2-12)</f>
        <v>n.r.</v>
      </c>
      <c r="AF10" s="8" t="str">
        <f ca="1">OFFSET(Database!$F10,0,COLUMN(Database!AC10)*2-12)</f>
        <v>n.r.</v>
      </c>
      <c r="AG10" s="8" t="str">
        <f ca="1">OFFSET(Database!$F10,0,COLUMN(Database!AD10)*2-12)</f>
        <v>n.r.</v>
      </c>
      <c r="AH10" s="8" t="str">
        <f ca="1">OFFSET(Database!$F10,0,COLUMN(Database!AE10)*2-12)</f>
        <v>n.r.</v>
      </c>
      <c r="AI10" s="8" t="str">
        <f ca="1">OFFSET(Database!$F10,0,COLUMN(Database!AF10)*2-12)</f>
        <v>n.r.</v>
      </c>
      <c r="AJ10" s="8" t="str">
        <f ca="1">OFFSET(Database!$F10,0,COLUMN(Database!AG10)*2-12)</f>
        <v>n.r.</v>
      </c>
      <c r="AK10" s="8" t="str">
        <f ca="1">OFFSET(Database!$F10,0,COLUMN(Database!AH10)*2-12)</f>
        <v>n.r.</v>
      </c>
      <c r="AL10" s="8" t="str">
        <f ca="1">OFFSET(Database!$F10,0,COLUMN(Database!AI10)*2-12)</f>
        <v>n.r.</v>
      </c>
      <c r="AM10" s="8" t="str">
        <f ca="1">OFFSET(Database!$F10,0,COLUMN(Database!AJ10)*2-12)</f>
        <v>n.r.</v>
      </c>
      <c r="AN10" s="8" t="str">
        <f ca="1">OFFSET(Database!$F10,0,COLUMN(Database!AK10)*2-12)</f>
        <v>n.r.</v>
      </c>
      <c r="AO10" s="8" t="str">
        <f ca="1">OFFSET(Database!$F10,0,COLUMN(Database!AL10)*2-12)</f>
        <v>n.r.</v>
      </c>
      <c r="AP10" s="8" t="str">
        <f ca="1">OFFSET(Database!$F10,0,COLUMN(Database!AM10)*2-12)</f>
        <v>n.r.</v>
      </c>
      <c r="AQ10" s="8" t="str">
        <f ca="1">OFFSET(Database!$F10,0,COLUMN(Database!AN10)*2-12)</f>
        <v>n.r.</v>
      </c>
      <c r="AR10" s="8" t="str">
        <f ca="1">OFFSET(Database!$F10,0,COLUMN(Database!AO10)*2-12)</f>
        <v>n.r.</v>
      </c>
      <c r="AS10" s="8" t="str">
        <f ca="1">OFFSET(Database!$F10,0,COLUMN(Database!AP10)*2-12)</f>
        <v>n.r.</v>
      </c>
      <c r="AT10" s="8" t="str">
        <f ca="1">OFFSET(Database!$F10,0,COLUMN(Database!AQ10)*2-12)</f>
        <v>n.r.</v>
      </c>
      <c r="AU10" s="8" t="str">
        <f ca="1">OFFSET(Database!$F10,0,COLUMN(Database!AR10)*2-12)</f>
        <v>n.r.</v>
      </c>
      <c r="AV10" s="8" t="str">
        <f ca="1">OFFSET(Database!$F10,0,COLUMN(Database!AS10)*2-12)</f>
        <v>n.r.</v>
      </c>
      <c r="AW10" s="8" t="str">
        <f ca="1">OFFSET(Database!$F10,0,COLUMN(Database!AT10)*2-12)</f>
        <v>n.r.</v>
      </c>
      <c r="AX10" s="8" t="str">
        <f ca="1">OFFSET(Database!$F10,0,COLUMN(Database!AU10)*2-12)</f>
        <v>n.r.</v>
      </c>
      <c r="AY10" s="8" t="str">
        <f ca="1">OFFSET(Database!$F10,0,COLUMN(Database!AV10)*2-12)</f>
        <v>n.r.</v>
      </c>
      <c r="AZ10" s="8" t="str">
        <f ca="1">OFFSET(Database!$F10,0,COLUMN(Database!AW10)*2-12)</f>
        <v>n.r.</v>
      </c>
      <c r="BA10" s="8" t="str">
        <f ca="1">OFFSET(Database!$F10,0,COLUMN(Database!AX10)*2-12)</f>
        <v>n.r.</v>
      </c>
      <c r="BB10" s="8" t="str">
        <f ca="1">OFFSET(Database!$F10,0,COLUMN(Database!AY10)*2-12)</f>
        <v>n.r.</v>
      </c>
      <c r="BC10" s="8" t="str">
        <f ca="1">OFFSET(Database!$F10,0,COLUMN(Database!AZ10)*2-12)</f>
        <v>n.r.</v>
      </c>
      <c r="BD10" s="8" t="str">
        <f ca="1">OFFSET(Database!$F10,0,COLUMN(Database!BA10)*2-12)</f>
        <v>n.r.</v>
      </c>
      <c r="BE10" s="8" t="str">
        <f ca="1">OFFSET(Database!$F10,0,COLUMN(Database!BB10)*2-12)</f>
        <v>n.r.</v>
      </c>
      <c r="BF10" s="8" t="str">
        <f ca="1">OFFSET(Database!$F10,0,COLUMN(Database!BC10)*2-12)</f>
        <v>n.r.</v>
      </c>
      <c r="BG10" s="8" t="str">
        <f ca="1">OFFSET(Database!$F10,0,COLUMN(Database!BD10)*2-12)</f>
        <v>n.r.</v>
      </c>
      <c r="BH10" s="8" t="str">
        <f ca="1">OFFSET(Database!$F10,0,COLUMN(Database!BE10)*2-12)</f>
        <v>n.r.</v>
      </c>
      <c r="BI10" s="8" t="str">
        <f ca="1">OFFSET(Database!$F10,0,COLUMN(Database!BF10)*2-12)</f>
        <v>n.r.</v>
      </c>
      <c r="BJ10" s="8" t="str">
        <f ca="1">OFFSET(Database!$F10,0,COLUMN(Database!BG10)*2-12)</f>
        <v>n.r.</v>
      </c>
      <c r="BK10" s="8" t="str">
        <f ca="1">OFFSET(Database!$F10,0,COLUMN(Database!BH10)*2-12)</f>
        <v>n.r.</v>
      </c>
      <c r="BL10" s="8" t="str">
        <f ca="1">OFFSET(Database!$F10,0,COLUMN(Database!BI10)*2-12)</f>
        <v>n.r.</v>
      </c>
      <c r="BM10" s="8" t="str">
        <f ca="1">OFFSET(Database!$F10,0,COLUMN(Database!BJ10)*2-12)</f>
        <v>n.r.</v>
      </c>
      <c r="BN10" s="8" t="str">
        <f ca="1">OFFSET(Database!$F10,0,COLUMN(Database!BK10)*2-12)</f>
        <v>n.r.</v>
      </c>
      <c r="BO10" s="8" t="str">
        <f ca="1">OFFSET(Database!$F10,0,COLUMN(Database!BL10)*2-12)</f>
        <v>n.r.</v>
      </c>
      <c r="BP10" s="8" t="str">
        <f ca="1">OFFSET(Database!$F10,0,COLUMN(Database!BM10)*2-12)</f>
        <v>n.r.</v>
      </c>
      <c r="BQ10" s="8" t="str">
        <f ca="1">OFFSET(Database!$F10,0,COLUMN(Database!BN10)*2-12)</f>
        <v>n.r.</v>
      </c>
      <c r="BR10" s="8" t="str">
        <f ca="1">OFFSET(Database!$F10,0,COLUMN(Database!BO10)*2-12)</f>
        <v>n.r.</v>
      </c>
      <c r="BS10" s="8" t="str">
        <f ca="1">OFFSET(Database!$F10,0,COLUMN(Database!BP10)*2-12)</f>
        <v>n.r.</v>
      </c>
      <c r="BT10" s="8" t="str">
        <f ca="1">OFFSET(Database!$F10,0,COLUMN(Database!BQ10)*2-12)</f>
        <v>n.r.</v>
      </c>
      <c r="BU10" s="8" t="str">
        <f ca="1">OFFSET(Database!$F10,0,COLUMN(Database!BR10)*2-12)</f>
        <v>n.r.</v>
      </c>
      <c r="BV10" s="8" t="str">
        <f ca="1">OFFSET(Database!$F10,0,COLUMN(Database!BS10)*2-12)</f>
        <v>n.r.</v>
      </c>
      <c r="BW10" s="8" t="str">
        <f ca="1">OFFSET(Database!$F10,0,COLUMN(Database!BT10)*2-12)</f>
        <v>n.r.</v>
      </c>
      <c r="BX10" s="8" t="str">
        <f ca="1">OFFSET(Database!$F10,0,COLUMN(Database!BU10)*2-12)</f>
        <v>n.r.</v>
      </c>
      <c r="BY10" s="8" t="str">
        <f ca="1">OFFSET(Database!$F10,0,COLUMN(Database!BV10)*2-12)</f>
        <v>n.r.</v>
      </c>
      <c r="BZ10" s="8" t="str">
        <f ca="1">OFFSET(Database!$F10,0,COLUMN(Database!BW10)*2-12)</f>
        <v>n.r.</v>
      </c>
      <c r="CA10" s="8" t="str">
        <f ca="1">OFFSET(Database!$F10,0,COLUMN(Database!BX10)*2-12)</f>
        <v>n.r.</v>
      </c>
      <c r="CB10" s="8" t="str">
        <f ca="1">OFFSET(Database!$F10,0,COLUMN(Database!BY10)*2-12)</f>
        <v>n.r.</v>
      </c>
      <c r="CC10" s="8" t="str">
        <f ca="1">OFFSET(Database!$F10,0,COLUMN(Database!BZ10)*2-12)</f>
        <v>n.r.</v>
      </c>
      <c r="CD10" s="8" t="str">
        <f ca="1">OFFSET(Database!$F10,0,COLUMN(Database!CA10)*2-12)</f>
        <v>n.r.</v>
      </c>
      <c r="CE10" s="8" t="str">
        <f ca="1">OFFSET(Database!$F10,0,COLUMN(Database!CB10)*2-12)</f>
        <v>n.r.</v>
      </c>
      <c r="CF10" s="8" t="str">
        <f ca="1">OFFSET(Database!$F10,0,COLUMN(Database!CC10)*2-12)</f>
        <v>n.r.</v>
      </c>
      <c r="CG10" s="8" t="str">
        <f ca="1">OFFSET(Database!$F10,0,COLUMN(Database!CD10)*2-12)</f>
        <v>n.r.</v>
      </c>
      <c r="CH10" s="8" t="str">
        <f ca="1">OFFSET(Database!$F10,0,COLUMN(Database!CE10)*2-12)</f>
        <v>n.r.</v>
      </c>
      <c r="CI10" s="8" t="str">
        <f ca="1">OFFSET(Database!$F10,0,COLUMN(Database!CF10)*2-12)</f>
        <v>n.r.</v>
      </c>
      <c r="CJ10" s="8" t="str">
        <f ca="1">OFFSET(Database!$F10,0,COLUMN(Database!CG10)*2-12)</f>
        <v>n.r.</v>
      </c>
      <c r="CK10" s="8" t="str">
        <f ca="1">OFFSET(Database!$F10,0,COLUMN(Database!CH10)*2-12)</f>
        <v>n.r.</v>
      </c>
      <c r="CL10" s="8" t="str">
        <f ca="1">OFFSET(Database!$F10,0,COLUMN(Database!CI10)*2-12)</f>
        <v>n.r.</v>
      </c>
      <c r="CM10" s="8" t="str">
        <f ca="1">OFFSET(Database!$F10,0,COLUMN(Database!CJ10)*2-12)</f>
        <v>n.r.</v>
      </c>
      <c r="CN10" s="8" t="str">
        <f ca="1">OFFSET(Database!$F10,0,COLUMN(Database!CK10)*2-12)</f>
        <v>n.r.</v>
      </c>
      <c r="CO10" s="8" t="str">
        <f ca="1">OFFSET(Database!$F10,0,COLUMN(Database!CL10)*2-12)</f>
        <v>n.r.</v>
      </c>
      <c r="CP10" s="8" t="str">
        <f ca="1">OFFSET(Database!$F10,0,COLUMN(Database!CM10)*2-12)</f>
        <v>n.r.</v>
      </c>
      <c r="CQ10" s="8" t="str">
        <f ca="1">OFFSET(Database!$F10,0,COLUMN(Database!CN10)*2-12)</f>
        <v>n.r.</v>
      </c>
      <c r="CR10" s="8" t="str">
        <f ca="1">OFFSET(Database!$F10,0,COLUMN(Database!CO10)*2-12)</f>
        <v>n.r.</v>
      </c>
      <c r="CS10" s="8" t="str">
        <f ca="1">OFFSET(Database!$F10,0,COLUMN(Database!CP10)*2-12)</f>
        <v>n.r.</v>
      </c>
      <c r="CT10" s="8" t="str">
        <f ca="1">OFFSET(Database!$F10,0,COLUMN(Database!CQ10)*2-12)</f>
        <v>n.r.</v>
      </c>
      <c r="CU10" s="8" t="str">
        <f ca="1">OFFSET(Database!$F10,0,COLUMN(Database!CR10)*2-12)</f>
        <v>n.r.</v>
      </c>
      <c r="CV10" s="8" t="str">
        <f ca="1">OFFSET(Database!$F10,0,COLUMN(Database!CS10)*2-12)</f>
        <v>n.r.</v>
      </c>
      <c r="CW10" s="8" t="str">
        <f ca="1">OFFSET(Database!$F10,0,COLUMN(Database!CT10)*2-12)</f>
        <v>n.r.</v>
      </c>
      <c r="CX10" s="8" t="str">
        <f ca="1">OFFSET(Database!$F10,0,COLUMN(Database!CU10)*2-12)</f>
        <v>n.r.</v>
      </c>
      <c r="CY10" s="8" t="str">
        <f ca="1">OFFSET(Database!$F10,0,COLUMN(Database!CV10)*2-12)</f>
        <v>n.r.</v>
      </c>
      <c r="CZ10" s="8" t="str">
        <f ca="1">OFFSET(Database!$F10,0,COLUMN(Database!CW10)*2-12)</f>
        <v>n.r.</v>
      </c>
      <c r="DA10" s="8" t="str">
        <f ca="1">OFFSET(Database!$F10,0,COLUMN(Database!CX10)*2-12)</f>
        <v>n.r.</v>
      </c>
      <c r="DB10" s="8" t="str">
        <f ca="1">OFFSET(Database!$F10,0,COLUMN(Database!CY10)*2-12)</f>
        <v>n.r.</v>
      </c>
      <c r="DC10" s="8" t="str">
        <f ca="1">OFFSET(Database!$F10,0,COLUMN(Database!CZ10)*2-12)</f>
        <v>n.r.</v>
      </c>
      <c r="DD10" s="8" t="str">
        <f ca="1">OFFSET(Database!$F10,0,COLUMN(Database!DA10)*2-12)</f>
        <v>n.r.</v>
      </c>
      <c r="DE10" s="8" t="str">
        <f ca="1">OFFSET(Database!$F10,0,COLUMN(Database!DB10)*2-12)</f>
        <v>n.r.</v>
      </c>
      <c r="DF10" s="8" t="str">
        <f ca="1">OFFSET(Database!$F10,0,COLUMN(Database!DC10)*2-12)</f>
        <v>n.r.</v>
      </c>
      <c r="DG10" s="8" t="str">
        <f ca="1">OFFSET(Database!$F10,0,COLUMN(Database!DD10)*2-12)</f>
        <v>n.r.</v>
      </c>
      <c r="DH10" s="8" t="str">
        <f ca="1">OFFSET(Database!$F10,0,COLUMN(Database!DE10)*2-12)</f>
        <v>n.r.</v>
      </c>
      <c r="DI10" s="8" t="str">
        <f ca="1">OFFSET(Database!$F10,0,COLUMN(Database!DF10)*2-12)</f>
        <v>n.r.</v>
      </c>
      <c r="DJ10" s="8" t="str">
        <f ca="1">OFFSET(Database!$F10,0,COLUMN(Database!DG10)*2-12)</f>
        <v>n.r.</v>
      </c>
      <c r="DK10" s="8" t="str">
        <f ca="1">OFFSET(Database!$F10,0,COLUMN(Database!DH10)*2-12)</f>
        <v>n.r.</v>
      </c>
      <c r="DL10" s="8" t="str">
        <f ca="1">OFFSET(Database!$F10,0,COLUMN(Database!DI10)*2-12)</f>
        <v>n.r.</v>
      </c>
      <c r="DM10" s="8" t="str">
        <f ca="1">OFFSET(Database!$F10,0,COLUMN(Database!DJ10)*2-12)</f>
        <v>n.r.</v>
      </c>
      <c r="DN10" s="8" t="str">
        <f ca="1">OFFSET(Database!$F10,0,COLUMN(Database!DK10)*2-12)</f>
        <v>n.r.</v>
      </c>
      <c r="DO10" s="8" t="str">
        <f ca="1">OFFSET(Database!$F10,0,COLUMN(Database!DL10)*2-12)</f>
        <v>n.r.</v>
      </c>
      <c r="DP10" s="8" t="str">
        <f ca="1">OFFSET(Database!$F10,0,COLUMN(Database!DM10)*2-12)</f>
        <v>n.r.</v>
      </c>
      <c r="DQ10" s="8" t="str">
        <f ca="1">OFFSET(Database!$F10,0,COLUMN(Database!DN10)*2-12)</f>
        <v>n.r.</v>
      </c>
      <c r="DR10" s="8" t="str">
        <f ca="1">OFFSET(Database!$F10,0,COLUMN(Database!DO10)*2-12)</f>
        <v>n.r.</v>
      </c>
      <c r="DS10" s="8" t="str">
        <f ca="1">OFFSET(Database!$F10,0,COLUMN(Database!DP10)*2-12)</f>
        <v>n.r.</v>
      </c>
      <c r="DT10" s="8" t="str">
        <f ca="1">OFFSET(Database!$F10,0,COLUMN(Database!DQ10)*2-12)</f>
        <v>n.r.</v>
      </c>
      <c r="DU10" s="8" t="str">
        <f ca="1">OFFSET(Database!$F10,0,COLUMN(Database!DR10)*2-12)</f>
        <v>n.r.</v>
      </c>
      <c r="DV10" s="8" t="str">
        <f ca="1">OFFSET(Database!$F10,0,COLUMN(Database!DS10)*2-12)</f>
        <v>n.r.</v>
      </c>
      <c r="DW10" s="8" t="str">
        <f ca="1">OFFSET(Database!$F10,0,COLUMN(Database!DT10)*2-12)</f>
        <v>n.r.</v>
      </c>
      <c r="DX10" s="8" t="str">
        <f ca="1">OFFSET(Database!$F10,0,COLUMN(Database!DU10)*2-12)</f>
        <v>n.r.</v>
      </c>
      <c r="DY10" s="8" t="str">
        <f ca="1">OFFSET(Database!$F10,0,COLUMN(Database!DV10)*2-12)</f>
        <v>n.r.</v>
      </c>
      <c r="DZ10" s="8" t="str">
        <f ca="1">OFFSET(Database!$F10,0,COLUMN(Database!DW10)*2-12)</f>
        <v>n.r.</v>
      </c>
      <c r="EA10" s="8" t="str">
        <f ca="1">OFFSET(Database!$F10,0,COLUMN(Database!DX10)*2-12)</f>
        <v>n.r.</v>
      </c>
      <c r="EB10" s="8" t="str">
        <f ca="1">OFFSET(Database!$F10,0,COLUMN(Database!DY10)*2-12)</f>
        <v>n.r.</v>
      </c>
      <c r="EC10" s="8" t="str">
        <f ca="1">OFFSET(Database!$F10,0,COLUMN(Database!DZ10)*2-12)</f>
        <v>n.r.</v>
      </c>
      <c r="ED10" s="8" t="str">
        <f ca="1">OFFSET(Database!$F10,0,COLUMN(Database!EA10)*2-12)</f>
        <v>n.r.</v>
      </c>
      <c r="EE10" s="8" t="str">
        <f ca="1">OFFSET(Database!$F10,0,COLUMN(Database!EB10)*2-12)</f>
        <v>n.r.</v>
      </c>
      <c r="EF10" s="8" t="str">
        <f ca="1">OFFSET(Database!$F10,0,COLUMN(Database!EC10)*2-12)</f>
        <v>n.r.</v>
      </c>
      <c r="EG10" s="8" t="str">
        <f ca="1">OFFSET(Database!$F10,0,COLUMN(Database!ED10)*2-12)</f>
        <v>n.r.</v>
      </c>
      <c r="EH10" s="8" t="str">
        <f ca="1">OFFSET(Database!$F10,0,COLUMN(Database!EE10)*2-12)</f>
        <v>n.r.</v>
      </c>
      <c r="EI10" s="8" t="str">
        <f ca="1">OFFSET(Database!$F10,0,COLUMN(Database!EF10)*2-12)</f>
        <v>n.r.</v>
      </c>
      <c r="EJ10" s="8" t="str">
        <f ca="1">OFFSET(Database!$F10,0,COLUMN(Database!EG10)*2-12)</f>
        <v>n.r.</v>
      </c>
      <c r="EK10" s="8" t="str">
        <f ca="1">OFFSET(Database!$F10,0,COLUMN(Database!EH10)*2-12)</f>
        <v>n.r.</v>
      </c>
      <c r="EL10" s="8" t="str">
        <f ca="1">OFFSET(Database!$F10,0,COLUMN(Database!EI10)*2-12)</f>
        <v>n.r.</v>
      </c>
      <c r="EM10" s="8" t="str">
        <f ca="1">OFFSET(Database!$F10,0,COLUMN(Database!EJ10)*2-12)</f>
        <v>n.r.</v>
      </c>
      <c r="EN10" s="8" t="str">
        <f ca="1">OFFSET(Database!$F10,0,COLUMN(Database!EK10)*2-12)</f>
        <v>n.r.</v>
      </c>
      <c r="EO10" s="8" t="str">
        <f ca="1">OFFSET(Database!$F10,0,COLUMN(Database!EL10)*2-12)</f>
        <v>n.r.</v>
      </c>
      <c r="EP10" s="8" t="str">
        <f ca="1">OFFSET(Database!$F10,0,COLUMN(Database!EM10)*2-12)</f>
        <v>n.r.</v>
      </c>
      <c r="EQ10" s="8" t="str">
        <f ca="1">OFFSET(Database!$F10,0,COLUMN(Database!EN10)*2-12)</f>
        <v>n.r.</v>
      </c>
      <c r="ER10" s="8" t="str">
        <f ca="1">OFFSET(Database!$F10,0,COLUMN(Database!EO10)*2-12)</f>
        <v>n.r.</v>
      </c>
      <c r="ES10" s="8" t="str">
        <f ca="1">OFFSET(Database!$F10,0,COLUMN(Database!EP10)*2-12)</f>
        <v>n.r.</v>
      </c>
      <c r="ET10" s="8" t="str">
        <f ca="1">OFFSET(Database!$F10,0,COLUMN(Database!EQ10)*2-12)</f>
        <v>n.r.</v>
      </c>
      <c r="EU10" s="8" t="str">
        <f ca="1">OFFSET(Database!$F10,0,COLUMN(Database!ER10)*2-12)</f>
        <v>n.r.</v>
      </c>
      <c r="EV10" s="8" t="str">
        <f ca="1">OFFSET(Database!$F10,0,COLUMN(Database!ES10)*2-12)</f>
        <v>n.r.</v>
      </c>
      <c r="EW10" s="8" t="str">
        <f ca="1">OFFSET(Database!$F10,0,COLUMN(Database!ET10)*2-12)</f>
        <v>n.r.</v>
      </c>
      <c r="EX10" s="8" t="str">
        <f ca="1">OFFSET(Database!$F10,0,COLUMN(Database!EU10)*2-12)</f>
        <v>n.r.</v>
      </c>
      <c r="EY10" s="8" t="str">
        <f ca="1">OFFSET(Database!$F10,0,COLUMN(Database!EV10)*2-12)</f>
        <v>n.r.</v>
      </c>
      <c r="EZ10" s="8" t="str">
        <f ca="1">OFFSET(Database!$F10,0,COLUMN(Database!EW10)*2-12)</f>
        <v>n.r.</v>
      </c>
      <c r="FA10" s="8" t="str">
        <f ca="1">OFFSET(Database!$F10,0,COLUMN(Database!EX10)*2-12)</f>
        <v>n.r.</v>
      </c>
      <c r="FB10" s="8" t="str">
        <f ca="1">OFFSET(Database!$F10,0,COLUMN(Database!EY10)*2-12)</f>
        <v>n.r.</v>
      </c>
      <c r="FC10" s="8" t="str">
        <f ca="1">OFFSET(Database!$F10,0,COLUMN(Database!EZ10)*2-12)</f>
        <v>n.r.</v>
      </c>
      <c r="FD10" s="8" t="str">
        <f ca="1">OFFSET(Database!$F10,0,COLUMN(Database!FA10)*2-12)</f>
        <v>n.r.</v>
      </c>
      <c r="FE10" s="8" t="str">
        <f ca="1">OFFSET(Database!$F10,0,COLUMN(Database!FB10)*2-12)</f>
        <v>n.r.</v>
      </c>
      <c r="FF10" s="8" t="str">
        <f ca="1">OFFSET(Database!$F10,0,COLUMN(Database!FC10)*2-12)</f>
        <v>n.r.</v>
      </c>
      <c r="FG10" s="8" t="str">
        <f ca="1">OFFSET(Database!$F10,0,COLUMN(Database!FD10)*2-12)</f>
        <v>n.r.</v>
      </c>
      <c r="FH10" s="8" t="str">
        <f ca="1">OFFSET(Database!$F10,0,COLUMN(Database!FE10)*2-12)</f>
        <v>n.r.</v>
      </c>
      <c r="FI10" s="8" t="str">
        <f ca="1">OFFSET(Database!$F10,0,COLUMN(Database!FF10)*2-12)</f>
        <v>n.r.</v>
      </c>
      <c r="FJ10" s="8" t="str">
        <f ca="1">OFFSET(Database!$F10,0,COLUMN(Database!FG10)*2-12)</f>
        <v>n.r.</v>
      </c>
      <c r="FK10" s="8" t="str">
        <f ca="1">OFFSET(Database!$F10,0,COLUMN(Database!FH10)*2-12)</f>
        <v>n.r.</v>
      </c>
      <c r="FL10" s="8" t="str">
        <f ca="1">OFFSET(Database!$F10,0,COLUMN(Database!FI10)*2-12)</f>
        <v>n.r.</v>
      </c>
      <c r="FM10" s="8" t="str">
        <f ca="1">OFFSET(Database!$F10,0,COLUMN(Database!FJ10)*2-12)</f>
        <v>n.r.</v>
      </c>
      <c r="FN10" s="8" t="str">
        <f ca="1">OFFSET(Database!$F10,0,COLUMN(Database!FK10)*2-12)</f>
        <v>n.r.</v>
      </c>
      <c r="FO10" s="8" t="str">
        <f ca="1">OFFSET(Database!$F10,0,COLUMN(Database!FL10)*2-12)</f>
        <v>n.r.</v>
      </c>
      <c r="FP10" s="8" t="str">
        <f ca="1">OFFSET(Database!$F10,0,COLUMN(Database!FM10)*2-12)</f>
        <v>n.r.</v>
      </c>
      <c r="FQ10" s="8" t="str">
        <f ca="1">OFFSET(Database!$F10,0,COLUMN(Database!FN10)*2-12)</f>
        <v>n.r.</v>
      </c>
      <c r="FR10" s="8" t="str">
        <f ca="1">OFFSET(Database!$F10,0,COLUMN(Database!FO10)*2-12)</f>
        <v>n.r.</v>
      </c>
      <c r="FS10" s="8" t="str">
        <f ca="1">OFFSET(Database!$F10,0,COLUMN(Database!FP10)*2-12)</f>
        <v>n.r.</v>
      </c>
      <c r="FT10" s="8" t="str">
        <f ca="1">OFFSET(Database!$F10,0,COLUMN(Database!FQ10)*2-12)</f>
        <v>n.r.</v>
      </c>
      <c r="FU10" s="8" t="str">
        <f ca="1">OFFSET(Database!$F10,0,COLUMN(Database!FR10)*2-12)</f>
        <v>n.r.</v>
      </c>
      <c r="FV10" s="8" t="str">
        <f ca="1">OFFSET(Database!$F10,0,COLUMN(Database!FS10)*2-12)</f>
        <v>n.r.</v>
      </c>
      <c r="FW10" s="8" t="str">
        <f ca="1">OFFSET(Database!$F10,0,COLUMN(Database!FT10)*2-12)</f>
        <v>n.r.</v>
      </c>
      <c r="FX10" s="8" t="str">
        <f ca="1">OFFSET(Database!$F10,0,COLUMN(Database!FU10)*2-12)</f>
        <v>n.r.</v>
      </c>
      <c r="FY10" s="8" t="str">
        <f ca="1">OFFSET(Database!$F10,0,COLUMN(Database!FV10)*2-12)</f>
        <v>n.r.</v>
      </c>
      <c r="FZ10" s="8" t="str">
        <f ca="1">OFFSET(Database!$F10,0,COLUMN(Database!FW10)*2-12)</f>
        <v>n.r.</v>
      </c>
      <c r="GA10" s="8" t="str">
        <f ca="1">OFFSET(Database!$F10,0,COLUMN(Database!FX10)*2-12)</f>
        <v>n.r.</v>
      </c>
      <c r="GB10" s="8" t="str">
        <f ca="1">OFFSET(Database!$F10,0,COLUMN(Database!FY10)*2-12)</f>
        <v>n.r.</v>
      </c>
      <c r="GC10" s="8" t="str">
        <f ca="1">OFFSET(Database!$F10,0,COLUMN(Database!FZ10)*2-12)</f>
        <v>n.r.</v>
      </c>
      <c r="GD10" s="8" t="str">
        <f ca="1">OFFSET(Database!$F10,0,COLUMN(Database!GA10)*2-12)</f>
        <v>n.r.</v>
      </c>
      <c r="GE10" s="8" t="str">
        <f ca="1">OFFSET(Database!$F10,0,COLUMN(Database!GB10)*2-12)</f>
        <v>n.r.</v>
      </c>
      <c r="GF10" s="8" t="str">
        <f ca="1">OFFSET(Database!$F10,0,COLUMN(Database!GC10)*2-12)</f>
        <v>n.r.</v>
      </c>
      <c r="GG10" s="8" t="str">
        <f ca="1">OFFSET(Database!$F10,0,COLUMN(Database!GD10)*2-12)</f>
        <v>n.r.</v>
      </c>
      <c r="GH10" s="8" t="str">
        <f ca="1">OFFSET(Database!$F10,0,COLUMN(Database!GE10)*2-12)</f>
        <v>n.r.</v>
      </c>
      <c r="GI10" s="8" t="str">
        <f ca="1">OFFSET(Database!$F10,0,COLUMN(Database!GF10)*2-12)</f>
        <v>n.r.</v>
      </c>
      <c r="GJ10" s="8" t="str">
        <f ca="1">OFFSET(Database!$F10,0,COLUMN(Database!GG10)*2-12)</f>
        <v>n.r.</v>
      </c>
      <c r="GK10" s="8" t="str">
        <f ca="1">OFFSET(Database!$F10,0,COLUMN(Database!GH10)*2-12)</f>
        <v>n.r.</v>
      </c>
      <c r="GL10" s="8" t="str">
        <f ca="1">OFFSET(Database!$F10,0,COLUMN(Database!GI10)*2-12)</f>
        <v>n.r.</v>
      </c>
      <c r="GM10" s="8" t="str">
        <f ca="1">OFFSET(Database!$F10,0,COLUMN(Database!GJ10)*2-12)</f>
        <v>n.r.</v>
      </c>
      <c r="GN10" s="8" t="str">
        <f ca="1">OFFSET(Database!$F10,0,COLUMN(Database!GK10)*2-12)</f>
        <v>n.r.</v>
      </c>
      <c r="GO10" s="8" t="str">
        <f ca="1">OFFSET(Database!$F10,0,COLUMN(Database!GL10)*2-12)</f>
        <v>n.d.</v>
      </c>
      <c r="GP10" s="8" t="str">
        <f ca="1">OFFSET(Database!$F10,0,COLUMN(Database!GM10)*2-12)</f>
        <v>n.d.</v>
      </c>
    </row>
    <row r="11" spans="1:198" x14ac:dyDescent="0.2">
      <c r="A11" s="50" t="str">
        <f>Database!A11</f>
        <v>D-serine</v>
      </c>
      <c r="B11" s="1" t="s">
        <v>862</v>
      </c>
      <c r="C11" s="4" t="str">
        <f>Database!B11</f>
        <v>ɑ</v>
      </c>
      <c r="D11" s="4" t="str">
        <f>Database!C11</f>
        <v>D</v>
      </c>
      <c r="E11" s="74">
        <f>Database!D11</f>
        <v>72</v>
      </c>
      <c r="F11" s="1" t="s">
        <v>901</v>
      </c>
      <c r="G11" s="1">
        <v>71077</v>
      </c>
      <c r="H11" s="1">
        <f>Database!E11</f>
        <v>105.09</v>
      </c>
      <c r="I11" s="8">
        <f ca="1">OFFSET(Database!$F11,0,COLUMN(Database!F11)*2-12)</f>
        <v>2E-3</v>
      </c>
      <c r="J11" s="8">
        <f ca="1">OFFSET(Database!$F11,0,COLUMN(Database!G11)*2-12)</f>
        <v>1.46E-2</v>
      </c>
      <c r="K11" s="8">
        <f ca="1">OFFSET(Database!$F11,0,COLUMN(Database!H11)*2-12)</f>
        <v>1.6999999999999999E-3</v>
      </c>
      <c r="L11" s="8">
        <f ca="1">OFFSET(Database!$F11,0,COLUMN(Database!I11)*2-12)</f>
        <v>1.5E-3</v>
      </c>
      <c r="M11" s="8" t="str">
        <f ca="1">OFFSET(Database!$F11,0,COLUMN(Database!J11)*2-12)</f>
        <v>tr</v>
      </c>
      <c r="N11" s="8" t="str">
        <f ca="1">OFFSET(Database!$F11,0,COLUMN(Database!K11)*2-12)</f>
        <v>n.r.</v>
      </c>
      <c r="O11" s="8" t="str">
        <f ca="1">OFFSET(Database!$F11,0,COLUMN(Database!L11)*2-12)</f>
        <v>&lt;0.04</v>
      </c>
      <c r="P11" s="8">
        <f ca="1">OFFSET(Database!$F11,0,COLUMN(Database!M11)*2-12)</f>
        <v>0.05</v>
      </c>
      <c r="Q11" s="8">
        <f ca="1">OFFSET(Database!$F11,0,COLUMN(Database!N11)*2-12)</f>
        <v>3.24</v>
      </c>
      <c r="R11" s="8" t="str">
        <f ca="1">OFFSET(Database!$F11,0,COLUMN(Database!O11)*2-12)</f>
        <v>n.r.</v>
      </c>
      <c r="S11" s="8" t="str">
        <f ca="1">OFFSET(Database!$F11,0,COLUMN(Database!P11)*2-12)</f>
        <v>n.r.</v>
      </c>
      <c r="T11" s="8">
        <f ca="1">OFFSET(Database!$F11,0,COLUMN(Database!Q11)*2-12)</f>
        <v>24.6</v>
      </c>
      <c r="U11" s="8">
        <f ca="1">OFFSET(Database!$F11,0,COLUMN(Database!R11)*2-12)</f>
        <v>6.52</v>
      </c>
      <c r="V11" s="8" t="str">
        <f ca="1">OFFSET(Database!$F11,0,COLUMN(Database!S11)*2-12)</f>
        <v>&lt;0.01</v>
      </c>
      <c r="W11" s="8" t="str">
        <f ca="1">OFFSET(Database!$F11,0,COLUMN(Database!T11)*2-12)</f>
        <v>&lt;0.03</v>
      </c>
      <c r="X11" s="8" t="str">
        <f ca="1">OFFSET(Database!$F11,0,COLUMN(Database!U11)*2-12)</f>
        <v>n.d.</v>
      </c>
      <c r="Y11" s="8">
        <f ca="1">OFFSET(Database!$F11,0,COLUMN(Database!V11)*2-12)</f>
        <v>0.13</v>
      </c>
      <c r="Z11" s="8">
        <f ca="1">OFFSET(Database!$F11,0,COLUMN(Database!W11)*2-12)</f>
        <v>0.4</v>
      </c>
      <c r="AA11" s="8">
        <f ca="1">OFFSET(Database!$F11,0,COLUMN(Database!X11)*2-12)</f>
        <v>0.6</v>
      </c>
      <c r="AB11" s="8">
        <f ca="1">OFFSET(Database!$F11,0,COLUMN(Database!Y11)*2-12)</f>
        <v>2.5406794176420209</v>
      </c>
      <c r="AC11" s="8">
        <f ca="1">OFFSET(Database!$F11,0,COLUMN(Database!Z11)*2-12)</f>
        <v>0.45675135598058803</v>
      </c>
      <c r="AD11" s="8">
        <f ca="1">OFFSET(Database!$F11,0,COLUMN(Database!AA11)*2-12)</f>
        <v>2.0839280616614331</v>
      </c>
      <c r="AE11" s="8">
        <f ca="1">OFFSET(Database!$F11,0,COLUMN(Database!AB11)*2-12)</f>
        <v>0.9420496717099629</v>
      </c>
      <c r="AF11" s="8">
        <f ca="1">OFFSET(Database!$F11,0,COLUMN(Database!AC11)*2-12)</f>
        <v>1.1000000000000001</v>
      </c>
      <c r="AG11" s="8" t="str">
        <f ca="1">OFFSET(Database!$F11,0,COLUMN(Database!AD11)*2-12)</f>
        <v>&lt;0.01</v>
      </c>
      <c r="AH11" s="8" t="str">
        <f ca="1">OFFSET(Database!$F11,0,COLUMN(Database!AE11)*2-12)</f>
        <v>n.r.</v>
      </c>
      <c r="AI11" s="8">
        <f ca="1">OFFSET(Database!$F11,0,COLUMN(Database!AF11)*2-12)</f>
        <v>0.05</v>
      </c>
      <c r="AJ11" s="8">
        <f ca="1">OFFSET(Database!$F11,0,COLUMN(Database!AG11)*2-12)</f>
        <v>0.04</v>
      </c>
      <c r="AK11" s="8">
        <f ca="1">OFFSET(Database!$F11,0,COLUMN(Database!AH11)*2-12)</f>
        <v>0.44</v>
      </c>
      <c r="AL11" s="8" t="str">
        <f ca="1">OFFSET(Database!$F11,0,COLUMN(Database!AI11)*2-12)</f>
        <v>n.r.</v>
      </c>
      <c r="AM11" s="8">
        <f ca="1">OFFSET(Database!$F11,0,COLUMN(Database!AJ11)*2-12)</f>
        <v>3.4</v>
      </c>
      <c r="AN11" s="8">
        <f ca="1">OFFSET(Database!$F11,0,COLUMN(Database!AK11)*2-12)</f>
        <v>1.9</v>
      </c>
      <c r="AO11" s="8" t="str">
        <f ca="1">OFFSET(Database!$F11,0,COLUMN(Database!AL11)*2-12)</f>
        <v>&lt;0.01</v>
      </c>
      <c r="AP11" s="8">
        <f ca="1">OFFSET(Database!$F11,0,COLUMN(Database!AM11)*2-12)</f>
        <v>0.05</v>
      </c>
      <c r="AQ11" s="8">
        <f ca="1">OFFSET(Database!$F11,0,COLUMN(Database!AN11)*2-12)</f>
        <v>0.03</v>
      </c>
      <c r="AR11" s="8" t="str">
        <f ca="1">OFFSET(Database!$F11,0,COLUMN(Database!AO11)*2-12)</f>
        <v>&lt;0.01</v>
      </c>
      <c r="AS11" s="8" t="str">
        <f ca="1">OFFSET(Database!$F11,0,COLUMN(Database!AP11)*2-12)</f>
        <v>&lt;0.001</v>
      </c>
      <c r="AT11" s="8" t="str">
        <f ca="1">OFFSET(Database!$F11,0,COLUMN(Database!AQ11)*2-12)</f>
        <v>&lt;0.003</v>
      </c>
      <c r="AU11" s="8">
        <f ca="1">OFFSET(Database!$F11,0,COLUMN(Database!AR11)*2-12)</f>
        <v>5.7093919497573503E-3</v>
      </c>
      <c r="AV11" s="8" t="str">
        <f ca="1">OFFSET(Database!$F11,0,COLUMN(Database!AS11)*2-12)</f>
        <v>&lt;0.003</v>
      </c>
      <c r="AW11" s="8" t="str">
        <f ca="1">OFFSET(Database!$F11,0,COLUMN(Database!AT11)*2-12)</f>
        <v>&lt;0.001</v>
      </c>
      <c r="AX11" s="8" t="str">
        <f ca="1">OFFSET(Database!$F11,0,COLUMN(Database!AU11)*2-12)</f>
        <v>&lt;0.0124</v>
      </c>
      <c r="AY11" s="8" t="str">
        <f ca="1">OFFSET(Database!$F11,0,COLUMN(Database!AV11)*2-12)</f>
        <v>&lt;0.001</v>
      </c>
      <c r="AZ11" s="8" t="str">
        <f ca="1">OFFSET(Database!$F11,0,COLUMN(Database!AW11)*2-12)</f>
        <v>&lt;0.001</v>
      </c>
      <c r="BA11" s="8" t="str">
        <f ca="1">OFFSET(Database!$F11,0,COLUMN(Database!AX11)*2-12)</f>
        <v>&lt;0.001</v>
      </c>
      <c r="BB11" s="8">
        <f ca="1">OFFSET(Database!$F11,0,COLUMN(Database!AY11)*2-12)</f>
        <v>1.9031306499191171E-3</v>
      </c>
      <c r="BC11" s="8" t="str">
        <f ca="1">OFFSET(Database!$F11,0,COLUMN(Database!AZ11)*2-12)</f>
        <v>&lt;0.001</v>
      </c>
      <c r="BD11" s="8">
        <f ca="1">OFFSET(Database!$F11,0,COLUMN(Database!BA11)*2-12)</f>
        <v>1.1418783899514702</v>
      </c>
      <c r="BE11" s="8" t="str">
        <f ca="1">OFFSET(Database!$F11,0,COLUMN(Database!BB11)*2-12)</f>
        <v>&lt;0.002</v>
      </c>
      <c r="BF11" s="8" t="str">
        <f ca="1">OFFSET(Database!$F11,0,COLUMN(Database!BC11)*2-12)</f>
        <v>&lt;0.001</v>
      </c>
      <c r="BG11" s="8">
        <f ca="1">OFFSET(Database!$F11,0,COLUMN(Database!BD11)*2-12)</f>
        <v>1.0467218574555143E-2</v>
      </c>
      <c r="BH11" s="8" t="str">
        <f ca="1">OFFSET(Database!$F11,0,COLUMN(Database!BE11)*2-12)</f>
        <v>n.r.</v>
      </c>
      <c r="BI11" s="8" t="str">
        <f ca="1">OFFSET(Database!$F11,0,COLUMN(Database!BF11)*2-12)</f>
        <v>n.r.</v>
      </c>
      <c r="BJ11" s="8">
        <f ca="1">OFFSET(Database!$F11,0,COLUMN(Database!BG11)*2-12)</f>
        <v>0.1237034922447426</v>
      </c>
      <c r="BK11" s="8">
        <f ca="1">OFFSET(Database!$F11,0,COLUMN(Database!BH11)*2-12)</f>
        <v>0.42820439623180129</v>
      </c>
      <c r="BL11" s="8">
        <f ca="1">OFFSET(Database!$F11,0,COLUMN(Database!BI11)*2-12)</f>
        <v>0.76125225996764678</v>
      </c>
      <c r="BM11" s="8">
        <f ca="1">OFFSET(Database!$F11,0,COLUMN(Database!BJ11)*2-12)</f>
        <v>3.6159482348463216E-2</v>
      </c>
      <c r="BN11" s="8">
        <f ca="1">OFFSET(Database!$F11,0,COLUMN(Database!BK11)*2-12)</f>
        <v>9.5156532495955848E-2</v>
      </c>
      <c r="BO11" s="8">
        <f ca="1">OFFSET(Database!$F11,0,COLUMN(Database!BL11)*2-12)</f>
        <v>8.5640879246360255E-3</v>
      </c>
      <c r="BP11" s="8">
        <f ca="1">OFFSET(Database!$F11,0,COLUMN(Database!BM11)*2-12)</f>
        <v>0.95156532495955848</v>
      </c>
      <c r="BQ11" s="8" t="str">
        <f ca="1">OFFSET(Database!$F11,0,COLUMN(Database!BN11)*2-12)</f>
        <v>&lt;0.011</v>
      </c>
      <c r="BR11" s="8" t="str">
        <f ca="1">OFFSET(Database!$F11,0,COLUMN(Database!BO11)*2-12)</f>
        <v>&lt;0.011</v>
      </c>
      <c r="BS11" s="8">
        <f ca="1">OFFSET(Database!$F11,0,COLUMN(Database!BP11)*2-12)</f>
        <v>3.8062612998382341E-3</v>
      </c>
      <c r="BT11" s="8" t="str">
        <f ca="1">OFFSET(Database!$F11,0,COLUMN(Database!BQ11)*2-12)</f>
        <v>&lt;0.001</v>
      </c>
      <c r="BU11" s="8">
        <f ca="1">OFFSET(Database!$F11,0,COLUMN(Database!BR11)*2-12)</f>
        <v>9.5156532495955853E-4</v>
      </c>
      <c r="BV11" s="8">
        <f ca="1">OFFSET(Database!$F11,0,COLUMN(Database!BS11)*2-12)</f>
        <v>9.5156532495955853E-4</v>
      </c>
      <c r="BW11" s="8" t="str">
        <f ca="1">OFFSET(Database!$F11,0,COLUMN(Database!BT11)*2-12)</f>
        <v>&lt;0.0001</v>
      </c>
      <c r="BX11" s="8" t="str">
        <f ca="1">OFFSET(Database!$F11,0,COLUMN(Database!BU11)*2-12)</f>
        <v>&lt;0.0001</v>
      </c>
      <c r="BY11" s="8" t="str">
        <f ca="1">OFFSET(Database!$F11,0,COLUMN(Database!BV11)*2-12)</f>
        <v>&lt;0.0001</v>
      </c>
      <c r="BZ11" s="8" t="str">
        <f ca="1">OFFSET(Database!$F11,0,COLUMN(Database!BW11)*2-12)</f>
        <v>n.r.</v>
      </c>
      <c r="CA11" s="8" t="str">
        <f ca="1">OFFSET(Database!$F11,0,COLUMN(Database!BX11)*2-12)</f>
        <v>n.r.</v>
      </c>
      <c r="CB11" s="8" t="str">
        <f ca="1">OFFSET(Database!$F11,0,COLUMN(Database!BY11)*2-12)</f>
        <v>&lt;0.0010</v>
      </c>
      <c r="CC11" s="8" t="str">
        <f ca="1">OFFSET(Database!$F11,0,COLUMN(Database!BZ11)*2-12)</f>
        <v>&lt;0.0095</v>
      </c>
      <c r="CD11" s="8">
        <f ca="1">OFFSET(Database!$F11,0,COLUMN(Database!CA11)*2-12)</f>
        <v>2.4740698448948519E-2</v>
      </c>
      <c r="CE11" s="8">
        <f ca="1">OFFSET(Database!$F11,0,COLUMN(Database!CB11)*2-12)</f>
        <v>2.6643829098867634E-2</v>
      </c>
      <c r="CF11" s="8">
        <f ca="1">OFFSET(Database!$F11,0,COLUMN(Database!CC11)*2-12)</f>
        <v>2.569226377390808E-2</v>
      </c>
      <c r="CG11" s="8">
        <f ca="1">OFFSET(Database!$F11,0,COLUMN(Database!CD11)*2-12)</f>
        <v>8.5640879246360255E-3</v>
      </c>
      <c r="CH11" s="8" t="str">
        <f ca="1">OFFSET(Database!$F11,0,COLUMN(Database!CE11)*2-12)</f>
        <v>&lt;0.0095</v>
      </c>
      <c r="CI11" s="8">
        <f ca="1">OFFSET(Database!$F11,0,COLUMN(Database!CF11)*2-12)</f>
        <v>0.26643829098867639</v>
      </c>
      <c r="CJ11" s="8">
        <f ca="1">OFFSET(Database!$F11,0,COLUMN(Database!CG11)*2-12)</f>
        <v>0.39014178323341897</v>
      </c>
      <c r="CK11" s="8">
        <f ca="1">OFFSET(Database!$F11,0,COLUMN(Database!CH11)*2-12)</f>
        <v>0.19982871824150727</v>
      </c>
      <c r="CL11" s="8">
        <f ca="1">OFFSET(Database!$F11,0,COLUMN(Database!CI11)*2-12)</f>
        <v>0.41868874298220571</v>
      </c>
      <c r="CM11" s="8">
        <f ca="1">OFFSET(Database!$F11,0,COLUMN(Database!CJ11)*2-12)</f>
        <v>0.57093919497573509</v>
      </c>
      <c r="CN11" s="8">
        <f ca="1">OFFSET(Database!$F11,0,COLUMN(Database!CK11)*2-12)</f>
        <v>0.17128175849272051</v>
      </c>
      <c r="CO11" s="8">
        <f ca="1">OFFSET(Database!$F11,0,COLUMN(Database!CL11)*2-12)</f>
        <v>0.32353221048624986</v>
      </c>
      <c r="CP11" s="8">
        <f ca="1">OFFSET(Database!$F11,0,COLUMN(Database!CM11)*2-12)</f>
        <v>0.33</v>
      </c>
      <c r="CQ11" s="8">
        <f ca="1">OFFSET(Database!$F11,0,COLUMN(Database!CN11)*2-12)</f>
        <v>0.21</v>
      </c>
      <c r="CR11" s="8">
        <f ca="1">OFFSET(Database!$F11,0,COLUMN(Database!CO11)*2-12)</f>
        <v>0.6</v>
      </c>
      <c r="CS11" s="8" t="str">
        <f ca="1">OFFSET(Database!$F11,0,COLUMN(Database!CP11)*2-12)</f>
        <v>&lt;0.1</v>
      </c>
      <c r="CT11" s="8" t="str">
        <f ca="1">OFFSET(Database!$F11,0,COLUMN(Database!CQ11)*2-12)</f>
        <v>&lt;0.1</v>
      </c>
      <c r="CU11" s="8" t="str">
        <f ca="1">OFFSET(Database!$F11,0,COLUMN(Database!CR11)*2-12)</f>
        <v>&lt;0.1</v>
      </c>
      <c r="CV11" s="8" t="str">
        <f ca="1">OFFSET(Database!$F11,0,COLUMN(Database!CS11)*2-12)</f>
        <v>&lt;0.1</v>
      </c>
      <c r="CW11" s="8" t="str">
        <f ca="1">OFFSET(Database!$F11,0,COLUMN(Database!CT11)*2-12)</f>
        <v>&lt;0.1</v>
      </c>
      <c r="CX11" s="8">
        <f ca="1">OFFSET(Database!$F11,0,COLUMN(Database!CU11)*2-12)</f>
        <v>0.15</v>
      </c>
      <c r="CY11" s="8" t="str">
        <f ca="1">OFFSET(Database!$F11,0,COLUMN(Database!CV11)*2-12)</f>
        <v>&lt;0.1</v>
      </c>
      <c r="CZ11" s="8" t="str">
        <f ca="1">OFFSET(Database!$F11,0,COLUMN(Database!CW11)*2-12)</f>
        <v>&lt;0.1</v>
      </c>
      <c r="DA11" s="8">
        <f ca="1">OFFSET(Database!$F11,0,COLUMN(Database!CX11)*2-12)</f>
        <v>0.12</v>
      </c>
      <c r="DB11" s="8">
        <f ca="1">OFFSET(Database!$F11,0,COLUMN(Database!CY11)*2-12)</f>
        <v>0.06</v>
      </c>
      <c r="DC11" s="8">
        <f ca="1">OFFSET(Database!$F11,0,COLUMN(Database!CZ11)*2-12)</f>
        <v>0.05</v>
      </c>
      <c r="DD11" s="8">
        <f ca="1">OFFSET(Database!$F11,0,COLUMN(Database!DA11)*2-12)</f>
        <v>0.18</v>
      </c>
      <c r="DE11" s="8" t="str">
        <f ca="1">OFFSET(Database!$F11,0,COLUMN(Database!DB11)*2-12)</f>
        <v>&lt;0.0190</v>
      </c>
      <c r="DF11" s="8" t="str">
        <f ca="1">OFFSET(Database!$F11,0,COLUMN(Database!DC11)*2-12)</f>
        <v>n.r.</v>
      </c>
      <c r="DG11" s="8" t="str">
        <f ca="1">OFFSET(Database!$F11,0,COLUMN(Database!DD11)*2-12)</f>
        <v>n.r.</v>
      </c>
      <c r="DH11" s="8" t="str">
        <f ca="1">OFFSET(Database!$F11,0,COLUMN(Database!DE11)*2-12)</f>
        <v>n.r.</v>
      </c>
      <c r="DI11" s="8" t="str">
        <f ca="1">OFFSET(Database!$F11,0,COLUMN(Database!DF11)*2-12)</f>
        <v>n.r.</v>
      </c>
      <c r="DJ11" s="8" t="str">
        <f ca="1">OFFSET(Database!$F11,0,COLUMN(Database!DG11)*2-12)</f>
        <v>n.r.</v>
      </c>
      <c r="DK11" s="8" t="str">
        <f ca="1">OFFSET(Database!$F11,0,COLUMN(Database!DH11)*2-12)</f>
        <v>n.r.</v>
      </c>
      <c r="DL11" s="8" t="str">
        <f ca="1">OFFSET(Database!$F11,0,COLUMN(Database!DI11)*2-12)</f>
        <v>n.r.</v>
      </c>
      <c r="DM11" s="8" t="str">
        <f ca="1">OFFSET(Database!$F11,0,COLUMN(Database!DJ11)*2-12)</f>
        <v>n.r.</v>
      </c>
      <c r="DN11" s="8">
        <f ca="1">OFFSET(Database!$F11,0,COLUMN(Database!DK11)*2-12)</f>
        <v>1.39</v>
      </c>
      <c r="DO11" s="8">
        <f ca="1">OFFSET(Database!$F11,0,COLUMN(Database!DL11)*2-12)</f>
        <v>1.39</v>
      </c>
      <c r="DP11" s="8" t="str">
        <f ca="1">OFFSET(Database!$F11,0,COLUMN(Database!DM11)*2-12)</f>
        <v>b.d.</v>
      </c>
      <c r="DQ11" s="8" t="str">
        <f ca="1">OFFSET(Database!$F11,0,COLUMN(Database!DN11)*2-12)</f>
        <v>b.d.</v>
      </c>
      <c r="DR11" s="8" t="str">
        <f ca="1">OFFSET(Database!$F11,0,COLUMN(Database!DO11)*2-12)</f>
        <v>b.d.</v>
      </c>
      <c r="DS11" s="8" t="str">
        <f ca="1">OFFSET(Database!$F11,0,COLUMN(Database!DP11)*2-12)</f>
        <v>b.d.</v>
      </c>
      <c r="DT11" s="8" t="str">
        <f ca="1">OFFSET(Database!$F11,0,COLUMN(Database!DQ11)*2-12)</f>
        <v>b.d.</v>
      </c>
      <c r="DU11" s="8">
        <f ca="1">OFFSET(Database!$F11,0,COLUMN(Database!DR11)*2-12)</f>
        <v>0.1283</v>
      </c>
      <c r="DV11" s="8">
        <f ca="1">OFFSET(Database!$F11,0,COLUMN(Database!DS11)*2-12)</f>
        <v>8.9999999999999998E-4</v>
      </c>
      <c r="DW11" s="8" t="str">
        <f ca="1">OFFSET(Database!$F11,0,COLUMN(Database!DT11)*2-12)</f>
        <v>n.r.</v>
      </c>
      <c r="DX11" s="8" t="str">
        <f ca="1">OFFSET(Database!$F11,0,COLUMN(Database!DU11)*2-12)</f>
        <v>n.r.</v>
      </c>
      <c r="DY11" s="8" t="str">
        <f ca="1">OFFSET(Database!$F11,0,COLUMN(Database!DV11)*2-12)</f>
        <v>n.r.</v>
      </c>
      <c r="DZ11" s="8" t="str">
        <f ca="1">OFFSET(Database!$F11,0,COLUMN(Database!DW11)*2-12)</f>
        <v>n.r.</v>
      </c>
      <c r="EA11" s="8" t="str">
        <f ca="1">OFFSET(Database!$F11,0,COLUMN(Database!DX11)*2-12)</f>
        <v>n.r.</v>
      </c>
      <c r="EB11" s="8" t="str">
        <f ca="1">OFFSET(Database!$F11,0,COLUMN(Database!DY11)*2-12)</f>
        <v>n.r.</v>
      </c>
      <c r="EC11" s="8" t="str">
        <f ca="1">OFFSET(Database!$F11,0,COLUMN(Database!DZ11)*2-12)</f>
        <v>&lt;0.4</v>
      </c>
      <c r="ED11" s="8" t="str">
        <f ca="1">OFFSET(Database!$F11,0,COLUMN(Database!EA11)*2-12)</f>
        <v>n.r.</v>
      </c>
      <c r="EE11" s="8" t="str">
        <f ca="1">OFFSET(Database!$F11,0,COLUMN(Database!EB11)*2-12)</f>
        <v>n.r.</v>
      </c>
      <c r="EF11" s="8" t="str">
        <f ca="1">OFFSET(Database!$F11,0,COLUMN(Database!EC11)*2-12)</f>
        <v>n.r.</v>
      </c>
      <c r="EG11" s="8" t="str">
        <f ca="1">OFFSET(Database!$F11,0,COLUMN(Database!ED11)*2-12)</f>
        <v>n.r.</v>
      </c>
      <c r="EH11" s="8" t="str">
        <f ca="1">OFFSET(Database!$F11,0,COLUMN(Database!EE11)*2-12)</f>
        <v>n.r.</v>
      </c>
      <c r="EI11" s="8" t="str">
        <f ca="1">OFFSET(Database!$F11,0,COLUMN(Database!EF11)*2-12)</f>
        <v>n.r.</v>
      </c>
      <c r="EJ11" s="8" t="str">
        <f ca="1">OFFSET(Database!$F11,0,COLUMN(Database!EG11)*2-12)</f>
        <v>n.r.</v>
      </c>
      <c r="EK11" s="8" t="str">
        <f ca="1">OFFSET(Database!$F11,0,COLUMN(Database!EH11)*2-12)</f>
        <v>n.r.</v>
      </c>
      <c r="EL11" s="8" t="str">
        <f ca="1">OFFSET(Database!$F11,0,COLUMN(Database!EI11)*2-12)</f>
        <v>n.r.</v>
      </c>
      <c r="EM11" s="8" t="str">
        <f ca="1">OFFSET(Database!$F11,0,COLUMN(Database!EJ11)*2-12)</f>
        <v>n.r.</v>
      </c>
      <c r="EN11" s="8" t="str">
        <f ca="1">OFFSET(Database!$F11,0,COLUMN(Database!EK11)*2-12)</f>
        <v>n.r.</v>
      </c>
      <c r="EO11" s="8" t="str">
        <f ca="1">OFFSET(Database!$F11,0,COLUMN(Database!EL11)*2-12)</f>
        <v>n.r.</v>
      </c>
      <c r="EP11" s="8" t="str">
        <f ca="1">OFFSET(Database!$F11,0,COLUMN(Database!EM11)*2-12)</f>
        <v>n.r.</v>
      </c>
      <c r="EQ11" s="8" t="str">
        <f ca="1">OFFSET(Database!$F11,0,COLUMN(Database!EN11)*2-12)</f>
        <v>n.r.</v>
      </c>
      <c r="ER11" s="8">
        <f ca="1">OFFSET(Database!$F11,0,COLUMN(Database!EO11)*2-12)</f>
        <v>45.763113664671465</v>
      </c>
      <c r="ES11" s="8">
        <f ca="1">OFFSET(Database!$F11,0,COLUMN(Database!EP11)*2-12)</f>
        <v>56.888440340134046</v>
      </c>
      <c r="ET11" s="8">
        <f ca="1">OFFSET(Database!$F11,0,COLUMN(Database!EQ11)*2-12)</f>
        <v>118.20896156485429</v>
      </c>
      <c r="EU11" s="8">
        <f ca="1">OFFSET(Database!$F11,0,COLUMN(Database!ER11)*2-12)</f>
        <v>17.492392853328472</v>
      </c>
      <c r="EV11" s="8">
        <f ca="1">OFFSET(Database!$F11,0,COLUMN(Database!ES11)*2-12)</f>
        <v>74.225155531700139</v>
      </c>
      <c r="EW11" s="8" t="str">
        <f ca="1">OFFSET(Database!$F11,0,COLUMN(Database!ET11)*2-12)</f>
        <v>n.r.</v>
      </c>
      <c r="EX11" s="8" t="str">
        <f ca="1">OFFSET(Database!$F11,0,COLUMN(Database!EU11)*2-12)</f>
        <v>n.r.</v>
      </c>
      <c r="EY11" s="8" t="str">
        <f ca="1">OFFSET(Database!$F11,0,COLUMN(Database!EV11)*2-12)</f>
        <v>n.r.</v>
      </c>
      <c r="EZ11" s="8" t="str">
        <f ca="1">OFFSET(Database!$F11,0,COLUMN(Database!EW11)*2-12)</f>
        <v>n.r.</v>
      </c>
      <c r="FA11" s="8" t="str">
        <f ca="1">OFFSET(Database!$F11,0,COLUMN(Database!EX11)*2-12)</f>
        <v>n.r.</v>
      </c>
      <c r="FB11" s="8">
        <f ca="1">OFFSET(Database!$F11,0,COLUMN(Database!EY11)*2-12)</f>
        <v>4.8600000000000003</v>
      </c>
      <c r="FC11" s="8">
        <f ca="1">OFFSET(Database!$F11,0,COLUMN(Database!EZ11)*2-12)</f>
        <v>2.4300000000000002</v>
      </c>
      <c r="FD11" s="8">
        <f ca="1">OFFSET(Database!$F11,0,COLUMN(Database!FA11)*2-12)</f>
        <v>3.8</v>
      </c>
      <c r="FE11" s="8">
        <f ca="1">OFFSET(Database!$F11,0,COLUMN(Database!FB11)*2-12)</f>
        <v>4.9000000000000004</v>
      </c>
      <c r="FF11" s="8">
        <f ca="1">OFFSET(Database!$F11,0,COLUMN(Database!FC11)*2-12)</f>
        <v>4.3</v>
      </c>
      <c r="FG11" s="8" t="str">
        <f ca="1">OFFSET(Database!$F11,0,COLUMN(Database!FD11)*2-12)</f>
        <v>n.r.</v>
      </c>
      <c r="FH11" s="8" t="str">
        <f ca="1">OFFSET(Database!$F11,0,COLUMN(Database!FE11)*2-12)</f>
        <v>n.r.</v>
      </c>
      <c r="FI11" s="8" t="str">
        <f ca="1">OFFSET(Database!$F11,0,COLUMN(Database!FF11)*2-12)</f>
        <v>n.r.</v>
      </c>
      <c r="FJ11" s="8" t="str">
        <f ca="1">OFFSET(Database!$F11,0,COLUMN(Database!FG11)*2-12)</f>
        <v>n.r.</v>
      </c>
      <c r="FK11" s="8" t="str">
        <f ca="1">OFFSET(Database!$F11,0,COLUMN(Database!FH11)*2-12)</f>
        <v>n.r.</v>
      </c>
      <c r="FL11" s="8" t="str">
        <f ca="1">OFFSET(Database!$F11,0,COLUMN(Database!FI11)*2-12)</f>
        <v>n.r.</v>
      </c>
      <c r="FM11" s="8" t="str">
        <f ca="1">OFFSET(Database!$F11,0,COLUMN(Database!FJ11)*2-12)</f>
        <v>n.r.</v>
      </c>
      <c r="FN11" s="8" t="str">
        <f ca="1">OFFSET(Database!$F11,0,COLUMN(Database!FK11)*2-12)</f>
        <v>n.r.</v>
      </c>
      <c r="FO11" s="8" t="str">
        <f ca="1">OFFSET(Database!$F11,0,COLUMN(Database!FL11)*2-12)</f>
        <v>n.r.</v>
      </c>
      <c r="FP11" s="8" t="str">
        <f ca="1">OFFSET(Database!$F11,0,COLUMN(Database!FM11)*2-12)</f>
        <v>n.r.</v>
      </c>
      <c r="FQ11" s="8" t="str">
        <f ca="1">OFFSET(Database!$F11,0,COLUMN(Database!FN11)*2-12)</f>
        <v>n.r.</v>
      </c>
      <c r="FR11" s="8" t="str">
        <f ca="1">OFFSET(Database!$F11,0,COLUMN(Database!FO11)*2-12)</f>
        <v>n.r.</v>
      </c>
      <c r="FS11" s="8" t="str">
        <f ca="1">OFFSET(Database!$F11,0,COLUMN(Database!FP11)*2-12)</f>
        <v>n.r.</v>
      </c>
      <c r="FT11" s="8" t="str">
        <f ca="1">OFFSET(Database!$F11,0,COLUMN(Database!FQ11)*2-12)</f>
        <v>n.r.</v>
      </c>
      <c r="FU11" s="8" t="str">
        <f ca="1">OFFSET(Database!$F11,0,COLUMN(Database!FR11)*2-12)</f>
        <v>n.r.</v>
      </c>
      <c r="FV11" s="8" t="str">
        <f ca="1">OFFSET(Database!$F11,0,COLUMN(Database!FS11)*2-12)</f>
        <v>n.r.</v>
      </c>
      <c r="FW11" s="8" t="str">
        <f ca="1">OFFSET(Database!$F11,0,COLUMN(Database!FT11)*2-12)</f>
        <v>n.r.</v>
      </c>
      <c r="FX11" s="8" t="str">
        <f ca="1">OFFSET(Database!$F11,0,COLUMN(Database!FU11)*2-12)</f>
        <v>n.r.</v>
      </c>
      <c r="FY11" s="8" t="str">
        <f ca="1">OFFSET(Database!$F11,0,COLUMN(Database!FV11)*2-12)</f>
        <v>n.r.</v>
      </c>
      <c r="FZ11" s="8" t="str">
        <f ca="1">OFFSET(Database!$F11,0,COLUMN(Database!FW11)*2-12)</f>
        <v>n.r.</v>
      </c>
      <c r="GA11" s="8" t="str">
        <f ca="1">OFFSET(Database!$F11,0,COLUMN(Database!FX11)*2-12)</f>
        <v>n.r.</v>
      </c>
      <c r="GB11" s="8" t="str">
        <f ca="1">OFFSET(Database!$F11,0,COLUMN(Database!FY11)*2-12)</f>
        <v>n.r.</v>
      </c>
      <c r="GC11" s="8" t="str">
        <f ca="1">OFFSET(Database!$F11,0,COLUMN(Database!FZ11)*2-12)</f>
        <v>n.r.</v>
      </c>
      <c r="GD11" s="8" t="str">
        <f ca="1">OFFSET(Database!$F11,0,COLUMN(Database!GA11)*2-12)</f>
        <v>n.r.</v>
      </c>
      <c r="GE11" s="8" t="str">
        <f ca="1">OFFSET(Database!$F11,0,COLUMN(Database!GB11)*2-12)</f>
        <v>n.r.</v>
      </c>
      <c r="GF11" s="8" t="str">
        <f ca="1">OFFSET(Database!$F11,0,COLUMN(Database!GC11)*2-12)</f>
        <v>n.r.</v>
      </c>
      <c r="GG11" s="8" t="str">
        <f ca="1">OFFSET(Database!$F11,0,COLUMN(Database!GD11)*2-12)</f>
        <v>n.r.</v>
      </c>
      <c r="GH11" s="8" t="str">
        <f ca="1">OFFSET(Database!$F11,0,COLUMN(Database!GE11)*2-12)</f>
        <v>n.r.</v>
      </c>
      <c r="GI11" s="8" t="str">
        <f ca="1">OFFSET(Database!$F11,0,COLUMN(Database!GF11)*2-12)</f>
        <v>n.r.</v>
      </c>
      <c r="GJ11" s="8" t="str">
        <f ca="1">OFFSET(Database!$F11,0,COLUMN(Database!GG11)*2-12)</f>
        <v>n.r.</v>
      </c>
      <c r="GK11" s="8" t="str">
        <f ca="1">OFFSET(Database!$F11,0,COLUMN(Database!GH11)*2-12)</f>
        <v>n.r.</v>
      </c>
      <c r="GL11" s="8" t="str">
        <f ca="1">OFFSET(Database!$F11,0,COLUMN(Database!GI11)*2-12)</f>
        <v>n.r.</v>
      </c>
      <c r="GM11" s="8" t="str">
        <f ca="1">OFFSET(Database!$F11,0,COLUMN(Database!GJ11)*2-12)</f>
        <v>n.r.</v>
      </c>
      <c r="GN11" s="8" t="str">
        <f ca="1">OFFSET(Database!$F11,0,COLUMN(Database!GK11)*2-12)</f>
        <v>n.r.</v>
      </c>
      <c r="GO11" s="8">
        <f ca="1">OFFSET(Database!$F11,0,COLUMN(Database!GL11)*2-12)</f>
        <v>35.207917023503661</v>
      </c>
      <c r="GP11" s="8">
        <f ca="1">OFFSET(Database!$F11,0,COLUMN(Database!GM11)*2-12)</f>
        <v>218.86002474069844</v>
      </c>
    </row>
    <row r="12" spans="1:198" x14ac:dyDescent="0.2">
      <c r="A12" s="50" t="str">
        <f>Database!A12</f>
        <v>L-serine</v>
      </c>
      <c r="B12" s="1" t="s">
        <v>862</v>
      </c>
      <c r="C12" s="4" t="str">
        <f>Database!B12</f>
        <v>ɑ</v>
      </c>
      <c r="D12" s="4" t="str">
        <f>Database!C12</f>
        <v>L</v>
      </c>
      <c r="E12" s="74">
        <f>Database!D12</f>
        <v>96</v>
      </c>
      <c r="F12" s="1" t="s">
        <v>902</v>
      </c>
      <c r="G12" s="1">
        <v>5951</v>
      </c>
      <c r="H12" s="1">
        <f>Database!E12</f>
        <v>105.09</v>
      </c>
      <c r="I12" s="8">
        <f ca="1">OFFSET(Database!$F12,0,COLUMN(Database!F12)*2-12)</f>
        <v>3.5000000000000001E-3</v>
      </c>
      <c r="J12" s="8">
        <f ca="1">OFFSET(Database!$F12,0,COLUMN(Database!G12)*2-12)</f>
        <v>0.10440000000000001</v>
      </c>
      <c r="K12" s="8">
        <f ca="1">OFFSET(Database!$F12,0,COLUMN(Database!H12)*2-12)</f>
        <v>3.8699999999999998E-2</v>
      </c>
      <c r="L12" s="8">
        <f ca="1">OFFSET(Database!$F12,0,COLUMN(Database!I12)*2-12)</f>
        <v>7.7999999999999996E-3</v>
      </c>
      <c r="M12" s="8" t="str">
        <f ca="1">OFFSET(Database!$F12,0,COLUMN(Database!J12)*2-12)</f>
        <v>n.d.</v>
      </c>
      <c r="N12" s="8" t="str">
        <f ca="1">OFFSET(Database!$F12,0,COLUMN(Database!K12)*2-12)</f>
        <v>n.r.</v>
      </c>
      <c r="O12" s="8" t="str">
        <f ca="1">OFFSET(Database!$F12,0,COLUMN(Database!L12)*2-12)</f>
        <v>&lt;0.03</v>
      </c>
      <c r="P12" s="8">
        <f ca="1">OFFSET(Database!$F12,0,COLUMN(Database!M12)*2-12)</f>
        <v>0.06</v>
      </c>
      <c r="Q12" s="8">
        <f ca="1">OFFSET(Database!$F12,0,COLUMN(Database!N12)*2-12)</f>
        <v>2.62</v>
      </c>
      <c r="R12" s="8" t="str">
        <f ca="1">OFFSET(Database!$F12,0,COLUMN(Database!O12)*2-12)</f>
        <v>n.r.</v>
      </c>
      <c r="S12" s="8" t="str">
        <f ca="1">OFFSET(Database!$F12,0,COLUMN(Database!P12)*2-12)</f>
        <v>n.r.</v>
      </c>
      <c r="T12" s="8">
        <f ca="1">OFFSET(Database!$F12,0,COLUMN(Database!Q12)*2-12)</f>
        <v>21.6</v>
      </c>
      <c r="U12" s="8">
        <f ca="1">OFFSET(Database!$F12,0,COLUMN(Database!R12)*2-12)</f>
        <v>5.79</v>
      </c>
      <c r="V12" s="8" t="str">
        <f ca="1">OFFSET(Database!$F12,0,COLUMN(Database!S12)*2-12)</f>
        <v>&lt;0.02</v>
      </c>
      <c r="W12" s="8" t="str">
        <f ca="1">OFFSET(Database!$F12,0,COLUMN(Database!T12)*2-12)</f>
        <v>&lt;0.02</v>
      </c>
      <c r="X12" s="8" t="str">
        <f ca="1">OFFSET(Database!$F12,0,COLUMN(Database!U12)*2-12)</f>
        <v>n.d.</v>
      </c>
      <c r="Y12" s="8">
        <f ca="1">OFFSET(Database!$F12,0,COLUMN(Database!V12)*2-12)</f>
        <v>3.5</v>
      </c>
      <c r="Z12" s="8">
        <f ca="1">OFFSET(Database!$F12,0,COLUMN(Database!W12)*2-12)</f>
        <v>0.6</v>
      </c>
      <c r="AA12" s="8">
        <f ca="1">OFFSET(Database!$F12,0,COLUMN(Database!X12)*2-12)</f>
        <v>1.2</v>
      </c>
      <c r="AB12" s="8">
        <f ca="1">OFFSET(Database!$F12,0,COLUMN(Database!Y12)*2-12)</f>
        <v>3.0259777333713958</v>
      </c>
      <c r="AC12" s="8">
        <f ca="1">OFFSET(Database!$F12,0,COLUMN(Database!Z12)*2-12)</f>
        <v>0.43772004948139687</v>
      </c>
      <c r="AD12" s="8">
        <f ca="1">OFFSET(Database!$F12,0,COLUMN(Database!AA12)*2-12)</f>
        <v>2.2361785136549623</v>
      </c>
      <c r="AE12" s="8">
        <f ca="1">OFFSET(Database!$F12,0,COLUMN(Database!AB12)*2-12)</f>
        <v>0.87544009896279373</v>
      </c>
      <c r="AF12" s="8">
        <f ca="1">OFFSET(Database!$F12,0,COLUMN(Database!AC12)*2-12)</f>
        <v>5</v>
      </c>
      <c r="AG12" s="8" t="str">
        <f ca="1">OFFSET(Database!$F12,0,COLUMN(Database!AD12)*2-12)</f>
        <v>&lt;0.01</v>
      </c>
      <c r="AH12" s="8">
        <f ca="1">OFFSET(Database!$F12,0,COLUMN(Database!AE12)*2-12)</f>
        <v>10</v>
      </c>
      <c r="AI12" s="8">
        <f ca="1">OFFSET(Database!$F12,0,COLUMN(Database!AF12)*2-12)</f>
        <v>1.06</v>
      </c>
      <c r="AJ12" s="8">
        <f ca="1">OFFSET(Database!$F12,0,COLUMN(Database!AG12)*2-12)</f>
        <v>1.57</v>
      </c>
      <c r="AK12" s="8">
        <f ca="1">OFFSET(Database!$F12,0,COLUMN(Database!AH12)*2-12)</f>
        <v>8.73</v>
      </c>
      <c r="AL12" s="8" t="str">
        <f ca="1">OFFSET(Database!$F12,0,COLUMN(Database!AI12)*2-12)</f>
        <v>n.r.</v>
      </c>
      <c r="AM12" s="8">
        <f ca="1">OFFSET(Database!$F12,0,COLUMN(Database!AJ12)*2-12)</f>
        <v>18</v>
      </c>
      <c r="AN12" s="8">
        <f ca="1">OFFSET(Database!$F12,0,COLUMN(Database!AK12)*2-12)</f>
        <v>6.6</v>
      </c>
      <c r="AO12" s="8" t="str">
        <f ca="1">OFFSET(Database!$F12,0,COLUMN(Database!AL12)*2-12)</f>
        <v>&lt;0.01</v>
      </c>
      <c r="AP12" s="8">
        <f ca="1">OFFSET(Database!$F12,0,COLUMN(Database!AM12)*2-12)</f>
        <v>0.51</v>
      </c>
      <c r="AQ12" s="8">
        <f ca="1">OFFSET(Database!$F12,0,COLUMN(Database!AN12)*2-12)</f>
        <v>0.59</v>
      </c>
      <c r="AR12" s="8">
        <f ca="1">OFFSET(Database!$F12,0,COLUMN(Database!AO12)*2-12)</f>
        <v>0.3</v>
      </c>
      <c r="AS12" s="8">
        <f ca="1">OFFSET(Database!$F12,0,COLUMN(Database!AP12)*2-12)</f>
        <v>1.189456656199448</v>
      </c>
      <c r="AT12" s="8">
        <f ca="1">OFFSET(Database!$F12,0,COLUMN(Database!AQ12)*2-12)</f>
        <v>1.1418783899514701E-2</v>
      </c>
      <c r="AU12" s="8">
        <f ca="1">OFFSET(Database!$F12,0,COLUMN(Database!AR12)*2-12)</f>
        <v>3.3304786373584548E-2</v>
      </c>
      <c r="AV12" s="8">
        <f ca="1">OFFSET(Database!$F12,0,COLUMN(Database!AS12)*2-12)</f>
        <v>5.6142354172613949E-2</v>
      </c>
      <c r="AW12" s="8">
        <f ca="1">OFFSET(Database!$F12,0,COLUMN(Database!AT12)*2-12)</f>
        <v>1.237034922447426E-2</v>
      </c>
      <c r="AX12" s="8" t="str">
        <f ca="1">OFFSET(Database!$F12,0,COLUMN(Database!AU12)*2-12)</f>
        <v>&lt;0.0133</v>
      </c>
      <c r="AY12" s="8">
        <f ca="1">OFFSET(Database!$F12,0,COLUMN(Database!AV12)*2-12)</f>
        <v>1.998287182415073E-2</v>
      </c>
      <c r="AZ12" s="8">
        <f ca="1">OFFSET(Database!$F12,0,COLUMN(Database!AW12)*2-12)</f>
        <v>2.569226377390808E-2</v>
      </c>
      <c r="BA12" s="8">
        <f ca="1">OFFSET(Database!$F12,0,COLUMN(Database!AX12)*2-12)</f>
        <v>0.13988010276905508</v>
      </c>
      <c r="BB12" s="8">
        <f ca="1">OFFSET(Database!$F12,0,COLUMN(Database!AY12)*2-12)</f>
        <v>6.9464268722047764E-2</v>
      </c>
      <c r="BC12" s="8">
        <f ca="1">OFFSET(Database!$F12,0,COLUMN(Database!AZ12)*2-12)</f>
        <v>0.27595394423827196</v>
      </c>
      <c r="BD12" s="8">
        <f ca="1">OFFSET(Database!$F12,0,COLUMN(Database!BA12)*2-12)</f>
        <v>6.2232372252355121</v>
      </c>
      <c r="BE12" s="8">
        <f ca="1">OFFSET(Database!$F12,0,COLUMN(Database!BB12)*2-12)</f>
        <v>0.13321914549433819</v>
      </c>
      <c r="BF12" s="8">
        <f ca="1">OFFSET(Database!$F12,0,COLUMN(Database!BC12)*2-12)</f>
        <v>3.3304786373584548E-2</v>
      </c>
      <c r="BG12" s="8">
        <f ca="1">OFFSET(Database!$F12,0,COLUMN(Database!BD12)*2-12)</f>
        <v>0.15225045199352935</v>
      </c>
      <c r="BH12" s="8" t="str">
        <f ca="1">OFFSET(Database!$F12,0,COLUMN(Database!BE12)*2-12)</f>
        <v>n.r.</v>
      </c>
      <c r="BI12" s="8" t="str">
        <f ca="1">OFFSET(Database!$F12,0,COLUMN(Database!BF12)*2-12)</f>
        <v>n.r.</v>
      </c>
      <c r="BJ12" s="8">
        <f ca="1">OFFSET(Database!$F12,0,COLUMN(Database!BG12)*2-12)</f>
        <v>2.6548672566371683</v>
      </c>
      <c r="BK12" s="8">
        <f ca="1">OFFSET(Database!$F12,0,COLUMN(Database!BH12)*2-12)</f>
        <v>0.9896279379579408</v>
      </c>
      <c r="BL12" s="8">
        <f ca="1">OFFSET(Database!$F12,0,COLUMN(Database!BI12)*2-12)</f>
        <v>1.5129888666856979</v>
      </c>
      <c r="BM12" s="8">
        <f ca="1">OFFSET(Database!$F12,0,COLUMN(Database!BJ12)*2-12)</f>
        <v>0.22837567799029401</v>
      </c>
      <c r="BN12" s="8">
        <f ca="1">OFFSET(Database!$F12,0,COLUMN(Database!BK12)*2-12)</f>
        <v>0.21886002474069843</v>
      </c>
      <c r="BO12" s="8">
        <f ca="1">OFFSET(Database!$F12,0,COLUMN(Database!BL12)*2-12)</f>
        <v>8.5640879246360255E-2</v>
      </c>
      <c r="BP12" s="8">
        <f ca="1">OFFSET(Database!$F12,0,COLUMN(Database!BM12)*2-12)</f>
        <v>2.5692263773908079</v>
      </c>
      <c r="BQ12" s="8" t="str">
        <f ca="1">OFFSET(Database!$F12,0,COLUMN(Database!BN12)*2-12)</f>
        <v>&lt;0.18</v>
      </c>
      <c r="BR12" s="8" t="str">
        <f ca="1">OFFSET(Database!$F12,0,COLUMN(Database!BO12)*2-12)</f>
        <v>&lt;0.12</v>
      </c>
      <c r="BS12" s="8">
        <f ca="1">OFFSET(Database!$F12,0,COLUMN(Database!BP12)*2-12)</f>
        <v>0.23789133123988962</v>
      </c>
      <c r="BT12" s="8">
        <f ca="1">OFFSET(Database!$F12,0,COLUMN(Database!BQ12)*2-12)</f>
        <v>2.8546959748786752E-2</v>
      </c>
      <c r="BU12" s="8">
        <f ca="1">OFFSET(Database!$F12,0,COLUMN(Database!BR12)*2-12)</f>
        <v>2.2837567799029401E-2</v>
      </c>
      <c r="BV12" s="8">
        <f ca="1">OFFSET(Database!$F12,0,COLUMN(Database!BS12)*2-12)</f>
        <v>7.4222095346845554E-2</v>
      </c>
      <c r="BW12" s="8" t="str">
        <f ca="1">OFFSET(Database!$F12,0,COLUMN(Database!BT12)*2-12)</f>
        <v>&lt;0.0001</v>
      </c>
      <c r="BX12" s="8" t="str">
        <f ca="1">OFFSET(Database!$F12,0,COLUMN(Database!BU12)*2-12)</f>
        <v>&lt;0.0001</v>
      </c>
      <c r="BY12" s="8" t="str">
        <f ca="1">OFFSET(Database!$F12,0,COLUMN(Database!BV12)*2-12)</f>
        <v>&lt;0.0001</v>
      </c>
      <c r="BZ12" s="8" t="str">
        <f ca="1">OFFSET(Database!$F12,0,COLUMN(Database!BW12)*2-12)</f>
        <v>n.r.</v>
      </c>
      <c r="CA12" s="8" t="str">
        <f ca="1">OFFSET(Database!$F12,0,COLUMN(Database!BX12)*2-12)</f>
        <v>n.r.</v>
      </c>
      <c r="CB12" s="8" t="str">
        <f ca="1">OFFSET(Database!$F12,0,COLUMN(Database!BY12)*2-12)</f>
        <v>&lt;0.0076</v>
      </c>
      <c r="CC12" s="8" t="str">
        <f ca="1">OFFSET(Database!$F12,0,COLUMN(Database!BZ12)*2-12)</f>
        <v>&lt;0.0381</v>
      </c>
      <c r="CD12" s="8">
        <f ca="1">OFFSET(Database!$F12,0,COLUMN(Database!CA12)*2-12)</f>
        <v>0.58997050147492625</v>
      </c>
      <c r="CE12" s="8">
        <f ca="1">OFFSET(Database!$F12,0,COLUMN(Database!CB12)*2-12)</f>
        <v>0.1237034922447426</v>
      </c>
      <c r="CF12" s="8">
        <f ca="1">OFFSET(Database!$F12,0,COLUMN(Database!CC12)*2-12)</f>
        <v>0.10467218574555143</v>
      </c>
      <c r="CG12" s="8">
        <f ca="1">OFFSET(Database!$F12,0,COLUMN(Database!CD12)*2-12)</f>
        <v>1.6176610524312494E-2</v>
      </c>
      <c r="CH12" s="8" t="str">
        <f ca="1">OFFSET(Database!$F12,0,COLUMN(Database!CE12)*2-12)</f>
        <v>&lt;0.0095</v>
      </c>
      <c r="CI12" s="8">
        <f ca="1">OFFSET(Database!$F12,0,COLUMN(Database!CF12)*2-12)</f>
        <v>0.3520791702350366</v>
      </c>
      <c r="CJ12" s="8">
        <f ca="1">OFFSET(Database!$F12,0,COLUMN(Database!CG12)*2-12)</f>
        <v>0.39965743648301455</v>
      </c>
      <c r="CK12" s="8">
        <f ca="1">OFFSET(Database!$F12,0,COLUMN(Database!CH12)*2-12)</f>
        <v>0.13321914549433819</v>
      </c>
      <c r="CL12" s="8">
        <f ca="1">OFFSET(Database!$F12,0,COLUMN(Database!CI12)*2-12)</f>
        <v>0.41868874298220571</v>
      </c>
      <c r="CM12" s="8">
        <f ca="1">OFFSET(Database!$F12,0,COLUMN(Database!CJ12)*2-12)</f>
        <v>0.63754876772290414</v>
      </c>
      <c r="CN12" s="8">
        <f ca="1">OFFSET(Database!$F12,0,COLUMN(Database!CK12)*2-12)</f>
        <v>0.11418783899514701</v>
      </c>
      <c r="CO12" s="8">
        <f ca="1">OFFSET(Database!$F12,0,COLUMN(Database!CL12)*2-12)</f>
        <v>0.33304786373584544</v>
      </c>
      <c r="CP12" s="8">
        <f ca="1">OFFSET(Database!$F12,0,COLUMN(Database!CM12)*2-12)</f>
        <v>3.42</v>
      </c>
      <c r="CQ12" s="8">
        <f ca="1">OFFSET(Database!$F12,0,COLUMN(Database!CN12)*2-12)</f>
        <v>0.74</v>
      </c>
      <c r="CR12" s="8">
        <f ca="1">OFFSET(Database!$F12,0,COLUMN(Database!CO12)*2-12)</f>
        <v>0.62</v>
      </c>
      <c r="CS12" s="8">
        <f ca="1">OFFSET(Database!$F12,0,COLUMN(Database!CP12)*2-12)</f>
        <v>0.76</v>
      </c>
      <c r="CT12" s="8" t="str">
        <f ca="1">OFFSET(Database!$F12,0,COLUMN(Database!CQ12)*2-12)</f>
        <v>&lt;0.1</v>
      </c>
      <c r="CU12" s="8" t="str">
        <f ca="1">OFFSET(Database!$F12,0,COLUMN(Database!CR12)*2-12)</f>
        <v>&lt;0.1</v>
      </c>
      <c r="CV12" s="8" t="str">
        <f ca="1">OFFSET(Database!$F12,0,COLUMN(Database!CS12)*2-12)</f>
        <v>&lt;0.1</v>
      </c>
      <c r="CW12" s="8">
        <f ca="1">OFFSET(Database!$F12,0,COLUMN(Database!CT12)*2-12)</f>
        <v>0.17</v>
      </c>
      <c r="CX12" s="8">
        <f ca="1">OFFSET(Database!$F12,0,COLUMN(Database!CU12)*2-12)</f>
        <v>4.6500000000000004</v>
      </c>
      <c r="CY12" s="8" t="str">
        <f ca="1">OFFSET(Database!$F12,0,COLUMN(Database!CV12)*2-12)</f>
        <v>&lt;0.1</v>
      </c>
      <c r="CZ12" s="8">
        <f ca="1">OFFSET(Database!$F12,0,COLUMN(Database!CW12)*2-12)</f>
        <v>0.28999999999999998</v>
      </c>
      <c r="DA12" s="8">
        <f ca="1">OFFSET(Database!$F12,0,COLUMN(Database!CX12)*2-12)</f>
        <v>0.46</v>
      </c>
      <c r="DB12" s="8">
        <f ca="1">OFFSET(Database!$F12,0,COLUMN(Database!CY12)*2-12)</f>
        <v>0.18</v>
      </c>
      <c r="DC12" s="8">
        <f ca="1">OFFSET(Database!$F12,0,COLUMN(Database!CZ12)*2-12)</f>
        <v>0.6</v>
      </c>
      <c r="DD12" s="8" t="str">
        <f ca="1">OFFSET(Database!$F12,0,COLUMN(Database!DA12)*2-12)</f>
        <v>&lt;0.7</v>
      </c>
      <c r="DE12" s="8" t="str">
        <f ca="1">OFFSET(Database!$F12,0,COLUMN(Database!DB12)*2-12)</f>
        <v>&lt;0.0190</v>
      </c>
      <c r="DF12" s="8">
        <f ca="1">OFFSET(Database!$F12,0,COLUMN(Database!DC12)*2-12)</f>
        <v>14.8565</v>
      </c>
      <c r="DG12" s="8">
        <f ca="1">OFFSET(Database!$F12,0,COLUMN(Database!DD12)*2-12)</f>
        <v>10.5807</v>
      </c>
      <c r="DH12" s="8">
        <f ca="1">OFFSET(Database!$F12,0,COLUMN(Database!DE12)*2-12)</f>
        <v>34.701599999999999</v>
      </c>
      <c r="DI12" s="8">
        <f ca="1">OFFSET(Database!$F12,0,COLUMN(Database!DF12)*2-12)</f>
        <v>32.014299999999999</v>
      </c>
      <c r="DJ12" s="8">
        <f ca="1">OFFSET(Database!$F12,0,COLUMN(Database!DG12)*2-12)</f>
        <v>38.833799999999997</v>
      </c>
      <c r="DK12" s="8">
        <f ca="1">OFFSET(Database!$F12,0,COLUMN(Database!DH12)*2-12)</f>
        <v>10.861599999999999</v>
      </c>
      <c r="DL12" s="8">
        <f ca="1">OFFSET(Database!$F12,0,COLUMN(Database!DI12)*2-12)</f>
        <v>1.6198999999999999</v>
      </c>
      <c r="DM12" s="8">
        <f ca="1">OFFSET(Database!$F12,0,COLUMN(Database!DJ12)*2-12)</f>
        <v>14.0343</v>
      </c>
      <c r="DN12" s="8">
        <f ca="1">OFFSET(Database!$F12,0,COLUMN(Database!DK12)*2-12)</f>
        <v>5</v>
      </c>
      <c r="DO12" s="8">
        <f ca="1">OFFSET(Database!$F12,0,COLUMN(Database!DL12)*2-12)</f>
        <v>5</v>
      </c>
      <c r="DP12" s="8" t="str">
        <f ca="1">OFFSET(Database!$F12,0,COLUMN(Database!DM12)*2-12)</f>
        <v>l.o.q.</v>
      </c>
      <c r="DQ12" s="8" t="str">
        <f ca="1">OFFSET(Database!$F12,0,COLUMN(Database!DN12)*2-12)</f>
        <v>l.o.q.</v>
      </c>
      <c r="DR12" s="8" t="str">
        <f ca="1">OFFSET(Database!$F12,0,COLUMN(Database!DO12)*2-12)</f>
        <v>b.d.</v>
      </c>
      <c r="DS12" s="8" t="str">
        <f ca="1">OFFSET(Database!$F12,0,COLUMN(Database!DP12)*2-12)</f>
        <v>b.d.</v>
      </c>
      <c r="DT12" s="8" t="str">
        <f ca="1">OFFSET(Database!$F12,0,COLUMN(Database!DQ12)*2-12)</f>
        <v>l.o.q.</v>
      </c>
      <c r="DU12" s="8" t="str">
        <f ca="1">OFFSET(Database!$F12,0,COLUMN(Database!DR12)*2-12)</f>
        <v>b.b.</v>
      </c>
      <c r="DV12" s="8" t="str">
        <f ca="1">OFFSET(Database!$F12,0,COLUMN(Database!DS12)*2-12)</f>
        <v>b.b.</v>
      </c>
      <c r="DW12" s="8" t="str">
        <f ca="1">OFFSET(Database!$F12,0,COLUMN(Database!DT12)*2-12)</f>
        <v>n.r.</v>
      </c>
      <c r="DX12" s="8" t="str">
        <f ca="1">OFFSET(Database!$F12,0,COLUMN(Database!DU12)*2-12)</f>
        <v>n.r.</v>
      </c>
      <c r="DY12" s="8" t="str">
        <f ca="1">OFFSET(Database!$F12,0,COLUMN(Database!DV12)*2-12)</f>
        <v>n.r.</v>
      </c>
      <c r="DZ12" s="8" t="str">
        <f ca="1">OFFSET(Database!$F12,0,COLUMN(Database!DW12)*2-12)</f>
        <v>n.r.</v>
      </c>
      <c r="EA12" s="8" t="str">
        <f ca="1">OFFSET(Database!$F12,0,COLUMN(Database!DX12)*2-12)</f>
        <v>n.r.</v>
      </c>
      <c r="EB12" s="8" t="str">
        <f ca="1">OFFSET(Database!$F12,0,COLUMN(Database!DY12)*2-12)</f>
        <v>n.r.</v>
      </c>
      <c r="EC12" s="8" t="str">
        <f ca="1">OFFSET(Database!$F12,0,COLUMN(Database!DZ12)*2-12)</f>
        <v>&lt;2.7</v>
      </c>
      <c r="ED12" s="8" t="str">
        <f ca="1">OFFSET(Database!$F12,0,COLUMN(Database!EA12)*2-12)</f>
        <v>n.r.</v>
      </c>
      <c r="EE12" s="8" t="str">
        <f ca="1">OFFSET(Database!$F12,0,COLUMN(Database!EB12)*2-12)</f>
        <v>n.r.</v>
      </c>
      <c r="EF12" s="8" t="str">
        <f ca="1">OFFSET(Database!$F12,0,COLUMN(Database!EC12)*2-12)</f>
        <v>n.r.</v>
      </c>
      <c r="EG12" s="8" t="str">
        <f ca="1">OFFSET(Database!$F12,0,COLUMN(Database!ED12)*2-12)</f>
        <v>n.r.</v>
      </c>
      <c r="EH12" s="8" t="str">
        <f ca="1">OFFSET(Database!$F12,0,COLUMN(Database!EE12)*2-12)</f>
        <v>n.r.</v>
      </c>
      <c r="EI12" s="8" t="str">
        <f ca="1">OFFSET(Database!$F12,0,COLUMN(Database!EF12)*2-12)</f>
        <v>n.r.</v>
      </c>
      <c r="EJ12" s="8" t="str">
        <f ca="1">OFFSET(Database!$F12,0,COLUMN(Database!EG12)*2-12)</f>
        <v>n.r.</v>
      </c>
      <c r="EK12" s="8" t="str">
        <f ca="1">OFFSET(Database!$F12,0,COLUMN(Database!EH12)*2-12)</f>
        <v>n.r.</v>
      </c>
      <c r="EL12" s="8" t="str">
        <f ca="1">OFFSET(Database!$F12,0,COLUMN(Database!EI12)*2-12)</f>
        <v>n.r.</v>
      </c>
      <c r="EM12" s="8" t="str">
        <f ca="1">OFFSET(Database!$F12,0,COLUMN(Database!EJ12)*2-12)</f>
        <v>n.r.</v>
      </c>
      <c r="EN12" s="8" t="str">
        <f ca="1">OFFSET(Database!$F12,0,COLUMN(Database!EK12)*2-12)</f>
        <v>n.r.</v>
      </c>
      <c r="EO12" s="8" t="str">
        <f ca="1">OFFSET(Database!$F12,0,COLUMN(Database!EL12)*2-12)</f>
        <v>n.r.</v>
      </c>
      <c r="EP12" s="8" t="str">
        <f ca="1">OFFSET(Database!$F12,0,COLUMN(Database!EM12)*2-12)</f>
        <v>n.r.</v>
      </c>
      <c r="EQ12" s="8" t="str">
        <f ca="1">OFFSET(Database!$F12,0,COLUMN(Database!EN12)*2-12)</f>
        <v>n.r.</v>
      </c>
      <c r="ER12" s="8">
        <f ca="1">OFFSET(Database!$F12,0,COLUMN(Database!EO12)*2-12)</f>
        <v>1630.9976793331614</v>
      </c>
      <c r="ES12" s="8">
        <f ca="1">OFFSET(Database!$F12,0,COLUMN(Database!EP12)*2-12)</f>
        <v>1273.5307360424667</v>
      </c>
      <c r="ET12" s="8">
        <f ca="1">OFFSET(Database!$F12,0,COLUMN(Database!EQ12)*2-12)</f>
        <v>1501.1470865146073</v>
      </c>
      <c r="EU12" s="8">
        <f ca="1">OFFSET(Database!$F12,0,COLUMN(Database!ER12)*2-12)</f>
        <v>6224.5885644573145</v>
      </c>
      <c r="EV12" s="8">
        <f ca="1">OFFSET(Database!$F12,0,COLUMN(Database!ES12)*2-12)</f>
        <v>1980.8713370166245</v>
      </c>
      <c r="EW12" s="8" t="str">
        <f ca="1">OFFSET(Database!$F12,0,COLUMN(Database!ET12)*2-12)</f>
        <v>n.r.</v>
      </c>
      <c r="EX12" s="8" t="str">
        <f ca="1">OFFSET(Database!$F12,0,COLUMN(Database!EU12)*2-12)</f>
        <v>n.r.</v>
      </c>
      <c r="EY12" s="8" t="str">
        <f ca="1">OFFSET(Database!$F12,0,COLUMN(Database!EV12)*2-12)</f>
        <v>n.r.</v>
      </c>
      <c r="EZ12" s="8" t="str">
        <f ca="1">OFFSET(Database!$F12,0,COLUMN(Database!EW12)*2-12)</f>
        <v>n.r.</v>
      </c>
      <c r="FA12" s="8" t="str">
        <f ca="1">OFFSET(Database!$F12,0,COLUMN(Database!EX12)*2-12)</f>
        <v>n.r.</v>
      </c>
      <c r="FB12" s="8">
        <f ca="1">OFFSET(Database!$F12,0,COLUMN(Database!EY12)*2-12)</f>
        <v>227</v>
      </c>
      <c r="FC12" s="8">
        <f ca="1">OFFSET(Database!$F12,0,COLUMN(Database!EZ12)*2-12)</f>
        <v>127</v>
      </c>
      <c r="FD12" s="8">
        <f ca="1">OFFSET(Database!$F12,0,COLUMN(Database!FA12)*2-12)</f>
        <v>1841.3</v>
      </c>
      <c r="FE12" s="8">
        <f ca="1">OFFSET(Database!$F12,0,COLUMN(Database!FB12)*2-12)</f>
        <v>3530.4</v>
      </c>
      <c r="FF12" s="8">
        <f ca="1">OFFSET(Database!$F12,0,COLUMN(Database!FC12)*2-12)</f>
        <v>3116.1</v>
      </c>
      <c r="FG12" s="8" t="str">
        <f ca="1">OFFSET(Database!$F12,0,COLUMN(Database!FD12)*2-12)</f>
        <v>n.r.</v>
      </c>
      <c r="FH12" s="8">
        <f ca="1">OFFSET(Database!$F12,0,COLUMN(Database!FE12)*2-12)</f>
        <v>1500</v>
      </c>
      <c r="FI12" s="8">
        <f ca="1">OFFSET(Database!$F12,0,COLUMN(Database!FF12)*2-12)</f>
        <v>1100</v>
      </c>
      <c r="FJ12" s="8">
        <f ca="1">OFFSET(Database!$F12,0,COLUMN(Database!FG12)*2-12)</f>
        <v>860</v>
      </c>
      <c r="FK12" s="8" t="str">
        <f ca="1">OFFSET(Database!$F12,0,COLUMN(Database!FH12)*2-12)</f>
        <v>n.r.</v>
      </c>
      <c r="FL12" s="8" t="str">
        <f ca="1">OFFSET(Database!$F12,0,COLUMN(Database!FI12)*2-12)</f>
        <v>n.r.</v>
      </c>
      <c r="FM12" s="8" t="str">
        <f ca="1">OFFSET(Database!$F12,0,COLUMN(Database!FJ12)*2-12)</f>
        <v>n.r.</v>
      </c>
      <c r="FN12" s="8" t="str">
        <f ca="1">OFFSET(Database!$F12,0,COLUMN(Database!FK12)*2-12)</f>
        <v>n.r.</v>
      </c>
      <c r="FO12" s="8" t="str">
        <f ca="1">OFFSET(Database!$F12,0,COLUMN(Database!FL12)*2-12)</f>
        <v>n.r.</v>
      </c>
      <c r="FP12" s="8" t="str">
        <f ca="1">OFFSET(Database!$F12,0,COLUMN(Database!FM12)*2-12)</f>
        <v>n.r.</v>
      </c>
      <c r="FQ12" s="8" t="str">
        <f ca="1">OFFSET(Database!$F12,0,COLUMN(Database!FN12)*2-12)</f>
        <v>n.r.</v>
      </c>
      <c r="FR12" s="8" t="str">
        <f ca="1">OFFSET(Database!$F12,0,COLUMN(Database!FO12)*2-12)</f>
        <v>n.r.</v>
      </c>
      <c r="FS12" s="8" t="str">
        <f ca="1">OFFSET(Database!$F12,0,COLUMN(Database!FP12)*2-12)</f>
        <v>n.r.</v>
      </c>
      <c r="FT12" s="8" t="str">
        <f ca="1">OFFSET(Database!$F12,0,COLUMN(Database!FQ12)*2-12)</f>
        <v>n.r.</v>
      </c>
      <c r="FU12" s="8" t="str">
        <f ca="1">OFFSET(Database!$F12,0,COLUMN(Database!FR12)*2-12)</f>
        <v>n.r.</v>
      </c>
      <c r="FV12" s="8" t="str">
        <f ca="1">OFFSET(Database!$F12,0,COLUMN(Database!FS12)*2-12)</f>
        <v>n.r.</v>
      </c>
      <c r="FW12" s="8" t="str">
        <f ca="1">OFFSET(Database!$F12,0,COLUMN(Database!FT12)*2-12)</f>
        <v>n.r.</v>
      </c>
      <c r="FX12" s="8" t="str">
        <f ca="1">OFFSET(Database!$F12,0,COLUMN(Database!FU12)*2-12)</f>
        <v>n.r.</v>
      </c>
      <c r="FY12" s="8" t="str">
        <f ca="1">OFFSET(Database!$F12,0,COLUMN(Database!FV12)*2-12)</f>
        <v>n.r.</v>
      </c>
      <c r="FZ12" s="8" t="str">
        <f ca="1">OFFSET(Database!$F12,0,COLUMN(Database!FW12)*2-12)</f>
        <v>n.r.</v>
      </c>
      <c r="GA12" s="8" t="str">
        <f ca="1">OFFSET(Database!$F12,0,COLUMN(Database!FX12)*2-12)</f>
        <v>n.r.</v>
      </c>
      <c r="GB12" s="8" t="str">
        <f ca="1">OFFSET(Database!$F12,0,COLUMN(Database!FY12)*2-12)</f>
        <v>n.r.</v>
      </c>
      <c r="GC12" s="8" t="str">
        <f ca="1">OFFSET(Database!$F12,0,COLUMN(Database!FZ12)*2-12)</f>
        <v>n.r.</v>
      </c>
      <c r="GD12" s="8" t="str">
        <f ca="1">OFFSET(Database!$F12,0,COLUMN(Database!GA12)*2-12)</f>
        <v>n.r.</v>
      </c>
      <c r="GE12" s="8" t="str">
        <f ca="1">OFFSET(Database!$F12,0,COLUMN(Database!GB12)*2-12)</f>
        <v>n.r.</v>
      </c>
      <c r="GF12" s="8" t="str">
        <f ca="1">OFFSET(Database!$F12,0,COLUMN(Database!GC12)*2-12)</f>
        <v>n.r.</v>
      </c>
      <c r="GG12" s="8" t="str">
        <f ca="1">OFFSET(Database!$F12,0,COLUMN(Database!GD12)*2-12)</f>
        <v>n.r.</v>
      </c>
      <c r="GH12" s="8" t="str">
        <f ca="1">OFFSET(Database!$F12,0,COLUMN(Database!GE12)*2-12)</f>
        <v>n.r.</v>
      </c>
      <c r="GI12" s="8" t="str">
        <f ca="1">OFFSET(Database!$F12,0,COLUMN(Database!GF12)*2-12)</f>
        <v>n.r.</v>
      </c>
      <c r="GJ12" s="8" t="str">
        <f ca="1">OFFSET(Database!$F12,0,COLUMN(Database!GG12)*2-12)</f>
        <v>n.r.</v>
      </c>
      <c r="GK12" s="8" t="str">
        <f ca="1">OFFSET(Database!$F12,0,COLUMN(Database!GH12)*2-12)</f>
        <v>n.r.</v>
      </c>
      <c r="GL12" s="8" t="str">
        <f ca="1">OFFSET(Database!$F12,0,COLUMN(Database!GI12)*2-12)</f>
        <v>n.r.</v>
      </c>
      <c r="GM12" s="8" t="str">
        <f ca="1">OFFSET(Database!$F12,0,COLUMN(Database!GJ12)*2-12)</f>
        <v>n.r.</v>
      </c>
      <c r="GN12" s="8" t="str">
        <f ca="1">OFFSET(Database!$F12,0,COLUMN(Database!GK12)*2-12)</f>
        <v>n.r.</v>
      </c>
      <c r="GO12" s="8">
        <f ca="1">OFFSET(Database!$F12,0,COLUMN(Database!GL12)*2-12)</f>
        <v>51.384527547816155</v>
      </c>
      <c r="GP12" s="8">
        <f ca="1">OFFSET(Database!$F12,0,COLUMN(Database!GM12)*2-12)</f>
        <v>266.43829098867639</v>
      </c>
    </row>
    <row r="13" spans="1:198" x14ac:dyDescent="0.2">
      <c r="A13" s="50" t="str">
        <f>Database!A13</f>
        <v>serine</v>
      </c>
      <c r="B13" s="1" t="s">
        <v>862</v>
      </c>
      <c r="C13" s="4" t="str">
        <f>Database!B13</f>
        <v>ɑ</v>
      </c>
      <c r="D13" s="4" t="str">
        <f>Database!C13</f>
        <v>Both</v>
      </c>
      <c r="E13" s="74">
        <f>Database!D13</f>
        <v>57</v>
      </c>
      <c r="F13" s="1" t="s">
        <v>1021</v>
      </c>
      <c r="G13" s="1" t="s">
        <v>1138</v>
      </c>
      <c r="H13" s="1">
        <f>Database!E13</f>
        <v>105.09</v>
      </c>
      <c r="I13" s="8" t="str">
        <f ca="1">OFFSET(Database!$F13,0,COLUMN(Database!F13)*2-12)</f>
        <v>n.r.</v>
      </c>
      <c r="J13" s="8" t="str">
        <f ca="1">OFFSET(Database!$F13,0,COLUMN(Database!G13)*2-12)</f>
        <v>n.r.</v>
      </c>
      <c r="K13" s="8" t="str">
        <f ca="1">OFFSET(Database!$F13,0,COLUMN(Database!H13)*2-12)</f>
        <v>n.r.</v>
      </c>
      <c r="L13" s="8" t="str">
        <f ca="1">OFFSET(Database!$F13,0,COLUMN(Database!I13)*2-12)</f>
        <v>n.r.</v>
      </c>
      <c r="M13" s="8" t="str">
        <f ca="1">OFFSET(Database!$F13,0,COLUMN(Database!J13)*2-12)</f>
        <v>n.r.</v>
      </c>
      <c r="N13" s="8" t="str">
        <f ca="1">OFFSET(Database!$F13,0,COLUMN(Database!K13)*2-12)</f>
        <v>n.r.</v>
      </c>
      <c r="O13" s="8" t="str">
        <f ca="1">OFFSET(Database!$F13,0,COLUMN(Database!L13)*2-12)</f>
        <v>n.r.</v>
      </c>
      <c r="P13" s="8" t="str">
        <f ca="1">OFFSET(Database!$F13,0,COLUMN(Database!M13)*2-12)</f>
        <v>n.r.</v>
      </c>
      <c r="Q13" s="8" t="str">
        <f ca="1">OFFSET(Database!$F13,0,COLUMN(Database!N13)*2-12)</f>
        <v>n.r.</v>
      </c>
      <c r="R13" s="8">
        <f ca="1">OFFSET(Database!$F13,0,COLUMN(Database!O13)*2-12)</f>
        <v>17.2</v>
      </c>
      <c r="S13" s="8" t="str">
        <f ca="1">OFFSET(Database!$F13,0,COLUMN(Database!P13)*2-12)</f>
        <v>n.r.</v>
      </c>
      <c r="T13" s="8" t="str">
        <f ca="1">OFFSET(Database!$F13,0,COLUMN(Database!Q13)*2-12)</f>
        <v>n.r.</v>
      </c>
      <c r="U13" s="8" t="str">
        <f ca="1">OFFSET(Database!$F13,0,COLUMN(Database!R13)*2-12)</f>
        <v>n.r.</v>
      </c>
      <c r="V13" s="8" t="str">
        <f ca="1">OFFSET(Database!$F13,0,COLUMN(Database!S13)*2-12)</f>
        <v>n.r.</v>
      </c>
      <c r="W13" s="8" t="str">
        <f ca="1">OFFSET(Database!$F13,0,COLUMN(Database!T13)*2-12)</f>
        <v>n.r.</v>
      </c>
      <c r="X13" s="8" t="str">
        <f ca="1">OFFSET(Database!$F13,0,COLUMN(Database!U13)*2-12)</f>
        <v>n.r.</v>
      </c>
      <c r="Y13" s="8" t="str">
        <f ca="1">OFFSET(Database!$F13,0,COLUMN(Database!V13)*2-12)</f>
        <v>n.r.</v>
      </c>
      <c r="Z13" s="8" t="str">
        <f ca="1">OFFSET(Database!$F13,0,COLUMN(Database!W13)*2-12)</f>
        <v>n.r.</v>
      </c>
      <c r="AA13" s="8" t="str">
        <f ca="1">OFFSET(Database!$F13,0,COLUMN(Database!X13)*2-12)</f>
        <v>n.r.</v>
      </c>
      <c r="AB13" s="8" t="str">
        <f ca="1">OFFSET(Database!$F13,0,COLUMN(Database!Y13)*2-12)</f>
        <v>n.r.</v>
      </c>
      <c r="AC13" s="8" t="str">
        <f ca="1">OFFSET(Database!$F13,0,COLUMN(Database!Z13)*2-12)</f>
        <v>n.r.</v>
      </c>
      <c r="AD13" s="8" t="str">
        <f ca="1">OFFSET(Database!$F13,0,COLUMN(Database!AA13)*2-12)</f>
        <v>n.r.</v>
      </c>
      <c r="AE13" s="8" t="str">
        <f ca="1">OFFSET(Database!$F13,0,COLUMN(Database!AB13)*2-12)</f>
        <v>n.r.</v>
      </c>
      <c r="AF13" s="8" t="str">
        <f ca="1">OFFSET(Database!$F13,0,COLUMN(Database!AC13)*2-12)</f>
        <v>n.r.</v>
      </c>
      <c r="AG13" s="8" t="str">
        <f ca="1">OFFSET(Database!$F13,0,COLUMN(Database!AD13)*2-12)</f>
        <v>n.r.</v>
      </c>
      <c r="AH13" s="8" t="str">
        <f ca="1">OFFSET(Database!$F13,0,COLUMN(Database!AE13)*2-12)</f>
        <v>n.r.</v>
      </c>
      <c r="AI13" s="8" t="str">
        <f ca="1">OFFSET(Database!$F13,0,COLUMN(Database!AF13)*2-12)</f>
        <v>n.r.</v>
      </c>
      <c r="AJ13" s="8" t="str">
        <f ca="1">OFFSET(Database!$F13,0,COLUMN(Database!AG13)*2-12)</f>
        <v>n.r.</v>
      </c>
      <c r="AK13" s="8" t="str">
        <f ca="1">OFFSET(Database!$F13,0,COLUMN(Database!AH13)*2-12)</f>
        <v>n.r.</v>
      </c>
      <c r="AL13" s="8" t="str">
        <f ca="1">OFFSET(Database!$F13,0,COLUMN(Database!AI13)*2-12)</f>
        <v>n.r.</v>
      </c>
      <c r="AM13" s="8" t="str">
        <f ca="1">OFFSET(Database!$F13,0,COLUMN(Database!AJ13)*2-12)</f>
        <v>n.r.</v>
      </c>
      <c r="AN13" s="8" t="str">
        <f ca="1">OFFSET(Database!$F13,0,COLUMN(Database!AK13)*2-12)</f>
        <v>n.r.</v>
      </c>
      <c r="AO13" s="8" t="str">
        <f ca="1">OFFSET(Database!$F13,0,COLUMN(Database!AL13)*2-12)</f>
        <v>n.r.</v>
      </c>
      <c r="AP13" s="8" t="str">
        <f ca="1">OFFSET(Database!$F13,0,COLUMN(Database!AM13)*2-12)</f>
        <v>n.r.</v>
      </c>
      <c r="AQ13" s="8" t="str">
        <f ca="1">OFFSET(Database!$F13,0,COLUMN(Database!AN13)*2-12)</f>
        <v>n.r.</v>
      </c>
      <c r="AR13" s="8" t="str">
        <f ca="1">OFFSET(Database!$F13,0,COLUMN(Database!AO13)*2-12)</f>
        <v>n.r.</v>
      </c>
      <c r="AS13" s="8" t="str">
        <f ca="1">OFFSET(Database!$F13,0,COLUMN(Database!AP13)*2-12)</f>
        <v>n.r.</v>
      </c>
      <c r="AT13" s="8" t="str">
        <f ca="1">OFFSET(Database!$F13,0,COLUMN(Database!AQ13)*2-12)</f>
        <v>n.r.</v>
      </c>
      <c r="AU13" s="8" t="str">
        <f ca="1">OFFSET(Database!$F13,0,COLUMN(Database!AR13)*2-12)</f>
        <v>n.r.</v>
      </c>
      <c r="AV13" s="8" t="str">
        <f ca="1">OFFSET(Database!$F13,0,COLUMN(Database!AS13)*2-12)</f>
        <v>n.r.</v>
      </c>
      <c r="AW13" s="8" t="str">
        <f ca="1">OFFSET(Database!$F13,0,COLUMN(Database!AT13)*2-12)</f>
        <v>n.r.</v>
      </c>
      <c r="AX13" s="8" t="str">
        <f ca="1">OFFSET(Database!$F13,0,COLUMN(Database!AU13)*2-12)</f>
        <v>n.r.</v>
      </c>
      <c r="AY13" s="8" t="str">
        <f ca="1">OFFSET(Database!$F13,0,COLUMN(Database!AV13)*2-12)</f>
        <v>n.r.</v>
      </c>
      <c r="AZ13" s="8" t="str">
        <f ca="1">OFFSET(Database!$F13,0,COLUMN(Database!AW13)*2-12)</f>
        <v>n.r.</v>
      </c>
      <c r="BA13" s="8" t="str">
        <f ca="1">OFFSET(Database!$F13,0,COLUMN(Database!AX13)*2-12)</f>
        <v>n.r.</v>
      </c>
      <c r="BB13" s="8" t="str">
        <f ca="1">OFFSET(Database!$F13,0,COLUMN(Database!AY13)*2-12)</f>
        <v>n.r.</v>
      </c>
      <c r="BC13" s="8" t="str">
        <f ca="1">OFFSET(Database!$F13,0,COLUMN(Database!AZ13)*2-12)</f>
        <v>n.r.</v>
      </c>
      <c r="BD13" s="8" t="str">
        <f ca="1">OFFSET(Database!$F13,0,COLUMN(Database!BA13)*2-12)</f>
        <v>n.r.</v>
      </c>
      <c r="BE13" s="8" t="str">
        <f ca="1">OFFSET(Database!$F13,0,COLUMN(Database!BB13)*2-12)</f>
        <v>n.r.</v>
      </c>
      <c r="BF13" s="8" t="str">
        <f ca="1">OFFSET(Database!$F13,0,COLUMN(Database!BC13)*2-12)</f>
        <v>n.r.</v>
      </c>
      <c r="BG13" s="8" t="str">
        <f ca="1">OFFSET(Database!$F13,0,COLUMN(Database!BD13)*2-12)</f>
        <v>n.r.</v>
      </c>
      <c r="BH13" s="8" t="str">
        <f ca="1">OFFSET(Database!$F13,0,COLUMN(Database!BE13)*2-12)</f>
        <v>n.r.</v>
      </c>
      <c r="BI13" s="8" t="str">
        <f ca="1">OFFSET(Database!$F13,0,COLUMN(Database!BF13)*2-12)</f>
        <v>n.r.</v>
      </c>
      <c r="BJ13" s="8" t="str">
        <f ca="1">OFFSET(Database!$F13,0,COLUMN(Database!BG13)*2-12)</f>
        <v>n.r.</v>
      </c>
      <c r="BK13" s="8" t="str">
        <f ca="1">OFFSET(Database!$F13,0,COLUMN(Database!BH13)*2-12)</f>
        <v>n.r.</v>
      </c>
      <c r="BL13" s="8" t="str">
        <f ca="1">OFFSET(Database!$F13,0,COLUMN(Database!BI13)*2-12)</f>
        <v>n.r.</v>
      </c>
      <c r="BM13" s="8" t="str">
        <f ca="1">OFFSET(Database!$F13,0,COLUMN(Database!BJ13)*2-12)</f>
        <v>n.r.</v>
      </c>
      <c r="BN13" s="8" t="str">
        <f ca="1">OFFSET(Database!$F13,0,COLUMN(Database!BK13)*2-12)</f>
        <v>n.r.</v>
      </c>
      <c r="BO13" s="8" t="str">
        <f ca="1">OFFSET(Database!$F13,0,COLUMN(Database!BL13)*2-12)</f>
        <v>n.r.</v>
      </c>
      <c r="BP13" s="8" t="str">
        <f ca="1">OFFSET(Database!$F13,0,COLUMN(Database!BM13)*2-12)</f>
        <v>n.r.</v>
      </c>
      <c r="BQ13" s="8" t="str">
        <f ca="1">OFFSET(Database!$F13,0,COLUMN(Database!BN13)*2-12)</f>
        <v>n.r.</v>
      </c>
      <c r="BR13" s="8" t="str">
        <f ca="1">OFFSET(Database!$F13,0,COLUMN(Database!BO13)*2-12)</f>
        <v>n.r.</v>
      </c>
      <c r="BS13" s="8" t="str">
        <f ca="1">OFFSET(Database!$F13,0,COLUMN(Database!BP13)*2-12)</f>
        <v>n.r.</v>
      </c>
      <c r="BT13" s="8" t="str">
        <f ca="1">OFFSET(Database!$F13,0,COLUMN(Database!BQ13)*2-12)</f>
        <v>n.r.</v>
      </c>
      <c r="BU13" s="8" t="str">
        <f ca="1">OFFSET(Database!$F13,0,COLUMN(Database!BR13)*2-12)</f>
        <v>n.r.</v>
      </c>
      <c r="BV13" s="8" t="str">
        <f ca="1">OFFSET(Database!$F13,0,COLUMN(Database!BS13)*2-12)</f>
        <v>n.r.</v>
      </c>
      <c r="BW13" s="8" t="str">
        <f ca="1">OFFSET(Database!$F13,0,COLUMN(Database!BT13)*2-12)</f>
        <v>n.r.</v>
      </c>
      <c r="BX13" s="8" t="str">
        <f ca="1">OFFSET(Database!$F13,0,COLUMN(Database!BU13)*2-12)</f>
        <v>n.r.</v>
      </c>
      <c r="BY13" s="8" t="str">
        <f ca="1">OFFSET(Database!$F13,0,COLUMN(Database!BV13)*2-12)</f>
        <v>n.r.</v>
      </c>
      <c r="BZ13" s="8" t="str">
        <f ca="1">OFFSET(Database!$F13,0,COLUMN(Database!BW13)*2-12)</f>
        <v>n.r.</v>
      </c>
      <c r="CA13" s="8" t="str">
        <f ca="1">OFFSET(Database!$F13,0,COLUMN(Database!BX13)*2-12)</f>
        <v>n.r.</v>
      </c>
      <c r="CB13" s="8" t="str">
        <f ca="1">OFFSET(Database!$F13,0,COLUMN(Database!BY13)*2-12)</f>
        <v>n.r.</v>
      </c>
      <c r="CC13" s="8" t="str">
        <f ca="1">OFFSET(Database!$F13,0,COLUMN(Database!BZ13)*2-12)</f>
        <v>n.r.</v>
      </c>
      <c r="CD13" s="8" t="str">
        <f ca="1">OFFSET(Database!$F13,0,COLUMN(Database!CA13)*2-12)</f>
        <v>n.r.</v>
      </c>
      <c r="CE13" s="8" t="str">
        <f ca="1">OFFSET(Database!$F13,0,COLUMN(Database!CB13)*2-12)</f>
        <v>n.r.</v>
      </c>
      <c r="CF13" s="8" t="str">
        <f ca="1">OFFSET(Database!$F13,0,COLUMN(Database!CC13)*2-12)</f>
        <v>n.r.</v>
      </c>
      <c r="CG13" s="8" t="str">
        <f ca="1">OFFSET(Database!$F13,0,COLUMN(Database!CD13)*2-12)</f>
        <v>n.r.</v>
      </c>
      <c r="CH13" s="8" t="str">
        <f ca="1">OFFSET(Database!$F13,0,COLUMN(Database!CE13)*2-12)</f>
        <v>n.r.</v>
      </c>
      <c r="CI13" s="8" t="str">
        <f ca="1">OFFSET(Database!$F13,0,COLUMN(Database!CF13)*2-12)</f>
        <v>n.r.</v>
      </c>
      <c r="CJ13" s="8" t="str">
        <f ca="1">OFFSET(Database!$F13,0,COLUMN(Database!CG13)*2-12)</f>
        <v>n.r.</v>
      </c>
      <c r="CK13" s="8" t="str">
        <f ca="1">OFFSET(Database!$F13,0,COLUMN(Database!CH13)*2-12)</f>
        <v>n.r.</v>
      </c>
      <c r="CL13" s="8" t="str">
        <f ca="1">OFFSET(Database!$F13,0,COLUMN(Database!CI13)*2-12)</f>
        <v>n.r.</v>
      </c>
      <c r="CM13" s="8" t="str">
        <f ca="1">OFFSET(Database!$F13,0,COLUMN(Database!CJ13)*2-12)</f>
        <v>n.r.</v>
      </c>
      <c r="CN13" s="8" t="str">
        <f ca="1">OFFSET(Database!$F13,0,COLUMN(Database!CK13)*2-12)</f>
        <v>n.r.</v>
      </c>
      <c r="CO13" s="8" t="str">
        <f ca="1">OFFSET(Database!$F13,0,COLUMN(Database!CL13)*2-12)</f>
        <v>n.r.</v>
      </c>
      <c r="CP13" s="8" t="str">
        <f ca="1">OFFSET(Database!$F13,0,COLUMN(Database!CM13)*2-12)</f>
        <v>n.r.</v>
      </c>
      <c r="CQ13" s="8" t="str">
        <f ca="1">OFFSET(Database!$F13,0,COLUMN(Database!CN13)*2-12)</f>
        <v>n.r.</v>
      </c>
      <c r="CR13" s="8" t="str">
        <f ca="1">OFFSET(Database!$F13,0,COLUMN(Database!CO13)*2-12)</f>
        <v>n.r.</v>
      </c>
      <c r="CS13" s="8" t="str">
        <f ca="1">OFFSET(Database!$F13,0,COLUMN(Database!CP13)*2-12)</f>
        <v>n.r.</v>
      </c>
      <c r="CT13" s="8" t="str">
        <f ca="1">OFFSET(Database!$F13,0,COLUMN(Database!CQ13)*2-12)</f>
        <v>n.r.</v>
      </c>
      <c r="CU13" s="8" t="str">
        <f ca="1">OFFSET(Database!$F13,0,COLUMN(Database!CR13)*2-12)</f>
        <v>n.r.</v>
      </c>
      <c r="CV13" s="8" t="str">
        <f ca="1">OFFSET(Database!$F13,0,COLUMN(Database!CS13)*2-12)</f>
        <v>n.r.</v>
      </c>
      <c r="CW13" s="8" t="str">
        <f ca="1">OFFSET(Database!$F13,0,COLUMN(Database!CT13)*2-12)</f>
        <v>n.r.</v>
      </c>
      <c r="CX13" s="8" t="str">
        <f ca="1">OFFSET(Database!$F13,0,COLUMN(Database!CU13)*2-12)</f>
        <v>n.r.</v>
      </c>
      <c r="CY13" s="8" t="str">
        <f ca="1">OFFSET(Database!$F13,0,COLUMN(Database!CV13)*2-12)</f>
        <v>n.r.</v>
      </c>
      <c r="CZ13" s="8" t="str">
        <f ca="1">OFFSET(Database!$F13,0,COLUMN(Database!CW13)*2-12)</f>
        <v>n.r.</v>
      </c>
      <c r="DA13" s="8" t="str">
        <f ca="1">OFFSET(Database!$F13,0,COLUMN(Database!CX13)*2-12)</f>
        <v>n.r.</v>
      </c>
      <c r="DB13" s="8" t="str">
        <f ca="1">OFFSET(Database!$F13,0,COLUMN(Database!CY13)*2-12)</f>
        <v>n.r.</v>
      </c>
      <c r="DC13" s="8" t="str">
        <f ca="1">OFFSET(Database!$F13,0,COLUMN(Database!CZ13)*2-12)</f>
        <v>n.r.</v>
      </c>
      <c r="DD13" s="8" t="str">
        <f ca="1">OFFSET(Database!$F13,0,COLUMN(Database!DA13)*2-12)</f>
        <v>n.r.</v>
      </c>
      <c r="DE13" s="8" t="str">
        <f ca="1">OFFSET(Database!$F13,0,COLUMN(Database!DB13)*2-12)</f>
        <v>n.r.</v>
      </c>
      <c r="DF13" s="8" t="str">
        <f ca="1">OFFSET(Database!$F13,0,COLUMN(Database!DC13)*2-12)</f>
        <v>n.r.</v>
      </c>
      <c r="DG13" s="8" t="str">
        <f ca="1">OFFSET(Database!$F13,0,COLUMN(Database!DD13)*2-12)</f>
        <v>n.r.</v>
      </c>
      <c r="DH13" s="8" t="str">
        <f ca="1">OFFSET(Database!$F13,0,COLUMN(Database!DE13)*2-12)</f>
        <v>n.r.</v>
      </c>
      <c r="DI13" s="8" t="str">
        <f ca="1">OFFSET(Database!$F13,0,COLUMN(Database!DF13)*2-12)</f>
        <v>n.r.</v>
      </c>
      <c r="DJ13" s="8" t="str">
        <f ca="1">OFFSET(Database!$F13,0,COLUMN(Database!DG13)*2-12)</f>
        <v>n.r.</v>
      </c>
      <c r="DK13" s="8" t="str">
        <f ca="1">OFFSET(Database!$F13,0,COLUMN(Database!DH13)*2-12)</f>
        <v>n.r.</v>
      </c>
      <c r="DL13" s="8" t="str">
        <f ca="1">OFFSET(Database!$F13,0,COLUMN(Database!DI13)*2-12)</f>
        <v>n.r.</v>
      </c>
      <c r="DM13" s="8" t="str">
        <f ca="1">OFFSET(Database!$F13,0,COLUMN(Database!DJ13)*2-12)</f>
        <v>n.r.</v>
      </c>
      <c r="DN13" s="8" t="str">
        <f ca="1">OFFSET(Database!$F13,0,COLUMN(Database!DK13)*2-12)</f>
        <v>n.r.</v>
      </c>
      <c r="DO13" s="8" t="str">
        <f ca="1">OFFSET(Database!$F13,0,COLUMN(Database!DL13)*2-12)</f>
        <v>n.r.</v>
      </c>
      <c r="DP13" s="8" t="str">
        <f ca="1">OFFSET(Database!$F13,0,COLUMN(Database!DM13)*2-12)</f>
        <v>n.r.</v>
      </c>
      <c r="DQ13" s="8" t="str">
        <f ca="1">OFFSET(Database!$F13,0,COLUMN(Database!DN13)*2-12)</f>
        <v>n.r.</v>
      </c>
      <c r="DR13" s="8" t="str">
        <f ca="1">OFFSET(Database!$F13,0,COLUMN(Database!DO13)*2-12)</f>
        <v>n.r.</v>
      </c>
      <c r="DS13" s="8" t="str">
        <f ca="1">OFFSET(Database!$F13,0,COLUMN(Database!DP13)*2-12)</f>
        <v>n.r.</v>
      </c>
      <c r="DT13" s="8" t="str">
        <f ca="1">OFFSET(Database!$F13,0,COLUMN(Database!DQ13)*2-12)</f>
        <v>n.r.</v>
      </c>
      <c r="DU13" s="8" t="str">
        <f ca="1">OFFSET(Database!$F13,0,COLUMN(Database!DR13)*2-12)</f>
        <v>n.r.</v>
      </c>
      <c r="DV13" s="8" t="str">
        <f ca="1">OFFSET(Database!$F13,0,COLUMN(Database!DS13)*2-12)</f>
        <v>n.r.</v>
      </c>
      <c r="DW13" s="8">
        <f ca="1">OFFSET(Database!$F13,0,COLUMN(Database!DT13)*2-12)</f>
        <v>3</v>
      </c>
      <c r="DX13" s="8">
        <f ca="1">OFFSET(Database!$F13,0,COLUMN(Database!DU13)*2-12)</f>
        <v>0.9</v>
      </c>
      <c r="DY13" s="8">
        <f ca="1">OFFSET(Database!$F13,0,COLUMN(Database!DV13)*2-12)</f>
        <v>0.2</v>
      </c>
      <c r="DZ13" s="8">
        <f ca="1">OFFSET(Database!$F13,0,COLUMN(Database!DW13)*2-12)</f>
        <v>6.7</v>
      </c>
      <c r="EA13" s="8">
        <f ca="1">OFFSET(Database!$F13,0,COLUMN(Database!DX13)*2-12)</f>
        <v>85</v>
      </c>
      <c r="EB13" s="8">
        <f ca="1">OFFSET(Database!$F13,0,COLUMN(Database!DY13)*2-12)</f>
        <v>0.51</v>
      </c>
      <c r="EC13" s="8" t="str">
        <f ca="1">OFFSET(Database!$F13,0,COLUMN(Database!DZ13)*2-12)</f>
        <v>n.r.</v>
      </c>
      <c r="ED13" s="8">
        <f ca="1">OFFSET(Database!$F13,0,COLUMN(Database!EA13)*2-12)</f>
        <v>2.2000000000000002</v>
      </c>
      <c r="EE13" s="8">
        <f ca="1">OFFSET(Database!$F13,0,COLUMN(Database!EB13)*2-12)</f>
        <v>1300</v>
      </c>
      <c r="EF13" s="8">
        <f ca="1">OFFSET(Database!$F13,0,COLUMN(Database!EC13)*2-12)</f>
        <v>630</v>
      </c>
      <c r="EG13" s="8">
        <f ca="1">OFFSET(Database!$F13,0,COLUMN(Database!ED13)*2-12)</f>
        <v>800</v>
      </c>
      <c r="EH13" s="8">
        <f ca="1">OFFSET(Database!$F13,0,COLUMN(Database!EE13)*2-12)</f>
        <v>480</v>
      </c>
      <c r="EI13" s="8">
        <f ca="1">OFFSET(Database!$F13,0,COLUMN(Database!EF13)*2-12)</f>
        <v>0.19800000000000001</v>
      </c>
      <c r="EJ13" s="8">
        <f ca="1">OFFSET(Database!$F13,0,COLUMN(Database!EG13)*2-12)</f>
        <v>0.17599999999999999</v>
      </c>
      <c r="EK13" s="8">
        <f ca="1">OFFSET(Database!$F13,0,COLUMN(Database!EH13)*2-12)</f>
        <v>0.26600000000000001</v>
      </c>
      <c r="EL13" s="8">
        <f ca="1">OFFSET(Database!$F13,0,COLUMN(Database!EI13)*2-12)</f>
        <v>0.79300000000000004</v>
      </c>
      <c r="EM13" s="8">
        <f ca="1">OFFSET(Database!$F13,0,COLUMN(Database!EJ13)*2-12)</f>
        <v>1.0149999999999999</v>
      </c>
      <c r="EN13" s="8">
        <f ca="1">OFFSET(Database!$F13,0,COLUMN(Database!EK13)*2-12)</f>
        <v>0.56100000000000005</v>
      </c>
      <c r="EO13" s="8">
        <f ca="1">OFFSET(Database!$F13,0,COLUMN(Database!EL13)*2-12)</f>
        <v>0.58899999999999997</v>
      </c>
      <c r="EP13" s="8">
        <f ca="1">OFFSET(Database!$F13,0,COLUMN(Database!EM13)*2-12)</f>
        <v>0.58499999999999996</v>
      </c>
      <c r="EQ13" s="8">
        <f ca="1">OFFSET(Database!$F13,0,COLUMN(Database!EN13)*2-12)</f>
        <v>32.619999999999997</v>
      </c>
      <c r="ER13" s="8" t="str">
        <f ca="1">OFFSET(Database!$F13,0,COLUMN(Database!EO13)*2-12)</f>
        <v>n.r.</v>
      </c>
      <c r="ES13" s="8" t="str">
        <f ca="1">OFFSET(Database!$F13,0,COLUMN(Database!EP13)*2-12)</f>
        <v>n.r.</v>
      </c>
      <c r="ET13" s="8" t="str">
        <f ca="1">OFFSET(Database!$F13,0,COLUMN(Database!EQ13)*2-12)</f>
        <v>n.r.</v>
      </c>
      <c r="EU13" s="8" t="str">
        <f ca="1">OFFSET(Database!$F13,0,COLUMN(Database!ER13)*2-12)</f>
        <v>n.r.</v>
      </c>
      <c r="EV13" s="8" t="str">
        <f ca="1">OFFSET(Database!$F13,0,COLUMN(Database!ES13)*2-12)</f>
        <v>n.r.</v>
      </c>
      <c r="EW13" s="8">
        <f ca="1">OFFSET(Database!$F13,0,COLUMN(Database!ET13)*2-12)</f>
        <v>139600</v>
      </c>
      <c r="EX13" s="8">
        <f ca="1">OFFSET(Database!$F13,0,COLUMN(Database!EU13)*2-12)</f>
        <v>383600</v>
      </c>
      <c r="EY13" s="8">
        <f ca="1">OFFSET(Database!$F13,0,COLUMN(Database!EV13)*2-12)</f>
        <v>18400</v>
      </c>
      <c r="EZ13" s="8">
        <f ca="1">OFFSET(Database!$F13,0,COLUMN(Database!EW13)*2-12)</f>
        <v>109500</v>
      </c>
      <c r="FA13" s="8">
        <f ca="1">OFFSET(Database!$F13,0,COLUMN(Database!EX13)*2-12)</f>
        <v>275700</v>
      </c>
      <c r="FB13" s="8" t="str">
        <f ca="1">OFFSET(Database!$F13,0,COLUMN(Database!EY13)*2-12)</f>
        <v>n.r.</v>
      </c>
      <c r="FC13" s="8" t="str">
        <f ca="1">OFFSET(Database!$F13,0,COLUMN(Database!EZ13)*2-12)</f>
        <v>n.r.</v>
      </c>
      <c r="FD13" s="8" t="str">
        <f ca="1">OFFSET(Database!$F13,0,COLUMN(Database!FA13)*2-12)</f>
        <v>n.r.</v>
      </c>
      <c r="FE13" s="8" t="str">
        <f ca="1">OFFSET(Database!$F13,0,COLUMN(Database!FB13)*2-12)</f>
        <v>n.r.</v>
      </c>
      <c r="FF13" s="8" t="str">
        <f ca="1">OFFSET(Database!$F13,0,COLUMN(Database!FC13)*2-12)</f>
        <v>n.r.</v>
      </c>
      <c r="FG13" s="8">
        <f ca="1">OFFSET(Database!$F13,0,COLUMN(Database!FD13)*2-12)</f>
        <v>167475.49719288229</v>
      </c>
      <c r="FH13" s="8" t="str">
        <f ca="1">OFFSET(Database!$F13,0,COLUMN(Database!FE13)*2-12)</f>
        <v>n.r.</v>
      </c>
      <c r="FI13" s="8" t="str">
        <f ca="1">OFFSET(Database!$F13,0,COLUMN(Database!FF13)*2-12)</f>
        <v>n.r.</v>
      </c>
      <c r="FJ13" s="8" t="str">
        <f ca="1">OFFSET(Database!$F13,0,COLUMN(Database!FG13)*2-12)</f>
        <v>n.r.</v>
      </c>
      <c r="FK13" s="8">
        <f ca="1">OFFSET(Database!$F13,0,COLUMN(Database!FH13)*2-12)</f>
        <v>463412.31325530494</v>
      </c>
      <c r="FL13" s="8">
        <f ca="1">OFFSET(Database!$F13,0,COLUMN(Database!FI13)*2-12)</f>
        <v>228375.67799029403</v>
      </c>
      <c r="FM13" s="8">
        <f ca="1">OFFSET(Database!$F13,0,COLUMN(Database!FJ13)*2-12)</f>
        <v>63754.876772290416</v>
      </c>
      <c r="FN13" s="8">
        <f ca="1">OFFSET(Database!$F13,0,COLUMN(Database!FK13)*2-12)</f>
        <v>298791.51203730138</v>
      </c>
      <c r="FO13" s="8">
        <f ca="1">OFFSET(Database!$F13,0,COLUMN(Database!FL13)*2-12)</f>
        <v>403463.6977828528</v>
      </c>
      <c r="FP13" s="8">
        <f ca="1">OFFSET(Database!$F13,0,COLUMN(Database!FM13)*2-12)</f>
        <v>550956.32315158437</v>
      </c>
      <c r="FQ13" s="8">
        <f ca="1">OFFSET(Database!$F13,0,COLUMN(Database!FN13)*2-12)</f>
        <v>10467.218574555143</v>
      </c>
      <c r="FR13" s="8">
        <f ca="1">OFFSET(Database!$F13,0,COLUMN(Database!FO13)*2-12)</f>
        <v>10467.218574555143</v>
      </c>
      <c r="FS13" s="8">
        <f ca="1">OFFSET(Database!$F13,0,COLUMN(Database!FP13)*2-12)</f>
        <v>10276.905509563232</v>
      </c>
      <c r="FT13" s="8">
        <f ca="1">OFFSET(Database!$F13,0,COLUMN(Database!FQ13)*2-12)</f>
        <v>9801.1228470834521</v>
      </c>
      <c r="FU13" s="8">
        <f ca="1">OFFSET(Database!$F13,0,COLUMN(Database!FR13)*2-12)</f>
        <v>5731</v>
      </c>
      <c r="FV13" s="8">
        <f ca="1">OFFSET(Database!$F13,0,COLUMN(Database!FS13)*2-12)</f>
        <v>4715</v>
      </c>
      <c r="FW13" s="8">
        <f ca="1">OFFSET(Database!$F13,0,COLUMN(Database!FT13)*2-12)</f>
        <v>5767</v>
      </c>
      <c r="FX13" s="8">
        <f ca="1">OFFSET(Database!$F13,0,COLUMN(Database!FU13)*2-12)</f>
        <v>4533</v>
      </c>
      <c r="FY13" s="8">
        <f ca="1">OFFSET(Database!$F13,0,COLUMN(Database!FV13)*2-12)</f>
        <v>5628</v>
      </c>
      <c r="FZ13" s="8">
        <f ca="1">OFFSET(Database!$F13,0,COLUMN(Database!FW13)*2-12)</f>
        <v>5096</v>
      </c>
      <c r="GA13" s="8">
        <f ca="1">OFFSET(Database!$F13,0,COLUMN(Database!FX13)*2-12)</f>
        <v>5582</v>
      </c>
      <c r="GB13" s="8">
        <f ca="1">OFFSET(Database!$F13,0,COLUMN(Database!FY13)*2-12)</f>
        <v>6145</v>
      </c>
      <c r="GC13" s="8">
        <f ca="1">OFFSET(Database!$F13,0,COLUMN(Database!FZ13)*2-12)</f>
        <v>7023</v>
      </c>
      <c r="GD13" s="8">
        <f ca="1">OFFSET(Database!$F13,0,COLUMN(Database!GA13)*2-12)</f>
        <v>5516</v>
      </c>
      <c r="GE13" s="8">
        <f ca="1">OFFSET(Database!$F13,0,COLUMN(Database!GB13)*2-12)</f>
        <v>5349</v>
      </c>
      <c r="GF13" s="8">
        <f ca="1">OFFSET(Database!$F13,0,COLUMN(Database!GC13)*2-12)</f>
        <v>5704</v>
      </c>
      <c r="GG13" s="8">
        <f ca="1">OFFSET(Database!$F13,0,COLUMN(Database!GD13)*2-12)</f>
        <v>2436.0072318964694</v>
      </c>
      <c r="GH13" s="8">
        <f ca="1">OFFSET(Database!$F13,0,COLUMN(Database!GE13)*2-12)</f>
        <v>3482.7290893519839</v>
      </c>
      <c r="GI13" s="8">
        <f ca="1">OFFSET(Database!$F13,0,COLUMN(Database!GF13)*2-12)</f>
        <v>5147.9684080312109</v>
      </c>
      <c r="GJ13" s="8">
        <f ca="1">OFFSET(Database!$F13,0,COLUMN(Database!GG13)*2-12)</f>
        <v>4367.6848415643735</v>
      </c>
      <c r="GK13" s="8">
        <f ca="1">OFFSET(Database!$F13,0,COLUMN(Database!GH13)*2-12)</f>
        <v>32448.377581120942</v>
      </c>
      <c r="GL13" s="8">
        <f ca="1">OFFSET(Database!$F13,0,COLUMN(Database!GI13)*2-12)</f>
        <v>1179.9410029498524</v>
      </c>
      <c r="GM13" s="8">
        <f ca="1">OFFSET(Database!$F13,0,COLUMN(Database!GJ13)*2-12)</f>
        <v>291.17898943762492</v>
      </c>
      <c r="GN13" s="8">
        <f ca="1">OFFSET(Database!$F13,0,COLUMN(Database!GK13)*2-12)</f>
        <v>405366.8284327719</v>
      </c>
      <c r="GO13" s="8" t="str">
        <f ca="1">OFFSET(Database!$F13,0,COLUMN(Database!GL13)*2-12)</f>
        <v>n.r.</v>
      </c>
      <c r="GP13" s="8" t="str">
        <f ca="1">OFFSET(Database!$F13,0,COLUMN(Database!GM13)*2-12)</f>
        <v>n.r.</v>
      </c>
    </row>
    <row r="14" spans="1:198" x14ac:dyDescent="0.2">
      <c r="A14" s="50" t="str">
        <f>Database!A14</f>
        <v>D-cysteine</v>
      </c>
      <c r="B14" s="1" t="s">
        <v>863</v>
      </c>
      <c r="C14" s="4" t="str">
        <f>Database!B14</f>
        <v>ɑ</v>
      </c>
      <c r="D14" s="4" t="str">
        <f>Database!C14</f>
        <v>D</v>
      </c>
      <c r="E14" s="74">
        <f>Database!D14</f>
        <v>0</v>
      </c>
      <c r="F14" s="1" t="s">
        <v>903</v>
      </c>
      <c r="G14" s="1">
        <v>92851</v>
      </c>
      <c r="H14" s="1">
        <f>Database!E14</f>
        <v>121.16</v>
      </c>
      <c r="I14" s="8" t="str">
        <f ca="1">OFFSET(Database!$F14,0,COLUMN(Database!F14)*2-12)</f>
        <v>n.r.</v>
      </c>
      <c r="J14" s="8" t="str">
        <f ca="1">OFFSET(Database!$F14,0,COLUMN(Database!G14)*2-12)</f>
        <v>n.r.</v>
      </c>
      <c r="K14" s="8" t="str">
        <f ca="1">OFFSET(Database!$F14,0,COLUMN(Database!H14)*2-12)</f>
        <v>n.r.</v>
      </c>
      <c r="L14" s="8" t="str">
        <f ca="1">OFFSET(Database!$F14,0,COLUMN(Database!I14)*2-12)</f>
        <v>n.r.</v>
      </c>
      <c r="M14" s="8" t="str">
        <f ca="1">OFFSET(Database!$F14,0,COLUMN(Database!J14)*2-12)</f>
        <v>n.r.</v>
      </c>
      <c r="N14" s="8" t="str">
        <f ca="1">OFFSET(Database!$F14,0,COLUMN(Database!K14)*2-12)</f>
        <v>n.r.</v>
      </c>
      <c r="O14" s="8" t="str">
        <f ca="1">OFFSET(Database!$F14,0,COLUMN(Database!L14)*2-12)</f>
        <v>n.r.</v>
      </c>
      <c r="P14" s="8" t="str">
        <f ca="1">OFFSET(Database!$F14,0,COLUMN(Database!M14)*2-12)</f>
        <v>n.r.</v>
      </c>
      <c r="Q14" s="8" t="str">
        <f ca="1">OFFSET(Database!$F14,0,COLUMN(Database!N14)*2-12)</f>
        <v>n.r.</v>
      </c>
      <c r="R14" s="8" t="str">
        <f ca="1">OFFSET(Database!$F14,0,COLUMN(Database!O14)*2-12)</f>
        <v>n.r.</v>
      </c>
      <c r="S14" s="8" t="str">
        <f ca="1">OFFSET(Database!$F14,0,COLUMN(Database!P14)*2-12)</f>
        <v>n.r.</v>
      </c>
      <c r="T14" s="8" t="str">
        <f ca="1">OFFSET(Database!$F14,0,COLUMN(Database!Q14)*2-12)</f>
        <v>n.r.</v>
      </c>
      <c r="U14" s="8" t="str">
        <f ca="1">OFFSET(Database!$F14,0,COLUMN(Database!R14)*2-12)</f>
        <v>n.r.</v>
      </c>
      <c r="V14" s="8" t="str">
        <f ca="1">OFFSET(Database!$F14,0,COLUMN(Database!S14)*2-12)</f>
        <v>n.r.</v>
      </c>
      <c r="W14" s="8" t="str">
        <f ca="1">OFFSET(Database!$F14,0,COLUMN(Database!T14)*2-12)</f>
        <v>n.r.</v>
      </c>
      <c r="X14" s="8" t="str">
        <f ca="1">OFFSET(Database!$F14,0,COLUMN(Database!U14)*2-12)</f>
        <v>n.r.</v>
      </c>
      <c r="Y14" s="8" t="str">
        <f ca="1">OFFSET(Database!$F14,0,COLUMN(Database!V14)*2-12)</f>
        <v>n.r.</v>
      </c>
      <c r="Z14" s="8" t="str">
        <f ca="1">OFFSET(Database!$F14,0,COLUMN(Database!W14)*2-12)</f>
        <v>n.r.</v>
      </c>
      <c r="AA14" s="8" t="str">
        <f ca="1">OFFSET(Database!$F14,0,COLUMN(Database!X14)*2-12)</f>
        <v>n.r.</v>
      </c>
      <c r="AB14" s="8" t="str">
        <f ca="1">OFFSET(Database!$F14,0,COLUMN(Database!Y14)*2-12)</f>
        <v>n.r.</v>
      </c>
      <c r="AC14" s="8" t="str">
        <f ca="1">OFFSET(Database!$F14,0,COLUMN(Database!Z14)*2-12)</f>
        <v>n.r.</v>
      </c>
      <c r="AD14" s="8" t="str">
        <f ca="1">OFFSET(Database!$F14,0,COLUMN(Database!AA14)*2-12)</f>
        <v>n.r.</v>
      </c>
      <c r="AE14" s="8" t="str">
        <f ca="1">OFFSET(Database!$F14,0,COLUMN(Database!AB14)*2-12)</f>
        <v>n.r.</v>
      </c>
      <c r="AF14" s="8" t="str">
        <f ca="1">OFFSET(Database!$F14,0,COLUMN(Database!AC14)*2-12)</f>
        <v>n.r.</v>
      </c>
      <c r="AG14" s="8" t="str">
        <f ca="1">OFFSET(Database!$F14,0,COLUMN(Database!AD14)*2-12)</f>
        <v>n.r.</v>
      </c>
      <c r="AH14" s="8" t="str">
        <f ca="1">OFFSET(Database!$F14,0,COLUMN(Database!AE14)*2-12)</f>
        <v>n.r.</v>
      </c>
      <c r="AI14" s="8" t="str">
        <f ca="1">OFFSET(Database!$F14,0,COLUMN(Database!AF14)*2-12)</f>
        <v>n.r.</v>
      </c>
      <c r="AJ14" s="8" t="str">
        <f ca="1">OFFSET(Database!$F14,0,COLUMN(Database!AG14)*2-12)</f>
        <v>n.r.</v>
      </c>
      <c r="AK14" s="8" t="str">
        <f ca="1">OFFSET(Database!$F14,0,COLUMN(Database!AH14)*2-12)</f>
        <v>n.r.</v>
      </c>
      <c r="AL14" s="8" t="str">
        <f ca="1">OFFSET(Database!$F14,0,COLUMN(Database!AI14)*2-12)</f>
        <v>n.r.</v>
      </c>
      <c r="AM14" s="8" t="str">
        <f ca="1">OFFSET(Database!$F14,0,COLUMN(Database!AJ14)*2-12)</f>
        <v>n.r.</v>
      </c>
      <c r="AN14" s="8" t="str">
        <f ca="1">OFFSET(Database!$F14,0,COLUMN(Database!AK14)*2-12)</f>
        <v>n.r.</v>
      </c>
      <c r="AO14" s="8" t="str">
        <f ca="1">OFFSET(Database!$F14,0,COLUMN(Database!AL14)*2-12)</f>
        <v>n.r.</v>
      </c>
      <c r="AP14" s="8" t="str">
        <f ca="1">OFFSET(Database!$F14,0,COLUMN(Database!AM14)*2-12)</f>
        <v>n.r.</v>
      </c>
      <c r="AQ14" s="8" t="str">
        <f ca="1">OFFSET(Database!$F14,0,COLUMN(Database!AN14)*2-12)</f>
        <v>n.r.</v>
      </c>
      <c r="AR14" s="8" t="str">
        <f ca="1">OFFSET(Database!$F14,0,COLUMN(Database!AO14)*2-12)</f>
        <v>n.r.</v>
      </c>
      <c r="AS14" s="8" t="str">
        <f ca="1">OFFSET(Database!$F14,0,COLUMN(Database!AP14)*2-12)</f>
        <v>n.r.</v>
      </c>
      <c r="AT14" s="8" t="str">
        <f ca="1">OFFSET(Database!$F14,0,COLUMN(Database!AQ14)*2-12)</f>
        <v>n.r.</v>
      </c>
      <c r="AU14" s="8" t="str">
        <f ca="1">OFFSET(Database!$F14,0,COLUMN(Database!AR14)*2-12)</f>
        <v>n.r.</v>
      </c>
      <c r="AV14" s="8" t="str">
        <f ca="1">OFFSET(Database!$F14,0,COLUMN(Database!AS14)*2-12)</f>
        <v>n.r.</v>
      </c>
      <c r="AW14" s="8" t="str">
        <f ca="1">OFFSET(Database!$F14,0,COLUMN(Database!AT14)*2-12)</f>
        <v>n.r.</v>
      </c>
      <c r="AX14" s="8" t="str">
        <f ca="1">OFFSET(Database!$F14,0,COLUMN(Database!AU14)*2-12)</f>
        <v>n.r.</v>
      </c>
      <c r="AY14" s="8" t="str">
        <f ca="1">OFFSET(Database!$F14,0,COLUMN(Database!AV14)*2-12)</f>
        <v>n.r.</v>
      </c>
      <c r="AZ14" s="8" t="str">
        <f ca="1">OFFSET(Database!$F14,0,COLUMN(Database!AW14)*2-12)</f>
        <v>n.r.</v>
      </c>
      <c r="BA14" s="8" t="str">
        <f ca="1">OFFSET(Database!$F14,0,COLUMN(Database!AX14)*2-12)</f>
        <v>n.r.</v>
      </c>
      <c r="BB14" s="8" t="str">
        <f ca="1">OFFSET(Database!$F14,0,COLUMN(Database!AY14)*2-12)</f>
        <v>n.r.</v>
      </c>
      <c r="BC14" s="8" t="str">
        <f ca="1">OFFSET(Database!$F14,0,COLUMN(Database!AZ14)*2-12)</f>
        <v>n.r.</v>
      </c>
      <c r="BD14" s="8" t="str">
        <f ca="1">OFFSET(Database!$F14,0,COLUMN(Database!BA14)*2-12)</f>
        <v>n.r.</v>
      </c>
      <c r="BE14" s="8" t="str">
        <f ca="1">OFFSET(Database!$F14,0,COLUMN(Database!BB14)*2-12)</f>
        <v>n.r.</v>
      </c>
      <c r="BF14" s="8" t="str">
        <f ca="1">OFFSET(Database!$F14,0,COLUMN(Database!BC14)*2-12)</f>
        <v>n.r.</v>
      </c>
      <c r="BG14" s="8" t="str">
        <f ca="1">OFFSET(Database!$F14,0,COLUMN(Database!BD14)*2-12)</f>
        <v>n.r.</v>
      </c>
      <c r="BH14" s="8" t="str">
        <f ca="1">OFFSET(Database!$F14,0,COLUMN(Database!BE14)*2-12)</f>
        <v>n.r.</v>
      </c>
      <c r="BI14" s="8" t="str">
        <f ca="1">OFFSET(Database!$F14,0,COLUMN(Database!BF14)*2-12)</f>
        <v>n.r.</v>
      </c>
      <c r="BJ14" s="8" t="str">
        <f ca="1">OFFSET(Database!$F14,0,COLUMN(Database!BG14)*2-12)</f>
        <v>n.r.</v>
      </c>
      <c r="BK14" s="8" t="str">
        <f ca="1">OFFSET(Database!$F14,0,COLUMN(Database!BH14)*2-12)</f>
        <v>n.r.</v>
      </c>
      <c r="BL14" s="8" t="str">
        <f ca="1">OFFSET(Database!$F14,0,COLUMN(Database!BI14)*2-12)</f>
        <v>n.r.</v>
      </c>
      <c r="BM14" s="8" t="str">
        <f ca="1">OFFSET(Database!$F14,0,COLUMN(Database!BJ14)*2-12)</f>
        <v>n.r.</v>
      </c>
      <c r="BN14" s="8" t="str">
        <f ca="1">OFFSET(Database!$F14,0,COLUMN(Database!BK14)*2-12)</f>
        <v>n.r.</v>
      </c>
      <c r="BO14" s="8" t="str">
        <f ca="1">OFFSET(Database!$F14,0,COLUMN(Database!BL14)*2-12)</f>
        <v>n.r.</v>
      </c>
      <c r="BP14" s="8" t="str">
        <f ca="1">OFFSET(Database!$F14,0,COLUMN(Database!BM14)*2-12)</f>
        <v>n.r.</v>
      </c>
      <c r="BQ14" s="8" t="str">
        <f ca="1">OFFSET(Database!$F14,0,COLUMN(Database!BN14)*2-12)</f>
        <v>n.r.</v>
      </c>
      <c r="BR14" s="8" t="str">
        <f ca="1">OFFSET(Database!$F14,0,COLUMN(Database!BO14)*2-12)</f>
        <v>n.r.</v>
      </c>
      <c r="BS14" s="8" t="str">
        <f ca="1">OFFSET(Database!$F14,0,COLUMN(Database!BP14)*2-12)</f>
        <v>n.r.</v>
      </c>
      <c r="BT14" s="8" t="str">
        <f ca="1">OFFSET(Database!$F14,0,COLUMN(Database!BQ14)*2-12)</f>
        <v>n.r.</v>
      </c>
      <c r="BU14" s="8" t="str">
        <f ca="1">OFFSET(Database!$F14,0,COLUMN(Database!BR14)*2-12)</f>
        <v>n.r.</v>
      </c>
      <c r="BV14" s="8" t="str">
        <f ca="1">OFFSET(Database!$F14,0,COLUMN(Database!BS14)*2-12)</f>
        <v>n.r.</v>
      </c>
      <c r="BW14" s="8" t="str">
        <f ca="1">OFFSET(Database!$F14,0,COLUMN(Database!BT14)*2-12)</f>
        <v>n.r.</v>
      </c>
      <c r="BX14" s="8" t="str">
        <f ca="1">OFFSET(Database!$F14,0,COLUMN(Database!BU14)*2-12)</f>
        <v>n.r.</v>
      </c>
      <c r="BY14" s="8" t="str">
        <f ca="1">OFFSET(Database!$F14,0,COLUMN(Database!BV14)*2-12)</f>
        <v>n.r.</v>
      </c>
      <c r="BZ14" s="8" t="str">
        <f ca="1">OFFSET(Database!$F14,0,COLUMN(Database!BW14)*2-12)</f>
        <v>n.r.</v>
      </c>
      <c r="CA14" s="8" t="str">
        <f ca="1">OFFSET(Database!$F14,0,COLUMN(Database!BX14)*2-12)</f>
        <v>n.r.</v>
      </c>
      <c r="CB14" s="8" t="str">
        <f ca="1">OFFSET(Database!$F14,0,COLUMN(Database!BY14)*2-12)</f>
        <v>n.r.</v>
      </c>
      <c r="CC14" s="8" t="str">
        <f ca="1">OFFSET(Database!$F14,0,COLUMN(Database!BZ14)*2-12)</f>
        <v>n.r.</v>
      </c>
      <c r="CD14" s="8" t="str">
        <f ca="1">OFFSET(Database!$F14,0,COLUMN(Database!CA14)*2-12)</f>
        <v>n.r.</v>
      </c>
      <c r="CE14" s="8" t="str">
        <f ca="1">OFFSET(Database!$F14,0,COLUMN(Database!CB14)*2-12)</f>
        <v>n.r.</v>
      </c>
      <c r="CF14" s="8" t="str">
        <f ca="1">OFFSET(Database!$F14,0,COLUMN(Database!CC14)*2-12)</f>
        <v>n.r.</v>
      </c>
      <c r="CG14" s="8" t="str">
        <f ca="1">OFFSET(Database!$F14,0,COLUMN(Database!CD14)*2-12)</f>
        <v>n.r.</v>
      </c>
      <c r="CH14" s="8" t="str">
        <f ca="1">OFFSET(Database!$F14,0,COLUMN(Database!CE14)*2-12)</f>
        <v>n.r.</v>
      </c>
      <c r="CI14" s="8" t="str">
        <f ca="1">OFFSET(Database!$F14,0,COLUMN(Database!CF14)*2-12)</f>
        <v>n.r.</v>
      </c>
      <c r="CJ14" s="8" t="str">
        <f ca="1">OFFSET(Database!$F14,0,COLUMN(Database!CG14)*2-12)</f>
        <v>n.r.</v>
      </c>
      <c r="CK14" s="8" t="str">
        <f ca="1">OFFSET(Database!$F14,0,COLUMN(Database!CH14)*2-12)</f>
        <v>n.r.</v>
      </c>
      <c r="CL14" s="8" t="str">
        <f ca="1">OFFSET(Database!$F14,0,COLUMN(Database!CI14)*2-12)</f>
        <v>n.r.</v>
      </c>
      <c r="CM14" s="8" t="str">
        <f ca="1">OFFSET(Database!$F14,0,COLUMN(Database!CJ14)*2-12)</f>
        <v>n.r.</v>
      </c>
      <c r="CN14" s="8" t="str">
        <f ca="1">OFFSET(Database!$F14,0,COLUMN(Database!CK14)*2-12)</f>
        <v>n.r.</v>
      </c>
      <c r="CO14" s="8" t="str">
        <f ca="1">OFFSET(Database!$F14,0,COLUMN(Database!CL14)*2-12)</f>
        <v>n.r.</v>
      </c>
      <c r="CP14" s="8" t="str">
        <f ca="1">OFFSET(Database!$F14,0,COLUMN(Database!CM14)*2-12)</f>
        <v>n.r.</v>
      </c>
      <c r="CQ14" s="8" t="str">
        <f ca="1">OFFSET(Database!$F14,0,COLUMN(Database!CN14)*2-12)</f>
        <v>n.r.</v>
      </c>
      <c r="CR14" s="8" t="str">
        <f ca="1">OFFSET(Database!$F14,0,COLUMN(Database!CO14)*2-12)</f>
        <v>n.r.</v>
      </c>
      <c r="CS14" s="8" t="str">
        <f ca="1">OFFSET(Database!$F14,0,COLUMN(Database!CP14)*2-12)</f>
        <v>n.r.</v>
      </c>
      <c r="CT14" s="8" t="str">
        <f ca="1">OFFSET(Database!$F14,0,COLUMN(Database!CQ14)*2-12)</f>
        <v>n.r.</v>
      </c>
      <c r="CU14" s="8" t="str">
        <f ca="1">OFFSET(Database!$F14,0,COLUMN(Database!CR14)*2-12)</f>
        <v>n.r.</v>
      </c>
      <c r="CV14" s="8" t="str">
        <f ca="1">OFFSET(Database!$F14,0,COLUMN(Database!CS14)*2-12)</f>
        <v>n.r.</v>
      </c>
      <c r="CW14" s="8" t="str">
        <f ca="1">OFFSET(Database!$F14,0,COLUMN(Database!CT14)*2-12)</f>
        <v>n.r.</v>
      </c>
      <c r="CX14" s="8" t="str">
        <f ca="1">OFFSET(Database!$F14,0,COLUMN(Database!CU14)*2-12)</f>
        <v>n.r.</v>
      </c>
      <c r="CY14" s="8" t="str">
        <f ca="1">OFFSET(Database!$F14,0,COLUMN(Database!CV14)*2-12)</f>
        <v>n.r.</v>
      </c>
      <c r="CZ14" s="8" t="str">
        <f ca="1">OFFSET(Database!$F14,0,COLUMN(Database!CW14)*2-12)</f>
        <v>n.r.</v>
      </c>
      <c r="DA14" s="8" t="str">
        <f ca="1">OFFSET(Database!$F14,0,COLUMN(Database!CX14)*2-12)</f>
        <v>n.r.</v>
      </c>
      <c r="DB14" s="8" t="str">
        <f ca="1">OFFSET(Database!$F14,0,COLUMN(Database!CY14)*2-12)</f>
        <v>n.r.</v>
      </c>
      <c r="DC14" s="8" t="str">
        <f ca="1">OFFSET(Database!$F14,0,COLUMN(Database!CZ14)*2-12)</f>
        <v>n.r.</v>
      </c>
      <c r="DD14" s="8" t="str">
        <f ca="1">OFFSET(Database!$F14,0,COLUMN(Database!DA14)*2-12)</f>
        <v>n.r.</v>
      </c>
      <c r="DE14" s="8" t="str">
        <f ca="1">OFFSET(Database!$F14,0,COLUMN(Database!DB14)*2-12)</f>
        <v>n.r.</v>
      </c>
      <c r="DF14" s="8" t="str">
        <f ca="1">OFFSET(Database!$F14,0,COLUMN(Database!DC14)*2-12)</f>
        <v>n.r.</v>
      </c>
      <c r="DG14" s="8" t="str">
        <f ca="1">OFFSET(Database!$F14,0,COLUMN(Database!DD14)*2-12)</f>
        <v>n.r.</v>
      </c>
      <c r="DH14" s="8" t="str">
        <f ca="1">OFFSET(Database!$F14,0,COLUMN(Database!DE14)*2-12)</f>
        <v>n.r.</v>
      </c>
      <c r="DI14" s="8" t="str">
        <f ca="1">OFFSET(Database!$F14,0,COLUMN(Database!DF14)*2-12)</f>
        <v>n.r.</v>
      </c>
      <c r="DJ14" s="8" t="str">
        <f ca="1">OFFSET(Database!$F14,0,COLUMN(Database!DG14)*2-12)</f>
        <v>n.r.</v>
      </c>
      <c r="DK14" s="8" t="str">
        <f ca="1">OFFSET(Database!$F14,0,COLUMN(Database!DH14)*2-12)</f>
        <v>n.r.</v>
      </c>
      <c r="DL14" s="8" t="str">
        <f ca="1">OFFSET(Database!$F14,0,COLUMN(Database!DI14)*2-12)</f>
        <v>n.r.</v>
      </c>
      <c r="DM14" s="8" t="str">
        <f ca="1">OFFSET(Database!$F14,0,COLUMN(Database!DJ14)*2-12)</f>
        <v>n.r.</v>
      </c>
      <c r="DN14" s="8" t="str">
        <f ca="1">OFFSET(Database!$F14,0,COLUMN(Database!DK14)*2-12)</f>
        <v>n.r.</v>
      </c>
      <c r="DO14" s="8" t="str">
        <f ca="1">OFFSET(Database!$F14,0,COLUMN(Database!DL14)*2-12)</f>
        <v>n.r.</v>
      </c>
      <c r="DP14" s="8" t="str">
        <f ca="1">OFFSET(Database!$F14,0,COLUMN(Database!DM14)*2-12)</f>
        <v>n.r.</v>
      </c>
      <c r="DQ14" s="8" t="str">
        <f ca="1">OFFSET(Database!$F14,0,COLUMN(Database!DN14)*2-12)</f>
        <v>n.r.</v>
      </c>
      <c r="DR14" s="8" t="str">
        <f ca="1">OFFSET(Database!$F14,0,COLUMN(Database!DO14)*2-12)</f>
        <v>n.r.</v>
      </c>
      <c r="DS14" s="8" t="str">
        <f ca="1">OFFSET(Database!$F14,0,COLUMN(Database!DP14)*2-12)</f>
        <v>n.r.</v>
      </c>
      <c r="DT14" s="8" t="str">
        <f ca="1">OFFSET(Database!$F14,0,COLUMN(Database!DQ14)*2-12)</f>
        <v>n.r.</v>
      </c>
      <c r="DU14" s="8" t="str">
        <f ca="1">OFFSET(Database!$F14,0,COLUMN(Database!DR14)*2-12)</f>
        <v>n.r.</v>
      </c>
      <c r="DV14" s="8" t="str">
        <f ca="1">OFFSET(Database!$F14,0,COLUMN(Database!DS14)*2-12)</f>
        <v>n.r.</v>
      </c>
      <c r="DW14" s="8" t="str">
        <f ca="1">OFFSET(Database!$F14,0,COLUMN(Database!DT14)*2-12)</f>
        <v>n.r.</v>
      </c>
      <c r="DX14" s="8" t="str">
        <f ca="1">OFFSET(Database!$F14,0,COLUMN(Database!DU14)*2-12)</f>
        <v>n.r.</v>
      </c>
      <c r="DY14" s="8" t="str">
        <f ca="1">OFFSET(Database!$F14,0,COLUMN(Database!DV14)*2-12)</f>
        <v>n.r.</v>
      </c>
      <c r="DZ14" s="8" t="str">
        <f ca="1">OFFSET(Database!$F14,0,COLUMN(Database!DW14)*2-12)</f>
        <v>n.r.</v>
      </c>
      <c r="EA14" s="8" t="str">
        <f ca="1">OFFSET(Database!$F14,0,COLUMN(Database!DX14)*2-12)</f>
        <v>n.r.</v>
      </c>
      <c r="EB14" s="8" t="str">
        <f ca="1">OFFSET(Database!$F14,0,COLUMN(Database!DY14)*2-12)</f>
        <v>n.r.</v>
      </c>
      <c r="EC14" s="8" t="str">
        <f ca="1">OFFSET(Database!$F14,0,COLUMN(Database!DZ14)*2-12)</f>
        <v>n.r.</v>
      </c>
      <c r="ED14" s="8" t="str">
        <f ca="1">OFFSET(Database!$F14,0,COLUMN(Database!EA14)*2-12)</f>
        <v>n.r</v>
      </c>
      <c r="EE14" s="8" t="str">
        <f ca="1">OFFSET(Database!$F14,0,COLUMN(Database!EB14)*2-12)</f>
        <v>n.r.</v>
      </c>
      <c r="EF14" s="8" t="str">
        <f ca="1">OFFSET(Database!$F14,0,COLUMN(Database!EC14)*2-12)</f>
        <v>n.r.</v>
      </c>
      <c r="EG14" s="8" t="str">
        <f ca="1">OFFSET(Database!$F14,0,COLUMN(Database!ED14)*2-12)</f>
        <v>n.r.</v>
      </c>
      <c r="EH14" s="8" t="str">
        <f ca="1">OFFSET(Database!$F14,0,COLUMN(Database!EE14)*2-12)</f>
        <v>n.r.</v>
      </c>
      <c r="EI14" s="8" t="str">
        <f ca="1">OFFSET(Database!$F14,0,COLUMN(Database!EF14)*2-12)</f>
        <v>n.r.</v>
      </c>
      <c r="EJ14" s="8" t="str">
        <f ca="1">OFFSET(Database!$F14,0,COLUMN(Database!EG14)*2-12)</f>
        <v>n.r.</v>
      </c>
      <c r="EK14" s="8" t="str">
        <f ca="1">OFFSET(Database!$F14,0,COLUMN(Database!EH14)*2-12)</f>
        <v>n.r.</v>
      </c>
      <c r="EL14" s="8" t="str">
        <f ca="1">OFFSET(Database!$F14,0,COLUMN(Database!EI14)*2-12)</f>
        <v>n.r.</v>
      </c>
      <c r="EM14" s="8" t="str">
        <f ca="1">OFFSET(Database!$F14,0,COLUMN(Database!EJ14)*2-12)</f>
        <v>n.r.</v>
      </c>
      <c r="EN14" s="8" t="str">
        <f ca="1">OFFSET(Database!$F14,0,COLUMN(Database!EK14)*2-12)</f>
        <v>n.r.</v>
      </c>
      <c r="EO14" s="8" t="str">
        <f ca="1">OFFSET(Database!$F14,0,COLUMN(Database!EL14)*2-12)</f>
        <v>n.r.</v>
      </c>
      <c r="EP14" s="8" t="str">
        <f ca="1">OFFSET(Database!$F14,0,COLUMN(Database!EM14)*2-12)</f>
        <v>n.r.</v>
      </c>
      <c r="EQ14" s="8" t="str">
        <f ca="1">OFFSET(Database!$F14,0,COLUMN(Database!EN14)*2-12)</f>
        <v>n.r.</v>
      </c>
      <c r="ER14" s="8" t="str">
        <f ca="1">OFFSET(Database!$F14,0,COLUMN(Database!EO14)*2-12)</f>
        <v>n.s.</v>
      </c>
      <c r="ES14" s="8" t="str">
        <f ca="1">OFFSET(Database!$F14,0,COLUMN(Database!EP14)*2-12)</f>
        <v>n.s.</v>
      </c>
      <c r="ET14" s="8" t="str">
        <f ca="1">OFFSET(Database!$F14,0,COLUMN(Database!EQ14)*2-12)</f>
        <v>n.s.</v>
      </c>
      <c r="EU14" s="8" t="str">
        <f ca="1">OFFSET(Database!$F14,0,COLUMN(Database!ER14)*2-12)</f>
        <v>n.s.</v>
      </c>
      <c r="EV14" s="8" t="str">
        <f ca="1">OFFSET(Database!$F14,0,COLUMN(Database!ES14)*2-12)</f>
        <v>n.s.</v>
      </c>
      <c r="EW14" s="8" t="str">
        <f ca="1">OFFSET(Database!$F14,0,COLUMN(Database!ET14)*2-12)</f>
        <v>n.r.</v>
      </c>
      <c r="EX14" s="8" t="str">
        <f ca="1">OFFSET(Database!$F14,0,COLUMN(Database!EU14)*2-12)</f>
        <v>n.r.</v>
      </c>
      <c r="EY14" s="8" t="str">
        <f ca="1">OFFSET(Database!$F14,0,COLUMN(Database!EV14)*2-12)</f>
        <v>n.r.</v>
      </c>
      <c r="EZ14" s="8" t="str">
        <f ca="1">OFFSET(Database!$F14,0,COLUMN(Database!EW14)*2-12)</f>
        <v>n.r.</v>
      </c>
      <c r="FA14" s="8" t="str">
        <f ca="1">OFFSET(Database!$F14,0,COLUMN(Database!EX14)*2-12)</f>
        <v>n.r.</v>
      </c>
      <c r="FB14" s="8" t="str">
        <f ca="1">OFFSET(Database!$F14,0,COLUMN(Database!EY14)*2-12)</f>
        <v>n.r.</v>
      </c>
      <c r="FC14" s="8" t="str">
        <f ca="1">OFFSET(Database!$F14,0,COLUMN(Database!EZ14)*2-12)</f>
        <v>n.r.</v>
      </c>
      <c r="FD14" s="8" t="str">
        <f ca="1">OFFSET(Database!$F14,0,COLUMN(Database!FA14)*2-12)</f>
        <v>n.d.</v>
      </c>
      <c r="FE14" s="8" t="str">
        <f ca="1">OFFSET(Database!$F14,0,COLUMN(Database!FB14)*2-12)</f>
        <v>n.d.</v>
      </c>
      <c r="FF14" s="8" t="str">
        <f ca="1">OFFSET(Database!$F14,0,COLUMN(Database!FC14)*2-12)</f>
        <v>n.d.</v>
      </c>
      <c r="FG14" s="8" t="str">
        <f ca="1">OFFSET(Database!$F14,0,COLUMN(Database!FD14)*2-12)</f>
        <v>n.r.</v>
      </c>
      <c r="FH14" s="8" t="str">
        <f ca="1">OFFSET(Database!$F14,0,COLUMN(Database!FE14)*2-12)</f>
        <v>n.r.</v>
      </c>
      <c r="FI14" s="8" t="str">
        <f ca="1">OFFSET(Database!$F14,0,COLUMN(Database!FF14)*2-12)</f>
        <v>n.r.</v>
      </c>
      <c r="FJ14" s="8" t="str">
        <f ca="1">OFFSET(Database!$F14,0,COLUMN(Database!FG14)*2-12)</f>
        <v>n.r.</v>
      </c>
      <c r="FK14" s="8" t="str">
        <f ca="1">OFFSET(Database!$F14,0,COLUMN(Database!FH14)*2-12)</f>
        <v>n.r.</v>
      </c>
      <c r="FL14" s="8" t="str">
        <f ca="1">OFFSET(Database!$F14,0,COLUMN(Database!FI14)*2-12)</f>
        <v>n.r.</v>
      </c>
      <c r="FM14" s="8" t="str">
        <f ca="1">OFFSET(Database!$F14,0,COLUMN(Database!FJ14)*2-12)</f>
        <v>n.r.</v>
      </c>
      <c r="FN14" s="8" t="str">
        <f ca="1">OFFSET(Database!$F14,0,COLUMN(Database!FK14)*2-12)</f>
        <v>n.r.</v>
      </c>
      <c r="FO14" s="8" t="str">
        <f ca="1">OFFSET(Database!$F14,0,COLUMN(Database!FL14)*2-12)</f>
        <v>n.r.</v>
      </c>
      <c r="FP14" s="8" t="str">
        <f ca="1">OFFSET(Database!$F14,0,COLUMN(Database!FM14)*2-12)</f>
        <v>n.r.</v>
      </c>
      <c r="FQ14" s="8" t="str">
        <f ca="1">OFFSET(Database!$F14,0,COLUMN(Database!FN14)*2-12)</f>
        <v>n.r.</v>
      </c>
      <c r="FR14" s="8" t="str">
        <f ca="1">OFFSET(Database!$F14,0,COLUMN(Database!FO14)*2-12)</f>
        <v>n.r.</v>
      </c>
      <c r="FS14" s="8" t="str">
        <f ca="1">OFFSET(Database!$F14,0,COLUMN(Database!FP14)*2-12)</f>
        <v>n.r.</v>
      </c>
      <c r="FT14" s="8" t="str">
        <f ca="1">OFFSET(Database!$F14,0,COLUMN(Database!FQ14)*2-12)</f>
        <v>n.r.</v>
      </c>
      <c r="FU14" s="8" t="str">
        <f ca="1">OFFSET(Database!$F14,0,COLUMN(Database!FR14)*2-12)</f>
        <v>n.r.</v>
      </c>
      <c r="FV14" s="8" t="str">
        <f ca="1">OFFSET(Database!$F14,0,COLUMN(Database!FS14)*2-12)</f>
        <v>n.r.</v>
      </c>
      <c r="FW14" s="8" t="str">
        <f ca="1">OFFSET(Database!$F14,0,COLUMN(Database!FT14)*2-12)</f>
        <v>n.r.</v>
      </c>
      <c r="FX14" s="8" t="str">
        <f ca="1">OFFSET(Database!$F14,0,COLUMN(Database!FU14)*2-12)</f>
        <v>n.r.</v>
      </c>
      <c r="FY14" s="8" t="str">
        <f ca="1">OFFSET(Database!$F14,0,COLUMN(Database!FV14)*2-12)</f>
        <v>n.r.</v>
      </c>
      <c r="FZ14" s="8" t="str">
        <f ca="1">OFFSET(Database!$F14,0,COLUMN(Database!FW14)*2-12)</f>
        <v>n.r.</v>
      </c>
      <c r="GA14" s="8" t="str">
        <f ca="1">OFFSET(Database!$F14,0,COLUMN(Database!FX14)*2-12)</f>
        <v>n.r.</v>
      </c>
      <c r="GB14" s="8" t="str">
        <f ca="1">OFFSET(Database!$F14,0,COLUMN(Database!FY14)*2-12)</f>
        <v>n.r.</v>
      </c>
      <c r="GC14" s="8" t="str">
        <f ca="1">OFFSET(Database!$F14,0,COLUMN(Database!FZ14)*2-12)</f>
        <v>n.r.</v>
      </c>
      <c r="GD14" s="8" t="str">
        <f ca="1">OFFSET(Database!$F14,0,COLUMN(Database!GA14)*2-12)</f>
        <v>n.r.</v>
      </c>
      <c r="GE14" s="8" t="str">
        <f ca="1">OFFSET(Database!$F14,0,COLUMN(Database!GB14)*2-12)</f>
        <v>n.r.</v>
      </c>
      <c r="GF14" s="8" t="str">
        <f ca="1">OFFSET(Database!$F14,0,COLUMN(Database!GC14)*2-12)</f>
        <v>n.r.</v>
      </c>
      <c r="GG14" s="8" t="str">
        <f ca="1">OFFSET(Database!$F14,0,COLUMN(Database!GD14)*2-12)</f>
        <v>n.r.</v>
      </c>
      <c r="GH14" s="8" t="str">
        <f ca="1">OFFSET(Database!$F14,0,COLUMN(Database!GE14)*2-12)</f>
        <v>n.r.</v>
      </c>
      <c r="GI14" s="8" t="str">
        <f ca="1">OFFSET(Database!$F14,0,COLUMN(Database!GF14)*2-12)</f>
        <v>n.r.</v>
      </c>
      <c r="GJ14" s="8" t="str">
        <f ca="1">OFFSET(Database!$F14,0,COLUMN(Database!GG14)*2-12)</f>
        <v>n.r.</v>
      </c>
      <c r="GK14" s="8" t="str">
        <f ca="1">OFFSET(Database!$F14,0,COLUMN(Database!GH14)*2-12)</f>
        <v>n.r.</v>
      </c>
      <c r="GL14" s="8" t="str">
        <f ca="1">OFFSET(Database!$F14,0,COLUMN(Database!GI14)*2-12)</f>
        <v>n.r.</v>
      </c>
      <c r="GM14" s="8" t="str">
        <f ca="1">OFFSET(Database!$F14,0,COLUMN(Database!GJ14)*2-12)</f>
        <v>n.r.</v>
      </c>
      <c r="GN14" s="8" t="str">
        <f ca="1">OFFSET(Database!$F14,0,COLUMN(Database!GK14)*2-12)</f>
        <v>n.r.</v>
      </c>
      <c r="GO14" s="8" t="str">
        <f ca="1">OFFSET(Database!$F14,0,COLUMN(Database!GL14)*2-12)</f>
        <v>n.r.</v>
      </c>
      <c r="GP14" s="8" t="str">
        <f ca="1">OFFSET(Database!$F14,0,COLUMN(Database!GM14)*2-12)</f>
        <v>n.r.</v>
      </c>
    </row>
    <row r="15" spans="1:198" x14ac:dyDescent="0.2">
      <c r="A15" s="50" t="str">
        <f>Database!A15</f>
        <v>L-cysteine</v>
      </c>
      <c r="B15" s="1" t="s">
        <v>863</v>
      </c>
      <c r="C15" s="4" t="str">
        <f>Database!B15</f>
        <v>ɑ</v>
      </c>
      <c r="D15" s="4" t="str">
        <f>Database!C15</f>
        <v>L</v>
      </c>
      <c r="E15" s="74">
        <f>Database!D15</f>
        <v>8</v>
      </c>
      <c r="F15" s="33" t="s">
        <v>904</v>
      </c>
      <c r="G15" s="1">
        <v>5862</v>
      </c>
      <c r="H15" s="1">
        <f>Database!E15</f>
        <v>121.16</v>
      </c>
      <c r="I15" s="8" t="str">
        <f ca="1">OFFSET(Database!$F15,0,COLUMN(Database!F15)*2-12)</f>
        <v>n.r.</v>
      </c>
      <c r="J15" s="8" t="str">
        <f ca="1">OFFSET(Database!$F15,0,COLUMN(Database!G15)*2-12)</f>
        <v>n.r.</v>
      </c>
      <c r="K15" s="8" t="str">
        <f ca="1">OFFSET(Database!$F15,0,COLUMN(Database!H15)*2-12)</f>
        <v>n.r.</v>
      </c>
      <c r="L15" s="8" t="str">
        <f ca="1">OFFSET(Database!$F15,0,COLUMN(Database!I15)*2-12)</f>
        <v>n.r.</v>
      </c>
      <c r="M15" s="8" t="str">
        <f ca="1">OFFSET(Database!$F15,0,COLUMN(Database!J15)*2-12)</f>
        <v>n.r.</v>
      </c>
      <c r="N15" s="8" t="str">
        <f ca="1">OFFSET(Database!$F15,0,COLUMN(Database!K15)*2-12)</f>
        <v>n.r.</v>
      </c>
      <c r="O15" s="8" t="str">
        <f ca="1">OFFSET(Database!$F15,0,COLUMN(Database!L15)*2-12)</f>
        <v>n.r.</v>
      </c>
      <c r="P15" s="8" t="str">
        <f ca="1">OFFSET(Database!$F15,0,COLUMN(Database!M15)*2-12)</f>
        <v>n.r.</v>
      </c>
      <c r="Q15" s="8" t="str">
        <f ca="1">OFFSET(Database!$F15,0,COLUMN(Database!N15)*2-12)</f>
        <v>n.r.</v>
      </c>
      <c r="R15" s="8" t="str">
        <f ca="1">OFFSET(Database!$F15,0,COLUMN(Database!O15)*2-12)</f>
        <v>n.r.</v>
      </c>
      <c r="S15" s="8" t="str">
        <f ca="1">OFFSET(Database!$F15,0,COLUMN(Database!P15)*2-12)</f>
        <v>n.r.</v>
      </c>
      <c r="T15" s="8" t="str">
        <f ca="1">OFFSET(Database!$F15,0,COLUMN(Database!Q15)*2-12)</f>
        <v>n.r.</v>
      </c>
      <c r="U15" s="8" t="str">
        <f ca="1">OFFSET(Database!$F15,0,COLUMN(Database!R15)*2-12)</f>
        <v>n.r.</v>
      </c>
      <c r="V15" s="8" t="str">
        <f ca="1">OFFSET(Database!$F15,0,COLUMN(Database!S15)*2-12)</f>
        <v>n.r.</v>
      </c>
      <c r="W15" s="8" t="str">
        <f ca="1">OFFSET(Database!$F15,0,COLUMN(Database!T15)*2-12)</f>
        <v>n.r.</v>
      </c>
      <c r="X15" s="8" t="str">
        <f ca="1">OFFSET(Database!$F15,0,COLUMN(Database!U15)*2-12)</f>
        <v>n.r.</v>
      </c>
      <c r="Y15" s="8" t="str">
        <f ca="1">OFFSET(Database!$F15,0,COLUMN(Database!V15)*2-12)</f>
        <v>n.r.</v>
      </c>
      <c r="Z15" s="8" t="str">
        <f ca="1">OFFSET(Database!$F15,0,COLUMN(Database!W15)*2-12)</f>
        <v>n.r.</v>
      </c>
      <c r="AA15" s="8" t="str">
        <f ca="1">OFFSET(Database!$F15,0,COLUMN(Database!X15)*2-12)</f>
        <v>n.r.</v>
      </c>
      <c r="AB15" s="8" t="str">
        <f ca="1">OFFSET(Database!$F15,0,COLUMN(Database!Y15)*2-12)</f>
        <v>n.r.</v>
      </c>
      <c r="AC15" s="8" t="str">
        <f ca="1">OFFSET(Database!$F15,0,COLUMN(Database!Z15)*2-12)</f>
        <v>n.r.</v>
      </c>
      <c r="AD15" s="8" t="str">
        <f ca="1">OFFSET(Database!$F15,0,COLUMN(Database!AA15)*2-12)</f>
        <v>n.r.</v>
      </c>
      <c r="AE15" s="8" t="str">
        <f ca="1">OFFSET(Database!$F15,0,COLUMN(Database!AB15)*2-12)</f>
        <v>n.r.</v>
      </c>
      <c r="AF15" s="8" t="str">
        <f ca="1">OFFSET(Database!$F15,0,COLUMN(Database!AC15)*2-12)</f>
        <v>n.r.</v>
      </c>
      <c r="AG15" s="8" t="str">
        <f ca="1">OFFSET(Database!$F15,0,COLUMN(Database!AD15)*2-12)</f>
        <v>n.r.</v>
      </c>
      <c r="AH15" s="8" t="str">
        <f ca="1">OFFSET(Database!$F15,0,COLUMN(Database!AE15)*2-12)</f>
        <v>n.r.</v>
      </c>
      <c r="AI15" s="8" t="str">
        <f ca="1">OFFSET(Database!$F15,0,COLUMN(Database!AF15)*2-12)</f>
        <v>n.r.</v>
      </c>
      <c r="AJ15" s="8" t="str">
        <f ca="1">OFFSET(Database!$F15,0,COLUMN(Database!AG15)*2-12)</f>
        <v>n.r.</v>
      </c>
      <c r="AK15" s="8" t="str">
        <f ca="1">OFFSET(Database!$F15,0,COLUMN(Database!AH15)*2-12)</f>
        <v>n.r.</v>
      </c>
      <c r="AL15" s="8" t="str">
        <f ca="1">OFFSET(Database!$F15,0,COLUMN(Database!AI15)*2-12)</f>
        <v>n.r.</v>
      </c>
      <c r="AM15" s="8" t="str">
        <f ca="1">OFFSET(Database!$F15,0,COLUMN(Database!AJ15)*2-12)</f>
        <v>n.r.</v>
      </c>
      <c r="AN15" s="8" t="str">
        <f ca="1">OFFSET(Database!$F15,0,COLUMN(Database!AK15)*2-12)</f>
        <v>n.r.</v>
      </c>
      <c r="AO15" s="8" t="str">
        <f ca="1">OFFSET(Database!$F15,0,COLUMN(Database!AL15)*2-12)</f>
        <v>n.r.</v>
      </c>
      <c r="AP15" s="8" t="str">
        <f ca="1">OFFSET(Database!$F15,0,COLUMN(Database!AM15)*2-12)</f>
        <v>n.r.</v>
      </c>
      <c r="AQ15" s="8" t="str">
        <f ca="1">OFFSET(Database!$F15,0,COLUMN(Database!AN15)*2-12)</f>
        <v>n.r.</v>
      </c>
      <c r="AR15" s="8" t="str">
        <f ca="1">OFFSET(Database!$F15,0,COLUMN(Database!AO15)*2-12)</f>
        <v>n.r.</v>
      </c>
      <c r="AS15" s="8" t="str">
        <f ca="1">OFFSET(Database!$F15,0,COLUMN(Database!AP15)*2-12)</f>
        <v>n.r.</v>
      </c>
      <c r="AT15" s="8" t="str">
        <f ca="1">OFFSET(Database!$F15,0,COLUMN(Database!AQ15)*2-12)</f>
        <v>n.r.</v>
      </c>
      <c r="AU15" s="8" t="str">
        <f ca="1">OFFSET(Database!$F15,0,COLUMN(Database!AR15)*2-12)</f>
        <v>n.r.</v>
      </c>
      <c r="AV15" s="8" t="str">
        <f ca="1">OFFSET(Database!$F15,0,COLUMN(Database!AS15)*2-12)</f>
        <v>n.r.</v>
      </c>
      <c r="AW15" s="8" t="str">
        <f ca="1">OFFSET(Database!$F15,0,COLUMN(Database!AT15)*2-12)</f>
        <v>n.r.</v>
      </c>
      <c r="AX15" s="8" t="str">
        <f ca="1">OFFSET(Database!$F15,0,COLUMN(Database!AU15)*2-12)</f>
        <v>n.r.</v>
      </c>
      <c r="AY15" s="8" t="str">
        <f ca="1">OFFSET(Database!$F15,0,COLUMN(Database!AV15)*2-12)</f>
        <v>n.r.</v>
      </c>
      <c r="AZ15" s="8" t="str">
        <f ca="1">OFFSET(Database!$F15,0,COLUMN(Database!AW15)*2-12)</f>
        <v>n.r.</v>
      </c>
      <c r="BA15" s="8" t="str">
        <f ca="1">OFFSET(Database!$F15,0,COLUMN(Database!AX15)*2-12)</f>
        <v>n.r.</v>
      </c>
      <c r="BB15" s="8" t="str">
        <f ca="1">OFFSET(Database!$F15,0,COLUMN(Database!AY15)*2-12)</f>
        <v>n.r.</v>
      </c>
      <c r="BC15" s="8" t="str">
        <f ca="1">OFFSET(Database!$F15,0,COLUMN(Database!AZ15)*2-12)</f>
        <v>n.r.</v>
      </c>
      <c r="BD15" s="8" t="str">
        <f ca="1">OFFSET(Database!$F15,0,COLUMN(Database!BA15)*2-12)</f>
        <v>n.r.</v>
      </c>
      <c r="BE15" s="8" t="str">
        <f ca="1">OFFSET(Database!$F15,0,COLUMN(Database!BB15)*2-12)</f>
        <v>n.r.</v>
      </c>
      <c r="BF15" s="8" t="str">
        <f ca="1">OFFSET(Database!$F15,0,COLUMN(Database!BC15)*2-12)</f>
        <v>n.r.</v>
      </c>
      <c r="BG15" s="8" t="str">
        <f ca="1">OFFSET(Database!$F15,0,COLUMN(Database!BD15)*2-12)</f>
        <v>n.r.</v>
      </c>
      <c r="BH15" s="8" t="str">
        <f ca="1">OFFSET(Database!$F15,0,COLUMN(Database!BE15)*2-12)</f>
        <v>n.r.</v>
      </c>
      <c r="BI15" s="8" t="str">
        <f ca="1">OFFSET(Database!$F15,0,COLUMN(Database!BF15)*2-12)</f>
        <v>n.r.</v>
      </c>
      <c r="BJ15" s="8" t="str">
        <f ca="1">OFFSET(Database!$F15,0,COLUMN(Database!BG15)*2-12)</f>
        <v>n.r.</v>
      </c>
      <c r="BK15" s="8" t="str">
        <f ca="1">OFFSET(Database!$F15,0,COLUMN(Database!BH15)*2-12)</f>
        <v>n.r.</v>
      </c>
      <c r="BL15" s="8" t="str">
        <f ca="1">OFFSET(Database!$F15,0,COLUMN(Database!BI15)*2-12)</f>
        <v>n.r.</v>
      </c>
      <c r="BM15" s="8" t="str">
        <f ca="1">OFFSET(Database!$F15,0,COLUMN(Database!BJ15)*2-12)</f>
        <v>n.r.</v>
      </c>
      <c r="BN15" s="8" t="str">
        <f ca="1">OFFSET(Database!$F15,0,COLUMN(Database!BK15)*2-12)</f>
        <v>n.r.</v>
      </c>
      <c r="BO15" s="8" t="str">
        <f ca="1">OFFSET(Database!$F15,0,COLUMN(Database!BL15)*2-12)</f>
        <v>n.r.</v>
      </c>
      <c r="BP15" s="8" t="str">
        <f ca="1">OFFSET(Database!$F15,0,COLUMN(Database!BM15)*2-12)</f>
        <v>n.r.</v>
      </c>
      <c r="BQ15" s="8" t="str">
        <f ca="1">OFFSET(Database!$F15,0,COLUMN(Database!BN15)*2-12)</f>
        <v>n.r.</v>
      </c>
      <c r="BR15" s="8" t="str">
        <f ca="1">OFFSET(Database!$F15,0,COLUMN(Database!BO15)*2-12)</f>
        <v>n.r.</v>
      </c>
      <c r="BS15" s="8" t="str">
        <f ca="1">OFFSET(Database!$F15,0,COLUMN(Database!BP15)*2-12)</f>
        <v>n.r.</v>
      </c>
      <c r="BT15" s="8" t="str">
        <f ca="1">OFFSET(Database!$F15,0,COLUMN(Database!BQ15)*2-12)</f>
        <v>n.r.</v>
      </c>
      <c r="BU15" s="8" t="str">
        <f ca="1">OFFSET(Database!$F15,0,COLUMN(Database!BR15)*2-12)</f>
        <v>n.r.</v>
      </c>
      <c r="BV15" s="8" t="str">
        <f ca="1">OFFSET(Database!$F15,0,COLUMN(Database!BS15)*2-12)</f>
        <v>n.r.</v>
      </c>
      <c r="BW15" s="8" t="str">
        <f ca="1">OFFSET(Database!$F15,0,COLUMN(Database!BT15)*2-12)</f>
        <v>n.r.</v>
      </c>
      <c r="BX15" s="8" t="str">
        <f ca="1">OFFSET(Database!$F15,0,COLUMN(Database!BU15)*2-12)</f>
        <v>n.r.</v>
      </c>
      <c r="BY15" s="8" t="str">
        <f ca="1">OFFSET(Database!$F15,0,COLUMN(Database!BV15)*2-12)</f>
        <v>n.r.</v>
      </c>
      <c r="BZ15" s="8" t="str">
        <f ca="1">OFFSET(Database!$F15,0,COLUMN(Database!BW15)*2-12)</f>
        <v>n.r.</v>
      </c>
      <c r="CA15" s="8" t="str">
        <f ca="1">OFFSET(Database!$F15,0,COLUMN(Database!BX15)*2-12)</f>
        <v>n.r.</v>
      </c>
      <c r="CB15" s="8" t="str">
        <f ca="1">OFFSET(Database!$F15,0,COLUMN(Database!BY15)*2-12)</f>
        <v>n.r.</v>
      </c>
      <c r="CC15" s="8" t="str">
        <f ca="1">OFFSET(Database!$F15,0,COLUMN(Database!BZ15)*2-12)</f>
        <v>n.r.</v>
      </c>
      <c r="CD15" s="8" t="str">
        <f ca="1">OFFSET(Database!$F15,0,COLUMN(Database!CA15)*2-12)</f>
        <v>n.r.</v>
      </c>
      <c r="CE15" s="8" t="str">
        <f ca="1">OFFSET(Database!$F15,0,COLUMN(Database!CB15)*2-12)</f>
        <v>n.r.</v>
      </c>
      <c r="CF15" s="8" t="str">
        <f ca="1">OFFSET(Database!$F15,0,COLUMN(Database!CC15)*2-12)</f>
        <v>n.r.</v>
      </c>
      <c r="CG15" s="8" t="str">
        <f ca="1">OFFSET(Database!$F15,0,COLUMN(Database!CD15)*2-12)</f>
        <v>n.r.</v>
      </c>
      <c r="CH15" s="8" t="str">
        <f ca="1">OFFSET(Database!$F15,0,COLUMN(Database!CE15)*2-12)</f>
        <v>n.r.</v>
      </c>
      <c r="CI15" s="8" t="str">
        <f ca="1">OFFSET(Database!$F15,0,COLUMN(Database!CF15)*2-12)</f>
        <v>n.r.</v>
      </c>
      <c r="CJ15" s="8" t="str">
        <f ca="1">OFFSET(Database!$F15,0,COLUMN(Database!CG15)*2-12)</f>
        <v>n.r.</v>
      </c>
      <c r="CK15" s="8" t="str">
        <f ca="1">OFFSET(Database!$F15,0,COLUMN(Database!CH15)*2-12)</f>
        <v>n.r.</v>
      </c>
      <c r="CL15" s="8" t="str">
        <f ca="1">OFFSET(Database!$F15,0,COLUMN(Database!CI15)*2-12)</f>
        <v>n.r.</v>
      </c>
      <c r="CM15" s="8" t="str">
        <f ca="1">OFFSET(Database!$F15,0,COLUMN(Database!CJ15)*2-12)</f>
        <v>n.r.</v>
      </c>
      <c r="CN15" s="8" t="str">
        <f ca="1">OFFSET(Database!$F15,0,COLUMN(Database!CK15)*2-12)</f>
        <v>n.r.</v>
      </c>
      <c r="CO15" s="8" t="str">
        <f ca="1">OFFSET(Database!$F15,0,COLUMN(Database!CL15)*2-12)</f>
        <v>n.r.</v>
      </c>
      <c r="CP15" s="8" t="str">
        <f ca="1">OFFSET(Database!$F15,0,COLUMN(Database!CM15)*2-12)</f>
        <v>n.r.</v>
      </c>
      <c r="CQ15" s="8" t="str">
        <f ca="1">OFFSET(Database!$F15,0,COLUMN(Database!CN15)*2-12)</f>
        <v>n.r.</v>
      </c>
      <c r="CR15" s="8" t="str">
        <f ca="1">OFFSET(Database!$F15,0,COLUMN(Database!CO15)*2-12)</f>
        <v>n.r.</v>
      </c>
      <c r="CS15" s="8" t="str">
        <f ca="1">OFFSET(Database!$F15,0,COLUMN(Database!CP15)*2-12)</f>
        <v>n.r.</v>
      </c>
      <c r="CT15" s="8" t="str">
        <f ca="1">OFFSET(Database!$F15,0,COLUMN(Database!CQ15)*2-12)</f>
        <v>n.r.</v>
      </c>
      <c r="CU15" s="8" t="str">
        <f ca="1">OFFSET(Database!$F15,0,COLUMN(Database!CR15)*2-12)</f>
        <v>n.r.</v>
      </c>
      <c r="CV15" s="8" t="str">
        <f ca="1">OFFSET(Database!$F15,0,COLUMN(Database!CS15)*2-12)</f>
        <v>n.r.</v>
      </c>
      <c r="CW15" s="8" t="str">
        <f ca="1">OFFSET(Database!$F15,0,COLUMN(Database!CT15)*2-12)</f>
        <v>n.r.</v>
      </c>
      <c r="CX15" s="8" t="str">
        <f ca="1">OFFSET(Database!$F15,0,COLUMN(Database!CU15)*2-12)</f>
        <v>n.r.</v>
      </c>
      <c r="CY15" s="8" t="str">
        <f ca="1">OFFSET(Database!$F15,0,COLUMN(Database!CV15)*2-12)</f>
        <v>n.r.</v>
      </c>
      <c r="CZ15" s="8" t="str">
        <f ca="1">OFFSET(Database!$F15,0,COLUMN(Database!CW15)*2-12)</f>
        <v>n.r.</v>
      </c>
      <c r="DA15" s="8" t="str">
        <f ca="1">OFFSET(Database!$F15,0,COLUMN(Database!CX15)*2-12)</f>
        <v>n.r.</v>
      </c>
      <c r="DB15" s="8" t="str">
        <f ca="1">OFFSET(Database!$F15,0,COLUMN(Database!CY15)*2-12)</f>
        <v>n.r.</v>
      </c>
      <c r="DC15" s="8" t="str">
        <f ca="1">OFFSET(Database!$F15,0,COLUMN(Database!CZ15)*2-12)</f>
        <v>n.r.</v>
      </c>
      <c r="DD15" s="8" t="str">
        <f ca="1">OFFSET(Database!$F15,0,COLUMN(Database!DA15)*2-12)</f>
        <v>n.r.</v>
      </c>
      <c r="DE15" s="8" t="str">
        <f ca="1">OFFSET(Database!$F15,0,COLUMN(Database!DB15)*2-12)</f>
        <v>n.r.</v>
      </c>
      <c r="DF15" s="8" t="str">
        <f ca="1">OFFSET(Database!$F15,0,COLUMN(Database!DC15)*2-12)</f>
        <v>n.r.</v>
      </c>
      <c r="DG15" s="8" t="str">
        <f ca="1">OFFSET(Database!$F15,0,COLUMN(Database!DD15)*2-12)</f>
        <v>n.r.</v>
      </c>
      <c r="DH15" s="8" t="str">
        <f ca="1">OFFSET(Database!$F15,0,COLUMN(Database!DE15)*2-12)</f>
        <v>n.r.</v>
      </c>
      <c r="DI15" s="8" t="str">
        <f ca="1">OFFSET(Database!$F15,0,COLUMN(Database!DF15)*2-12)</f>
        <v>n.r.</v>
      </c>
      <c r="DJ15" s="8" t="str">
        <f ca="1">OFFSET(Database!$F15,0,COLUMN(Database!DG15)*2-12)</f>
        <v>n.r.</v>
      </c>
      <c r="DK15" s="8" t="str">
        <f ca="1">OFFSET(Database!$F15,0,COLUMN(Database!DH15)*2-12)</f>
        <v>n.r.</v>
      </c>
      <c r="DL15" s="8" t="str">
        <f ca="1">OFFSET(Database!$F15,0,COLUMN(Database!DI15)*2-12)</f>
        <v>n.r.</v>
      </c>
      <c r="DM15" s="8" t="str">
        <f ca="1">OFFSET(Database!$F15,0,COLUMN(Database!DJ15)*2-12)</f>
        <v>n.r.</v>
      </c>
      <c r="DN15" s="8" t="str">
        <f ca="1">OFFSET(Database!$F15,0,COLUMN(Database!DK15)*2-12)</f>
        <v>n.r.</v>
      </c>
      <c r="DO15" s="8" t="str">
        <f ca="1">OFFSET(Database!$F15,0,COLUMN(Database!DL15)*2-12)</f>
        <v>n.r.</v>
      </c>
      <c r="DP15" s="8" t="str">
        <f ca="1">OFFSET(Database!$F15,0,COLUMN(Database!DM15)*2-12)</f>
        <v>n.r.</v>
      </c>
      <c r="DQ15" s="8" t="str">
        <f ca="1">OFFSET(Database!$F15,0,COLUMN(Database!DN15)*2-12)</f>
        <v>n.r.</v>
      </c>
      <c r="DR15" s="8" t="str">
        <f ca="1">OFFSET(Database!$F15,0,COLUMN(Database!DO15)*2-12)</f>
        <v>n.r.</v>
      </c>
      <c r="DS15" s="8" t="str">
        <f ca="1">OFFSET(Database!$F15,0,COLUMN(Database!DP15)*2-12)</f>
        <v>n.r.</v>
      </c>
      <c r="DT15" s="8" t="str">
        <f ca="1">OFFSET(Database!$F15,0,COLUMN(Database!DQ15)*2-12)</f>
        <v>n.r.</v>
      </c>
      <c r="DU15" s="8" t="str">
        <f ca="1">OFFSET(Database!$F15,0,COLUMN(Database!DR15)*2-12)</f>
        <v>n.r.</v>
      </c>
      <c r="DV15" s="8" t="str">
        <f ca="1">OFFSET(Database!$F15,0,COLUMN(Database!DS15)*2-12)</f>
        <v>n.r.</v>
      </c>
      <c r="DW15" s="8" t="str">
        <f ca="1">OFFSET(Database!$F15,0,COLUMN(Database!DT15)*2-12)</f>
        <v>n.r.</v>
      </c>
      <c r="DX15" s="8" t="str">
        <f ca="1">OFFSET(Database!$F15,0,COLUMN(Database!DU15)*2-12)</f>
        <v>n.r.</v>
      </c>
      <c r="DY15" s="8" t="str">
        <f ca="1">OFFSET(Database!$F15,0,COLUMN(Database!DV15)*2-12)</f>
        <v>n.r.</v>
      </c>
      <c r="DZ15" s="8" t="str">
        <f ca="1">OFFSET(Database!$F15,0,COLUMN(Database!DW15)*2-12)</f>
        <v>n.r.</v>
      </c>
      <c r="EA15" s="8" t="str">
        <f ca="1">OFFSET(Database!$F15,0,COLUMN(Database!DX15)*2-12)</f>
        <v>n.r.</v>
      </c>
      <c r="EB15" s="8" t="str">
        <f ca="1">OFFSET(Database!$F15,0,COLUMN(Database!DY15)*2-12)</f>
        <v>n.r.</v>
      </c>
      <c r="EC15" s="8" t="str">
        <f ca="1">OFFSET(Database!$F15,0,COLUMN(Database!DZ15)*2-12)</f>
        <v>n.r.</v>
      </c>
      <c r="ED15" s="8" t="str">
        <f ca="1">OFFSET(Database!$F15,0,COLUMN(Database!EA15)*2-12)</f>
        <v>n.r</v>
      </c>
      <c r="EE15" s="8" t="str">
        <f ca="1">OFFSET(Database!$F15,0,COLUMN(Database!EB15)*2-12)</f>
        <v>n.r.</v>
      </c>
      <c r="EF15" s="8" t="str">
        <f ca="1">OFFSET(Database!$F15,0,COLUMN(Database!EC15)*2-12)</f>
        <v>n.r.</v>
      </c>
      <c r="EG15" s="8" t="str">
        <f ca="1">OFFSET(Database!$F15,0,COLUMN(Database!ED15)*2-12)</f>
        <v>n.r.</v>
      </c>
      <c r="EH15" s="8" t="str">
        <f ca="1">OFFSET(Database!$F15,0,COLUMN(Database!EE15)*2-12)</f>
        <v>n.r.</v>
      </c>
      <c r="EI15" s="8" t="str">
        <f ca="1">OFFSET(Database!$F15,0,COLUMN(Database!EF15)*2-12)</f>
        <v>n.r.</v>
      </c>
      <c r="EJ15" s="8" t="str">
        <f ca="1">OFFSET(Database!$F15,0,COLUMN(Database!EG15)*2-12)</f>
        <v>n.r.</v>
      </c>
      <c r="EK15" s="8" t="str">
        <f ca="1">OFFSET(Database!$F15,0,COLUMN(Database!EH15)*2-12)</f>
        <v>n.r.</v>
      </c>
      <c r="EL15" s="8" t="str">
        <f ca="1">OFFSET(Database!$F15,0,COLUMN(Database!EI15)*2-12)</f>
        <v>n.r.</v>
      </c>
      <c r="EM15" s="8" t="str">
        <f ca="1">OFFSET(Database!$F15,0,COLUMN(Database!EJ15)*2-12)</f>
        <v>n.r.</v>
      </c>
      <c r="EN15" s="8" t="str">
        <f ca="1">OFFSET(Database!$F15,0,COLUMN(Database!EK15)*2-12)</f>
        <v>n.r.</v>
      </c>
      <c r="EO15" s="8" t="str">
        <f ca="1">OFFSET(Database!$F15,0,COLUMN(Database!EL15)*2-12)</f>
        <v>n.r.</v>
      </c>
      <c r="EP15" s="8" t="str">
        <f ca="1">OFFSET(Database!$F15,0,COLUMN(Database!EM15)*2-12)</f>
        <v>n.r.</v>
      </c>
      <c r="EQ15" s="8" t="str">
        <f ca="1">OFFSET(Database!$F15,0,COLUMN(Database!EN15)*2-12)</f>
        <v>n.r.</v>
      </c>
      <c r="ER15" s="8">
        <f ca="1">OFFSET(Database!$F15,0,COLUMN(Database!EO15)*2-12)</f>
        <v>1086.1351071232641</v>
      </c>
      <c r="ES15" s="8">
        <f ca="1">OFFSET(Database!$F15,0,COLUMN(Database!EP15)*2-12)</f>
        <v>1412.0547626903781</v>
      </c>
      <c r="ET15" s="8">
        <f ca="1">OFFSET(Database!$F15,0,COLUMN(Database!EQ15)*2-12)</f>
        <v>400.08282333051</v>
      </c>
      <c r="EU15" s="8">
        <f ca="1">OFFSET(Database!$F15,0,COLUMN(Database!ER15)*2-12)</f>
        <v>1384.75802261071</v>
      </c>
      <c r="EV15" s="8">
        <f ca="1">OFFSET(Database!$F15,0,COLUMN(Database!ES15)*2-12)</f>
        <v>2257.9515645699198</v>
      </c>
      <c r="EW15" s="8" t="str">
        <f ca="1">OFFSET(Database!$F15,0,COLUMN(Database!ET15)*2-12)</f>
        <v>n.r.</v>
      </c>
      <c r="EX15" s="8" t="str">
        <f ca="1">OFFSET(Database!$F15,0,COLUMN(Database!EU15)*2-12)</f>
        <v>n.r.</v>
      </c>
      <c r="EY15" s="8" t="str">
        <f ca="1">OFFSET(Database!$F15,0,COLUMN(Database!EV15)*2-12)</f>
        <v>n.r.</v>
      </c>
      <c r="EZ15" s="8" t="str">
        <f ca="1">OFFSET(Database!$F15,0,COLUMN(Database!EW15)*2-12)</f>
        <v>n.r.</v>
      </c>
      <c r="FA15" s="8" t="str">
        <f ca="1">OFFSET(Database!$F15,0,COLUMN(Database!EX15)*2-12)</f>
        <v>n.r.</v>
      </c>
      <c r="FB15" s="8" t="str">
        <f ca="1">OFFSET(Database!$F15,0,COLUMN(Database!EY15)*2-12)</f>
        <v>n.r.</v>
      </c>
      <c r="FC15" s="8" t="str">
        <f ca="1">OFFSET(Database!$F15,0,COLUMN(Database!EZ15)*2-12)</f>
        <v>n.r.</v>
      </c>
      <c r="FD15" s="8">
        <f ca="1">OFFSET(Database!$F15,0,COLUMN(Database!FA15)*2-12)</f>
        <v>84.9</v>
      </c>
      <c r="FE15" s="8">
        <f ca="1">OFFSET(Database!$F15,0,COLUMN(Database!FB15)*2-12)</f>
        <v>17.2</v>
      </c>
      <c r="FF15" s="8">
        <f ca="1">OFFSET(Database!$F15,0,COLUMN(Database!FC15)*2-12)</f>
        <v>96.5</v>
      </c>
      <c r="FG15" s="8" t="str">
        <f ca="1">OFFSET(Database!$F15,0,COLUMN(Database!FD15)*2-12)</f>
        <v>n.r.</v>
      </c>
      <c r="FH15" s="8" t="str">
        <f ca="1">OFFSET(Database!$F15,0,COLUMN(Database!FE15)*2-12)</f>
        <v>n.r.</v>
      </c>
      <c r="FI15" s="8" t="str">
        <f ca="1">OFFSET(Database!$F15,0,COLUMN(Database!FF15)*2-12)</f>
        <v>n.r.</v>
      </c>
      <c r="FJ15" s="8" t="str">
        <f ca="1">OFFSET(Database!$F15,0,COLUMN(Database!FG15)*2-12)</f>
        <v>n.r.</v>
      </c>
      <c r="FK15" s="8" t="str">
        <f ca="1">OFFSET(Database!$F15,0,COLUMN(Database!FH15)*2-12)</f>
        <v>n.r.</v>
      </c>
      <c r="FL15" s="8" t="str">
        <f ca="1">OFFSET(Database!$F15,0,COLUMN(Database!FI15)*2-12)</f>
        <v>n.r.</v>
      </c>
      <c r="FM15" s="8" t="str">
        <f ca="1">OFFSET(Database!$F15,0,COLUMN(Database!FJ15)*2-12)</f>
        <v>n.r.</v>
      </c>
      <c r="FN15" s="8" t="str">
        <f ca="1">OFFSET(Database!$F15,0,COLUMN(Database!FK15)*2-12)</f>
        <v>n.r.</v>
      </c>
      <c r="FO15" s="8" t="str">
        <f ca="1">OFFSET(Database!$F15,0,COLUMN(Database!FL15)*2-12)</f>
        <v>n.r.</v>
      </c>
      <c r="FP15" s="8" t="str">
        <f ca="1">OFFSET(Database!$F15,0,COLUMN(Database!FM15)*2-12)</f>
        <v>n.r.</v>
      </c>
      <c r="FQ15" s="8" t="str">
        <f ca="1">OFFSET(Database!$F15,0,COLUMN(Database!FN15)*2-12)</f>
        <v>n.r.</v>
      </c>
      <c r="FR15" s="8" t="str">
        <f ca="1">OFFSET(Database!$F15,0,COLUMN(Database!FO15)*2-12)</f>
        <v>n.r.</v>
      </c>
      <c r="FS15" s="8" t="str">
        <f ca="1">OFFSET(Database!$F15,0,COLUMN(Database!FP15)*2-12)</f>
        <v>n.r.</v>
      </c>
      <c r="FT15" s="8" t="str">
        <f ca="1">OFFSET(Database!$F15,0,COLUMN(Database!FQ15)*2-12)</f>
        <v>n.r.</v>
      </c>
      <c r="FU15" s="8" t="str">
        <f ca="1">OFFSET(Database!$F15,0,COLUMN(Database!FR15)*2-12)</f>
        <v>n.r.</v>
      </c>
      <c r="FV15" s="8" t="str">
        <f ca="1">OFFSET(Database!$F15,0,COLUMN(Database!FS15)*2-12)</f>
        <v>n.r.</v>
      </c>
      <c r="FW15" s="8" t="str">
        <f ca="1">OFFSET(Database!$F15,0,COLUMN(Database!FT15)*2-12)</f>
        <v>n.r.</v>
      </c>
      <c r="FX15" s="8" t="str">
        <f ca="1">OFFSET(Database!$F15,0,COLUMN(Database!FU15)*2-12)</f>
        <v>n.r.</v>
      </c>
      <c r="FY15" s="8" t="str">
        <f ca="1">OFFSET(Database!$F15,0,COLUMN(Database!FV15)*2-12)</f>
        <v>n.r.</v>
      </c>
      <c r="FZ15" s="8" t="str">
        <f ca="1">OFFSET(Database!$F15,0,COLUMN(Database!FW15)*2-12)</f>
        <v>n.r.</v>
      </c>
      <c r="GA15" s="8" t="str">
        <f ca="1">OFFSET(Database!$F15,0,COLUMN(Database!FX15)*2-12)</f>
        <v>n.r.</v>
      </c>
      <c r="GB15" s="8" t="str">
        <f ca="1">OFFSET(Database!$F15,0,COLUMN(Database!FY15)*2-12)</f>
        <v>n.r.</v>
      </c>
      <c r="GC15" s="8" t="str">
        <f ca="1">OFFSET(Database!$F15,0,COLUMN(Database!FZ15)*2-12)</f>
        <v>n.r.</v>
      </c>
      <c r="GD15" s="8" t="str">
        <f ca="1">OFFSET(Database!$F15,0,COLUMN(Database!GA15)*2-12)</f>
        <v>n.r.</v>
      </c>
      <c r="GE15" s="8" t="str">
        <f ca="1">OFFSET(Database!$F15,0,COLUMN(Database!GB15)*2-12)</f>
        <v>n.r.</v>
      </c>
      <c r="GF15" s="8" t="str">
        <f ca="1">OFFSET(Database!$F15,0,COLUMN(Database!GC15)*2-12)</f>
        <v>n.r.</v>
      </c>
      <c r="GG15" s="8" t="str">
        <f ca="1">OFFSET(Database!$F15,0,COLUMN(Database!GD15)*2-12)</f>
        <v>n.r.</v>
      </c>
      <c r="GH15" s="8" t="str">
        <f ca="1">OFFSET(Database!$F15,0,COLUMN(Database!GE15)*2-12)</f>
        <v>n.r.</v>
      </c>
      <c r="GI15" s="8" t="str">
        <f ca="1">OFFSET(Database!$F15,0,COLUMN(Database!GF15)*2-12)</f>
        <v>n.r.</v>
      </c>
      <c r="GJ15" s="8" t="str">
        <f ca="1">OFFSET(Database!$F15,0,COLUMN(Database!GG15)*2-12)</f>
        <v>n.r.</v>
      </c>
      <c r="GK15" s="8" t="str">
        <f ca="1">OFFSET(Database!$F15,0,COLUMN(Database!GH15)*2-12)</f>
        <v>n.r.</v>
      </c>
      <c r="GL15" s="8" t="str">
        <f ca="1">OFFSET(Database!$F15,0,COLUMN(Database!GI15)*2-12)</f>
        <v>n.r.</v>
      </c>
      <c r="GM15" s="8" t="str">
        <f ca="1">OFFSET(Database!$F15,0,COLUMN(Database!GJ15)*2-12)</f>
        <v>n.r.</v>
      </c>
      <c r="GN15" s="8" t="str">
        <f ca="1">OFFSET(Database!$F15,0,COLUMN(Database!GK15)*2-12)</f>
        <v>n.r.</v>
      </c>
      <c r="GO15" s="8" t="str">
        <f ca="1">OFFSET(Database!$F15,0,COLUMN(Database!GL15)*2-12)</f>
        <v>n.r.</v>
      </c>
      <c r="GP15" s="8" t="str">
        <f ca="1">OFFSET(Database!$F15,0,COLUMN(Database!GM15)*2-12)</f>
        <v>n.r.</v>
      </c>
    </row>
    <row r="16" spans="1:198" x14ac:dyDescent="0.2">
      <c r="A16" s="50" t="str">
        <f>Database!A16</f>
        <v>cysteine</v>
      </c>
      <c r="B16" s="1" t="s">
        <v>863</v>
      </c>
      <c r="C16" s="4" t="str">
        <f>Database!B16</f>
        <v>ɑ</v>
      </c>
      <c r="D16" s="4" t="str">
        <f>Database!C16</f>
        <v>Both</v>
      </c>
      <c r="E16" s="74">
        <f>Database!D16</f>
        <v>19</v>
      </c>
      <c r="F16" s="1" t="s">
        <v>1022</v>
      </c>
      <c r="G16" s="1" t="s">
        <v>1137</v>
      </c>
      <c r="H16" s="1">
        <f>Database!E16</f>
        <v>121.16</v>
      </c>
      <c r="I16" s="8" t="str">
        <f ca="1">OFFSET(Database!$F16,0,COLUMN(Database!F16)*2-12)</f>
        <v>n.r.</v>
      </c>
      <c r="J16" s="8" t="str">
        <f ca="1">OFFSET(Database!$F16,0,COLUMN(Database!G16)*2-12)</f>
        <v>n.r.</v>
      </c>
      <c r="K16" s="8" t="str">
        <f ca="1">OFFSET(Database!$F16,0,COLUMN(Database!H16)*2-12)</f>
        <v>n.r.</v>
      </c>
      <c r="L16" s="8" t="str">
        <f ca="1">OFFSET(Database!$F16,0,COLUMN(Database!I16)*2-12)</f>
        <v>n.r.</v>
      </c>
      <c r="M16" s="8" t="str">
        <f ca="1">OFFSET(Database!$F16,0,COLUMN(Database!J16)*2-12)</f>
        <v>n.r.</v>
      </c>
      <c r="N16" s="8" t="str">
        <f ca="1">OFFSET(Database!$F16,0,COLUMN(Database!K16)*2-12)</f>
        <v>n.r.</v>
      </c>
      <c r="O16" s="8" t="str">
        <f ca="1">OFFSET(Database!$F16,0,COLUMN(Database!L16)*2-12)</f>
        <v>n.r.</v>
      </c>
      <c r="P16" s="8" t="str">
        <f ca="1">OFFSET(Database!$F16,0,COLUMN(Database!M16)*2-12)</f>
        <v>n.r.</v>
      </c>
      <c r="Q16" s="8" t="str">
        <f ca="1">OFFSET(Database!$F16,0,COLUMN(Database!N16)*2-12)</f>
        <v>n.r.</v>
      </c>
      <c r="R16" s="8" t="str">
        <f ca="1">OFFSET(Database!$F16,0,COLUMN(Database!O16)*2-12)</f>
        <v>n.r.</v>
      </c>
      <c r="S16" s="8" t="str">
        <f ca="1">OFFSET(Database!$F16,0,COLUMN(Database!P16)*2-12)</f>
        <v>n.r.</v>
      </c>
      <c r="T16" s="8" t="str">
        <f ca="1">OFFSET(Database!$F16,0,COLUMN(Database!Q16)*2-12)</f>
        <v>n.r.</v>
      </c>
      <c r="U16" s="8" t="str">
        <f ca="1">OFFSET(Database!$F16,0,COLUMN(Database!R16)*2-12)</f>
        <v>n.r.</v>
      </c>
      <c r="V16" s="8" t="str">
        <f ca="1">OFFSET(Database!$F16,0,COLUMN(Database!S16)*2-12)</f>
        <v>n.r.</v>
      </c>
      <c r="W16" s="8" t="str">
        <f ca="1">OFFSET(Database!$F16,0,COLUMN(Database!T16)*2-12)</f>
        <v>n.r.</v>
      </c>
      <c r="X16" s="8" t="str">
        <f ca="1">OFFSET(Database!$F16,0,COLUMN(Database!U16)*2-12)</f>
        <v>n.r.</v>
      </c>
      <c r="Y16" s="8" t="str">
        <f ca="1">OFFSET(Database!$F16,0,COLUMN(Database!V16)*2-12)</f>
        <v>n.r.</v>
      </c>
      <c r="Z16" s="8" t="str">
        <f ca="1">OFFSET(Database!$F16,0,COLUMN(Database!W16)*2-12)</f>
        <v>n.r.</v>
      </c>
      <c r="AA16" s="8" t="str">
        <f ca="1">OFFSET(Database!$F16,0,COLUMN(Database!X16)*2-12)</f>
        <v>n.r.</v>
      </c>
      <c r="AB16" s="8" t="str">
        <f ca="1">OFFSET(Database!$F16,0,COLUMN(Database!Y16)*2-12)</f>
        <v>n.r.</v>
      </c>
      <c r="AC16" s="8" t="str">
        <f ca="1">OFFSET(Database!$F16,0,COLUMN(Database!Z16)*2-12)</f>
        <v>n.r.</v>
      </c>
      <c r="AD16" s="8" t="str">
        <f ca="1">OFFSET(Database!$F16,0,COLUMN(Database!AA16)*2-12)</f>
        <v>n.r.</v>
      </c>
      <c r="AE16" s="8" t="str">
        <f ca="1">OFFSET(Database!$F16,0,COLUMN(Database!AB16)*2-12)</f>
        <v>n.r.</v>
      </c>
      <c r="AF16" s="8" t="str">
        <f ca="1">OFFSET(Database!$F16,0,COLUMN(Database!AC16)*2-12)</f>
        <v>n.r.</v>
      </c>
      <c r="AG16" s="8" t="str">
        <f ca="1">OFFSET(Database!$F16,0,COLUMN(Database!AD16)*2-12)</f>
        <v>n.r.</v>
      </c>
      <c r="AH16" s="8" t="str">
        <f ca="1">OFFSET(Database!$F16,0,COLUMN(Database!AE16)*2-12)</f>
        <v>n.r.</v>
      </c>
      <c r="AI16" s="8" t="str">
        <f ca="1">OFFSET(Database!$F16,0,COLUMN(Database!AF16)*2-12)</f>
        <v>n.r.</v>
      </c>
      <c r="AJ16" s="8" t="str">
        <f ca="1">OFFSET(Database!$F16,0,COLUMN(Database!AG16)*2-12)</f>
        <v>n.r.</v>
      </c>
      <c r="AK16" s="8" t="str">
        <f ca="1">OFFSET(Database!$F16,0,COLUMN(Database!AH16)*2-12)</f>
        <v>n.r.</v>
      </c>
      <c r="AL16" s="8" t="str">
        <f ca="1">OFFSET(Database!$F16,0,COLUMN(Database!AI16)*2-12)</f>
        <v>n.r.</v>
      </c>
      <c r="AM16" s="8" t="str">
        <f ca="1">OFFSET(Database!$F16,0,COLUMN(Database!AJ16)*2-12)</f>
        <v>n.r.</v>
      </c>
      <c r="AN16" s="8" t="str">
        <f ca="1">OFFSET(Database!$F16,0,COLUMN(Database!AK16)*2-12)</f>
        <v>n.r.</v>
      </c>
      <c r="AO16" s="8" t="str">
        <f ca="1">OFFSET(Database!$F16,0,COLUMN(Database!AL16)*2-12)</f>
        <v>n.r.</v>
      </c>
      <c r="AP16" s="8" t="str">
        <f ca="1">OFFSET(Database!$F16,0,COLUMN(Database!AM16)*2-12)</f>
        <v>n.r.</v>
      </c>
      <c r="AQ16" s="8" t="str">
        <f ca="1">OFFSET(Database!$F16,0,COLUMN(Database!AN16)*2-12)</f>
        <v>n.r.</v>
      </c>
      <c r="AR16" s="8" t="str">
        <f ca="1">OFFSET(Database!$F16,0,COLUMN(Database!AO16)*2-12)</f>
        <v>n.r.</v>
      </c>
      <c r="AS16" s="8" t="str">
        <f ca="1">OFFSET(Database!$F16,0,COLUMN(Database!AP16)*2-12)</f>
        <v>n.r.</v>
      </c>
      <c r="AT16" s="8" t="str">
        <f ca="1">OFFSET(Database!$F16,0,COLUMN(Database!AQ16)*2-12)</f>
        <v>n.r.</v>
      </c>
      <c r="AU16" s="8" t="str">
        <f ca="1">OFFSET(Database!$F16,0,COLUMN(Database!AR16)*2-12)</f>
        <v>n.r.</v>
      </c>
      <c r="AV16" s="8" t="str">
        <f ca="1">OFFSET(Database!$F16,0,COLUMN(Database!AS16)*2-12)</f>
        <v>n.r.</v>
      </c>
      <c r="AW16" s="8" t="str">
        <f ca="1">OFFSET(Database!$F16,0,COLUMN(Database!AT16)*2-12)</f>
        <v>n.r.</v>
      </c>
      <c r="AX16" s="8" t="str">
        <f ca="1">OFFSET(Database!$F16,0,COLUMN(Database!AU16)*2-12)</f>
        <v>n.r.</v>
      </c>
      <c r="AY16" s="8" t="str">
        <f ca="1">OFFSET(Database!$F16,0,COLUMN(Database!AV16)*2-12)</f>
        <v>n.r.</v>
      </c>
      <c r="AZ16" s="8" t="str">
        <f ca="1">OFFSET(Database!$F16,0,COLUMN(Database!AW16)*2-12)</f>
        <v>n.r.</v>
      </c>
      <c r="BA16" s="8" t="str">
        <f ca="1">OFFSET(Database!$F16,0,COLUMN(Database!AX16)*2-12)</f>
        <v>n.r.</v>
      </c>
      <c r="BB16" s="8" t="str">
        <f ca="1">OFFSET(Database!$F16,0,COLUMN(Database!AY16)*2-12)</f>
        <v>n.r.</v>
      </c>
      <c r="BC16" s="8" t="str">
        <f ca="1">OFFSET(Database!$F16,0,COLUMN(Database!AZ16)*2-12)</f>
        <v>n.r.</v>
      </c>
      <c r="BD16" s="8" t="str">
        <f ca="1">OFFSET(Database!$F16,0,COLUMN(Database!BA16)*2-12)</f>
        <v>n.r.</v>
      </c>
      <c r="BE16" s="8" t="str">
        <f ca="1">OFFSET(Database!$F16,0,COLUMN(Database!BB16)*2-12)</f>
        <v>n.r.</v>
      </c>
      <c r="BF16" s="8" t="str">
        <f ca="1">OFFSET(Database!$F16,0,COLUMN(Database!BC16)*2-12)</f>
        <v>n.r.</v>
      </c>
      <c r="BG16" s="8" t="str">
        <f ca="1">OFFSET(Database!$F16,0,COLUMN(Database!BD16)*2-12)</f>
        <v>n.r.</v>
      </c>
      <c r="BH16" s="8" t="str">
        <f ca="1">OFFSET(Database!$F16,0,COLUMN(Database!BE16)*2-12)</f>
        <v>n.r.</v>
      </c>
      <c r="BI16" s="8" t="str">
        <f ca="1">OFFSET(Database!$F16,0,COLUMN(Database!BF16)*2-12)</f>
        <v>n.r.</v>
      </c>
      <c r="BJ16" s="8" t="str">
        <f ca="1">OFFSET(Database!$F16,0,COLUMN(Database!BG16)*2-12)</f>
        <v>n.r.</v>
      </c>
      <c r="BK16" s="8" t="str">
        <f ca="1">OFFSET(Database!$F16,0,COLUMN(Database!BH16)*2-12)</f>
        <v>n.r.</v>
      </c>
      <c r="BL16" s="8" t="str">
        <f ca="1">OFFSET(Database!$F16,0,COLUMN(Database!BI16)*2-12)</f>
        <v>n.r.</v>
      </c>
      <c r="BM16" s="8" t="str">
        <f ca="1">OFFSET(Database!$F16,0,COLUMN(Database!BJ16)*2-12)</f>
        <v>n.r.</v>
      </c>
      <c r="BN16" s="8" t="str">
        <f ca="1">OFFSET(Database!$F16,0,COLUMN(Database!BK16)*2-12)</f>
        <v>n.r.</v>
      </c>
      <c r="BO16" s="8" t="str">
        <f ca="1">OFFSET(Database!$F16,0,COLUMN(Database!BL16)*2-12)</f>
        <v>n.r.</v>
      </c>
      <c r="BP16" s="8" t="str">
        <f ca="1">OFFSET(Database!$F16,0,COLUMN(Database!BM16)*2-12)</f>
        <v>n.r.</v>
      </c>
      <c r="BQ16" s="8" t="str">
        <f ca="1">OFFSET(Database!$F16,0,COLUMN(Database!BN16)*2-12)</f>
        <v>n.r.</v>
      </c>
      <c r="BR16" s="8" t="str">
        <f ca="1">OFFSET(Database!$F16,0,COLUMN(Database!BO16)*2-12)</f>
        <v>n.r.</v>
      </c>
      <c r="BS16" s="8" t="str">
        <f ca="1">OFFSET(Database!$F16,0,COLUMN(Database!BP16)*2-12)</f>
        <v>n.r.</v>
      </c>
      <c r="BT16" s="8" t="str">
        <f ca="1">OFFSET(Database!$F16,0,COLUMN(Database!BQ16)*2-12)</f>
        <v>n.r.</v>
      </c>
      <c r="BU16" s="8" t="str">
        <f ca="1">OFFSET(Database!$F16,0,COLUMN(Database!BR16)*2-12)</f>
        <v>n.r.</v>
      </c>
      <c r="BV16" s="8" t="str">
        <f ca="1">OFFSET(Database!$F16,0,COLUMN(Database!BS16)*2-12)</f>
        <v>n.r.</v>
      </c>
      <c r="BW16" s="8" t="str">
        <f ca="1">OFFSET(Database!$F16,0,COLUMN(Database!BT16)*2-12)</f>
        <v>n.r.</v>
      </c>
      <c r="BX16" s="8" t="str">
        <f ca="1">OFFSET(Database!$F16,0,COLUMN(Database!BU16)*2-12)</f>
        <v>n.r.</v>
      </c>
      <c r="BY16" s="8" t="str">
        <f ca="1">OFFSET(Database!$F16,0,COLUMN(Database!BV16)*2-12)</f>
        <v>n.r.</v>
      </c>
      <c r="BZ16" s="8" t="str">
        <f ca="1">OFFSET(Database!$F16,0,COLUMN(Database!BW16)*2-12)</f>
        <v>n.r.</v>
      </c>
      <c r="CA16" s="8" t="str">
        <f ca="1">OFFSET(Database!$F16,0,COLUMN(Database!BX16)*2-12)</f>
        <v>n.r.</v>
      </c>
      <c r="CB16" s="8" t="str">
        <f ca="1">OFFSET(Database!$F16,0,COLUMN(Database!BY16)*2-12)</f>
        <v>n.r.</v>
      </c>
      <c r="CC16" s="8" t="str">
        <f ca="1">OFFSET(Database!$F16,0,COLUMN(Database!BZ16)*2-12)</f>
        <v>n.r.</v>
      </c>
      <c r="CD16" s="8" t="str">
        <f ca="1">OFFSET(Database!$F16,0,COLUMN(Database!CA16)*2-12)</f>
        <v>n.r.</v>
      </c>
      <c r="CE16" s="8" t="str">
        <f ca="1">OFFSET(Database!$F16,0,COLUMN(Database!CB16)*2-12)</f>
        <v>n.r.</v>
      </c>
      <c r="CF16" s="8" t="str">
        <f ca="1">OFFSET(Database!$F16,0,COLUMN(Database!CC16)*2-12)</f>
        <v>n.r.</v>
      </c>
      <c r="CG16" s="8" t="str">
        <f ca="1">OFFSET(Database!$F16,0,COLUMN(Database!CD16)*2-12)</f>
        <v>n.r.</v>
      </c>
      <c r="CH16" s="8" t="str">
        <f ca="1">OFFSET(Database!$F16,0,COLUMN(Database!CE16)*2-12)</f>
        <v>n.r.</v>
      </c>
      <c r="CI16" s="8" t="str">
        <f ca="1">OFFSET(Database!$F16,0,COLUMN(Database!CF16)*2-12)</f>
        <v>n.r.</v>
      </c>
      <c r="CJ16" s="8" t="str">
        <f ca="1">OFFSET(Database!$F16,0,COLUMN(Database!CG16)*2-12)</f>
        <v>n.r.</v>
      </c>
      <c r="CK16" s="8" t="str">
        <f ca="1">OFFSET(Database!$F16,0,COLUMN(Database!CH16)*2-12)</f>
        <v>n.r.</v>
      </c>
      <c r="CL16" s="8" t="str">
        <f ca="1">OFFSET(Database!$F16,0,COLUMN(Database!CI16)*2-12)</f>
        <v>n.r.</v>
      </c>
      <c r="CM16" s="8" t="str">
        <f ca="1">OFFSET(Database!$F16,0,COLUMN(Database!CJ16)*2-12)</f>
        <v>n.r.</v>
      </c>
      <c r="CN16" s="8" t="str">
        <f ca="1">OFFSET(Database!$F16,0,COLUMN(Database!CK16)*2-12)</f>
        <v>n.r.</v>
      </c>
      <c r="CO16" s="8" t="str">
        <f ca="1">OFFSET(Database!$F16,0,COLUMN(Database!CL16)*2-12)</f>
        <v>n.r.</v>
      </c>
      <c r="CP16" s="8" t="str">
        <f ca="1">OFFSET(Database!$F16,0,COLUMN(Database!CM16)*2-12)</f>
        <v>n.r.</v>
      </c>
      <c r="CQ16" s="8" t="str">
        <f ca="1">OFFSET(Database!$F16,0,COLUMN(Database!CN16)*2-12)</f>
        <v>n.r.</v>
      </c>
      <c r="CR16" s="8" t="str">
        <f ca="1">OFFSET(Database!$F16,0,COLUMN(Database!CO16)*2-12)</f>
        <v>n.r.</v>
      </c>
      <c r="CS16" s="8" t="str">
        <f ca="1">OFFSET(Database!$F16,0,COLUMN(Database!CP16)*2-12)</f>
        <v>n.r.</v>
      </c>
      <c r="CT16" s="8" t="str">
        <f ca="1">OFFSET(Database!$F16,0,COLUMN(Database!CQ16)*2-12)</f>
        <v>n.r.</v>
      </c>
      <c r="CU16" s="8" t="str">
        <f ca="1">OFFSET(Database!$F16,0,COLUMN(Database!CR16)*2-12)</f>
        <v>n.r.</v>
      </c>
      <c r="CV16" s="8" t="str">
        <f ca="1">OFFSET(Database!$F16,0,COLUMN(Database!CS16)*2-12)</f>
        <v>n.r.</v>
      </c>
      <c r="CW16" s="8" t="str">
        <f ca="1">OFFSET(Database!$F16,0,COLUMN(Database!CT16)*2-12)</f>
        <v>n.r.</v>
      </c>
      <c r="CX16" s="8" t="str">
        <f ca="1">OFFSET(Database!$F16,0,COLUMN(Database!CU16)*2-12)</f>
        <v>n.r.</v>
      </c>
      <c r="CY16" s="8" t="str">
        <f ca="1">OFFSET(Database!$F16,0,COLUMN(Database!CV16)*2-12)</f>
        <v>n.r.</v>
      </c>
      <c r="CZ16" s="8" t="str">
        <f ca="1">OFFSET(Database!$F16,0,COLUMN(Database!CW16)*2-12)</f>
        <v>n.r.</v>
      </c>
      <c r="DA16" s="8" t="str">
        <f ca="1">OFFSET(Database!$F16,0,COLUMN(Database!CX16)*2-12)</f>
        <v>n.r.</v>
      </c>
      <c r="DB16" s="8" t="str">
        <f ca="1">OFFSET(Database!$F16,0,COLUMN(Database!CY16)*2-12)</f>
        <v>n.r.</v>
      </c>
      <c r="DC16" s="8" t="str">
        <f ca="1">OFFSET(Database!$F16,0,COLUMN(Database!CZ16)*2-12)</f>
        <v>n.r.</v>
      </c>
      <c r="DD16" s="8" t="str">
        <f ca="1">OFFSET(Database!$F16,0,COLUMN(Database!DA16)*2-12)</f>
        <v>n.r.</v>
      </c>
      <c r="DE16" s="8" t="str">
        <f ca="1">OFFSET(Database!$F16,0,COLUMN(Database!DB16)*2-12)</f>
        <v>n.r.</v>
      </c>
      <c r="DF16" s="8" t="str">
        <f ca="1">OFFSET(Database!$F16,0,COLUMN(Database!DC16)*2-12)</f>
        <v>n.r.</v>
      </c>
      <c r="DG16" s="8" t="str">
        <f ca="1">OFFSET(Database!$F16,0,COLUMN(Database!DD16)*2-12)</f>
        <v>n.r.</v>
      </c>
      <c r="DH16" s="8" t="str">
        <f ca="1">OFFSET(Database!$F16,0,COLUMN(Database!DE16)*2-12)</f>
        <v>n.r.</v>
      </c>
      <c r="DI16" s="8" t="str">
        <f ca="1">OFFSET(Database!$F16,0,COLUMN(Database!DF16)*2-12)</f>
        <v>n.r.</v>
      </c>
      <c r="DJ16" s="8" t="str">
        <f ca="1">OFFSET(Database!$F16,0,COLUMN(Database!DG16)*2-12)</f>
        <v>n.r.</v>
      </c>
      <c r="DK16" s="8" t="str">
        <f ca="1">OFFSET(Database!$F16,0,COLUMN(Database!DH16)*2-12)</f>
        <v>n.r.</v>
      </c>
      <c r="DL16" s="8" t="str">
        <f ca="1">OFFSET(Database!$F16,0,COLUMN(Database!DI16)*2-12)</f>
        <v>n.r.</v>
      </c>
      <c r="DM16" s="8" t="str">
        <f ca="1">OFFSET(Database!$F16,0,COLUMN(Database!DJ16)*2-12)</f>
        <v>n.r.</v>
      </c>
      <c r="DN16" s="8" t="str">
        <f ca="1">OFFSET(Database!$F16,0,COLUMN(Database!DK16)*2-12)</f>
        <v>n.r.</v>
      </c>
      <c r="DO16" s="8" t="str">
        <f ca="1">OFFSET(Database!$F16,0,COLUMN(Database!DL16)*2-12)</f>
        <v>n.r.</v>
      </c>
      <c r="DP16" s="8" t="str">
        <f ca="1">OFFSET(Database!$F16,0,COLUMN(Database!DM16)*2-12)</f>
        <v>n.r.</v>
      </c>
      <c r="DQ16" s="8" t="str">
        <f ca="1">OFFSET(Database!$F16,0,COLUMN(Database!DN16)*2-12)</f>
        <v>n.r.</v>
      </c>
      <c r="DR16" s="8" t="str">
        <f ca="1">OFFSET(Database!$F16,0,COLUMN(Database!DO16)*2-12)</f>
        <v>n.r.</v>
      </c>
      <c r="DS16" s="8" t="str">
        <f ca="1">OFFSET(Database!$F16,0,COLUMN(Database!DP16)*2-12)</f>
        <v>n.r.</v>
      </c>
      <c r="DT16" s="8" t="str">
        <f ca="1">OFFSET(Database!$F16,0,COLUMN(Database!DQ16)*2-12)</f>
        <v>n.r.</v>
      </c>
      <c r="DU16" s="8" t="str">
        <f ca="1">OFFSET(Database!$F16,0,COLUMN(Database!DR16)*2-12)</f>
        <v>n.r.</v>
      </c>
      <c r="DV16" s="8" t="str">
        <f ca="1">OFFSET(Database!$F16,0,COLUMN(Database!DS16)*2-12)</f>
        <v>n.r.</v>
      </c>
      <c r="DW16" s="8" t="str">
        <f ca="1">OFFSET(Database!$F16,0,COLUMN(Database!DT16)*2-12)</f>
        <v>n.r.</v>
      </c>
      <c r="DX16" s="8" t="str">
        <f ca="1">OFFSET(Database!$F16,0,COLUMN(Database!DU16)*2-12)</f>
        <v>n.r.</v>
      </c>
      <c r="DY16" s="8" t="str">
        <f ca="1">OFFSET(Database!$F16,0,COLUMN(Database!DV16)*2-12)</f>
        <v>n.r.</v>
      </c>
      <c r="DZ16" s="8" t="str">
        <f ca="1">OFFSET(Database!$F16,0,COLUMN(Database!DW16)*2-12)</f>
        <v>n.r.</v>
      </c>
      <c r="EA16" s="8" t="str">
        <f ca="1">OFFSET(Database!$F16,0,COLUMN(Database!DX16)*2-12)</f>
        <v>n.r.</v>
      </c>
      <c r="EB16" s="8" t="str">
        <f ca="1">OFFSET(Database!$F16,0,COLUMN(Database!DY16)*2-12)</f>
        <v>n.r.</v>
      </c>
      <c r="EC16" s="8" t="str">
        <f ca="1">OFFSET(Database!$F16,0,COLUMN(Database!DZ16)*2-12)</f>
        <v>n.r.</v>
      </c>
      <c r="ED16" s="8" t="str">
        <f ca="1">OFFSET(Database!$F16,0,COLUMN(Database!EA16)*2-12)</f>
        <v>n.r.</v>
      </c>
      <c r="EE16" s="8" t="str">
        <f ca="1">OFFSET(Database!$F16,0,COLUMN(Database!EB16)*2-12)</f>
        <v>n.r.</v>
      </c>
      <c r="EF16" s="8" t="str">
        <f ca="1">OFFSET(Database!$F16,0,COLUMN(Database!EC16)*2-12)</f>
        <v>n.r.</v>
      </c>
      <c r="EG16" s="8" t="str">
        <f ca="1">OFFSET(Database!$F16,0,COLUMN(Database!ED16)*2-12)</f>
        <v>n.r.</v>
      </c>
      <c r="EH16" s="8" t="str">
        <f ca="1">OFFSET(Database!$F16,0,COLUMN(Database!EE16)*2-12)</f>
        <v>n.r.</v>
      </c>
      <c r="EI16" s="8" t="str">
        <f ca="1">OFFSET(Database!$F16,0,COLUMN(Database!EF16)*2-12)</f>
        <v>n.r.</v>
      </c>
      <c r="EJ16" s="8" t="str">
        <f ca="1">OFFSET(Database!$F16,0,COLUMN(Database!EG16)*2-12)</f>
        <v>n.r.</v>
      </c>
      <c r="EK16" s="8" t="str">
        <f ca="1">OFFSET(Database!$F16,0,COLUMN(Database!EH16)*2-12)</f>
        <v>n.r.</v>
      </c>
      <c r="EL16" s="8" t="str">
        <f ca="1">OFFSET(Database!$F16,0,COLUMN(Database!EI16)*2-12)</f>
        <v>n.r.</v>
      </c>
      <c r="EM16" s="8" t="str">
        <f ca="1">OFFSET(Database!$F16,0,COLUMN(Database!EJ16)*2-12)</f>
        <v>n.r.</v>
      </c>
      <c r="EN16" s="8" t="str">
        <f ca="1">OFFSET(Database!$F16,0,COLUMN(Database!EK16)*2-12)</f>
        <v>n.r.</v>
      </c>
      <c r="EO16" s="8" t="str">
        <f ca="1">OFFSET(Database!$F16,0,COLUMN(Database!EL16)*2-12)</f>
        <v>n.r.</v>
      </c>
      <c r="EP16" s="8" t="str">
        <f ca="1">OFFSET(Database!$F16,0,COLUMN(Database!EM16)*2-12)</f>
        <v>n.r.</v>
      </c>
      <c r="EQ16" s="8" t="str">
        <f ca="1">OFFSET(Database!$F16,0,COLUMN(Database!EN16)*2-12)</f>
        <v>n.d.</v>
      </c>
      <c r="ER16" s="8" t="str">
        <f ca="1">OFFSET(Database!$F16,0,COLUMN(Database!EO16)*2-12)</f>
        <v>n.r.</v>
      </c>
      <c r="ES16" s="8" t="str">
        <f ca="1">OFFSET(Database!$F16,0,COLUMN(Database!EP16)*2-12)</f>
        <v>n.r.</v>
      </c>
      <c r="ET16" s="8" t="str">
        <f ca="1">OFFSET(Database!$F16,0,COLUMN(Database!EQ16)*2-12)</f>
        <v>n.r.</v>
      </c>
      <c r="EU16" s="8" t="str">
        <f ca="1">OFFSET(Database!$F16,0,COLUMN(Database!ER16)*2-12)</f>
        <v>n.r.</v>
      </c>
      <c r="EV16" s="8" t="str">
        <f ca="1">OFFSET(Database!$F16,0,COLUMN(Database!ES16)*2-12)</f>
        <v>n.r.</v>
      </c>
      <c r="EW16" s="8" t="str">
        <f ca="1">OFFSET(Database!$F16,0,COLUMN(Database!ET16)*2-12)</f>
        <v>b.d.</v>
      </c>
      <c r="EX16" s="8" t="str">
        <f ca="1">OFFSET(Database!$F16,0,COLUMN(Database!EU16)*2-12)</f>
        <v>b.d.</v>
      </c>
      <c r="EY16" s="8" t="str">
        <f ca="1">OFFSET(Database!$F16,0,COLUMN(Database!EV16)*2-12)</f>
        <v>b.d.</v>
      </c>
      <c r="EZ16" s="8" t="str">
        <f ca="1">OFFSET(Database!$F16,0,COLUMN(Database!EW16)*2-12)</f>
        <v>b.d.</v>
      </c>
      <c r="FA16" s="8" t="str">
        <f ca="1">OFFSET(Database!$F16,0,COLUMN(Database!EX16)*2-12)</f>
        <v>b.d.</v>
      </c>
      <c r="FB16" s="8" t="str">
        <f ca="1">OFFSET(Database!$F16,0,COLUMN(Database!EY16)*2-12)</f>
        <v>n.r.</v>
      </c>
      <c r="FC16" s="8" t="str">
        <f ca="1">OFFSET(Database!$F16,0,COLUMN(Database!EZ16)*2-12)</f>
        <v>n.r.</v>
      </c>
      <c r="FD16" s="8" t="str">
        <f ca="1">OFFSET(Database!$F16,0,COLUMN(Database!FA16)*2-12)</f>
        <v>n.r.</v>
      </c>
      <c r="FE16" s="8" t="str">
        <f ca="1">OFFSET(Database!$F16,0,COLUMN(Database!FB16)*2-12)</f>
        <v>n.r.</v>
      </c>
      <c r="FF16" s="8" t="str">
        <f ca="1">OFFSET(Database!$F16,0,COLUMN(Database!FC16)*2-12)</f>
        <v>n.r.</v>
      </c>
      <c r="FG16" s="8">
        <f ca="1">OFFSET(Database!$F16,0,COLUMN(Database!FD16)*2-12)</f>
        <v>90789.039286893385</v>
      </c>
      <c r="FH16" s="8" t="str">
        <f ca="1">OFFSET(Database!$F16,0,COLUMN(Database!FE16)*2-12)</f>
        <v>n.r.</v>
      </c>
      <c r="FI16" s="8" t="str">
        <f ca="1">OFFSET(Database!$F16,0,COLUMN(Database!FF16)*2-12)</f>
        <v>n.r.</v>
      </c>
      <c r="FJ16" s="8" t="str">
        <f ca="1">OFFSET(Database!$F16,0,COLUMN(Database!FG16)*2-12)</f>
        <v>n.r.</v>
      </c>
      <c r="FK16" s="8">
        <f ca="1">OFFSET(Database!$F16,0,COLUMN(Database!FH16)*2-12)</f>
        <v>24760.647078243645</v>
      </c>
      <c r="FL16" s="8" t="str">
        <f ca="1">OFFSET(Database!$F16,0,COLUMN(Database!FI16)*2-12)</f>
        <v>n.r.</v>
      </c>
      <c r="FM16" s="8" t="str">
        <f ca="1">OFFSET(Database!$F16,0,COLUMN(Database!FJ16)*2-12)</f>
        <v>n.r.</v>
      </c>
      <c r="FN16" s="8">
        <f ca="1">OFFSET(Database!$F16,0,COLUMN(Database!FK16)*2-12)</f>
        <v>153516.01188511064</v>
      </c>
      <c r="FO16" s="8" t="str">
        <f ca="1">OFFSET(Database!$F16,0,COLUMN(Database!FL16)*2-12)</f>
        <v>n.r.</v>
      </c>
      <c r="FP16" s="8" t="str">
        <f ca="1">OFFSET(Database!$F16,0,COLUMN(Database!FM16)*2-12)</f>
        <v>n.r.</v>
      </c>
      <c r="FQ16" s="8">
        <f ca="1">OFFSET(Database!$F16,0,COLUMN(Database!FN16)*2-12)</f>
        <v>2310.9937273027404</v>
      </c>
      <c r="FR16" s="8">
        <f ca="1">OFFSET(Database!$F16,0,COLUMN(Database!FO16)*2-12)</f>
        <v>1898.3162759986794</v>
      </c>
      <c r="FS16" s="8">
        <f ca="1">OFFSET(Database!$F16,0,COLUMN(Database!FP16)*2-12)</f>
        <v>1898.3162759986794</v>
      </c>
      <c r="FT16" s="8">
        <f ca="1">OFFSET(Database!$F16,0,COLUMN(Database!FQ16)*2-12)</f>
        <v>1980.8517662594916</v>
      </c>
      <c r="FU16" s="8">
        <f ca="1">OFFSET(Database!$F16,0,COLUMN(Database!FR16)*2-12)</f>
        <v>1408</v>
      </c>
      <c r="FV16" s="8">
        <f ca="1">OFFSET(Database!$F16,0,COLUMN(Database!FS16)*2-12)</f>
        <v>1308</v>
      </c>
      <c r="FW16" s="8">
        <f ca="1">OFFSET(Database!$F16,0,COLUMN(Database!FT16)*2-12)</f>
        <v>1916</v>
      </c>
      <c r="FX16" s="8">
        <f ca="1">OFFSET(Database!$F16,0,COLUMN(Database!FU16)*2-12)</f>
        <v>1622</v>
      </c>
      <c r="FY16" s="8">
        <f ca="1">OFFSET(Database!$F16,0,COLUMN(Database!FV16)*2-12)</f>
        <v>2186</v>
      </c>
      <c r="FZ16" s="8">
        <f ca="1">OFFSET(Database!$F16,0,COLUMN(Database!FW16)*2-12)</f>
        <v>3712</v>
      </c>
      <c r="GA16" s="8">
        <f ca="1">OFFSET(Database!$F16,0,COLUMN(Database!FX16)*2-12)</f>
        <v>2950</v>
      </c>
      <c r="GB16" s="8">
        <f ca="1">OFFSET(Database!$F16,0,COLUMN(Database!FY16)*2-12)</f>
        <v>1372</v>
      </c>
      <c r="GC16" s="8">
        <f ca="1">OFFSET(Database!$F16,0,COLUMN(Database!FZ16)*2-12)</f>
        <v>2580</v>
      </c>
      <c r="GD16" s="8">
        <f ca="1">OFFSET(Database!$F16,0,COLUMN(Database!GA16)*2-12)</f>
        <v>1682</v>
      </c>
      <c r="GE16" s="8">
        <f ca="1">OFFSET(Database!$F16,0,COLUMN(Database!GB16)*2-12)</f>
        <v>938</v>
      </c>
      <c r="GF16" s="8">
        <f ca="1">OFFSET(Database!$F16,0,COLUMN(Database!GC16)*2-12)</f>
        <v>1962</v>
      </c>
      <c r="GG16" s="8" t="str">
        <f ca="1">OFFSET(Database!$F16,0,COLUMN(Database!GD16)*2-12)</f>
        <v>n.r.</v>
      </c>
      <c r="GH16" s="8" t="str">
        <f ca="1">OFFSET(Database!$F16,0,COLUMN(Database!GE16)*2-12)</f>
        <v>n.r.</v>
      </c>
      <c r="GI16" s="8" t="str">
        <f ca="1">OFFSET(Database!$F16,0,COLUMN(Database!GF16)*2-12)</f>
        <v>n.r.</v>
      </c>
      <c r="GJ16" s="8" t="str">
        <f ca="1">OFFSET(Database!$F16,0,COLUMN(Database!GG16)*2-12)</f>
        <v>n.r.</v>
      </c>
      <c r="GK16" s="8" t="str">
        <f ca="1">OFFSET(Database!$F16,0,COLUMN(Database!GH16)*2-12)</f>
        <v>n.r.</v>
      </c>
      <c r="GL16" s="8" t="str">
        <f ca="1">OFFSET(Database!$F16,0,COLUMN(Database!GI16)*2-12)</f>
        <v>n.r.</v>
      </c>
      <c r="GM16" s="8" t="str">
        <f ca="1">OFFSET(Database!$F16,0,COLUMN(Database!GJ16)*2-12)</f>
        <v>n.r.</v>
      </c>
      <c r="GN16" s="8" t="str">
        <f ca="1">OFFSET(Database!$F16,0,COLUMN(Database!GK16)*2-12)</f>
        <v>n.d.</v>
      </c>
      <c r="GO16" s="8" t="str">
        <f ca="1">OFFSET(Database!$F16,0,COLUMN(Database!GL16)*2-12)</f>
        <v>n.r.</v>
      </c>
      <c r="GP16" s="8" t="str">
        <f ca="1">OFFSET(Database!$F16,0,COLUMN(Database!GM16)*2-12)</f>
        <v>n.r.</v>
      </c>
    </row>
    <row r="17" spans="1:198" x14ac:dyDescent="0.2">
      <c r="A17" s="50" t="str">
        <f>Database!A17</f>
        <v>D-aspartic acid</v>
      </c>
      <c r="B17" s="1" t="s">
        <v>864</v>
      </c>
      <c r="C17" s="4" t="str">
        <f>Database!B17</f>
        <v>ɑ</v>
      </c>
      <c r="D17" s="4" t="str">
        <f>Database!C17</f>
        <v>D</v>
      </c>
      <c r="E17" s="74">
        <f>Database!D17</f>
        <v>92</v>
      </c>
      <c r="F17" s="1" t="s">
        <v>1140</v>
      </c>
      <c r="G17" s="1">
        <v>83887</v>
      </c>
      <c r="H17" s="1">
        <f>Database!E17</f>
        <v>133.1</v>
      </c>
      <c r="I17" s="8">
        <f ca="1">OFFSET(Database!$F17,0,COLUMN(Database!F17)*2-12)</f>
        <v>1.2999999999999999E-3</v>
      </c>
      <c r="J17" s="8">
        <f ca="1">OFFSET(Database!$F17,0,COLUMN(Database!G17)*2-12)</f>
        <v>6.1999999999999998E-3</v>
      </c>
      <c r="K17" s="8" t="str">
        <f ca="1">OFFSET(Database!$F17,0,COLUMN(Database!H17)*2-12)</f>
        <v>tr</v>
      </c>
      <c r="L17" s="8">
        <f ca="1">OFFSET(Database!$F17,0,COLUMN(Database!I17)*2-12)</f>
        <v>1.9E-3</v>
      </c>
      <c r="M17" s="8" t="str">
        <f ca="1">OFFSET(Database!$F17,0,COLUMN(Database!J17)*2-12)</f>
        <v>tr</v>
      </c>
      <c r="N17" s="8">
        <f ca="1">OFFSET(Database!$F17,0,COLUMN(Database!K17)*2-12)</f>
        <v>9.0157776108189341E-2</v>
      </c>
      <c r="O17" s="8" t="str">
        <f ca="1">OFFSET(Database!$F17,0,COLUMN(Database!L17)*2-12)</f>
        <v>&lt;0.06</v>
      </c>
      <c r="P17" s="8">
        <f ca="1">OFFSET(Database!$F17,0,COLUMN(Database!M17)*2-12)</f>
        <v>0.19</v>
      </c>
      <c r="Q17" s="8">
        <f ca="1">OFFSET(Database!$F17,0,COLUMN(Database!N17)*2-12)</f>
        <v>8.18</v>
      </c>
      <c r="R17" s="8">
        <f ca="1">OFFSET(Database!$F17,0,COLUMN(Database!O17)*2-12)</f>
        <v>5.0199999999999996</v>
      </c>
      <c r="S17" s="8">
        <f ca="1">OFFSET(Database!$F17,0,COLUMN(Database!P17)*2-12)</f>
        <v>3.5086401202103681</v>
      </c>
      <c r="T17" s="8">
        <f ca="1">OFFSET(Database!$F17,0,COLUMN(Database!Q17)*2-12)</f>
        <v>7.72</v>
      </c>
      <c r="U17" s="8">
        <f ca="1">OFFSET(Database!$F17,0,COLUMN(Database!R17)*2-12)</f>
        <v>4.0999999999999996</v>
      </c>
      <c r="V17" s="8" t="str">
        <f ca="1">OFFSET(Database!$F17,0,COLUMN(Database!S17)*2-12)</f>
        <v>&lt;0.01</v>
      </c>
      <c r="W17" s="8" t="str">
        <f ca="1">OFFSET(Database!$F17,0,COLUMN(Database!T17)*2-12)</f>
        <v>&lt;0.01</v>
      </c>
      <c r="X17" s="8">
        <f ca="1">OFFSET(Database!$F17,0,COLUMN(Database!U17)*2-12)</f>
        <v>1.419984973703982</v>
      </c>
      <c r="Y17" s="8">
        <f ca="1">OFFSET(Database!$F17,0,COLUMN(Database!V17)*2-12)</f>
        <v>0.59</v>
      </c>
      <c r="Z17" s="8">
        <f ca="1">OFFSET(Database!$F17,0,COLUMN(Database!W17)*2-12)</f>
        <v>0.95</v>
      </c>
      <c r="AA17" s="8">
        <f ca="1">OFFSET(Database!$F17,0,COLUMN(Database!X17)*2-12)</f>
        <v>1.1000000000000001</v>
      </c>
      <c r="AB17" s="8">
        <f ca="1">OFFSET(Database!$F17,0,COLUMN(Database!Y17)*2-12)</f>
        <v>0.81141998497370404</v>
      </c>
      <c r="AC17" s="8">
        <f ca="1">OFFSET(Database!$F17,0,COLUMN(Database!Z17)*2-12)</f>
        <v>0.90157776108189336</v>
      </c>
      <c r="AD17" s="8">
        <f ca="1">OFFSET(Database!$F17,0,COLUMN(Database!AA17)*2-12)</f>
        <v>0.95416979714500383</v>
      </c>
      <c r="AE17" s="8">
        <f ca="1">OFFSET(Database!$F17,0,COLUMN(Database!AB17)*2-12)</f>
        <v>0.88655146506386184</v>
      </c>
      <c r="AF17" s="8">
        <f ca="1">OFFSET(Database!$F17,0,COLUMN(Database!AC17)*2-12)</f>
        <v>2.4</v>
      </c>
      <c r="AG17" s="8" t="str">
        <f ca="1">OFFSET(Database!$F17,0,COLUMN(Database!AD17)*2-12)</f>
        <v>&lt;0.01</v>
      </c>
      <c r="AH17" s="8" t="str">
        <f ca="1">OFFSET(Database!$F17,0,COLUMN(Database!AE17)*2-12)</f>
        <v>n.r.</v>
      </c>
      <c r="AI17" s="8">
        <f ca="1">OFFSET(Database!$F17,0,COLUMN(Database!AF17)*2-12)</f>
        <v>0.2</v>
      </c>
      <c r="AJ17" s="8">
        <f ca="1">OFFSET(Database!$F17,0,COLUMN(Database!AG17)*2-12)</f>
        <v>0.24</v>
      </c>
      <c r="AK17" s="8">
        <f ca="1">OFFSET(Database!$F17,0,COLUMN(Database!AH17)*2-12)</f>
        <v>2.27</v>
      </c>
      <c r="AL17" s="8">
        <f ca="1">OFFSET(Database!$F17,0,COLUMN(Database!AI17)*2-12)</f>
        <v>1.01</v>
      </c>
      <c r="AM17" s="8">
        <f ca="1">OFFSET(Database!$F17,0,COLUMN(Database!AJ17)*2-12)</f>
        <v>2.4</v>
      </c>
      <c r="AN17" s="8">
        <f ca="1">OFFSET(Database!$F17,0,COLUMN(Database!AK17)*2-12)</f>
        <v>15.1</v>
      </c>
      <c r="AO17" s="8">
        <f ca="1">OFFSET(Database!$F17,0,COLUMN(Database!AL17)*2-12)</f>
        <v>0.40570999248685202</v>
      </c>
      <c r="AP17" s="8">
        <f ca="1">OFFSET(Database!$F17,0,COLUMN(Database!AM17)*2-12)</f>
        <v>0.56000000000000005</v>
      </c>
      <c r="AQ17" s="8">
        <f ca="1">OFFSET(Database!$F17,0,COLUMN(Database!AN17)*2-12)</f>
        <v>0.02</v>
      </c>
      <c r="AR17" s="8">
        <f ca="1">OFFSET(Database!$F17,0,COLUMN(Database!AO17)*2-12)</f>
        <v>0.02</v>
      </c>
      <c r="AS17" s="8" t="str">
        <f ca="1">OFFSET(Database!$F17,0,COLUMN(Database!AP17)*2-12)</f>
        <v>&lt;0.005</v>
      </c>
      <c r="AT17" s="8" t="str">
        <f ca="1">OFFSET(Database!$F17,0,COLUMN(Database!AQ17)*2-12)</f>
        <v>&lt;0.01</v>
      </c>
      <c r="AU17" s="8">
        <f ca="1">OFFSET(Database!$F17,0,COLUMN(Database!AR17)*2-12)</f>
        <v>1.2772351615326822E-2</v>
      </c>
      <c r="AV17" s="8">
        <f ca="1">OFFSET(Database!$F17,0,COLUMN(Database!AS17)*2-12)</f>
        <v>1.1269722013523668E-2</v>
      </c>
      <c r="AW17" s="8" t="str">
        <f ca="1">OFFSET(Database!$F17,0,COLUMN(Database!AT17)*2-12)</f>
        <v>&lt;0.01</v>
      </c>
      <c r="AX17" s="8">
        <f ca="1">OFFSET(Database!$F17,0,COLUMN(Database!AU17)*2-12)</f>
        <v>2.2539444027047335E-2</v>
      </c>
      <c r="AY17" s="8" t="str">
        <f ca="1">OFFSET(Database!$F17,0,COLUMN(Database!AV17)*2-12)</f>
        <v>&lt;0.0008</v>
      </c>
      <c r="AZ17" s="8">
        <f ca="1">OFFSET(Database!$F17,0,COLUMN(Database!AW17)*2-12)</f>
        <v>1.0518407212622089E-2</v>
      </c>
      <c r="BA17" s="8" t="str">
        <f ca="1">OFFSET(Database!$F17,0,COLUMN(Database!AX17)*2-12)</f>
        <v>&lt;0.0001</v>
      </c>
      <c r="BB17" s="8" t="str">
        <f ca="1">OFFSET(Database!$F17,0,COLUMN(Database!AY17)*2-12)</f>
        <v>&lt;0.00007</v>
      </c>
      <c r="BC17" s="8" t="str">
        <f ca="1">OFFSET(Database!$F17,0,COLUMN(Database!AZ17)*2-12)</f>
        <v>&lt;0.015</v>
      </c>
      <c r="BD17" s="8">
        <f ca="1">OFFSET(Database!$F17,0,COLUMN(Database!BA17)*2-12)</f>
        <v>3.4109691960931632</v>
      </c>
      <c r="BE17" s="8">
        <f ca="1">OFFSET(Database!$F17,0,COLUMN(Database!BB17)*2-12)</f>
        <v>4.5078888054094664E-3</v>
      </c>
      <c r="BF17" s="8">
        <f ca="1">OFFSET(Database!$F17,0,COLUMN(Database!BC17)*2-12)</f>
        <v>9.0157776108189328E-3</v>
      </c>
      <c r="BG17" s="8">
        <f ca="1">OFFSET(Database!$F17,0,COLUMN(Database!BD17)*2-12)</f>
        <v>5.2592036063110444E-3</v>
      </c>
      <c r="BH17" s="8">
        <f ca="1">OFFSET(Database!$F17,0,COLUMN(Database!BE17)*2-12)</f>
        <v>4.0570999248685201E-2</v>
      </c>
      <c r="BI17" s="8">
        <f ca="1">OFFSET(Database!$F17,0,COLUMN(Database!BF17)*2-12)</f>
        <v>7.2877535687453046E-2</v>
      </c>
      <c r="BJ17" s="8">
        <f ca="1">OFFSET(Database!$F17,0,COLUMN(Database!BG17)*2-12)</f>
        <v>0.74380165289256206</v>
      </c>
      <c r="BK17" s="8">
        <f ca="1">OFFSET(Database!$F17,0,COLUMN(Database!BH17)*2-12)</f>
        <v>0.90157776108189336</v>
      </c>
      <c r="BL17" s="8">
        <f ca="1">OFFSET(Database!$F17,0,COLUMN(Database!BI17)*2-12)</f>
        <v>1.1870773854244929</v>
      </c>
      <c r="BM17" s="8">
        <f ca="1">OFFSET(Database!$F17,0,COLUMN(Database!BJ17)*2-12)</f>
        <v>2.2539444027047335E-2</v>
      </c>
      <c r="BN17" s="8">
        <f ca="1">OFFSET(Database!$F17,0,COLUMN(Database!BK17)*2-12)</f>
        <v>0.30052592036063114</v>
      </c>
      <c r="BO17" s="8">
        <f ca="1">OFFSET(Database!$F17,0,COLUMN(Database!BL17)*2-12)</f>
        <v>4.8084147257700979E-2</v>
      </c>
      <c r="BP17" s="8">
        <f ca="1">OFFSET(Database!$F17,0,COLUMN(Database!BM17)*2-12)</f>
        <v>0.45078888054094668</v>
      </c>
      <c r="BQ17" s="8" t="str">
        <f ca="1">OFFSET(Database!$F17,0,COLUMN(Database!BN17)*2-12)</f>
        <v>&lt;0.011</v>
      </c>
      <c r="BR17" s="8" t="str">
        <f ca="1">OFFSET(Database!$F17,0,COLUMN(Database!BO17)*2-12)</f>
        <v>&lt;0.011</v>
      </c>
      <c r="BS17" s="8">
        <f ca="1">OFFSET(Database!$F17,0,COLUMN(Database!BP17)*2-12)</f>
        <v>1.6528925619834711E-2</v>
      </c>
      <c r="BT17" s="8">
        <f ca="1">OFFSET(Database!$F17,0,COLUMN(Database!BQ17)*2-12)</f>
        <v>3.7565740045078888E-3</v>
      </c>
      <c r="BU17" s="8">
        <f ca="1">OFFSET(Database!$F17,0,COLUMN(Database!BR17)*2-12)</f>
        <v>8.2644628099173556E-3</v>
      </c>
      <c r="BV17" s="8">
        <f ca="1">OFFSET(Database!$F17,0,COLUMN(Database!BS17)*2-12)</f>
        <v>3.7565740045078888E-3</v>
      </c>
      <c r="BW17" s="8" t="str">
        <f ca="1">OFFSET(Database!$F17,0,COLUMN(Database!BT17)*2-12)</f>
        <v>&lt;0.0001</v>
      </c>
      <c r="BX17" s="8" t="str">
        <f ca="1">OFFSET(Database!$F17,0,COLUMN(Database!BU17)*2-12)</f>
        <v>&lt;0.0001</v>
      </c>
      <c r="BY17" s="8" t="str">
        <f ca="1">OFFSET(Database!$F17,0,COLUMN(Database!BV17)*2-12)</f>
        <v>&lt;0.0001</v>
      </c>
      <c r="BZ17" s="8">
        <f ca="1">OFFSET(Database!$F17,0,COLUMN(Database!BW17)*2-12)</f>
        <v>0.34485349361382417</v>
      </c>
      <c r="CA17" s="8">
        <f ca="1">OFFSET(Database!$F17,0,COLUMN(Database!BX17)*2-12)</f>
        <v>0.16829451540195342</v>
      </c>
      <c r="CB17" s="8" t="str">
        <f ca="1">OFFSET(Database!$F17,0,COLUMN(Database!BY17)*2-12)</f>
        <v>&lt;0.0038</v>
      </c>
      <c r="CC17" s="8" t="str">
        <f ca="1">OFFSET(Database!$F17,0,COLUMN(Database!BZ17)*2-12)</f>
        <v>&lt;0.0068</v>
      </c>
      <c r="CD17" s="8">
        <f ca="1">OFFSET(Database!$F17,0,COLUMN(Database!CA17)*2-12)</f>
        <v>8.2644628099173556E-2</v>
      </c>
      <c r="CE17" s="8">
        <f ca="1">OFFSET(Database!$F17,0,COLUMN(Database!CB17)*2-12)</f>
        <v>8.2644628099173556E-2</v>
      </c>
      <c r="CF17" s="8">
        <f ca="1">OFFSET(Database!$F17,0,COLUMN(Database!CC17)*2-12)</f>
        <v>3.8317054845980462E-2</v>
      </c>
      <c r="CG17" s="8">
        <f ca="1">OFFSET(Database!$F17,0,COLUMN(Database!CD17)*2-12)</f>
        <v>6.0105184072126224E-3</v>
      </c>
      <c r="CH17" s="8">
        <f ca="1">OFFSET(Database!$F17,0,COLUMN(Database!CE17)*2-12)</f>
        <v>7.5131480090157776E-3</v>
      </c>
      <c r="CI17" s="8">
        <f ca="1">OFFSET(Database!$F17,0,COLUMN(Database!CF17)*2-12)</f>
        <v>9.0157776108189341E-2</v>
      </c>
      <c r="CJ17" s="8">
        <f ca="1">OFFSET(Database!$F17,0,COLUMN(Database!CG17)*2-12)</f>
        <v>9.0157776108189341E-2</v>
      </c>
      <c r="CK17" s="8">
        <f ca="1">OFFSET(Database!$F17,0,COLUMN(Database!CH17)*2-12)</f>
        <v>3.8317054845980462E-2</v>
      </c>
      <c r="CL17" s="8">
        <f ca="1">OFFSET(Database!$F17,0,COLUMN(Database!CI17)*2-12)</f>
        <v>8.2644628099173556E-2</v>
      </c>
      <c r="CM17" s="8">
        <f ca="1">OFFSET(Database!$F17,0,COLUMN(Database!CJ17)*2-12)</f>
        <v>0.20285499624342601</v>
      </c>
      <c r="CN17" s="8">
        <f ca="1">OFFSET(Database!$F17,0,COLUMN(Database!CK17)*2-12)</f>
        <v>0.12772351615326821</v>
      </c>
      <c r="CO17" s="8">
        <f ca="1">OFFSET(Database!$F17,0,COLUMN(Database!CL17)*2-12)</f>
        <v>5.3343350864012019E-2</v>
      </c>
      <c r="CP17" s="8">
        <f ca="1">OFFSET(Database!$F17,0,COLUMN(Database!CM17)*2-12)</f>
        <v>0.66</v>
      </c>
      <c r="CQ17" s="8">
        <f ca="1">OFFSET(Database!$F17,0,COLUMN(Database!CN17)*2-12)</f>
        <v>0.21</v>
      </c>
      <c r="CR17" s="8" t="str">
        <f ca="1">OFFSET(Database!$F17,0,COLUMN(Database!CO17)*2-12)</f>
        <v>&lt;0.1</v>
      </c>
      <c r="CS17" s="8">
        <f ca="1">OFFSET(Database!$F17,0,COLUMN(Database!CP17)*2-12)</f>
        <v>0.17</v>
      </c>
      <c r="CT17" s="8" t="str">
        <f ca="1">OFFSET(Database!$F17,0,COLUMN(Database!CQ17)*2-12)</f>
        <v>&lt;0.1</v>
      </c>
      <c r="CU17" s="8" t="str">
        <f ca="1">OFFSET(Database!$F17,0,COLUMN(Database!CR17)*2-12)</f>
        <v>&lt;0.1</v>
      </c>
      <c r="CV17" s="8">
        <f ca="1">OFFSET(Database!$F17,0,COLUMN(Database!CS17)*2-12)</f>
        <v>0.13</v>
      </c>
      <c r="CW17" s="8">
        <f ca="1">OFFSET(Database!$F17,0,COLUMN(Database!CT17)*2-12)</f>
        <v>0.21</v>
      </c>
      <c r="CX17" s="8">
        <f ca="1">OFFSET(Database!$F17,0,COLUMN(Database!CU17)*2-12)</f>
        <v>1</v>
      </c>
      <c r="CY17" s="8" t="str">
        <f ca="1">OFFSET(Database!$F17,0,COLUMN(Database!CV17)*2-12)</f>
        <v>&lt;0.1</v>
      </c>
      <c r="CZ17" s="8">
        <f ca="1">OFFSET(Database!$F17,0,COLUMN(Database!CW17)*2-12)</f>
        <v>0.19</v>
      </c>
      <c r="DA17" s="8" t="str">
        <f ca="1">OFFSET(Database!$F17,0,COLUMN(Database!CX17)*2-12)</f>
        <v>&lt;0.1</v>
      </c>
      <c r="DB17" s="8" t="str">
        <f ca="1">OFFSET(Database!$F17,0,COLUMN(Database!CY17)*2-12)</f>
        <v>&lt;0.06</v>
      </c>
      <c r="DC17" s="8" t="str">
        <f ca="1">OFFSET(Database!$F17,0,COLUMN(Database!CZ17)*2-12)</f>
        <v>&lt;0.06</v>
      </c>
      <c r="DD17" s="8">
        <f ca="1">OFFSET(Database!$F17,0,COLUMN(Database!DA17)*2-12)</f>
        <v>1.35</v>
      </c>
      <c r="DE17" s="8" t="str">
        <f ca="1">OFFSET(Database!$F17,0,COLUMN(Database!DB17)*2-12)</f>
        <v>&lt;0.0075</v>
      </c>
      <c r="DF17" s="8" t="str">
        <f ca="1">OFFSET(Database!$F17,0,COLUMN(Database!DC17)*2-12)</f>
        <v>n.r.</v>
      </c>
      <c r="DG17" s="8" t="str">
        <f ca="1">OFFSET(Database!$F17,0,COLUMN(Database!DD17)*2-12)</f>
        <v>n.r.</v>
      </c>
      <c r="DH17" s="8" t="str">
        <f ca="1">OFFSET(Database!$F17,0,COLUMN(Database!DE17)*2-12)</f>
        <v>n.r.</v>
      </c>
      <c r="DI17" s="8" t="str">
        <f ca="1">OFFSET(Database!$F17,0,COLUMN(Database!DF17)*2-12)</f>
        <v>n.r.</v>
      </c>
      <c r="DJ17" s="8" t="str">
        <f ca="1">OFFSET(Database!$F17,0,COLUMN(Database!DG17)*2-12)</f>
        <v>n.r.</v>
      </c>
      <c r="DK17" s="8" t="str">
        <f ca="1">OFFSET(Database!$F17,0,COLUMN(Database!DH17)*2-12)</f>
        <v>n.r.</v>
      </c>
      <c r="DL17" s="8" t="str">
        <f ca="1">OFFSET(Database!$F17,0,COLUMN(Database!DI17)*2-12)</f>
        <v>n.r.</v>
      </c>
      <c r="DM17" s="8" t="str">
        <f ca="1">OFFSET(Database!$F17,0,COLUMN(Database!DJ17)*2-12)</f>
        <v>n.r.</v>
      </c>
      <c r="DN17" s="8">
        <f ca="1">OFFSET(Database!$F17,0,COLUMN(Database!DK17)*2-12)</f>
        <v>211</v>
      </c>
      <c r="DO17" s="8">
        <f ca="1">OFFSET(Database!$F17,0,COLUMN(Database!DL17)*2-12)</f>
        <v>211</v>
      </c>
      <c r="DP17" s="8">
        <f ca="1">OFFSET(Database!$F17,0,COLUMN(Database!DM17)*2-12)</f>
        <v>17.100000000000001</v>
      </c>
      <c r="DQ17" s="8">
        <f ca="1">OFFSET(Database!$F17,0,COLUMN(Database!DN17)*2-12)</f>
        <v>15.1</v>
      </c>
      <c r="DR17" s="8" t="str">
        <f ca="1">OFFSET(Database!$F17,0,COLUMN(Database!DO17)*2-12)</f>
        <v>l.o.q.</v>
      </c>
      <c r="DS17" s="8">
        <f ca="1">OFFSET(Database!$F17,0,COLUMN(Database!DP17)*2-12)</f>
        <v>1.3</v>
      </c>
      <c r="DT17" s="8">
        <f ca="1">OFFSET(Database!$F17,0,COLUMN(Database!DQ17)*2-12)</f>
        <v>18.399999999999999</v>
      </c>
      <c r="DU17" s="8">
        <f ca="1">OFFSET(Database!$F17,0,COLUMN(Database!DR17)*2-12)</f>
        <v>0.25030000000000002</v>
      </c>
      <c r="DV17" s="8" t="str">
        <f ca="1">OFFSET(Database!$F17,0,COLUMN(Database!DS17)*2-12)</f>
        <v>b.b.</v>
      </c>
      <c r="DW17" s="8" t="str">
        <f ca="1">OFFSET(Database!$F17,0,COLUMN(Database!DT17)*2-12)</f>
        <v>n.r.</v>
      </c>
      <c r="DX17" s="8" t="str">
        <f ca="1">OFFSET(Database!$F17,0,COLUMN(Database!DU17)*2-12)</f>
        <v>n.r.</v>
      </c>
      <c r="DY17" s="8" t="str">
        <f ca="1">OFFSET(Database!$F17,0,COLUMN(Database!DV17)*2-12)</f>
        <v>n.r.</v>
      </c>
      <c r="DZ17" s="8" t="str">
        <f ca="1">OFFSET(Database!$F17,0,COLUMN(Database!DW17)*2-12)</f>
        <v>n.r.</v>
      </c>
      <c r="EA17" s="8" t="str">
        <f ca="1">OFFSET(Database!$F17,0,COLUMN(Database!DX17)*2-12)</f>
        <v>n.r.</v>
      </c>
      <c r="EB17" s="8" t="str">
        <f ca="1">OFFSET(Database!$F17,0,COLUMN(Database!DY17)*2-12)</f>
        <v>n.r.</v>
      </c>
      <c r="EC17" s="8" t="str">
        <f ca="1">OFFSET(Database!$F17,0,COLUMN(Database!DZ17)*2-12)</f>
        <v>&lt;0.8</v>
      </c>
      <c r="ED17" s="8" t="str">
        <f ca="1">OFFSET(Database!$F17,0,COLUMN(Database!EA17)*2-12)</f>
        <v>n.r</v>
      </c>
      <c r="EE17" s="8" t="str">
        <f ca="1">OFFSET(Database!$F17,0,COLUMN(Database!EB17)*2-12)</f>
        <v>n.r</v>
      </c>
      <c r="EF17" s="8" t="str">
        <f ca="1">OFFSET(Database!$F17,0,COLUMN(Database!EC17)*2-12)</f>
        <v>n.r</v>
      </c>
      <c r="EG17" s="8" t="str">
        <f ca="1">OFFSET(Database!$F17,0,COLUMN(Database!ED17)*2-12)</f>
        <v>n.r</v>
      </c>
      <c r="EH17" s="8" t="str">
        <f ca="1">OFFSET(Database!$F17,0,COLUMN(Database!EE17)*2-12)</f>
        <v>n.r</v>
      </c>
      <c r="EI17" s="8" t="str">
        <f ca="1">OFFSET(Database!$F17,0,COLUMN(Database!EF17)*2-12)</f>
        <v>n.r</v>
      </c>
      <c r="EJ17" s="8" t="str">
        <f ca="1">OFFSET(Database!$F17,0,COLUMN(Database!EG17)*2-12)</f>
        <v>n.r</v>
      </c>
      <c r="EK17" s="8" t="str">
        <f ca="1">OFFSET(Database!$F17,0,COLUMN(Database!EH17)*2-12)</f>
        <v>n.r</v>
      </c>
      <c r="EL17" s="8" t="str">
        <f ca="1">OFFSET(Database!$F17,0,COLUMN(Database!EI17)*2-12)</f>
        <v>n.r</v>
      </c>
      <c r="EM17" s="8" t="str">
        <f ca="1">OFFSET(Database!$F17,0,COLUMN(Database!EJ17)*2-12)</f>
        <v>n.r</v>
      </c>
      <c r="EN17" s="8" t="str">
        <f ca="1">OFFSET(Database!$F17,0,COLUMN(Database!EK17)*2-12)</f>
        <v>n.r</v>
      </c>
      <c r="EO17" s="8" t="str">
        <f ca="1">OFFSET(Database!$F17,0,COLUMN(Database!EL17)*2-12)</f>
        <v>n.r</v>
      </c>
      <c r="EP17" s="8" t="str">
        <f ca="1">OFFSET(Database!$F17,0,COLUMN(Database!EM17)*2-12)</f>
        <v>n.r</v>
      </c>
      <c r="EQ17" s="8" t="str">
        <f ca="1">OFFSET(Database!$F17,0,COLUMN(Database!EN17)*2-12)</f>
        <v>n.r</v>
      </c>
      <c r="ER17" s="8">
        <f ca="1">OFFSET(Database!$F17,0,COLUMN(Database!EO17)*2-12)</f>
        <v>219.58516361980514</v>
      </c>
      <c r="ES17" s="8">
        <f ca="1">OFFSET(Database!$F17,0,COLUMN(Database!EP17)*2-12)</f>
        <v>201.01402129230019</v>
      </c>
      <c r="ET17" s="8">
        <f ca="1">OFFSET(Database!$F17,0,COLUMN(Database!EQ17)*2-12)</f>
        <v>85.521771089206936</v>
      </c>
      <c r="EU17" s="8">
        <f ca="1">OFFSET(Database!$F17,0,COLUMN(Database!ER17)*2-12)</f>
        <v>41.121823767158759</v>
      </c>
      <c r="EV17" s="8">
        <f ca="1">OFFSET(Database!$F17,0,COLUMN(Database!ES17)*2-12)</f>
        <v>148.47345178056273</v>
      </c>
      <c r="EW17" s="8" t="str">
        <f ca="1">OFFSET(Database!$F17,0,COLUMN(Database!ET17)*2-12)</f>
        <v>n.r.</v>
      </c>
      <c r="EX17" s="8" t="str">
        <f ca="1">OFFSET(Database!$F17,0,COLUMN(Database!EU17)*2-12)</f>
        <v>n.r.</v>
      </c>
      <c r="EY17" s="8" t="str">
        <f ca="1">OFFSET(Database!$F17,0,COLUMN(Database!EV17)*2-12)</f>
        <v>n.r.</v>
      </c>
      <c r="EZ17" s="8" t="str">
        <f ca="1">OFFSET(Database!$F17,0,COLUMN(Database!EW17)*2-12)</f>
        <v>n.r.</v>
      </c>
      <c r="FA17" s="8" t="str">
        <f ca="1">OFFSET(Database!$F17,0,COLUMN(Database!EX17)*2-12)</f>
        <v>n.r.</v>
      </c>
      <c r="FB17" s="8">
        <f ca="1">OFFSET(Database!$F17,0,COLUMN(Database!EY17)*2-12)</f>
        <v>21.9</v>
      </c>
      <c r="FC17" s="8" t="str">
        <f ca="1">OFFSET(Database!$F17,0,COLUMN(Database!EZ17)*2-12)</f>
        <v>n.s.</v>
      </c>
      <c r="FD17" s="8">
        <f ca="1">OFFSET(Database!$F17,0,COLUMN(Database!FA17)*2-12)</f>
        <v>143.4</v>
      </c>
      <c r="FE17" s="8">
        <f ca="1">OFFSET(Database!$F17,0,COLUMN(Database!FB17)*2-12)</f>
        <v>174.3</v>
      </c>
      <c r="FF17" s="8">
        <f ca="1">OFFSET(Database!$F17,0,COLUMN(Database!FC17)*2-12)</f>
        <v>104.7</v>
      </c>
      <c r="FG17" s="8" t="str">
        <f ca="1">OFFSET(Database!$F17,0,COLUMN(Database!FD17)*2-12)</f>
        <v>n.r.</v>
      </c>
      <c r="FH17" s="8">
        <f ca="1">OFFSET(Database!$F17,0,COLUMN(Database!FE17)*2-12)</f>
        <v>9100</v>
      </c>
      <c r="FI17" s="8">
        <f ca="1">OFFSET(Database!$F17,0,COLUMN(Database!FF17)*2-12)</f>
        <v>280</v>
      </c>
      <c r="FJ17" s="8">
        <f ca="1">OFFSET(Database!$F17,0,COLUMN(Database!FG17)*2-12)</f>
        <v>20</v>
      </c>
      <c r="FK17" s="8" t="str">
        <f ca="1">OFFSET(Database!$F17,0,COLUMN(Database!FH17)*2-12)</f>
        <v>n.r.</v>
      </c>
      <c r="FL17" s="8" t="str">
        <f ca="1">OFFSET(Database!$F17,0,COLUMN(Database!FI17)*2-12)</f>
        <v>n.r.</v>
      </c>
      <c r="FM17" s="8" t="str">
        <f ca="1">OFFSET(Database!$F17,0,COLUMN(Database!FJ17)*2-12)</f>
        <v>n.r.</v>
      </c>
      <c r="FN17" s="8" t="str">
        <f ca="1">OFFSET(Database!$F17,0,COLUMN(Database!FK17)*2-12)</f>
        <v>n.r.</v>
      </c>
      <c r="FO17" s="8" t="str">
        <f ca="1">OFFSET(Database!$F17,0,COLUMN(Database!FL17)*2-12)</f>
        <v>n.r.</v>
      </c>
      <c r="FP17" s="8" t="str">
        <f ca="1">OFFSET(Database!$F17,0,COLUMN(Database!FM17)*2-12)</f>
        <v>n.r.</v>
      </c>
      <c r="FQ17" s="8" t="str">
        <f ca="1">OFFSET(Database!$F17,0,COLUMN(Database!FN17)*2-12)</f>
        <v>n.r.</v>
      </c>
      <c r="FR17" s="8" t="str">
        <f ca="1">OFFSET(Database!$F17,0,COLUMN(Database!FO17)*2-12)</f>
        <v>n.r.</v>
      </c>
      <c r="FS17" s="8" t="str">
        <f ca="1">OFFSET(Database!$F17,0,COLUMN(Database!FP17)*2-12)</f>
        <v>n.r.</v>
      </c>
      <c r="FT17" s="8" t="str">
        <f ca="1">OFFSET(Database!$F17,0,COLUMN(Database!FQ17)*2-12)</f>
        <v>n.r.</v>
      </c>
      <c r="FU17" s="8" t="str">
        <f ca="1">OFFSET(Database!$F17,0,COLUMN(Database!FR17)*2-12)</f>
        <v>n.r.</v>
      </c>
      <c r="FV17" s="8" t="str">
        <f ca="1">OFFSET(Database!$F17,0,COLUMN(Database!FS17)*2-12)</f>
        <v>n.r.</v>
      </c>
      <c r="FW17" s="8" t="str">
        <f ca="1">OFFSET(Database!$F17,0,COLUMN(Database!FT17)*2-12)</f>
        <v>n.r.</v>
      </c>
      <c r="FX17" s="8" t="str">
        <f ca="1">OFFSET(Database!$F17,0,COLUMN(Database!FU17)*2-12)</f>
        <v>n.r.</v>
      </c>
      <c r="FY17" s="8" t="str">
        <f ca="1">OFFSET(Database!$F17,0,COLUMN(Database!FV17)*2-12)</f>
        <v>n.r.</v>
      </c>
      <c r="FZ17" s="8" t="str">
        <f ca="1">OFFSET(Database!$F17,0,COLUMN(Database!FW17)*2-12)</f>
        <v>n.r.</v>
      </c>
      <c r="GA17" s="8" t="str">
        <f ca="1">OFFSET(Database!$F17,0,COLUMN(Database!FX17)*2-12)</f>
        <v>n.r.</v>
      </c>
      <c r="GB17" s="8" t="str">
        <f ca="1">OFFSET(Database!$F17,0,COLUMN(Database!FY17)*2-12)</f>
        <v>n.r.</v>
      </c>
      <c r="GC17" s="8" t="str">
        <f ca="1">OFFSET(Database!$F17,0,COLUMN(Database!FZ17)*2-12)</f>
        <v>n.r.</v>
      </c>
      <c r="GD17" s="8" t="str">
        <f ca="1">OFFSET(Database!$F17,0,COLUMN(Database!GA17)*2-12)</f>
        <v>n.r.</v>
      </c>
      <c r="GE17" s="8" t="str">
        <f ca="1">OFFSET(Database!$F17,0,COLUMN(Database!GB17)*2-12)</f>
        <v>n.r.</v>
      </c>
      <c r="GF17" s="8" t="str">
        <f ca="1">OFFSET(Database!$F17,0,COLUMN(Database!GC17)*2-12)</f>
        <v>n.r.</v>
      </c>
      <c r="GG17" s="8" t="str">
        <f ca="1">OFFSET(Database!$F17,0,COLUMN(Database!GD17)*2-12)</f>
        <v>n.r.</v>
      </c>
      <c r="GH17" s="8" t="str">
        <f ca="1">OFFSET(Database!$F17,0,COLUMN(Database!GE17)*2-12)</f>
        <v>n.r.</v>
      </c>
      <c r="GI17" s="8" t="str">
        <f ca="1">OFFSET(Database!$F17,0,COLUMN(Database!GF17)*2-12)</f>
        <v>n.r.</v>
      </c>
      <c r="GJ17" s="8" t="str">
        <f ca="1">OFFSET(Database!$F17,0,COLUMN(Database!GG17)*2-12)</f>
        <v>n.r.</v>
      </c>
      <c r="GK17" s="8" t="str">
        <f ca="1">OFFSET(Database!$F17,0,COLUMN(Database!GH17)*2-12)</f>
        <v>n.r.</v>
      </c>
      <c r="GL17" s="8" t="str">
        <f ca="1">OFFSET(Database!$F17,0,COLUMN(Database!GI17)*2-12)</f>
        <v>n.r.</v>
      </c>
      <c r="GM17" s="8" t="str">
        <f ca="1">OFFSET(Database!$F17,0,COLUMN(Database!GJ17)*2-12)</f>
        <v>n.r.</v>
      </c>
      <c r="GN17" s="8" t="str">
        <f ca="1">OFFSET(Database!$F17,0,COLUMN(Database!GK17)*2-12)</f>
        <v>n.r.</v>
      </c>
      <c r="GO17" s="8" t="str">
        <f ca="1">OFFSET(Database!$F17,0,COLUMN(Database!GL17)*2-12)</f>
        <v>n.d.</v>
      </c>
      <c r="GP17" s="8">
        <f ca="1">OFFSET(Database!$F17,0,COLUMN(Database!GM17)*2-12)</f>
        <v>9.7670924117205118</v>
      </c>
    </row>
    <row r="18" spans="1:198" x14ac:dyDescent="0.2">
      <c r="A18" s="50" t="str">
        <f>Database!A18</f>
        <v>L-aspartic acid</v>
      </c>
      <c r="B18" s="1" t="s">
        <v>864</v>
      </c>
      <c r="C18" s="4" t="str">
        <f>Database!B18</f>
        <v>ɑ</v>
      </c>
      <c r="D18" s="4" t="str">
        <f>Database!C18</f>
        <v>L</v>
      </c>
      <c r="E18" s="74">
        <f>Database!D18</f>
        <v>103</v>
      </c>
      <c r="F18" s="1" t="s">
        <v>1141</v>
      </c>
      <c r="G18" s="1">
        <v>5960</v>
      </c>
      <c r="H18" s="1">
        <f>Database!E18</f>
        <v>133.1</v>
      </c>
      <c r="I18" s="8" t="str">
        <f ca="1">OFFSET(Database!$F18,0,COLUMN(Database!F18)*2-12)</f>
        <v>tr</v>
      </c>
      <c r="J18" s="8">
        <f ca="1">OFFSET(Database!$F18,0,COLUMN(Database!G18)*2-12)</f>
        <v>4.4600000000000001E-2</v>
      </c>
      <c r="K18" s="8">
        <f ca="1">OFFSET(Database!$F18,0,COLUMN(Database!H18)*2-12)</f>
        <v>3.5000000000000001E-3</v>
      </c>
      <c r="L18" s="8">
        <f ca="1">OFFSET(Database!$F18,0,COLUMN(Database!I18)*2-12)</f>
        <v>4.4999999999999997E-3</v>
      </c>
      <c r="M18" s="8" t="str">
        <f ca="1">OFFSET(Database!$F18,0,COLUMN(Database!J18)*2-12)</f>
        <v>bb</v>
      </c>
      <c r="N18" s="8">
        <f ca="1">OFFSET(Database!$F18,0,COLUMN(Database!K18)*2-12)</f>
        <v>0.14274981217129978</v>
      </c>
      <c r="O18" s="8" t="str">
        <f ca="1">OFFSET(Database!$F18,0,COLUMN(Database!L18)*2-12)</f>
        <v>&lt;0.02</v>
      </c>
      <c r="P18" s="8">
        <f ca="1">OFFSET(Database!$F18,0,COLUMN(Database!M18)*2-12)</f>
        <v>0.18</v>
      </c>
      <c r="Q18" s="8">
        <f ca="1">OFFSET(Database!$F18,0,COLUMN(Database!N18)*2-12)</f>
        <v>7.9</v>
      </c>
      <c r="R18" s="8">
        <f ca="1">OFFSET(Database!$F18,0,COLUMN(Database!O18)*2-12)</f>
        <v>5.23</v>
      </c>
      <c r="S18" s="8">
        <f ca="1">OFFSET(Database!$F18,0,COLUMN(Database!P18)*2-12)</f>
        <v>3.9368895567242674</v>
      </c>
      <c r="T18" s="8">
        <f ca="1">OFFSET(Database!$F18,0,COLUMN(Database!Q18)*2-12)</f>
        <v>7.63</v>
      </c>
      <c r="U18" s="8">
        <f ca="1">OFFSET(Database!$F18,0,COLUMN(Database!R18)*2-12)</f>
        <v>4.03</v>
      </c>
      <c r="V18" s="8" t="str">
        <f ca="1">OFFSET(Database!$F18,0,COLUMN(Database!S18)*2-12)</f>
        <v>&lt;0.02</v>
      </c>
      <c r="W18" s="8" t="str">
        <f ca="1">OFFSET(Database!$F18,0,COLUMN(Database!T18)*2-12)</f>
        <v>&lt;0.02</v>
      </c>
      <c r="X18" s="8">
        <f ca="1">OFFSET(Database!$F18,0,COLUMN(Database!U18)*2-12)</f>
        <v>2.1111945905334335</v>
      </c>
      <c r="Y18" s="8">
        <f ca="1">OFFSET(Database!$F18,0,COLUMN(Database!V18)*2-12)</f>
        <v>3</v>
      </c>
      <c r="Z18" s="8">
        <f ca="1">OFFSET(Database!$F18,0,COLUMN(Database!W18)*2-12)</f>
        <v>1.7</v>
      </c>
      <c r="AA18" s="8">
        <f ca="1">OFFSET(Database!$F18,0,COLUMN(Database!X18)*2-12)</f>
        <v>2.5</v>
      </c>
      <c r="AB18" s="8">
        <f ca="1">OFFSET(Database!$F18,0,COLUMN(Database!Y18)*2-12)</f>
        <v>2.0060105184072126</v>
      </c>
      <c r="AC18" s="8">
        <f ca="1">OFFSET(Database!$F18,0,COLUMN(Database!Z18)*2-12)</f>
        <v>0.99173553719008267</v>
      </c>
      <c r="AD18" s="8">
        <f ca="1">OFFSET(Database!$F18,0,COLUMN(Database!AA18)*2-12)</f>
        <v>1.1344853493613825</v>
      </c>
      <c r="AE18" s="8">
        <f ca="1">OFFSET(Database!$F18,0,COLUMN(Database!AB18)*2-12)</f>
        <v>0.84147257700976708</v>
      </c>
      <c r="AF18" s="8">
        <f ca="1">OFFSET(Database!$F18,0,COLUMN(Database!AC18)*2-12)</f>
        <v>4.9000000000000004</v>
      </c>
      <c r="AG18" s="8" t="str">
        <f ca="1">OFFSET(Database!$F18,0,COLUMN(Database!AD18)*2-12)</f>
        <v>&lt;0.01</v>
      </c>
      <c r="AH18" s="8">
        <f ca="1">OFFSET(Database!$F18,0,COLUMN(Database!AE18)*2-12)</f>
        <v>14.1</v>
      </c>
      <c r="AI18" s="8">
        <f ca="1">OFFSET(Database!$F18,0,COLUMN(Database!AF18)*2-12)</f>
        <v>0.44</v>
      </c>
      <c r="AJ18" s="8">
        <f ca="1">OFFSET(Database!$F18,0,COLUMN(Database!AG18)*2-12)</f>
        <v>0.24</v>
      </c>
      <c r="AK18" s="8">
        <f ca="1">OFFSET(Database!$F18,0,COLUMN(Database!AH18)*2-12)</f>
        <v>8.48</v>
      </c>
      <c r="AL18" s="8">
        <f ca="1">OFFSET(Database!$F18,0,COLUMN(Database!AI18)*2-12)</f>
        <v>1.5</v>
      </c>
      <c r="AM18" s="8">
        <f ca="1">OFFSET(Database!$F18,0,COLUMN(Database!AJ18)*2-12)</f>
        <v>10.1</v>
      </c>
      <c r="AN18" s="8">
        <f ca="1">OFFSET(Database!$F18,0,COLUMN(Database!AK18)*2-12)</f>
        <v>27</v>
      </c>
      <c r="AO18" s="8">
        <f ca="1">OFFSET(Database!$F18,0,COLUMN(Database!AL18)*2-12)</f>
        <v>0.41322314049586778</v>
      </c>
      <c r="AP18" s="8">
        <f ca="1">OFFSET(Database!$F18,0,COLUMN(Database!AM18)*2-12)</f>
        <v>0.63</v>
      </c>
      <c r="AQ18" s="8">
        <f ca="1">OFFSET(Database!$F18,0,COLUMN(Database!AN18)*2-12)</f>
        <v>0.14000000000000001</v>
      </c>
      <c r="AR18" s="8">
        <f ca="1">OFFSET(Database!$F18,0,COLUMN(Database!AO18)*2-12)</f>
        <v>0.03</v>
      </c>
      <c r="AS18" s="8" t="str">
        <f ca="1">OFFSET(Database!$F18,0,COLUMN(Database!AP18)*2-12)</f>
        <v>&lt;0.13</v>
      </c>
      <c r="AT18" s="8" t="str">
        <f ca="1">OFFSET(Database!$F18,0,COLUMN(Database!AQ18)*2-12)</f>
        <v>&lt;0.03</v>
      </c>
      <c r="AU18" s="8">
        <f ca="1">OFFSET(Database!$F18,0,COLUMN(Database!AR18)*2-12)</f>
        <v>1.0518407212622089E-2</v>
      </c>
      <c r="AV18" s="8">
        <f ca="1">OFFSET(Database!$F18,0,COLUMN(Database!AS18)*2-12)</f>
        <v>3.0803906836964687E-2</v>
      </c>
      <c r="AW18" s="8" t="str">
        <f ca="1">OFFSET(Database!$F18,0,COLUMN(Database!AT18)*2-12)</f>
        <v>&lt;0.024</v>
      </c>
      <c r="AX18" s="8">
        <f ca="1">OFFSET(Database!$F18,0,COLUMN(Database!AU18)*2-12)</f>
        <v>3.7565740045078892E-2</v>
      </c>
      <c r="AY18" s="8" t="str">
        <f ca="1">OFFSET(Database!$F18,0,COLUMN(Database!AV18)*2-12)</f>
        <v>&lt;0.02</v>
      </c>
      <c r="AZ18" s="8">
        <f ca="1">OFFSET(Database!$F18,0,COLUMN(Database!AW18)*2-12)</f>
        <v>5.1840721262208872E-2</v>
      </c>
      <c r="BA18" s="8" t="str">
        <f ca="1">OFFSET(Database!$F18,0,COLUMN(Database!AX18)*2-12)</f>
        <v>&lt;0.007</v>
      </c>
      <c r="BB18" s="8" t="str">
        <f ca="1">OFFSET(Database!$F18,0,COLUMN(Database!AY18)*2-12)</f>
        <v>&lt;0.011</v>
      </c>
      <c r="BC18" s="8">
        <f ca="1">OFFSET(Database!$F18,0,COLUMN(Database!AZ18)*2-12)</f>
        <v>0.135236664162284</v>
      </c>
      <c r="BD18" s="8">
        <f ca="1">OFFSET(Database!$F18,0,COLUMN(Database!BA18)*2-12)</f>
        <v>6.0180315552216381</v>
      </c>
      <c r="BE18" s="8">
        <f ca="1">OFFSET(Database!$F18,0,COLUMN(Database!BB18)*2-12)</f>
        <v>1.5026296018031555E-2</v>
      </c>
      <c r="BF18" s="8">
        <f ca="1">OFFSET(Database!$F18,0,COLUMN(Database!BC18)*2-12)</f>
        <v>1.2021036814425245E-2</v>
      </c>
      <c r="BG18" s="8">
        <f ca="1">OFFSET(Database!$F18,0,COLUMN(Database!BD18)*2-12)</f>
        <v>4.5078888054094664E-3</v>
      </c>
      <c r="BH18" s="8">
        <f ca="1">OFFSET(Database!$F18,0,COLUMN(Database!BE18)*2-12)</f>
        <v>9.0157776108189341E-2</v>
      </c>
      <c r="BI18" s="8">
        <f ca="1">OFFSET(Database!$F18,0,COLUMN(Database!BF18)*2-12)</f>
        <v>0.11645379413974456</v>
      </c>
      <c r="BJ18" s="8">
        <f ca="1">OFFSET(Database!$F18,0,COLUMN(Database!BG18)*2-12)</f>
        <v>2.0510894064613074</v>
      </c>
      <c r="BK18" s="8">
        <f ca="1">OFFSET(Database!$F18,0,COLUMN(Database!BH18)*2-12)</f>
        <v>1.5777610818933134</v>
      </c>
      <c r="BL18" s="8">
        <f ca="1">OFFSET(Database!$F18,0,COLUMN(Database!BI18)*2-12)</f>
        <v>1.8557475582268972</v>
      </c>
      <c r="BM18" s="8">
        <f ca="1">OFFSET(Database!$F18,0,COLUMN(Database!BJ18)*2-12)</f>
        <v>0.10518407212622088</v>
      </c>
      <c r="BN18" s="8">
        <f ca="1">OFFSET(Database!$F18,0,COLUMN(Database!BK18)*2-12)</f>
        <v>0.35311795642374155</v>
      </c>
      <c r="BO18" s="8">
        <f ca="1">OFFSET(Database!$F18,0,COLUMN(Database!BL18)*2-12)</f>
        <v>7.5131480090157785E-2</v>
      </c>
      <c r="BP18" s="8">
        <f ca="1">OFFSET(Database!$F18,0,COLUMN(Database!BM18)*2-12)</f>
        <v>1.2471825694966192</v>
      </c>
      <c r="BQ18" s="8" t="str">
        <f ca="1">OFFSET(Database!$F18,0,COLUMN(Database!BN18)*2-12)</f>
        <v>&lt;0.038</v>
      </c>
      <c r="BR18" s="8" t="str">
        <f ca="1">OFFSET(Database!$F18,0,COLUMN(Database!BO18)*2-12)</f>
        <v>&lt;0.023</v>
      </c>
      <c r="BS18" s="8">
        <f ca="1">OFFSET(Database!$F18,0,COLUMN(Database!BP18)*2-12)</f>
        <v>7.5131480090157785E-2</v>
      </c>
      <c r="BT18" s="8">
        <f ca="1">OFFSET(Database!$F18,0,COLUMN(Database!BQ18)*2-12)</f>
        <v>1.6528925619834711E-2</v>
      </c>
      <c r="BU18" s="8">
        <f ca="1">OFFSET(Database!$F18,0,COLUMN(Database!BR18)*2-12)</f>
        <v>1.5026296018031555E-2</v>
      </c>
      <c r="BV18" s="8">
        <f ca="1">OFFSET(Database!$F18,0,COLUMN(Database!BS18)*2-12)</f>
        <v>1.2772351615326822E-2</v>
      </c>
      <c r="BW18" s="8" t="str">
        <f ca="1">OFFSET(Database!$F18,0,COLUMN(Database!BT18)*2-12)</f>
        <v>&lt;0.0001</v>
      </c>
      <c r="BX18" s="8" t="str">
        <f ca="1">OFFSET(Database!$F18,0,COLUMN(Database!BU18)*2-12)</f>
        <v>&lt;0.0001</v>
      </c>
      <c r="BY18" s="8" t="str">
        <f ca="1">OFFSET(Database!$F18,0,COLUMN(Database!BV18)*2-12)</f>
        <v>&lt;0.0001</v>
      </c>
      <c r="BZ18" s="8">
        <f ca="1">OFFSET(Database!$F18,0,COLUMN(Database!BW18)*2-12)</f>
        <v>0.51840721262208866</v>
      </c>
      <c r="CA18" s="8">
        <f ca="1">OFFSET(Database!$F18,0,COLUMN(Database!BX18)*2-12)</f>
        <v>0.2464312546957175</v>
      </c>
      <c r="CB18" s="8" t="str">
        <f ca="1">OFFSET(Database!$F18,0,COLUMN(Database!BY18)*2-12)</f>
        <v>&lt;0.0301</v>
      </c>
      <c r="CC18" s="8" t="str">
        <f ca="1">OFFSET(Database!$F18,0,COLUMN(Database!BZ18)*2-12)</f>
        <v>&lt;0.0301</v>
      </c>
      <c r="CD18" s="8">
        <f ca="1">OFFSET(Database!$F18,0,COLUMN(Database!CA18)*2-12)</f>
        <v>0.44327573253193092</v>
      </c>
      <c r="CE18" s="8">
        <f ca="1">OFFSET(Database!$F18,0,COLUMN(Database!CB18)*2-12)</f>
        <v>0.27798647633358381</v>
      </c>
      <c r="CF18" s="8">
        <f ca="1">OFFSET(Database!$F18,0,COLUMN(Database!CC18)*2-12)</f>
        <v>0.135236664162284</v>
      </c>
      <c r="CG18" s="8">
        <f ca="1">OFFSET(Database!$F18,0,COLUMN(Database!CD18)*2-12)</f>
        <v>1.4274981217129978E-2</v>
      </c>
      <c r="CH18" s="8" t="str">
        <f ca="1">OFFSET(Database!$F18,0,COLUMN(Database!CE18)*2-12)</f>
        <v>&lt;0.0075</v>
      </c>
      <c r="CI18" s="8">
        <f ca="1">OFFSET(Database!$F18,0,COLUMN(Database!CF18)*2-12)</f>
        <v>0.19534184823441023</v>
      </c>
      <c r="CJ18" s="8">
        <f ca="1">OFFSET(Database!$F18,0,COLUMN(Database!CG18)*2-12)</f>
        <v>0.16528925619834711</v>
      </c>
      <c r="CK18" s="8">
        <f ca="1">OFFSET(Database!$F18,0,COLUMN(Database!CH18)*2-12)</f>
        <v>3.9819684447783624E-2</v>
      </c>
      <c r="CL18" s="8">
        <f ca="1">OFFSET(Database!$F18,0,COLUMN(Database!CI18)*2-12)</f>
        <v>0.1728024042073629</v>
      </c>
      <c r="CM18" s="8">
        <f ca="1">OFFSET(Database!$F18,0,COLUMN(Database!CJ18)*2-12)</f>
        <v>0.39068369646882045</v>
      </c>
      <c r="CN18" s="8">
        <f ca="1">OFFSET(Database!$F18,0,COLUMN(Database!CK18)*2-12)</f>
        <v>0.20285499624342601</v>
      </c>
      <c r="CO18" s="8">
        <f ca="1">OFFSET(Database!$F18,0,COLUMN(Database!CL18)*2-12)</f>
        <v>0.11495116453794141</v>
      </c>
      <c r="CP18" s="8">
        <f ca="1">OFFSET(Database!$F18,0,COLUMN(Database!CM18)*2-12)</f>
        <v>2.52</v>
      </c>
      <c r="CQ18" s="8">
        <f ca="1">OFFSET(Database!$F18,0,COLUMN(Database!CN18)*2-12)</f>
        <v>0.39</v>
      </c>
      <c r="CR18" s="8">
        <f ca="1">OFFSET(Database!$F18,0,COLUMN(Database!CO18)*2-12)</f>
        <v>0.11</v>
      </c>
      <c r="CS18" s="8">
        <f ca="1">OFFSET(Database!$F18,0,COLUMN(Database!CP18)*2-12)</f>
        <v>0.68</v>
      </c>
      <c r="CT18" s="8" t="str">
        <f ca="1">OFFSET(Database!$F18,0,COLUMN(Database!CQ18)*2-12)</f>
        <v>&lt;0.1</v>
      </c>
      <c r="CU18" s="8" t="str">
        <f ca="1">OFFSET(Database!$F18,0,COLUMN(Database!CR18)*2-12)</f>
        <v>&lt;0.1</v>
      </c>
      <c r="CV18" s="8" t="str">
        <f ca="1">OFFSET(Database!$F18,0,COLUMN(Database!CS18)*2-12)</f>
        <v>&lt;0.1</v>
      </c>
      <c r="CW18" s="8" t="str">
        <f ca="1">OFFSET(Database!$F18,0,COLUMN(Database!CT18)*2-12)</f>
        <v>&lt;0.1</v>
      </c>
      <c r="CX18" s="8">
        <f ca="1">OFFSET(Database!$F18,0,COLUMN(Database!CU18)*2-12)</f>
        <v>3.46</v>
      </c>
      <c r="CY18" s="8" t="str">
        <f ca="1">OFFSET(Database!$F18,0,COLUMN(Database!CV18)*2-12)</f>
        <v>&lt;0.1</v>
      </c>
      <c r="CZ18" s="8">
        <f ca="1">OFFSET(Database!$F18,0,COLUMN(Database!CW18)*2-12)</f>
        <v>0.22</v>
      </c>
      <c r="DA18" s="8">
        <f ca="1">OFFSET(Database!$F18,0,COLUMN(Database!CX18)*2-12)</f>
        <v>0.21</v>
      </c>
      <c r="DB18" s="8">
        <f ca="1">OFFSET(Database!$F18,0,COLUMN(Database!CY18)*2-12)</f>
        <v>0.02</v>
      </c>
      <c r="DC18" s="8">
        <f ca="1">OFFSET(Database!$F18,0,COLUMN(Database!CZ18)*2-12)</f>
        <v>7.0000000000000007E-2</v>
      </c>
      <c r="DD18" s="8">
        <f ca="1">OFFSET(Database!$F18,0,COLUMN(Database!DA18)*2-12)</f>
        <v>1.22</v>
      </c>
      <c r="DE18" s="8" t="str">
        <f ca="1">OFFSET(Database!$F18,0,COLUMN(Database!DB18)*2-12)</f>
        <v>&lt;0.0075</v>
      </c>
      <c r="DF18" s="8" t="str">
        <f ca="1">OFFSET(Database!$F18,0,COLUMN(Database!DC18)*2-12)</f>
        <v>b.b.</v>
      </c>
      <c r="DG18" s="8">
        <f ca="1">OFFSET(Database!$F18,0,COLUMN(Database!DD18)*2-12)</f>
        <v>4.6635999999999997</v>
      </c>
      <c r="DH18" s="8">
        <f ca="1">OFFSET(Database!$F18,0,COLUMN(Database!DE18)*2-12)</f>
        <v>39.698</v>
      </c>
      <c r="DI18" s="8">
        <f ca="1">OFFSET(Database!$F18,0,COLUMN(Database!DF18)*2-12)</f>
        <v>45.488199999999999</v>
      </c>
      <c r="DJ18" s="8">
        <f ca="1">OFFSET(Database!$F18,0,COLUMN(Database!DG18)*2-12)</f>
        <v>22.846699999999998</v>
      </c>
      <c r="DK18" s="8">
        <f ca="1">OFFSET(Database!$F18,0,COLUMN(Database!DH18)*2-12)</f>
        <v>15.9786</v>
      </c>
      <c r="DL18" s="8" t="str">
        <f ca="1">OFFSET(Database!$F18,0,COLUMN(Database!DI18)*2-12)</f>
        <v>b.b.</v>
      </c>
      <c r="DM18" s="8">
        <f ca="1">OFFSET(Database!$F18,0,COLUMN(Database!DJ18)*2-12)</f>
        <v>20.4145</v>
      </c>
      <c r="DN18" s="8">
        <f ca="1">OFFSET(Database!$F18,0,COLUMN(Database!DK18)*2-12)</f>
        <v>610</v>
      </c>
      <c r="DO18" s="8">
        <f ca="1">OFFSET(Database!$F18,0,COLUMN(Database!DL18)*2-12)</f>
        <v>900</v>
      </c>
      <c r="DP18" s="8">
        <f ca="1">OFFSET(Database!$F18,0,COLUMN(Database!DM18)*2-12)</f>
        <v>73</v>
      </c>
      <c r="DQ18" s="8">
        <f ca="1">OFFSET(Database!$F18,0,COLUMN(Database!DN18)*2-12)</f>
        <v>66.3</v>
      </c>
      <c r="DR18" s="8">
        <f ca="1">OFFSET(Database!$F18,0,COLUMN(Database!DO18)*2-12)</f>
        <v>4.3</v>
      </c>
      <c r="DS18" s="8">
        <f ca="1">OFFSET(Database!$F18,0,COLUMN(Database!DP18)*2-12)</f>
        <v>4</v>
      </c>
      <c r="DT18" s="8">
        <f ca="1">OFFSET(Database!$F18,0,COLUMN(Database!DQ18)*2-12)</f>
        <v>126</v>
      </c>
      <c r="DU18" s="8">
        <f ca="1">OFFSET(Database!$F18,0,COLUMN(Database!DR18)*2-12)</f>
        <v>0.98170000000000002</v>
      </c>
      <c r="DV18" s="8" t="str">
        <f ca="1">OFFSET(Database!$F18,0,COLUMN(Database!DS18)*2-12)</f>
        <v>b.b.</v>
      </c>
      <c r="DW18" s="8" t="str">
        <f ca="1">OFFSET(Database!$F18,0,COLUMN(Database!DT18)*2-12)</f>
        <v>n.r.</v>
      </c>
      <c r="DX18" s="8" t="str">
        <f ca="1">OFFSET(Database!$F18,0,COLUMN(Database!DU18)*2-12)</f>
        <v>n.r.</v>
      </c>
      <c r="DY18" s="8" t="str">
        <f ca="1">OFFSET(Database!$F18,0,COLUMN(Database!DV18)*2-12)</f>
        <v>n.r.</v>
      </c>
      <c r="DZ18" s="8" t="str">
        <f ca="1">OFFSET(Database!$F18,0,COLUMN(Database!DW18)*2-12)</f>
        <v>n.r.</v>
      </c>
      <c r="EA18" s="8" t="str">
        <f ca="1">OFFSET(Database!$F18,0,COLUMN(Database!DX18)*2-12)</f>
        <v>n.r.</v>
      </c>
      <c r="EB18" s="8" t="str">
        <f ca="1">OFFSET(Database!$F18,0,COLUMN(Database!DY18)*2-12)</f>
        <v>n.r.</v>
      </c>
      <c r="EC18" s="8" t="str">
        <f ca="1">OFFSET(Database!$F18,0,COLUMN(Database!DZ18)*2-12)</f>
        <v>&lt;0.8</v>
      </c>
      <c r="ED18" s="8" t="str">
        <f ca="1">OFFSET(Database!$F18,0,COLUMN(Database!EA18)*2-12)</f>
        <v>n.r.</v>
      </c>
      <c r="EE18" s="8" t="str">
        <f ca="1">OFFSET(Database!$F18,0,COLUMN(Database!EB18)*2-12)</f>
        <v>n.r.</v>
      </c>
      <c r="EF18" s="8" t="str">
        <f ca="1">OFFSET(Database!$F18,0,COLUMN(Database!EC18)*2-12)</f>
        <v>n.r.</v>
      </c>
      <c r="EG18" s="8" t="str">
        <f ca="1">OFFSET(Database!$F18,0,COLUMN(Database!ED18)*2-12)</f>
        <v>n.r.</v>
      </c>
      <c r="EH18" s="8" t="str">
        <f ca="1">OFFSET(Database!$F18,0,COLUMN(Database!EE18)*2-12)</f>
        <v>n.r.</v>
      </c>
      <c r="EI18" s="8" t="str">
        <f ca="1">OFFSET(Database!$F18,0,COLUMN(Database!EF18)*2-12)</f>
        <v>n.r.</v>
      </c>
      <c r="EJ18" s="8" t="str">
        <f ca="1">OFFSET(Database!$F18,0,COLUMN(Database!EG18)*2-12)</f>
        <v>n.r.</v>
      </c>
      <c r="EK18" s="8" t="str">
        <f ca="1">OFFSET(Database!$F18,0,COLUMN(Database!EH18)*2-12)</f>
        <v>n.r.</v>
      </c>
      <c r="EL18" s="8" t="str">
        <f ca="1">OFFSET(Database!$F18,0,COLUMN(Database!EI18)*2-12)</f>
        <v>n.r.</v>
      </c>
      <c r="EM18" s="8" t="str">
        <f ca="1">OFFSET(Database!$F18,0,COLUMN(Database!EJ18)*2-12)</f>
        <v>n.r.</v>
      </c>
      <c r="EN18" s="8" t="str">
        <f ca="1">OFFSET(Database!$F18,0,COLUMN(Database!EK18)*2-12)</f>
        <v>n.r.</v>
      </c>
      <c r="EO18" s="8" t="str">
        <f ca="1">OFFSET(Database!$F18,0,COLUMN(Database!EL18)*2-12)</f>
        <v>n.r.</v>
      </c>
      <c r="EP18" s="8" t="str">
        <f ca="1">OFFSET(Database!$F18,0,COLUMN(Database!EM18)*2-12)</f>
        <v>n.r.</v>
      </c>
      <c r="EQ18" s="8" t="str">
        <f ca="1">OFFSET(Database!$F18,0,COLUMN(Database!EN18)*2-12)</f>
        <v>n.r.</v>
      </c>
      <c r="ER18" s="8">
        <f ca="1">OFFSET(Database!$F18,0,COLUMN(Database!EO18)*2-12)</f>
        <v>5165.0394045830826</v>
      </c>
      <c r="ES18" s="8">
        <f ca="1">OFFSET(Database!$F18,0,COLUMN(Database!EP18)*2-12)</f>
        <v>4457.508081238836</v>
      </c>
      <c r="ET18" s="8">
        <f ca="1">OFFSET(Database!$F18,0,COLUMN(Database!EQ18)*2-12)</f>
        <v>2172.5611748011047</v>
      </c>
      <c r="EU18" s="8">
        <f ca="1">OFFSET(Database!$F18,0,COLUMN(Database!ER18)*2-12)</f>
        <v>3169.5516206468842</v>
      </c>
      <c r="EV18" s="8">
        <f ca="1">OFFSET(Database!$F18,0,COLUMN(Database!ES18)*2-12)</f>
        <v>2461.5541964180775</v>
      </c>
      <c r="EW18" s="8" t="str">
        <f ca="1">OFFSET(Database!$F18,0,COLUMN(Database!ET18)*2-12)</f>
        <v>n.r.</v>
      </c>
      <c r="EX18" s="8" t="str">
        <f ca="1">OFFSET(Database!$F18,0,COLUMN(Database!EU18)*2-12)</f>
        <v>n.r.</v>
      </c>
      <c r="EY18" s="8" t="str">
        <f ca="1">OFFSET(Database!$F18,0,COLUMN(Database!EV18)*2-12)</f>
        <v>n.r.</v>
      </c>
      <c r="EZ18" s="8" t="str">
        <f ca="1">OFFSET(Database!$F18,0,COLUMN(Database!EW18)*2-12)</f>
        <v>n.r.</v>
      </c>
      <c r="FA18" s="8" t="str">
        <f ca="1">OFFSET(Database!$F18,0,COLUMN(Database!EX18)*2-12)</f>
        <v>n.r.</v>
      </c>
      <c r="FB18" s="8">
        <f ca="1">OFFSET(Database!$F18,0,COLUMN(Database!EY18)*2-12)</f>
        <v>719</v>
      </c>
      <c r="FC18" s="8">
        <f ca="1">OFFSET(Database!$F18,0,COLUMN(Database!EZ18)*2-12)</f>
        <v>375</v>
      </c>
      <c r="FD18" s="8">
        <f ca="1">OFFSET(Database!$F18,0,COLUMN(Database!FA18)*2-12)</f>
        <v>786</v>
      </c>
      <c r="FE18" s="8">
        <f ca="1">OFFSET(Database!$F18,0,COLUMN(Database!FB18)*2-12)</f>
        <v>1381.9</v>
      </c>
      <c r="FF18" s="8">
        <f ca="1">OFFSET(Database!$F18,0,COLUMN(Database!FC18)*2-12)</f>
        <v>1833.4</v>
      </c>
      <c r="FG18" s="8" t="str">
        <f ca="1">OFFSET(Database!$F18,0,COLUMN(Database!FD18)*2-12)</f>
        <v>n.r.</v>
      </c>
      <c r="FH18" s="8">
        <f ca="1">OFFSET(Database!$F18,0,COLUMN(Database!FE18)*2-12)</f>
        <v>9000</v>
      </c>
      <c r="FI18" s="8">
        <f ca="1">OFFSET(Database!$F18,0,COLUMN(Database!FF18)*2-12)</f>
        <v>3900</v>
      </c>
      <c r="FJ18" s="8">
        <f ca="1">OFFSET(Database!$F18,0,COLUMN(Database!FG18)*2-12)</f>
        <v>1440</v>
      </c>
      <c r="FK18" s="8" t="str">
        <f ca="1">OFFSET(Database!$F18,0,COLUMN(Database!FH18)*2-12)</f>
        <v>n.r.</v>
      </c>
      <c r="FL18" s="8" t="str">
        <f ca="1">OFFSET(Database!$F18,0,COLUMN(Database!FI18)*2-12)</f>
        <v>n.r.</v>
      </c>
      <c r="FM18" s="8" t="str">
        <f ca="1">OFFSET(Database!$F18,0,COLUMN(Database!FJ18)*2-12)</f>
        <v>n.r.</v>
      </c>
      <c r="FN18" s="8" t="str">
        <f ca="1">OFFSET(Database!$F18,0,COLUMN(Database!FK18)*2-12)</f>
        <v>n.r.</v>
      </c>
      <c r="FO18" s="8" t="str">
        <f ca="1">OFFSET(Database!$F18,0,COLUMN(Database!FL18)*2-12)</f>
        <v>n.r.</v>
      </c>
      <c r="FP18" s="8" t="str">
        <f ca="1">OFFSET(Database!$F18,0,COLUMN(Database!FM18)*2-12)</f>
        <v>n.r.</v>
      </c>
      <c r="FQ18" s="8" t="str">
        <f ca="1">OFFSET(Database!$F18,0,COLUMN(Database!FN18)*2-12)</f>
        <v>n.r.</v>
      </c>
      <c r="FR18" s="8" t="str">
        <f ca="1">OFFSET(Database!$F18,0,COLUMN(Database!FO18)*2-12)</f>
        <v>n.r.</v>
      </c>
      <c r="FS18" s="8" t="str">
        <f ca="1">OFFSET(Database!$F18,0,COLUMN(Database!FP18)*2-12)</f>
        <v>n.r.</v>
      </c>
      <c r="FT18" s="8" t="str">
        <f ca="1">OFFSET(Database!$F18,0,COLUMN(Database!FQ18)*2-12)</f>
        <v>n.r.</v>
      </c>
      <c r="FU18" s="8" t="str">
        <f ca="1">OFFSET(Database!$F18,0,COLUMN(Database!FR18)*2-12)</f>
        <v>n.r.</v>
      </c>
      <c r="FV18" s="8" t="str">
        <f ca="1">OFFSET(Database!$F18,0,COLUMN(Database!FS18)*2-12)</f>
        <v>n.r.</v>
      </c>
      <c r="FW18" s="8" t="str">
        <f ca="1">OFFSET(Database!$F18,0,COLUMN(Database!FT18)*2-12)</f>
        <v>n.r.</v>
      </c>
      <c r="FX18" s="8" t="str">
        <f ca="1">OFFSET(Database!$F18,0,COLUMN(Database!FU18)*2-12)</f>
        <v>n.r.</v>
      </c>
      <c r="FY18" s="8" t="str">
        <f ca="1">OFFSET(Database!$F18,0,COLUMN(Database!FV18)*2-12)</f>
        <v>n.r.</v>
      </c>
      <c r="FZ18" s="8" t="str">
        <f ca="1">OFFSET(Database!$F18,0,COLUMN(Database!FW18)*2-12)</f>
        <v>n.r.</v>
      </c>
      <c r="GA18" s="8" t="str">
        <f ca="1">OFFSET(Database!$F18,0,COLUMN(Database!FX18)*2-12)</f>
        <v>n.r.</v>
      </c>
      <c r="GB18" s="8" t="str">
        <f ca="1">OFFSET(Database!$F18,0,COLUMN(Database!FY18)*2-12)</f>
        <v>n.r.</v>
      </c>
      <c r="GC18" s="8" t="str">
        <f ca="1">OFFSET(Database!$F18,0,COLUMN(Database!FZ18)*2-12)</f>
        <v>n.r.</v>
      </c>
      <c r="GD18" s="8" t="str">
        <f ca="1">OFFSET(Database!$F18,0,COLUMN(Database!GA18)*2-12)</f>
        <v>n.r.</v>
      </c>
      <c r="GE18" s="8" t="str">
        <f ca="1">OFFSET(Database!$F18,0,COLUMN(Database!GB18)*2-12)</f>
        <v>n.r.</v>
      </c>
      <c r="GF18" s="8" t="str">
        <f ca="1">OFFSET(Database!$F18,0,COLUMN(Database!GC18)*2-12)</f>
        <v>n.r.</v>
      </c>
      <c r="GG18" s="8" t="str">
        <f ca="1">OFFSET(Database!$F18,0,COLUMN(Database!GD18)*2-12)</f>
        <v>n.r.</v>
      </c>
      <c r="GH18" s="8" t="str">
        <f ca="1">OFFSET(Database!$F18,0,COLUMN(Database!GE18)*2-12)</f>
        <v>n.r.</v>
      </c>
      <c r="GI18" s="8" t="str">
        <f ca="1">OFFSET(Database!$F18,0,COLUMN(Database!GF18)*2-12)</f>
        <v>n.r.</v>
      </c>
      <c r="GJ18" s="8" t="str">
        <f ca="1">OFFSET(Database!$F18,0,COLUMN(Database!GG18)*2-12)</f>
        <v>n.r.</v>
      </c>
      <c r="GK18" s="8" t="str">
        <f ca="1">OFFSET(Database!$F18,0,COLUMN(Database!GH18)*2-12)</f>
        <v>n.r.</v>
      </c>
      <c r="GL18" s="8" t="str">
        <f ca="1">OFFSET(Database!$F18,0,COLUMN(Database!GI18)*2-12)</f>
        <v>n.r.</v>
      </c>
      <c r="GM18" s="8" t="str">
        <f ca="1">OFFSET(Database!$F18,0,COLUMN(Database!GJ18)*2-12)</f>
        <v>n.r.</v>
      </c>
      <c r="GN18" s="8" t="str">
        <f ca="1">OFFSET(Database!$F18,0,COLUMN(Database!GK18)*2-12)</f>
        <v>n.r.</v>
      </c>
      <c r="GO18" s="8" t="str">
        <f ca="1">OFFSET(Database!$F18,0,COLUMN(Database!GL18)*2-12)</f>
        <v>tr.</v>
      </c>
      <c r="GP18" s="8">
        <f ca="1">OFFSET(Database!$F18,0,COLUMN(Database!GM18)*2-12)</f>
        <v>18.782870022539445</v>
      </c>
    </row>
    <row r="19" spans="1:198" x14ac:dyDescent="0.2">
      <c r="A19" s="50" t="str">
        <f>Database!A19</f>
        <v>aspartic acid</v>
      </c>
      <c r="B19" s="1" t="s">
        <v>864</v>
      </c>
      <c r="C19" s="4" t="str">
        <f>Database!B19</f>
        <v>ɑ</v>
      </c>
      <c r="D19" s="4" t="str">
        <f>Database!C19</f>
        <v>Both</v>
      </c>
      <c r="E19" s="74">
        <f>Database!D19</f>
        <v>54</v>
      </c>
      <c r="F19" s="1" t="s">
        <v>858</v>
      </c>
      <c r="G19" s="1" t="s">
        <v>1136</v>
      </c>
      <c r="H19" s="1">
        <f>Database!E19</f>
        <v>133.1</v>
      </c>
      <c r="I19" s="8" t="str">
        <f ca="1">OFFSET(Database!$F19,0,COLUMN(Database!F19)*2-12)</f>
        <v>n.r.</v>
      </c>
      <c r="J19" s="8" t="str">
        <f ca="1">OFFSET(Database!$F19,0,COLUMN(Database!G19)*2-12)</f>
        <v>n.r.</v>
      </c>
      <c r="K19" s="8" t="str">
        <f ca="1">OFFSET(Database!$F19,0,COLUMN(Database!H19)*2-12)</f>
        <v>n.r.</v>
      </c>
      <c r="L19" s="8" t="str">
        <f ca="1">OFFSET(Database!$F19,0,COLUMN(Database!I19)*2-12)</f>
        <v>n.r.</v>
      </c>
      <c r="M19" s="8" t="str">
        <f ca="1">OFFSET(Database!$F19,0,COLUMN(Database!J19)*2-12)</f>
        <v>n.r.</v>
      </c>
      <c r="N19" s="8" t="str">
        <f ca="1">OFFSET(Database!$F19,0,COLUMN(Database!K19)*2-12)</f>
        <v>n.r.</v>
      </c>
      <c r="O19" s="8" t="str">
        <f ca="1">OFFSET(Database!$F19,0,COLUMN(Database!L19)*2-12)</f>
        <v>n.r.</v>
      </c>
      <c r="P19" s="8" t="str">
        <f ca="1">OFFSET(Database!$F19,0,COLUMN(Database!M19)*2-12)</f>
        <v>n.r.</v>
      </c>
      <c r="Q19" s="8" t="str">
        <f ca="1">OFFSET(Database!$F19,0,COLUMN(Database!N19)*2-12)</f>
        <v>n.r.</v>
      </c>
      <c r="R19" s="8" t="str">
        <f ca="1">OFFSET(Database!$F19,0,COLUMN(Database!O19)*2-12)</f>
        <v>n.r.</v>
      </c>
      <c r="S19" s="8" t="str">
        <f ca="1">OFFSET(Database!$F19,0,COLUMN(Database!P19)*2-12)</f>
        <v>n.r.</v>
      </c>
      <c r="T19" s="8" t="str">
        <f ca="1">OFFSET(Database!$F19,0,COLUMN(Database!Q19)*2-12)</f>
        <v>n.r.</v>
      </c>
      <c r="U19" s="8" t="str">
        <f ca="1">OFFSET(Database!$F19,0,COLUMN(Database!R19)*2-12)</f>
        <v>n.r.</v>
      </c>
      <c r="V19" s="8" t="str">
        <f ca="1">OFFSET(Database!$F19,0,COLUMN(Database!S19)*2-12)</f>
        <v>n.r.</v>
      </c>
      <c r="W19" s="8" t="str">
        <f ca="1">OFFSET(Database!$F19,0,COLUMN(Database!T19)*2-12)</f>
        <v>n.r.</v>
      </c>
      <c r="X19" s="8" t="str">
        <f ca="1">OFFSET(Database!$F19,0,COLUMN(Database!U19)*2-12)</f>
        <v>n.r.</v>
      </c>
      <c r="Y19" s="8" t="str">
        <f ca="1">OFFSET(Database!$F19,0,COLUMN(Database!V19)*2-12)</f>
        <v>n.r.</v>
      </c>
      <c r="Z19" s="8" t="str">
        <f ca="1">OFFSET(Database!$F19,0,COLUMN(Database!W19)*2-12)</f>
        <v>n.r.</v>
      </c>
      <c r="AA19" s="8" t="str">
        <f ca="1">OFFSET(Database!$F19,0,COLUMN(Database!X19)*2-12)</f>
        <v>n.r.</v>
      </c>
      <c r="AB19" s="8" t="str">
        <f ca="1">OFFSET(Database!$F19,0,COLUMN(Database!Y19)*2-12)</f>
        <v>n.r.</v>
      </c>
      <c r="AC19" s="8" t="str">
        <f ca="1">OFFSET(Database!$F19,0,COLUMN(Database!Z19)*2-12)</f>
        <v>n.r.</v>
      </c>
      <c r="AD19" s="8" t="str">
        <f ca="1">OFFSET(Database!$F19,0,COLUMN(Database!AA19)*2-12)</f>
        <v>n.r.</v>
      </c>
      <c r="AE19" s="8" t="str">
        <f ca="1">OFFSET(Database!$F19,0,COLUMN(Database!AB19)*2-12)</f>
        <v>n.r.</v>
      </c>
      <c r="AF19" s="8" t="str">
        <f ca="1">OFFSET(Database!$F19,0,COLUMN(Database!AC19)*2-12)</f>
        <v>n.r.</v>
      </c>
      <c r="AG19" s="8" t="str">
        <f ca="1">OFFSET(Database!$F19,0,COLUMN(Database!AD19)*2-12)</f>
        <v>n.r.</v>
      </c>
      <c r="AH19" s="8" t="str">
        <f ca="1">OFFSET(Database!$F19,0,COLUMN(Database!AE19)*2-12)</f>
        <v>n.r.</v>
      </c>
      <c r="AI19" s="8" t="str">
        <f ca="1">OFFSET(Database!$F19,0,COLUMN(Database!AF19)*2-12)</f>
        <v>n.r.</v>
      </c>
      <c r="AJ19" s="8" t="str">
        <f ca="1">OFFSET(Database!$F19,0,COLUMN(Database!AG19)*2-12)</f>
        <v>n.r.</v>
      </c>
      <c r="AK19" s="8" t="str">
        <f ca="1">OFFSET(Database!$F19,0,COLUMN(Database!AH19)*2-12)</f>
        <v>n.r.</v>
      </c>
      <c r="AL19" s="8" t="str">
        <f ca="1">OFFSET(Database!$F19,0,COLUMN(Database!AI19)*2-12)</f>
        <v>n.r.</v>
      </c>
      <c r="AM19" s="8" t="str">
        <f ca="1">OFFSET(Database!$F19,0,COLUMN(Database!AJ19)*2-12)</f>
        <v>n.r.</v>
      </c>
      <c r="AN19" s="8" t="str">
        <f ca="1">OFFSET(Database!$F19,0,COLUMN(Database!AK19)*2-12)</f>
        <v>n.r.</v>
      </c>
      <c r="AO19" s="8" t="str">
        <f ca="1">OFFSET(Database!$F19,0,COLUMN(Database!AL19)*2-12)</f>
        <v>n.r.</v>
      </c>
      <c r="AP19" s="8" t="str">
        <f ca="1">OFFSET(Database!$F19,0,COLUMN(Database!AM19)*2-12)</f>
        <v>n.r.</v>
      </c>
      <c r="AQ19" s="8" t="str">
        <f ca="1">OFFSET(Database!$F19,0,COLUMN(Database!AN19)*2-12)</f>
        <v>n.r.</v>
      </c>
      <c r="AR19" s="8" t="str">
        <f ca="1">OFFSET(Database!$F19,0,COLUMN(Database!AO19)*2-12)</f>
        <v>n.r.</v>
      </c>
      <c r="AS19" s="8" t="str">
        <f ca="1">OFFSET(Database!$F19,0,COLUMN(Database!AP19)*2-12)</f>
        <v>n.r.</v>
      </c>
      <c r="AT19" s="8" t="str">
        <f ca="1">OFFSET(Database!$F19,0,COLUMN(Database!AQ19)*2-12)</f>
        <v>n.r.</v>
      </c>
      <c r="AU19" s="8" t="str">
        <f ca="1">OFFSET(Database!$F19,0,COLUMN(Database!AR19)*2-12)</f>
        <v>n.r.</v>
      </c>
      <c r="AV19" s="8" t="str">
        <f ca="1">OFFSET(Database!$F19,0,COLUMN(Database!AS19)*2-12)</f>
        <v>n.r.</v>
      </c>
      <c r="AW19" s="8" t="str">
        <f ca="1">OFFSET(Database!$F19,0,COLUMN(Database!AT19)*2-12)</f>
        <v>n.r.</v>
      </c>
      <c r="AX19" s="8" t="str">
        <f ca="1">OFFSET(Database!$F19,0,COLUMN(Database!AU19)*2-12)</f>
        <v>n.r.</v>
      </c>
      <c r="AY19" s="8" t="str">
        <f ca="1">OFFSET(Database!$F19,0,COLUMN(Database!AV19)*2-12)</f>
        <v>n.r.</v>
      </c>
      <c r="AZ19" s="8" t="str">
        <f ca="1">OFFSET(Database!$F19,0,COLUMN(Database!AW19)*2-12)</f>
        <v>n.r.</v>
      </c>
      <c r="BA19" s="8" t="str">
        <f ca="1">OFFSET(Database!$F19,0,COLUMN(Database!AX19)*2-12)</f>
        <v>n.r.</v>
      </c>
      <c r="BB19" s="8" t="str">
        <f ca="1">OFFSET(Database!$F19,0,COLUMN(Database!AY19)*2-12)</f>
        <v>n.r.</v>
      </c>
      <c r="BC19" s="8" t="str">
        <f ca="1">OFFSET(Database!$F19,0,COLUMN(Database!AZ19)*2-12)</f>
        <v>n.r.</v>
      </c>
      <c r="BD19" s="8" t="str">
        <f ca="1">OFFSET(Database!$F19,0,COLUMN(Database!BA19)*2-12)</f>
        <v>n.r.</v>
      </c>
      <c r="BE19" s="8" t="str">
        <f ca="1">OFFSET(Database!$F19,0,COLUMN(Database!BB19)*2-12)</f>
        <v>n.r.</v>
      </c>
      <c r="BF19" s="8" t="str">
        <f ca="1">OFFSET(Database!$F19,0,COLUMN(Database!BC19)*2-12)</f>
        <v>n.r.</v>
      </c>
      <c r="BG19" s="8" t="str">
        <f ca="1">OFFSET(Database!$F19,0,COLUMN(Database!BD19)*2-12)</f>
        <v>n.r.</v>
      </c>
      <c r="BH19" s="8" t="str">
        <f ca="1">OFFSET(Database!$F19,0,COLUMN(Database!BE19)*2-12)</f>
        <v>n.r.</v>
      </c>
      <c r="BI19" s="8" t="str">
        <f ca="1">OFFSET(Database!$F19,0,COLUMN(Database!BF19)*2-12)</f>
        <v>n.r.</v>
      </c>
      <c r="BJ19" s="8" t="str">
        <f ca="1">OFFSET(Database!$F19,0,COLUMN(Database!BG19)*2-12)</f>
        <v>n.r.</v>
      </c>
      <c r="BK19" s="8" t="str">
        <f ca="1">OFFSET(Database!$F19,0,COLUMN(Database!BH19)*2-12)</f>
        <v>n.r.</v>
      </c>
      <c r="BL19" s="8" t="str">
        <f ca="1">OFFSET(Database!$F19,0,COLUMN(Database!BI19)*2-12)</f>
        <v>n.r.</v>
      </c>
      <c r="BM19" s="8" t="str">
        <f ca="1">OFFSET(Database!$F19,0,COLUMN(Database!BJ19)*2-12)</f>
        <v>n.r.</v>
      </c>
      <c r="BN19" s="8" t="str">
        <f ca="1">OFFSET(Database!$F19,0,COLUMN(Database!BK19)*2-12)</f>
        <v>n.r.</v>
      </c>
      <c r="BO19" s="8" t="str">
        <f ca="1">OFFSET(Database!$F19,0,COLUMN(Database!BL19)*2-12)</f>
        <v>n.r.</v>
      </c>
      <c r="BP19" s="8" t="str">
        <f ca="1">OFFSET(Database!$F19,0,COLUMN(Database!BM19)*2-12)</f>
        <v>n.r.</v>
      </c>
      <c r="BQ19" s="8" t="str">
        <f ca="1">OFFSET(Database!$F19,0,COLUMN(Database!BN19)*2-12)</f>
        <v>n.r.</v>
      </c>
      <c r="BR19" s="8" t="str">
        <f ca="1">OFFSET(Database!$F19,0,COLUMN(Database!BO19)*2-12)</f>
        <v>n.r.</v>
      </c>
      <c r="BS19" s="8" t="str">
        <f ca="1">OFFSET(Database!$F19,0,COLUMN(Database!BP19)*2-12)</f>
        <v>n.r.</v>
      </c>
      <c r="BT19" s="8" t="str">
        <f ca="1">OFFSET(Database!$F19,0,COLUMN(Database!BQ19)*2-12)</f>
        <v>n.r.</v>
      </c>
      <c r="BU19" s="8" t="str">
        <f ca="1">OFFSET(Database!$F19,0,COLUMN(Database!BR19)*2-12)</f>
        <v>n.r.</v>
      </c>
      <c r="BV19" s="8" t="str">
        <f ca="1">OFFSET(Database!$F19,0,COLUMN(Database!BS19)*2-12)</f>
        <v>n.r.</v>
      </c>
      <c r="BW19" s="8" t="str">
        <f ca="1">OFFSET(Database!$F19,0,COLUMN(Database!BT19)*2-12)</f>
        <v>n.r.</v>
      </c>
      <c r="BX19" s="8" t="str">
        <f ca="1">OFFSET(Database!$F19,0,COLUMN(Database!BU19)*2-12)</f>
        <v>n.r.</v>
      </c>
      <c r="BY19" s="8" t="str">
        <f ca="1">OFFSET(Database!$F19,0,COLUMN(Database!BV19)*2-12)</f>
        <v>n.r.</v>
      </c>
      <c r="BZ19" s="8" t="str">
        <f ca="1">OFFSET(Database!$F19,0,COLUMN(Database!BW19)*2-12)</f>
        <v>n.r.</v>
      </c>
      <c r="CA19" s="8" t="str">
        <f ca="1">OFFSET(Database!$F19,0,COLUMN(Database!BX19)*2-12)</f>
        <v>n.r.</v>
      </c>
      <c r="CB19" s="8" t="str">
        <f ca="1">OFFSET(Database!$F19,0,COLUMN(Database!BY19)*2-12)</f>
        <v>n.r.</v>
      </c>
      <c r="CC19" s="8" t="str">
        <f ca="1">OFFSET(Database!$F19,0,COLUMN(Database!BZ19)*2-12)</f>
        <v>n.r.</v>
      </c>
      <c r="CD19" s="8" t="str">
        <f ca="1">OFFSET(Database!$F19,0,COLUMN(Database!CA19)*2-12)</f>
        <v>n.r.</v>
      </c>
      <c r="CE19" s="8" t="str">
        <f ca="1">OFFSET(Database!$F19,0,COLUMN(Database!CB19)*2-12)</f>
        <v>n.r.</v>
      </c>
      <c r="CF19" s="8" t="str">
        <f ca="1">OFFSET(Database!$F19,0,COLUMN(Database!CC19)*2-12)</f>
        <v>n.r.</v>
      </c>
      <c r="CG19" s="8" t="str">
        <f ca="1">OFFSET(Database!$F19,0,COLUMN(Database!CD19)*2-12)</f>
        <v>n.r.</v>
      </c>
      <c r="CH19" s="8" t="str">
        <f ca="1">OFFSET(Database!$F19,0,COLUMN(Database!CE19)*2-12)</f>
        <v>n.r.</v>
      </c>
      <c r="CI19" s="8" t="str">
        <f ca="1">OFFSET(Database!$F19,0,COLUMN(Database!CF19)*2-12)</f>
        <v>n.r.</v>
      </c>
      <c r="CJ19" s="8" t="str">
        <f ca="1">OFFSET(Database!$F19,0,COLUMN(Database!CG19)*2-12)</f>
        <v>n.r.</v>
      </c>
      <c r="CK19" s="8" t="str">
        <f ca="1">OFFSET(Database!$F19,0,COLUMN(Database!CH19)*2-12)</f>
        <v>n.r.</v>
      </c>
      <c r="CL19" s="8" t="str">
        <f ca="1">OFFSET(Database!$F19,0,COLUMN(Database!CI19)*2-12)</f>
        <v>n.r.</v>
      </c>
      <c r="CM19" s="8" t="str">
        <f ca="1">OFFSET(Database!$F19,0,COLUMN(Database!CJ19)*2-12)</f>
        <v>n.r.</v>
      </c>
      <c r="CN19" s="8" t="str">
        <f ca="1">OFFSET(Database!$F19,0,COLUMN(Database!CK19)*2-12)</f>
        <v>n.r.</v>
      </c>
      <c r="CO19" s="8" t="str">
        <f ca="1">OFFSET(Database!$F19,0,COLUMN(Database!CL19)*2-12)</f>
        <v>n.r.</v>
      </c>
      <c r="CP19" s="8" t="str">
        <f ca="1">OFFSET(Database!$F19,0,COLUMN(Database!CM19)*2-12)</f>
        <v>n.r.</v>
      </c>
      <c r="CQ19" s="8" t="str">
        <f ca="1">OFFSET(Database!$F19,0,COLUMN(Database!CN19)*2-12)</f>
        <v>n.r.</v>
      </c>
      <c r="CR19" s="8" t="str">
        <f ca="1">OFFSET(Database!$F19,0,COLUMN(Database!CO19)*2-12)</f>
        <v>n.r.</v>
      </c>
      <c r="CS19" s="8" t="str">
        <f ca="1">OFFSET(Database!$F19,0,COLUMN(Database!CP19)*2-12)</f>
        <v>n.r.</v>
      </c>
      <c r="CT19" s="8" t="str">
        <f ca="1">OFFSET(Database!$F19,0,COLUMN(Database!CQ19)*2-12)</f>
        <v>n.r.</v>
      </c>
      <c r="CU19" s="8" t="str">
        <f ca="1">OFFSET(Database!$F19,0,COLUMN(Database!CR19)*2-12)</f>
        <v>n.r.</v>
      </c>
      <c r="CV19" s="8" t="str">
        <f ca="1">OFFSET(Database!$F19,0,COLUMN(Database!CS19)*2-12)</f>
        <v>n.r.</v>
      </c>
      <c r="CW19" s="8" t="str">
        <f ca="1">OFFSET(Database!$F19,0,COLUMN(Database!CT19)*2-12)</f>
        <v>n.r.</v>
      </c>
      <c r="CX19" s="8" t="str">
        <f ca="1">OFFSET(Database!$F19,0,COLUMN(Database!CU19)*2-12)</f>
        <v>n.r.</v>
      </c>
      <c r="CY19" s="8" t="str">
        <f ca="1">OFFSET(Database!$F19,0,COLUMN(Database!CV19)*2-12)</f>
        <v>n.r.</v>
      </c>
      <c r="CZ19" s="8" t="str">
        <f ca="1">OFFSET(Database!$F19,0,COLUMN(Database!CW19)*2-12)</f>
        <v>n.r.</v>
      </c>
      <c r="DA19" s="8" t="str">
        <f ca="1">OFFSET(Database!$F19,0,COLUMN(Database!CX19)*2-12)</f>
        <v>n.r.</v>
      </c>
      <c r="DB19" s="8" t="str">
        <f ca="1">OFFSET(Database!$F19,0,COLUMN(Database!CY19)*2-12)</f>
        <v>n.r.</v>
      </c>
      <c r="DC19" s="8" t="str">
        <f ca="1">OFFSET(Database!$F19,0,COLUMN(Database!CZ19)*2-12)</f>
        <v>n.r.</v>
      </c>
      <c r="DD19" s="8" t="str">
        <f ca="1">OFFSET(Database!$F19,0,COLUMN(Database!DA19)*2-12)</f>
        <v>n.r.</v>
      </c>
      <c r="DE19" s="8" t="str">
        <f ca="1">OFFSET(Database!$F19,0,COLUMN(Database!DB19)*2-12)</f>
        <v>n.r.</v>
      </c>
      <c r="DF19" s="8" t="str">
        <f ca="1">OFFSET(Database!$F19,0,COLUMN(Database!DC19)*2-12)</f>
        <v>n.r.</v>
      </c>
      <c r="DG19" s="8" t="str">
        <f ca="1">OFFSET(Database!$F19,0,COLUMN(Database!DD19)*2-12)</f>
        <v>n.r.</v>
      </c>
      <c r="DH19" s="8" t="str">
        <f ca="1">OFFSET(Database!$F19,0,COLUMN(Database!DE19)*2-12)</f>
        <v>n.r.</v>
      </c>
      <c r="DI19" s="8" t="str">
        <f ca="1">OFFSET(Database!$F19,0,COLUMN(Database!DF19)*2-12)</f>
        <v>n.r.</v>
      </c>
      <c r="DJ19" s="8" t="str">
        <f ca="1">OFFSET(Database!$F19,0,COLUMN(Database!DG19)*2-12)</f>
        <v>n.r.</v>
      </c>
      <c r="DK19" s="8" t="str">
        <f ca="1">OFFSET(Database!$F19,0,COLUMN(Database!DH19)*2-12)</f>
        <v>n.r.</v>
      </c>
      <c r="DL19" s="8" t="str">
        <f ca="1">OFFSET(Database!$F19,0,COLUMN(Database!DI19)*2-12)</f>
        <v>n.r.</v>
      </c>
      <c r="DM19" s="8" t="str">
        <f ca="1">OFFSET(Database!$F19,0,COLUMN(Database!DJ19)*2-12)</f>
        <v>n.r.</v>
      </c>
      <c r="DN19" s="8" t="str">
        <f ca="1">OFFSET(Database!$F19,0,COLUMN(Database!DK19)*2-12)</f>
        <v>n.r.</v>
      </c>
      <c r="DO19" s="8" t="str">
        <f ca="1">OFFSET(Database!$F19,0,COLUMN(Database!DL19)*2-12)</f>
        <v>n.r.</v>
      </c>
      <c r="DP19" s="8" t="str">
        <f ca="1">OFFSET(Database!$F19,0,COLUMN(Database!DM19)*2-12)</f>
        <v>n.r.</v>
      </c>
      <c r="DQ19" s="8" t="str">
        <f ca="1">OFFSET(Database!$F19,0,COLUMN(Database!DN19)*2-12)</f>
        <v>n.r.</v>
      </c>
      <c r="DR19" s="8" t="str">
        <f ca="1">OFFSET(Database!$F19,0,COLUMN(Database!DO19)*2-12)</f>
        <v>n.r.</v>
      </c>
      <c r="DS19" s="8" t="str">
        <f ca="1">OFFSET(Database!$F19,0,COLUMN(Database!DP19)*2-12)</f>
        <v>n.r.</v>
      </c>
      <c r="DT19" s="8" t="str">
        <f ca="1">OFFSET(Database!$F19,0,COLUMN(Database!DQ19)*2-12)</f>
        <v>n.r.</v>
      </c>
      <c r="DU19" s="8" t="str">
        <f ca="1">OFFSET(Database!$F19,0,COLUMN(Database!DR19)*2-12)</f>
        <v>n.r.</v>
      </c>
      <c r="DV19" s="8" t="str">
        <f ca="1">OFFSET(Database!$F19,0,COLUMN(Database!DS19)*2-12)</f>
        <v>n.r.</v>
      </c>
      <c r="DW19" s="8">
        <f ca="1">OFFSET(Database!$F19,0,COLUMN(Database!DT19)*2-12)</f>
        <v>5.9</v>
      </c>
      <c r="DX19" s="8">
        <f ca="1">OFFSET(Database!$F19,0,COLUMN(Database!DU19)*2-12)</f>
        <v>1.5</v>
      </c>
      <c r="DY19" s="8">
        <f ca="1">OFFSET(Database!$F19,0,COLUMN(Database!DV19)*2-12)</f>
        <v>0.5</v>
      </c>
      <c r="DZ19" s="8">
        <f ca="1">OFFSET(Database!$F19,0,COLUMN(Database!DW19)*2-12)</f>
        <v>11</v>
      </c>
      <c r="EA19" s="8">
        <f ca="1">OFFSET(Database!$F19,0,COLUMN(Database!DX19)*2-12)</f>
        <v>156</v>
      </c>
      <c r="EB19" s="8">
        <f ca="1">OFFSET(Database!$F19,0,COLUMN(Database!DY19)*2-12)</f>
        <v>0.98</v>
      </c>
      <c r="EC19" s="8" t="str">
        <f ca="1">OFFSET(Database!$F19,0,COLUMN(Database!DZ19)*2-12)</f>
        <v>n.r.</v>
      </c>
      <c r="ED19" s="8">
        <f ca="1">OFFSET(Database!$F19,0,COLUMN(Database!EA19)*2-12)</f>
        <v>3.85</v>
      </c>
      <c r="EE19" s="8">
        <f ca="1">OFFSET(Database!$F19,0,COLUMN(Database!EB19)*2-12)</f>
        <v>2150</v>
      </c>
      <c r="EF19" s="8">
        <f ca="1">OFFSET(Database!$F19,0,COLUMN(Database!EC19)*2-12)</f>
        <v>480</v>
      </c>
      <c r="EG19" s="8">
        <f ca="1">OFFSET(Database!$F19,0,COLUMN(Database!ED19)*2-12)</f>
        <v>1250</v>
      </c>
      <c r="EH19" s="8">
        <f ca="1">OFFSET(Database!$F19,0,COLUMN(Database!EE19)*2-12)</f>
        <v>340</v>
      </c>
      <c r="EI19" s="8">
        <f ca="1">OFFSET(Database!$F19,0,COLUMN(Database!EF19)*2-12)</f>
        <v>0.22900000000000001</v>
      </c>
      <c r="EJ19" s="8">
        <f ca="1">OFFSET(Database!$F19,0,COLUMN(Database!EG19)*2-12)</f>
        <v>0.19500000000000001</v>
      </c>
      <c r="EK19" s="8">
        <f ca="1">OFFSET(Database!$F19,0,COLUMN(Database!EH19)*2-12)</f>
        <v>0.375</v>
      </c>
      <c r="EL19" s="8">
        <f ca="1">OFFSET(Database!$F19,0,COLUMN(Database!EI19)*2-12)</f>
        <v>0.81100000000000005</v>
      </c>
      <c r="EM19" s="8">
        <f ca="1">OFFSET(Database!$F19,0,COLUMN(Database!EJ19)*2-12)</f>
        <v>0.70899999999999996</v>
      </c>
      <c r="EN19" s="8">
        <f ca="1">OFFSET(Database!$F19,0,COLUMN(Database!EK19)*2-12)</f>
        <v>0.57899999999999996</v>
      </c>
      <c r="EO19" s="8">
        <f ca="1">OFFSET(Database!$F19,0,COLUMN(Database!EL19)*2-12)</f>
        <v>1.0509999999999999</v>
      </c>
      <c r="EP19" s="8">
        <f ca="1">OFFSET(Database!$F19,0,COLUMN(Database!EM19)*2-12)</f>
        <v>0.91</v>
      </c>
      <c r="EQ19" s="8">
        <f ca="1">OFFSET(Database!$F19,0,COLUMN(Database!EN19)*2-12)</f>
        <v>30.34</v>
      </c>
      <c r="ER19" s="8" t="str">
        <f ca="1">OFFSET(Database!$F19,0,COLUMN(Database!EO19)*2-12)</f>
        <v>n.r.</v>
      </c>
      <c r="ES19" s="8" t="str">
        <f ca="1">OFFSET(Database!$F19,0,COLUMN(Database!EP19)*2-12)</f>
        <v>n.r.</v>
      </c>
      <c r="ET19" s="8" t="str">
        <f ca="1">OFFSET(Database!$F19,0,COLUMN(Database!EQ19)*2-12)</f>
        <v>n.r.</v>
      </c>
      <c r="EU19" s="8" t="str">
        <f ca="1">OFFSET(Database!$F19,0,COLUMN(Database!ER19)*2-12)</f>
        <v>n.r.</v>
      </c>
      <c r="EV19" s="8" t="str">
        <f ca="1">OFFSET(Database!$F19,0,COLUMN(Database!ES19)*2-12)</f>
        <v>n.r.</v>
      </c>
      <c r="EW19" s="8">
        <f ca="1">OFFSET(Database!$F19,0,COLUMN(Database!ET19)*2-12)</f>
        <v>294600</v>
      </c>
      <c r="EX19" s="8">
        <f ca="1">OFFSET(Database!$F19,0,COLUMN(Database!EU19)*2-12)</f>
        <v>1140700</v>
      </c>
      <c r="EY19" s="8">
        <f ca="1">OFFSET(Database!$F19,0,COLUMN(Database!EV19)*2-12)</f>
        <v>113700</v>
      </c>
      <c r="EZ19" s="8">
        <f ca="1">OFFSET(Database!$F19,0,COLUMN(Database!EW19)*2-12)</f>
        <v>233700</v>
      </c>
      <c r="FA19" s="8">
        <f ca="1">OFFSET(Database!$F19,0,COLUMN(Database!EX19)*2-12)</f>
        <v>630700</v>
      </c>
      <c r="FB19" s="8" t="str">
        <f ca="1">OFFSET(Database!$F19,0,COLUMN(Database!EY19)*2-12)</f>
        <v>n.r.</v>
      </c>
      <c r="FC19" s="8" t="str">
        <f ca="1">OFFSET(Database!$F19,0,COLUMN(Database!EZ19)*2-12)</f>
        <v>n.r.</v>
      </c>
      <c r="FD19" s="8" t="str">
        <f ca="1">OFFSET(Database!$F19,0,COLUMN(Database!FA19)*2-12)</f>
        <v>n.r.</v>
      </c>
      <c r="FE19" s="8" t="str">
        <f ca="1">OFFSET(Database!$F19,0,COLUMN(Database!FB19)*2-12)</f>
        <v>n.r.</v>
      </c>
      <c r="FF19" s="8" t="str">
        <f ca="1">OFFSET(Database!$F19,0,COLUMN(Database!FC19)*2-12)</f>
        <v>n.r.</v>
      </c>
      <c r="FG19" s="8">
        <f ca="1">OFFSET(Database!$F19,0,COLUMN(Database!FD19)*2-12)</f>
        <v>270473.32832456805</v>
      </c>
      <c r="FH19" s="8" t="str">
        <f ca="1">OFFSET(Database!$F19,0,COLUMN(Database!FE19)*2-12)</f>
        <v>n.r.</v>
      </c>
      <c r="FI19" s="8" t="str">
        <f ca="1">OFFSET(Database!$F19,0,COLUMN(Database!FF19)*2-12)</f>
        <v>n.r.</v>
      </c>
      <c r="FJ19" s="8" t="str">
        <f ca="1">OFFSET(Database!$F19,0,COLUMN(Database!FG19)*2-12)</f>
        <v>n.r.</v>
      </c>
      <c r="FK19" s="8">
        <f ca="1">OFFSET(Database!$F19,0,COLUMN(Database!FH19)*2-12)</f>
        <v>805409.46656649141</v>
      </c>
      <c r="FL19" s="8">
        <f ca="1">OFFSET(Database!$F19,0,COLUMN(Database!FI19)*2-12)</f>
        <v>504883.54620586027</v>
      </c>
      <c r="FM19" s="8">
        <f ca="1">OFFSET(Database!$F19,0,COLUMN(Database!FJ19)*2-12)</f>
        <v>50338.091660405713</v>
      </c>
      <c r="FN19" s="8">
        <f ca="1">OFFSET(Database!$F19,0,COLUMN(Database!FK19)*2-12)</f>
        <v>416228.3996994741</v>
      </c>
      <c r="FO19" s="8">
        <f ca="1">OFFSET(Database!$F19,0,COLUMN(Database!FL19)*2-12)</f>
        <v>739293.76408715255</v>
      </c>
      <c r="FP19" s="8">
        <f ca="1">OFFSET(Database!$F19,0,COLUMN(Database!FM19)*2-12)</f>
        <v>629601.80315552233</v>
      </c>
      <c r="FQ19" s="8">
        <f ca="1">OFFSET(Database!$F19,0,COLUMN(Database!FN19)*2-12)</f>
        <v>22013.523666416229</v>
      </c>
      <c r="FR19" s="8">
        <f ca="1">OFFSET(Database!$F19,0,COLUMN(Database!FO19)*2-12)</f>
        <v>20285.499624342599</v>
      </c>
      <c r="FS19" s="8">
        <f ca="1">OFFSET(Database!$F19,0,COLUMN(Database!FP19)*2-12)</f>
        <v>20661.157024793389</v>
      </c>
      <c r="FT19" s="8">
        <f ca="1">OFFSET(Database!$F19,0,COLUMN(Database!FQ19)*2-12)</f>
        <v>14274.981217129978</v>
      </c>
      <c r="FU19" s="8">
        <f ca="1">OFFSET(Database!$F19,0,COLUMN(Database!FR19)*2-12)</f>
        <v>14312</v>
      </c>
      <c r="FV19" s="8">
        <f ca="1">OFFSET(Database!$F19,0,COLUMN(Database!FS19)*2-12)</f>
        <v>11155</v>
      </c>
      <c r="FW19" s="8">
        <f ca="1">OFFSET(Database!$F19,0,COLUMN(Database!FT19)*2-12)</f>
        <v>20547</v>
      </c>
      <c r="FX19" s="8">
        <f ca="1">OFFSET(Database!$F19,0,COLUMN(Database!FU19)*2-12)</f>
        <v>13353</v>
      </c>
      <c r="FY19" s="8">
        <f ca="1">OFFSET(Database!$F19,0,COLUMN(Database!FV19)*2-12)</f>
        <v>13961</v>
      </c>
      <c r="FZ19" s="8">
        <f ca="1">OFFSET(Database!$F19,0,COLUMN(Database!FW19)*2-12)</f>
        <v>21033</v>
      </c>
      <c r="GA19" s="8">
        <f ca="1">OFFSET(Database!$F19,0,COLUMN(Database!FX19)*2-12)</f>
        <v>16374</v>
      </c>
      <c r="GB19" s="8">
        <f ca="1">OFFSET(Database!$F19,0,COLUMN(Database!FY19)*2-12)</f>
        <v>11957</v>
      </c>
      <c r="GC19" s="8">
        <f ca="1">OFFSET(Database!$F19,0,COLUMN(Database!FZ19)*2-12)</f>
        <v>19157</v>
      </c>
      <c r="GD19" s="8">
        <f ca="1">OFFSET(Database!$F19,0,COLUMN(Database!GA19)*2-12)</f>
        <v>13578</v>
      </c>
      <c r="GE19" s="8">
        <f ca="1">OFFSET(Database!$F19,0,COLUMN(Database!GB19)*2-12)</f>
        <v>9672</v>
      </c>
      <c r="GF19" s="8">
        <f ca="1">OFFSET(Database!$F19,0,COLUMN(Database!GC19)*2-12)</f>
        <v>14468</v>
      </c>
      <c r="GG19" s="8">
        <f ca="1">OFFSET(Database!$F19,0,COLUMN(Database!GD19)*2-12)</f>
        <v>4042.0736288504886</v>
      </c>
      <c r="GH19" s="8">
        <f ca="1">OFFSET(Database!$F19,0,COLUMN(Database!GE19)*2-12)</f>
        <v>14274.981217129978</v>
      </c>
      <c r="GI19" s="8">
        <f ca="1">OFFSET(Database!$F19,0,COLUMN(Database!GF19)*2-12)</f>
        <v>9316.3035311795647</v>
      </c>
      <c r="GJ19" s="8" t="str">
        <f ca="1">OFFSET(Database!$F19,0,COLUMN(Database!GG19)*2-12)</f>
        <v>l.o.q</v>
      </c>
      <c r="GK19" s="8">
        <f ca="1">OFFSET(Database!$F19,0,COLUMN(Database!GH19)*2-12)</f>
        <v>30503.380916604056</v>
      </c>
      <c r="GL19" s="8">
        <f ca="1">OFFSET(Database!$F19,0,COLUMN(Database!GI19)*2-12)</f>
        <v>7513.1480090157784</v>
      </c>
      <c r="GM19" s="8" t="str">
        <f ca="1">OFFSET(Database!$F19,0,COLUMN(Database!GJ19)*2-12)</f>
        <v>n.d.</v>
      </c>
      <c r="GN19" s="8">
        <f ca="1">OFFSET(Database!$F19,0,COLUMN(Database!GK19)*2-12)</f>
        <v>455296.76934635616</v>
      </c>
      <c r="GO19" s="8" t="str">
        <f ca="1">OFFSET(Database!$F19,0,COLUMN(Database!GL19)*2-12)</f>
        <v>n.r.</v>
      </c>
      <c r="GP19" s="8" t="str">
        <f ca="1">OFFSET(Database!$F19,0,COLUMN(Database!GM19)*2-12)</f>
        <v>n.r.</v>
      </c>
    </row>
    <row r="20" spans="1:198" x14ac:dyDescent="0.2">
      <c r="A20" s="50" t="str">
        <f>Database!A20</f>
        <v>D-threonine</v>
      </c>
      <c r="B20" s="1" t="s">
        <v>865</v>
      </c>
      <c r="C20" s="4" t="str">
        <f>Database!B20</f>
        <v>ɑ</v>
      </c>
      <c r="D20" s="4" t="str">
        <f>Database!C20</f>
        <v>D</v>
      </c>
      <c r="E20" s="74">
        <f>Database!D20</f>
        <v>13</v>
      </c>
      <c r="F20" s="1" t="s">
        <v>905</v>
      </c>
      <c r="G20" s="1">
        <v>69435</v>
      </c>
      <c r="H20" s="1">
        <f>Database!E20</f>
        <v>119.12</v>
      </c>
      <c r="I20" s="8" t="str">
        <f ca="1">OFFSET(Database!$F20,0,COLUMN(Database!F20)*2-12)</f>
        <v>n.r.</v>
      </c>
      <c r="J20" s="8" t="str">
        <f ca="1">OFFSET(Database!$F20,0,COLUMN(Database!G20)*2-12)</f>
        <v>n.r.</v>
      </c>
      <c r="K20" s="8" t="str">
        <f ca="1">OFFSET(Database!$F20,0,COLUMN(Database!H20)*2-12)</f>
        <v>n.r.</v>
      </c>
      <c r="L20" s="8" t="str">
        <f ca="1">OFFSET(Database!$F20,0,COLUMN(Database!I20)*2-12)</f>
        <v>n.r.</v>
      </c>
      <c r="M20" s="8" t="str">
        <f ca="1">OFFSET(Database!$F20,0,COLUMN(Database!J20)*2-12)</f>
        <v>n.r.</v>
      </c>
      <c r="N20" s="8" t="str">
        <f ca="1">OFFSET(Database!$F20,0,COLUMN(Database!K20)*2-12)</f>
        <v>n.r.</v>
      </c>
      <c r="O20" s="8" t="str">
        <f ca="1">OFFSET(Database!$F20,0,COLUMN(Database!L20)*2-12)</f>
        <v>n.r.</v>
      </c>
      <c r="P20" s="8" t="str">
        <f ca="1">OFFSET(Database!$F20,0,COLUMN(Database!M20)*2-12)</f>
        <v>&lt;0.01</v>
      </c>
      <c r="Q20" s="8">
        <f ca="1">OFFSET(Database!$F20,0,COLUMN(Database!N20)*2-12)</f>
        <v>1.1100000000000001</v>
      </c>
      <c r="R20" s="8" t="str">
        <f ca="1">OFFSET(Database!$F20,0,COLUMN(Database!O20)*2-12)</f>
        <v>n.r.</v>
      </c>
      <c r="S20" s="8" t="str">
        <f ca="1">OFFSET(Database!$F20,0,COLUMN(Database!P20)*2-12)</f>
        <v>n.r.</v>
      </c>
      <c r="T20" s="8" t="str">
        <f ca="1">OFFSET(Database!$F20,0,COLUMN(Database!Q20)*2-12)</f>
        <v>n.r.</v>
      </c>
      <c r="U20" s="8" t="str">
        <f ca="1">OFFSET(Database!$F20,0,COLUMN(Database!R20)*2-12)</f>
        <v>n.r.</v>
      </c>
      <c r="V20" s="8" t="str">
        <f ca="1">OFFSET(Database!$F20,0,COLUMN(Database!S20)*2-12)</f>
        <v>n.r.</v>
      </c>
      <c r="W20" s="8" t="str">
        <f ca="1">OFFSET(Database!$F20,0,COLUMN(Database!T20)*2-12)</f>
        <v>n.r.</v>
      </c>
      <c r="X20" s="8" t="str">
        <f ca="1">OFFSET(Database!$F20,0,COLUMN(Database!U20)*2-12)</f>
        <v>n.r.</v>
      </c>
      <c r="Y20" s="8">
        <f ca="1">OFFSET(Database!$F20,0,COLUMN(Database!V20)*2-12)</f>
        <v>0.02</v>
      </c>
      <c r="Z20" s="8">
        <f ca="1">OFFSET(Database!$F20,0,COLUMN(Database!W20)*2-12)</f>
        <v>0.17</v>
      </c>
      <c r="AA20" s="8" t="str">
        <f ca="1">OFFSET(Database!$F20,0,COLUMN(Database!X20)*2-12)</f>
        <v>n.r.</v>
      </c>
      <c r="AB20" s="8" t="str">
        <f ca="1">OFFSET(Database!$F20,0,COLUMN(Database!Y20)*2-12)</f>
        <v>tr.</v>
      </c>
      <c r="AC20" s="8" t="str">
        <f ca="1">OFFSET(Database!$F20,0,COLUMN(Database!Z20)*2-12)</f>
        <v>n.r.</v>
      </c>
      <c r="AD20" s="8" t="str">
        <f ca="1">OFFSET(Database!$F20,0,COLUMN(Database!AA20)*2-12)</f>
        <v>n.r.</v>
      </c>
      <c r="AE20" s="8" t="str">
        <f ca="1">OFFSET(Database!$F20,0,COLUMN(Database!AB20)*2-12)</f>
        <v>n.r.</v>
      </c>
      <c r="AF20" s="8" t="str">
        <f ca="1">OFFSET(Database!$F20,0,COLUMN(Database!AC20)*2-12)</f>
        <v>n.d.</v>
      </c>
      <c r="AG20" s="8" t="str">
        <f ca="1">OFFSET(Database!$F20,0,COLUMN(Database!AD20)*2-12)</f>
        <v>n.d.</v>
      </c>
      <c r="AH20" s="8" t="str">
        <f ca="1">OFFSET(Database!$F20,0,COLUMN(Database!AE20)*2-12)</f>
        <v>n.r.</v>
      </c>
      <c r="AI20" s="8" t="str">
        <f ca="1">OFFSET(Database!$F20,0,COLUMN(Database!AF20)*2-12)</f>
        <v>&lt;0.07</v>
      </c>
      <c r="AJ20" s="8" t="str">
        <f ca="1">OFFSET(Database!$F20,0,COLUMN(Database!AG20)*2-12)</f>
        <v>&lt;0.03</v>
      </c>
      <c r="AK20" s="8">
        <f ca="1">OFFSET(Database!$F20,0,COLUMN(Database!AH20)*2-12)</f>
        <v>7.0000000000000007E-2</v>
      </c>
      <c r="AL20" s="8" t="str">
        <f ca="1">OFFSET(Database!$F20,0,COLUMN(Database!AI20)*2-12)</f>
        <v>n.r.</v>
      </c>
      <c r="AM20" s="8">
        <f ca="1">OFFSET(Database!$F20,0,COLUMN(Database!AJ20)*2-12)</f>
        <v>0.01</v>
      </c>
      <c r="AN20" s="8">
        <f ca="1">OFFSET(Database!$F20,0,COLUMN(Database!AK20)*2-12)</f>
        <v>0.7</v>
      </c>
      <c r="AO20" s="8" t="str">
        <f ca="1">OFFSET(Database!$F20,0,COLUMN(Database!AL20)*2-12)</f>
        <v>n.r.</v>
      </c>
      <c r="AP20" s="8" t="str">
        <f ca="1">OFFSET(Database!$F20,0,COLUMN(Database!AM20)*2-12)</f>
        <v>n.r.</v>
      </c>
      <c r="AQ20" s="8" t="str">
        <f ca="1">OFFSET(Database!$F20,0,COLUMN(Database!AN20)*2-12)</f>
        <v>n.r.</v>
      </c>
      <c r="AR20" s="8" t="str">
        <f ca="1">OFFSET(Database!$F20,0,COLUMN(Database!AO20)*2-12)</f>
        <v>n.r.</v>
      </c>
      <c r="AS20" s="8" t="str">
        <f ca="1">OFFSET(Database!$F20,0,COLUMN(Database!AP20)*2-12)</f>
        <v>n.r.</v>
      </c>
      <c r="AT20" s="8" t="str">
        <f ca="1">OFFSET(Database!$F20,0,COLUMN(Database!AQ20)*2-12)</f>
        <v>n.r.</v>
      </c>
      <c r="AU20" s="8" t="str">
        <f ca="1">OFFSET(Database!$F20,0,COLUMN(Database!AR20)*2-12)</f>
        <v>n.r.</v>
      </c>
      <c r="AV20" s="8" t="str">
        <f ca="1">OFFSET(Database!$F20,0,COLUMN(Database!AS20)*2-12)</f>
        <v>n.r.</v>
      </c>
      <c r="AW20" s="8" t="str">
        <f ca="1">OFFSET(Database!$F20,0,COLUMN(Database!AT20)*2-12)</f>
        <v>n.r.</v>
      </c>
      <c r="AX20" s="8" t="str">
        <f ca="1">OFFSET(Database!$F20,0,COLUMN(Database!AU20)*2-12)</f>
        <v>&lt;0.0109</v>
      </c>
      <c r="AY20" s="8" t="str">
        <f ca="1">OFFSET(Database!$F20,0,COLUMN(Database!AV20)*2-12)</f>
        <v>n.r.</v>
      </c>
      <c r="AZ20" s="8" t="str">
        <f ca="1">OFFSET(Database!$F20,0,COLUMN(Database!AW20)*2-12)</f>
        <v>n.r.</v>
      </c>
      <c r="BA20" s="8" t="str">
        <f ca="1">OFFSET(Database!$F20,0,COLUMN(Database!AX20)*2-12)</f>
        <v>n.r.</v>
      </c>
      <c r="BB20" s="8" t="str">
        <f ca="1">OFFSET(Database!$F20,0,COLUMN(Database!AY20)*2-12)</f>
        <v>n.r.</v>
      </c>
      <c r="BC20" s="8" t="str">
        <f ca="1">OFFSET(Database!$F20,0,COLUMN(Database!AZ20)*2-12)</f>
        <v>n.r.</v>
      </c>
      <c r="BD20" s="8" t="str">
        <f ca="1">OFFSET(Database!$F20,0,COLUMN(Database!BA20)*2-12)</f>
        <v>n.r.</v>
      </c>
      <c r="BE20" s="8" t="str">
        <f ca="1">OFFSET(Database!$F20,0,COLUMN(Database!BB20)*2-12)</f>
        <v>n.r.</v>
      </c>
      <c r="BF20" s="8" t="str">
        <f ca="1">OFFSET(Database!$F20,0,COLUMN(Database!BC20)*2-12)</f>
        <v>n.r.</v>
      </c>
      <c r="BG20" s="8" t="str">
        <f ca="1">OFFSET(Database!$F20,0,COLUMN(Database!BD20)*2-12)</f>
        <v>n.r.</v>
      </c>
      <c r="BH20" s="8" t="str">
        <f ca="1">OFFSET(Database!$F20,0,COLUMN(Database!BE20)*2-12)</f>
        <v>n.r.</v>
      </c>
      <c r="BI20" s="8" t="str">
        <f ca="1">OFFSET(Database!$F20,0,COLUMN(Database!BF20)*2-12)</f>
        <v>n.r.</v>
      </c>
      <c r="BJ20" s="8" t="str">
        <f ca="1">OFFSET(Database!$F20,0,COLUMN(Database!BG20)*2-12)</f>
        <v>n.r.</v>
      </c>
      <c r="BK20" s="8" t="str">
        <f ca="1">OFFSET(Database!$F20,0,COLUMN(Database!BH20)*2-12)</f>
        <v>n.r.</v>
      </c>
      <c r="BL20" s="8" t="str">
        <f ca="1">OFFSET(Database!$F20,0,COLUMN(Database!BI20)*2-12)</f>
        <v>n.r.</v>
      </c>
      <c r="BM20" s="8" t="str">
        <f ca="1">OFFSET(Database!$F20,0,COLUMN(Database!BJ20)*2-12)</f>
        <v>n.r.</v>
      </c>
      <c r="BN20" s="8" t="str">
        <f ca="1">OFFSET(Database!$F20,0,COLUMN(Database!BK20)*2-12)</f>
        <v>n.r.</v>
      </c>
      <c r="BO20" s="8" t="str">
        <f ca="1">OFFSET(Database!$F20,0,COLUMN(Database!BL20)*2-12)</f>
        <v>n.r.</v>
      </c>
      <c r="BP20" s="8" t="str">
        <f ca="1">OFFSET(Database!$F20,0,COLUMN(Database!BM20)*2-12)</f>
        <v>n.r.</v>
      </c>
      <c r="BQ20" s="8" t="str">
        <f ca="1">OFFSET(Database!$F20,0,COLUMN(Database!BN20)*2-12)</f>
        <v>n.r.</v>
      </c>
      <c r="BR20" s="8" t="str">
        <f ca="1">OFFSET(Database!$F20,0,COLUMN(Database!BO20)*2-12)</f>
        <v>n.r.</v>
      </c>
      <c r="BS20" s="8" t="str">
        <f ca="1">OFFSET(Database!$F20,0,COLUMN(Database!BP20)*2-12)</f>
        <v>n.r.</v>
      </c>
      <c r="BT20" s="8" t="str">
        <f ca="1">OFFSET(Database!$F20,0,COLUMN(Database!BQ20)*2-12)</f>
        <v>n.r.</v>
      </c>
      <c r="BU20" s="8" t="str">
        <f ca="1">OFFSET(Database!$F20,0,COLUMN(Database!BR20)*2-12)</f>
        <v>n.r.</v>
      </c>
      <c r="BV20" s="8" t="str">
        <f ca="1">OFFSET(Database!$F20,0,COLUMN(Database!BS20)*2-12)</f>
        <v>n.r.</v>
      </c>
      <c r="BW20" s="8" t="str">
        <f ca="1">OFFSET(Database!$F20,0,COLUMN(Database!BT20)*2-12)</f>
        <v>n.r.</v>
      </c>
      <c r="BX20" s="8" t="str">
        <f ca="1">OFFSET(Database!$F20,0,COLUMN(Database!BU20)*2-12)</f>
        <v>n.r.</v>
      </c>
      <c r="BY20" s="8" t="str">
        <f ca="1">OFFSET(Database!$F20,0,COLUMN(Database!BV20)*2-12)</f>
        <v>n.r.</v>
      </c>
      <c r="BZ20" s="8" t="str">
        <f ca="1">OFFSET(Database!$F20,0,COLUMN(Database!BW20)*2-12)</f>
        <v>n.r.</v>
      </c>
      <c r="CA20" s="8" t="str">
        <f ca="1">OFFSET(Database!$F20,0,COLUMN(Database!BX20)*2-12)</f>
        <v>n.r.</v>
      </c>
      <c r="CB20" s="8" t="str">
        <f ca="1">OFFSET(Database!$F20,0,COLUMN(Database!BY20)*2-12)</f>
        <v>&lt;0.0084</v>
      </c>
      <c r="CC20" s="8" t="str">
        <f ca="1">OFFSET(Database!$F20,0,COLUMN(Database!BZ20)*2-12)</f>
        <v>&lt;0.0168</v>
      </c>
      <c r="CD20" s="8" t="str">
        <f ca="1">OFFSET(Database!$F20,0,COLUMN(Database!CA20)*2-12)</f>
        <v>&lt;0.005</v>
      </c>
      <c r="CE20" s="8" t="str">
        <f ca="1">OFFSET(Database!$F20,0,COLUMN(Database!CB20)*2-12)</f>
        <v>&lt;0.0067</v>
      </c>
      <c r="CF20" s="8" t="str">
        <f ca="1">OFFSET(Database!$F20,0,COLUMN(Database!CC20)*2-12)</f>
        <v>&lt;0.0067</v>
      </c>
      <c r="CG20" s="8" t="str">
        <f ca="1">OFFSET(Database!$F20,0,COLUMN(Database!CD20)*2-12)</f>
        <v>&lt;0.0084</v>
      </c>
      <c r="CH20" s="8" t="str">
        <f ca="1">OFFSET(Database!$F20,0,COLUMN(Database!CE20)*2-12)</f>
        <v>&lt;0.0084</v>
      </c>
      <c r="CI20" s="8" t="str">
        <f ca="1">OFFSET(Database!$F20,0,COLUMN(Database!CF20)*2-12)</f>
        <v>&lt;0.0084</v>
      </c>
      <c r="CJ20" s="8" t="str">
        <f ca="1">OFFSET(Database!$F20,0,COLUMN(Database!CG20)*2-12)</f>
        <v>&lt;0.0042</v>
      </c>
      <c r="CK20" s="8" t="str">
        <f ca="1">OFFSET(Database!$F20,0,COLUMN(Database!CH20)*2-12)</f>
        <v>&lt;0.0042</v>
      </c>
      <c r="CL20" s="8" t="str">
        <f ca="1">OFFSET(Database!$F20,0,COLUMN(Database!CI20)*2-12)</f>
        <v>&lt;0.0084</v>
      </c>
      <c r="CM20" s="8" t="str">
        <f ca="1">OFFSET(Database!$F20,0,COLUMN(Database!CJ20)*2-12)</f>
        <v>&lt;0.0050</v>
      </c>
      <c r="CN20" s="8" t="str">
        <f ca="1">OFFSET(Database!$F20,0,COLUMN(Database!CK20)*2-12)</f>
        <v>&lt;0.0084</v>
      </c>
      <c r="CO20" s="8" t="str">
        <f ca="1">OFFSET(Database!$F20,0,COLUMN(Database!CL20)*2-12)</f>
        <v>&lt;0.0050</v>
      </c>
      <c r="CP20" s="8" t="str">
        <f ca="1">OFFSET(Database!$F20,0,COLUMN(Database!CM20)*2-12)</f>
        <v>n.r.</v>
      </c>
      <c r="CQ20" s="8" t="str">
        <f ca="1">OFFSET(Database!$F20,0,COLUMN(Database!CN20)*2-12)</f>
        <v>n.r.</v>
      </c>
      <c r="CR20" s="8" t="str">
        <f ca="1">OFFSET(Database!$F20,0,COLUMN(Database!CO20)*2-12)</f>
        <v>n.r.</v>
      </c>
      <c r="CS20" s="8" t="str">
        <f ca="1">OFFSET(Database!$F20,0,COLUMN(Database!CP20)*2-12)</f>
        <v>n.r.</v>
      </c>
      <c r="CT20" s="8" t="str">
        <f ca="1">OFFSET(Database!$F20,0,COLUMN(Database!CQ20)*2-12)</f>
        <v>n.r.</v>
      </c>
      <c r="CU20" s="8" t="str">
        <f ca="1">OFFSET(Database!$F20,0,COLUMN(Database!CR20)*2-12)</f>
        <v>n.r.</v>
      </c>
      <c r="CV20" s="8" t="str">
        <f ca="1">OFFSET(Database!$F20,0,COLUMN(Database!CS20)*2-12)</f>
        <v>n.r.</v>
      </c>
      <c r="CW20" s="8" t="str">
        <f ca="1">OFFSET(Database!$F20,0,COLUMN(Database!CT20)*2-12)</f>
        <v>n.r.</v>
      </c>
      <c r="CX20" s="8" t="str">
        <f ca="1">OFFSET(Database!$F20,0,COLUMN(Database!CU20)*2-12)</f>
        <v>n.r.</v>
      </c>
      <c r="CY20" s="8" t="str">
        <f ca="1">OFFSET(Database!$F20,0,COLUMN(Database!CV20)*2-12)</f>
        <v>n.r.</v>
      </c>
      <c r="CZ20" s="8" t="str">
        <f ca="1">OFFSET(Database!$F20,0,COLUMN(Database!CW20)*2-12)</f>
        <v>n.r.</v>
      </c>
      <c r="DA20" s="8" t="str">
        <f ca="1">OFFSET(Database!$F20,0,COLUMN(Database!CX20)*2-12)</f>
        <v>n.r.</v>
      </c>
      <c r="DB20" s="8" t="str">
        <f ca="1">OFFSET(Database!$F20,0,COLUMN(Database!CY20)*2-12)</f>
        <v>&lt;0.02</v>
      </c>
      <c r="DC20" s="8" t="str">
        <f ca="1">OFFSET(Database!$F20,0,COLUMN(Database!CZ20)*2-12)</f>
        <v>&lt;0.02</v>
      </c>
      <c r="DD20" s="8" t="str">
        <f ca="1">OFFSET(Database!$F20,0,COLUMN(Database!DA20)*2-12)</f>
        <v>&lt;0.2</v>
      </c>
      <c r="DE20" s="8" t="str">
        <f ca="1">OFFSET(Database!$F20,0,COLUMN(Database!DB20)*2-12)</f>
        <v>n.r.</v>
      </c>
      <c r="DF20" s="8" t="str">
        <f ca="1">OFFSET(Database!$F20,0,COLUMN(Database!DC20)*2-12)</f>
        <v>n.r.</v>
      </c>
      <c r="DG20" s="8" t="str">
        <f ca="1">OFFSET(Database!$F20,0,COLUMN(Database!DD20)*2-12)</f>
        <v>n.r.</v>
      </c>
      <c r="DH20" s="8" t="str">
        <f ca="1">OFFSET(Database!$F20,0,COLUMN(Database!DE20)*2-12)</f>
        <v>n.r.</v>
      </c>
      <c r="DI20" s="8" t="str">
        <f ca="1">OFFSET(Database!$F20,0,COLUMN(Database!DF20)*2-12)</f>
        <v>n.r.</v>
      </c>
      <c r="DJ20" s="8" t="str">
        <f ca="1">OFFSET(Database!$F20,0,COLUMN(Database!DG20)*2-12)</f>
        <v>n.r.</v>
      </c>
      <c r="DK20" s="8" t="str">
        <f ca="1">OFFSET(Database!$F20,0,COLUMN(Database!DH20)*2-12)</f>
        <v>n.r.</v>
      </c>
      <c r="DL20" s="8" t="str">
        <f ca="1">OFFSET(Database!$F20,0,COLUMN(Database!DI20)*2-12)</f>
        <v>n.r.</v>
      </c>
      <c r="DM20" s="8" t="str">
        <f ca="1">OFFSET(Database!$F20,0,COLUMN(Database!DJ20)*2-12)</f>
        <v>n.r.</v>
      </c>
      <c r="DN20" s="8" t="str">
        <f ca="1">OFFSET(Database!$F20,0,COLUMN(Database!DK20)*2-12)</f>
        <v>n.r.</v>
      </c>
      <c r="DO20" s="8" t="str">
        <f ca="1">OFFSET(Database!$F20,0,COLUMN(Database!DL20)*2-12)</f>
        <v>n.r.</v>
      </c>
      <c r="DP20" s="8" t="str">
        <f ca="1">OFFSET(Database!$F20,0,COLUMN(Database!DM20)*2-12)</f>
        <v>n.r.</v>
      </c>
      <c r="DQ20" s="8" t="str">
        <f ca="1">OFFSET(Database!$F20,0,COLUMN(Database!DN20)*2-12)</f>
        <v>n.r.</v>
      </c>
      <c r="DR20" s="8" t="str">
        <f ca="1">OFFSET(Database!$F20,0,COLUMN(Database!DO20)*2-12)</f>
        <v>n.r.</v>
      </c>
      <c r="DS20" s="8" t="str">
        <f ca="1">OFFSET(Database!$F20,0,COLUMN(Database!DP20)*2-12)</f>
        <v>n.r.</v>
      </c>
      <c r="DT20" s="8" t="str">
        <f ca="1">OFFSET(Database!$F20,0,COLUMN(Database!DQ20)*2-12)</f>
        <v>n.r.</v>
      </c>
      <c r="DU20" s="8">
        <f ca="1">OFFSET(Database!$F20,0,COLUMN(Database!DR20)*2-12)</f>
        <v>1.72E-2</v>
      </c>
      <c r="DV20" s="8">
        <f ca="1">OFFSET(Database!$F20,0,COLUMN(Database!DS20)*2-12)</f>
        <v>1.95E-2</v>
      </c>
      <c r="DW20" s="8" t="str">
        <f ca="1">OFFSET(Database!$F20,0,COLUMN(Database!DT20)*2-12)</f>
        <v>n.r.</v>
      </c>
      <c r="DX20" s="8" t="str">
        <f ca="1">OFFSET(Database!$F20,0,COLUMN(Database!DU20)*2-12)</f>
        <v>n.r.</v>
      </c>
      <c r="DY20" s="8" t="str">
        <f ca="1">OFFSET(Database!$F20,0,COLUMN(Database!DV20)*2-12)</f>
        <v>n.r.</v>
      </c>
      <c r="DZ20" s="8" t="str">
        <f ca="1">OFFSET(Database!$F20,0,COLUMN(Database!DW20)*2-12)</f>
        <v>n.r.</v>
      </c>
      <c r="EA20" s="8" t="str">
        <f ca="1">OFFSET(Database!$F20,0,COLUMN(Database!DX20)*2-12)</f>
        <v>n.r.</v>
      </c>
      <c r="EB20" s="8" t="str">
        <f ca="1">OFFSET(Database!$F20,0,COLUMN(Database!DY20)*2-12)</f>
        <v>n.r.</v>
      </c>
      <c r="EC20" s="8" t="str">
        <f ca="1">OFFSET(Database!$F20,0,COLUMN(Database!DZ20)*2-12)</f>
        <v>n.r.</v>
      </c>
      <c r="ED20" s="8" t="str">
        <f ca="1">OFFSET(Database!$F20,0,COLUMN(Database!EA20)*2-12)</f>
        <v>n.r.</v>
      </c>
      <c r="EE20" s="8" t="str">
        <f ca="1">OFFSET(Database!$F20,0,COLUMN(Database!EB20)*2-12)</f>
        <v>n.r.</v>
      </c>
      <c r="EF20" s="8" t="str">
        <f ca="1">OFFSET(Database!$F20,0,COLUMN(Database!EC20)*2-12)</f>
        <v>n.r.</v>
      </c>
      <c r="EG20" s="8" t="str">
        <f ca="1">OFFSET(Database!$F20,0,COLUMN(Database!ED20)*2-12)</f>
        <v>n.r.</v>
      </c>
      <c r="EH20" s="8" t="str">
        <f ca="1">OFFSET(Database!$F20,0,COLUMN(Database!EE20)*2-12)</f>
        <v>n.r.</v>
      </c>
      <c r="EI20" s="8" t="str">
        <f ca="1">OFFSET(Database!$F20,0,COLUMN(Database!EF20)*2-12)</f>
        <v>n.r.</v>
      </c>
      <c r="EJ20" s="8" t="str">
        <f ca="1">OFFSET(Database!$F20,0,COLUMN(Database!EG20)*2-12)</f>
        <v>n.r.</v>
      </c>
      <c r="EK20" s="8" t="str">
        <f ca="1">OFFSET(Database!$F20,0,COLUMN(Database!EH20)*2-12)</f>
        <v>n.r.</v>
      </c>
      <c r="EL20" s="8" t="str">
        <f ca="1">OFFSET(Database!$F20,0,COLUMN(Database!EI20)*2-12)</f>
        <v>n.r.</v>
      </c>
      <c r="EM20" s="8" t="str">
        <f ca="1">OFFSET(Database!$F20,0,COLUMN(Database!EJ20)*2-12)</f>
        <v>n.r.</v>
      </c>
      <c r="EN20" s="8" t="str">
        <f ca="1">OFFSET(Database!$F20,0,COLUMN(Database!EK20)*2-12)</f>
        <v>n.r.</v>
      </c>
      <c r="EO20" s="8" t="str">
        <f ca="1">OFFSET(Database!$F20,0,COLUMN(Database!EL20)*2-12)</f>
        <v>n.r.</v>
      </c>
      <c r="EP20" s="8" t="str">
        <f ca="1">OFFSET(Database!$F20,0,COLUMN(Database!EM20)*2-12)</f>
        <v>n.r.</v>
      </c>
      <c r="EQ20" s="8" t="str">
        <f ca="1">OFFSET(Database!$F20,0,COLUMN(Database!EN20)*2-12)</f>
        <v>n.r.</v>
      </c>
      <c r="ER20" s="8">
        <f ca="1">OFFSET(Database!$F20,0,COLUMN(Database!EO20)*2-12)</f>
        <v>463.36948699917843</v>
      </c>
      <c r="ES20" s="8">
        <f ca="1">OFFSET(Database!$F20,0,COLUMN(Database!EP20)*2-12)</f>
        <v>330.89948351736587</v>
      </c>
      <c r="ET20" s="8">
        <f ca="1">OFFSET(Database!$F20,0,COLUMN(Database!EQ20)*2-12)</f>
        <v>267.02396122701811</v>
      </c>
      <c r="EU20" s="8">
        <f ca="1">OFFSET(Database!$F20,0,COLUMN(Database!ER20)*2-12)</f>
        <v>409.97787459408045</v>
      </c>
      <c r="EV20" s="8">
        <f ca="1">OFFSET(Database!$F20,0,COLUMN(Database!ES20)*2-12)</f>
        <v>300.13640478100876</v>
      </c>
      <c r="EW20" s="8" t="str">
        <f ca="1">OFFSET(Database!$F20,0,COLUMN(Database!ET20)*2-12)</f>
        <v>n.r.</v>
      </c>
      <c r="EX20" s="8" t="str">
        <f ca="1">OFFSET(Database!$F20,0,COLUMN(Database!EU20)*2-12)</f>
        <v>n.r.</v>
      </c>
      <c r="EY20" s="8" t="str">
        <f ca="1">OFFSET(Database!$F20,0,COLUMN(Database!EV20)*2-12)</f>
        <v>n.r.</v>
      </c>
      <c r="EZ20" s="8" t="str">
        <f ca="1">OFFSET(Database!$F20,0,COLUMN(Database!EW20)*2-12)</f>
        <v>n.r.</v>
      </c>
      <c r="FA20" s="8" t="str">
        <f ca="1">OFFSET(Database!$F20,0,COLUMN(Database!EX20)*2-12)</f>
        <v>n.r.</v>
      </c>
      <c r="FB20" s="8" t="str">
        <f ca="1">OFFSET(Database!$F20,0,COLUMN(Database!EY20)*2-12)</f>
        <v>n.r.</v>
      </c>
      <c r="FC20" s="8" t="str">
        <f ca="1">OFFSET(Database!$F20,0,COLUMN(Database!EZ20)*2-12)</f>
        <v>n.r.</v>
      </c>
      <c r="FD20" s="8" t="str">
        <f ca="1">OFFSET(Database!$F20,0,COLUMN(Database!FA20)*2-12)</f>
        <v>n.d.</v>
      </c>
      <c r="FE20" s="8" t="str">
        <f ca="1">OFFSET(Database!$F20,0,COLUMN(Database!FB20)*2-12)</f>
        <v>n.d.</v>
      </c>
      <c r="FF20" s="8" t="str">
        <f ca="1">OFFSET(Database!$F20,0,COLUMN(Database!FC20)*2-12)</f>
        <v>n.d.</v>
      </c>
      <c r="FG20" s="8" t="str">
        <f ca="1">OFFSET(Database!$F20,0,COLUMN(Database!FD20)*2-12)</f>
        <v>n.r.</v>
      </c>
      <c r="FH20" s="8" t="str">
        <f ca="1">OFFSET(Database!$F20,0,COLUMN(Database!FE20)*2-12)</f>
        <v>n.r.</v>
      </c>
      <c r="FI20" s="8" t="str">
        <f ca="1">OFFSET(Database!$F20,0,COLUMN(Database!FF20)*2-12)</f>
        <v>n.r.</v>
      </c>
      <c r="FJ20" s="8" t="str">
        <f ca="1">OFFSET(Database!$F20,0,COLUMN(Database!FG20)*2-12)</f>
        <v>n.r.</v>
      </c>
      <c r="FK20" s="8" t="str">
        <f ca="1">OFFSET(Database!$F20,0,COLUMN(Database!FH20)*2-12)</f>
        <v>n.r.</v>
      </c>
      <c r="FL20" s="8" t="str">
        <f ca="1">OFFSET(Database!$F20,0,COLUMN(Database!FI20)*2-12)</f>
        <v>n.r.</v>
      </c>
      <c r="FM20" s="8" t="str">
        <f ca="1">OFFSET(Database!$F20,0,COLUMN(Database!FJ20)*2-12)</f>
        <v>n.r.</v>
      </c>
      <c r="FN20" s="8" t="str">
        <f ca="1">OFFSET(Database!$F20,0,COLUMN(Database!FK20)*2-12)</f>
        <v>n.r.</v>
      </c>
      <c r="FO20" s="8" t="str">
        <f ca="1">OFFSET(Database!$F20,0,COLUMN(Database!FL20)*2-12)</f>
        <v>n.r.</v>
      </c>
      <c r="FP20" s="8" t="str">
        <f ca="1">OFFSET(Database!$F20,0,COLUMN(Database!FM20)*2-12)</f>
        <v>n.r.</v>
      </c>
      <c r="FQ20" s="8" t="str">
        <f ca="1">OFFSET(Database!$F20,0,COLUMN(Database!FN20)*2-12)</f>
        <v>n.r.</v>
      </c>
      <c r="FR20" s="8" t="str">
        <f ca="1">OFFSET(Database!$F20,0,COLUMN(Database!FO20)*2-12)</f>
        <v>n.r.</v>
      </c>
      <c r="FS20" s="8" t="str">
        <f ca="1">OFFSET(Database!$F20,0,COLUMN(Database!FP20)*2-12)</f>
        <v>n.r.</v>
      </c>
      <c r="FT20" s="8" t="str">
        <f ca="1">OFFSET(Database!$F20,0,COLUMN(Database!FQ20)*2-12)</f>
        <v>n.r.</v>
      </c>
      <c r="FU20" s="8" t="str">
        <f ca="1">OFFSET(Database!$F20,0,COLUMN(Database!FR20)*2-12)</f>
        <v>n.r.</v>
      </c>
      <c r="FV20" s="8" t="str">
        <f ca="1">OFFSET(Database!$F20,0,COLUMN(Database!FS20)*2-12)</f>
        <v>n.r.</v>
      </c>
      <c r="FW20" s="8" t="str">
        <f ca="1">OFFSET(Database!$F20,0,COLUMN(Database!FT20)*2-12)</f>
        <v>n.r.</v>
      </c>
      <c r="FX20" s="8" t="str">
        <f ca="1">OFFSET(Database!$F20,0,COLUMN(Database!FU20)*2-12)</f>
        <v>n.r.</v>
      </c>
      <c r="FY20" s="8" t="str">
        <f ca="1">OFFSET(Database!$F20,0,COLUMN(Database!FV20)*2-12)</f>
        <v>n.r.</v>
      </c>
      <c r="FZ20" s="8" t="str">
        <f ca="1">OFFSET(Database!$F20,0,COLUMN(Database!FW20)*2-12)</f>
        <v>n.r.</v>
      </c>
      <c r="GA20" s="8" t="str">
        <f ca="1">OFFSET(Database!$F20,0,COLUMN(Database!FX20)*2-12)</f>
        <v>n.r.</v>
      </c>
      <c r="GB20" s="8" t="str">
        <f ca="1">OFFSET(Database!$F20,0,COLUMN(Database!FY20)*2-12)</f>
        <v>n.r.</v>
      </c>
      <c r="GC20" s="8" t="str">
        <f ca="1">OFFSET(Database!$F20,0,COLUMN(Database!FZ20)*2-12)</f>
        <v>n.r.</v>
      </c>
      <c r="GD20" s="8" t="str">
        <f ca="1">OFFSET(Database!$F20,0,COLUMN(Database!GA20)*2-12)</f>
        <v>n.r.</v>
      </c>
      <c r="GE20" s="8" t="str">
        <f ca="1">OFFSET(Database!$F20,0,COLUMN(Database!GB20)*2-12)</f>
        <v>n.r.</v>
      </c>
      <c r="GF20" s="8" t="str">
        <f ca="1">OFFSET(Database!$F20,0,COLUMN(Database!GC20)*2-12)</f>
        <v>n.r.</v>
      </c>
      <c r="GG20" s="8" t="str">
        <f ca="1">OFFSET(Database!$F20,0,COLUMN(Database!GD20)*2-12)</f>
        <v>n.r.</v>
      </c>
      <c r="GH20" s="8" t="str">
        <f ca="1">OFFSET(Database!$F20,0,COLUMN(Database!GE20)*2-12)</f>
        <v>n.r.</v>
      </c>
      <c r="GI20" s="8" t="str">
        <f ca="1">OFFSET(Database!$F20,0,COLUMN(Database!GF20)*2-12)</f>
        <v>n.r.</v>
      </c>
      <c r="GJ20" s="8" t="str">
        <f ca="1">OFFSET(Database!$F20,0,COLUMN(Database!GG20)*2-12)</f>
        <v>n.r.</v>
      </c>
      <c r="GK20" s="8" t="str">
        <f ca="1">OFFSET(Database!$F20,0,COLUMN(Database!GH20)*2-12)</f>
        <v>n.r.</v>
      </c>
      <c r="GL20" s="8" t="str">
        <f ca="1">OFFSET(Database!$F20,0,COLUMN(Database!GI20)*2-12)</f>
        <v>n.r.</v>
      </c>
      <c r="GM20" s="8" t="str">
        <f ca="1">OFFSET(Database!$F20,0,COLUMN(Database!GJ20)*2-12)</f>
        <v>n.r.</v>
      </c>
      <c r="GN20" s="8" t="str">
        <f ca="1">OFFSET(Database!$F20,0,COLUMN(Database!GK20)*2-12)</f>
        <v>n.r.</v>
      </c>
      <c r="GO20" s="8" t="str">
        <f ca="1">OFFSET(Database!$F20,0,COLUMN(Database!GL20)*2-12)</f>
        <v>n.d.</v>
      </c>
      <c r="GP20" s="8" t="str">
        <f ca="1">OFFSET(Database!$F20,0,COLUMN(Database!GM20)*2-12)</f>
        <v>n.d.</v>
      </c>
    </row>
    <row r="21" spans="1:198" x14ac:dyDescent="0.2">
      <c r="A21" s="50" t="str">
        <f>Database!A21</f>
        <v>L-threonine</v>
      </c>
      <c r="B21" s="1" t="s">
        <v>865</v>
      </c>
      <c r="C21" s="4" t="str">
        <f>Database!B21</f>
        <v>ɑ</v>
      </c>
      <c r="D21" s="4" t="str">
        <f>Database!C21</f>
        <v>L</v>
      </c>
      <c r="E21" s="74">
        <f>Database!D21</f>
        <v>40</v>
      </c>
      <c r="F21" s="1" t="s">
        <v>906</v>
      </c>
      <c r="G21" s="1">
        <v>6288</v>
      </c>
      <c r="H21" s="1">
        <f>Database!E21</f>
        <v>119.12</v>
      </c>
      <c r="I21" s="8" t="str">
        <f ca="1">OFFSET(Database!$F21,0,COLUMN(Database!F21)*2-12)</f>
        <v>n.r.</v>
      </c>
      <c r="J21" s="8" t="str">
        <f ca="1">OFFSET(Database!$F21,0,COLUMN(Database!G21)*2-12)</f>
        <v>n.r.</v>
      </c>
      <c r="K21" s="8" t="str">
        <f ca="1">OFFSET(Database!$F21,0,COLUMN(Database!H21)*2-12)</f>
        <v>n.r.</v>
      </c>
      <c r="L21" s="8" t="str">
        <f ca="1">OFFSET(Database!$F21,0,COLUMN(Database!I21)*2-12)</f>
        <v>n.r.</v>
      </c>
      <c r="M21" s="8" t="str">
        <f ca="1">OFFSET(Database!$F21,0,COLUMN(Database!J21)*2-12)</f>
        <v>n.r.</v>
      </c>
      <c r="N21" s="8" t="str">
        <f ca="1">OFFSET(Database!$F21,0,COLUMN(Database!K21)*2-12)</f>
        <v>n.r.</v>
      </c>
      <c r="O21" s="8" t="str">
        <f ca="1">OFFSET(Database!$F21,0,COLUMN(Database!L21)*2-12)</f>
        <v>n.r.</v>
      </c>
      <c r="P21" s="8" t="str">
        <f ca="1">OFFSET(Database!$F21,0,COLUMN(Database!M21)*2-12)</f>
        <v>&lt;0.01</v>
      </c>
      <c r="Q21" s="8">
        <f ca="1">OFFSET(Database!$F21,0,COLUMN(Database!N21)*2-12)</f>
        <v>0.91</v>
      </c>
      <c r="R21" s="8" t="str">
        <f ca="1">OFFSET(Database!$F21,0,COLUMN(Database!O21)*2-12)</f>
        <v>n.r.</v>
      </c>
      <c r="S21" s="8" t="str">
        <f ca="1">OFFSET(Database!$F21,0,COLUMN(Database!P21)*2-12)</f>
        <v>n.r.</v>
      </c>
      <c r="T21" s="8" t="str">
        <f ca="1">OFFSET(Database!$F21,0,COLUMN(Database!Q21)*2-12)</f>
        <v>n.r.</v>
      </c>
      <c r="U21" s="8" t="str">
        <f ca="1">OFFSET(Database!$F21,0,COLUMN(Database!R21)*2-12)</f>
        <v>n.r.</v>
      </c>
      <c r="V21" s="8" t="str">
        <f ca="1">OFFSET(Database!$F21,0,COLUMN(Database!S21)*2-12)</f>
        <v>n.r.</v>
      </c>
      <c r="W21" s="8" t="str">
        <f ca="1">OFFSET(Database!$F21,0,COLUMN(Database!T21)*2-12)</f>
        <v>n.r.</v>
      </c>
      <c r="X21" s="8" t="str">
        <f ca="1">OFFSET(Database!$F21,0,COLUMN(Database!U21)*2-12)</f>
        <v>n.r.</v>
      </c>
      <c r="Y21" s="8">
        <f ca="1">OFFSET(Database!$F21,0,COLUMN(Database!V21)*2-12)</f>
        <v>2.21</v>
      </c>
      <c r="Z21" s="8">
        <f ca="1">OFFSET(Database!$F21,0,COLUMN(Database!W21)*2-12)</f>
        <v>0.32</v>
      </c>
      <c r="AA21" s="8" t="str">
        <f ca="1">OFFSET(Database!$F21,0,COLUMN(Database!X21)*2-12)</f>
        <v>n.r.</v>
      </c>
      <c r="AB21" s="8">
        <f ca="1">OFFSET(Database!$F21,0,COLUMN(Database!Y21)*2-12)</f>
        <v>1.4523169912693081</v>
      </c>
      <c r="AC21" s="8" t="str">
        <f ca="1">OFFSET(Database!$F21,0,COLUMN(Database!Z21)*2-12)</f>
        <v>n.r.</v>
      </c>
      <c r="AD21" s="8" t="str">
        <f ca="1">OFFSET(Database!$F21,0,COLUMN(Database!AA21)*2-12)</f>
        <v>n.r.</v>
      </c>
      <c r="AE21" s="8" t="str">
        <f ca="1">OFFSET(Database!$F21,0,COLUMN(Database!AB21)*2-12)</f>
        <v>n.r.</v>
      </c>
      <c r="AF21" s="8" t="str">
        <f ca="1">OFFSET(Database!$F21,0,COLUMN(Database!AC21)*2-12)</f>
        <v>n.d.</v>
      </c>
      <c r="AG21" s="8" t="str">
        <f ca="1">OFFSET(Database!$F21,0,COLUMN(Database!AD21)*2-12)</f>
        <v>n.d.</v>
      </c>
      <c r="AH21" s="8" t="str">
        <f ca="1">OFFSET(Database!$F21,0,COLUMN(Database!AE21)*2-12)</f>
        <v>n.r.</v>
      </c>
      <c r="AI21" s="8" t="str">
        <f ca="1">OFFSET(Database!$F21,0,COLUMN(Database!AF21)*2-12)</f>
        <v>&lt;0.07</v>
      </c>
      <c r="AJ21" s="8">
        <f ca="1">OFFSET(Database!$F21,0,COLUMN(Database!AG21)*2-12)</f>
        <v>0.66</v>
      </c>
      <c r="AK21" s="8">
        <f ca="1">OFFSET(Database!$F21,0,COLUMN(Database!AH21)*2-12)</f>
        <v>5.83</v>
      </c>
      <c r="AL21" s="8" t="str">
        <f ca="1">OFFSET(Database!$F21,0,COLUMN(Database!AI21)*2-12)</f>
        <v>n.r.</v>
      </c>
      <c r="AM21" s="8">
        <f ca="1">OFFSET(Database!$F21,0,COLUMN(Database!AJ21)*2-12)</f>
        <v>14.8</v>
      </c>
      <c r="AN21" s="8">
        <f ca="1">OFFSET(Database!$F21,0,COLUMN(Database!AK21)*2-12)</f>
        <v>56</v>
      </c>
      <c r="AO21" s="8" t="str">
        <f ca="1">OFFSET(Database!$F21,0,COLUMN(Database!AL21)*2-12)</f>
        <v>n.r.</v>
      </c>
      <c r="AP21" s="8" t="str">
        <f ca="1">OFFSET(Database!$F21,0,COLUMN(Database!AM21)*2-12)</f>
        <v>n.r.</v>
      </c>
      <c r="AQ21" s="8" t="str">
        <f ca="1">OFFSET(Database!$F21,0,COLUMN(Database!AN21)*2-12)</f>
        <v>n.r.</v>
      </c>
      <c r="AR21" s="8" t="str">
        <f ca="1">OFFSET(Database!$F21,0,COLUMN(Database!AO21)*2-12)</f>
        <v>n.r.</v>
      </c>
      <c r="AS21" s="8" t="str">
        <f ca="1">OFFSET(Database!$F21,0,COLUMN(Database!AP21)*2-12)</f>
        <v>n.r.</v>
      </c>
      <c r="AT21" s="8" t="str">
        <f ca="1">OFFSET(Database!$F21,0,COLUMN(Database!AQ21)*2-12)</f>
        <v>n.r.</v>
      </c>
      <c r="AU21" s="8" t="str">
        <f ca="1">OFFSET(Database!$F21,0,COLUMN(Database!AR21)*2-12)</f>
        <v>n.r.</v>
      </c>
      <c r="AV21" s="8" t="str">
        <f ca="1">OFFSET(Database!$F21,0,COLUMN(Database!AS21)*2-12)</f>
        <v>n.r.</v>
      </c>
      <c r="AW21" s="8" t="str">
        <f ca="1">OFFSET(Database!$F21,0,COLUMN(Database!AT21)*2-12)</f>
        <v>n.r.</v>
      </c>
      <c r="AX21" s="8" t="str">
        <f ca="1">OFFSET(Database!$F21,0,COLUMN(Database!AU21)*2-12)</f>
        <v>&lt;0.0126</v>
      </c>
      <c r="AY21" s="8" t="str">
        <f ca="1">OFFSET(Database!$F21,0,COLUMN(Database!AV21)*2-12)</f>
        <v>n.r.</v>
      </c>
      <c r="AZ21" s="8" t="str">
        <f ca="1">OFFSET(Database!$F21,0,COLUMN(Database!AW21)*2-12)</f>
        <v>n.r.</v>
      </c>
      <c r="BA21" s="8" t="str">
        <f ca="1">OFFSET(Database!$F21,0,COLUMN(Database!AX21)*2-12)</f>
        <v>n.r.</v>
      </c>
      <c r="BB21" s="8" t="str">
        <f ca="1">OFFSET(Database!$F21,0,COLUMN(Database!AY21)*2-12)</f>
        <v>n.r.</v>
      </c>
      <c r="BC21" s="8" t="str">
        <f ca="1">OFFSET(Database!$F21,0,COLUMN(Database!AZ21)*2-12)</f>
        <v>n.r.</v>
      </c>
      <c r="BD21" s="8" t="str">
        <f ca="1">OFFSET(Database!$F21,0,COLUMN(Database!BA21)*2-12)</f>
        <v>n.r.</v>
      </c>
      <c r="BE21" s="8" t="str">
        <f ca="1">OFFSET(Database!$F21,0,COLUMN(Database!BB21)*2-12)</f>
        <v>n.r.</v>
      </c>
      <c r="BF21" s="8" t="str">
        <f ca="1">OFFSET(Database!$F21,0,COLUMN(Database!BC21)*2-12)</f>
        <v>n.r.</v>
      </c>
      <c r="BG21" s="8" t="str">
        <f ca="1">OFFSET(Database!$F21,0,COLUMN(Database!BD21)*2-12)</f>
        <v>n.r.</v>
      </c>
      <c r="BH21" s="8" t="str">
        <f ca="1">OFFSET(Database!$F21,0,COLUMN(Database!BE21)*2-12)</f>
        <v>n.r.</v>
      </c>
      <c r="BI21" s="8" t="str">
        <f ca="1">OFFSET(Database!$F21,0,COLUMN(Database!BF21)*2-12)</f>
        <v>n.r.</v>
      </c>
      <c r="BJ21" s="8" t="str">
        <f ca="1">OFFSET(Database!$F21,0,COLUMN(Database!BG21)*2-12)</f>
        <v>n.r.</v>
      </c>
      <c r="BK21" s="8" t="str">
        <f ca="1">OFFSET(Database!$F21,0,COLUMN(Database!BH21)*2-12)</f>
        <v>n.r.</v>
      </c>
      <c r="BL21" s="8" t="str">
        <f ca="1">OFFSET(Database!$F21,0,COLUMN(Database!BI21)*2-12)</f>
        <v>n.r.</v>
      </c>
      <c r="BM21" s="8" t="str">
        <f ca="1">OFFSET(Database!$F21,0,COLUMN(Database!BJ21)*2-12)</f>
        <v>n.r.</v>
      </c>
      <c r="BN21" s="8" t="str">
        <f ca="1">OFFSET(Database!$F21,0,COLUMN(Database!BK21)*2-12)</f>
        <v>n.r.</v>
      </c>
      <c r="BO21" s="8" t="str">
        <f ca="1">OFFSET(Database!$F21,0,COLUMN(Database!BL21)*2-12)</f>
        <v>n.r.</v>
      </c>
      <c r="BP21" s="8" t="str">
        <f ca="1">OFFSET(Database!$F21,0,COLUMN(Database!BM21)*2-12)</f>
        <v>n.r.</v>
      </c>
      <c r="BQ21" s="8" t="str">
        <f ca="1">OFFSET(Database!$F21,0,COLUMN(Database!BN21)*2-12)</f>
        <v>n.r.</v>
      </c>
      <c r="BR21" s="8" t="str">
        <f ca="1">OFFSET(Database!$F21,0,COLUMN(Database!BO21)*2-12)</f>
        <v>n.r.</v>
      </c>
      <c r="BS21" s="8" t="str">
        <f ca="1">OFFSET(Database!$F21,0,COLUMN(Database!BP21)*2-12)</f>
        <v>n.r.</v>
      </c>
      <c r="BT21" s="8" t="str">
        <f ca="1">OFFSET(Database!$F21,0,COLUMN(Database!BQ21)*2-12)</f>
        <v>n.r.</v>
      </c>
      <c r="BU21" s="8" t="str">
        <f ca="1">OFFSET(Database!$F21,0,COLUMN(Database!BR21)*2-12)</f>
        <v>n.r.</v>
      </c>
      <c r="BV21" s="8" t="str">
        <f ca="1">OFFSET(Database!$F21,0,COLUMN(Database!BS21)*2-12)</f>
        <v>n.r.</v>
      </c>
      <c r="BW21" s="8" t="str">
        <f ca="1">OFFSET(Database!$F21,0,COLUMN(Database!BT21)*2-12)</f>
        <v>n.r.</v>
      </c>
      <c r="BX21" s="8" t="str">
        <f ca="1">OFFSET(Database!$F21,0,COLUMN(Database!BU21)*2-12)</f>
        <v>n.r.</v>
      </c>
      <c r="BY21" s="8" t="str">
        <f ca="1">OFFSET(Database!$F21,0,COLUMN(Database!BV21)*2-12)</f>
        <v>n.r.</v>
      </c>
      <c r="BZ21" s="8" t="str">
        <f ca="1">OFFSET(Database!$F21,0,COLUMN(Database!BW21)*2-12)</f>
        <v>n.r.</v>
      </c>
      <c r="CA21" s="8" t="str">
        <f ca="1">OFFSET(Database!$F21,0,COLUMN(Database!BX21)*2-12)</f>
        <v>n.r.</v>
      </c>
      <c r="CB21" s="8" t="str">
        <f ca="1">OFFSET(Database!$F21,0,COLUMN(Database!BY21)*2-12)</f>
        <v>&lt;0.0168</v>
      </c>
      <c r="CC21" s="8" t="str">
        <f ca="1">OFFSET(Database!$F21,0,COLUMN(Database!BZ21)*2-12)</f>
        <v>&lt;0.0168</v>
      </c>
      <c r="CD21" s="8">
        <f ca="1">OFFSET(Database!$F21,0,COLUMN(Database!CA21)*2-12)</f>
        <v>0.50369375419744788</v>
      </c>
      <c r="CE21" s="8">
        <f ca="1">OFFSET(Database!$F21,0,COLUMN(Database!CB21)*2-12)</f>
        <v>9.2343854936198788E-2</v>
      </c>
      <c r="CF21" s="8">
        <f ca="1">OFFSET(Database!$F21,0,COLUMN(Database!CC21)*2-12)</f>
        <v>1.1752854264607118E-2</v>
      </c>
      <c r="CG21" s="8">
        <f ca="1">OFFSET(Database!$F21,0,COLUMN(Database!CD21)*2-12)</f>
        <v>2.5184687709872398E-2</v>
      </c>
      <c r="CH21" s="8" t="str">
        <f ca="1">OFFSET(Database!$F21,0,COLUMN(Database!CE21)*2-12)</f>
        <v>&lt;0.0084</v>
      </c>
      <c r="CI21" s="8">
        <f ca="1">OFFSET(Database!$F21,0,COLUMN(Database!CF21)*2-12)</f>
        <v>0.69677635997313636</v>
      </c>
      <c r="CJ21" s="8">
        <f ca="1">OFFSET(Database!$F21,0,COLUMN(Database!CG21)*2-12)</f>
        <v>0.12592343854936197</v>
      </c>
      <c r="CK21" s="8">
        <f ca="1">OFFSET(Database!$F21,0,COLUMN(Database!CH21)*2-12)</f>
        <v>3.7777031564808598E-2</v>
      </c>
      <c r="CL21" s="8">
        <f ca="1">OFFSET(Database!$F21,0,COLUMN(Database!CI21)*2-12)</f>
        <v>0.10073875083948959</v>
      </c>
      <c r="CM21" s="8">
        <f ca="1">OFFSET(Database!$F21,0,COLUMN(Database!CJ21)*2-12)</f>
        <v>0.21826729348556076</v>
      </c>
      <c r="CN21" s="8">
        <f ca="1">OFFSET(Database!$F21,0,COLUMN(Database!CK21)*2-12)</f>
        <v>0.12592343854936197</v>
      </c>
      <c r="CO21" s="8">
        <f ca="1">OFFSET(Database!$F21,0,COLUMN(Database!CL21)*2-12)</f>
        <v>6.4640698455339152E-2</v>
      </c>
      <c r="CP21" s="8" t="str">
        <f ca="1">OFFSET(Database!$F21,0,COLUMN(Database!CM21)*2-12)</f>
        <v>n.r.</v>
      </c>
      <c r="CQ21" s="8" t="str">
        <f ca="1">OFFSET(Database!$F21,0,COLUMN(Database!CN21)*2-12)</f>
        <v>n.r.</v>
      </c>
      <c r="CR21" s="8" t="str">
        <f ca="1">OFFSET(Database!$F21,0,COLUMN(Database!CO21)*2-12)</f>
        <v>n.r.</v>
      </c>
      <c r="CS21" s="8" t="str">
        <f ca="1">OFFSET(Database!$F21,0,COLUMN(Database!CP21)*2-12)</f>
        <v>n.r.</v>
      </c>
      <c r="CT21" s="8" t="str">
        <f ca="1">OFFSET(Database!$F21,0,COLUMN(Database!CQ21)*2-12)</f>
        <v>n.r.</v>
      </c>
      <c r="CU21" s="8" t="str">
        <f ca="1">OFFSET(Database!$F21,0,COLUMN(Database!CR21)*2-12)</f>
        <v>n.r.</v>
      </c>
      <c r="CV21" s="8" t="str">
        <f ca="1">OFFSET(Database!$F21,0,COLUMN(Database!CS21)*2-12)</f>
        <v>n.r.</v>
      </c>
      <c r="CW21" s="8" t="str">
        <f ca="1">OFFSET(Database!$F21,0,COLUMN(Database!CT21)*2-12)</f>
        <v>n.r.</v>
      </c>
      <c r="CX21" s="8" t="str">
        <f ca="1">OFFSET(Database!$F21,0,COLUMN(Database!CU21)*2-12)</f>
        <v>n.r.</v>
      </c>
      <c r="CY21" s="8" t="str">
        <f ca="1">OFFSET(Database!$F21,0,COLUMN(Database!CV21)*2-12)</f>
        <v>n.r.</v>
      </c>
      <c r="CZ21" s="8" t="str">
        <f ca="1">OFFSET(Database!$F21,0,COLUMN(Database!CW21)*2-12)</f>
        <v>n.r.</v>
      </c>
      <c r="DA21" s="8" t="str">
        <f ca="1">OFFSET(Database!$F21,0,COLUMN(Database!CX21)*2-12)</f>
        <v>n.r.</v>
      </c>
      <c r="DB21" s="8" t="str">
        <f ca="1">OFFSET(Database!$F21,0,COLUMN(Database!CY21)*2-12)</f>
        <v>&lt;0.04</v>
      </c>
      <c r="DC21" s="8" t="str">
        <f ca="1">OFFSET(Database!$F21,0,COLUMN(Database!CZ21)*2-12)</f>
        <v>&lt;0.04</v>
      </c>
      <c r="DD21" s="8" t="str">
        <f ca="1">OFFSET(Database!$F21,0,COLUMN(Database!DA21)*2-12)</f>
        <v>&lt;0.2</v>
      </c>
      <c r="DE21" s="8" t="str">
        <f ca="1">OFFSET(Database!$F21,0,COLUMN(Database!DB21)*2-12)</f>
        <v>n.r.</v>
      </c>
      <c r="DF21" s="8">
        <f ca="1">OFFSET(Database!$F21,0,COLUMN(Database!DC21)*2-12)</f>
        <v>8.2926000000000002</v>
      </c>
      <c r="DG21" s="8">
        <f ca="1">OFFSET(Database!$F21,0,COLUMN(Database!DD21)*2-12)</f>
        <v>7.2422000000000004</v>
      </c>
      <c r="DH21" s="8">
        <f ca="1">OFFSET(Database!$F21,0,COLUMN(Database!DE21)*2-12)</f>
        <v>35.299300000000002</v>
      </c>
      <c r="DI21" s="8">
        <f ca="1">OFFSET(Database!$F21,0,COLUMN(Database!DF21)*2-12)</f>
        <v>39.433700000000002</v>
      </c>
      <c r="DJ21" s="8">
        <f ca="1">OFFSET(Database!$F21,0,COLUMN(Database!DG21)*2-12)</f>
        <v>22.278700000000001</v>
      </c>
      <c r="DK21" s="8">
        <f ca="1">OFFSET(Database!$F21,0,COLUMN(Database!DH21)*2-12)</f>
        <v>20.136900000000001</v>
      </c>
      <c r="DL21" s="8">
        <f ca="1">OFFSET(Database!$F21,0,COLUMN(Database!DI21)*2-12)</f>
        <v>1.5384</v>
      </c>
      <c r="DM21" s="8">
        <f ca="1">OFFSET(Database!$F21,0,COLUMN(Database!DJ21)*2-12)</f>
        <v>24.4815</v>
      </c>
      <c r="DN21" s="8" t="str">
        <f ca="1">OFFSET(Database!$F21,0,COLUMN(Database!DK21)*2-12)</f>
        <v>n.r.</v>
      </c>
      <c r="DO21" s="8" t="str">
        <f ca="1">OFFSET(Database!$F21,0,COLUMN(Database!DL21)*2-12)</f>
        <v>n.r.</v>
      </c>
      <c r="DP21" s="8" t="str">
        <f ca="1">OFFSET(Database!$F21,0,COLUMN(Database!DM21)*2-12)</f>
        <v>n.r.</v>
      </c>
      <c r="DQ21" s="8" t="str">
        <f ca="1">OFFSET(Database!$F21,0,COLUMN(Database!DN21)*2-12)</f>
        <v>n.r.</v>
      </c>
      <c r="DR21" s="8" t="str">
        <f ca="1">OFFSET(Database!$F21,0,COLUMN(Database!DO21)*2-12)</f>
        <v>n.r.</v>
      </c>
      <c r="DS21" s="8" t="str">
        <f ca="1">OFFSET(Database!$F21,0,COLUMN(Database!DP21)*2-12)</f>
        <v>n.r.</v>
      </c>
      <c r="DT21" s="8" t="str">
        <f ca="1">OFFSET(Database!$F21,0,COLUMN(Database!DQ21)*2-12)</f>
        <v>n.r.</v>
      </c>
      <c r="DU21" s="8">
        <f ca="1">OFFSET(Database!$F21,0,COLUMN(Database!DR21)*2-12)</f>
        <v>0.2676</v>
      </c>
      <c r="DV21" s="8" t="str">
        <f ca="1">OFFSET(Database!$F21,0,COLUMN(Database!DS21)*2-12)</f>
        <v>b.b.</v>
      </c>
      <c r="DW21" s="8" t="str">
        <f ca="1">OFFSET(Database!$F21,0,COLUMN(Database!DT21)*2-12)</f>
        <v>n.r.</v>
      </c>
      <c r="DX21" s="8" t="str">
        <f ca="1">OFFSET(Database!$F21,0,COLUMN(Database!DU21)*2-12)</f>
        <v>n.r.</v>
      </c>
      <c r="DY21" s="8" t="str">
        <f ca="1">OFFSET(Database!$F21,0,COLUMN(Database!DV21)*2-12)</f>
        <v>n.r.</v>
      </c>
      <c r="DZ21" s="8" t="str">
        <f ca="1">OFFSET(Database!$F21,0,COLUMN(Database!DW21)*2-12)</f>
        <v>n.r.</v>
      </c>
      <c r="EA21" s="8" t="str">
        <f ca="1">OFFSET(Database!$F21,0,COLUMN(Database!DX21)*2-12)</f>
        <v>n.r.</v>
      </c>
      <c r="EB21" s="8" t="str">
        <f ca="1">OFFSET(Database!$F21,0,COLUMN(Database!DY21)*2-12)</f>
        <v>n.r.</v>
      </c>
      <c r="EC21" s="8" t="str">
        <f ca="1">OFFSET(Database!$F21,0,COLUMN(Database!DZ21)*2-12)</f>
        <v>n.r.</v>
      </c>
      <c r="ED21" s="8" t="str">
        <f ca="1">OFFSET(Database!$F21,0,COLUMN(Database!EA21)*2-12)</f>
        <v>n.r.</v>
      </c>
      <c r="EE21" s="8" t="str">
        <f ca="1">OFFSET(Database!$F21,0,COLUMN(Database!EB21)*2-12)</f>
        <v>n.r.</v>
      </c>
      <c r="EF21" s="8" t="str">
        <f ca="1">OFFSET(Database!$F21,0,COLUMN(Database!EC21)*2-12)</f>
        <v>n.r.</v>
      </c>
      <c r="EG21" s="8" t="str">
        <f ca="1">OFFSET(Database!$F21,0,COLUMN(Database!ED21)*2-12)</f>
        <v>n.r.</v>
      </c>
      <c r="EH21" s="8" t="str">
        <f ca="1">OFFSET(Database!$F21,0,COLUMN(Database!EE21)*2-12)</f>
        <v>n.r.</v>
      </c>
      <c r="EI21" s="8" t="str">
        <f ca="1">OFFSET(Database!$F21,0,COLUMN(Database!EF21)*2-12)</f>
        <v>n.r.</v>
      </c>
      <c r="EJ21" s="8" t="str">
        <f ca="1">OFFSET(Database!$F21,0,COLUMN(Database!EG21)*2-12)</f>
        <v>n.r.</v>
      </c>
      <c r="EK21" s="8" t="str">
        <f ca="1">OFFSET(Database!$F21,0,COLUMN(Database!EH21)*2-12)</f>
        <v>n.r.</v>
      </c>
      <c r="EL21" s="8" t="str">
        <f ca="1">OFFSET(Database!$F21,0,COLUMN(Database!EI21)*2-12)</f>
        <v>n.r.</v>
      </c>
      <c r="EM21" s="8" t="str">
        <f ca="1">OFFSET(Database!$F21,0,COLUMN(Database!EJ21)*2-12)</f>
        <v>n.r.</v>
      </c>
      <c r="EN21" s="8" t="str">
        <f ca="1">OFFSET(Database!$F21,0,COLUMN(Database!EK21)*2-12)</f>
        <v>n.r.</v>
      </c>
      <c r="EO21" s="8" t="str">
        <f ca="1">OFFSET(Database!$F21,0,COLUMN(Database!EL21)*2-12)</f>
        <v>n.r.</v>
      </c>
      <c r="EP21" s="8" t="str">
        <f ca="1">OFFSET(Database!$F21,0,COLUMN(Database!EM21)*2-12)</f>
        <v>n.r.</v>
      </c>
      <c r="EQ21" s="8" t="str">
        <f ca="1">OFFSET(Database!$F21,0,COLUMN(Database!EN21)*2-12)</f>
        <v>n.r.</v>
      </c>
      <c r="ER21" s="8">
        <f ca="1">OFFSET(Database!$F21,0,COLUMN(Database!EO21)*2-12)</f>
        <v>1238.3713260584107</v>
      </c>
      <c r="ES21" s="8">
        <f ca="1">OFFSET(Database!$F21,0,COLUMN(Database!EP21)*2-12)</f>
        <v>842.19559292027952</v>
      </c>
      <c r="ET21" s="8">
        <f ca="1">OFFSET(Database!$F21,0,COLUMN(Database!EQ21)*2-12)</f>
        <v>934.10258124026393</v>
      </c>
      <c r="EU21" s="8">
        <f ca="1">OFFSET(Database!$F21,0,COLUMN(Database!ER21)*2-12)</f>
        <v>5253.2015397846035</v>
      </c>
      <c r="EV21" s="8">
        <f ca="1">OFFSET(Database!$F21,0,COLUMN(Database!ES21)*2-12)</f>
        <v>1170.0479725169848</v>
      </c>
      <c r="EW21" s="8" t="str">
        <f ca="1">OFFSET(Database!$F21,0,COLUMN(Database!ET21)*2-12)</f>
        <v>n.r.</v>
      </c>
      <c r="EX21" s="8" t="str">
        <f ca="1">OFFSET(Database!$F21,0,COLUMN(Database!EU21)*2-12)</f>
        <v>n.r.</v>
      </c>
      <c r="EY21" s="8" t="str">
        <f ca="1">OFFSET(Database!$F21,0,COLUMN(Database!EV21)*2-12)</f>
        <v>n.r.</v>
      </c>
      <c r="EZ21" s="8" t="str">
        <f ca="1">OFFSET(Database!$F21,0,COLUMN(Database!EW21)*2-12)</f>
        <v>n.r.</v>
      </c>
      <c r="FA21" s="8" t="str">
        <f ca="1">OFFSET(Database!$F21,0,COLUMN(Database!EX21)*2-12)</f>
        <v>n.r.</v>
      </c>
      <c r="FB21" s="8" t="str">
        <f ca="1">OFFSET(Database!$F21,0,COLUMN(Database!EY21)*2-12)</f>
        <v>n.r.</v>
      </c>
      <c r="FC21" s="8" t="str">
        <f ca="1">OFFSET(Database!$F21,0,COLUMN(Database!EZ21)*2-12)</f>
        <v>n.r.</v>
      </c>
      <c r="FD21" s="8">
        <f ca="1">OFFSET(Database!$F21,0,COLUMN(Database!FA21)*2-12)</f>
        <v>837.9</v>
      </c>
      <c r="FE21" s="8">
        <f ca="1">OFFSET(Database!$F21,0,COLUMN(Database!FB21)*2-12)</f>
        <v>1644.3</v>
      </c>
      <c r="FF21" s="8">
        <f ca="1">OFFSET(Database!$F21,0,COLUMN(Database!FC21)*2-12)</f>
        <v>1564</v>
      </c>
      <c r="FG21" s="8" t="str">
        <f ca="1">OFFSET(Database!$F21,0,COLUMN(Database!FD21)*2-12)</f>
        <v>n.r.</v>
      </c>
      <c r="FH21" s="8">
        <f ca="1">OFFSET(Database!$F21,0,COLUMN(Database!FE21)*2-12)</f>
        <v>1300</v>
      </c>
      <c r="FI21" s="8">
        <f ca="1">OFFSET(Database!$F21,0,COLUMN(Database!FF21)*2-12)</f>
        <v>250</v>
      </c>
      <c r="FJ21" s="8">
        <f ca="1">OFFSET(Database!$F21,0,COLUMN(Database!FG21)*2-12)</f>
        <v>420</v>
      </c>
      <c r="FK21" s="8" t="str">
        <f ca="1">OFFSET(Database!$F21,0,COLUMN(Database!FH21)*2-12)</f>
        <v>n.r.</v>
      </c>
      <c r="FL21" s="8" t="str">
        <f ca="1">OFFSET(Database!$F21,0,COLUMN(Database!FI21)*2-12)</f>
        <v>n.r.</v>
      </c>
      <c r="FM21" s="8" t="str">
        <f ca="1">OFFSET(Database!$F21,0,COLUMN(Database!FJ21)*2-12)</f>
        <v>n.r.</v>
      </c>
      <c r="FN21" s="8" t="str">
        <f ca="1">OFFSET(Database!$F21,0,COLUMN(Database!FK21)*2-12)</f>
        <v>n.r.</v>
      </c>
      <c r="FO21" s="8" t="str">
        <f ca="1">OFFSET(Database!$F21,0,COLUMN(Database!FL21)*2-12)</f>
        <v>n.r.</v>
      </c>
      <c r="FP21" s="8" t="str">
        <f ca="1">OFFSET(Database!$F21,0,COLUMN(Database!FM21)*2-12)</f>
        <v>n.r.</v>
      </c>
      <c r="FQ21" s="8" t="str">
        <f ca="1">OFFSET(Database!$F21,0,COLUMN(Database!FN21)*2-12)</f>
        <v>n.r.</v>
      </c>
      <c r="FR21" s="8" t="str">
        <f ca="1">OFFSET(Database!$F21,0,COLUMN(Database!FO21)*2-12)</f>
        <v>n.r.</v>
      </c>
      <c r="FS21" s="8" t="str">
        <f ca="1">OFFSET(Database!$F21,0,COLUMN(Database!FP21)*2-12)</f>
        <v>n.r.</v>
      </c>
      <c r="FT21" s="8" t="str">
        <f ca="1">OFFSET(Database!$F21,0,COLUMN(Database!FQ21)*2-12)</f>
        <v>n.r.</v>
      </c>
      <c r="FU21" s="8" t="str">
        <f ca="1">OFFSET(Database!$F21,0,COLUMN(Database!FR21)*2-12)</f>
        <v>n.r.</v>
      </c>
      <c r="FV21" s="8" t="str">
        <f ca="1">OFFSET(Database!$F21,0,COLUMN(Database!FS21)*2-12)</f>
        <v>n.r.</v>
      </c>
      <c r="FW21" s="8" t="str">
        <f ca="1">OFFSET(Database!$F21,0,COLUMN(Database!FT21)*2-12)</f>
        <v>n.r.</v>
      </c>
      <c r="FX21" s="8" t="str">
        <f ca="1">OFFSET(Database!$F21,0,COLUMN(Database!FU21)*2-12)</f>
        <v>n.r.</v>
      </c>
      <c r="FY21" s="8" t="str">
        <f ca="1">OFFSET(Database!$F21,0,COLUMN(Database!FV21)*2-12)</f>
        <v>n.r.</v>
      </c>
      <c r="FZ21" s="8" t="str">
        <f ca="1">OFFSET(Database!$F21,0,COLUMN(Database!FW21)*2-12)</f>
        <v>n.r.</v>
      </c>
      <c r="GA21" s="8" t="str">
        <f ca="1">OFFSET(Database!$F21,0,COLUMN(Database!FX21)*2-12)</f>
        <v>n.r.</v>
      </c>
      <c r="GB21" s="8" t="str">
        <f ca="1">OFFSET(Database!$F21,0,COLUMN(Database!FY21)*2-12)</f>
        <v>n.r.</v>
      </c>
      <c r="GC21" s="8" t="str">
        <f ca="1">OFFSET(Database!$F21,0,COLUMN(Database!FZ21)*2-12)</f>
        <v>n.r.</v>
      </c>
      <c r="GD21" s="8" t="str">
        <f ca="1">OFFSET(Database!$F21,0,COLUMN(Database!GA21)*2-12)</f>
        <v>n.r.</v>
      </c>
      <c r="GE21" s="8" t="str">
        <f ca="1">OFFSET(Database!$F21,0,COLUMN(Database!GB21)*2-12)</f>
        <v>n.r.</v>
      </c>
      <c r="GF21" s="8" t="str">
        <f ca="1">OFFSET(Database!$F21,0,COLUMN(Database!GC21)*2-12)</f>
        <v>n.r.</v>
      </c>
      <c r="GG21" s="8" t="str">
        <f ca="1">OFFSET(Database!$F21,0,COLUMN(Database!GD21)*2-12)</f>
        <v>n.r.</v>
      </c>
      <c r="GH21" s="8" t="str">
        <f ca="1">OFFSET(Database!$F21,0,COLUMN(Database!GE21)*2-12)</f>
        <v>n.r.</v>
      </c>
      <c r="GI21" s="8" t="str">
        <f ca="1">OFFSET(Database!$F21,0,COLUMN(Database!GF21)*2-12)</f>
        <v>n.r.</v>
      </c>
      <c r="GJ21" s="8" t="str">
        <f ca="1">OFFSET(Database!$F21,0,COLUMN(Database!GG21)*2-12)</f>
        <v>n.r.</v>
      </c>
      <c r="GK21" s="8" t="str">
        <f ca="1">OFFSET(Database!$F21,0,COLUMN(Database!GH21)*2-12)</f>
        <v>n.r.</v>
      </c>
      <c r="GL21" s="8" t="str">
        <f ca="1">OFFSET(Database!$F21,0,COLUMN(Database!GI21)*2-12)</f>
        <v>n.r.</v>
      </c>
      <c r="GM21" s="8" t="str">
        <f ca="1">OFFSET(Database!$F21,0,COLUMN(Database!GJ21)*2-12)</f>
        <v>n.r.</v>
      </c>
      <c r="GN21" s="8" t="str">
        <f ca="1">OFFSET(Database!$F21,0,COLUMN(Database!GK21)*2-12)</f>
        <v>n.r.</v>
      </c>
      <c r="GO21" s="8" t="str">
        <f ca="1">OFFSET(Database!$F21,0,COLUMN(Database!GL21)*2-12)</f>
        <v>tr.</v>
      </c>
      <c r="GP21" s="8">
        <f ca="1">OFFSET(Database!$F21,0,COLUMN(Database!GM21)*2-12)</f>
        <v>57.924781732706514</v>
      </c>
    </row>
    <row r="22" spans="1:198" x14ac:dyDescent="0.2">
      <c r="A22" s="50" t="str">
        <f>Database!A22</f>
        <v>threonine</v>
      </c>
      <c r="B22" s="1" t="s">
        <v>865</v>
      </c>
      <c r="C22" s="4" t="str">
        <f>Database!B22</f>
        <v>ɑ</v>
      </c>
      <c r="D22" s="4" t="str">
        <f>Database!C22</f>
        <v>Both</v>
      </c>
      <c r="E22" s="74">
        <f>Database!D22</f>
        <v>51</v>
      </c>
      <c r="F22" s="1" t="s">
        <v>992</v>
      </c>
      <c r="G22" s="1" t="s">
        <v>1135</v>
      </c>
      <c r="H22" s="1">
        <f>Database!E22</f>
        <v>119.12</v>
      </c>
      <c r="I22" s="8" t="str">
        <f ca="1">OFFSET(Database!$F22,0,COLUMN(Database!F22)*2-12)</f>
        <v>n.r.</v>
      </c>
      <c r="J22" s="8" t="str">
        <f ca="1">OFFSET(Database!$F22,0,COLUMN(Database!G22)*2-12)</f>
        <v>n.r.</v>
      </c>
      <c r="K22" s="8" t="str">
        <f ca="1">OFFSET(Database!$F22,0,COLUMN(Database!H22)*2-12)</f>
        <v>n.r.</v>
      </c>
      <c r="L22" s="8" t="str">
        <f ca="1">OFFSET(Database!$F22,0,COLUMN(Database!I22)*2-12)</f>
        <v>n.r.</v>
      </c>
      <c r="M22" s="8" t="str">
        <f ca="1">OFFSET(Database!$F22,0,COLUMN(Database!J22)*2-12)</f>
        <v>n.r.</v>
      </c>
      <c r="N22" s="8" t="str">
        <f ca="1">OFFSET(Database!$F22,0,COLUMN(Database!K22)*2-12)</f>
        <v>n.r.</v>
      </c>
      <c r="O22" s="8" t="str">
        <f ca="1">OFFSET(Database!$F22,0,COLUMN(Database!L22)*2-12)</f>
        <v>n.r.</v>
      </c>
      <c r="P22" s="8" t="str">
        <f ca="1">OFFSET(Database!$F22,0,COLUMN(Database!M22)*2-12)</f>
        <v>n.r.</v>
      </c>
      <c r="Q22" s="8" t="str">
        <f ca="1">OFFSET(Database!$F22,0,COLUMN(Database!N22)*2-12)</f>
        <v>n.r.</v>
      </c>
      <c r="R22" s="8" t="str">
        <f ca="1">OFFSET(Database!$F22,0,COLUMN(Database!O22)*2-12)</f>
        <v>n.r.</v>
      </c>
      <c r="S22" s="8" t="str">
        <f ca="1">OFFSET(Database!$F22,0,COLUMN(Database!P22)*2-12)</f>
        <v>n.r.</v>
      </c>
      <c r="T22" s="8" t="str">
        <f ca="1">OFFSET(Database!$F22,0,COLUMN(Database!Q22)*2-12)</f>
        <v>n.r.</v>
      </c>
      <c r="U22" s="8" t="str">
        <f ca="1">OFFSET(Database!$F22,0,COLUMN(Database!R22)*2-12)</f>
        <v>n.r.</v>
      </c>
      <c r="V22" s="8" t="str">
        <f ca="1">OFFSET(Database!$F22,0,COLUMN(Database!S22)*2-12)</f>
        <v>n.r.</v>
      </c>
      <c r="W22" s="8" t="str">
        <f ca="1">OFFSET(Database!$F22,0,COLUMN(Database!T22)*2-12)</f>
        <v>n.r.</v>
      </c>
      <c r="X22" s="8" t="str">
        <f ca="1">OFFSET(Database!$F22,0,COLUMN(Database!U22)*2-12)</f>
        <v>n.r.</v>
      </c>
      <c r="Y22" s="8" t="str">
        <f ca="1">OFFSET(Database!$F22,0,COLUMN(Database!V22)*2-12)</f>
        <v>n.r.</v>
      </c>
      <c r="Z22" s="8" t="str">
        <f ca="1">OFFSET(Database!$F22,0,COLUMN(Database!W22)*2-12)</f>
        <v>n.r.</v>
      </c>
      <c r="AA22" s="8" t="str">
        <f ca="1">OFFSET(Database!$F22,0,COLUMN(Database!X22)*2-12)</f>
        <v>n.r.</v>
      </c>
      <c r="AB22" s="8" t="str">
        <f ca="1">OFFSET(Database!$F22,0,COLUMN(Database!Y22)*2-12)</f>
        <v>n.r.</v>
      </c>
      <c r="AC22" s="8" t="str">
        <f ca="1">OFFSET(Database!$F22,0,COLUMN(Database!Z22)*2-12)</f>
        <v>n.r.</v>
      </c>
      <c r="AD22" s="8" t="str">
        <f ca="1">OFFSET(Database!$F22,0,COLUMN(Database!AA22)*2-12)</f>
        <v>n.r.</v>
      </c>
      <c r="AE22" s="8" t="str">
        <f ca="1">OFFSET(Database!$F22,0,COLUMN(Database!AB22)*2-12)</f>
        <v>n.r.</v>
      </c>
      <c r="AF22" s="8" t="str">
        <f ca="1">OFFSET(Database!$F22,0,COLUMN(Database!AC22)*2-12)</f>
        <v>n.r.</v>
      </c>
      <c r="AG22" s="8" t="str">
        <f ca="1">OFFSET(Database!$F22,0,COLUMN(Database!AD22)*2-12)</f>
        <v>n.r.</v>
      </c>
      <c r="AH22" s="8" t="str">
        <f ca="1">OFFSET(Database!$F22,0,COLUMN(Database!AE22)*2-12)</f>
        <v>n.r.</v>
      </c>
      <c r="AI22" s="8" t="str">
        <f ca="1">OFFSET(Database!$F22,0,COLUMN(Database!AF22)*2-12)</f>
        <v>n.r.</v>
      </c>
      <c r="AJ22" s="8" t="str">
        <f ca="1">OFFSET(Database!$F22,0,COLUMN(Database!AG22)*2-12)</f>
        <v>n.r.</v>
      </c>
      <c r="AK22" s="8" t="str">
        <f ca="1">OFFSET(Database!$F22,0,COLUMN(Database!AH22)*2-12)</f>
        <v>n.r.</v>
      </c>
      <c r="AL22" s="8" t="str">
        <f ca="1">OFFSET(Database!$F22,0,COLUMN(Database!AI22)*2-12)</f>
        <v>n.r.</v>
      </c>
      <c r="AM22" s="8" t="str">
        <f ca="1">OFFSET(Database!$F22,0,COLUMN(Database!AJ22)*2-12)</f>
        <v>n.r.</v>
      </c>
      <c r="AN22" s="8" t="str">
        <f ca="1">OFFSET(Database!$F22,0,COLUMN(Database!AK22)*2-12)</f>
        <v>n.r.</v>
      </c>
      <c r="AO22" s="8" t="str">
        <f ca="1">OFFSET(Database!$F22,0,COLUMN(Database!AL22)*2-12)</f>
        <v>n.r.</v>
      </c>
      <c r="AP22" s="8" t="str">
        <f ca="1">OFFSET(Database!$F22,0,COLUMN(Database!AM22)*2-12)</f>
        <v>n.r.</v>
      </c>
      <c r="AQ22" s="8" t="str">
        <f ca="1">OFFSET(Database!$F22,0,COLUMN(Database!AN22)*2-12)</f>
        <v>n.r.</v>
      </c>
      <c r="AR22" s="8" t="str">
        <f ca="1">OFFSET(Database!$F22,0,COLUMN(Database!AO22)*2-12)</f>
        <v>n.r.</v>
      </c>
      <c r="AS22" s="8" t="str">
        <f ca="1">OFFSET(Database!$F22,0,COLUMN(Database!AP22)*2-12)</f>
        <v>n.r.</v>
      </c>
      <c r="AT22" s="8" t="str">
        <f ca="1">OFFSET(Database!$F22,0,COLUMN(Database!AQ22)*2-12)</f>
        <v>n.r.</v>
      </c>
      <c r="AU22" s="8" t="str">
        <f ca="1">OFFSET(Database!$F22,0,COLUMN(Database!AR22)*2-12)</f>
        <v>n.r.</v>
      </c>
      <c r="AV22" s="8" t="str">
        <f ca="1">OFFSET(Database!$F22,0,COLUMN(Database!AS22)*2-12)</f>
        <v>n.r.</v>
      </c>
      <c r="AW22" s="8" t="str">
        <f ca="1">OFFSET(Database!$F22,0,COLUMN(Database!AT22)*2-12)</f>
        <v>n.r.</v>
      </c>
      <c r="AX22" s="8" t="str">
        <f ca="1">OFFSET(Database!$F22,0,COLUMN(Database!AU22)*2-12)</f>
        <v>n.r.</v>
      </c>
      <c r="AY22" s="8" t="str">
        <f ca="1">OFFSET(Database!$F22,0,COLUMN(Database!AV22)*2-12)</f>
        <v>n.r.</v>
      </c>
      <c r="AZ22" s="8" t="str">
        <f ca="1">OFFSET(Database!$F22,0,COLUMN(Database!AW22)*2-12)</f>
        <v>n.r.</v>
      </c>
      <c r="BA22" s="8" t="str">
        <f ca="1">OFFSET(Database!$F22,0,COLUMN(Database!AX22)*2-12)</f>
        <v>n.r.</v>
      </c>
      <c r="BB22" s="8" t="str">
        <f ca="1">OFFSET(Database!$F22,0,COLUMN(Database!AY22)*2-12)</f>
        <v>n.r.</v>
      </c>
      <c r="BC22" s="8" t="str">
        <f ca="1">OFFSET(Database!$F22,0,COLUMN(Database!AZ22)*2-12)</f>
        <v>n.r.</v>
      </c>
      <c r="BD22" s="8" t="str">
        <f ca="1">OFFSET(Database!$F22,0,COLUMN(Database!BA22)*2-12)</f>
        <v>n.r.</v>
      </c>
      <c r="BE22" s="8" t="str">
        <f ca="1">OFFSET(Database!$F22,0,COLUMN(Database!BB22)*2-12)</f>
        <v>n.r.</v>
      </c>
      <c r="BF22" s="8" t="str">
        <f ca="1">OFFSET(Database!$F22,0,COLUMN(Database!BC22)*2-12)</f>
        <v>n.r.</v>
      </c>
      <c r="BG22" s="8" t="str">
        <f ca="1">OFFSET(Database!$F22,0,COLUMN(Database!BD22)*2-12)</f>
        <v>n.r.</v>
      </c>
      <c r="BH22" s="8" t="str">
        <f ca="1">OFFSET(Database!$F22,0,COLUMN(Database!BE22)*2-12)</f>
        <v>n.r.</v>
      </c>
      <c r="BI22" s="8" t="str">
        <f ca="1">OFFSET(Database!$F22,0,COLUMN(Database!BF22)*2-12)</f>
        <v>n.r.</v>
      </c>
      <c r="BJ22" s="8" t="str">
        <f ca="1">OFFSET(Database!$F22,0,COLUMN(Database!BG22)*2-12)</f>
        <v>n.r.</v>
      </c>
      <c r="BK22" s="8" t="str">
        <f ca="1">OFFSET(Database!$F22,0,COLUMN(Database!BH22)*2-12)</f>
        <v>n.r.</v>
      </c>
      <c r="BL22" s="8" t="str">
        <f ca="1">OFFSET(Database!$F22,0,COLUMN(Database!BI22)*2-12)</f>
        <v>n.r.</v>
      </c>
      <c r="BM22" s="8" t="str">
        <f ca="1">OFFSET(Database!$F22,0,COLUMN(Database!BJ22)*2-12)</f>
        <v>n.r.</v>
      </c>
      <c r="BN22" s="8" t="str">
        <f ca="1">OFFSET(Database!$F22,0,COLUMN(Database!BK22)*2-12)</f>
        <v>n.r.</v>
      </c>
      <c r="BO22" s="8" t="str">
        <f ca="1">OFFSET(Database!$F22,0,COLUMN(Database!BL22)*2-12)</f>
        <v>n.r.</v>
      </c>
      <c r="BP22" s="8" t="str">
        <f ca="1">OFFSET(Database!$F22,0,COLUMN(Database!BM22)*2-12)</f>
        <v>n.r.</v>
      </c>
      <c r="BQ22" s="8" t="str">
        <f ca="1">OFFSET(Database!$F22,0,COLUMN(Database!BN22)*2-12)</f>
        <v>n.r.</v>
      </c>
      <c r="BR22" s="8" t="str">
        <f ca="1">OFFSET(Database!$F22,0,COLUMN(Database!BO22)*2-12)</f>
        <v>n.r.</v>
      </c>
      <c r="BS22" s="8" t="str">
        <f ca="1">OFFSET(Database!$F22,0,COLUMN(Database!BP22)*2-12)</f>
        <v>n.r.</v>
      </c>
      <c r="BT22" s="8" t="str">
        <f ca="1">OFFSET(Database!$F22,0,COLUMN(Database!BQ22)*2-12)</f>
        <v>n.r.</v>
      </c>
      <c r="BU22" s="8" t="str">
        <f ca="1">OFFSET(Database!$F22,0,COLUMN(Database!BR22)*2-12)</f>
        <v>n.r.</v>
      </c>
      <c r="BV22" s="8" t="str">
        <f ca="1">OFFSET(Database!$F22,0,COLUMN(Database!BS22)*2-12)</f>
        <v>n.r.</v>
      </c>
      <c r="BW22" s="8" t="str">
        <f ca="1">OFFSET(Database!$F22,0,COLUMN(Database!BT22)*2-12)</f>
        <v>n.r.</v>
      </c>
      <c r="BX22" s="8" t="str">
        <f ca="1">OFFSET(Database!$F22,0,COLUMN(Database!BU22)*2-12)</f>
        <v>n.r.</v>
      </c>
      <c r="BY22" s="8" t="str">
        <f ca="1">OFFSET(Database!$F22,0,COLUMN(Database!BV22)*2-12)</f>
        <v>n.r.</v>
      </c>
      <c r="BZ22" s="8" t="str">
        <f ca="1">OFFSET(Database!$F22,0,COLUMN(Database!BW22)*2-12)</f>
        <v>n.r.</v>
      </c>
      <c r="CA22" s="8" t="str">
        <f ca="1">OFFSET(Database!$F22,0,COLUMN(Database!BX22)*2-12)</f>
        <v>n.r.</v>
      </c>
      <c r="CB22" s="8" t="str">
        <f ca="1">OFFSET(Database!$F22,0,COLUMN(Database!BY22)*2-12)</f>
        <v>n.r.</v>
      </c>
      <c r="CC22" s="8" t="str">
        <f ca="1">OFFSET(Database!$F22,0,COLUMN(Database!BZ22)*2-12)</f>
        <v>n.r.</v>
      </c>
      <c r="CD22" s="8" t="str">
        <f ca="1">OFFSET(Database!$F22,0,COLUMN(Database!CA22)*2-12)</f>
        <v>n.r.</v>
      </c>
      <c r="CE22" s="8" t="str">
        <f ca="1">OFFSET(Database!$F22,0,COLUMN(Database!CB22)*2-12)</f>
        <v>n.r.</v>
      </c>
      <c r="CF22" s="8" t="str">
        <f ca="1">OFFSET(Database!$F22,0,COLUMN(Database!CC22)*2-12)</f>
        <v>n.r.</v>
      </c>
      <c r="CG22" s="8" t="str">
        <f ca="1">OFFSET(Database!$F22,0,COLUMN(Database!CD22)*2-12)</f>
        <v>n.r.</v>
      </c>
      <c r="CH22" s="8" t="str">
        <f ca="1">OFFSET(Database!$F22,0,COLUMN(Database!CE22)*2-12)</f>
        <v>n.r.</v>
      </c>
      <c r="CI22" s="8" t="str">
        <f ca="1">OFFSET(Database!$F22,0,COLUMN(Database!CF22)*2-12)</f>
        <v>n.r.</v>
      </c>
      <c r="CJ22" s="8" t="str">
        <f ca="1">OFFSET(Database!$F22,0,COLUMN(Database!CG22)*2-12)</f>
        <v>n.r.</v>
      </c>
      <c r="CK22" s="8" t="str">
        <f ca="1">OFFSET(Database!$F22,0,COLUMN(Database!CH22)*2-12)</f>
        <v>n.r.</v>
      </c>
      <c r="CL22" s="8" t="str">
        <f ca="1">OFFSET(Database!$F22,0,COLUMN(Database!CI22)*2-12)</f>
        <v>n.r.</v>
      </c>
      <c r="CM22" s="8" t="str">
        <f ca="1">OFFSET(Database!$F22,0,COLUMN(Database!CJ22)*2-12)</f>
        <v>n.r.</v>
      </c>
      <c r="CN22" s="8" t="str">
        <f ca="1">OFFSET(Database!$F22,0,COLUMN(Database!CK22)*2-12)</f>
        <v>n.r.</v>
      </c>
      <c r="CO22" s="8" t="str">
        <f ca="1">OFFSET(Database!$F22,0,COLUMN(Database!CL22)*2-12)</f>
        <v>n.r.</v>
      </c>
      <c r="CP22" s="8" t="str">
        <f ca="1">OFFSET(Database!$F22,0,COLUMN(Database!CM22)*2-12)</f>
        <v>n.r.</v>
      </c>
      <c r="CQ22" s="8" t="str">
        <f ca="1">OFFSET(Database!$F22,0,COLUMN(Database!CN22)*2-12)</f>
        <v>n.r.</v>
      </c>
      <c r="CR22" s="8" t="str">
        <f ca="1">OFFSET(Database!$F22,0,COLUMN(Database!CO22)*2-12)</f>
        <v>n.r.</v>
      </c>
      <c r="CS22" s="8" t="str">
        <f ca="1">OFFSET(Database!$F22,0,COLUMN(Database!CP22)*2-12)</f>
        <v>n.r.</v>
      </c>
      <c r="CT22" s="8" t="str">
        <f ca="1">OFFSET(Database!$F22,0,COLUMN(Database!CQ22)*2-12)</f>
        <v>n.r.</v>
      </c>
      <c r="CU22" s="8" t="str">
        <f ca="1">OFFSET(Database!$F22,0,COLUMN(Database!CR22)*2-12)</f>
        <v>n.r.</v>
      </c>
      <c r="CV22" s="8" t="str">
        <f ca="1">OFFSET(Database!$F22,0,COLUMN(Database!CS22)*2-12)</f>
        <v>n.r.</v>
      </c>
      <c r="CW22" s="8" t="str">
        <f ca="1">OFFSET(Database!$F22,0,COLUMN(Database!CT22)*2-12)</f>
        <v>n.r.</v>
      </c>
      <c r="CX22" s="8" t="str">
        <f ca="1">OFFSET(Database!$F22,0,COLUMN(Database!CU22)*2-12)</f>
        <v>n.r.</v>
      </c>
      <c r="CY22" s="8" t="str">
        <f ca="1">OFFSET(Database!$F22,0,COLUMN(Database!CV22)*2-12)</f>
        <v>n.r.</v>
      </c>
      <c r="CZ22" s="8" t="str">
        <f ca="1">OFFSET(Database!$F22,0,COLUMN(Database!CW22)*2-12)</f>
        <v>n.r.</v>
      </c>
      <c r="DA22" s="8" t="str">
        <f ca="1">OFFSET(Database!$F22,0,COLUMN(Database!CX22)*2-12)</f>
        <v>n.r.</v>
      </c>
      <c r="DB22" s="8" t="str">
        <f ca="1">OFFSET(Database!$F22,0,COLUMN(Database!CY22)*2-12)</f>
        <v>n.r.</v>
      </c>
      <c r="DC22" s="8" t="str">
        <f ca="1">OFFSET(Database!$F22,0,COLUMN(Database!CZ22)*2-12)</f>
        <v>n.r.</v>
      </c>
      <c r="DD22" s="8" t="str">
        <f ca="1">OFFSET(Database!$F22,0,COLUMN(Database!DA22)*2-12)</f>
        <v>n.r.</v>
      </c>
      <c r="DE22" s="8" t="str">
        <f ca="1">OFFSET(Database!$F22,0,COLUMN(Database!DB22)*2-12)</f>
        <v>n.r.</v>
      </c>
      <c r="DF22" s="8" t="str">
        <f ca="1">OFFSET(Database!$F22,0,COLUMN(Database!DC22)*2-12)</f>
        <v>n.r.</v>
      </c>
      <c r="DG22" s="8" t="str">
        <f ca="1">OFFSET(Database!$F22,0,COLUMN(Database!DD22)*2-12)</f>
        <v>n.r.</v>
      </c>
      <c r="DH22" s="8" t="str">
        <f ca="1">OFFSET(Database!$F22,0,COLUMN(Database!DE22)*2-12)</f>
        <v>n.r.</v>
      </c>
      <c r="DI22" s="8" t="str">
        <f ca="1">OFFSET(Database!$F22,0,COLUMN(Database!DF22)*2-12)</f>
        <v>n.r.</v>
      </c>
      <c r="DJ22" s="8" t="str">
        <f ca="1">OFFSET(Database!$F22,0,COLUMN(Database!DG22)*2-12)</f>
        <v>n.r.</v>
      </c>
      <c r="DK22" s="8" t="str">
        <f ca="1">OFFSET(Database!$F22,0,COLUMN(Database!DH22)*2-12)</f>
        <v>n.r.</v>
      </c>
      <c r="DL22" s="8" t="str">
        <f ca="1">OFFSET(Database!$F22,0,COLUMN(Database!DI22)*2-12)</f>
        <v>n.r.</v>
      </c>
      <c r="DM22" s="8" t="str">
        <f ca="1">OFFSET(Database!$F22,0,COLUMN(Database!DJ22)*2-12)</f>
        <v>n.r.</v>
      </c>
      <c r="DN22" s="8" t="str">
        <f ca="1">OFFSET(Database!$F22,0,COLUMN(Database!DK22)*2-12)</f>
        <v>n.r.</v>
      </c>
      <c r="DO22" s="8" t="str">
        <f ca="1">OFFSET(Database!$F22,0,COLUMN(Database!DL22)*2-12)</f>
        <v>n.r.</v>
      </c>
      <c r="DP22" s="8" t="str">
        <f ca="1">OFFSET(Database!$F22,0,COLUMN(Database!DM22)*2-12)</f>
        <v>n.r.</v>
      </c>
      <c r="DQ22" s="8" t="str">
        <f ca="1">OFFSET(Database!$F22,0,COLUMN(Database!DN22)*2-12)</f>
        <v>n.r.</v>
      </c>
      <c r="DR22" s="8" t="str">
        <f ca="1">OFFSET(Database!$F22,0,COLUMN(Database!DO22)*2-12)</f>
        <v>n.r.</v>
      </c>
      <c r="DS22" s="8" t="str">
        <f ca="1">OFFSET(Database!$F22,0,COLUMN(Database!DP22)*2-12)</f>
        <v>n.r.</v>
      </c>
      <c r="DT22" s="8" t="str">
        <f ca="1">OFFSET(Database!$F22,0,COLUMN(Database!DQ22)*2-12)</f>
        <v>n.r.</v>
      </c>
      <c r="DU22" s="8" t="str">
        <f ca="1">OFFSET(Database!$F22,0,COLUMN(Database!DR22)*2-12)</f>
        <v>n.r.</v>
      </c>
      <c r="DV22" s="8" t="str">
        <f ca="1">OFFSET(Database!$F22,0,COLUMN(Database!DS22)*2-12)</f>
        <v>n.r.</v>
      </c>
      <c r="DW22" s="8" t="str">
        <f ca="1">OFFSET(Database!$F22,0,COLUMN(Database!DT22)*2-12)</f>
        <v>n.r.</v>
      </c>
      <c r="DX22" s="8" t="str">
        <f ca="1">OFFSET(Database!$F22,0,COLUMN(Database!DU22)*2-12)</f>
        <v>n.r.</v>
      </c>
      <c r="DY22" s="8" t="str">
        <f ca="1">OFFSET(Database!$F22,0,COLUMN(Database!DV22)*2-12)</f>
        <v>n.r.</v>
      </c>
      <c r="DZ22" s="8" t="str">
        <f ca="1">OFFSET(Database!$F22,0,COLUMN(Database!DW22)*2-12)</f>
        <v>n.r.</v>
      </c>
      <c r="EA22" s="8" t="str">
        <f ca="1">OFFSET(Database!$F22,0,COLUMN(Database!DX22)*2-12)</f>
        <v>n.r.</v>
      </c>
      <c r="EB22" s="8">
        <f ca="1">OFFSET(Database!$F22,0,COLUMN(Database!DY22)*2-12)</f>
        <v>1.71</v>
      </c>
      <c r="EC22" s="8" t="str">
        <f ca="1">OFFSET(Database!$F22,0,COLUMN(Database!DZ22)*2-12)</f>
        <v>n.r.</v>
      </c>
      <c r="ED22" s="8">
        <f ca="1">OFFSET(Database!$F22,0,COLUMN(Database!EA22)*2-12)</f>
        <v>4.4400000000000004</v>
      </c>
      <c r="EE22" s="8">
        <f ca="1">OFFSET(Database!$F22,0,COLUMN(Database!EB22)*2-12)</f>
        <v>1030</v>
      </c>
      <c r="EF22" s="8">
        <f ca="1">OFFSET(Database!$F22,0,COLUMN(Database!EC22)*2-12)</f>
        <v>330</v>
      </c>
      <c r="EG22" s="8">
        <f ca="1">OFFSET(Database!$F22,0,COLUMN(Database!ED22)*2-12)</f>
        <v>610</v>
      </c>
      <c r="EH22" s="8">
        <f ca="1">OFFSET(Database!$F22,0,COLUMN(Database!EE22)*2-12)</f>
        <v>200</v>
      </c>
      <c r="EI22" s="8">
        <f ca="1">OFFSET(Database!$F22,0,COLUMN(Database!EF22)*2-12)</f>
        <v>0.16700000000000001</v>
      </c>
      <c r="EJ22" s="8">
        <f ca="1">OFFSET(Database!$F22,0,COLUMN(Database!EG22)*2-12)</f>
        <v>0.14699999999999999</v>
      </c>
      <c r="EK22" s="8">
        <f ca="1">OFFSET(Database!$F22,0,COLUMN(Database!EH22)*2-12)</f>
        <v>0.217</v>
      </c>
      <c r="EL22" s="8">
        <f ca="1">OFFSET(Database!$F22,0,COLUMN(Database!EI22)*2-12)</f>
        <v>0.60399999999999998</v>
      </c>
      <c r="EM22" s="8">
        <f ca="1">OFFSET(Database!$F22,0,COLUMN(Database!EJ22)*2-12)</f>
        <v>0.52400000000000002</v>
      </c>
      <c r="EN22" s="8">
        <f ca="1">OFFSET(Database!$F22,0,COLUMN(Database!EK22)*2-12)</f>
        <v>0.38300000000000001</v>
      </c>
      <c r="EO22" s="8">
        <f ca="1">OFFSET(Database!$F22,0,COLUMN(Database!EL22)*2-12)</f>
        <v>0.55700000000000005</v>
      </c>
      <c r="EP22" s="8">
        <f ca="1">OFFSET(Database!$F22,0,COLUMN(Database!EM22)*2-12)</f>
        <v>0.51700000000000002</v>
      </c>
      <c r="EQ22" s="8">
        <f ca="1">OFFSET(Database!$F22,0,COLUMN(Database!EN22)*2-12)</f>
        <v>32.119999999999997</v>
      </c>
      <c r="ER22" s="8" t="str">
        <f ca="1">OFFSET(Database!$F22,0,COLUMN(Database!EO22)*2-12)</f>
        <v>n.r.</v>
      </c>
      <c r="ES22" s="8" t="str">
        <f ca="1">OFFSET(Database!$F22,0,COLUMN(Database!EP22)*2-12)</f>
        <v>n.r.</v>
      </c>
      <c r="ET22" s="8" t="str">
        <f ca="1">OFFSET(Database!$F22,0,COLUMN(Database!EQ22)*2-12)</f>
        <v>n.r.</v>
      </c>
      <c r="EU22" s="8" t="str">
        <f ca="1">OFFSET(Database!$F22,0,COLUMN(Database!ER22)*2-12)</f>
        <v>n.r.</v>
      </c>
      <c r="EV22" s="8" t="str">
        <f ca="1">OFFSET(Database!$F22,0,COLUMN(Database!ES22)*2-12)</f>
        <v>n.r.</v>
      </c>
      <c r="EW22" s="8">
        <f ca="1">OFFSET(Database!$F22,0,COLUMN(Database!ET22)*2-12)</f>
        <v>132500</v>
      </c>
      <c r="EX22" s="8">
        <f ca="1">OFFSET(Database!$F22,0,COLUMN(Database!EU22)*2-12)</f>
        <v>491400</v>
      </c>
      <c r="EY22" s="8">
        <f ca="1">OFFSET(Database!$F22,0,COLUMN(Database!EV22)*2-12)</f>
        <v>70700</v>
      </c>
      <c r="EZ22" s="8">
        <f ca="1">OFFSET(Database!$F22,0,COLUMN(Database!EW22)*2-12)</f>
        <v>102700</v>
      </c>
      <c r="FA22" s="8">
        <f ca="1">OFFSET(Database!$F22,0,COLUMN(Database!EX22)*2-12)</f>
        <v>284200</v>
      </c>
      <c r="FB22" s="8" t="str">
        <f ca="1">OFFSET(Database!$F22,0,COLUMN(Database!EY22)*2-12)</f>
        <v>n.r.</v>
      </c>
      <c r="FC22" s="8" t="str">
        <f ca="1">OFFSET(Database!$F22,0,COLUMN(Database!EZ22)*2-12)</f>
        <v>n.r.</v>
      </c>
      <c r="FD22" s="8" t="str">
        <f ca="1">OFFSET(Database!$F22,0,COLUMN(Database!FA22)*2-12)</f>
        <v>n.r.</v>
      </c>
      <c r="FE22" s="8" t="str">
        <f ca="1">OFFSET(Database!$F22,0,COLUMN(Database!FB22)*2-12)</f>
        <v>n.r.</v>
      </c>
      <c r="FF22" s="8" t="str">
        <f ca="1">OFFSET(Database!$F22,0,COLUMN(Database!FC22)*2-12)</f>
        <v>n.r.</v>
      </c>
      <c r="FG22" s="8">
        <f ca="1">OFFSET(Database!$F22,0,COLUMN(Database!FD22)*2-12)</f>
        <v>125083.9489590329</v>
      </c>
      <c r="FH22" s="8" t="str">
        <f ca="1">OFFSET(Database!$F22,0,COLUMN(Database!FE22)*2-12)</f>
        <v>n.r.</v>
      </c>
      <c r="FI22" s="8" t="str">
        <f ca="1">OFFSET(Database!$F22,0,COLUMN(Database!FF22)*2-12)</f>
        <v>n.r.</v>
      </c>
      <c r="FJ22" s="8" t="str">
        <f ca="1">OFFSET(Database!$F22,0,COLUMN(Database!FG22)*2-12)</f>
        <v>n.r.</v>
      </c>
      <c r="FK22" s="8">
        <f ca="1">OFFSET(Database!$F22,0,COLUMN(Database!FH22)*2-12)</f>
        <v>397918.06581598392</v>
      </c>
      <c r="FL22" s="8">
        <f ca="1">OFFSET(Database!$F22,0,COLUMN(Database!FI22)*2-12)</f>
        <v>253525.85627938213</v>
      </c>
      <c r="FM22" s="8">
        <f ca="1">OFFSET(Database!$F22,0,COLUMN(Database!FJ22)*2-12)</f>
        <v>62122.229684351914</v>
      </c>
      <c r="FN22" s="8">
        <f ca="1">OFFSET(Database!$F22,0,COLUMN(Database!FK22)*2-12)</f>
        <v>170416.38683680323</v>
      </c>
      <c r="FO22" s="8">
        <f ca="1">OFFSET(Database!$F22,0,COLUMN(Database!FL22)*2-12)</f>
        <v>392881.12827400933</v>
      </c>
      <c r="FP22" s="8">
        <f ca="1">OFFSET(Database!$F22,0,COLUMN(Database!FM22)*2-12)</f>
        <v>1179482.8744123573</v>
      </c>
      <c r="FQ22" s="8">
        <f ca="1">OFFSET(Database!$F22,0,COLUMN(Database!FN22)*2-12)</f>
        <v>8898.5896574882463</v>
      </c>
      <c r="FR22" s="8">
        <f ca="1">OFFSET(Database!$F22,0,COLUMN(Database!FO22)*2-12)</f>
        <v>8562.793821356614</v>
      </c>
      <c r="FS22" s="8">
        <f ca="1">OFFSET(Database!$F22,0,COLUMN(Database!FP22)*2-12)</f>
        <v>9318.3344526527871</v>
      </c>
      <c r="FT22" s="8">
        <f ca="1">OFFSET(Database!$F22,0,COLUMN(Database!FQ22)*2-12)</f>
        <v>8226.9979852249835</v>
      </c>
      <c r="FU22" s="8">
        <f ca="1">OFFSET(Database!$F22,0,COLUMN(Database!FR22)*2-12)</f>
        <v>5669</v>
      </c>
      <c r="FV22" s="8">
        <f ca="1">OFFSET(Database!$F22,0,COLUMN(Database!FS22)*2-12)</f>
        <v>4919</v>
      </c>
      <c r="FW22" s="8">
        <f ca="1">OFFSET(Database!$F22,0,COLUMN(Database!FT22)*2-12)</f>
        <v>5345</v>
      </c>
      <c r="FX22" s="8">
        <f ca="1">OFFSET(Database!$F22,0,COLUMN(Database!FU22)*2-12)</f>
        <v>5015</v>
      </c>
      <c r="FY22" s="8">
        <f ca="1">OFFSET(Database!$F22,0,COLUMN(Database!FV22)*2-12)</f>
        <v>5735</v>
      </c>
      <c r="FZ22" s="8">
        <f ca="1">OFFSET(Database!$F22,0,COLUMN(Database!FW22)*2-12)</f>
        <v>6277</v>
      </c>
      <c r="GA22" s="8">
        <f ca="1">OFFSET(Database!$F22,0,COLUMN(Database!FX22)*2-12)</f>
        <v>6771</v>
      </c>
      <c r="GB22" s="8">
        <f ca="1">OFFSET(Database!$F22,0,COLUMN(Database!FY22)*2-12)</f>
        <v>6128</v>
      </c>
      <c r="GC22" s="8">
        <f ca="1">OFFSET(Database!$F22,0,COLUMN(Database!FZ22)*2-12)</f>
        <v>7079</v>
      </c>
      <c r="GD22" s="8">
        <f ca="1">OFFSET(Database!$F22,0,COLUMN(Database!GA22)*2-12)</f>
        <v>5833</v>
      </c>
      <c r="GE22" s="8">
        <f ca="1">OFFSET(Database!$F22,0,COLUMN(Database!GB22)*2-12)</f>
        <v>5714</v>
      </c>
      <c r="GF22" s="8">
        <f ca="1">OFFSET(Database!$F22,0,COLUMN(Database!GC22)*2-12)</f>
        <v>6009</v>
      </c>
      <c r="GG22" s="8">
        <f ca="1">OFFSET(Database!$F22,0,COLUMN(Database!GD22)*2-12)</f>
        <v>1410.3425117528543</v>
      </c>
      <c r="GH22" s="8">
        <f ca="1">OFFSET(Database!$F22,0,COLUMN(Database!GE22)*2-12)</f>
        <v>3458.697112155809</v>
      </c>
      <c r="GI22" s="8">
        <f ca="1">OFFSET(Database!$F22,0,COLUMN(Database!GF22)*2-12)</f>
        <v>5834.4526527871049</v>
      </c>
      <c r="GJ22" s="8">
        <f ca="1">OFFSET(Database!$F22,0,COLUMN(Database!GG22)*2-12)</f>
        <v>8042.3102753525854</v>
      </c>
      <c r="GK22" s="8">
        <f ca="1">OFFSET(Database!$F22,0,COLUMN(Database!GH22)*2-12)</f>
        <v>94862.32370718602</v>
      </c>
      <c r="GL22" s="8">
        <f ca="1">OFFSET(Database!$F22,0,COLUMN(Database!GI22)*2-12)</f>
        <v>3945.6010745466756</v>
      </c>
      <c r="GM22" s="8">
        <f ca="1">OFFSET(Database!$F22,0,COLUMN(Database!GJ22)*2-12)</f>
        <v>481.02753525856286</v>
      </c>
      <c r="GN22" s="8">
        <f ca="1">OFFSET(Database!$F22,0,COLUMN(Database!GK22)*2-12)</f>
        <v>763096.03760913364</v>
      </c>
      <c r="GO22" s="8" t="str">
        <f ca="1">OFFSET(Database!$F22,0,COLUMN(Database!GL22)*2-12)</f>
        <v>n.r.</v>
      </c>
      <c r="GP22" s="8" t="str">
        <f ca="1">OFFSET(Database!$F22,0,COLUMN(Database!GM22)*2-12)</f>
        <v>n.r.</v>
      </c>
    </row>
    <row r="23" spans="1:198" x14ac:dyDescent="0.2">
      <c r="A23" s="50" t="str">
        <f>Database!A23</f>
        <v>isothreonine</v>
      </c>
      <c r="B23" s="1" t="s">
        <v>866</v>
      </c>
      <c r="C23" s="4" t="str">
        <f>Database!B23</f>
        <v>β</v>
      </c>
      <c r="D23" s="4" t="str">
        <f>Database!C23</f>
        <v>Both</v>
      </c>
      <c r="E23" s="74">
        <f>Database!D23</f>
        <v>3</v>
      </c>
      <c r="F23" s="32" t="s">
        <v>907</v>
      </c>
      <c r="G23" s="1">
        <v>12647</v>
      </c>
      <c r="H23" s="1">
        <f>Database!E23</f>
        <v>119.12</v>
      </c>
      <c r="I23" s="8" t="str">
        <f ca="1">OFFSET(Database!$F23,0,COLUMN(Database!F23)*2-12)</f>
        <v>n.r.</v>
      </c>
      <c r="J23" s="8" t="str">
        <f ca="1">OFFSET(Database!$F23,0,COLUMN(Database!G23)*2-12)</f>
        <v>n.r.</v>
      </c>
      <c r="K23" s="8" t="str">
        <f ca="1">OFFSET(Database!$F23,0,COLUMN(Database!H23)*2-12)</f>
        <v>n.r.</v>
      </c>
      <c r="L23" s="8" t="str">
        <f ca="1">OFFSET(Database!$F23,0,COLUMN(Database!I23)*2-12)</f>
        <v>n.r.</v>
      </c>
      <c r="M23" s="8" t="str">
        <f ca="1">OFFSET(Database!$F23,0,COLUMN(Database!J23)*2-12)</f>
        <v>n.r.</v>
      </c>
      <c r="N23" s="8" t="str">
        <f ca="1">OFFSET(Database!$F23,0,COLUMN(Database!K23)*2-12)</f>
        <v>n.r.</v>
      </c>
      <c r="O23" s="8" t="str">
        <f ca="1">OFFSET(Database!$F23,0,COLUMN(Database!L23)*2-12)</f>
        <v>n.r.</v>
      </c>
      <c r="P23" s="8" t="str">
        <f ca="1">OFFSET(Database!$F23,0,COLUMN(Database!M23)*2-12)</f>
        <v>n.r.</v>
      </c>
      <c r="Q23" s="8" t="str">
        <f ca="1">OFFSET(Database!$F23,0,COLUMN(Database!N23)*2-12)</f>
        <v>n.r.</v>
      </c>
      <c r="R23" s="8" t="str">
        <f ca="1">OFFSET(Database!$F23,0,COLUMN(Database!O23)*2-12)</f>
        <v>n.r.</v>
      </c>
      <c r="S23" s="8" t="str">
        <f ca="1">OFFSET(Database!$F23,0,COLUMN(Database!P23)*2-12)</f>
        <v>n.r.</v>
      </c>
      <c r="T23" s="8" t="str">
        <f ca="1">OFFSET(Database!$F23,0,COLUMN(Database!Q23)*2-12)</f>
        <v>n.r.</v>
      </c>
      <c r="U23" s="8" t="str">
        <f ca="1">OFFSET(Database!$F23,0,COLUMN(Database!R23)*2-12)</f>
        <v>n.r.</v>
      </c>
      <c r="V23" s="8" t="str">
        <f ca="1">OFFSET(Database!$F23,0,COLUMN(Database!S23)*2-12)</f>
        <v>n.r.</v>
      </c>
      <c r="W23" s="8" t="str">
        <f ca="1">OFFSET(Database!$F23,0,COLUMN(Database!T23)*2-12)</f>
        <v>n.r.</v>
      </c>
      <c r="X23" s="8" t="str">
        <f ca="1">OFFSET(Database!$F23,0,COLUMN(Database!U23)*2-12)</f>
        <v>n.r.</v>
      </c>
      <c r="Y23" s="8" t="str">
        <f ca="1">OFFSET(Database!$F23,0,COLUMN(Database!V23)*2-12)</f>
        <v>n.r.</v>
      </c>
      <c r="Z23" s="8" t="str">
        <f ca="1">OFFSET(Database!$F23,0,COLUMN(Database!W23)*2-12)</f>
        <v>n.r.</v>
      </c>
      <c r="AA23" s="8" t="str">
        <f ca="1">OFFSET(Database!$F23,0,COLUMN(Database!X23)*2-12)</f>
        <v>n.r.</v>
      </c>
      <c r="AB23" s="8">
        <f ca="1">OFFSET(Database!$F23,0,COLUMN(Database!Y23)*2-12)</f>
        <v>0.12592343854936197</v>
      </c>
      <c r="AC23" s="8" t="str">
        <f ca="1">OFFSET(Database!$F23,0,COLUMN(Database!Z23)*2-12)</f>
        <v>n.r.</v>
      </c>
      <c r="AD23" s="8" t="str">
        <f ca="1">OFFSET(Database!$F23,0,COLUMN(Database!AA23)*2-12)</f>
        <v>n.r.</v>
      </c>
      <c r="AE23" s="8" t="str">
        <f ca="1">OFFSET(Database!$F23,0,COLUMN(Database!AB23)*2-12)</f>
        <v>n.r.</v>
      </c>
      <c r="AF23" s="8" t="str">
        <f ca="1">OFFSET(Database!$F23,0,COLUMN(Database!AC23)*2-12)</f>
        <v>n.r.</v>
      </c>
      <c r="AG23" s="8" t="str">
        <f ca="1">OFFSET(Database!$F23,0,COLUMN(Database!AD23)*2-12)</f>
        <v>n.r.</v>
      </c>
      <c r="AH23" s="8" t="str">
        <f ca="1">OFFSET(Database!$F23,0,COLUMN(Database!AE23)*2-12)</f>
        <v>n.r.</v>
      </c>
      <c r="AI23" s="8" t="str">
        <f ca="1">OFFSET(Database!$F23,0,COLUMN(Database!AF23)*2-12)</f>
        <v>n.r.</v>
      </c>
      <c r="AJ23" s="8" t="str">
        <f ca="1">OFFSET(Database!$F23,0,COLUMN(Database!AG23)*2-12)</f>
        <v>n.r.</v>
      </c>
      <c r="AK23" s="8" t="str">
        <f ca="1">OFFSET(Database!$F23,0,COLUMN(Database!AH23)*2-12)</f>
        <v>n.r.</v>
      </c>
      <c r="AL23" s="8" t="str">
        <f ca="1">OFFSET(Database!$F23,0,COLUMN(Database!AI23)*2-12)</f>
        <v>n.r.</v>
      </c>
      <c r="AM23" s="8" t="str">
        <f ca="1">OFFSET(Database!$F23,0,COLUMN(Database!AJ23)*2-12)</f>
        <v>n.r.</v>
      </c>
      <c r="AN23" s="8" t="str">
        <f ca="1">OFFSET(Database!$F23,0,COLUMN(Database!AK23)*2-12)</f>
        <v>n.r.</v>
      </c>
      <c r="AO23" s="8" t="str">
        <f ca="1">OFFSET(Database!$F23,0,COLUMN(Database!AL23)*2-12)</f>
        <v>n.r.</v>
      </c>
      <c r="AP23" s="8" t="str">
        <f ca="1">OFFSET(Database!$F23,0,COLUMN(Database!AM23)*2-12)</f>
        <v>n.r.</v>
      </c>
      <c r="AQ23" s="8" t="str">
        <f ca="1">OFFSET(Database!$F23,0,COLUMN(Database!AN23)*2-12)</f>
        <v>n.r.</v>
      </c>
      <c r="AR23" s="8" t="str">
        <f ca="1">OFFSET(Database!$F23,0,COLUMN(Database!AO23)*2-12)</f>
        <v>n.r.</v>
      </c>
      <c r="AS23" s="8" t="str">
        <f ca="1">OFFSET(Database!$F23,0,COLUMN(Database!AP23)*2-12)</f>
        <v>n.r.</v>
      </c>
      <c r="AT23" s="8" t="str">
        <f ca="1">OFFSET(Database!$F23,0,COLUMN(Database!AQ23)*2-12)</f>
        <v>n.r.</v>
      </c>
      <c r="AU23" s="8" t="str">
        <f ca="1">OFFSET(Database!$F23,0,COLUMN(Database!AR23)*2-12)</f>
        <v>n.r.</v>
      </c>
      <c r="AV23" s="8" t="str">
        <f ca="1">OFFSET(Database!$F23,0,COLUMN(Database!AS23)*2-12)</f>
        <v>n.r.</v>
      </c>
      <c r="AW23" s="8" t="str">
        <f ca="1">OFFSET(Database!$F23,0,COLUMN(Database!AT23)*2-12)</f>
        <v>n.r.</v>
      </c>
      <c r="AX23" s="8" t="str">
        <f ca="1">OFFSET(Database!$F23,0,COLUMN(Database!AU23)*2-12)</f>
        <v>n.r.</v>
      </c>
      <c r="AY23" s="8" t="str">
        <f ca="1">OFFSET(Database!$F23,0,COLUMN(Database!AV23)*2-12)</f>
        <v>n.r.</v>
      </c>
      <c r="AZ23" s="8" t="str">
        <f ca="1">OFFSET(Database!$F23,0,COLUMN(Database!AW23)*2-12)</f>
        <v>n.r.</v>
      </c>
      <c r="BA23" s="8" t="str">
        <f ca="1">OFFSET(Database!$F23,0,COLUMN(Database!AX23)*2-12)</f>
        <v>n.r.</v>
      </c>
      <c r="BB23" s="8" t="str">
        <f ca="1">OFFSET(Database!$F23,0,COLUMN(Database!AY23)*2-12)</f>
        <v>n.r.</v>
      </c>
      <c r="BC23" s="8" t="str">
        <f ca="1">OFFSET(Database!$F23,0,COLUMN(Database!AZ23)*2-12)</f>
        <v>n.r.</v>
      </c>
      <c r="BD23" s="8" t="str">
        <f ca="1">OFFSET(Database!$F23,0,COLUMN(Database!BA23)*2-12)</f>
        <v>n.r.</v>
      </c>
      <c r="BE23" s="8" t="str">
        <f ca="1">OFFSET(Database!$F23,0,COLUMN(Database!BB23)*2-12)</f>
        <v>n.r.</v>
      </c>
      <c r="BF23" s="8" t="str">
        <f ca="1">OFFSET(Database!$F23,0,COLUMN(Database!BC23)*2-12)</f>
        <v>n.r.</v>
      </c>
      <c r="BG23" s="8" t="str">
        <f ca="1">OFFSET(Database!$F23,0,COLUMN(Database!BD23)*2-12)</f>
        <v>n.r.</v>
      </c>
      <c r="BH23" s="8" t="str">
        <f ca="1">OFFSET(Database!$F23,0,COLUMN(Database!BE23)*2-12)</f>
        <v>n.r.</v>
      </c>
      <c r="BI23" s="8" t="str">
        <f ca="1">OFFSET(Database!$F23,0,COLUMN(Database!BF23)*2-12)</f>
        <v>n.r.</v>
      </c>
      <c r="BJ23" s="8" t="str">
        <f ca="1">OFFSET(Database!$F23,0,COLUMN(Database!BG23)*2-12)</f>
        <v>n.r.</v>
      </c>
      <c r="BK23" s="8" t="str">
        <f ca="1">OFFSET(Database!$F23,0,COLUMN(Database!BH23)*2-12)</f>
        <v>n.r.</v>
      </c>
      <c r="BL23" s="8" t="str">
        <f ca="1">OFFSET(Database!$F23,0,COLUMN(Database!BI23)*2-12)</f>
        <v>n.r.</v>
      </c>
      <c r="BM23" s="8" t="str">
        <f ca="1">OFFSET(Database!$F23,0,COLUMN(Database!BJ23)*2-12)</f>
        <v>n.r.</v>
      </c>
      <c r="BN23" s="8" t="str">
        <f ca="1">OFFSET(Database!$F23,0,COLUMN(Database!BK23)*2-12)</f>
        <v>n.r.</v>
      </c>
      <c r="BO23" s="8" t="str">
        <f ca="1">OFFSET(Database!$F23,0,COLUMN(Database!BL23)*2-12)</f>
        <v>n.r.</v>
      </c>
      <c r="BP23" s="8" t="str">
        <f ca="1">OFFSET(Database!$F23,0,COLUMN(Database!BM23)*2-12)</f>
        <v>n.r.</v>
      </c>
      <c r="BQ23" s="8" t="str">
        <f ca="1">OFFSET(Database!$F23,0,COLUMN(Database!BN23)*2-12)</f>
        <v>n.r.</v>
      </c>
      <c r="BR23" s="8" t="str">
        <f ca="1">OFFSET(Database!$F23,0,COLUMN(Database!BO23)*2-12)</f>
        <v>n.r.</v>
      </c>
      <c r="BS23" s="8" t="str">
        <f ca="1">OFFSET(Database!$F23,0,COLUMN(Database!BP23)*2-12)</f>
        <v>n.r.</v>
      </c>
      <c r="BT23" s="8" t="str">
        <f ca="1">OFFSET(Database!$F23,0,COLUMN(Database!BQ23)*2-12)</f>
        <v>n.r.</v>
      </c>
      <c r="BU23" s="8" t="str">
        <f ca="1">OFFSET(Database!$F23,0,COLUMN(Database!BR23)*2-12)</f>
        <v>n.r.</v>
      </c>
      <c r="BV23" s="8" t="str">
        <f ca="1">OFFSET(Database!$F23,0,COLUMN(Database!BS23)*2-12)</f>
        <v>n.r.</v>
      </c>
      <c r="BW23" s="8" t="str">
        <f ca="1">OFFSET(Database!$F23,0,COLUMN(Database!BT23)*2-12)</f>
        <v>n.r.</v>
      </c>
      <c r="BX23" s="8" t="str">
        <f ca="1">OFFSET(Database!$F23,0,COLUMN(Database!BU23)*2-12)</f>
        <v>n.r.</v>
      </c>
      <c r="BY23" s="8" t="str">
        <f ca="1">OFFSET(Database!$F23,0,COLUMN(Database!BV23)*2-12)</f>
        <v>n.r.</v>
      </c>
      <c r="BZ23" s="8" t="str">
        <f ca="1">OFFSET(Database!$F23,0,COLUMN(Database!BW23)*2-12)</f>
        <v>n.r.</v>
      </c>
      <c r="CA23" s="8" t="str">
        <f ca="1">OFFSET(Database!$F23,0,COLUMN(Database!BX23)*2-12)</f>
        <v>n.r.</v>
      </c>
      <c r="CB23" s="8" t="str">
        <f ca="1">OFFSET(Database!$F23,0,COLUMN(Database!BY23)*2-12)</f>
        <v>n.r.</v>
      </c>
      <c r="CC23" s="8" t="str">
        <f ca="1">OFFSET(Database!$F23,0,COLUMN(Database!BZ23)*2-12)</f>
        <v>n.r.</v>
      </c>
      <c r="CD23" s="8" t="str">
        <f ca="1">OFFSET(Database!$F23,0,COLUMN(Database!CA23)*2-12)</f>
        <v>n.r.</v>
      </c>
      <c r="CE23" s="8" t="str">
        <f ca="1">OFFSET(Database!$F23,0,COLUMN(Database!CB23)*2-12)</f>
        <v>n.r.</v>
      </c>
      <c r="CF23" s="8" t="str">
        <f ca="1">OFFSET(Database!$F23,0,COLUMN(Database!CC23)*2-12)</f>
        <v>n.r.</v>
      </c>
      <c r="CG23" s="8" t="str">
        <f ca="1">OFFSET(Database!$F23,0,COLUMN(Database!CD23)*2-12)</f>
        <v>n.r.</v>
      </c>
      <c r="CH23" s="8" t="str">
        <f ca="1">OFFSET(Database!$F23,0,COLUMN(Database!CE23)*2-12)</f>
        <v>n.r.</v>
      </c>
      <c r="CI23" s="8" t="str">
        <f ca="1">OFFSET(Database!$F23,0,COLUMN(Database!CF23)*2-12)</f>
        <v>n.r.</v>
      </c>
      <c r="CJ23" s="8" t="str">
        <f ca="1">OFFSET(Database!$F23,0,COLUMN(Database!CG23)*2-12)</f>
        <v>n.r.</v>
      </c>
      <c r="CK23" s="8" t="str">
        <f ca="1">OFFSET(Database!$F23,0,COLUMN(Database!CH23)*2-12)</f>
        <v>n.r.</v>
      </c>
      <c r="CL23" s="8" t="str">
        <f ca="1">OFFSET(Database!$F23,0,COLUMN(Database!CI23)*2-12)</f>
        <v>n.r.</v>
      </c>
      <c r="CM23" s="8" t="str">
        <f ca="1">OFFSET(Database!$F23,0,COLUMN(Database!CJ23)*2-12)</f>
        <v>n.r.</v>
      </c>
      <c r="CN23" s="8" t="str">
        <f ca="1">OFFSET(Database!$F23,0,COLUMN(Database!CK23)*2-12)</f>
        <v>n.r.</v>
      </c>
      <c r="CO23" s="8" t="str">
        <f ca="1">OFFSET(Database!$F23,0,COLUMN(Database!CL23)*2-12)</f>
        <v>n.r.</v>
      </c>
      <c r="CP23" s="8" t="str">
        <f ca="1">OFFSET(Database!$F23,0,COLUMN(Database!CM23)*2-12)</f>
        <v>n.r.</v>
      </c>
      <c r="CQ23" s="8" t="str">
        <f ca="1">OFFSET(Database!$F23,0,COLUMN(Database!CN23)*2-12)</f>
        <v>n.r.</v>
      </c>
      <c r="CR23" s="8" t="str">
        <f ca="1">OFFSET(Database!$F23,0,COLUMN(Database!CO23)*2-12)</f>
        <v>n.r.</v>
      </c>
      <c r="CS23" s="8" t="str">
        <f ca="1">OFFSET(Database!$F23,0,COLUMN(Database!CP23)*2-12)</f>
        <v>n.r.</v>
      </c>
      <c r="CT23" s="8" t="str">
        <f ca="1">OFFSET(Database!$F23,0,COLUMN(Database!CQ23)*2-12)</f>
        <v>n.r.</v>
      </c>
      <c r="CU23" s="8" t="str">
        <f ca="1">OFFSET(Database!$F23,0,COLUMN(Database!CR23)*2-12)</f>
        <v>n.r.</v>
      </c>
      <c r="CV23" s="8" t="str">
        <f ca="1">OFFSET(Database!$F23,0,COLUMN(Database!CS23)*2-12)</f>
        <v>n.r.</v>
      </c>
      <c r="CW23" s="8" t="str">
        <f ca="1">OFFSET(Database!$F23,0,COLUMN(Database!CT23)*2-12)</f>
        <v>n.r.</v>
      </c>
      <c r="CX23" s="8" t="str">
        <f ca="1">OFFSET(Database!$F23,0,COLUMN(Database!CU23)*2-12)</f>
        <v>n.r.</v>
      </c>
      <c r="CY23" s="8" t="str">
        <f ca="1">OFFSET(Database!$F23,0,COLUMN(Database!CV23)*2-12)</f>
        <v>n.r.</v>
      </c>
      <c r="CZ23" s="8" t="str">
        <f ca="1">OFFSET(Database!$F23,0,COLUMN(Database!CW23)*2-12)</f>
        <v>n.r.</v>
      </c>
      <c r="DA23" s="8" t="str">
        <f ca="1">OFFSET(Database!$F23,0,COLUMN(Database!CX23)*2-12)</f>
        <v>n.r.</v>
      </c>
      <c r="DB23" s="8" t="str">
        <f ca="1">OFFSET(Database!$F23,0,COLUMN(Database!CY23)*2-12)</f>
        <v>n.r.</v>
      </c>
      <c r="DC23" s="8" t="str">
        <f ca="1">OFFSET(Database!$F23,0,COLUMN(Database!CZ23)*2-12)</f>
        <v>n.r.</v>
      </c>
      <c r="DD23" s="8" t="str">
        <f ca="1">OFFSET(Database!$F23,0,COLUMN(Database!DA23)*2-12)</f>
        <v>n.r.</v>
      </c>
      <c r="DE23" s="8" t="str">
        <f ca="1">OFFSET(Database!$F23,0,COLUMN(Database!DB23)*2-12)</f>
        <v>n.r.</v>
      </c>
      <c r="DF23" s="8" t="str">
        <f ca="1">OFFSET(Database!$F23,0,COLUMN(Database!DC23)*2-12)</f>
        <v>n.r.</v>
      </c>
      <c r="DG23" s="8" t="str">
        <f ca="1">OFFSET(Database!$F23,0,COLUMN(Database!DD23)*2-12)</f>
        <v>n.r.</v>
      </c>
      <c r="DH23" s="8" t="str">
        <f ca="1">OFFSET(Database!$F23,0,COLUMN(Database!DE23)*2-12)</f>
        <v>n.r.</v>
      </c>
      <c r="DI23" s="8" t="str">
        <f ca="1">OFFSET(Database!$F23,0,COLUMN(Database!DF23)*2-12)</f>
        <v>n.r.</v>
      </c>
      <c r="DJ23" s="8" t="str">
        <f ca="1">OFFSET(Database!$F23,0,COLUMN(Database!DG23)*2-12)</f>
        <v>n.r.</v>
      </c>
      <c r="DK23" s="8" t="str">
        <f ca="1">OFFSET(Database!$F23,0,COLUMN(Database!DH23)*2-12)</f>
        <v>n.r.</v>
      </c>
      <c r="DL23" s="8" t="str">
        <f ca="1">OFFSET(Database!$F23,0,COLUMN(Database!DI23)*2-12)</f>
        <v>n.r.</v>
      </c>
      <c r="DM23" s="8" t="str">
        <f ca="1">OFFSET(Database!$F23,0,COLUMN(Database!DJ23)*2-12)</f>
        <v>n.r.</v>
      </c>
      <c r="DN23" s="8" t="str">
        <f ca="1">OFFSET(Database!$F23,0,COLUMN(Database!DK23)*2-12)</f>
        <v>n.r.</v>
      </c>
      <c r="DO23" s="8" t="str">
        <f ca="1">OFFSET(Database!$F23,0,COLUMN(Database!DL23)*2-12)</f>
        <v>n.r.</v>
      </c>
      <c r="DP23" s="8" t="str">
        <f ca="1">OFFSET(Database!$F23,0,COLUMN(Database!DM23)*2-12)</f>
        <v>n.r.</v>
      </c>
      <c r="DQ23" s="8" t="str">
        <f ca="1">OFFSET(Database!$F23,0,COLUMN(Database!DN23)*2-12)</f>
        <v>n.r.</v>
      </c>
      <c r="DR23" s="8" t="str">
        <f ca="1">OFFSET(Database!$F23,0,COLUMN(Database!DO23)*2-12)</f>
        <v>n.r.</v>
      </c>
      <c r="DS23" s="8" t="str">
        <f ca="1">OFFSET(Database!$F23,0,COLUMN(Database!DP23)*2-12)</f>
        <v>n.r.</v>
      </c>
      <c r="DT23" s="8" t="str">
        <f ca="1">OFFSET(Database!$F23,0,COLUMN(Database!DQ23)*2-12)</f>
        <v>n.r.</v>
      </c>
      <c r="DU23" s="8" t="str">
        <f ca="1">OFFSET(Database!$F23,0,COLUMN(Database!DR23)*2-12)</f>
        <v>n.r.</v>
      </c>
      <c r="DV23" s="8" t="str">
        <f ca="1">OFFSET(Database!$F23,0,COLUMN(Database!DS23)*2-12)</f>
        <v>n.r.</v>
      </c>
      <c r="DW23" s="8" t="str">
        <f ca="1">OFFSET(Database!$F23,0,COLUMN(Database!DT23)*2-12)</f>
        <v>n.r.</v>
      </c>
      <c r="DX23" s="8" t="str">
        <f ca="1">OFFSET(Database!$F23,0,COLUMN(Database!DU23)*2-12)</f>
        <v>n.r.</v>
      </c>
      <c r="DY23" s="8" t="str">
        <f ca="1">OFFSET(Database!$F23,0,COLUMN(Database!DV23)*2-12)</f>
        <v>n.r.</v>
      </c>
      <c r="DZ23" s="8" t="str">
        <f ca="1">OFFSET(Database!$F23,0,COLUMN(Database!DW23)*2-12)</f>
        <v>n.r.</v>
      </c>
      <c r="EA23" s="8" t="str">
        <f ca="1">OFFSET(Database!$F23,0,COLUMN(Database!DX23)*2-12)</f>
        <v>n.r.</v>
      </c>
      <c r="EB23" s="8" t="str">
        <f ca="1">OFFSET(Database!$F23,0,COLUMN(Database!DY23)*2-12)</f>
        <v>n.r.</v>
      </c>
      <c r="EC23" s="8" t="str">
        <f ca="1">OFFSET(Database!$F23,0,COLUMN(Database!DZ23)*2-12)</f>
        <v>n.r.</v>
      </c>
      <c r="ED23" s="8" t="str">
        <f ca="1">OFFSET(Database!$F23,0,COLUMN(Database!EA23)*2-12)</f>
        <v>n.r.</v>
      </c>
      <c r="EE23" s="8" t="str">
        <f ca="1">OFFSET(Database!$F23,0,COLUMN(Database!EB23)*2-12)</f>
        <v>n.r.</v>
      </c>
      <c r="EF23" s="8" t="str">
        <f ca="1">OFFSET(Database!$F23,0,COLUMN(Database!EC23)*2-12)</f>
        <v>n.r.</v>
      </c>
      <c r="EG23" s="8" t="str">
        <f ca="1">OFFSET(Database!$F23,0,COLUMN(Database!ED23)*2-12)</f>
        <v>n.r.</v>
      </c>
      <c r="EH23" s="8" t="str">
        <f ca="1">OFFSET(Database!$F23,0,COLUMN(Database!EE23)*2-12)</f>
        <v>n.r.</v>
      </c>
      <c r="EI23" s="8" t="str">
        <f ca="1">OFFSET(Database!$F23,0,COLUMN(Database!EF23)*2-12)</f>
        <v>n.r.</v>
      </c>
      <c r="EJ23" s="8" t="str">
        <f ca="1">OFFSET(Database!$F23,0,COLUMN(Database!EG23)*2-12)</f>
        <v>n.r.</v>
      </c>
      <c r="EK23" s="8" t="str">
        <f ca="1">OFFSET(Database!$F23,0,COLUMN(Database!EH23)*2-12)</f>
        <v>n.r.</v>
      </c>
      <c r="EL23" s="8" t="str">
        <f ca="1">OFFSET(Database!$F23,0,COLUMN(Database!EI23)*2-12)</f>
        <v>n.r.</v>
      </c>
      <c r="EM23" s="8" t="str">
        <f ca="1">OFFSET(Database!$F23,0,COLUMN(Database!EJ23)*2-12)</f>
        <v>n.r.</v>
      </c>
      <c r="EN23" s="8" t="str">
        <f ca="1">OFFSET(Database!$F23,0,COLUMN(Database!EK23)*2-12)</f>
        <v>n.r.</v>
      </c>
      <c r="EO23" s="8" t="str">
        <f ca="1">OFFSET(Database!$F23,0,COLUMN(Database!EL23)*2-12)</f>
        <v>n.r.</v>
      </c>
      <c r="EP23" s="8" t="str">
        <f ca="1">OFFSET(Database!$F23,0,COLUMN(Database!EM23)*2-12)</f>
        <v>n.r.</v>
      </c>
      <c r="EQ23" s="8" t="str">
        <f ca="1">OFFSET(Database!$F23,0,COLUMN(Database!EN23)*2-12)</f>
        <v>n.r.</v>
      </c>
      <c r="ER23" s="8" t="str">
        <f ca="1">OFFSET(Database!$F23,0,COLUMN(Database!EO23)*2-12)</f>
        <v>n.r.</v>
      </c>
      <c r="ES23" s="8" t="str">
        <f ca="1">OFFSET(Database!$F23,0,COLUMN(Database!EP23)*2-12)</f>
        <v>n.r.</v>
      </c>
      <c r="ET23" s="8" t="str">
        <f ca="1">OFFSET(Database!$F23,0,COLUMN(Database!EQ23)*2-12)</f>
        <v>n.r.</v>
      </c>
      <c r="EU23" s="8" t="str">
        <f ca="1">OFFSET(Database!$F23,0,COLUMN(Database!ER23)*2-12)</f>
        <v>n.r.</v>
      </c>
      <c r="EV23" s="8" t="str">
        <f ca="1">OFFSET(Database!$F23,0,COLUMN(Database!ES23)*2-12)</f>
        <v>n.r.</v>
      </c>
      <c r="EW23" s="8" t="str">
        <f ca="1">OFFSET(Database!$F23,0,COLUMN(Database!ET23)*2-12)</f>
        <v>n.r.</v>
      </c>
      <c r="EX23" s="8" t="str">
        <f ca="1">OFFSET(Database!$F23,0,COLUMN(Database!EU23)*2-12)</f>
        <v>n.r.</v>
      </c>
      <c r="EY23" s="8" t="str">
        <f ca="1">OFFSET(Database!$F23,0,COLUMN(Database!EV23)*2-12)</f>
        <v>n.r.</v>
      </c>
      <c r="EZ23" s="8" t="str">
        <f ca="1">OFFSET(Database!$F23,0,COLUMN(Database!EW23)*2-12)</f>
        <v>n.r.</v>
      </c>
      <c r="FA23" s="8" t="str">
        <f ca="1">OFFSET(Database!$F23,0,COLUMN(Database!EX23)*2-12)</f>
        <v>n.r.</v>
      </c>
      <c r="FB23" s="8" t="str">
        <f ca="1">OFFSET(Database!$F23,0,COLUMN(Database!EY23)*2-12)</f>
        <v>n.r.</v>
      </c>
      <c r="FC23" s="8" t="str">
        <f ca="1">OFFSET(Database!$F23,0,COLUMN(Database!EZ23)*2-12)</f>
        <v>n.r.</v>
      </c>
      <c r="FD23" s="8" t="str">
        <f ca="1">OFFSET(Database!$F23,0,COLUMN(Database!FA23)*2-12)</f>
        <v>n.r.</v>
      </c>
      <c r="FE23" s="8" t="str">
        <f ca="1">OFFSET(Database!$F23,0,COLUMN(Database!FB23)*2-12)</f>
        <v>n.r.</v>
      </c>
      <c r="FF23" s="8" t="str">
        <f ca="1">OFFSET(Database!$F23,0,COLUMN(Database!FC23)*2-12)</f>
        <v>n.r.</v>
      </c>
      <c r="FG23" s="8" t="str">
        <f ca="1">OFFSET(Database!$F23,0,COLUMN(Database!FD23)*2-12)</f>
        <v>n.r.</v>
      </c>
      <c r="FH23" s="8" t="str">
        <f ca="1">OFFSET(Database!$F23,0,COLUMN(Database!FE23)*2-12)</f>
        <v>n.r.</v>
      </c>
      <c r="FI23" s="8" t="str">
        <f ca="1">OFFSET(Database!$F23,0,COLUMN(Database!FF23)*2-12)</f>
        <v>n.r.</v>
      </c>
      <c r="FJ23" s="8" t="str">
        <f ca="1">OFFSET(Database!$F23,0,COLUMN(Database!FG23)*2-12)</f>
        <v>n.r.</v>
      </c>
      <c r="FK23" s="8" t="str">
        <f ca="1">OFFSET(Database!$F23,0,COLUMN(Database!FH23)*2-12)</f>
        <v>n.r.</v>
      </c>
      <c r="FL23" s="8" t="str">
        <f ca="1">OFFSET(Database!$F23,0,COLUMN(Database!FI23)*2-12)</f>
        <v>n.r.</v>
      </c>
      <c r="FM23" s="8" t="str">
        <f ca="1">OFFSET(Database!$F23,0,COLUMN(Database!FJ23)*2-12)</f>
        <v>n.r.</v>
      </c>
      <c r="FN23" s="8" t="str">
        <f ca="1">OFFSET(Database!$F23,0,COLUMN(Database!FK23)*2-12)</f>
        <v>n.r.</v>
      </c>
      <c r="FO23" s="8" t="str">
        <f ca="1">OFFSET(Database!$F23,0,COLUMN(Database!FL23)*2-12)</f>
        <v>n.r.</v>
      </c>
      <c r="FP23" s="8" t="str">
        <f ca="1">OFFSET(Database!$F23,0,COLUMN(Database!FM23)*2-12)</f>
        <v>n.r.</v>
      </c>
      <c r="FQ23" s="8" t="str">
        <f ca="1">OFFSET(Database!$F23,0,COLUMN(Database!FN23)*2-12)</f>
        <v>n.r.</v>
      </c>
      <c r="FR23" s="8" t="str">
        <f ca="1">OFFSET(Database!$F23,0,COLUMN(Database!FO23)*2-12)</f>
        <v>n.r.</v>
      </c>
      <c r="FS23" s="8" t="str">
        <f ca="1">OFFSET(Database!$F23,0,COLUMN(Database!FP23)*2-12)</f>
        <v>n.r.</v>
      </c>
      <c r="FT23" s="8" t="str">
        <f ca="1">OFFSET(Database!$F23,0,COLUMN(Database!FQ23)*2-12)</f>
        <v>n.r.</v>
      </c>
      <c r="FU23" s="8" t="str">
        <f ca="1">OFFSET(Database!$F23,0,COLUMN(Database!FR23)*2-12)</f>
        <v>n.r.</v>
      </c>
      <c r="FV23" s="8" t="str">
        <f ca="1">OFFSET(Database!$F23,0,COLUMN(Database!FS23)*2-12)</f>
        <v>n.r.</v>
      </c>
      <c r="FW23" s="8" t="str">
        <f ca="1">OFFSET(Database!$F23,0,COLUMN(Database!FT23)*2-12)</f>
        <v>n.r.</v>
      </c>
      <c r="FX23" s="8" t="str">
        <f ca="1">OFFSET(Database!$F23,0,COLUMN(Database!FU23)*2-12)</f>
        <v>n.r.</v>
      </c>
      <c r="FY23" s="8" t="str">
        <f ca="1">OFFSET(Database!$F23,0,COLUMN(Database!FV23)*2-12)</f>
        <v>n.r.</v>
      </c>
      <c r="FZ23" s="8" t="str">
        <f ca="1">OFFSET(Database!$F23,0,COLUMN(Database!FW23)*2-12)</f>
        <v>n.r.</v>
      </c>
      <c r="GA23" s="8" t="str">
        <f ca="1">OFFSET(Database!$F23,0,COLUMN(Database!FX23)*2-12)</f>
        <v>n.r.</v>
      </c>
      <c r="GB23" s="8" t="str">
        <f ca="1">OFFSET(Database!$F23,0,COLUMN(Database!FY23)*2-12)</f>
        <v>n.r.</v>
      </c>
      <c r="GC23" s="8" t="str">
        <f ca="1">OFFSET(Database!$F23,0,COLUMN(Database!FZ23)*2-12)</f>
        <v>n.r.</v>
      </c>
      <c r="GD23" s="8" t="str">
        <f ca="1">OFFSET(Database!$F23,0,COLUMN(Database!GA23)*2-12)</f>
        <v>n.r.</v>
      </c>
      <c r="GE23" s="8" t="str">
        <f ca="1">OFFSET(Database!$F23,0,COLUMN(Database!GB23)*2-12)</f>
        <v>n.r.</v>
      </c>
      <c r="GF23" s="8" t="str">
        <f ca="1">OFFSET(Database!$F23,0,COLUMN(Database!GC23)*2-12)</f>
        <v>n.r.</v>
      </c>
      <c r="GG23" s="8" t="str">
        <f ca="1">OFFSET(Database!$F23,0,COLUMN(Database!GD23)*2-12)</f>
        <v>n.r.</v>
      </c>
      <c r="GH23" s="8" t="str">
        <f ca="1">OFFSET(Database!$F23,0,COLUMN(Database!GE23)*2-12)</f>
        <v>n.r.</v>
      </c>
      <c r="GI23" s="8" t="str">
        <f ca="1">OFFSET(Database!$F23,0,COLUMN(Database!GF23)*2-12)</f>
        <v>n.r.</v>
      </c>
      <c r="GJ23" s="8" t="str">
        <f ca="1">OFFSET(Database!$F23,0,COLUMN(Database!GG23)*2-12)</f>
        <v>n.r.</v>
      </c>
      <c r="GK23" s="8" t="str">
        <f ca="1">OFFSET(Database!$F23,0,COLUMN(Database!GH23)*2-12)</f>
        <v>n.r.</v>
      </c>
      <c r="GL23" s="8" t="str">
        <f ca="1">OFFSET(Database!$F23,0,COLUMN(Database!GI23)*2-12)</f>
        <v>n.r.</v>
      </c>
      <c r="GM23" s="8" t="str">
        <f ca="1">OFFSET(Database!$F23,0,COLUMN(Database!GJ23)*2-12)</f>
        <v>n.r.</v>
      </c>
      <c r="GN23" s="8" t="str">
        <f ca="1">OFFSET(Database!$F23,0,COLUMN(Database!GK23)*2-12)</f>
        <v>n.r.</v>
      </c>
      <c r="GO23" s="8">
        <f ca="1">OFFSET(Database!$F23,0,COLUMN(Database!GL23)*2-12)</f>
        <v>134.31833445265278</v>
      </c>
      <c r="GP23" s="8">
        <f ca="1">OFFSET(Database!$F23,0,COLUMN(Database!GM23)*2-12)</f>
        <v>512.08865010073873</v>
      </c>
    </row>
    <row r="24" spans="1:198" x14ac:dyDescent="0.2">
      <c r="A24" s="50" t="str">
        <f>Database!A24</f>
        <v>D-allo-threonine</v>
      </c>
      <c r="B24" s="1" t="s">
        <v>867</v>
      </c>
      <c r="C24" s="4" t="str">
        <f>Database!B24</f>
        <v>β</v>
      </c>
      <c r="D24" s="4" t="str">
        <f>Database!C24</f>
        <v>D</v>
      </c>
      <c r="E24" s="74">
        <f>Database!D24</f>
        <v>2</v>
      </c>
      <c r="F24" s="32" t="s">
        <v>908</v>
      </c>
      <c r="G24" s="1">
        <v>90624</v>
      </c>
      <c r="H24" s="1">
        <f>Database!E24</f>
        <v>119.12</v>
      </c>
      <c r="I24" s="8" t="str">
        <f ca="1">OFFSET(Database!$F24,0,COLUMN(Database!F24)*2-12)</f>
        <v>n.r.</v>
      </c>
      <c r="J24" s="8" t="str">
        <f ca="1">OFFSET(Database!$F24,0,COLUMN(Database!G24)*2-12)</f>
        <v>n.r.</v>
      </c>
      <c r="K24" s="8" t="str">
        <f ca="1">OFFSET(Database!$F24,0,COLUMN(Database!H24)*2-12)</f>
        <v>n.r.</v>
      </c>
      <c r="L24" s="8" t="str">
        <f ca="1">OFFSET(Database!$F24,0,COLUMN(Database!I24)*2-12)</f>
        <v>n.r.</v>
      </c>
      <c r="M24" s="8" t="str">
        <f ca="1">OFFSET(Database!$F24,0,COLUMN(Database!J24)*2-12)</f>
        <v>n.r.</v>
      </c>
      <c r="N24" s="8" t="str">
        <f ca="1">OFFSET(Database!$F24,0,COLUMN(Database!K24)*2-12)</f>
        <v>n.r.</v>
      </c>
      <c r="O24" s="8" t="str">
        <f ca="1">OFFSET(Database!$F24,0,COLUMN(Database!L24)*2-12)</f>
        <v>n.r.</v>
      </c>
      <c r="P24" s="8" t="str">
        <f ca="1">OFFSET(Database!$F24,0,COLUMN(Database!M24)*2-12)</f>
        <v>n.r.</v>
      </c>
      <c r="Q24" s="8" t="str">
        <f ca="1">OFFSET(Database!$F24,0,COLUMN(Database!N24)*2-12)</f>
        <v>n.r.</v>
      </c>
      <c r="R24" s="8" t="str">
        <f ca="1">OFFSET(Database!$F24,0,COLUMN(Database!O24)*2-12)</f>
        <v>n.r.</v>
      </c>
      <c r="S24" s="8" t="str">
        <f ca="1">OFFSET(Database!$F24,0,COLUMN(Database!P24)*2-12)</f>
        <v>n.r.</v>
      </c>
      <c r="T24" s="8" t="str">
        <f ca="1">OFFSET(Database!$F24,0,COLUMN(Database!Q24)*2-12)</f>
        <v>n.r.</v>
      </c>
      <c r="U24" s="8" t="str">
        <f ca="1">OFFSET(Database!$F24,0,COLUMN(Database!R24)*2-12)</f>
        <v>n.r.</v>
      </c>
      <c r="V24" s="8" t="str">
        <f ca="1">OFFSET(Database!$F24,0,COLUMN(Database!S24)*2-12)</f>
        <v>n.r.</v>
      </c>
      <c r="W24" s="8" t="str">
        <f ca="1">OFFSET(Database!$F24,0,COLUMN(Database!T24)*2-12)</f>
        <v>n.r.</v>
      </c>
      <c r="X24" s="8" t="str">
        <f ca="1">OFFSET(Database!$F24,0,COLUMN(Database!U24)*2-12)</f>
        <v>n.r.</v>
      </c>
      <c r="Y24" s="8" t="str">
        <f ca="1">OFFSET(Database!$F24,0,COLUMN(Database!V24)*2-12)</f>
        <v>n.r.</v>
      </c>
      <c r="Z24" s="8" t="str">
        <f ca="1">OFFSET(Database!$F24,0,COLUMN(Database!W24)*2-12)</f>
        <v>n.r.</v>
      </c>
      <c r="AA24" s="8" t="str">
        <f ca="1">OFFSET(Database!$F24,0,COLUMN(Database!X24)*2-12)</f>
        <v>n.r.</v>
      </c>
      <c r="AB24" s="8" t="str">
        <f ca="1">OFFSET(Database!$F24,0,COLUMN(Database!Y24)*2-12)</f>
        <v>tr.</v>
      </c>
      <c r="AC24" s="8" t="str">
        <f ca="1">OFFSET(Database!$F24,0,COLUMN(Database!Z24)*2-12)</f>
        <v>n.r.</v>
      </c>
      <c r="AD24" s="8" t="str">
        <f ca="1">OFFSET(Database!$F24,0,COLUMN(Database!AA24)*2-12)</f>
        <v>n.r.</v>
      </c>
      <c r="AE24" s="8" t="str">
        <f ca="1">OFFSET(Database!$F24,0,COLUMN(Database!AB24)*2-12)</f>
        <v>n.r.</v>
      </c>
      <c r="AF24" s="8" t="str">
        <f ca="1">OFFSET(Database!$F24,0,COLUMN(Database!AC24)*2-12)</f>
        <v>n.r.</v>
      </c>
      <c r="AG24" s="8" t="str">
        <f ca="1">OFFSET(Database!$F24,0,COLUMN(Database!AD24)*2-12)</f>
        <v>n.r.</v>
      </c>
      <c r="AH24" s="8" t="str">
        <f ca="1">OFFSET(Database!$F24,0,COLUMN(Database!AE24)*2-12)</f>
        <v>n.r.</v>
      </c>
      <c r="AI24" s="8" t="str">
        <f ca="1">OFFSET(Database!$F24,0,COLUMN(Database!AF24)*2-12)</f>
        <v>n.r.</v>
      </c>
      <c r="AJ24" s="8" t="str">
        <f ca="1">OFFSET(Database!$F24,0,COLUMN(Database!AG24)*2-12)</f>
        <v>n.r.</v>
      </c>
      <c r="AK24" s="8" t="str">
        <f ca="1">OFFSET(Database!$F24,0,COLUMN(Database!AH24)*2-12)</f>
        <v>n.r.</v>
      </c>
      <c r="AL24" s="8" t="str">
        <f ca="1">OFFSET(Database!$F24,0,COLUMN(Database!AI24)*2-12)</f>
        <v>n.r.</v>
      </c>
      <c r="AM24" s="8" t="str">
        <f ca="1">OFFSET(Database!$F24,0,COLUMN(Database!AJ24)*2-12)</f>
        <v>n.r.</v>
      </c>
      <c r="AN24" s="8" t="str">
        <f ca="1">OFFSET(Database!$F24,0,COLUMN(Database!AK24)*2-12)</f>
        <v>n.r.</v>
      </c>
      <c r="AO24" s="8" t="str">
        <f ca="1">OFFSET(Database!$F24,0,COLUMN(Database!AL24)*2-12)</f>
        <v>n.r.</v>
      </c>
      <c r="AP24" s="8" t="str">
        <f ca="1">OFFSET(Database!$F24,0,COLUMN(Database!AM24)*2-12)</f>
        <v>n.r.</v>
      </c>
      <c r="AQ24" s="8" t="str">
        <f ca="1">OFFSET(Database!$F24,0,COLUMN(Database!AN24)*2-12)</f>
        <v>n.r.</v>
      </c>
      <c r="AR24" s="8" t="str">
        <f ca="1">OFFSET(Database!$F24,0,COLUMN(Database!AO24)*2-12)</f>
        <v>n.r.</v>
      </c>
      <c r="AS24" s="8" t="str">
        <f ca="1">OFFSET(Database!$F24,0,COLUMN(Database!AP24)*2-12)</f>
        <v>n.r.</v>
      </c>
      <c r="AT24" s="8" t="str">
        <f ca="1">OFFSET(Database!$F24,0,COLUMN(Database!AQ24)*2-12)</f>
        <v>n.r.</v>
      </c>
      <c r="AU24" s="8" t="str">
        <f ca="1">OFFSET(Database!$F24,0,COLUMN(Database!AR24)*2-12)</f>
        <v>n.r.</v>
      </c>
      <c r="AV24" s="8" t="str">
        <f ca="1">OFFSET(Database!$F24,0,COLUMN(Database!AS24)*2-12)</f>
        <v>n.r.</v>
      </c>
      <c r="AW24" s="8" t="str">
        <f ca="1">OFFSET(Database!$F24,0,COLUMN(Database!AT24)*2-12)</f>
        <v>n.r.</v>
      </c>
      <c r="AX24" s="8" t="str">
        <f ca="1">OFFSET(Database!$F24,0,COLUMN(Database!AU24)*2-12)</f>
        <v>n.r.</v>
      </c>
      <c r="AY24" s="8" t="str">
        <f ca="1">OFFSET(Database!$F24,0,COLUMN(Database!AV24)*2-12)</f>
        <v>n.r.</v>
      </c>
      <c r="AZ24" s="8" t="str">
        <f ca="1">OFFSET(Database!$F24,0,COLUMN(Database!AW24)*2-12)</f>
        <v>n.r.</v>
      </c>
      <c r="BA24" s="8" t="str">
        <f ca="1">OFFSET(Database!$F24,0,COLUMN(Database!AX24)*2-12)</f>
        <v>n.r.</v>
      </c>
      <c r="BB24" s="8" t="str">
        <f ca="1">OFFSET(Database!$F24,0,COLUMN(Database!AY24)*2-12)</f>
        <v>n.r.</v>
      </c>
      <c r="BC24" s="8" t="str">
        <f ca="1">OFFSET(Database!$F24,0,COLUMN(Database!AZ24)*2-12)</f>
        <v>n.r.</v>
      </c>
      <c r="BD24" s="8" t="str">
        <f ca="1">OFFSET(Database!$F24,0,COLUMN(Database!BA24)*2-12)</f>
        <v>n.r.</v>
      </c>
      <c r="BE24" s="8" t="str">
        <f ca="1">OFFSET(Database!$F24,0,COLUMN(Database!BB24)*2-12)</f>
        <v>n.r.</v>
      </c>
      <c r="BF24" s="8" t="str">
        <f ca="1">OFFSET(Database!$F24,0,COLUMN(Database!BC24)*2-12)</f>
        <v>n.r.</v>
      </c>
      <c r="BG24" s="8" t="str">
        <f ca="1">OFFSET(Database!$F24,0,COLUMN(Database!BD24)*2-12)</f>
        <v>n.r.</v>
      </c>
      <c r="BH24" s="8" t="str">
        <f ca="1">OFFSET(Database!$F24,0,COLUMN(Database!BE24)*2-12)</f>
        <v>n.r.</v>
      </c>
      <c r="BI24" s="8" t="str">
        <f ca="1">OFFSET(Database!$F24,0,COLUMN(Database!BF24)*2-12)</f>
        <v>n.r.</v>
      </c>
      <c r="BJ24" s="8" t="str">
        <f ca="1">OFFSET(Database!$F24,0,COLUMN(Database!BG24)*2-12)</f>
        <v>n.r.</v>
      </c>
      <c r="BK24" s="8" t="str">
        <f ca="1">OFFSET(Database!$F24,0,COLUMN(Database!BH24)*2-12)</f>
        <v>n.r.</v>
      </c>
      <c r="BL24" s="8" t="str">
        <f ca="1">OFFSET(Database!$F24,0,COLUMN(Database!BI24)*2-12)</f>
        <v>n.r.</v>
      </c>
      <c r="BM24" s="8" t="str">
        <f ca="1">OFFSET(Database!$F24,0,COLUMN(Database!BJ24)*2-12)</f>
        <v>n.r.</v>
      </c>
      <c r="BN24" s="8" t="str">
        <f ca="1">OFFSET(Database!$F24,0,COLUMN(Database!BK24)*2-12)</f>
        <v>n.r.</v>
      </c>
      <c r="BO24" s="8" t="str">
        <f ca="1">OFFSET(Database!$F24,0,COLUMN(Database!BL24)*2-12)</f>
        <v>n.r.</v>
      </c>
      <c r="BP24" s="8" t="str">
        <f ca="1">OFFSET(Database!$F24,0,COLUMN(Database!BM24)*2-12)</f>
        <v>n.r.</v>
      </c>
      <c r="BQ24" s="8" t="str">
        <f ca="1">OFFSET(Database!$F24,0,COLUMN(Database!BN24)*2-12)</f>
        <v>n.r.</v>
      </c>
      <c r="BR24" s="8" t="str">
        <f ca="1">OFFSET(Database!$F24,0,COLUMN(Database!BO24)*2-12)</f>
        <v>n.r.</v>
      </c>
      <c r="BS24" s="8" t="str">
        <f ca="1">OFFSET(Database!$F24,0,COLUMN(Database!BP24)*2-12)</f>
        <v>n.r.</v>
      </c>
      <c r="BT24" s="8" t="str">
        <f ca="1">OFFSET(Database!$F24,0,COLUMN(Database!BQ24)*2-12)</f>
        <v>n.r.</v>
      </c>
      <c r="BU24" s="8" t="str">
        <f ca="1">OFFSET(Database!$F24,0,COLUMN(Database!BR24)*2-12)</f>
        <v>n.r.</v>
      </c>
      <c r="BV24" s="8" t="str">
        <f ca="1">OFFSET(Database!$F24,0,COLUMN(Database!BS24)*2-12)</f>
        <v>n.r.</v>
      </c>
      <c r="BW24" s="8" t="str">
        <f ca="1">OFFSET(Database!$F24,0,COLUMN(Database!BT24)*2-12)</f>
        <v>n.r.</v>
      </c>
      <c r="BX24" s="8" t="str">
        <f ca="1">OFFSET(Database!$F24,0,COLUMN(Database!BU24)*2-12)</f>
        <v>n.r.</v>
      </c>
      <c r="BY24" s="8" t="str">
        <f ca="1">OFFSET(Database!$F24,0,COLUMN(Database!BV24)*2-12)</f>
        <v>n.r.</v>
      </c>
      <c r="BZ24" s="8" t="str">
        <f ca="1">OFFSET(Database!$F24,0,COLUMN(Database!BW24)*2-12)</f>
        <v>n.r.</v>
      </c>
      <c r="CA24" s="8" t="str">
        <f ca="1">OFFSET(Database!$F24,0,COLUMN(Database!BX24)*2-12)</f>
        <v>n.r.</v>
      </c>
      <c r="CB24" s="8" t="str">
        <f ca="1">OFFSET(Database!$F24,0,COLUMN(Database!BY24)*2-12)</f>
        <v>n.r.</v>
      </c>
      <c r="CC24" s="8" t="str">
        <f ca="1">OFFSET(Database!$F24,0,COLUMN(Database!BZ24)*2-12)</f>
        <v>n.r.</v>
      </c>
      <c r="CD24" s="8" t="str">
        <f ca="1">OFFSET(Database!$F24,0,COLUMN(Database!CA24)*2-12)</f>
        <v>n.r.</v>
      </c>
      <c r="CE24" s="8" t="str">
        <f ca="1">OFFSET(Database!$F24,0,COLUMN(Database!CB24)*2-12)</f>
        <v>n.r.</v>
      </c>
      <c r="CF24" s="8" t="str">
        <f ca="1">OFFSET(Database!$F24,0,COLUMN(Database!CC24)*2-12)</f>
        <v>n.r.</v>
      </c>
      <c r="CG24" s="8" t="str">
        <f ca="1">OFFSET(Database!$F24,0,COLUMN(Database!CD24)*2-12)</f>
        <v>n.r.</v>
      </c>
      <c r="CH24" s="8" t="str">
        <f ca="1">OFFSET(Database!$F24,0,COLUMN(Database!CE24)*2-12)</f>
        <v>n.r.</v>
      </c>
      <c r="CI24" s="8" t="str">
        <f ca="1">OFFSET(Database!$F24,0,COLUMN(Database!CF24)*2-12)</f>
        <v>n.r.</v>
      </c>
      <c r="CJ24" s="8" t="str">
        <f ca="1">OFFSET(Database!$F24,0,COLUMN(Database!CG24)*2-12)</f>
        <v>n.r.</v>
      </c>
      <c r="CK24" s="8" t="str">
        <f ca="1">OFFSET(Database!$F24,0,COLUMN(Database!CH24)*2-12)</f>
        <v>n.r.</v>
      </c>
      <c r="CL24" s="8" t="str">
        <f ca="1">OFFSET(Database!$F24,0,COLUMN(Database!CI24)*2-12)</f>
        <v>n.r.</v>
      </c>
      <c r="CM24" s="8" t="str">
        <f ca="1">OFFSET(Database!$F24,0,COLUMN(Database!CJ24)*2-12)</f>
        <v>n.r.</v>
      </c>
      <c r="CN24" s="8" t="str">
        <f ca="1">OFFSET(Database!$F24,0,COLUMN(Database!CK24)*2-12)</f>
        <v>n.r.</v>
      </c>
      <c r="CO24" s="8" t="str">
        <f ca="1">OFFSET(Database!$F24,0,COLUMN(Database!CL24)*2-12)</f>
        <v>n.r.</v>
      </c>
      <c r="CP24" s="8" t="str">
        <f ca="1">OFFSET(Database!$F24,0,COLUMN(Database!CM24)*2-12)</f>
        <v>n.r.</v>
      </c>
      <c r="CQ24" s="8" t="str">
        <f ca="1">OFFSET(Database!$F24,0,COLUMN(Database!CN24)*2-12)</f>
        <v>n.r.</v>
      </c>
      <c r="CR24" s="8" t="str">
        <f ca="1">OFFSET(Database!$F24,0,COLUMN(Database!CO24)*2-12)</f>
        <v>n.r.</v>
      </c>
      <c r="CS24" s="8" t="str">
        <f ca="1">OFFSET(Database!$F24,0,COLUMN(Database!CP24)*2-12)</f>
        <v>n.r.</v>
      </c>
      <c r="CT24" s="8" t="str">
        <f ca="1">OFFSET(Database!$F24,0,COLUMN(Database!CQ24)*2-12)</f>
        <v>n.r.</v>
      </c>
      <c r="CU24" s="8" t="str">
        <f ca="1">OFFSET(Database!$F24,0,COLUMN(Database!CR24)*2-12)</f>
        <v>n.r.</v>
      </c>
      <c r="CV24" s="8" t="str">
        <f ca="1">OFFSET(Database!$F24,0,COLUMN(Database!CS24)*2-12)</f>
        <v>n.r.</v>
      </c>
      <c r="CW24" s="8" t="str">
        <f ca="1">OFFSET(Database!$F24,0,COLUMN(Database!CT24)*2-12)</f>
        <v>n.r.</v>
      </c>
      <c r="CX24" s="8" t="str">
        <f ca="1">OFFSET(Database!$F24,0,COLUMN(Database!CU24)*2-12)</f>
        <v>n.r.</v>
      </c>
      <c r="CY24" s="8" t="str">
        <f ca="1">OFFSET(Database!$F24,0,COLUMN(Database!CV24)*2-12)</f>
        <v>n.r.</v>
      </c>
      <c r="CZ24" s="8" t="str">
        <f ca="1">OFFSET(Database!$F24,0,COLUMN(Database!CW24)*2-12)</f>
        <v>n.r.</v>
      </c>
      <c r="DA24" s="8" t="str">
        <f ca="1">OFFSET(Database!$F24,0,COLUMN(Database!CX24)*2-12)</f>
        <v>n.r.</v>
      </c>
      <c r="DB24" s="8" t="str">
        <f ca="1">OFFSET(Database!$F24,0,COLUMN(Database!CY24)*2-12)</f>
        <v>n.r.</v>
      </c>
      <c r="DC24" s="8" t="str">
        <f ca="1">OFFSET(Database!$F24,0,COLUMN(Database!CZ24)*2-12)</f>
        <v>n.r.</v>
      </c>
      <c r="DD24" s="8" t="str">
        <f ca="1">OFFSET(Database!$F24,0,COLUMN(Database!DA24)*2-12)</f>
        <v>n.r.</v>
      </c>
      <c r="DE24" s="8" t="str">
        <f ca="1">OFFSET(Database!$F24,0,COLUMN(Database!DB24)*2-12)</f>
        <v>n.r.</v>
      </c>
      <c r="DF24" s="8" t="str">
        <f ca="1">OFFSET(Database!$F24,0,COLUMN(Database!DC24)*2-12)</f>
        <v>n.r.</v>
      </c>
      <c r="DG24" s="8" t="str">
        <f ca="1">OFFSET(Database!$F24,0,COLUMN(Database!DD24)*2-12)</f>
        <v>n.r.</v>
      </c>
      <c r="DH24" s="8" t="str">
        <f ca="1">OFFSET(Database!$F24,0,COLUMN(Database!DE24)*2-12)</f>
        <v>n.r.</v>
      </c>
      <c r="DI24" s="8" t="str">
        <f ca="1">OFFSET(Database!$F24,0,COLUMN(Database!DF24)*2-12)</f>
        <v>n.r.</v>
      </c>
      <c r="DJ24" s="8" t="str">
        <f ca="1">OFFSET(Database!$F24,0,COLUMN(Database!DG24)*2-12)</f>
        <v>n.r.</v>
      </c>
      <c r="DK24" s="8" t="str">
        <f ca="1">OFFSET(Database!$F24,0,COLUMN(Database!DH24)*2-12)</f>
        <v>n.r.</v>
      </c>
      <c r="DL24" s="8" t="str">
        <f ca="1">OFFSET(Database!$F24,0,COLUMN(Database!DI24)*2-12)</f>
        <v>n.r.</v>
      </c>
      <c r="DM24" s="8" t="str">
        <f ca="1">OFFSET(Database!$F24,0,COLUMN(Database!DJ24)*2-12)</f>
        <v>n.r.</v>
      </c>
      <c r="DN24" s="8" t="str">
        <f ca="1">OFFSET(Database!$F24,0,COLUMN(Database!DK24)*2-12)</f>
        <v>n.r.</v>
      </c>
      <c r="DO24" s="8" t="str">
        <f ca="1">OFFSET(Database!$F24,0,COLUMN(Database!DL24)*2-12)</f>
        <v>n.r.</v>
      </c>
      <c r="DP24" s="8" t="str">
        <f ca="1">OFFSET(Database!$F24,0,COLUMN(Database!DM24)*2-12)</f>
        <v>n.r.</v>
      </c>
      <c r="DQ24" s="8" t="str">
        <f ca="1">OFFSET(Database!$F24,0,COLUMN(Database!DN24)*2-12)</f>
        <v>n.r.</v>
      </c>
      <c r="DR24" s="8" t="str">
        <f ca="1">OFFSET(Database!$F24,0,COLUMN(Database!DO24)*2-12)</f>
        <v>n.r.</v>
      </c>
      <c r="DS24" s="8" t="str">
        <f ca="1">OFFSET(Database!$F24,0,COLUMN(Database!DP24)*2-12)</f>
        <v>n.r.</v>
      </c>
      <c r="DT24" s="8" t="str">
        <f ca="1">OFFSET(Database!$F24,0,COLUMN(Database!DQ24)*2-12)</f>
        <v>n.r.</v>
      </c>
      <c r="DU24" s="8" t="str">
        <f ca="1">OFFSET(Database!$F24,0,COLUMN(Database!DR24)*2-12)</f>
        <v>n.r.</v>
      </c>
      <c r="DV24" s="8" t="str">
        <f ca="1">OFFSET(Database!$F24,0,COLUMN(Database!DS24)*2-12)</f>
        <v>n.r.</v>
      </c>
      <c r="DW24" s="8" t="str">
        <f ca="1">OFFSET(Database!$F24,0,COLUMN(Database!DT24)*2-12)</f>
        <v>n.r.</v>
      </c>
      <c r="DX24" s="8" t="str">
        <f ca="1">OFFSET(Database!$F24,0,COLUMN(Database!DU24)*2-12)</f>
        <v>n.r.</v>
      </c>
      <c r="DY24" s="8" t="str">
        <f ca="1">OFFSET(Database!$F24,0,COLUMN(Database!DV24)*2-12)</f>
        <v>n.r.</v>
      </c>
      <c r="DZ24" s="8" t="str">
        <f ca="1">OFFSET(Database!$F24,0,COLUMN(Database!DW24)*2-12)</f>
        <v>n.r.</v>
      </c>
      <c r="EA24" s="8" t="str">
        <f ca="1">OFFSET(Database!$F24,0,COLUMN(Database!DX24)*2-12)</f>
        <v>n.r.</v>
      </c>
      <c r="EB24" s="8" t="str">
        <f ca="1">OFFSET(Database!$F24,0,COLUMN(Database!DY24)*2-12)</f>
        <v>n.r.</v>
      </c>
      <c r="EC24" s="8" t="str">
        <f ca="1">OFFSET(Database!$F24,0,COLUMN(Database!DZ24)*2-12)</f>
        <v>n.r.</v>
      </c>
      <c r="ED24" s="8" t="str">
        <f ca="1">OFFSET(Database!$F24,0,COLUMN(Database!EA24)*2-12)</f>
        <v>n.r.</v>
      </c>
      <c r="EE24" s="8" t="str">
        <f ca="1">OFFSET(Database!$F24,0,COLUMN(Database!EB24)*2-12)</f>
        <v>n.r.</v>
      </c>
      <c r="EF24" s="8" t="str">
        <f ca="1">OFFSET(Database!$F24,0,COLUMN(Database!EC24)*2-12)</f>
        <v>n.r.</v>
      </c>
      <c r="EG24" s="8" t="str">
        <f ca="1">OFFSET(Database!$F24,0,COLUMN(Database!ED24)*2-12)</f>
        <v>n.r.</v>
      </c>
      <c r="EH24" s="8" t="str">
        <f ca="1">OFFSET(Database!$F24,0,COLUMN(Database!EE24)*2-12)</f>
        <v>n.r.</v>
      </c>
      <c r="EI24" s="8" t="str">
        <f ca="1">OFFSET(Database!$F24,0,COLUMN(Database!EF24)*2-12)</f>
        <v>n.r.</v>
      </c>
      <c r="EJ24" s="8" t="str">
        <f ca="1">OFFSET(Database!$F24,0,COLUMN(Database!EG24)*2-12)</f>
        <v>n.r.</v>
      </c>
      <c r="EK24" s="8" t="str">
        <f ca="1">OFFSET(Database!$F24,0,COLUMN(Database!EH24)*2-12)</f>
        <v>n.r.</v>
      </c>
      <c r="EL24" s="8" t="str">
        <f ca="1">OFFSET(Database!$F24,0,COLUMN(Database!EI24)*2-12)</f>
        <v>n.r.</v>
      </c>
      <c r="EM24" s="8" t="str">
        <f ca="1">OFFSET(Database!$F24,0,COLUMN(Database!EJ24)*2-12)</f>
        <v>n.r.</v>
      </c>
      <c r="EN24" s="8" t="str">
        <f ca="1">OFFSET(Database!$F24,0,COLUMN(Database!EK24)*2-12)</f>
        <v>n.r.</v>
      </c>
      <c r="EO24" s="8" t="str">
        <f ca="1">OFFSET(Database!$F24,0,COLUMN(Database!EL24)*2-12)</f>
        <v>n.r.</v>
      </c>
      <c r="EP24" s="8" t="str">
        <f ca="1">OFFSET(Database!$F24,0,COLUMN(Database!EM24)*2-12)</f>
        <v>n.r.</v>
      </c>
      <c r="EQ24" s="8" t="str">
        <f ca="1">OFFSET(Database!$F24,0,COLUMN(Database!EN24)*2-12)</f>
        <v>n.r.</v>
      </c>
      <c r="ER24" s="8" t="str">
        <f ca="1">OFFSET(Database!$F24,0,COLUMN(Database!EO24)*2-12)</f>
        <v>n.r.</v>
      </c>
      <c r="ES24" s="8" t="str">
        <f ca="1">OFFSET(Database!$F24,0,COLUMN(Database!EP24)*2-12)</f>
        <v>n.r.</v>
      </c>
      <c r="ET24" s="8" t="str">
        <f ca="1">OFFSET(Database!$F24,0,COLUMN(Database!EQ24)*2-12)</f>
        <v>n.r.</v>
      </c>
      <c r="EU24" s="8" t="str">
        <f ca="1">OFFSET(Database!$F24,0,COLUMN(Database!ER24)*2-12)</f>
        <v>n.r.</v>
      </c>
      <c r="EV24" s="8" t="str">
        <f ca="1">OFFSET(Database!$F24,0,COLUMN(Database!ES24)*2-12)</f>
        <v>n.r.</v>
      </c>
      <c r="EW24" s="8" t="str">
        <f ca="1">OFFSET(Database!$F24,0,COLUMN(Database!ET24)*2-12)</f>
        <v>n.r.</v>
      </c>
      <c r="EX24" s="8" t="str">
        <f ca="1">OFFSET(Database!$F24,0,COLUMN(Database!EU24)*2-12)</f>
        <v>n.r.</v>
      </c>
      <c r="EY24" s="8" t="str">
        <f ca="1">OFFSET(Database!$F24,0,COLUMN(Database!EV24)*2-12)</f>
        <v>n.r.</v>
      </c>
      <c r="EZ24" s="8" t="str">
        <f ca="1">OFFSET(Database!$F24,0,COLUMN(Database!EW24)*2-12)</f>
        <v>n.r.</v>
      </c>
      <c r="FA24" s="8" t="str">
        <f ca="1">OFFSET(Database!$F24,0,COLUMN(Database!EX24)*2-12)</f>
        <v>n.r.</v>
      </c>
      <c r="FB24" s="8" t="str">
        <f ca="1">OFFSET(Database!$F24,0,COLUMN(Database!EY24)*2-12)</f>
        <v>n.r.</v>
      </c>
      <c r="FC24" s="8" t="str">
        <f ca="1">OFFSET(Database!$F24,0,COLUMN(Database!EZ24)*2-12)</f>
        <v>n.r.</v>
      </c>
      <c r="FD24" s="8" t="str">
        <f ca="1">OFFSET(Database!$F24,0,COLUMN(Database!FA24)*2-12)</f>
        <v>n.r.</v>
      </c>
      <c r="FE24" s="8" t="str">
        <f ca="1">OFFSET(Database!$F24,0,COLUMN(Database!FB24)*2-12)</f>
        <v>n.r.</v>
      </c>
      <c r="FF24" s="8" t="str">
        <f ca="1">OFFSET(Database!$F24,0,COLUMN(Database!FC24)*2-12)</f>
        <v>n.r.</v>
      </c>
      <c r="FG24" s="8" t="str">
        <f ca="1">OFFSET(Database!$F24,0,COLUMN(Database!FD24)*2-12)</f>
        <v>n.r.</v>
      </c>
      <c r="FH24" s="8" t="str">
        <f ca="1">OFFSET(Database!$F24,0,COLUMN(Database!FE24)*2-12)</f>
        <v>n.r.</v>
      </c>
      <c r="FI24" s="8" t="str">
        <f ca="1">OFFSET(Database!$F24,0,COLUMN(Database!FF24)*2-12)</f>
        <v>n.r.</v>
      </c>
      <c r="FJ24" s="8" t="str">
        <f ca="1">OFFSET(Database!$F24,0,COLUMN(Database!FG24)*2-12)</f>
        <v>n.r.</v>
      </c>
      <c r="FK24" s="8" t="str">
        <f ca="1">OFFSET(Database!$F24,0,COLUMN(Database!FH24)*2-12)</f>
        <v>n.r.</v>
      </c>
      <c r="FL24" s="8" t="str">
        <f ca="1">OFFSET(Database!$F24,0,COLUMN(Database!FI24)*2-12)</f>
        <v>n.r.</v>
      </c>
      <c r="FM24" s="8" t="str">
        <f ca="1">OFFSET(Database!$F24,0,COLUMN(Database!FJ24)*2-12)</f>
        <v>n.r.</v>
      </c>
      <c r="FN24" s="8" t="str">
        <f ca="1">OFFSET(Database!$F24,0,COLUMN(Database!FK24)*2-12)</f>
        <v>n.r.</v>
      </c>
      <c r="FO24" s="8" t="str">
        <f ca="1">OFFSET(Database!$F24,0,COLUMN(Database!FL24)*2-12)</f>
        <v>n.r.</v>
      </c>
      <c r="FP24" s="8" t="str">
        <f ca="1">OFFSET(Database!$F24,0,COLUMN(Database!FM24)*2-12)</f>
        <v>n.r.</v>
      </c>
      <c r="FQ24" s="8" t="str">
        <f ca="1">OFFSET(Database!$F24,0,COLUMN(Database!FN24)*2-12)</f>
        <v>n.r.</v>
      </c>
      <c r="FR24" s="8" t="str">
        <f ca="1">OFFSET(Database!$F24,0,COLUMN(Database!FO24)*2-12)</f>
        <v>n.r.</v>
      </c>
      <c r="FS24" s="8" t="str">
        <f ca="1">OFFSET(Database!$F24,0,COLUMN(Database!FP24)*2-12)</f>
        <v>n.r.</v>
      </c>
      <c r="FT24" s="8" t="str">
        <f ca="1">OFFSET(Database!$F24,0,COLUMN(Database!FQ24)*2-12)</f>
        <v>n.r.</v>
      </c>
      <c r="FU24" s="8" t="str">
        <f ca="1">OFFSET(Database!$F24,0,COLUMN(Database!FR24)*2-12)</f>
        <v>n.r.</v>
      </c>
      <c r="FV24" s="8" t="str">
        <f ca="1">OFFSET(Database!$F24,0,COLUMN(Database!FS24)*2-12)</f>
        <v>n.r.</v>
      </c>
      <c r="FW24" s="8" t="str">
        <f ca="1">OFFSET(Database!$F24,0,COLUMN(Database!FT24)*2-12)</f>
        <v>n.r.</v>
      </c>
      <c r="FX24" s="8" t="str">
        <f ca="1">OFFSET(Database!$F24,0,COLUMN(Database!FU24)*2-12)</f>
        <v>n.r.</v>
      </c>
      <c r="FY24" s="8" t="str">
        <f ca="1">OFFSET(Database!$F24,0,COLUMN(Database!FV24)*2-12)</f>
        <v>n.r.</v>
      </c>
      <c r="FZ24" s="8" t="str">
        <f ca="1">OFFSET(Database!$F24,0,COLUMN(Database!FW24)*2-12)</f>
        <v>n.r.</v>
      </c>
      <c r="GA24" s="8" t="str">
        <f ca="1">OFFSET(Database!$F24,0,COLUMN(Database!FX24)*2-12)</f>
        <v>n.r.</v>
      </c>
      <c r="GB24" s="8" t="str">
        <f ca="1">OFFSET(Database!$F24,0,COLUMN(Database!FY24)*2-12)</f>
        <v>n.r.</v>
      </c>
      <c r="GC24" s="8" t="str">
        <f ca="1">OFFSET(Database!$F24,0,COLUMN(Database!FZ24)*2-12)</f>
        <v>n.r.</v>
      </c>
      <c r="GD24" s="8" t="str">
        <f ca="1">OFFSET(Database!$F24,0,COLUMN(Database!GA24)*2-12)</f>
        <v>n.r.</v>
      </c>
      <c r="GE24" s="8" t="str">
        <f ca="1">OFFSET(Database!$F24,0,COLUMN(Database!GB24)*2-12)</f>
        <v>n.r.</v>
      </c>
      <c r="GF24" s="8" t="str">
        <f ca="1">OFFSET(Database!$F24,0,COLUMN(Database!GC24)*2-12)</f>
        <v>n.r.</v>
      </c>
      <c r="GG24" s="8" t="str">
        <f ca="1">OFFSET(Database!$F24,0,COLUMN(Database!GD24)*2-12)</f>
        <v>n.r.</v>
      </c>
      <c r="GH24" s="8" t="str">
        <f ca="1">OFFSET(Database!$F24,0,COLUMN(Database!GE24)*2-12)</f>
        <v>n.r.</v>
      </c>
      <c r="GI24" s="8" t="str">
        <f ca="1">OFFSET(Database!$F24,0,COLUMN(Database!GF24)*2-12)</f>
        <v>n.r.</v>
      </c>
      <c r="GJ24" s="8" t="str">
        <f ca="1">OFFSET(Database!$F24,0,COLUMN(Database!GG24)*2-12)</f>
        <v>n.r.</v>
      </c>
      <c r="GK24" s="8" t="str">
        <f ca="1">OFFSET(Database!$F24,0,COLUMN(Database!GH24)*2-12)</f>
        <v>n.r.</v>
      </c>
      <c r="GL24" s="8" t="str">
        <f ca="1">OFFSET(Database!$F24,0,COLUMN(Database!GI24)*2-12)</f>
        <v>n.r.</v>
      </c>
      <c r="GM24" s="8" t="str">
        <f ca="1">OFFSET(Database!$F24,0,COLUMN(Database!GJ24)*2-12)</f>
        <v>n.r.</v>
      </c>
      <c r="GN24" s="8" t="str">
        <f ca="1">OFFSET(Database!$F24,0,COLUMN(Database!GK24)*2-12)</f>
        <v>n.r.</v>
      </c>
      <c r="GO24" s="8">
        <f ca="1">OFFSET(Database!$F24,0,COLUMN(Database!GL24)*2-12)</f>
        <v>142.71323035594358</v>
      </c>
      <c r="GP24" s="8">
        <f ca="1">OFFSET(Database!$F24,0,COLUMN(Database!GM24)*2-12)</f>
        <v>352.58562793821358</v>
      </c>
    </row>
    <row r="25" spans="1:198" x14ac:dyDescent="0.2">
      <c r="A25" s="50" t="str">
        <f>Database!A25</f>
        <v>L-allo-threonine</v>
      </c>
      <c r="B25" s="1" t="s">
        <v>867</v>
      </c>
      <c r="C25" s="4" t="str">
        <f>Database!B25</f>
        <v>β</v>
      </c>
      <c r="D25" s="4" t="str">
        <f>Database!C25</f>
        <v>L</v>
      </c>
      <c r="E25" s="74">
        <f>Database!D25</f>
        <v>2</v>
      </c>
      <c r="F25" s="32" t="s">
        <v>909</v>
      </c>
      <c r="G25" s="1">
        <v>99289</v>
      </c>
      <c r="H25" s="1">
        <f>Database!E25</f>
        <v>119.12</v>
      </c>
      <c r="I25" s="8" t="str">
        <f ca="1">OFFSET(Database!$F25,0,COLUMN(Database!F25)*2-12)</f>
        <v>n.r.</v>
      </c>
      <c r="J25" s="8" t="str">
        <f ca="1">OFFSET(Database!$F25,0,COLUMN(Database!G25)*2-12)</f>
        <v>n.r.</v>
      </c>
      <c r="K25" s="8" t="str">
        <f ca="1">OFFSET(Database!$F25,0,COLUMN(Database!H25)*2-12)</f>
        <v>n.r.</v>
      </c>
      <c r="L25" s="8" t="str">
        <f ca="1">OFFSET(Database!$F25,0,COLUMN(Database!I25)*2-12)</f>
        <v>n.r.</v>
      </c>
      <c r="M25" s="8" t="str">
        <f ca="1">OFFSET(Database!$F25,0,COLUMN(Database!J25)*2-12)</f>
        <v>n.r.</v>
      </c>
      <c r="N25" s="8" t="str">
        <f ca="1">OFFSET(Database!$F25,0,COLUMN(Database!K25)*2-12)</f>
        <v>n.r.</v>
      </c>
      <c r="O25" s="8" t="str">
        <f ca="1">OFFSET(Database!$F25,0,COLUMN(Database!L25)*2-12)</f>
        <v>n.r.</v>
      </c>
      <c r="P25" s="8" t="str">
        <f ca="1">OFFSET(Database!$F25,0,COLUMN(Database!M25)*2-12)</f>
        <v>n.r.</v>
      </c>
      <c r="Q25" s="8" t="str">
        <f ca="1">OFFSET(Database!$F25,0,COLUMN(Database!N25)*2-12)</f>
        <v>n.r.</v>
      </c>
      <c r="R25" s="8" t="str">
        <f ca="1">OFFSET(Database!$F25,0,COLUMN(Database!O25)*2-12)</f>
        <v>n.r.</v>
      </c>
      <c r="S25" s="8" t="str">
        <f ca="1">OFFSET(Database!$F25,0,COLUMN(Database!P25)*2-12)</f>
        <v>n.r.</v>
      </c>
      <c r="T25" s="8" t="str">
        <f ca="1">OFFSET(Database!$F25,0,COLUMN(Database!Q25)*2-12)</f>
        <v>n.r.</v>
      </c>
      <c r="U25" s="8" t="str">
        <f ca="1">OFFSET(Database!$F25,0,COLUMN(Database!R25)*2-12)</f>
        <v>n.r.</v>
      </c>
      <c r="V25" s="8" t="str">
        <f ca="1">OFFSET(Database!$F25,0,COLUMN(Database!S25)*2-12)</f>
        <v>n.r.</v>
      </c>
      <c r="W25" s="8" t="str">
        <f ca="1">OFFSET(Database!$F25,0,COLUMN(Database!T25)*2-12)</f>
        <v>n.r.</v>
      </c>
      <c r="X25" s="8" t="str">
        <f ca="1">OFFSET(Database!$F25,0,COLUMN(Database!U25)*2-12)</f>
        <v>n.r.</v>
      </c>
      <c r="Y25" s="8" t="str">
        <f ca="1">OFFSET(Database!$F25,0,COLUMN(Database!V25)*2-12)</f>
        <v>n.r.</v>
      </c>
      <c r="Z25" s="8" t="str">
        <f ca="1">OFFSET(Database!$F25,0,COLUMN(Database!W25)*2-12)</f>
        <v>n.r.</v>
      </c>
      <c r="AA25" s="8" t="str">
        <f ca="1">OFFSET(Database!$F25,0,COLUMN(Database!X25)*2-12)</f>
        <v>n.r.</v>
      </c>
      <c r="AB25" s="8" t="str">
        <f ca="1">OFFSET(Database!$F25,0,COLUMN(Database!Y25)*2-12)</f>
        <v>tr.</v>
      </c>
      <c r="AC25" s="8" t="str">
        <f ca="1">OFFSET(Database!$F25,0,COLUMN(Database!Z25)*2-12)</f>
        <v>n.r.</v>
      </c>
      <c r="AD25" s="8" t="str">
        <f ca="1">OFFSET(Database!$F25,0,COLUMN(Database!AA25)*2-12)</f>
        <v>n.r.</v>
      </c>
      <c r="AE25" s="8" t="str">
        <f ca="1">OFFSET(Database!$F25,0,COLUMN(Database!AB25)*2-12)</f>
        <v>n.r.</v>
      </c>
      <c r="AF25" s="8" t="str">
        <f ca="1">OFFSET(Database!$F25,0,COLUMN(Database!AC25)*2-12)</f>
        <v>n.r.</v>
      </c>
      <c r="AG25" s="8" t="str">
        <f ca="1">OFFSET(Database!$F25,0,COLUMN(Database!AD25)*2-12)</f>
        <v>n.r.</v>
      </c>
      <c r="AH25" s="8" t="str">
        <f ca="1">OFFSET(Database!$F25,0,COLUMN(Database!AE25)*2-12)</f>
        <v>n.r.</v>
      </c>
      <c r="AI25" s="8" t="str">
        <f ca="1">OFFSET(Database!$F25,0,COLUMN(Database!AF25)*2-12)</f>
        <v>n.r.</v>
      </c>
      <c r="AJ25" s="8" t="str">
        <f ca="1">OFFSET(Database!$F25,0,COLUMN(Database!AG25)*2-12)</f>
        <v>n.r.</v>
      </c>
      <c r="AK25" s="8" t="str">
        <f ca="1">OFFSET(Database!$F25,0,COLUMN(Database!AH25)*2-12)</f>
        <v>n.r.</v>
      </c>
      <c r="AL25" s="8" t="str">
        <f ca="1">OFFSET(Database!$F25,0,COLUMN(Database!AI25)*2-12)</f>
        <v>n.r.</v>
      </c>
      <c r="AM25" s="8" t="str">
        <f ca="1">OFFSET(Database!$F25,0,COLUMN(Database!AJ25)*2-12)</f>
        <v>n.r.</v>
      </c>
      <c r="AN25" s="8" t="str">
        <f ca="1">OFFSET(Database!$F25,0,COLUMN(Database!AK25)*2-12)</f>
        <v>n.r.</v>
      </c>
      <c r="AO25" s="8" t="str">
        <f ca="1">OFFSET(Database!$F25,0,COLUMN(Database!AL25)*2-12)</f>
        <v>n.r.</v>
      </c>
      <c r="AP25" s="8" t="str">
        <f ca="1">OFFSET(Database!$F25,0,COLUMN(Database!AM25)*2-12)</f>
        <v>n.r.</v>
      </c>
      <c r="AQ25" s="8" t="str">
        <f ca="1">OFFSET(Database!$F25,0,COLUMN(Database!AN25)*2-12)</f>
        <v>n.r.</v>
      </c>
      <c r="AR25" s="8" t="str">
        <f ca="1">OFFSET(Database!$F25,0,COLUMN(Database!AO25)*2-12)</f>
        <v>n.r.</v>
      </c>
      <c r="AS25" s="8" t="str">
        <f ca="1">OFFSET(Database!$F25,0,COLUMN(Database!AP25)*2-12)</f>
        <v>n.r.</v>
      </c>
      <c r="AT25" s="8" t="str">
        <f ca="1">OFFSET(Database!$F25,0,COLUMN(Database!AQ25)*2-12)</f>
        <v>n.r.</v>
      </c>
      <c r="AU25" s="8" t="str">
        <f ca="1">OFFSET(Database!$F25,0,COLUMN(Database!AR25)*2-12)</f>
        <v>n.r.</v>
      </c>
      <c r="AV25" s="8" t="str">
        <f ca="1">OFFSET(Database!$F25,0,COLUMN(Database!AS25)*2-12)</f>
        <v>n.r.</v>
      </c>
      <c r="AW25" s="8" t="str">
        <f ca="1">OFFSET(Database!$F25,0,COLUMN(Database!AT25)*2-12)</f>
        <v>n.r.</v>
      </c>
      <c r="AX25" s="8" t="str">
        <f ca="1">OFFSET(Database!$F25,0,COLUMN(Database!AU25)*2-12)</f>
        <v>n.r.</v>
      </c>
      <c r="AY25" s="8" t="str">
        <f ca="1">OFFSET(Database!$F25,0,COLUMN(Database!AV25)*2-12)</f>
        <v>n.r.</v>
      </c>
      <c r="AZ25" s="8" t="str">
        <f ca="1">OFFSET(Database!$F25,0,COLUMN(Database!AW25)*2-12)</f>
        <v>n.r.</v>
      </c>
      <c r="BA25" s="8" t="str">
        <f ca="1">OFFSET(Database!$F25,0,COLUMN(Database!AX25)*2-12)</f>
        <v>n.r.</v>
      </c>
      <c r="BB25" s="8" t="str">
        <f ca="1">OFFSET(Database!$F25,0,COLUMN(Database!AY25)*2-12)</f>
        <v>n.r.</v>
      </c>
      <c r="BC25" s="8" t="str">
        <f ca="1">OFFSET(Database!$F25,0,COLUMN(Database!AZ25)*2-12)</f>
        <v>n.r.</v>
      </c>
      <c r="BD25" s="8" t="str">
        <f ca="1">OFFSET(Database!$F25,0,COLUMN(Database!BA25)*2-12)</f>
        <v>n.r.</v>
      </c>
      <c r="BE25" s="8" t="str">
        <f ca="1">OFFSET(Database!$F25,0,COLUMN(Database!BB25)*2-12)</f>
        <v>n.r.</v>
      </c>
      <c r="BF25" s="8" t="str">
        <f ca="1">OFFSET(Database!$F25,0,COLUMN(Database!BC25)*2-12)</f>
        <v>n.r.</v>
      </c>
      <c r="BG25" s="8" t="str">
        <f ca="1">OFFSET(Database!$F25,0,COLUMN(Database!BD25)*2-12)</f>
        <v>n.r.</v>
      </c>
      <c r="BH25" s="8" t="str">
        <f ca="1">OFFSET(Database!$F25,0,COLUMN(Database!BE25)*2-12)</f>
        <v>n.r.</v>
      </c>
      <c r="BI25" s="8" t="str">
        <f ca="1">OFFSET(Database!$F25,0,COLUMN(Database!BF25)*2-12)</f>
        <v>n.r.</v>
      </c>
      <c r="BJ25" s="8" t="str">
        <f ca="1">OFFSET(Database!$F25,0,COLUMN(Database!BG25)*2-12)</f>
        <v>n.r.</v>
      </c>
      <c r="BK25" s="8" t="str">
        <f ca="1">OFFSET(Database!$F25,0,COLUMN(Database!BH25)*2-12)</f>
        <v>n.r.</v>
      </c>
      <c r="BL25" s="8" t="str">
        <f ca="1">OFFSET(Database!$F25,0,COLUMN(Database!BI25)*2-12)</f>
        <v>n.r.</v>
      </c>
      <c r="BM25" s="8" t="str">
        <f ca="1">OFFSET(Database!$F25,0,COLUMN(Database!BJ25)*2-12)</f>
        <v>n.r.</v>
      </c>
      <c r="BN25" s="8" t="str">
        <f ca="1">OFFSET(Database!$F25,0,COLUMN(Database!BK25)*2-12)</f>
        <v>n.r.</v>
      </c>
      <c r="BO25" s="8" t="str">
        <f ca="1">OFFSET(Database!$F25,0,COLUMN(Database!BL25)*2-12)</f>
        <v>n.r.</v>
      </c>
      <c r="BP25" s="8" t="str">
        <f ca="1">OFFSET(Database!$F25,0,COLUMN(Database!BM25)*2-12)</f>
        <v>n.r.</v>
      </c>
      <c r="BQ25" s="8" t="str">
        <f ca="1">OFFSET(Database!$F25,0,COLUMN(Database!BN25)*2-12)</f>
        <v>n.r.</v>
      </c>
      <c r="BR25" s="8" t="str">
        <f ca="1">OFFSET(Database!$F25,0,COLUMN(Database!BO25)*2-12)</f>
        <v>n.r.</v>
      </c>
      <c r="BS25" s="8" t="str">
        <f ca="1">OFFSET(Database!$F25,0,COLUMN(Database!BP25)*2-12)</f>
        <v>n.r.</v>
      </c>
      <c r="BT25" s="8" t="str">
        <f ca="1">OFFSET(Database!$F25,0,COLUMN(Database!BQ25)*2-12)</f>
        <v>n.r.</v>
      </c>
      <c r="BU25" s="8" t="str">
        <f ca="1">OFFSET(Database!$F25,0,COLUMN(Database!BR25)*2-12)</f>
        <v>n.r.</v>
      </c>
      <c r="BV25" s="8" t="str">
        <f ca="1">OFFSET(Database!$F25,0,COLUMN(Database!BS25)*2-12)</f>
        <v>n.r.</v>
      </c>
      <c r="BW25" s="8" t="str">
        <f ca="1">OFFSET(Database!$F25,0,COLUMN(Database!BT25)*2-12)</f>
        <v>n.r.</v>
      </c>
      <c r="BX25" s="8" t="str">
        <f ca="1">OFFSET(Database!$F25,0,COLUMN(Database!BU25)*2-12)</f>
        <v>n.r.</v>
      </c>
      <c r="BY25" s="8" t="str">
        <f ca="1">OFFSET(Database!$F25,0,COLUMN(Database!BV25)*2-12)</f>
        <v>n.r.</v>
      </c>
      <c r="BZ25" s="8" t="str">
        <f ca="1">OFFSET(Database!$F25,0,COLUMN(Database!BW25)*2-12)</f>
        <v>n.r.</v>
      </c>
      <c r="CA25" s="8" t="str">
        <f ca="1">OFFSET(Database!$F25,0,COLUMN(Database!BX25)*2-12)</f>
        <v>n.r.</v>
      </c>
      <c r="CB25" s="8" t="str">
        <f ca="1">OFFSET(Database!$F25,0,COLUMN(Database!BY25)*2-12)</f>
        <v>n.r.</v>
      </c>
      <c r="CC25" s="8" t="str">
        <f ca="1">OFFSET(Database!$F25,0,COLUMN(Database!BZ25)*2-12)</f>
        <v>n.r.</v>
      </c>
      <c r="CD25" s="8" t="str">
        <f ca="1">OFFSET(Database!$F25,0,COLUMN(Database!CA25)*2-12)</f>
        <v>n.r.</v>
      </c>
      <c r="CE25" s="8" t="str">
        <f ca="1">OFFSET(Database!$F25,0,COLUMN(Database!CB25)*2-12)</f>
        <v>n.r.</v>
      </c>
      <c r="CF25" s="8" t="str">
        <f ca="1">OFFSET(Database!$F25,0,COLUMN(Database!CC25)*2-12)</f>
        <v>n.r.</v>
      </c>
      <c r="CG25" s="8" t="str">
        <f ca="1">OFFSET(Database!$F25,0,COLUMN(Database!CD25)*2-12)</f>
        <v>n.r.</v>
      </c>
      <c r="CH25" s="8" t="str">
        <f ca="1">OFFSET(Database!$F25,0,COLUMN(Database!CE25)*2-12)</f>
        <v>n.r.</v>
      </c>
      <c r="CI25" s="8" t="str">
        <f ca="1">OFFSET(Database!$F25,0,COLUMN(Database!CF25)*2-12)</f>
        <v>n.r.</v>
      </c>
      <c r="CJ25" s="8" t="str">
        <f ca="1">OFFSET(Database!$F25,0,COLUMN(Database!CG25)*2-12)</f>
        <v>n.r.</v>
      </c>
      <c r="CK25" s="8" t="str">
        <f ca="1">OFFSET(Database!$F25,0,COLUMN(Database!CH25)*2-12)</f>
        <v>n.r.</v>
      </c>
      <c r="CL25" s="8" t="str">
        <f ca="1">OFFSET(Database!$F25,0,COLUMN(Database!CI25)*2-12)</f>
        <v>n.r.</v>
      </c>
      <c r="CM25" s="8" t="str">
        <f ca="1">OFFSET(Database!$F25,0,COLUMN(Database!CJ25)*2-12)</f>
        <v>n.r.</v>
      </c>
      <c r="CN25" s="8" t="str">
        <f ca="1">OFFSET(Database!$F25,0,COLUMN(Database!CK25)*2-12)</f>
        <v>n.r.</v>
      </c>
      <c r="CO25" s="8" t="str">
        <f ca="1">OFFSET(Database!$F25,0,COLUMN(Database!CL25)*2-12)</f>
        <v>n.r.</v>
      </c>
      <c r="CP25" s="8" t="str">
        <f ca="1">OFFSET(Database!$F25,0,COLUMN(Database!CM25)*2-12)</f>
        <v>n.r.</v>
      </c>
      <c r="CQ25" s="8" t="str">
        <f ca="1">OFFSET(Database!$F25,0,COLUMN(Database!CN25)*2-12)</f>
        <v>n.r.</v>
      </c>
      <c r="CR25" s="8" t="str">
        <f ca="1">OFFSET(Database!$F25,0,COLUMN(Database!CO25)*2-12)</f>
        <v>n.r.</v>
      </c>
      <c r="CS25" s="8" t="str">
        <f ca="1">OFFSET(Database!$F25,0,COLUMN(Database!CP25)*2-12)</f>
        <v>n.r.</v>
      </c>
      <c r="CT25" s="8" t="str">
        <f ca="1">OFFSET(Database!$F25,0,COLUMN(Database!CQ25)*2-12)</f>
        <v>n.r.</v>
      </c>
      <c r="CU25" s="8" t="str">
        <f ca="1">OFFSET(Database!$F25,0,COLUMN(Database!CR25)*2-12)</f>
        <v>n.r.</v>
      </c>
      <c r="CV25" s="8" t="str">
        <f ca="1">OFFSET(Database!$F25,0,COLUMN(Database!CS25)*2-12)</f>
        <v>n.r.</v>
      </c>
      <c r="CW25" s="8" t="str">
        <f ca="1">OFFSET(Database!$F25,0,COLUMN(Database!CT25)*2-12)</f>
        <v>n.r.</v>
      </c>
      <c r="CX25" s="8" t="str">
        <f ca="1">OFFSET(Database!$F25,0,COLUMN(Database!CU25)*2-12)</f>
        <v>n.r.</v>
      </c>
      <c r="CY25" s="8" t="str">
        <f ca="1">OFFSET(Database!$F25,0,COLUMN(Database!CV25)*2-12)</f>
        <v>n.r.</v>
      </c>
      <c r="CZ25" s="8" t="str">
        <f ca="1">OFFSET(Database!$F25,0,COLUMN(Database!CW25)*2-12)</f>
        <v>n.r.</v>
      </c>
      <c r="DA25" s="8" t="str">
        <f ca="1">OFFSET(Database!$F25,0,COLUMN(Database!CX25)*2-12)</f>
        <v>n.r.</v>
      </c>
      <c r="DB25" s="8" t="str">
        <f ca="1">OFFSET(Database!$F25,0,COLUMN(Database!CY25)*2-12)</f>
        <v>n.r.</v>
      </c>
      <c r="DC25" s="8" t="str">
        <f ca="1">OFFSET(Database!$F25,0,COLUMN(Database!CZ25)*2-12)</f>
        <v>n.r.</v>
      </c>
      <c r="DD25" s="8" t="str">
        <f ca="1">OFFSET(Database!$F25,0,COLUMN(Database!DA25)*2-12)</f>
        <v>n.r.</v>
      </c>
      <c r="DE25" s="8" t="str">
        <f ca="1">OFFSET(Database!$F25,0,COLUMN(Database!DB25)*2-12)</f>
        <v>n.r.</v>
      </c>
      <c r="DF25" s="8" t="str">
        <f ca="1">OFFSET(Database!$F25,0,COLUMN(Database!DC25)*2-12)</f>
        <v>n.r.</v>
      </c>
      <c r="DG25" s="8" t="str">
        <f ca="1">OFFSET(Database!$F25,0,COLUMN(Database!DD25)*2-12)</f>
        <v>n.r.</v>
      </c>
      <c r="DH25" s="8" t="str">
        <f ca="1">OFFSET(Database!$F25,0,COLUMN(Database!DE25)*2-12)</f>
        <v>n.r.</v>
      </c>
      <c r="DI25" s="8" t="str">
        <f ca="1">OFFSET(Database!$F25,0,COLUMN(Database!DF25)*2-12)</f>
        <v>n.r.</v>
      </c>
      <c r="DJ25" s="8" t="str">
        <f ca="1">OFFSET(Database!$F25,0,COLUMN(Database!DG25)*2-12)</f>
        <v>n.r.</v>
      </c>
      <c r="DK25" s="8" t="str">
        <f ca="1">OFFSET(Database!$F25,0,COLUMN(Database!DH25)*2-12)</f>
        <v>n.r.</v>
      </c>
      <c r="DL25" s="8" t="str">
        <f ca="1">OFFSET(Database!$F25,0,COLUMN(Database!DI25)*2-12)</f>
        <v>n.r.</v>
      </c>
      <c r="DM25" s="8" t="str">
        <f ca="1">OFFSET(Database!$F25,0,COLUMN(Database!DJ25)*2-12)</f>
        <v>n.r.</v>
      </c>
      <c r="DN25" s="8" t="str">
        <f ca="1">OFFSET(Database!$F25,0,COLUMN(Database!DK25)*2-12)</f>
        <v>n.r.</v>
      </c>
      <c r="DO25" s="8" t="str">
        <f ca="1">OFFSET(Database!$F25,0,COLUMN(Database!DL25)*2-12)</f>
        <v>n.r.</v>
      </c>
      <c r="DP25" s="8" t="str">
        <f ca="1">OFFSET(Database!$F25,0,COLUMN(Database!DM25)*2-12)</f>
        <v>n.r.</v>
      </c>
      <c r="DQ25" s="8" t="str">
        <f ca="1">OFFSET(Database!$F25,0,COLUMN(Database!DN25)*2-12)</f>
        <v>n.r.</v>
      </c>
      <c r="DR25" s="8" t="str">
        <f ca="1">OFFSET(Database!$F25,0,COLUMN(Database!DO25)*2-12)</f>
        <v>n.r.</v>
      </c>
      <c r="DS25" s="8" t="str">
        <f ca="1">OFFSET(Database!$F25,0,COLUMN(Database!DP25)*2-12)</f>
        <v>n.r.</v>
      </c>
      <c r="DT25" s="8" t="str">
        <f ca="1">OFFSET(Database!$F25,0,COLUMN(Database!DQ25)*2-12)</f>
        <v>n.r.</v>
      </c>
      <c r="DU25" s="8" t="str">
        <f ca="1">OFFSET(Database!$F25,0,COLUMN(Database!DR25)*2-12)</f>
        <v>n.r.</v>
      </c>
      <c r="DV25" s="8" t="str">
        <f ca="1">OFFSET(Database!$F25,0,COLUMN(Database!DS25)*2-12)</f>
        <v>n.r.</v>
      </c>
      <c r="DW25" s="8" t="str">
        <f ca="1">OFFSET(Database!$F25,0,COLUMN(Database!DT25)*2-12)</f>
        <v>n.r.</v>
      </c>
      <c r="DX25" s="8" t="str">
        <f ca="1">OFFSET(Database!$F25,0,COLUMN(Database!DU25)*2-12)</f>
        <v>n.r.</v>
      </c>
      <c r="DY25" s="8" t="str">
        <f ca="1">OFFSET(Database!$F25,0,COLUMN(Database!DV25)*2-12)</f>
        <v>n.r.</v>
      </c>
      <c r="DZ25" s="8" t="str">
        <f ca="1">OFFSET(Database!$F25,0,COLUMN(Database!DW25)*2-12)</f>
        <v>n.r.</v>
      </c>
      <c r="EA25" s="8" t="str">
        <f ca="1">OFFSET(Database!$F25,0,COLUMN(Database!DX25)*2-12)</f>
        <v>n.r.</v>
      </c>
      <c r="EB25" s="8" t="str">
        <f ca="1">OFFSET(Database!$F25,0,COLUMN(Database!DY25)*2-12)</f>
        <v>n.r.</v>
      </c>
      <c r="EC25" s="8" t="str">
        <f ca="1">OFFSET(Database!$F25,0,COLUMN(Database!DZ25)*2-12)</f>
        <v>n.r.</v>
      </c>
      <c r="ED25" s="8" t="str">
        <f ca="1">OFFSET(Database!$F25,0,COLUMN(Database!EA25)*2-12)</f>
        <v>n.r.</v>
      </c>
      <c r="EE25" s="8" t="str">
        <f ca="1">OFFSET(Database!$F25,0,COLUMN(Database!EB25)*2-12)</f>
        <v>n.r.</v>
      </c>
      <c r="EF25" s="8" t="str">
        <f ca="1">OFFSET(Database!$F25,0,COLUMN(Database!EC25)*2-12)</f>
        <v>n.r.</v>
      </c>
      <c r="EG25" s="8" t="str">
        <f ca="1">OFFSET(Database!$F25,0,COLUMN(Database!ED25)*2-12)</f>
        <v>n.r.</v>
      </c>
      <c r="EH25" s="8" t="str">
        <f ca="1">OFFSET(Database!$F25,0,COLUMN(Database!EE25)*2-12)</f>
        <v>n.r.</v>
      </c>
      <c r="EI25" s="8" t="str">
        <f ca="1">OFFSET(Database!$F25,0,COLUMN(Database!EF25)*2-12)</f>
        <v>n.r.</v>
      </c>
      <c r="EJ25" s="8" t="str">
        <f ca="1">OFFSET(Database!$F25,0,COLUMN(Database!EG25)*2-12)</f>
        <v>n.r.</v>
      </c>
      <c r="EK25" s="8" t="str">
        <f ca="1">OFFSET(Database!$F25,0,COLUMN(Database!EH25)*2-12)</f>
        <v>n.r.</v>
      </c>
      <c r="EL25" s="8" t="str">
        <f ca="1">OFFSET(Database!$F25,0,COLUMN(Database!EI25)*2-12)</f>
        <v>n.r.</v>
      </c>
      <c r="EM25" s="8" t="str">
        <f ca="1">OFFSET(Database!$F25,0,COLUMN(Database!EJ25)*2-12)</f>
        <v>n.r.</v>
      </c>
      <c r="EN25" s="8" t="str">
        <f ca="1">OFFSET(Database!$F25,0,COLUMN(Database!EK25)*2-12)</f>
        <v>n.r.</v>
      </c>
      <c r="EO25" s="8" t="str">
        <f ca="1">OFFSET(Database!$F25,0,COLUMN(Database!EL25)*2-12)</f>
        <v>n.r.</v>
      </c>
      <c r="EP25" s="8" t="str">
        <f ca="1">OFFSET(Database!$F25,0,COLUMN(Database!EM25)*2-12)</f>
        <v>n.r.</v>
      </c>
      <c r="EQ25" s="8" t="str">
        <f ca="1">OFFSET(Database!$F25,0,COLUMN(Database!EN25)*2-12)</f>
        <v>n.r.</v>
      </c>
      <c r="ER25" s="8" t="str">
        <f ca="1">OFFSET(Database!$F25,0,COLUMN(Database!EO25)*2-12)</f>
        <v>n.r.</v>
      </c>
      <c r="ES25" s="8" t="str">
        <f ca="1">OFFSET(Database!$F25,0,COLUMN(Database!EP25)*2-12)</f>
        <v>n.r.</v>
      </c>
      <c r="ET25" s="8" t="str">
        <f ca="1">OFFSET(Database!$F25,0,COLUMN(Database!EQ25)*2-12)</f>
        <v>n.r.</v>
      </c>
      <c r="EU25" s="8" t="str">
        <f ca="1">OFFSET(Database!$F25,0,COLUMN(Database!ER25)*2-12)</f>
        <v>n.r.</v>
      </c>
      <c r="EV25" s="8" t="str">
        <f ca="1">OFFSET(Database!$F25,0,COLUMN(Database!ES25)*2-12)</f>
        <v>n.r.</v>
      </c>
      <c r="EW25" s="8" t="str">
        <f ca="1">OFFSET(Database!$F25,0,COLUMN(Database!ET25)*2-12)</f>
        <v>n.r.</v>
      </c>
      <c r="EX25" s="8" t="str">
        <f ca="1">OFFSET(Database!$F25,0,COLUMN(Database!EU25)*2-12)</f>
        <v>n.r.</v>
      </c>
      <c r="EY25" s="8" t="str">
        <f ca="1">OFFSET(Database!$F25,0,COLUMN(Database!EV25)*2-12)</f>
        <v>n.r.</v>
      </c>
      <c r="EZ25" s="8" t="str">
        <f ca="1">OFFSET(Database!$F25,0,COLUMN(Database!EW25)*2-12)</f>
        <v>n.r.</v>
      </c>
      <c r="FA25" s="8" t="str">
        <f ca="1">OFFSET(Database!$F25,0,COLUMN(Database!EX25)*2-12)</f>
        <v>n.r.</v>
      </c>
      <c r="FB25" s="8" t="str">
        <f ca="1">OFFSET(Database!$F25,0,COLUMN(Database!EY25)*2-12)</f>
        <v>n.r.</v>
      </c>
      <c r="FC25" s="8" t="str">
        <f ca="1">OFFSET(Database!$F25,0,COLUMN(Database!EZ25)*2-12)</f>
        <v>n.r.</v>
      </c>
      <c r="FD25" s="8" t="str">
        <f ca="1">OFFSET(Database!$F25,0,COLUMN(Database!FA25)*2-12)</f>
        <v>n.r.</v>
      </c>
      <c r="FE25" s="8" t="str">
        <f ca="1">OFFSET(Database!$F25,0,COLUMN(Database!FB25)*2-12)</f>
        <v>n.r.</v>
      </c>
      <c r="FF25" s="8" t="str">
        <f ca="1">OFFSET(Database!$F25,0,COLUMN(Database!FC25)*2-12)</f>
        <v>n.r.</v>
      </c>
      <c r="FG25" s="8" t="str">
        <f ca="1">OFFSET(Database!$F25,0,COLUMN(Database!FD25)*2-12)</f>
        <v>n.r.</v>
      </c>
      <c r="FH25" s="8" t="str">
        <f ca="1">OFFSET(Database!$F25,0,COLUMN(Database!FE25)*2-12)</f>
        <v>n.r.</v>
      </c>
      <c r="FI25" s="8" t="str">
        <f ca="1">OFFSET(Database!$F25,0,COLUMN(Database!FF25)*2-12)</f>
        <v>n.r.</v>
      </c>
      <c r="FJ25" s="8" t="str">
        <f ca="1">OFFSET(Database!$F25,0,COLUMN(Database!FG25)*2-12)</f>
        <v>n.r.</v>
      </c>
      <c r="FK25" s="8" t="str">
        <f ca="1">OFFSET(Database!$F25,0,COLUMN(Database!FH25)*2-12)</f>
        <v>n.r.</v>
      </c>
      <c r="FL25" s="8" t="str">
        <f ca="1">OFFSET(Database!$F25,0,COLUMN(Database!FI25)*2-12)</f>
        <v>n.r.</v>
      </c>
      <c r="FM25" s="8" t="str">
        <f ca="1">OFFSET(Database!$F25,0,COLUMN(Database!FJ25)*2-12)</f>
        <v>n.r.</v>
      </c>
      <c r="FN25" s="8" t="str">
        <f ca="1">OFFSET(Database!$F25,0,COLUMN(Database!FK25)*2-12)</f>
        <v>n.r.</v>
      </c>
      <c r="FO25" s="8" t="str">
        <f ca="1">OFFSET(Database!$F25,0,COLUMN(Database!FL25)*2-12)</f>
        <v>n.r.</v>
      </c>
      <c r="FP25" s="8" t="str">
        <f ca="1">OFFSET(Database!$F25,0,COLUMN(Database!FM25)*2-12)</f>
        <v>n.r.</v>
      </c>
      <c r="FQ25" s="8" t="str">
        <f ca="1">OFFSET(Database!$F25,0,COLUMN(Database!FN25)*2-12)</f>
        <v>n.r.</v>
      </c>
      <c r="FR25" s="8" t="str">
        <f ca="1">OFFSET(Database!$F25,0,COLUMN(Database!FO25)*2-12)</f>
        <v>n.r.</v>
      </c>
      <c r="FS25" s="8" t="str">
        <f ca="1">OFFSET(Database!$F25,0,COLUMN(Database!FP25)*2-12)</f>
        <v>n.r.</v>
      </c>
      <c r="FT25" s="8" t="str">
        <f ca="1">OFFSET(Database!$F25,0,COLUMN(Database!FQ25)*2-12)</f>
        <v>n.r.</v>
      </c>
      <c r="FU25" s="8" t="str">
        <f ca="1">OFFSET(Database!$F25,0,COLUMN(Database!FR25)*2-12)</f>
        <v>n.r.</v>
      </c>
      <c r="FV25" s="8" t="str">
        <f ca="1">OFFSET(Database!$F25,0,COLUMN(Database!FS25)*2-12)</f>
        <v>n.r.</v>
      </c>
      <c r="FW25" s="8" t="str">
        <f ca="1">OFFSET(Database!$F25,0,COLUMN(Database!FT25)*2-12)</f>
        <v>n.r.</v>
      </c>
      <c r="FX25" s="8" t="str">
        <f ca="1">OFFSET(Database!$F25,0,COLUMN(Database!FU25)*2-12)</f>
        <v>n.r.</v>
      </c>
      <c r="FY25" s="8" t="str">
        <f ca="1">OFFSET(Database!$F25,0,COLUMN(Database!FV25)*2-12)</f>
        <v>n.r.</v>
      </c>
      <c r="FZ25" s="8" t="str">
        <f ca="1">OFFSET(Database!$F25,0,COLUMN(Database!FW25)*2-12)</f>
        <v>n.r.</v>
      </c>
      <c r="GA25" s="8" t="str">
        <f ca="1">OFFSET(Database!$F25,0,COLUMN(Database!FX25)*2-12)</f>
        <v>n.r.</v>
      </c>
      <c r="GB25" s="8" t="str">
        <f ca="1">OFFSET(Database!$F25,0,COLUMN(Database!FY25)*2-12)</f>
        <v>n.r.</v>
      </c>
      <c r="GC25" s="8" t="str">
        <f ca="1">OFFSET(Database!$F25,0,COLUMN(Database!FZ25)*2-12)</f>
        <v>n.r.</v>
      </c>
      <c r="GD25" s="8" t="str">
        <f ca="1">OFFSET(Database!$F25,0,COLUMN(Database!GA25)*2-12)</f>
        <v>n.r.</v>
      </c>
      <c r="GE25" s="8" t="str">
        <f ca="1">OFFSET(Database!$F25,0,COLUMN(Database!GB25)*2-12)</f>
        <v>n.r.</v>
      </c>
      <c r="GF25" s="8" t="str">
        <f ca="1">OFFSET(Database!$F25,0,COLUMN(Database!GC25)*2-12)</f>
        <v>n.r.</v>
      </c>
      <c r="GG25" s="8" t="str">
        <f ca="1">OFFSET(Database!$F25,0,COLUMN(Database!GD25)*2-12)</f>
        <v>n.r.</v>
      </c>
      <c r="GH25" s="8" t="str">
        <f ca="1">OFFSET(Database!$F25,0,COLUMN(Database!GE25)*2-12)</f>
        <v>n.r.</v>
      </c>
      <c r="GI25" s="8" t="str">
        <f ca="1">OFFSET(Database!$F25,0,COLUMN(Database!GF25)*2-12)</f>
        <v>n.r.</v>
      </c>
      <c r="GJ25" s="8" t="str">
        <f ca="1">OFFSET(Database!$F25,0,COLUMN(Database!GG25)*2-12)</f>
        <v>n.r.</v>
      </c>
      <c r="GK25" s="8" t="str">
        <f ca="1">OFFSET(Database!$F25,0,COLUMN(Database!GH25)*2-12)</f>
        <v>n.r.</v>
      </c>
      <c r="GL25" s="8" t="str">
        <f ca="1">OFFSET(Database!$F25,0,COLUMN(Database!GI25)*2-12)</f>
        <v>n.r.</v>
      </c>
      <c r="GM25" s="8" t="str">
        <f ca="1">OFFSET(Database!$F25,0,COLUMN(Database!GJ25)*2-12)</f>
        <v>n.r.</v>
      </c>
      <c r="GN25" s="8" t="str">
        <f ca="1">OFFSET(Database!$F25,0,COLUMN(Database!GK25)*2-12)</f>
        <v>n.r.</v>
      </c>
      <c r="GO25" s="8">
        <f ca="1">OFFSET(Database!$F25,0,COLUMN(Database!GL25)*2-12)</f>
        <v>176.29281396910679</v>
      </c>
      <c r="GP25" s="8">
        <f ca="1">OFFSET(Database!$F25,0,COLUMN(Database!GM25)*2-12)</f>
        <v>394.56010745466756</v>
      </c>
    </row>
    <row r="26" spans="1:198" x14ac:dyDescent="0.2">
      <c r="A26" s="50" t="str">
        <f>Database!A26</f>
        <v>D-ɑ-aminobutyric acid</v>
      </c>
      <c r="B26" s="32" t="s">
        <v>889</v>
      </c>
      <c r="C26" s="4" t="str">
        <f>Database!B26</f>
        <v>ɑ</v>
      </c>
      <c r="D26" s="4" t="str">
        <f>Database!C26</f>
        <v>D</v>
      </c>
      <c r="E26" s="74">
        <f>Database!D26</f>
        <v>3</v>
      </c>
      <c r="F26" s="32" t="s">
        <v>910</v>
      </c>
      <c r="G26" s="1">
        <v>439691</v>
      </c>
      <c r="H26" s="1">
        <f>Database!E26</f>
        <v>103.12</v>
      </c>
      <c r="I26" s="8" t="str">
        <f ca="1">OFFSET(Database!$F26,0,COLUMN(Database!F26)*2-12)</f>
        <v>n.r.</v>
      </c>
      <c r="J26" s="8" t="str">
        <f ca="1">OFFSET(Database!$F26,0,COLUMN(Database!G26)*2-12)</f>
        <v>n.r.</v>
      </c>
      <c r="K26" s="8" t="str">
        <f ca="1">OFFSET(Database!$F26,0,COLUMN(Database!H26)*2-12)</f>
        <v>n.r.</v>
      </c>
      <c r="L26" s="8" t="str">
        <f ca="1">OFFSET(Database!$F26,0,COLUMN(Database!I26)*2-12)</f>
        <v>n.r.</v>
      </c>
      <c r="M26" s="8" t="str">
        <f ca="1">OFFSET(Database!$F26,0,COLUMN(Database!J26)*2-12)</f>
        <v>n.r.</v>
      </c>
      <c r="N26" s="8" t="str">
        <f ca="1">OFFSET(Database!$F26,0,COLUMN(Database!K26)*2-12)</f>
        <v>n.r.</v>
      </c>
      <c r="O26" s="8" t="str">
        <f ca="1">OFFSET(Database!$F26,0,COLUMN(Database!L26)*2-12)</f>
        <v>n.r.</v>
      </c>
      <c r="P26" s="8" t="str">
        <f ca="1">OFFSET(Database!$F26,0,COLUMN(Database!M26)*2-12)</f>
        <v>n.r.</v>
      </c>
      <c r="Q26" s="8" t="str">
        <f ca="1">OFFSET(Database!$F26,0,COLUMN(Database!N26)*2-12)</f>
        <v>n.r.</v>
      </c>
      <c r="R26" s="8" t="str">
        <f ca="1">OFFSET(Database!$F26,0,COLUMN(Database!O26)*2-12)</f>
        <v>n.r.</v>
      </c>
      <c r="S26" s="8" t="str">
        <f ca="1">OFFSET(Database!$F26,0,COLUMN(Database!P26)*2-12)</f>
        <v>n.r.</v>
      </c>
      <c r="T26" s="8" t="str">
        <f ca="1">OFFSET(Database!$F26,0,COLUMN(Database!Q26)*2-12)</f>
        <v>n.r.</v>
      </c>
      <c r="U26" s="8" t="str">
        <f ca="1">OFFSET(Database!$F26,0,COLUMN(Database!R26)*2-12)</f>
        <v>n.r.</v>
      </c>
      <c r="V26" s="8" t="str">
        <f ca="1">OFFSET(Database!$F26,0,COLUMN(Database!S26)*2-12)</f>
        <v>n.r.</v>
      </c>
      <c r="W26" s="8" t="str">
        <f ca="1">OFFSET(Database!$F26,0,COLUMN(Database!T26)*2-12)</f>
        <v>n.r.</v>
      </c>
      <c r="X26" s="8" t="str">
        <f ca="1">OFFSET(Database!$F26,0,COLUMN(Database!U26)*2-12)</f>
        <v>n.r.</v>
      </c>
      <c r="Y26" s="8" t="str">
        <f ca="1">OFFSET(Database!$F26,0,COLUMN(Database!V26)*2-12)</f>
        <v>n.r.</v>
      </c>
      <c r="Z26" s="8" t="str">
        <f ca="1">OFFSET(Database!$F26,0,COLUMN(Database!W26)*2-12)</f>
        <v>n.r.</v>
      </c>
      <c r="AA26" s="8" t="str">
        <f ca="1">OFFSET(Database!$F26,0,COLUMN(Database!X26)*2-12)</f>
        <v>n.r.</v>
      </c>
      <c r="AB26" s="8">
        <f ca="1">OFFSET(Database!$F26,0,COLUMN(Database!Y26)*2-12)</f>
        <v>5.1590380139643131</v>
      </c>
      <c r="AC26" s="8" t="str">
        <f ca="1">OFFSET(Database!$F26,0,COLUMN(Database!Z26)*2-12)</f>
        <v>n.r.</v>
      </c>
      <c r="AD26" s="8" t="str">
        <f ca="1">OFFSET(Database!$F26,0,COLUMN(Database!AA26)*2-12)</f>
        <v>n.r.</v>
      </c>
      <c r="AE26" s="8" t="str">
        <f ca="1">OFFSET(Database!$F26,0,COLUMN(Database!AB26)*2-12)</f>
        <v>n.r.</v>
      </c>
      <c r="AF26" s="8" t="str">
        <f ca="1">OFFSET(Database!$F26,0,COLUMN(Database!AC26)*2-12)</f>
        <v>n.r.</v>
      </c>
      <c r="AG26" s="8" t="str">
        <f ca="1">OFFSET(Database!$F26,0,COLUMN(Database!AD26)*2-12)</f>
        <v>n.r.</v>
      </c>
      <c r="AH26" s="8" t="str">
        <f ca="1">OFFSET(Database!$F26,0,COLUMN(Database!AE26)*2-12)</f>
        <v>n.r.</v>
      </c>
      <c r="AI26" s="8" t="str">
        <f ca="1">OFFSET(Database!$F26,0,COLUMN(Database!AF26)*2-12)</f>
        <v>n.r.</v>
      </c>
      <c r="AJ26" s="8" t="str">
        <f ca="1">OFFSET(Database!$F26,0,COLUMN(Database!AG26)*2-12)</f>
        <v>n.r.</v>
      </c>
      <c r="AK26" s="8" t="str">
        <f ca="1">OFFSET(Database!$F26,0,COLUMN(Database!AH26)*2-12)</f>
        <v>n.r.</v>
      </c>
      <c r="AL26" s="8" t="str">
        <f ca="1">OFFSET(Database!$F26,0,COLUMN(Database!AI26)*2-12)</f>
        <v>n.r.</v>
      </c>
      <c r="AM26" s="8" t="str">
        <f ca="1">OFFSET(Database!$F26,0,COLUMN(Database!AJ26)*2-12)</f>
        <v>n.r.</v>
      </c>
      <c r="AN26" s="8" t="str">
        <f ca="1">OFFSET(Database!$F26,0,COLUMN(Database!AK26)*2-12)</f>
        <v>n.r.</v>
      </c>
      <c r="AO26" s="8" t="str">
        <f ca="1">OFFSET(Database!$F26,0,COLUMN(Database!AL26)*2-12)</f>
        <v>n.r.</v>
      </c>
      <c r="AP26" s="8" t="str">
        <f ca="1">OFFSET(Database!$F26,0,COLUMN(Database!AM26)*2-12)</f>
        <v>n.r.</v>
      </c>
      <c r="AQ26" s="8" t="str">
        <f ca="1">OFFSET(Database!$F26,0,COLUMN(Database!AN26)*2-12)</f>
        <v>n.r.</v>
      </c>
      <c r="AR26" s="8" t="str">
        <f ca="1">OFFSET(Database!$F26,0,COLUMN(Database!AO26)*2-12)</f>
        <v>n.r.</v>
      </c>
      <c r="AS26" s="8" t="str">
        <f ca="1">OFFSET(Database!$F26,0,COLUMN(Database!AP26)*2-12)</f>
        <v>n.r.</v>
      </c>
      <c r="AT26" s="8" t="str">
        <f ca="1">OFFSET(Database!$F26,0,COLUMN(Database!AQ26)*2-12)</f>
        <v>n.r.</v>
      </c>
      <c r="AU26" s="8" t="str">
        <f ca="1">OFFSET(Database!$F26,0,COLUMN(Database!AR26)*2-12)</f>
        <v>n.r.</v>
      </c>
      <c r="AV26" s="8" t="str">
        <f ca="1">OFFSET(Database!$F26,0,COLUMN(Database!AS26)*2-12)</f>
        <v>n.r.</v>
      </c>
      <c r="AW26" s="8" t="str">
        <f ca="1">OFFSET(Database!$F26,0,COLUMN(Database!AT26)*2-12)</f>
        <v>n.r.</v>
      </c>
      <c r="AX26" s="8" t="str">
        <f ca="1">OFFSET(Database!$F26,0,COLUMN(Database!AU26)*2-12)</f>
        <v>n.r.</v>
      </c>
      <c r="AY26" s="8" t="str">
        <f ca="1">OFFSET(Database!$F26,0,COLUMN(Database!AV26)*2-12)</f>
        <v>n.r.</v>
      </c>
      <c r="AZ26" s="8" t="str">
        <f ca="1">OFFSET(Database!$F26,0,COLUMN(Database!AW26)*2-12)</f>
        <v>n.r.</v>
      </c>
      <c r="BA26" s="8" t="str">
        <f ca="1">OFFSET(Database!$F26,0,COLUMN(Database!AX26)*2-12)</f>
        <v>n.r.</v>
      </c>
      <c r="BB26" s="8" t="str">
        <f ca="1">OFFSET(Database!$F26,0,COLUMN(Database!AY26)*2-12)</f>
        <v>n.r.</v>
      </c>
      <c r="BC26" s="8" t="str">
        <f ca="1">OFFSET(Database!$F26,0,COLUMN(Database!AZ26)*2-12)</f>
        <v>n.r.</v>
      </c>
      <c r="BD26" s="8" t="str">
        <f ca="1">OFFSET(Database!$F26,0,COLUMN(Database!BA26)*2-12)</f>
        <v>n.r.</v>
      </c>
      <c r="BE26" s="8" t="str">
        <f ca="1">OFFSET(Database!$F26,0,COLUMN(Database!BB26)*2-12)</f>
        <v>n.r.</v>
      </c>
      <c r="BF26" s="8" t="str">
        <f ca="1">OFFSET(Database!$F26,0,COLUMN(Database!BC26)*2-12)</f>
        <v>n.r.</v>
      </c>
      <c r="BG26" s="8" t="str">
        <f ca="1">OFFSET(Database!$F26,0,COLUMN(Database!BD26)*2-12)</f>
        <v>n.r.</v>
      </c>
      <c r="BH26" s="8" t="str">
        <f ca="1">OFFSET(Database!$F26,0,COLUMN(Database!BE26)*2-12)</f>
        <v>n.r.</v>
      </c>
      <c r="BI26" s="8" t="str">
        <f ca="1">OFFSET(Database!$F26,0,COLUMN(Database!BF26)*2-12)</f>
        <v>n.r.</v>
      </c>
      <c r="BJ26" s="8" t="str">
        <f ca="1">OFFSET(Database!$F26,0,COLUMN(Database!BG26)*2-12)</f>
        <v>n.r.</v>
      </c>
      <c r="BK26" s="8" t="str">
        <f ca="1">OFFSET(Database!$F26,0,COLUMN(Database!BH26)*2-12)</f>
        <v>n.r.</v>
      </c>
      <c r="BL26" s="8" t="str">
        <f ca="1">OFFSET(Database!$F26,0,COLUMN(Database!BI26)*2-12)</f>
        <v>n.r.</v>
      </c>
      <c r="BM26" s="8" t="str">
        <f ca="1">OFFSET(Database!$F26,0,COLUMN(Database!BJ26)*2-12)</f>
        <v>n.r.</v>
      </c>
      <c r="BN26" s="8" t="str">
        <f ca="1">OFFSET(Database!$F26,0,COLUMN(Database!BK26)*2-12)</f>
        <v>n.r.</v>
      </c>
      <c r="BO26" s="8" t="str">
        <f ca="1">OFFSET(Database!$F26,0,COLUMN(Database!BL26)*2-12)</f>
        <v>n.r.</v>
      </c>
      <c r="BP26" s="8" t="str">
        <f ca="1">OFFSET(Database!$F26,0,COLUMN(Database!BM26)*2-12)</f>
        <v>n.r.</v>
      </c>
      <c r="BQ26" s="8" t="str">
        <f ca="1">OFFSET(Database!$F26,0,COLUMN(Database!BN26)*2-12)</f>
        <v>n.r.</v>
      </c>
      <c r="BR26" s="8" t="str">
        <f ca="1">OFFSET(Database!$F26,0,COLUMN(Database!BO26)*2-12)</f>
        <v>n.r.</v>
      </c>
      <c r="BS26" s="8" t="str">
        <f ca="1">OFFSET(Database!$F26,0,COLUMN(Database!BP26)*2-12)</f>
        <v>n.r.</v>
      </c>
      <c r="BT26" s="8" t="str">
        <f ca="1">OFFSET(Database!$F26,0,COLUMN(Database!BQ26)*2-12)</f>
        <v>n.r.</v>
      </c>
      <c r="BU26" s="8" t="str">
        <f ca="1">OFFSET(Database!$F26,0,COLUMN(Database!BR26)*2-12)</f>
        <v>n.r.</v>
      </c>
      <c r="BV26" s="8" t="str">
        <f ca="1">OFFSET(Database!$F26,0,COLUMN(Database!BS26)*2-12)</f>
        <v>n.r.</v>
      </c>
      <c r="BW26" s="8" t="str">
        <f ca="1">OFFSET(Database!$F26,0,COLUMN(Database!BT26)*2-12)</f>
        <v>n.r.</v>
      </c>
      <c r="BX26" s="8" t="str">
        <f ca="1">OFFSET(Database!$F26,0,COLUMN(Database!BU26)*2-12)</f>
        <v>n.r.</v>
      </c>
      <c r="BY26" s="8" t="str">
        <f ca="1">OFFSET(Database!$F26,0,COLUMN(Database!BV26)*2-12)</f>
        <v>n.r.</v>
      </c>
      <c r="BZ26" s="8" t="str">
        <f ca="1">OFFSET(Database!$F26,0,COLUMN(Database!BW26)*2-12)</f>
        <v>n.r.</v>
      </c>
      <c r="CA26" s="8" t="str">
        <f ca="1">OFFSET(Database!$F26,0,COLUMN(Database!BX26)*2-12)</f>
        <v>n.r.</v>
      </c>
      <c r="CB26" s="8" t="str">
        <f ca="1">OFFSET(Database!$F26,0,COLUMN(Database!BY26)*2-12)</f>
        <v>n.r.</v>
      </c>
      <c r="CC26" s="8" t="str">
        <f ca="1">OFFSET(Database!$F26,0,COLUMN(Database!BZ26)*2-12)</f>
        <v>n.r.</v>
      </c>
      <c r="CD26" s="8" t="str">
        <f ca="1">OFFSET(Database!$F26,0,COLUMN(Database!CA26)*2-12)</f>
        <v>n.r.</v>
      </c>
      <c r="CE26" s="8" t="str">
        <f ca="1">OFFSET(Database!$F26,0,COLUMN(Database!CB26)*2-12)</f>
        <v>n.r.</v>
      </c>
      <c r="CF26" s="8" t="str">
        <f ca="1">OFFSET(Database!$F26,0,COLUMN(Database!CC26)*2-12)</f>
        <v>n.r.</v>
      </c>
      <c r="CG26" s="8" t="str">
        <f ca="1">OFFSET(Database!$F26,0,COLUMN(Database!CD26)*2-12)</f>
        <v>n.r.</v>
      </c>
      <c r="CH26" s="8" t="str">
        <f ca="1">OFFSET(Database!$F26,0,COLUMN(Database!CE26)*2-12)</f>
        <v>n.r.</v>
      </c>
      <c r="CI26" s="8" t="str">
        <f ca="1">OFFSET(Database!$F26,0,COLUMN(Database!CF26)*2-12)</f>
        <v>n.r.</v>
      </c>
      <c r="CJ26" s="8" t="str">
        <f ca="1">OFFSET(Database!$F26,0,COLUMN(Database!CG26)*2-12)</f>
        <v>n.r.</v>
      </c>
      <c r="CK26" s="8" t="str">
        <f ca="1">OFFSET(Database!$F26,0,COLUMN(Database!CH26)*2-12)</f>
        <v>n.r.</v>
      </c>
      <c r="CL26" s="8" t="str">
        <f ca="1">OFFSET(Database!$F26,0,COLUMN(Database!CI26)*2-12)</f>
        <v>n.r.</v>
      </c>
      <c r="CM26" s="8" t="str">
        <f ca="1">OFFSET(Database!$F26,0,COLUMN(Database!CJ26)*2-12)</f>
        <v>n.r.</v>
      </c>
      <c r="CN26" s="8" t="str">
        <f ca="1">OFFSET(Database!$F26,0,COLUMN(Database!CK26)*2-12)</f>
        <v>n.r.</v>
      </c>
      <c r="CO26" s="8" t="str">
        <f ca="1">OFFSET(Database!$F26,0,COLUMN(Database!CL26)*2-12)</f>
        <v>n.r.</v>
      </c>
      <c r="CP26" s="8" t="str">
        <f ca="1">OFFSET(Database!$F26,0,COLUMN(Database!CM26)*2-12)</f>
        <v>n.r.</v>
      </c>
      <c r="CQ26" s="8" t="str">
        <f ca="1">OFFSET(Database!$F26,0,COLUMN(Database!CN26)*2-12)</f>
        <v>n.r.</v>
      </c>
      <c r="CR26" s="8" t="str">
        <f ca="1">OFFSET(Database!$F26,0,COLUMN(Database!CO26)*2-12)</f>
        <v>n.r.</v>
      </c>
      <c r="CS26" s="8" t="str">
        <f ca="1">OFFSET(Database!$F26,0,COLUMN(Database!CP26)*2-12)</f>
        <v>n.r.</v>
      </c>
      <c r="CT26" s="8" t="str">
        <f ca="1">OFFSET(Database!$F26,0,COLUMN(Database!CQ26)*2-12)</f>
        <v>n.r.</v>
      </c>
      <c r="CU26" s="8" t="str">
        <f ca="1">OFFSET(Database!$F26,0,COLUMN(Database!CR26)*2-12)</f>
        <v>n.r.</v>
      </c>
      <c r="CV26" s="8" t="str">
        <f ca="1">OFFSET(Database!$F26,0,COLUMN(Database!CS26)*2-12)</f>
        <v>n.r.</v>
      </c>
      <c r="CW26" s="8" t="str">
        <f ca="1">OFFSET(Database!$F26,0,COLUMN(Database!CT26)*2-12)</f>
        <v>n.r.</v>
      </c>
      <c r="CX26" s="8" t="str">
        <f ca="1">OFFSET(Database!$F26,0,COLUMN(Database!CU26)*2-12)</f>
        <v>n.r.</v>
      </c>
      <c r="CY26" s="8" t="str">
        <f ca="1">OFFSET(Database!$F26,0,COLUMN(Database!CV26)*2-12)</f>
        <v>n.r.</v>
      </c>
      <c r="CZ26" s="8" t="str">
        <f ca="1">OFFSET(Database!$F26,0,COLUMN(Database!CW26)*2-12)</f>
        <v>n.r.</v>
      </c>
      <c r="DA26" s="8" t="str">
        <f ca="1">OFFSET(Database!$F26,0,COLUMN(Database!CX26)*2-12)</f>
        <v>n.r.</v>
      </c>
      <c r="DB26" s="8" t="str">
        <f ca="1">OFFSET(Database!$F26,0,COLUMN(Database!CY26)*2-12)</f>
        <v>n.r.</v>
      </c>
      <c r="DC26" s="8" t="str">
        <f ca="1">OFFSET(Database!$F26,0,COLUMN(Database!CZ26)*2-12)</f>
        <v>n.r.</v>
      </c>
      <c r="DD26" s="8" t="str">
        <f ca="1">OFFSET(Database!$F26,0,COLUMN(Database!DA26)*2-12)</f>
        <v>n.r.</v>
      </c>
      <c r="DE26" s="8" t="str">
        <f ca="1">OFFSET(Database!$F26,0,COLUMN(Database!DB26)*2-12)</f>
        <v>n.r.</v>
      </c>
      <c r="DF26" s="8" t="str">
        <f ca="1">OFFSET(Database!$F26,0,COLUMN(Database!DC26)*2-12)</f>
        <v>n.r.</v>
      </c>
      <c r="DG26" s="8" t="str">
        <f ca="1">OFFSET(Database!$F26,0,COLUMN(Database!DD26)*2-12)</f>
        <v>n.r.</v>
      </c>
      <c r="DH26" s="8" t="str">
        <f ca="1">OFFSET(Database!$F26,0,COLUMN(Database!DE26)*2-12)</f>
        <v>n.r.</v>
      </c>
      <c r="DI26" s="8" t="str">
        <f ca="1">OFFSET(Database!$F26,0,COLUMN(Database!DF26)*2-12)</f>
        <v>n.r.</v>
      </c>
      <c r="DJ26" s="8" t="str">
        <f ca="1">OFFSET(Database!$F26,0,COLUMN(Database!DG26)*2-12)</f>
        <v>n.r.</v>
      </c>
      <c r="DK26" s="8" t="str">
        <f ca="1">OFFSET(Database!$F26,0,COLUMN(Database!DH26)*2-12)</f>
        <v>n.r.</v>
      </c>
      <c r="DL26" s="8" t="str">
        <f ca="1">OFFSET(Database!$F26,0,COLUMN(Database!DI26)*2-12)</f>
        <v>n.r.</v>
      </c>
      <c r="DM26" s="8" t="str">
        <f ca="1">OFFSET(Database!$F26,0,COLUMN(Database!DJ26)*2-12)</f>
        <v>n.r.</v>
      </c>
      <c r="DN26" s="8" t="str">
        <f ca="1">OFFSET(Database!$F26,0,COLUMN(Database!DK26)*2-12)</f>
        <v>n.r.</v>
      </c>
      <c r="DO26" s="8" t="str">
        <f ca="1">OFFSET(Database!$F26,0,COLUMN(Database!DL26)*2-12)</f>
        <v>n.r.</v>
      </c>
      <c r="DP26" s="8" t="str">
        <f ca="1">OFFSET(Database!$F26,0,COLUMN(Database!DM26)*2-12)</f>
        <v>n.r.</v>
      </c>
      <c r="DQ26" s="8" t="str">
        <f ca="1">OFFSET(Database!$F26,0,COLUMN(Database!DN26)*2-12)</f>
        <v>n.r.</v>
      </c>
      <c r="DR26" s="8" t="str">
        <f ca="1">OFFSET(Database!$F26,0,COLUMN(Database!DO26)*2-12)</f>
        <v>n.r.</v>
      </c>
      <c r="DS26" s="8" t="str">
        <f ca="1">OFFSET(Database!$F26,0,COLUMN(Database!DP26)*2-12)</f>
        <v>n.r.</v>
      </c>
      <c r="DT26" s="8" t="str">
        <f ca="1">OFFSET(Database!$F26,0,COLUMN(Database!DQ26)*2-12)</f>
        <v>n.r.</v>
      </c>
      <c r="DU26" s="8" t="str">
        <f ca="1">OFFSET(Database!$F26,0,COLUMN(Database!DR26)*2-12)</f>
        <v>n.r.</v>
      </c>
      <c r="DV26" s="8" t="str">
        <f ca="1">OFFSET(Database!$F26,0,COLUMN(Database!DS26)*2-12)</f>
        <v>n.r.</v>
      </c>
      <c r="DW26" s="8" t="str">
        <f ca="1">OFFSET(Database!$F26,0,COLUMN(Database!DT26)*2-12)</f>
        <v>n.r.</v>
      </c>
      <c r="DX26" s="8" t="str">
        <f ca="1">OFFSET(Database!$F26,0,COLUMN(Database!DU26)*2-12)</f>
        <v>n.r.</v>
      </c>
      <c r="DY26" s="8" t="str">
        <f ca="1">OFFSET(Database!$F26,0,COLUMN(Database!DV26)*2-12)</f>
        <v>n.r.</v>
      </c>
      <c r="DZ26" s="8" t="str">
        <f ca="1">OFFSET(Database!$F26,0,COLUMN(Database!DW26)*2-12)</f>
        <v>n.r.</v>
      </c>
      <c r="EA26" s="8" t="str">
        <f ca="1">OFFSET(Database!$F26,0,COLUMN(Database!DX26)*2-12)</f>
        <v>n.r.</v>
      </c>
      <c r="EB26" s="8" t="str">
        <f ca="1">OFFSET(Database!$F26,0,COLUMN(Database!DY26)*2-12)</f>
        <v>n.r.</v>
      </c>
      <c r="EC26" s="8" t="str">
        <f ca="1">OFFSET(Database!$F26,0,COLUMN(Database!DZ26)*2-12)</f>
        <v>n.r.</v>
      </c>
      <c r="ED26" s="8" t="str">
        <f ca="1">OFFSET(Database!$F26,0,COLUMN(Database!EA26)*2-12)</f>
        <v>n.r</v>
      </c>
      <c r="EE26" s="8" t="str">
        <f ca="1">OFFSET(Database!$F26,0,COLUMN(Database!EB26)*2-12)</f>
        <v>n.r.</v>
      </c>
      <c r="EF26" s="8" t="str">
        <f ca="1">OFFSET(Database!$F26,0,COLUMN(Database!EC26)*2-12)</f>
        <v>n.r.</v>
      </c>
      <c r="EG26" s="8" t="str">
        <f ca="1">OFFSET(Database!$F26,0,COLUMN(Database!ED26)*2-12)</f>
        <v>n.r.</v>
      </c>
      <c r="EH26" s="8" t="str">
        <f ca="1">OFFSET(Database!$F26,0,COLUMN(Database!EE26)*2-12)</f>
        <v>n.r.</v>
      </c>
      <c r="EI26" s="8" t="str">
        <f ca="1">OFFSET(Database!$F26,0,COLUMN(Database!EF26)*2-12)</f>
        <v>n.r.</v>
      </c>
      <c r="EJ26" s="8" t="str">
        <f ca="1">OFFSET(Database!$F26,0,COLUMN(Database!EG26)*2-12)</f>
        <v>n.r.</v>
      </c>
      <c r="EK26" s="8" t="str">
        <f ca="1">OFFSET(Database!$F26,0,COLUMN(Database!EH26)*2-12)</f>
        <v>n.r.</v>
      </c>
      <c r="EL26" s="8" t="str">
        <f ca="1">OFFSET(Database!$F26,0,COLUMN(Database!EI26)*2-12)</f>
        <v>n.r.</v>
      </c>
      <c r="EM26" s="8" t="str">
        <f ca="1">OFFSET(Database!$F26,0,COLUMN(Database!EJ26)*2-12)</f>
        <v>n.r.</v>
      </c>
      <c r="EN26" s="8" t="str">
        <f ca="1">OFFSET(Database!$F26,0,COLUMN(Database!EK26)*2-12)</f>
        <v>n.r.</v>
      </c>
      <c r="EO26" s="8" t="str">
        <f ca="1">OFFSET(Database!$F26,0,COLUMN(Database!EL26)*2-12)</f>
        <v>n.r.</v>
      </c>
      <c r="EP26" s="8" t="str">
        <f ca="1">OFFSET(Database!$F26,0,COLUMN(Database!EM26)*2-12)</f>
        <v>n.r.</v>
      </c>
      <c r="EQ26" s="8" t="str">
        <f ca="1">OFFSET(Database!$F26,0,COLUMN(Database!EN26)*2-12)</f>
        <v>n.r.</v>
      </c>
      <c r="ER26" s="8" t="str">
        <f ca="1">OFFSET(Database!$F26,0,COLUMN(Database!EO26)*2-12)</f>
        <v>n.r.</v>
      </c>
      <c r="ES26" s="8" t="str">
        <f ca="1">OFFSET(Database!$F26,0,COLUMN(Database!EP26)*2-12)</f>
        <v>n.r.</v>
      </c>
      <c r="ET26" s="8" t="str">
        <f ca="1">OFFSET(Database!$F26,0,COLUMN(Database!EQ26)*2-12)</f>
        <v>n.r.</v>
      </c>
      <c r="EU26" s="8" t="str">
        <f ca="1">OFFSET(Database!$F26,0,COLUMN(Database!ER26)*2-12)</f>
        <v>n.r.</v>
      </c>
      <c r="EV26" s="8" t="str">
        <f ca="1">OFFSET(Database!$F26,0,COLUMN(Database!ES26)*2-12)</f>
        <v>n.r.</v>
      </c>
      <c r="EW26" s="8" t="str">
        <f ca="1">OFFSET(Database!$F26,0,COLUMN(Database!ET26)*2-12)</f>
        <v>n.r.</v>
      </c>
      <c r="EX26" s="8" t="str">
        <f ca="1">OFFSET(Database!$F26,0,COLUMN(Database!EU26)*2-12)</f>
        <v>n.r.</v>
      </c>
      <c r="EY26" s="8" t="str">
        <f ca="1">OFFSET(Database!$F26,0,COLUMN(Database!EV26)*2-12)</f>
        <v>n.r.</v>
      </c>
      <c r="EZ26" s="8" t="str">
        <f ca="1">OFFSET(Database!$F26,0,COLUMN(Database!EW26)*2-12)</f>
        <v>n.r.</v>
      </c>
      <c r="FA26" s="8" t="str">
        <f ca="1">OFFSET(Database!$F26,0,COLUMN(Database!EX26)*2-12)</f>
        <v>n.r.</v>
      </c>
      <c r="FB26" s="8" t="str">
        <f ca="1">OFFSET(Database!$F26,0,COLUMN(Database!EY26)*2-12)</f>
        <v>n.r.</v>
      </c>
      <c r="FC26" s="8" t="str">
        <f ca="1">OFFSET(Database!$F26,0,COLUMN(Database!EZ26)*2-12)</f>
        <v>n.r.</v>
      </c>
      <c r="FD26" s="8" t="str">
        <f ca="1">OFFSET(Database!$F26,0,COLUMN(Database!FA26)*2-12)</f>
        <v>n.r.</v>
      </c>
      <c r="FE26" s="8" t="str">
        <f ca="1">OFFSET(Database!$F26,0,COLUMN(Database!FB26)*2-12)</f>
        <v>n.r.</v>
      </c>
      <c r="FF26" s="8" t="str">
        <f ca="1">OFFSET(Database!$F26,0,COLUMN(Database!FC26)*2-12)</f>
        <v>n.r.</v>
      </c>
      <c r="FG26" s="8" t="str">
        <f ca="1">OFFSET(Database!$F26,0,COLUMN(Database!FD26)*2-12)</f>
        <v>n.r.</v>
      </c>
      <c r="FH26" s="8" t="str">
        <f ca="1">OFFSET(Database!$F26,0,COLUMN(Database!FE26)*2-12)</f>
        <v>n.r.</v>
      </c>
      <c r="FI26" s="8" t="str">
        <f ca="1">OFFSET(Database!$F26,0,COLUMN(Database!FF26)*2-12)</f>
        <v>n.r.</v>
      </c>
      <c r="FJ26" s="8" t="str">
        <f ca="1">OFFSET(Database!$F26,0,COLUMN(Database!FG26)*2-12)</f>
        <v>n.r.</v>
      </c>
      <c r="FK26" s="8" t="str">
        <f ca="1">OFFSET(Database!$F26,0,COLUMN(Database!FH26)*2-12)</f>
        <v>n.r.</v>
      </c>
      <c r="FL26" s="8" t="str">
        <f ca="1">OFFSET(Database!$F26,0,COLUMN(Database!FI26)*2-12)</f>
        <v>n.r.</v>
      </c>
      <c r="FM26" s="8" t="str">
        <f ca="1">OFFSET(Database!$F26,0,COLUMN(Database!FJ26)*2-12)</f>
        <v>n.r.</v>
      </c>
      <c r="FN26" s="8" t="str">
        <f ca="1">OFFSET(Database!$F26,0,COLUMN(Database!FK26)*2-12)</f>
        <v>n.r.</v>
      </c>
      <c r="FO26" s="8" t="str">
        <f ca="1">OFFSET(Database!$F26,0,COLUMN(Database!FL26)*2-12)</f>
        <v>n.r.</v>
      </c>
      <c r="FP26" s="8" t="str">
        <f ca="1">OFFSET(Database!$F26,0,COLUMN(Database!FM26)*2-12)</f>
        <v>n.r.</v>
      </c>
      <c r="FQ26" s="8" t="str">
        <f ca="1">OFFSET(Database!$F26,0,COLUMN(Database!FN26)*2-12)</f>
        <v>n.r.</v>
      </c>
      <c r="FR26" s="8" t="str">
        <f ca="1">OFFSET(Database!$F26,0,COLUMN(Database!FO26)*2-12)</f>
        <v>n.r.</v>
      </c>
      <c r="FS26" s="8" t="str">
        <f ca="1">OFFSET(Database!$F26,0,COLUMN(Database!FP26)*2-12)</f>
        <v>n.r.</v>
      </c>
      <c r="FT26" s="8" t="str">
        <f ca="1">OFFSET(Database!$F26,0,COLUMN(Database!FQ26)*2-12)</f>
        <v>n.r.</v>
      </c>
      <c r="FU26" s="8" t="str">
        <f ca="1">OFFSET(Database!$F26,0,COLUMN(Database!FR26)*2-12)</f>
        <v>n.r.</v>
      </c>
      <c r="FV26" s="8" t="str">
        <f ca="1">OFFSET(Database!$F26,0,COLUMN(Database!FS26)*2-12)</f>
        <v>n.r.</v>
      </c>
      <c r="FW26" s="8" t="str">
        <f ca="1">OFFSET(Database!$F26,0,COLUMN(Database!FT26)*2-12)</f>
        <v>n.r.</v>
      </c>
      <c r="FX26" s="8" t="str">
        <f ca="1">OFFSET(Database!$F26,0,COLUMN(Database!FU26)*2-12)</f>
        <v>n.r.</v>
      </c>
      <c r="FY26" s="8" t="str">
        <f ca="1">OFFSET(Database!$F26,0,COLUMN(Database!FV26)*2-12)</f>
        <v>n.r.</v>
      </c>
      <c r="FZ26" s="8" t="str">
        <f ca="1">OFFSET(Database!$F26,0,COLUMN(Database!FW26)*2-12)</f>
        <v>n.r.</v>
      </c>
      <c r="GA26" s="8" t="str">
        <f ca="1">OFFSET(Database!$F26,0,COLUMN(Database!FX26)*2-12)</f>
        <v>n.r.</v>
      </c>
      <c r="GB26" s="8" t="str">
        <f ca="1">OFFSET(Database!$F26,0,COLUMN(Database!FY26)*2-12)</f>
        <v>n.r.</v>
      </c>
      <c r="GC26" s="8" t="str">
        <f ca="1">OFFSET(Database!$F26,0,COLUMN(Database!FZ26)*2-12)</f>
        <v>n.r.</v>
      </c>
      <c r="GD26" s="8" t="str">
        <f ca="1">OFFSET(Database!$F26,0,COLUMN(Database!GA26)*2-12)</f>
        <v>n.r.</v>
      </c>
      <c r="GE26" s="8" t="str">
        <f ca="1">OFFSET(Database!$F26,0,COLUMN(Database!GB26)*2-12)</f>
        <v>n.r.</v>
      </c>
      <c r="GF26" s="8" t="str">
        <f ca="1">OFFSET(Database!$F26,0,COLUMN(Database!GC26)*2-12)</f>
        <v>n.r.</v>
      </c>
      <c r="GG26" s="8" t="str">
        <f ca="1">OFFSET(Database!$F26,0,COLUMN(Database!GD26)*2-12)</f>
        <v>n.r.</v>
      </c>
      <c r="GH26" s="8" t="str">
        <f ca="1">OFFSET(Database!$F26,0,COLUMN(Database!GE26)*2-12)</f>
        <v>n.r.</v>
      </c>
      <c r="GI26" s="8" t="str">
        <f ca="1">OFFSET(Database!$F26,0,COLUMN(Database!GF26)*2-12)</f>
        <v>n.r.</v>
      </c>
      <c r="GJ26" s="8" t="str">
        <f ca="1">OFFSET(Database!$F26,0,COLUMN(Database!GG26)*2-12)</f>
        <v>n.r.</v>
      </c>
      <c r="GK26" s="8" t="str">
        <f ca="1">OFFSET(Database!$F26,0,COLUMN(Database!GH26)*2-12)</f>
        <v>n.r.</v>
      </c>
      <c r="GL26" s="8" t="str">
        <f ca="1">OFFSET(Database!$F26,0,COLUMN(Database!GI26)*2-12)</f>
        <v>n.r.</v>
      </c>
      <c r="GM26" s="8" t="str">
        <f ca="1">OFFSET(Database!$F26,0,COLUMN(Database!GJ26)*2-12)</f>
        <v>n.r.</v>
      </c>
      <c r="GN26" s="8" t="str">
        <f ca="1">OFFSET(Database!$F26,0,COLUMN(Database!GK26)*2-12)</f>
        <v>n.r.</v>
      </c>
      <c r="GO26" s="8">
        <f ca="1">OFFSET(Database!$F26,0,COLUMN(Database!GL26)*2-12)</f>
        <v>14.546159813809155</v>
      </c>
      <c r="GP26" s="8">
        <f ca="1">OFFSET(Database!$F26,0,COLUMN(Database!GM26)*2-12)</f>
        <v>610.93871217998446</v>
      </c>
    </row>
    <row r="27" spans="1:198" x14ac:dyDescent="0.2">
      <c r="A27" s="50" t="str">
        <f>Database!A27</f>
        <v>L-ɑ-aminobutyric acid</v>
      </c>
      <c r="B27" s="32" t="s">
        <v>889</v>
      </c>
      <c r="C27" s="4" t="str">
        <f>Database!B27</f>
        <v>ɑ</v>
      </c>
      <c r="D27" s="4" t="str">
        <f>Database!C27</f>
        <v>L</v>
      </c>
      <c r="E27" s="74">
        <f>Database!D27</f>
        <v>3</v>
      </c>
      <c r="F27" s="32" t="s">
        <v>911</v>
      </c>
      <c r="G27" s="1">
        <v>80283</v>
      </c>
      <c r="H27" s="1">
        <f>Database!E27</f>
        <v>103.12</v>
      </c>
      <c r="I27" s="8" t="str">
        <f ca="1">OFFSET(Database!$F27,0,COLUMN(Database!F27)*2-12)</f>
        <v>n.r.</v>
      </c>
      <c r="J27" s="8" t="str">
        <f ca="1">OFFSET(Database!$F27,0,COLUMN(Database!G27)*2-12)</f>
        <v>n.r.</v>
      </c>
      <c r="K27" s="8" t="str">
        <f ca="1">OFFSET(Database!$F27,0,COLUMN(Database!H27)*2-12)</f>
        <v>n.r.</v>
      </c>
      <c r="L27" s="8" t="str">
        <f ca="1">OFFSET(Database!$F27,0,COLUMN(Database!I27)*2-12)</f>
        <v>n.r.</v>
      </c>
      <c r="M27" s="8" t="str">
        <f ca="1">OFFSET(Database!$F27,0,COLUMN(Database!J27)*2-12)</f>
        <v>n.r.</v>
      </c>
      <c r="N27" s="8" t="str">
        <f ca="1">OFFSET(Database!$F27,0,COLUMN(Database!K27)*2-12)</f>
        <v>n.r.</v>
      </c>
      <c r="O27" s="8" t="str">
        <f ca="1">OFFSET(Database!$F27,0,COLUMN(Database!L27)*2-12)</f>
        <v>n.r.</v>
      </c>
      <c r="P27" s="8" t="str">
        <f ca="1">OFFSET(Database!$F27,0,COLUMN(Database!M27)*2-12)</f>
        <v>n.r.</v>
      </c>
      <c r="Q27" s="8" t="str">
        <f ca="1">OFFSET(Database!$F27,0,COLUMN(Database!N27)*2-12)</f>
        <v>n.r.</v>
      </c>
      <c r="R27" s="8" t="str">
        <f ca="1">OFFSET(Database!$F27,0,COLUMN(Database!O27)*2-12)</f>
        <v>n.r.</v>
      </c>
      <c r="S27" s="8" t="str">
        <f ca="1">OFFSET(Database!$F27,0,COLUMN(Database!P27)*2-12)</f>
        <v>n.r.</v>
      </c>
      <c r="T27" s="8" t="str">
        <f ca="1">OFFSET(Database!$F27,0,COLUMN(Database!Q27)*2-12)</f>
        <v>n.r.</v>
      </c>
      <c r="U27" s="8" t="str">
        <f ca="1">OFFSET(Database!$F27,0,COLUMN(Database!R27)*2-12)</f>
        <v>n.r.</v>
      </c>
      <c r="V27" s="8" t="str">
        <f ca="1">OFFSET(Database!$F27,0,COLUMN(Database!S27)*2-12)</f>
        <v>n.r.</v>
      </c>
      <c r="W27" s="8" t="str">
        <f ca="1">OFFSET(Database!$F27,0,COLUMN(Database!T27)*2-12)</f>
        <v>n.r.</v>
      </c>
      <c r="X27" s="8" t="str">
        <f ca="1">OFFSET(Database!$F27,0,COLUMN(Database!U27)*2-12)</f>
        <v>n.r.</v>
      </c>
      <c r="Y27" s="8" t="str">
        <f ca="1">OFFSET(Database!$F27,0,COLUMN(Database!V27)*2-12)</f>
        <v>n.r.</v>
      </c>
      <c r="Z27" s="8" t="str">
        <f ca="1">OFFSET(Database!$F27,0,COLUMN(Database!W27)*2-12)</f>
        <v>n.r.</v>
      </c>
      <c r="AA27" s="8" t="str">
        <f ca="1">OFFSET(Database!$F27,0,COLUMN(Database!X27)*2-12)</f>
        <v>n.r.</v>
      </c>
      <c r="AB27" s="8">
        <f ca="1">OFFSET(Database!$F27,0,COLUMN(Database!Y27)*2-12)</f>
        <v>5.2463149728471681</v>
      </c>
      <c r="AC27" s="8" t="str">
        <f ca="1">OFFSET(Database!$F27,0,COLUMN(Database!Z27)*2-12)</f>
        <v>n.r.</v>
      </c>
      <c r="AD27" s="8" t="str">
        <f ca="1">OFFSET(Database!$F27,0,COLUMN(Database!AA27)*2-12)</f>
        <v>n.r.</v>
      </c>
      <c r="AE27" s="8" t="str">
        <f ca="1">OFFSET(Database!$F27,0,COLUMN(Database!AB27)*2-12)</f>
        <v>n.r.</v>
      </c>
      <c r="AF27" s="8" t="str">
        <f ca="1">OFFSET(Database!$F27,0,COLUMN(Database!AC27)*2-12)</f>
        <v>n.r.</v>
      </c>
      <c r="AG27" s="8" t="str">
        <f ca="1">OFFSET(Database!$F27,0,COLUMN(Database!AD27)*2-12)</f>
        <v>n.r.</v>
      </c>
      <c r="AH27" s="8" t="str">
        <f ca="1">OFFSET(Database!$F27,0,COLUMN(Database!AE27)*2-12)</f>
        <v>n.r.</v>
      </c>
      <c r="AI27" s="8" t="str">
        <f ca="1">OFFSET(Database!$F27,0,COLUMN(Database!AF27)*2-12)</f>
        <v>n.r.</v>
      </c>
      <c r="AJ27" s="8" t="str">
        <f ca="1">OFFSET(Database!$F27,0,COLUMN(Database!AG27)*2-12)</f>
        <v>n.r.</v>
      </c>
      <c r="AK27" s="8" t="str">
        <f ca="1">OFFSET(Database!$F27,0,COLUMN(Database!AH27)*2-12)</f>
        <v>n.r.</v>
      </c>
      <c r="AL27" s="8" t="str">
        <f ca="1">OFFSET(Database!$F27,0,COLUMN(Database!AI27)*2-12)</f>
        <v>n.r.</v>
      </c>
      <c r="AM27" s="8" t="str">
        <f ca="1">OFFSET(Database!$F27,0,COLUMN(Database!AJ27)*2-12)</f>
        <v>n.r.</v>
      </c>
      <c r="AN27" s="8" t="str">
        <f ca="1">OFFSET(Database!$F27,0,COLUMN(Database!AK27)*2-12)</f>
        <v>n.r.</v>
      </c>
      <c r="AO27" s="8" t="str">
        <f ca="1">OFFSET(Database!$F27,0,COLUMN(Database!AL27)*2-12)</f>
        <v>n.r.</v>
      </c>
      <c r="AP27" s="8" t="str">
        <f ca="1">OFFSET(Database!$F27,0,COLUMN(Database!AM27)*2-12)</f>
        <v>n.r.</v>
      </c>
      <c r="AQ27" s="8" t="str">
        <f ca="1">OFFSET(Database!$F27,0,COLUMN(Database!AN27)*2-12)</f>
        <v>n.r.</v>
      </c>
      <c r="AR27" s="8" t="str">
        <f ca="1">OFFSET(Database!$F27,0,COLUMN(Database!AO27)*2-12)</f>
        <v>n.r.</v>
      </c>
      <c r="AS27" s="8" t="str">
        <f ca="1">OFFSET(Database!$F27,0,COLUMN(Database!AP27)*2-12)</f>
        <v>n.r.</v>
      </c>
      <c r="AT27" s="8" t="str">
        <f ca="1">OFFSET(Database!$F27,0,COLUMN(Database!AQ27)*2-12)</f>
        <v>n.r.</v>
      </c>
      <c r="AU27" s="8" t="str">
        <f ca="1">OFFSET(Database!$F27,0,COLUMN(Database!AR27)*2-12)</f>
        <v>n.r.</v>
      </c>
      <c r="AV27" s="8" t="str">
        <f ca="1">OFFSET(Database!$F27,0,COLUMN(Database!AS27)*2-12)</f>
        <v>n.r.</v>
      </c>
      <c r="AW27" s="8" t="str">
        <f ca="1">OFFSET(Database!$F27,0,COLUMN(Database!AT27)*2-12)</f>
        <v>n.r.</v>
      </c>
      <c r="AX27" s="8" t="str">
        <f ca="1">OFFSET(Database!$F27,0,COLUMN(Database!AU27)*2-12)</f>
        <v>n.r.</v>
      </c>
      <c r="AY27" s="8" t="str">
        <f ca="1">OFFSET(Database!$F27,0,COLUMN(Database!AV27)*2-12)</f>
        <v>n.r.</v>
      </c>
      <c r="AZ27" s="8" t="str">
        <f ca="1">OFFSET(Database!$F27,0,COLUMN(Database!AW27)*2-12)</f>
        <v>n.r.</v>
      </c>
      <c r="BA27" s="8" t="str">
        <f ca="1">OFFSET(Database!$F27,0,COLUMN(Database!AX27)*2-12)</f>
        <v>n.r.</v>
      </c>
      <c r="BB27" s="8" t="str">
        <f ca="1">OFFSET(Database!$F27,0,COLUMN(Database!AY27)*2-12)</f>
        <v>n.r.</v>
      </c>
      <c r="BC27" s="8" t="str">
        <f ca="1">OFFSET(Database!$F27,0,COLUMN(Database!AZ27)*2-12)</f>
        <v>n.r.</v>
      </c>
      <c r="BD27" s="8" t="str">
        <f ca="1">OFFSET(Database!$F27,0,COLUMN(Database!BA27)*2-12)</f>
        <v>n.r.</v>
      </c>
      <c r="BE27" s="8" t="str">
        <f ca="1">OFFSET(Database!$F27,0,COLUMN(Database!BB27)*2-12)</f>
        <v>n.r.</v>
      </c>
      <c r="BF27" s="8" t="str">
        <f ca="1">OFFSET(Database!$F27,0,COLUMN(Database!BC27)*2-12)</f>
        <v>n.r.</v>
      </c>
      <c r="BG27" s="8" t="str">
        <f ca="1">OFFSET(Database!$F27,0,COLUMN(Database!BD27)*2-12)</f>
        <v>n.r.</v>
      </c>
      <c r="BH27" s="8" t="str">
        <f ca="1">OFFSET(Database!$F27,0,COLUMN(Database!BE27)*2-12)</f>
        <v>n.r.</v>
      </c>
      <c r="BI27" s="8" t="str">
        <f ca="1">OFFSET(Database!$F27,0,COLUMN(Database!BF27)*2-12)</f>
        <v>n.r.</v>
      </c>
      <c r="BJ27" s="8" t="str">
        <f ca="1">OFFSET(Database!$F27,0,COLUMN(Database!BG27)*2-12)</f>
        <v>n.r.</v>
      </c>
      <c r="BK27" s="8" t="str">
        <f ca="1">OFFSET(Database!$F27,0,COLUMN(Database!BH27)*2-12)</f>
        <v>n.r.</v>
      </c>
      <c r="BL27" s="8" t="str">
        <f ca="1">OFFSET(Database!$F27,0,COLUMN(Database!BI27)*2-12)</f>
        <v>n.r.</v>
      </c>
      <c r="BM27" s="8" t="str">
        <f ca="1">OFFSET(Database!$F27,0,COLUMN(Database!BJ27)*2-12)</f>
        <v>n.r.</v>
      </c>
      <c r="BN27" s="8" t="str">
        <f ca="1">OFFSET(Database!$F27,0,COLUMN(Database!BK27)*2-12)</f>
        <v>n.r.</v>
      </c>
      <c r="BO27" s="8" t="str">
        <f ca="1">OFFSET(Database!$F27,0,COLUMN(Database!BL27)*2-12)</f>
        <v>n.r.</v>
      </c>
      <c r="BP27" s="8" t="str">
        <f ca="1">OFFSET(Database!$F27,0,COLUMN(Database!BM27)*2-12)</f>
        <v>n.r.</v>
      </c>
      <c r="BQ27" s="8" t="str">
        <f ca="1">OFFSET(Database!$F27,0,COLUMN(Database!BN27)*2-12)</f>
        <v>n.r.</v>
      </c>
      <c r="BR27" s="8" t="str">
        <f ca="1">OFFSET(Database!$F27,0,COLUMN(Database!BO27)*2-12)</f>
        <v>n.r.</v>
      </c>
      <c r="BS27" s="8" t="str">
        <f ca="1">OFFSET(Database!$F27,0,COLUMN(Database!BP27)*2-12)</f>
        <v>n.r.</v>
      </c>
      <c r="BT27" s="8" t="str">
        <f ca="1">OFFSET(Database!$F27,0,COLUMN(Database!BQ27)*2-12)</f>
        <v>n.r.</v>
      </c>
      <c r="BU27" s="8" t="str">
        <f ca="1">OFFSET(Database!$F27,0,COLUMN(Database!BR27)*2-12)</f>
        <v>n.r.</v>
      </c>
      <c r="BV27" s="8" t="str">
        <f ca="1">OFFSET(Database!$F27,0,COLUMN(Database!BS27)*2-12)</f>
        <v>n.r.</v>
      </c>
      <c r="BW27" s="8" t="str">
        <f ca="1">OFFSET(Database!$F27,0,COLUMN(Database!BT27)*2-12)</f>
        <v>n.r.</v>
      </c>
      <c r="BX27" s="8" t="str">
        <f ca="1">OFFSET(Database!$F27,0,COLUMN(Database!BU27)*2-12)</f>
        <v>n.r.</v>
      </c>
      <c r="BY27" s="8" t="str">
        <f ca="1">OFFSET(Database!$F27,0,COLUMN(Database!BV27)*2-12)</f>
        <v>n.r.</v>
      </c>
      <c r="BZ27" s="8" t="str">
        <f ca="1">OFFSET(Database!$F27,0,COLUMN(Database!BW27)*2-12)</f>
        <v>n.r.</v>
      </c>
      <c r="CA27" s="8" t="str">
        <f ca="1">OFFSET(Database!$F27,0,COLUMN(Database!BX27)*2-12)</f>
        <v>n.r.</v>
      </c>
      <c r="CB27" s="8" t="str">
        <f ca="1">OFFSET(Database!$F27,0,COLUMN(Database!BY27)*2-12)</f>
        <v>n.r.</v>
      </c>
      <c r="CC27" s="8" t="str">
        <f ca="1">OFFSET(Database!$F27,0,COLUMN(Database!BZ27)*2-12)</f>
        <v>n.r.</v>
      </c>
      <c r="CD27" s="8" t="str">
        <f ca="1">OFFSET(Database!$F27,0,COLUMN(Database!CA27)*2-12)</f>
        <v>n.r.</v>
      </c>
      <c r="CE27" s="8" t="str">
        <f ca="1">OFFSET(Database!$F27,0,COLUMN(Database!CB27)*2-12)</f>
        <v>n.r.</v>
      </c>
      <c r="CF27" s="8" t="str">
        <f ca="1">OFFSET(Database!$F27,0,COLUMN(Database!CC27)*2-12)</f>
        <v>n.r.</v>
      </c>
      <c r="CG27" s="8" t="str">
        <f ca="1">OFFSET(Database!$F27,0,COLUMN(Database!CD27)*2-12)</f>
        <v>n.r.</v>
      </c>
      <c r="CH27" s="8" t="str">
        <f ca="1">OFFSET(Database!$F27,0,COLUMN(Database!CE27)*2-12)</f>
        <v>n.r.</v>
      </c>
      <c r="CI27" s="8" t="str">
        <f ca="1">OFFSET(Database!$F27,0,COLUMN(Database!CF27)*2-12)</f>
        <v>n.r.</v>
      </c>
      <c r="CJ27" s="8" t="str">
        <f ca="1">OFFSET(Database!$F27,0,COLUMN(Database!CG27)*2-12)</f>
        <v>n.r.</v>
      </c>
      <c r="CK27" s="8" t="str">
        <f ca="1">OFFSET(Database!$F27,0,COLUMN(Database!CH27)*2-12)</f>
        <v>n.r.</v>
      </c>
      <c r="CL27" s="8" t="str">
        <f ca="1">OFFSET(Database!$F27,0,COLUMN(Database!CI27)*2-12)</f>
        <v>n.r.</v>
      </c>
      <c r="CM27" s="8" t="str">
        <f ca="1">OFFSET(Database!$F27,0,COLUMN(Database!CJ27)*2-12)</f>
        <v>n.r.</v>
      </c>
      <c r="CN27" s="8" t="str">
        <f ca="1">OFFSET(Database!$F27,0,COLUMN(Database!CK27)*2-12)</f>
        <v>n.r.</v>
      </c>
      <c r="CO27" s="8" t="str">
        <f ca="1">OFFSET(Database!$F27,0,COLUMN(Database!CL27)*2-12)</f>
        <v>n.r.</v>
      </c>
      <c r="CP27" s="8" t="str">
        <f ca="1">OFFSET(Database!$F27,0,COLUMN(Database!CM27)*2-12)</f>
        <v>n.r.</v>
      </c>
      <c r="CQ27" s="8" t="str">
        <f ca="1">OFFSET(Database!$F27,0,COLUMN(Database!CN27)*2-12)</f>
        <v>n.r.</v>
      </c>
      <c r="CR27" s="8" t="str">
        <f ca="1">OFFSET(Database!$F27,0,COLUMN(Database!CO27)*2-12)</f>
        <v>n.r.</v>
      </c>
      <c r="CS27" s="8" t="str">
        <f ca="1">OFFSET(Database!$F27,0,COLUMN(Database!CP27)*2-12)</f>
        <v>n.r.</v>
      </c>
      <c r="CT27" s="8" t="str">
        <f ca="1">OFFSET(Database!$F27,0,COLUMN(Database!CQ27)*2-12)</f>
        <v>n.r.</v>
      </c>
      <c r="CU27" s="8" t="str">
        <f ca="1">OFFSET(Database!$F27,0,COLUMN(Database!CR27)*2-12)</f>
        <v>n.r.</v>
      </c>
      <c r="CV27" s="8" t="str">
        <f ca="1">OFFSET(Database!$F27,0,COLUMN(Database!CS27)*2-12)</f>
        <v>n.r.</v>
      </c>
      <c r="CW27" s="8" t="str">
        <f ca="1">OFFSET(Database!$F27,0,COLUMN(Database!CT27)*2-12)</f>
        <v>n.r.</v>
      </c>
      <c r="CX27" s="8" t="str">
        <f ca="1">OFFSET(Database!$F27,0,COLUMN(Database!CU27)*2-12)</f>
        <v>n.r.</v>
      </c>
      <c r="CY27" s="8" t="str">
        <f ca="1">OFFSET(Database!$F27,0,COLUMN(Database!CV27)*2-12)</f>
        <v>n.r.</v>
      </c>
      <c r="CZ27" s="8" t="str">
        <f ca="1">OFFSET(Database!$F27,0,COLUMN(Database!CW27)*2-12)</f>
        <v>n.r.</v>
      </c>
      <c r="DA27" s="8" t="str">
        <f ca="1">OFFSET(Database!$F27,0,COLUMN(Database!CX27)*2-12)</f>
        <v>n.r.</v>
      </c>
      <c r="DB27" s="8" t="str">
        <f ca="1">OFFSET(Database!$F27,0,COLUMN(Database!CY27)*2-12)</f>
        <v>n.r.</v>
      </c>
      <c r="DC27" s="8" t="str">
        <f ca="1">OFFSET(Database!$F27,0,COLUMN(Database!CZ27)*2-12)</f>
        <v>n.r.</v>
      </c>
      <c r="DD27" s="8" t="str">
        <f ca="1">OFFSET(Database!$F27,0,COLUMN(Database!DA27)*2-12)</f>
        <v>n.r.</v>
      </c>
      <c r="DE27" s="8" t="str">
        <f ca="1">OFFSET(Database!$F27,0,COLUMN(Database!DB27)*2-12)</f>
        <v>n.r.</v>
      </c>
      <c r="DF27" s="8" t="str">
        <f ca="1">OFFSET(Database!$F27,0,COLUMN(Database!DC27)*2-12)</f>
        <v>n.r.</v>
      </c>
      <c r="DG27" s="8" t="str">
        <f ca="1">OFFSET(Database!$F27,0,COLUMN(Database!DD27)*2-12)</f>
        <v>n.r.</v>
      </c>
      <c r="DH27" s="8" t="str">
        <f ca="1">OFFSET(Database!$F27,0,COLUMN(Database!DE27)*2-12)</f>
        <v>n.r.</v>
      </c>
      <c r="DI27" s="8" t="str">
        <f ca="1">OFFSET(Database!$F27,0,COLUMN(Database!DF27)*2-12)</f>
        <v>n.r.</v>
      </c>
      <c r="DJ27" s="8" t="str">
        <f ca="1">OFFSET(Database!$F27,0,COLUMN(Database!DG27)*2-12)</f>
        <v>n.r.</v>
      </c>
      <c r="DK27" s="8" t="str">
        <f ca="1">OFFSET(Database!$F27,0,COLUMN(Database!DH27)*2-12)</f>
        <v>n.r.</v>
      </c>
      <c r="DL27" s="8" t="str">
        <f ca="1">OFFSET(Database!$F27,0,COLUMN(Database!DI27)*2-12)</f>
        <v>n.r.</v>
      </c>
      <c r="DM27" s="8" t="str">
        <f ca="1">OFFSET(Database!$F27,0,COLUMN(Database!DJ27)*2-12)</f>
        <v>n.r.</v>
      </c>
      <c r="DN27" s="8" t="str">
        <f ca="1">OFFSET(Database!$F27,0,COLUMN(Database!DK27)*2-12)</f>
        <v>n.r.</v>
      </c>
      <c r="DO27" s="8" t="str">
        <f ca="1">OFFSET(Database!$F27,0,COLUMN(Database!DL27)*2-12)</f>
        <v>n.r.</v>
      </c>
      <c r="DP27" s="8" t="str">
        <f ca="1">OFFSET(Database!$F27,0,COLUMN(Database!DM27)*2-12)</f>
        <v>n.r.</v>
      </c>
      <c r="DQ27" s="8" t="str">
        <f ca="1">OFFSET(Database!$F27,0,COLUMN(Database!DN27)*2-12)</f>
        <v>n.r.</v>
      </c>
      <c r="DR27" s="8" t="str">
        <f ca="1">OFFSET(Database!$F27,0,COLUMN(Database!DO27)*2-12)</f>
        <v>n.r.</v>
      </c>
      <c r="DS27" s="8" t="str">
        <f ca="1">OFFSET(Database!$F27,0,COLUMN(Database!DP27)*2-12)</f>
        <v>n.r.</v>
      </c>
      <c r="DT27" s="8" t="str">
        <f ca="1">OFFSET(Database!$F27,0,COLUMN(Database!DQ27)*2-12)</f>
        <v>n.r.</v>
      </c>
      <c r="DU27" s="8" t="str">
        <f ca="1">OFFSET(Database!$F27,0,COLUMN(Database!DR27)*2-12)</f>
        <v>n.r.</v>
      </c>
      <c r="DV27" s="8" t="str">
        <f ca="1">OFFSET(Database!$F27,0,COLUMN(Database!DS27)*2-12)</f>
        <v>n.r.</v>
      </c>
      <c r="DW27" s="8" t="str">
        <f ca="1">OFFSET(Database!$F27,0,COLUMN(Database!DT27)*2-12)</f>
        <v>n.r.</v>
      </c>
      <c r="DX27" s="8" t="str">
        <f ca="1">OFFSET(Database!$F27,0,COLUMN(Database!DU27)*2-12)</f>
        <v>n.r.</v>
      </c>
      <c r="DY27" s="8" t="str">
        <f ca="1">OFFSET(Database!$F27,0,COLUMN(Database!DV27)*2-12)</f>
        <v>n.r.</v>
      </c>
      <c r="DZ27" s="8" t="str">
        <f ca="1">OFFSET(Database!$F27,0,COLUMN(Database!DW27)*2-12)</f>
        <v>n.r.</v>
      </c>
      <c r="EA27" s="8" t="str">
        <f ca="1">OFFSET(Database!$F27,0,COLUMN(Database!DX27)*2-12)</f>
        <v>n.r.</v>
      </c>
      <c r="EB27" s="8" t="str">
        <f ca="1">OFFSET(Database!$F27,0,COLUMN(Database!DY27)*2-12)</f>
        <v>n.r.</v>
      </c>
      <c r="EC27" s="8" t="str">
        <f ca="1">OFFSET(Database!$F27,0,COLUMN(Database!DZ27)*2-12)</f>
        <v>n.r.</v>
      </c>
      <c r="ED27" s="8" t="str">
        <f ca="1">OFFSET(Database!$F27,0,COLUMN(Database!EA27)*2-12)</f>
        <v>n.r</v>
      </c>
      <c r="EE27" s="8" t="str">
        <f ca="1">OFFSET(Database!$F27,0,COLUMN(Database!EB27)*2-12)</f>
        <v>n.r.</v>
      </c>
      <c r="EF27" s="8" t="str">
        <f ca="1">OFFSET(Database!$F27,0,COLUMN(Database!EC27)*2-12)</f>
        <v>n.r.</v>
      </c>
      <c r="EG27" s="8" t="str">
        <f ca="1">OFFSET(Database!$F27,0,COLUMN(Database!ED27)*2-12)</f>
        <v>n.r.</v>
      </c>
      <c r="EH27" s="8" t="str">
        <f ca="1">OFFSET(Database!$F27,0,COLUMN(Database!EE27)*2-12)</f>
        <v>n.r.</v>
      </c>
      <c r="EI27" s="8" t="str">
        <f ca="1">OFFSET(Database!$F27,0,COLUMN(Database!EF27)*2-12)</f>
        <v>n.r.</v>
      </c>
      <c r="EJ27" s="8" t="str">
        <f ca="1">OFFSET(Database!$F27,0,COLUMN(Database!EG27)*2-12)</f>
        <v>n.r.</v>
      </c>
      <c r="EK27" s="8" t="str">
        <f ca="1">OFFSET(Database!$F27,0,COLUMN(Database!EH27)*2-12)</f>
        <v>n.r.</v>
      </c>
      <c r="EL27" s="8" t="str">
        <f ca="1">OFFSET(Database!$F27,0,COLUMN(Database!EI27)*2-12)</f>
        <v>n.r.</v>
      </c>
      <c r="EM27" s="8" t="str">
        <f ca="1">OFFSET(Database!$F27,0,COLUMN(Database!EJ27)*2-12)</f>
        <v>n.r.</v>
      </c>
      <c r="EN27" s="8" t="str">
        <f ca="1">OFFSET(Database!$F27,0,COLUMN(Database!EK27)*2-12)</f>
        <v>n.r.</v>
      </c>
      <c r="EO27" s="8" t="str">
        <f ca="1">OFFSET(Database!$F27,0,COLUMN(Database!EL27)*2-12)</f>
        <v>n.r.</v>
      </c>
      <c r="EP27" s="8" t="str">
        <f ca="1">OFFSET(Database!$F27,0,COLUMN(Database!EM27)*2-12)</f>
        <v>n.r.</v>
      </c>
      <c r="EQ27" s="8" t="str">
        <f ca="1">OFFSET(Database!$F27,0,COLUMN(Database!EN27)*2-12)</f>
        <v>n.r.</v>
      </c>
      <c r="ER27" s="8" t="str">
        <f ca="1">OFFSET(Database!$F27,0,COLUMN(Database!EO27)*2-12)</f>
        <v>n.r.</v>
      </c>
      <c r="ES27" s="8" t="str">
        <f ca="1">OFFSET(Database!$F27,0,COLUMN(Database!EP27)*2-12)</f>
        <v>n.r.</v>
      </c>
      <c r="ET27" s="8" t="str">
        <f ca="1">OFFSET(Database!$F27,0,COLUMN(Database!EQ27)*2-12)</f>
        <v>n.r.</v>
      </c>
      <c r="EU27" s="8" t="str">
        <f ca="1">OFFSET(Database!$F27,0,COLUMN(Database!ER27)*2-12)</f>
        <v>n.r.</v>
      </c>
      <c r="EV27" s="8" t="str">
        <f ca="1">OFFSET(Database!$F27,0,COLUMN(Database!ES27)*2-12)</f>
        <v>n.r.</v>
      </c>
      <c r="EW27" s="8" t="str">
        <f ca="1">OFFSET(Database!$F27,0,COLUMN(Database!ET27)*2-12)</f>
        <v>n.r.</v>
      </c>
      <c r="EX27" s="8" t="str">
        <f ca="1">OFFSET(Database!$F27,0,COLUMN(Database!EU27)*2-12)</f>
        <v>n.r.</v>
      </c>
      <c r="EY27" s="8" t="str">
        <f ca="1">OFFSET(Database!$F27,0,COLUMN(Database!EV27)*2-12)</f>
        <v>n.r.</v>
      </c>
      <c r="EZ27" s="8" t="str">
        <f ca="1">OFFSET(Database!$F27,0,COLUMN(Database!EW27)*2-12)</f>
        <v>n.r.</v>
      </c>
      <c r="FA27" s="8" t="str">
        <f ca="1">OFFSET(Database!$F27,0,COLUMN(Database!EX27)*2-12)</f>
        <v>n.r.</v>
      </c>
      <c r="FB27" s="8" t="str">
        <f ca="1">OFFSET(Database!$F27,0,COLUMN(Database!EY27)*2-12)</f>
        <v>n.r.</v>
      </c>
      <c r="FC27" s="8" t="str">
        <f ca="1">OFFSET(Database!$F27,0,COLUMN(Database!EZ27)*2-12)</f>
        <v>n.r.</v>
      </c>
      <c r="FD27" s="8" t="str">
        <f ca="1">OFFSET(Database!$F27,0,COLUMN(Database!FA27)*2-12)</f>
        <v>n.r.</v>
      </c>
      <c r="FE27" s="8" t="str">
        <f ca="1">OFFSET(Database!$F27,0,COLUMN(Database!FB27)*2-12)</f>
        <v>n.r.</v>
      </c>
      <c r="FF27" s="8" t="str">
        <f ca="1">OFFSET(Database!$F27,0,COLUMN(Database!FC27)*2-12)</f>
        <v>n.r.</v>
      </c>
      <c r="FG27" s="8" t="str">
        <f ca="1">OFFSET(Database!$F27,0,COLUMN(Database!FD27)*2-12)</f>
        <v>n.r.</v>
      </c>
      <c r="FH27" s="8" t="str">
        <f ca="1">OFFSET(Database!$F27,0,COLUMN(Database!FE27)*2-12)</f>
        <v>n.r.</v>
      </c>
      <c r="FI27" s="8" t="str">
        <f ca="1">OFFSET(Database!$F27,0,COLUMN(Database!FF27)*2-12)</f>
        <v>n.r.</v>
      </c>
      <c r="FJ27" s="8" t="str">
        <f ca="1">OFFSET(Database!$F27,0,COLUMN(Database!FG27)*2-12)</f>
        <v>n.r.</v>
      </c>
      <c r="FK27" s="8" t="str">
        <f ca="1">OFFSET(Database!$F27,0,COLUMN(Database!FH27)*2-12)</f>
        <v>n.r.</v>
      </c>
      <c r="FL27" s="8" t="str">
        <f ca="1">OFFSET(Database!$F27,0,COLUMN(Database!FI27)*2-12)</f>
        <v>n.r.</v>
      </c>
      <c r="FM27" s="8" t="str">
        <f ca="1">OFFSET(Database!$F27,0,COLUMN(Database!FJ27)*2-12)</f>
        <v>n.r.</v>
      </c>
      <c r="FN27" s="8" t="str">
        <f ca="1">OFFSET(Database!$F27,0,COLUMN(Database!FK27)*2-12)</f>
        <v>n.r.</v>
      </c>
      <c r="FO27" s="8" t="str">
        <f ca="1">OFFSET(Database!$F27,0,COLUMN(Database!FL27)*2-12)</f>
        <v>n.r.</v>
      </c>
      <c r="FP27" s="8" t="str">
        <f ca="1">OFFSET(Database!$F27,0,COLUMN(Database!FM27)*2-12)</f>
        <v>n.r.</v>
      </c>
      <c r="FQ27" s="8" t="str">
        <f ca="1">OFFSET(Database!$F27,0,COLUMN(Database!FN27)*2-12)</f>
        <v>n.r.</v>
      </c>
      <c r="FR27" s="8" t="str">
        <f ca="1">OFFSET(Database!$F27,0,COLUMN(Database!FO27)*2-12)</f>
        <v>n.r.</v>
      </c>
      <c r="FS27" s="8" t="str">
        <f ca="1">OFFSET(Database!$F27,0,COLUMN(Database!FP27)*2-12)</f>
        <v>n.r.</v>
      </c>
      <c r="FT27" s="8" t="str">
        <f ca="1">OFFSET(Database!$F27,0,COLUMN(Database!FQ27)*2-12)</f>
        <v>n.r.</v>
      </c>
      <c r="FU27" s="8" t="str">
        <f ca="1">OFFSET(Database!$F27,0,COLUMN(Database!FR27)*2-12)</f>
        <v>n.r.</v>
      </c>
      <c r="FV27" s="8" t="str">
        <f ca="1">OFFSET(Database!$F27,0,COLUMN(Database!FS27)*2-12)</f>
        <v>n.r.</v>
      </c>
      <c r="FW27" s="8" t="str">
        <f ca="1">OFFSET(Database!$F27,0,COLUMN(Database!FT27)*2-12)</f>
        <v>n.r.</v>
      </c>
      <c r="FX27" s="8" t="str">
        <f ca="1">OFFSET(Database!$F27,0,COLUMN(Database!FU27)*2-12)</f>
        <v>n.r.</v>
      </c>
      <c r="FY27" s="8" t="str">
        <f ca="1">OFFSET(Database!$F27,0,COLUMN(Database!FV27)*2-12)</f>
        <v>n.r.</v>
      </c>
      <c r="FZ27" s="8" t="str">
        <f ca="1">OFFSET(Database!$F27,0,COLUMN(Database!FW27)*2-12)</f>
        <v>n.r.</v>
      </c>
      <c r="GA27" s="8" t="str">
        <f ca="1">OFFSET(Database!$F27,0,COLUMN(Database!FX27)*2-12)</f>
        <v>n.r.</v>
      </c>
      <c r="GB27" s="8" t="str">
        <f ca="1">OFFSET(Database!$F27,0,COLUMN(Database!FY27)*2-12)</f>
        <v>n.r.</v>
      </c>
      <c r="GC27" s="8" t="str">
        <f ca="1">OFFSET(Database!$F27,0,COLUMN(Database!FZ27)*2-12)</f>
        <v>n.r.</v>
      </c>
      <c r="GD27" s="8" t="str">
        <f ca="1">OFFSET(Database!$F27,0,COLUMN(Database!GA27)*2-12)</f>
        <v>n.r.</v>
      </c>
      <c r="GE27" s="8" t="str">
        <f ca="1">OFFSET(Database!$F27,0,COLUMN(Database!GB27)*2-12)</f>
        <v>n.r.</v>
      </c>
      <c r="GF27" s="8" t="str">
        <f ca="1">OFFSET(Database!$F27,0,COLUMN(Database!GC27)*2-12)</f>
        <v>n.r.</v>
      </c>
      <c r="GG27" s="8" t="str">
        <f ca="1">OFFSET(Database!$F27,0,COLUMN(Database!GD27)*2-12)</f>
        <v>n.r.</v>
      </c>
      <c r="GH27" s="8" t="str">
        <f ca="1">OFFSET(Database!$F27,0,COLUMN(Database!GE27)*2-12)</f>
        <v>n.r.</v>
      </c>
      <c r="GI27" s="8" t="str">
        <f ca="1">OFFSET(Database!$F27,0,COLUMN(Database!GF27)*2-12)</f>
        <v>n.r.</v>
      </c>
      <c r="GJ27" s="8" t="str">
        <f ca="1">OFFSET(Database!$F27,0,COLUMN(Database!GG27)*2-12)</f>
        <v>n.r.</v>
      </c>
      <c r="GK27" s="8" t="str">
        <f ca="1">OFFSET(Database!$F27,0,COLUMN(Database!GH27)*2-12)</f>
        <v>n.r.</v>
      </c>
      <c r="GL27" s="8" t="str">
        <f ca="1">OFFSET(Database!$F27,0,COLUMN(Database!GI27)*2-12)</f>
        <v>n.r.</v>
      </c>
      <c r="GM27" s="8" t="str">
        <f ca="1">OFFSET(Database!$F27,0,COLUMN(Database!GJ27)*2-12)</f>
        <v>n.r.</v>
      </c>
      <c r="GN27" s="8" t="str">
        <f ca="1">OFFSET(Database!$F27,0,COLUMN(Database!GK27)*2-12)</f>
        <v>n.r.</v>
      </c>
      <c r="GO27" s="8">
        <f ca="1">OFFSET(Database!$F27,0,COLUMN(Database!GL27)*2-12)</f>
        <v>28.12257564003103</v>
      </c>
      <c r="GP27" s="8">
        <f ca="1">OFFSET(Database!$F27,0,COLUMN(Database!GM27)*2-12)</f>
        <v>601.2412723041117</v>
      </c>
    </row>
    <row r="28" spans="1:198" x14ac:dyDescent="0.2">
      <c r="A28" s="50" t="str">
        <f>Database!A28</f>
        <v>ɑ-aminobutyric acid</v>
      </c>
      <c r="B28" s="32" t="s">
        <v>889</v>
      </c>
      <c r="C28" s="4" t="str">
        <f>Database!B28</f>
        <v>ɑ</v>
      </c>
      <c r="D28" s="4" t="str">
        <f>Database!C28</f>
        <v>Both</v>
      </c>
      <c r="E28" s="74">
        <f>Database!D28</f>
        <v>60</v>
      </c>
      <c r="F28" s="32" t="s">
        <v>1058</v>
      </c>
      <c r="G28" s="1" t="s">
        <v>1134</v>
      </c>
      <c r="H28" s="1">
        <f>Database!E28</f>
        <v>103.12</v>
      </c>
      <c r="I28" s="8">
        <f ca="1">OFFSET(Database!$F28,0,COLUMN(Database!F28)*2-12)</f>
        <v>1.8E-3</v>
      </c>
      <c r="J28" s="8" t="str">
        <f ca="1">OFFSET(Database!$F28,0,COLUMN(Database!G28)*2-12)</f>
        <v>tr</v>
      </c>
      <c r="K28" s="8">
        <f ca="1">OFFSET(Database!$F28,0,COLUMN(Database!H28)*2-12)</f>
        <v>2.3E-3</v>
      </c>
      <c r="L28" s="8">
        <f ca="1">OFFSET(Database!$F28,0,COLUMN(Database!I28)*2-12)</f>
        <v>1.6000000000000001E-3</v>
      </c>
      <c r="M28" s="8">
        <f ca="1">OFFSET(Database!$F28,0,COLUMN(Database!J28)*2-12)</f>
        <v>3.0000000000000001E-3</v>
      </c>
      <c r="N28" s="8" t="str">
        <f ca="1">OFFSET(Database!$F28,0,COLUMN(Database!K28)*2-12)</f>
        <v>n.r.</v>
      </c>
      <c r="O28" s="8">
        <f ca="1">OFFSET(Database!$F28,0,COLUMN(Database!L28)*2-12)</f>
        <v>0.44</v>
      </c>
      <c r="P28" s="8">
        <f ca="1">OFFSET(Database!$F28,0,COLUMN(Database!M28)*2-12)</f>
        <v>0.63</v>
      </c>
      <c r="Q28" s="8">
        <f ca="1">OFFSET(Database!$F28,0,COLUMN(Database!N28)*2-12)</f>
        <v>107</v>
      </c>
      <c r="R28" s="8" t="str">
        <f ca="1">OFFSET(Database!$F28,0,COLUMN(Database!O28)*2-12)</f>
        <v>n.r.</v>
      </c>
      <c r="S28" s="8" t="str">
        <f ca="1">OFFSET(Database!$F28,0,COLUMN(Database!P28)*2-12)</f>
        <v>n.r.</v>
      </c>
      <c r="T28" s="8">
        <f ca="1">OFFSET(Database!$F28,0,COLUMN(Database!Q28)*2-12)</f>
        <v>202</v>
      </c>
      <c r="U28" s="8">
        <f ca="1">OFFSET(Database!$F28,0,COLUMN(Database!R28)*2-12)</f>
        <v>32</v>
      </c>
      <c r="V28" s="8">
        <f ca="1">OFFSET(Database!$F28,0,COLUMN(Database!S28)*2-12)</f>
        <v>0.223</v>
      </c>
      <c r="W28" s="8">
        <f ca="1">OFFSET(Database!$F28,0,COLUMN(Database!T28)*2-12)</f>
        <v>3.9E-2</v>
      </c>
      <c r="X28" s="8">
        <f ca="1">OFFSET(Database!$F28,0,COLUMN(Database!U28)*2-12)</f>
        <v>6.032</v>
      </c>
      <c r="Y28" s="8">
        <f ca="1">OFFSET(Database!$F28,0,COLUMN(Database!V28)*2-12)</f>
        <v>2</v>
      </c>
      <c r="Z28" s="8">
        <f ca="1">OFFSET(Database!$F28,0,COLUMN(Database!W28)*2-12)</f>
        <v>2.4</v>
      </c>
      <c r="AA28" s="8">
        <f ca="1">OFFSET(Database!$F28,0,COLUMN(Database!X28)*2-12)</f>
        <v>7.2</v>
      </c>
      <c r="AB28" s="8" t="str">
        <f ca="1">OFFSET(Database!$F28,0,COLUMN(Database!Y28)*2-12)</f>
        <v>n.r.</v>
      </c>
      <c r="AC28" s="8">
        <f ca="1">OFFSET(Database!$F28,0,COLUMN(Database!Z28)*2-12)</f>
        <v>3.9079999999999999</v>
      </c>
      <c r="AD28" s="8">
        <f ca="1">OFFSET(Database!$F28,0,COLUMN(Database!AA28)*2-12)</f>
        <v>4.18</v>
      </c>
      <c r="AE28" s="8">
        <f ca="1">OFFSET(Database!$F28,0,COLUMN(Database!AB28)*2-12)</f>
        <v>8.6890000000000001</v>
      </c>
      <c r="AF28" s="8">
        <f ca="1">OFFSET(Database!$F28,0,COLUMN(Database!AC28)*2-12)</f>
        <v>16</v>
      </c>
      <c r="AG28" s="8" t="str">
        <f ca="1">OFFSET(Database!$F28,0,COLUMN(Database!AD28)*2-12)</f>
        <v>&lt;0.01</v>
      </c>
      <c r="AH28" s="8">
        <f ca="1">OFFSET(Database!$F28,0,COLUMN(Database!AE28)*2-12)</f>
        <v>2.2000000000000002</v>
      </c>
      <c r="AI28" s="8" t="str">
        <f ca="1">OFFSET(Database!$F28,0,COLUMN(Database!AF28)*2-12)</f>
        <v>&lt;0.03</v>
      </c>
      <c r="AJ28" s="8">
        <f ca="1">OFFSET(Database!$F28,0,COLUMN(Database!AG28)*2-12)</f>
        <v>0.01</v>
      </c>
      <c r="AK28" s="8">
        <f ca="1">OFFSET(Database!$F28,0,COLUMN(Database!AH28)*2-12)</f>
        <v>0.21</v>
      </c>
      <c r="AL28" s="8">
        <f ca="1">OFFSET(Database!$F28,0,COLUMN(Database!AI28)*2-12)</f>
        <v>1.17</v>
      </c>
      <c r="AM28" s="8">
        <f ca="1">OFFSET(Database!$F28,0,COLUMN(Database!AJ28)*2-12)</f>
        <v>1.8</v>
      </c>
      <c r="AN28" s="8">
        <f ca="1">OFFSET(Database!$F28,0,COLUMN(Database!AK28)*2-12)</f>
        <v>2.9</v>
      </c>
      <c r="AO28" s="8">
        <f ca="1">OFFSET(Database!$F28,0,COLUMN(Database!AL28)*2-12)</f>
        <v>0.68899999999999995</v>
      </c>
      <c r="AP28" s="8">
        <f ca="1">OFFSET(Database!$F28,0,COLUMN(Database!AM28)*2-12)</f>
        <v>0.4</v>
      </c>
      <c r="AQ28" s="8" t="str">
        <f ca="1">OFFSET(Database!$F28,0,COLUMN(Database!AN28)*2-12)</f>
        <v>&lt;0.01</v>
      </c>
      <c r="AR28" s="8">
        <f ca="1">OFFSET(Database!$F28,0,COLUMN(Database!AO28)*2-12)</f>
        <v>0.01</v>
      </c>
      <c r="AS28" s="8" t="str">
        <f ca="1">OFFSET(Database!$F28,0,COLUMN(Database!AP28)*2-12)</f>
        <v>&lt;0.001</v>
      </c>
      <c r="AT28" s="8" t="str">
        <f ca="1">OFFSET(Database!$F28,0,COLUMN(Database!AQ28)*2-12)</f>
        <v>&lt;0.002</v>
      </c>
      <c r="AU28" s="8">
        <f ca="1">OFFSET(Database!$F28,0,COLUMN(Database!AR28)*2-12)</f>
        <v>3.8999999999999998E-3</v>
      </c>
      <c r="AV28" s="8">
        <f ca="1">OFFSET(Database!$F28,0,COLUMN(Database!AS28)*2-12)</f>
        <v>4.7999999999999996E-3</v>
      </c>
      <c r="AW28" s="8">
        <f ca="1">OFFSET(Database!$F28,0,COLUMN(Database!AT28)*2-12)</f>
        <v>3.8999999999999998E-3</v>
      </c>
      <c r="AX28" s="8">
        <f ca="1">OFFSET(Database!$F28,0,COLUMN(Database!AU28)*2-12)</f>
        <v>4.8500000000000001E-2</v>
      </c>
      <c r="AY28" s="8">
        <f ca="1">OFFSET(Database!$F28,0,COLUMN(Database!AV28)*2-12)</f>
        <v>6.7999999999999996E-3</v>
      </c>
      <c r="AZ28" s="8">
        <f ca="1">OFFSET(Database!$F28,0,COLUMN(Database!AW28)*2-12)</f>
        <v>3.8999999999999998E-3</v>
      </c>
      <c r="BA28" s="8">
        <f ca="1">OFFSET(Database!$F28,0,COLUMN(Database!AX28)*2-12)</f>
        <v>2.8999999999999998E-3</v>
      </c>
      <c r="BB28" s="8" t="str">
        <f ca="1">OFFSET(Database!$F28,0,COLUMN(Database!AY28)*2-12)</f>
        <v>&lt;0.001</v>
      </c>
      <c r="BC28" s="8">
        <f ca="1">OFFSET(Database!$F28,0,COLUMN(Database!AZ28)*2-12)</f>
        <v>3.8999999999999998E-3</v>
      </c>
      <c r="BD28" s="8">
        <f ca="1">OFFSET(Database!$F28,0,COLUMN(Database!BA28)*2-12)</f>
        <v>0.14549999999999999</v>
      </c>
      <c r="BE28" s="8" t="str">
        <f ca="1">OFFSET(Database!$F28,0,COLUMN(Database!BB28)*2-12)</f>
        <v>&lt;0.002</v>
      </c>
      <c r="BF28" s="8">
        <f ca="1">OFFSET(Database!$F28,0,COLUMN(Database!BC28)*2-12)</f>
        <v>7.7999999999999996E-3</v>
      </c>
      <c r="BG28" s="8">
        <f ca="1">OFFSET(Database!$F28,0,COLUMN(Database!BD28)*2-12)</f>
        <v>7.7999999999999996E-3</v>
      </c>
      <c r="BH28" s="8" t="str">
        <f ca="1">OFFSET(Database!$F28,0,COLUMN(Database!BE28)*2-12)</f>
        <v>n.r.</v>
      </c>
      <c r="BI28" s="8" t="str">
        <f ca="1">OFFSET(Database!$F28,0,COLUMN(Database!BF28)*2-12)</f>
        <v>n.r.</v>
      </c>
      <c r="BJ28" s="8">
        <f ca="1">OFFSET(Database!$F28,0,COLUMN(Database!BG28)*2-12)</f>
        <v>4.5578000000000003</v>
      </c>
      <c r="BK28" s="8">
        <f ca="1">OFFSET(Database!$F28,0,COLUMN(Database!BH28)*2-12)</f>
        <v>2.8801000000000001</v>
      </c>
      <c r="BL28" s="8">
        <f ca="1">OFFSET(Database!$F28,0,COLUMN(Database!BI28)*2-12)</f>
        <v>3.6364999999999998</v>
      </c>
      <c r="BM28" s="8" t="str">
        <f ca="1">OFFSET(Database!$F28,0,COLUMN(Database!BJ28)*2-12)</f>
        <v>&lt;0.001</v>
      </c>
      <c r="BN28" s="8">
        <f ca="1">OFFSET(Database!$F28,0,COLUMN(Database!BK28)*2-12)</f>
        <v>0.66910000000000003</v>
      </c>
      <c r="BO28" s="8">
        <f ca="1">OFFSET(Database!$F28,0,COLUMN(Database!BL28)*2-12)</f>
        <v>0.12609999999999999</v>
      </c>
      <c r="BP28" s="8">
        <f ca="1">OFFSET(Database!$F28,0,COLUMN(Database!BM28)*2-12)</f>
        <v>3.9800000000000002E-2</v>
      </c>
      <c r="BQ28" s="8" t="str">
        <f ca="1">OFFSET(Database!$F28,0,COLUMN(Database!BN28)*2-12)</f>
        <v>&lt;0.001</v>
      </c>
      <c r="BR28" s="8" t="str">
        <f ca="1">OFFSET(Database!$F28,0,COLUMN(Database!BO28)*2-12)</f>
        <v>&lt;0.001</v>
      </c>
      <c r="BS28" s="8" t="str">
        <f ca="1">OFFSET(Database!$F28,0,COLUMN(Database!BP28)*2-12)</f>
        <v>&lt;0.0010</v>
      </c>
      <c r="BT28" s="8" t="str">
        <f ca="1">OFFSET(Database!$F28,0,COLUMN(Database!BQ28)*2-12)</f>
        <v>&lt;0.0010</v>
      </c>
      <c r="BU28" s="8" t="str">
        <f ca="1">OFFSET(Database!$F28,0,COLUMN(Database!BR28)*2-12)</f>
        <v>&lt;0.0010</v>
      </c>
      <c r="BV28" s="8" t="str">
        <f ca="1">OFFSET(Database!$F28,0,COLUMN(Database!BS28)*2-12)</f>
        <v>&lt;0.0010</v>
      </c>
      <c r="BW28" s="8" t="str">
        <f ca="1">OFFSET(Database!$F28,0,COLUMN(Database!BT28)*2-12)</f>
        <v>&lt;0.001</v>
      </c>
      <c r="BX28" s="8" t="str">
        <f ca="1">OFFSET(Database!$F28,0,COLUMN(Database!BU28)*2-12)</f>
        <v>&lt;0.0001</v>
      </c>
      <c r="BY28" s="8" t="str">
        <f ca="1">OFFSET(Database!$F28,0,COLUMN(Database!BV28)*2-12)</f>
        <v>&lt;0.0001</v>
      </c>
      <c r="BZ28" s="8" t="str">
        <f ca="1">OFFSET(Database!$F28,0,COLUMN(Database!BW28)*2-12)</f>
        <v>n.r.</v>
      </c>
      <c r="CA28" s="8" t="str">
        <f ca="1">OFFSET(Database!$F28,0,COLUMN(Database!BX28)*2-12)</f>
        <v>n.r.</v>
      </c>
      <c r="CB28" s="8">
        <f ca="1">OFFSET(Database!$F28,0,COLUMN(Database!BY28)*2-12)</f>
        <v>6.2100000000000002E-2</v>
      </c>
      <c r="CC28" s="8">
        <f ca="1">OFFSET(Database!$F28,0,COLUMN(Database!BZ28)*2-12)</f>
        <v>7.0800000000000002E-2</v>
      </c>
      <c r="CD28" s="8" t="str">
        <f ca="1">OFFSET(Database!$F28,0,COLUMN(Database!CA28)*2-12)</f>
        <v>&lt;0.0097</v>
      </c>
      <c r="CE28" s="8" t="str">
        <f ca="1">OFFSET(Database!$F28,0,COLUMN(Database!CB28)*2-12)</f>
        <v>&lt;0.0291</v>
      </c>
      <c r="CF28" s="8" t="str">
        <f ca="1">OFFSET(Database!$F28,0,COLUMN(Database!CC28)*2-12)</f>
        <v>&lt;0.0097</v>
      </c>
      <c r="CG28" s="8" t="str">
        <f ca="1">OFFSET(Database!$F28,0,COLUMN(Database!CD28)*2-12)</f>
        <v>&lt;0.0097</v>
      </c>
      <c r="CH28" s="8" t="str">
        <f ca="1">OFFSET(Database!$F28,0,COLUMN(Database!CE28)*2-12)</f>
        <v>&lt;0.0097</v>
      </c>
      <c r="CI28" s="8">
        <f ca="1">OFFSET(Database!$F28,0,COLUMN(Database!CF28)*2-12)</f>
        <v>3.8800000000000001E-2</v>
      </c>
      <c r="CJ28" s="8">
        <f ca="1">OFFSET(Database!$F28,0,COLUMN(Database!CG28)*2-12)</f>
        <v>3.3000000000000002E-2</v>
      </c>
      <c r="CK28" s="8">
        <f ca="1">OFFSET(Database!$F28,0,COLUMN(Database!CH28)*2-12)</f>
        <v>3.0099999999999998E-2</v>
      </c>
      <c r="CL28" s="8">
        <f ca="1">OFFSET(Database!$F28,0,COLUMN(Database!CI28)*2-12)</f>
        <v>9.4100000000000003E-2</v>
      </c>
      <c r="CM28" s="8">
        <f ca="1">OFFSET(Database!$F28,0,COLUMN(Database!CJ28)*2-12)</f>
        <v>2.8999999999999998E-3</v>
      </c>
      <c r="CN28" s="8">
        <f ca="1">OFFSET(Database!$F28,0,COLUMN(Database!CK28)*2-12)</f>
        <v>2.23E-2</v>
      </c>
      <c r="CO28" s="8">
        <f ca="1">OFFSET(Database!$F28,0,COLUMN(Database!CL28)*2-12)</f>
        <v>5.9200000000000003E-2</v>
      </c>
      <c r="CP28" s="8" t="str">
        <f ca="1">OFFSET(Database!$F28,0,COLUMN(Database!CM28)*2-12)</f>
        <v>&lt;0.1</v>
      </c>
      <c r="CQ28" s="8" t="str">
        <f ca="1">OFFSET(Database!$F28,0,COLUMN(Database!CN28)*2-12)</f>
        <v>&lt;0.1</v>
      </c>
      <c r="CR28" s="8">
        <f ca="1">OFFSET(Database!$F28,0,COLUMN(Database!CO28)*2-12)</f>
        <v>0.14000000000000001</v>
      </c>
      <c r="CS28" s="8" t="str">
        <f ca="1">OFFSET(Database!$F28,0,COLUMN(Database!CP28)*2-12)</f>
        <v>&lt;0.1</v>
      </c>
      <c r="CT28" s="8" t="str">
        <f ca="1">OFFSET(Database!$F28,0,COLUMN(Database!CQ28)*2-12)</f>
        <v>&lt;0.1</v>
      </c>
      <c r="CU28" s="8" t="str">
        <f ca="1">OFFSET(Database!$F28,0,COLUMN(Database!CR28)*2-12)</f>
        <v>&lt;0.1</v>
      </c>
      <c r="CV28" s="8" t="str">
        <f ca="1">OFFSET(Database!$F28,0,COLUMN(Database!CS28)*2-12)</f>
        <v>&lt;0.1</v>
      </c>
      <c r="CW28" s="8" t="str">
        <f ca="1">OFFSET(Database!$F28,0,COLUMN(Database!CT28)*2-12)</f>
        <v>&lt;0.1</v>
      </c>
      <c r="CX28" s="8" t="str">
        <f ca="1">OFFSET(Database!$F28,0,COLUMN(Database!CU28)*2-12)</f>
        <v>&lt;0.1</v>
      </c>
      <c r="CY28" s="8" t="str">
        <f ca="1">OFFSET(Database!$F28,0,COLUMN(Database!CV28)*2-12)</f>
        <v>&lt;0.1</v>
      </c>
      <c r="CZ28" s="8" t="str">
        <f ca="1">OFFSET(Database!$F28,0,COLUMN(Database!CW28)*2-12)</f>
        <v>&lt;0.1</v>
      </c>
      <c r="DA28" s="8" t="str">
        <f ca="1">OFFSET(Database!$F28,0,COLUMN(Database!CX28)*2-12)</f>
        <v>&lt;0.1</v>
      </c>
      <c r="DB28" s="8" t="str">
        <f ca="1">OFFSET(Database!$F28,0,COLUMN(Database!CY28)*2-12)</f>
        <v>&lt;0.02</v>
      </c>
      <c r="DC28" s="8" t="str">
        <f ca="1">OFFSET(Database!$F28,0,COLUMN(Database!CZ28)*2-12)</f>
        <v>&lt;0.02</v>
      </c>
      <c r="DD28" s="8">
        <f ca="1">OFFSET(Database!$F28,0,COLUMN(Database!DA28)*2-12)</f>
        <v>0.8</v>
      </c>
      <c r="DE28" s="8" t="str">
        <f ca="1">OFFSET(Database!$F28,0,COLUMN(Database!DB28)*2-12)</f>
        <v>&lt;0.0485</v>
      </c>
      <c r="DF28" s="8" t="str">
        <f ca="1">OFFSET(Database!$F28,0,COLUMN(Database!DC28)*2-12)</f>
        <v>n.r.</v>
      </c>
      <c r="DG28" s="8" t="str">
        <f ca="1">OFFSET(Database!$F28,0,COLUMN(Database!DD28)*2-12)</f>
        <v>n.r.</v>
      </c>
      <c r="DH28" s="8" t="str">
        <f ca="1">OFFSET(Database!$F28,0,COLUMN(Database!DE28)*2-12)</f>
        <v>n.r.</v>
      </c>
      <c r="DI28" s="8" t="str">
        <f ca="1">OFFSET(Database!$F28,0,COLUMN(Database!DF28)*2-12)</f>
        <v>n.r.</v>
      </c>
      <c r="DJ28" s="8" t="str">
        <f ca="1">OFFSET(Database!$F28,0,COLUMN(Database!DG28)*2-12)</f>
        <v>n.r.</v>
      </c>
      <c r="DK28" s="8" t="str">
        <f ca="1">OFFSET(Database!$F28,0,COLUMN(Database!DH28)*2-12)</f>
        <v>n.r.</v>
      </c>
      <c r="DL28" s="8" t="str">
        <f ca="1">OFFSET(Database!$F28,0,COLUMN(Database!DI28)*2-12)</f>
        <v>n.r.</v>
      </c>
      <c r="DM28" s="8" t="str">
        <f ca="1">OFFSET(Database!$F28,0,COLUMN(Database!DJ28)*2-12)</f>
        <v>n.r.</v>
      </c>
      <c r="DN28" s="8" t="str">
        <f ca="1">OFFSET(Database!$F28,0,COLUMN(Database!DK28)*2-12)</f>
        <v>n.r.</v>
      </c>
      <c r="DO28" s="8" t="str">
        <f ca="1">OFFSET(Database!$F28,0,COLUMN(Database!DL28)*2-12)</f>
        <v>n.r.</v>
      </c>
      <c r="DP28" s="8" t="str">
        <f ca="1">OFFSET(Database!$F28,0,COLUMN(Database!DM28)*2-12)</f>
        <v>n.r.</v>
      </c>
      <c r="DQ28" s="8" t="str">
        <f ca="1">OFFSET(Database!$F28,0,COLUMN(Database!DN28)*2-12)</f>
        <v>n.r.</v>
      </c>
      <c r="DR28" s="8" t="str">
        <f ca="1">OFFSET(Database!$F28,0,COLUMN(Database!DO28)*2-12)</f>
        <v>n.r.</v>
      </c>
      <c r="DS28" s="8" t="str">
        <f ca="1">OFFSET(Database!$F28,0,COLUMN(Database!DP28)*2-12)</f>
        <v>n.r.</v>
      </c>
      <c r="DT28" s="8" t="str">
        <f ca="1">OFFSET(Database!$F28,0,COLUMN(Database!DQ28)*2-12)</f>
        <v>n.r.</v>
      </c>
      <c r="DU28" s="8">
        <f ca="1">OFFSET(Database!$F28,0,COLUMN(Database!DR28)*2-12)</f>
        <v>3.0499999999999999E-2</v>
      </c>
      <c r="DV28" s="8" t="str">
        <f ca="1">OFFSET(Database!$F28,0,COLUMN(Database!DS28)*2-12)</f>
        <v>b.b.</v>
      </c>
      <c r="DW28" s="8">
        <f ca="1">OFFSET(Database!$F28,0,COLUMN(Database!DT28)*2-12)</f>
        <v>0.2</v>
      </c>
      <c r="DX28" s="8" t="str">
        <f ca="1">OFFSET(Database!$F28,0,COLUMN(Database!DU28)*2-12)</f>
        <v>n.dt.</v>
      </c>
      <c r="DY28" s="8" t="str">
        <f ca="1">OFFSET(Database!$F28,0,COLUMN(Database!DV28)*2-12)</f>
        <v>n.dt.</v>
      </c>
      <c r="DZ28" s="8">
        <f ca="1">OFFSET(Database!$F28,0,COLUMN(Database!DW28)*2-12)</f>
        <v>0.4</v>
      </c>
      <c r="EA28" s="8">
        <f ca="1">OFFSET(Database!$F28,0,COLUMN(Database!DX28)*2-12)</f>
        <v>2</v>
      </c>
      <c r="EB28" s="8" t="str">
        <f ca="1">OFFSET(Database!$F28,0,COLUMN(Database!DY28)*2-12)</f>
        <v>n.r.</v>
      </c>
      <c r="EC28" s="8" t="str">
        <f ca="1">OFFSET(Database!$F28,0,COLUMN(Database!DZ28)*2-12)</f>
        <v>&lt;0.003</v>
      </c>
      <c r="ED28" s="8" t="str">
        <f ca="1">OFFSET(Database!$F28,0,COLUMN(Database!EA28)*2-12)</f>
        <v>n.r</v>
      </c>
      <c r="EE28" s="8" t="str">
        <f ca="1">OFFSET(Database!$F28,0,COLUMN(Database!EB28)*2-12)</f>
        <v>n.r.</v>
      </c>
      <c r="EF28" s="8" t="str">
        <f ca="1">OFFSET(Database!$F28,0,COLUMN(Database!EC28)*2-12)</f>
        <v>n.r.</v>
      </c>
      <c r="EG28" s="8" t="str">
        <f ca="1">OFFSET(Database!$F28,0,COLUMN(Database!ED28)*2-12)</f>
        <v>n.r.</v>
      </c>
      <c r="EH28" s="8" t="str">
        <f ca="1">OFFSET(Database!$F28,0,COLUMN(Database!EE28)*2-12)</f>
        <v>n.r.</v>
      </c>
      <c r="EI28" s="8" t="str">
        <f ca="1">OFFSET(Database!$F28,0,COLUMN(Database!EF28)*2-12)</f>
        <v>n.r.</v>
      </c>
      <c r="EJ28" s="8" t="str">
        <f ca="1">OFFSET(Database!$F28,0,COLUMN(Database!EG28)*2-12)</f>
        <v>n.r.</v>
      </c>
      <c r="EK28" s="8" t="str">
        <f ca="1">OFFSET(Database!$F28,0,COLUMN(Database!EH28)*2-12)</f>
        <v>n.r.</v>
      </c>
      <c r="EL28" s="8" t="str">
        <f ca="1">OFFSET(Database!$F28,0,COLUMN(Database!EI28)*2-12)</f>
        <v>n.r.</v>
      </c>
      <c r="EM28" s="8" t="str">
        <f ca="1">OFFSET(Database!$F28,0,COLUMN(Database!EJ28)*2-12)</f>
        <v>n.r.</v>
      </c>
      <c r="EN28" s="8" t="str">
        <f ca="1">OFFSET(Database!$F28,0,COLUMN(Database!EK28)*2-12)</f>
        <v>n.r.</v>
      </c>
      <c r="EO28" s="8" t="str">
        <f ca="1">OFFSET(Database!$F28,0,COLUMN(Database!EL28)*2-12)</f>
        <v>n.r.</v>
      </c>
      <c r="EP28" s="8" t="str">
        <f ca="1">OFFSET(Database!$F28,0,COLUMN(Database!EM28)*2-12)</f>
        <v>n.r.</v>
      </c>
      <c r="EQ28" s="8" t="str">
        <f ca="1">OFFSET(Database!$F28,0,COLUMN(Database!EN28)*2-12)</f>
        <v>n.r.</v>
      </c>
      <c r="ER28" s="8" t="str">
        <f ca="1">OFFSET(Database!$F28,0,COLUMN(Database!EO28)*2-12)</f>
        <v>n.r.</v>
      </c>
      <c r="ES28" s="8" t="str">
        <f ca="1">OFFSET(Database!$F28,0,COLUMN(Database!EP28)*2-12)</f>
        <v>n.r.</v>
      </c>
      <c r="ET28" s="8" t="str">
        <f ca="1">OFFSET(Database!$F28,0,COLUMN(Database!EQ28)*2-12)</f>
        <v>n.r.</v>
      </c>
      <c r="EU28" s="8" t="str">
        <f ca="1">OFFSET(Database!$F28,0,COLUMN(Database!ER28)*2-12)</f>
        <v>n.r.</v>
      </c>
      <c r="EV28" s="8" t="str">
        <f ca="1">OFFSET(Database!$F28,0,COLUMN(Database!ES28)*2-12)</f>
        <v>n.r.</v>
      </c>
      <c r="EW28" s="8" t="str">
        <f ca="1">OFFSET(Database!$F28,0,COLUMN(Database!ET28)*2-12)</f>
        <v>n.r.</v>
      </c>
      <c r="EX28" s="8" t="str">
        <f ca="1">OFFSET(Database!$F28,0,COLUMN(Database!EU28)*2-12)</f>
        <v>n.r.</v>
      </c>
      <c r="EY28" s="8" t="str">
        <f ca="1">OFFSET(Database!$F28,0,COLUMN(Database!EV28)*2-12)</f>
        <v>n.r.</v>
      </c>
      <c r="EZ28" s="8" t="str">
        <f ca="1">OFFSET(Database!$F28,0,COLUMN(Database!EW28)*2-12)</f>
        <v>n.r.</v>
      </c>
      <c r="FA28" s="8" t="str">
        <f ca="1">OFFSET(Database!$F28,0,COLUMN(Database!EX28)*2-12)</f>
        <v>n.r.</v>
      </c>
      <c r="FB28" s="8" t="str">
        <f ca="1">OFFSET(Database!$F28,0,COLUMN(Database!EY28)*2-12)</f>
        <v>n.r.</v>
      </c>
      <c r="FC28" s="8" t="str">
        <f ca="1">OFFSET(Database!$F28,0,COLUMN(Database!EZ28)*2-12)</f>
        <v>n.r.</v>
      </c>
      <c r="FD28" s="8" t="str">
        <f ca="1">OFFSET(Database!$F28,0,COLUMN(Database!FA28)*2-12)</f>
        <v>n.r.</v>
      </c>
      <c r="FE28" s="8" t="str">
        <f ca="1">OFFSET(Database!$F28,0,COLUMN(Database!FB28)*2-12)</f>
        <v>n.r.</v>
      </c>
      <c r="FF28" s="8" t="str">
        <f ca="1">OFFSET(Database!$F28,0,COLUMN(Database!FC28)*2-12)</f>
        <v>n.r.</v>
      </c>
      <c r="FG28" s="8" t="str">
        <f ca="1">OFFSET(Database!$F28,0,COLUMN(Database!FD28)*2-12)</f>
        <v>n.r.</v>
      </c>
      <c r="FH28" s="8" t="str">
        <f ca="1">OFFSET(Database!$F28,0,COLUMN(Database!FE28)*2-12)</f>
        <v>n.r.</v>
      </c>
      <c r="FI28" s="8" t="str">
        <f ca="1">OFFSET(Database!$F28,0,COLUMN(Database!FF28)*2-12)</f>
        <v>n.r.</v>
      </c>
      <c r="FJ28" s="8" t="str">
        <f ca="1">OFFSET(Database!$F28,0,COLUMN(Database!FG28)*2-12)</f>
        <v>n.r.</v>
      </c>
      <c r="FK28" s="8" t="str">
        <f ca="1">OFFSET(Database!$F28,0,COLUMN(Database!FH28)*2-12)</f>
        <v>n.r.</v>
      </c>
      <c r="FL28" s="8" t="str">
        <f ca="1">OFFSET(Database!$F28,0,COLUMN(Database!FI28)*2-12)</f>
        <v>n.r.</v>
      </c>
      <c r="FM28" s="8" t="str">
        <f ca="1">OFFSET(Database!$F28,0,COLUMN(Database!FJ28)*2-12)</f>
        <v>n.r.</v>
      </c>
      <c r="FN28" s="8" t="str">
        <f ca="1">OFFSET(Database!$F28,0,COLUMN(Database!FK28)*2-12)</f>
        <v>n.r.</v>
      </c>
      <c r="FO28" s="8" t="str">
        <f ca="1">OFFSET(Database!$F28,0,COLUMN(Database!FL28)*2-12)</f>
        <v>n.r.</v>
      </c>
      <c r="FP28" s="8" t="str">
        <f ca="1">OFFSET(Database!$F28,0,COLUMN(Database!FM28)*2-12)</f>
        <v>n.r.</v>
      </c>
      <c r="FQ28" s="8" t="str">
        <f ca="1">OFFSET(Database!$F28,0,COLUMN(Database!FN28)*2-12)</f>
        <v>n.r.</v>
      </c>
      <c r="FR28" s="8" t="str">
        <f ca="1">OFFSET(Database!$F28,0,COLUMN(Database!FO28)*2-12)</f>
        <v>n.r.</v>
      </c>
      <c r="FS28" s="8" t="str">
        <f ca="1">OFFSET(Database!$F28,0,COLUMN(Database!FP28)*2-12)</f>
        <v>n.r.</v>
      </c>
      <c r="FT28" s="8" t="str">
        <f ca="1">OFFSET(Database!$F28,0,COLUMN(Database!FQ28)*2-12)</f>
        <v>n.r.</v>
      </c>
      <c r="FU28" s="8" t="str">
        <f ca="1">OFFSET(Database!$F28,0,COLUMN(Database!FR28)*2-12)</f>
        <v>n.r.</v>
      </c>
      <c r="FV28" s="8" t="str">
        <f ca="1">OFFSET(Database!$F28,0,COLUMN(Database!FS28)*2-12)</f>
        <v>n.r.</v>
      </c>
      <c r="FW28" s="8" t="str">
        <f ca="1">OFFSET(Database!$F28,0,COLUMN(Database!FT28)*2-12)</f>
        <v>n.r.</v>
      </c>
      <c r="FX28" s="8" t="str">
        <f ca="1">OFFSET(Database!$F28,0,COLUMN(Database!FU28)*2-12)</f>
        <v>n.r.</v>
      </c>
      <c r="FY28" s="8" t="str">
        <f ca="1">OFFSET(Database!$F28,0,COLUMN(Database!FV28)*2-12)</f>
        <v>n.r.</v>
      </c>
      <c r="FZ28" s="8" t="str">
        <f ca="1">OFFSET(Database!$F28,0,COLUMN(Database!FW28)*2-12)</f>
        <v>n.r.</v>
      </c>
      <c r="GA28" s="8" t="str">
        <f ca="1">OFFSET(Database!$F28,0,COLUMN(Database!FX28)*2-12)</f>
        <v>n.r.</v>
      </c>
      <c r="GB28" s="8" t="str">
        <f ca="1">OFFSET(Database!$F28,0,COLUMN(Database!FY28)*2-12)</f>
        <v>n.r.</v>
      </c>
      <c r="GC28" s="8" t="str">
        <f ca="1">OFFSET(Database!$F28,0,COLUMN(Database!FZ28)*2-12)</f>
        <v>n.r.</v>
      </c>
      <c r="GD28" s="8" t="str">
        <f ca="1">OFFSET(Database!$F28,0,COLUMN(Database!GA28)*2-12)</f>
        <v>n.r.</v>
      </c>
      <c r="GE28" s="8" t="str">
        <f ca="1">OFFSET(Database!$F28,0,COLUMN(Database!GB28)*2-12)</f>
        <v>n.r.</v>
      </c>
      <c r="GF28" s="8" t="str">
        <f ca="1">OFFSET(Database!$F28,0,COLUMN(Database!GC28)*2-12)</f>
        <v>n.r.</v>
      </c>
      <c r="GG28" s="8" t="str">
        <f ca="1">OFFSET(Database!$F28,0,COLUMN(Database!GD28)*2-12)</f>
        <v>n.r.</v>
      </c>
      <c r="GH28" s="8" t="str">
        <f ca="1">OFFSET(Database!$F28,0,COLUMN(Database!GE28)*2-12)</f>
        <v>n.r.</v>
      </c>
      <c r="GI28" s="8" t="str">
        <f ca="1">OFFSET(Database!$F28,0,COLUMN(Database!GF28)*2-12)</f>
        <v>n.r.</v>
      </c>
      <c r="GJ28" s="8" t="str">
        <f ca="1">OFFSET(Database!$F28,0,COLUMN(Database!GG28)*2-12)</f>
        <v>n.r.</v>
      </c>
      <c r="GK28" s="8" t="str">
        <f ca="1">OFFSET(Database!$F28,0,COLUMN(Database!GH28)*2-12)</f>
        <v>n.r.</v>
      </c>
      <c r="GL28" s="8" t="str">
        <f ca="1">OFFSET(Database!$F28,0,COLUMN(Database!GI28)*2-12)</f>
        <v>n.r.</v>
      </c>
      <c r="GM28" s="8" t="str">
        <f ca="1">OFFSET(Database!$F28,0,COLUMN(Database!GJ28)*2-12)</f>
        <v>n.r.</v>
      </c>
      <c r="GN28" s="8" t="str">
        <f ca="1">OFFSET(Database!$F28,0,COLUMN(Database!GK28)*2-12)</f>
        <v>n.r.</v>
      </c>
      <c r="GO28" s="8" t="str">
        <f ca="1">OFFSET(Database!$F28,0,COLUMN(Database!GL28)*2-12)</f>
        <v>n.r.</v>
      </c>
      <c r="GP28" s="8" t="str">
        <f ca="1">OFFSET(Database!$F28,0,COLUMN(Database!GM28)*2-12)</f>
        <v>n.r.</v>
      </c>
    </row>
    <row r="29" spans="1:198" x14ac:dyDescent="0.2">
      <c r="A29" s="50" t="str">
        <f>Database!A29</f>
        <v>D-β-aminobutyric acid</v>
      </c>
      <c r="B29" s="32" t="s">
        <v>890</v>
      </c>
      <c r="C29" s="4" t="str">
        <f>Database!B29</f>
        <v>β</v>
      </c>
      <c r="D29" s="4" t="str">
        <f>Database!C29</f>
        <v>D</v>
      </c>
      <c r="E29" s="74">
        <f>Database!D29</f>
        <v>65</v>
      </c>
      <c r="F29" s="32" t="s">
        <v>912</v>
      </c>
      <c r="G29" s="1">
        <v>5706670</v>
      </c>
      <c r="H29" s="1">
        <f>Database!E29</f>
        <v>103.12</v>
      </c>
      <c r="I29" s="8">
        <f ca="1">OFFSET(Database!$F29,0,COLUMN(Database!F29)*2-12)</f>
        <v>1.1999999999999999E-3</v>
      </c>
      <c r="J29" s="8">
        <f ca="1">OFFSET(Database!$F29,0,COLUMN(Database!G29)*2-12)</f>
        <v>5.1000000000000004E-3</v>
      </c>
      <c r="K29" s="8">
        <f ca="1">OFFSET(Database!$F29,0,COLUMN(Database!H29)*2-12)</f>
        <v>4.7999999999999996E-3</v>
      </c>
      <c r="L29" s="8">
        <f ca="1">OFFSET(Database!$F29,0,COLUMN(Database!I29)*2-12)</f>
        <v>2.7000000000000001E-3</v>
      </c>
      <c r="M29" s="8">
        <f ca="1">OFFSET(Database!$F29,0,COLUMN(Database!J29)*2-12)</f>
        <v>2.8999999999999998E-3</v>
      </c>
      <c r="N29" s="8" t="str">
        <f ca="1">OFFSET(Database!$F29,0,COLUMN(Database!K29)*2-12)</f>
        <v>n.r.</v>
      </c>
      <c r="O29" s="8">
        <f ca="1">OFFSET(Database!$F29,0,COLUMN(Database!L29)*2-12)</f>
        <v>0.68</v>
      </c>
      <c r="P29" s="8">
        <f ca="1">OFFSET(Database!$F29,0,COLUMN(Database!M29)*2-12)</f>
        <v>0.76</v>
      </c>
      <c r="Q29" s="8">
        <f ca="1">OFFSET(Database!$F29,0,COLUMN(Database!N29)*2-12)</f>
        <v>7.14</v>
      </c>
      <c r="R29" s="8" t="str">
        <f ca="1">OFFSET(Database!$F29,0,COLUMN(Database!O29)*2-12)</f>
        <v>n.r.</v>
      </c>
      <c r="S29" s="8" t="str">
        <f ca="1">OFFSET(Database!$F29,0,COLUMN(Database!P29)*2-12)</f>
        <v>n.r.</v>
      </c>
      <c r="T29" s="8">
        <f ca="1">OFFSET(Database!$F29,0,COLUMN(Database!Q29)*2-12)</f>
        <v>27.7</v>
      </c>
      <c r="U29" s="8">
        <f ca="1">OFFSET(Database!$F29,0,COLUMN(Database!R29)*2-12)</f>
        <v>5.67</v>
      </c>
      <c r="V29" s="8">
        <f ca="1">OFFSET(Database!$F29,0,COLUMN(Database!S29)*2-12)</f>
        <v>0.25213343677269201</v>
      </c>
      <c r="W29" s="8">
        <f ca="1">OFFSET(Database!$F29,0,COLUMN(Database!T29)*2-12)</f>
        <v>0.17455391776570983</v>
      </c>
      <c r="X29" s="8">
        <f ca="1">OFFSET(Database!$F29,0,COLUMN(Database!U29)*2-12)</f>
        <v>3.3844065166795962</v>
      </c>
      <c r="Y29" s="8">
        <f ca="1">OFFSET(Database!$F29,0,COLUMN(Database!V29)*2-12)</f>
        <v>1.8</v>
      </c>
      <c r="Z29" s="8">
        <f ca="1">OFFSET(Database!$F29,0,COLUMN(Database!W29)*2-12)</f>
        <v>1.3</v>
      </c>
      <c r="AA29" s="8">
        <f ca="1">OFFSET(Database!$F29,0,COLUMN(Database!X29)*2-12)</f>
        <v>2.2000000000000002</v>
      </c>
      <c r="AB29" s="8">
        <f ca="1">OFFSET(Database!$F29,0,COLUMN(Database!Y29)*2-12)</f>
        <v>1.4255236617532971</v>
      </c>
      <c r="AC29" s="8">
        <f ca="1">OFFSET(Database!$F29,0,COLUMN(Database!Z29)*2-12)</f>
        <v>2.2595034910783554</v>
      </c>
      <c r="AD29" s="8">
        <f ca="1">OFFSET(Database!$F29,0,COLUMN(Database!AA29)*2-12)</f>
        <v>1.5031031807602793</v>
      </c>
      <c r="AE29" s="8">
        <f ca="1">OFFSET(Database!$F29,0,COLUMN(Database!AB29)*2-12)</f>
        <v>2.7055857253685027</v>
      </c>
      <c r="AF29" s="8">
        <f ca="1">OFFSET(Database!$F29,0,COLUMN(Database!AC29)*2-12)</f>
        <v>4.5</v>
      </c>
      <c r="AG29" s="8" t="str">
        <f ca="1">OFFSET(Database!$F29,0,COLUMN(Database!AD29)*2-12)</f>
        <v>&lt;0.01</v>
      </c>
      <c r="AH29" s="8" t="str">
        <f ca="1">OFFSET(Database!$F29,0,COLUMN(Database!AE29)*2-12)</f>
        <v>n.r.</v>
      </c>
      <c r="AI29" s="8" t="str">
        <f ca="1">OFFSET(Database!$F29,0,COLUMN(Database!AF29)*2-12)</f>
        <v>&lt;0.05</v>
      </c>
      <c r="AJ29" s="8">
        <f ca="1">OFFSET(Database!$F29,0,COLUMN(Database!AG29)*2-12)</f>
        <v>0.02</v>
      </c>
      <c r="AK29" s="8">
        <f ca="1">OFFSET(Database!$F29,0,COLUMN(Database!AH29)*2-12)</f>
        <v>0.03</v>
      </c>
      <c r="AL29" s="8" t="str">
        <f ca="1">OFFSET(Database!$F29,0,COLUMN(Database!AI29)*2-12)</f>
        <v>&lt;0.01</v>
      </c>
      <c r="AM29" s="8">
        <f ca="1">OFFSET(Database!$F29,0,COLUMN(Database!AJ29)*2-12)</f>
        <v>0.33</v>
      </c>
      <c r="AN29" s="8">
        <f ca="1">OFFSET(Database!$F29,0,COLUMN(Database!AK29)*2-12)</f>
        <v>0.34</v>
      </c>
      <c r="AO29" s="8">
        <f ca="1">OFFSET(Database!$F29,0,COLUMN(Database!AL29)*2-12)</f>
        <v>2.1431342125678818</v>
      </c>
      <c r="AP29" s="8">
        <f ca="1">OFFSET(Database!$F29,0,COLUMN(Database!AM29)*2-12)</f>
        <v>2.2000000000000002</v>
      </c>
      <c r="AQ29" s="8">
        <f ca="1">OFFSET(Database!$F29,0,COLUMN(Database!AN29)*2-12)</f>
        <v>0.01</v>
      </c>
      <c r="AR29" s="8" t="str">
        <f ca="1">OFFSET(Database!$F29,0,COLUMN(Database!AO29)*2-12)</f>
        <v>&lt;0.01</v>
      </c>
      <c r="AS29" s="8">
        <f ca="1">OFFSET(Database!$F29,0,COLUMN(Database!AP29)*2-12)</f>
        <v>2.618308766485648E-2</v>
      </c>
      <c r="AT29" s="8">
        <f ca="1">OFFSET(Database!$F29,0,COLUMN(Database!AQ29)*2-12)</f>
        <v>2.9092319627618307E-3</v>
      </c>
      <c r="AU29" s="8">
        <f ca="1">OFFSET(Database!$F29,0,COLUMN(Database!AR29)*2-12)</f>
        <v>5.8184639255236615E-3</v>
      </c>
      <c r="AV29" s="8">
        <f ca="1">OFFSET(Database!$F29,0,COLUMN(Database!AS29)*2-12)</f>
        <v>1.2606671838634601E-2</v>
      </c>
      <c r="AW29" s="8">
        <f ca="1">OFFSET(Database!$F29,0,COLUMN(Database!AT29)*2-12)</f>
        <v>2.9092319627618307E-3</v>
      </c>
      <c r="AX29" s="8">
        <f ca="1">OFFSET(Database!$F29,0,COLUMN(Database!AU29)*2-12)</f>
        <v>4.3638479441427458E-2</v>
      </c>
      <c r="AY29" s="8" t="str">
        <f ca="1">OFFSET(Database!$F29,0,COLUMN(Database!AV29)*2-12)</f>
        <v>&lt;0.001</v>
      </c>
      <c r="AZ29" s="8">
        <f ca="1">OFFSET(Database!$F29,0,COLUMN(Database!AW29)*2-12)</f>
        <v>1.9394879751745539E-3</v>
      </c>
      <c r="BA29" s="8">
        <f ca="1">OFFSET(Database!$F29,0,COLUMN(Database!AX29)*2-12)</f>
        <v>1.9394879751745539E-3</v>
      </c>
      <c r="BB29" s="8" t="str">
        <f ca="1">OFFSET(Database!$F29,0,COLUMN(Database!AY29)*2-12)</f>
        <v>&lt;0.001</v>
      </c>
      <c r="BC29" s="8">
        <f ca="1">OFFSET(Database!$F29,0,COLUMN(Database!AZ29)*2-12)</f>
        <v>2.9092319627618307E-3</v>
      </c>
      <c r="BD29" s="8">
        <f ca="1">OFFSET(Database!$F29,0,COLUMN(Database!BA29)*2-12)</f>
        <v>6.4003103180760273E-2</v>
      </c>
      <c r="BE29" s="8" t="str">
        <f ca="1">OFFSET(Database!$F29,0,COLUMN(Database!BB29)*2-12)</f>
        <v>&lt;0.001</v>
      </c>
      <c r="BF29" s="8">
        <f ca="1">OFFSET(Database!$F29,0,COLUMN(Database!BC29)*2-12)</f>
        <v>1.0667183863460047E-2</v>
      </c>
      <c r="BG29" s="8">
        <f ca="1">OFFSET(Database!$F29,0,COLUMN(Database!BD29)*2-12)</f>
        <v>1.3576415826221875E-2</v>
      </c>
      <c r="BH29" s="8" t="str">
        <f ca="1">OFFSET(Database!$F29,0,COLUMN(Database!BE29)*2-12)</f>
        <v>n.r.</v>
      </c>
      <c r="BI29" s="8" t="str">
        <f ca="1">OFFSET(Database!$F29,0,COLUMN(Database!BF29)*2-12)</f>
        <v>n.r.</v>
      </c>
      <c r="BJ29" s="8">
        <f ca="1">OFFSET(Database!$F29,0,COLUMN(Database!BG29)*2-12)</f>
        <v>1.0958107059736228</v>
      </c>
      <c r="BK29" s="8">
        <f ca="1">OFFSET(Database!$F29,0,COLUMN(Database!BH29)*2-12)</f>
        <v>3.2971295577967417</v>
      </c>
      <c r="BL29" s="8">
        <f ca="1">OFFSET(Database!$F29,0,COLUMN(Database!BI29)*2-12)</f>
        <v>3.6462373933281613</v>
      </c>
      <c r="BM29" s="8" t="str">
        <f ca="1">OFFSET(Database!$F29,0,COLUMN(Database!BJ29)*2-12)</f>
        <v>&lt;0.001</v>
      </c>
      <c r="BN29" s="8">
        <f ca="1">OFFSET(Database!$F29,0,COLUMN(Database!BK29)*2-12)</f>
        <v>0.3103180760279286</v>
      </c>
      <c r="BO29" s="8">
        <f ca="1">OFFSET(Database!$F29,0,COLUMN(Database!BL29)*2-12)</f>
        <v>7.2730799069045768E-2</v>
      </c>
      <c r="BP29" s="8">
        <f ca="1">OFFSET(Database!$F29,0,COLUMN(Database!BM29)*2-12)</f>
        <v>3.2971295577967415E-2</v>
      </c>
      <c r="BQ29" s="8" t="str">
        <f ca="1">OFFSET(Database!$F29,0,COLUMN(Database!BN29)*2-12)</f>
        <v>&lt;0.002</v>
      </c>
      <c r="BR29" s="8" t="str">
        <f ca="1">OFFSET(Database!$F29,0,COLUMN(Database!BO29)*2-12)</f>
        <v>&lt;0.001</v>
      </c>
      <c r="BS29" s="8" t="str">
        <f ca="1">OFFSET(Database!$F29,0,COLUMN(Database!BP29)*2-12)</f>
        <v>&lt;0.001</v>
      </c>
      <c r="BT29" s="8">
        <f ca="1">OFFSET(Database!$F29,0,COLUMN(Database!BQ29)*2-12)</f>
        <v>9.6974398758727695E-4</v>
      </c>
      <c r="BU29" s="8">
        <f ca="1">OFFSET(Database!$F29,0,COLUMN(Database!BR29)*2-12)</f>
        <v>9.6974398758727695E-4</v>
      </c>
      <c r="BV29" s="8" t="str">
        <f ca="1">OFFSET(Database!$F29,0,COLUMN(Database!BS29)*2-12)</f>
        <v>&lt;0.001</v>
      </c>
      <c r="BW29" s="8" t="str">
        <f ca="1">OFFSET(Database!$F29,0,COLUMN(Database!BT29)*2-12)</f>
        <v>&lt;0.0001</v>
      </c>
      <c r="BX29" s="8" t="str">
        <f ca="1">OFFSET(Database!$F29,0,COLUMN(Database!BU29)*2-12)</f>
        <v>&lt;0.0001</v>
      </c>
      <c r="BY29" s="8" t="str">
        <f ca="1">OFFSET(Database!$F29,0,COLUMN(Database!BV29)*2-12)</f>
        <v>&lt;0.0001</v>
      </c>
      <c r="BZ29" s="8" t="str">
        <f ca="1">OFFSET(Database!$F29,0,COLUMN(Database!BW29)*2-12)</f>
        <v>n.r.</v>
      </c>
      <c r="CA29" s="8" t="str">
        <f ca="1">OFFSET(Database!$F29,0,COLUMN(Database!BX29)*2-12)</f>
        <v>n.r.</v>
      </c>
      <c r="CB29" s="8">
        <f ca="1">OFFSET(Database!$F29,0,COLUMN(Database!BY29)*2-12)</f>
        <v>6.7882079131109377E-3</v>
      </c>
      <c r="CC29" s="8">
        <f ca="1">OFFSET(Database!$F29,0,COLUMN(Database!BZ29)*2-12)</f>
        <v>3.2001551590380137E-2</v>
      </c>
      <c r="CD29" s="8" t="str">
        <f ca="1">OFFSET(Database!$F29,0,COLUMN(Database!CA29)*2-12)</f>
        <v>&lt;0.0010</v>
      </c>
      <c r="CE29" s="8">
        <f ca="1">OFFSET(Database!$F29,0,COLUMN(Database!CB29)*2-12)</f>
        <v>1.9394879751745539E-3</v>
      </c>
      <c r="CF29" s="8" t="str">
        <f ca="1">OFFSET(Database!$F29,0,COLUMN(Database!CC29)*2-12)</f>
        <v>&lt;0.0048</v>
      </c>
      <c r="CG29" s="8" t="str">
        <f ca="1">OFFSET(Database!$F29,0,COLUMN(Database!CD29)*2-12)</f>
        <v>&lt;0.0097</v>
      </c>
      <c r="CH29" s="8" t="str">
        <f ca="1">OFFSET(Database!$F29,0,COLUMN(Database!CE29)*2-12)</f>
        <v>&lt;0.0097</v>
      </c>
      <c r="CI29" s="8">
        <f ca="1">OFFSET(Database!$F29,0,COLUMN(Database!CF29)*2-12)</f>
        <v>1.6485647788983707E-2</v>
      </c>
      <c r="CJ29" s="8">
        <f ca="1">OFFSET(Database!$F29,0,COLUMN(Database!CG29)*2-12)</f>
        <v>3.8789759503491075E-2</v>
      </c>
      <c r="CK29" s="8">
        <f ca="1">OFFSET(Database!$F29,0,COLUMN(Database!CH29)*2-12)</f>
        <v>1.2606671838634601E-2</v>
      </c>
      <c r="CL29" s="8">
        <f ca="1">OFFSET(Database!$F29,0,COLUMN(Database!CI29)*2-12)</f>
        <v>2.4243599689681924E-2</v>
      </c>
      <c r="CM29" s="8">
        <f ca="1">OFFSET(Database!$F29,0,COLUMN(Database!CJ29)*2-12)</f>
        <v>3.8789759503491078E-3</v>
      </c>
      <c r="CN29" s="8">
        <f ca="1">OFFSET(Database!$F29,0,COLUMN(Database!CK29)*2-12)</f>
        <v>9.6974398758727688E-3</v>
      </c>
      <c r="CO29" s="8">
        <f ca="1">OFFSET(Database!$F29,0,COLUMN(Database!CL29)*2-12)</f>
        <v>3.8789759503491078E-3</v>
      </c>
      <c r="CP29" s="8" t="str">
        <f ca="1">OFFSET(Database!$F29,0,COLUMN(Database!CM29)*2-12)</f>
        <v>&lt;0.1</v>
      </c>
      <c r="CQ29" s="8" t="str">
        <f ca="1">OFFSET(Database!$F29,0,COLUMN(Database!CN29)*2-12)</f>
        <v>&lt;0.1</v>
      </c>
      <c r="CR29" s="8" t="str">
        <f ca="1">OFFSET(Database!$F29,0,COLUMN(Database!CO29)*2-12)</f>
        <v>&lt;0.1</v>
      </c>
      <c r="CS29" s="8" t="str">
        <f ca="1">OFFSET(Database!$F29,0,COLUMN(Database!CP29)*2-12)</f>
        <v>&lt;0.1</v>
      </c>
      <c r="CT29" s="8" t="str">
        <f ca="1">OFFSET(Database!$F29,0,COLUMN(Database!CQ29)*2-12)</f>
        <v>&lt;0.1</v>
      </c>
      <c r="CU29" s="8" t="str">
        <f ca="1">OFFSET(Database!$F29,0,COLUMN(Database!CR29)*2-12)</f>
        <v>&lt;0.1</v>
      </c>
      <c r="CV29" s="8" t="str">
        <f ca="1">OFFSET(Database!$F29,0,COLUMN(Database!CS29)*2-12)</f>
        <v>&lt;0.1</v>
      </c>
      <c r="CW29" s="8" t="str">
        <f ca="1">OFFSET(Database!$F29,0,COLUMN(Database!CT29)*2-12)</f>
        <v>&lt;0.1</v>
      </c>
      <c r="CX29" s="8" t="str">
        <f ca="1">OFFSET(Database!$F29,0,COLUMN(Database!CU29)*2-12)</f>
        <v>&lt;0.1</v>
      </c>
      <c r="CY29" s="8" t="str">
        <f ca="1">OFFSET(Database!$F29,0,COLUMN(Database!CV29)*2-12)</f>
        <v>&lt;0.1</v>
      </c>
      <c r="CZ29" s="8" t="str">
        <f ca="1">OFFSET(Database!$F29,0,COLUMN(Database!CW29)*2-12)</f>
        <v>&lt;0.1</v>
      </c>
      <c r="DA29" s="8">
        <f ca="1">OFFSET(Database!$F29,0,COLUMN(Database!CX29)*2-12)</f>
        <v>0.16</v>
      </c>
      <c r="DB29" s="8">
        <f ca="1">OFFSET(Database!$F29,0,COLUMN(Database!CY29)*2-12)</f>
        <v>0.32</v>
      </c>
      <c r="DC29" s="8">
        <f ca="1">OFFSET(Database!$F29,0,COLUMN(Database!CZ29)*2-12)</f>
        <v>0.35</v>
      </c>
      <c r="DD29" s="8">
        <f ca="1">OFFSET(Database!$F29,0,COLUMN(Database!DA29)*2-12)</f>
        <v>0.55000000000000004</v>
      </c>
      <c r="DE29" s="8" t="str">
        <f ca="1">OFFSET(Database!$F29,0,COLUMN(Database!DB29)*2-12)</f>
        <v>&lt;0.0388</v>
      </c>
      <c r="DF29" s="8" t="str">
        <f ca="1">OFFSET(Database!$F29,0,COLUMN(Database!DC29)*2-12)</f>
        <v>n.r.</v>
      </c>
      <c r="DG29" s="8" t="str">
        <f ca="1">OFFSET(Database!$F29,0,COLUMN(Database!DD29)*2-12)</f>
        <v>n.r.</v>
      </c>
      <c r="DH29" s="8" t="str">
        <f ca="1">OFFSET(Database!$F29,0,COLUMN(Database!DE29)*2-12)</f>
        <v>n.r.</v>
      </c>
      <c r="DI29" s="8" t="str">
        <f ca="1">OFFSET(Database!$F29,0,COLUMN(Database!DF29)*2-12)</f>
        <v>n.r.</v>
      </c>
      <c r="DJ29" s="8" t="str">
        <f ca="1">OFFSET(Database!$F29,0,COLUMN(Database!DG29)*2-12)</f>
        <v>n.r.</v>
      </c>
      <c r="DK29" s="8" t="str">
        <f ca="1">OFFSET(Database!$F29,0,COLUMN(Database!DH29)*2-12)</f>
        <v>n.r.</v>
      </c>
      <c r="DL29" s="8" t="str">
        <f ca="1">OFFSET(Database!$F29,0,COLUMN(Database!DI29)*2-12)</f>
        <v>n.r.</v>
      </c>
      <c r="DM29" s="8" t="str">
        <f ca="1">OFFSET(Database!$F29,0,COLUMN(Database!DJ29)*2-12)</f>
        <v>n.r.</v>
      </c>
      <c r="DN29" s="8" t="str">
        <f ca="1">OFFSET(Database!$F29,0,COLUMN(Database!DK29)*2-12)</f>
        <v>n.r.</v>
      </c>
      <c r="DO29" s="8" t="str">
        <f ca="1">OFFSET(Database!$F29,0,COLUMN(Database!DL29)*2-12)</f>
        <v>n.r.</v>
      </c>
      <c r="DP29" s="8" t="str">
        <f ca="1">OFFSET(Database!$F29,0,COLUMN(Database!DM29)*2-12)</f>
        <v>n.r.</v>
      </c>
      <c r="DQ29" s="8" t="str">
        <f ca="1">OFFSET(Database!$F29,0,COLUMN(Database!DN29)*2-12)</f>
        <v>n.r.</v>
      </c>
      <c r="DR29" s="8" t="str">
        <f ca="1">OFFSET(Database!$F29,0,COLUMN(Database!DO29)*2-12)</f>
        <v>n.r.</v>
      </c>
      <c r="DS29" s="8" t="str">
        <f ca="1">OFFSET(Database!$F29,0,COLUMN(Database!DP29)*2-12)</f>
        <v>n.r.</v>
      </c>
      <c r="DT29" s="8" t="str">
        <f ca="1">OFFSET(Database!$F29,0,COLUMN(Database!DQ29)*2-12)</f>
        <v>n.r.</v>
      </c>
      <c r="DU29" s="8">
        <f ca="1">OFFSET(Database!$F29,0,COLUMN(Database!DR29)*2-12)</f>
        <v>1.6799999999999999E-2</v>
      </c>
      <c r="DV29" s="8" t="str">
        <f ca="1">OFFSET(Database!$F29,0,COLUMN(Database!DS29)*2-12)</f>
        <v>n.d.</v>
      </c>
      <c r="DW29" s="8" t="str">
        <f ca="1">OFFSET(Database!$F29,0,COLUMN(Database!DT29)*2-12)</f>
        <v>n.r.</v>
      </c>
      <c r="DX29" s="8" t="str">
        <f ca="1">OFFSET(Database!$F29,0,COLUMN(Database!DU29)*2-12)</f>
        <v>n.r.</v>
      </c>
      <c r="DY29" s="8" t="str">
        <f ca="1">OFFSET(Database!$F29,0,COLUMN(Database!DV29)*2-12)</f>
        <v>n.r.</v>
      </c>
      <c r="DZ29" s="8" t="str">
        <f ca="1">OFFSET(Database!$F29,0,COLUMN(Database!DW29)*2-12)</f>
        <v>n.r.</v>
      </c>
      <c r="EA29" s="8" t="str">
        <f ca="1">OFFSET(Database!$F29,0,COLUMN(Database!DX29)*2-12)</f>
        <v>n.r.</v>
      </c>
      <c r="EB29" s="8" t="str">
        <f ca="1">OFFSET(Database!$F29,0,COLUMN(Database!DY29)*2-12)</f>
        <v>n.r.</v>
      </c>
      <c r="EC29" s="8" t="str">
        <f ca="1">OFFSET(Database!$F29,0,COLUMN(Database!DZ29)*2-12)</f>
        <v>n.r.</v>
      </c>
      <c r="ED29" s="8" t="str">
        <f ca="1">OFFSET(Database!$F29,0,COLUMN(Database!EA29)*2-12)</f>
        <v>n.r</v>
      </c>
      <c r="EE29" s="8" t="str">
        <f ca="1">OFFSET(Database!$F29,0,COLUMN(Database!EB29)*2-12)</f>
        <v>n.r.</v>
      </c>
      <c r="EF29" s="8" t="str">
        <f ca="1">OFFSET(Database!$F29,0,COLUMN(Database!EC29)*2-12)</f>
        <v>n.r.</v>
      </c>
      <c r="EG29" s="8" t="str">
        <f ca="1">OFFSET(Database!$F29,0,COLUMN(Database!ED29)*2-12)</f>
        <v>n.r.</v>
      </c>
      <c r="EH29" s="8" t="str">
        <f ca="1">OFFSET(Database!$F29,0,COLUMN(Database!EE29)*2-12)</f>
        <v>n.r.</v>
      </c>
      <c r="EI29" s="8" t="str">
        <f ca="1">OFFSET(Database!$F29,0,COLUMN(Database!EF29)*2-12)</f>
        <v>n.r.</v>
      </c>
      <c r="EJ29" s="8" t="str">
        <f ca="1">OFFSET(Database!$F29,0,COLUMN(Database!EG29)*2-12)</f>
        <v>n.r.</v>
      </c>
      <c r="EK29" s="8" t="str">
        <f ca="1">OFFSET(Database!$F29,0,COLUMN(Database!EH29)*2-12)</f>
        <v>n.r.</v>
      </c>
      <c r="EL29" s="8" t="str">
        <f ca="1">OFFSET(Database!$F29,0,COLUMN(Database!EI29)*2-12)</f>
        <v>n.r.</v>
      </c>
      <c r="EM29" s="8" t="str">
        <f ca="1">OFFSET(Database!$F29,0,COLUMN(Database!EJ29)*2-12)</f>
        <v>n.r.</v>
      </c>
      <c r="EN29" s="8" t="str">
        <f ca="1">OFFSET(Database!$F29,0,COLUMN(Database!EK29)*2-12)</f>
        <v>n.r.</v>
      </c>
      <c r="EO29" s="8" t="str">
        <f ca="1">OFFSET(Database!$F29,0,COLUMN(Database!EL29)*2-12)</f>
        <v>n.r.</v>
      </c>
      <c r="EP29" s="8" t="str">
        <f ca="1">OFFSET(Database!$F29,0,COLUMN(Database!EM29)*2-12)</f>
        <v>n.r.</v>
      </c>
      <c r="EQ29" s="8" t="str">
        <f ca="1">OFFSET(Database!$F29,0,COLUMN(Database!EN29)*2-12)</f>
        <v>n.r.</v>
      </c>
      <c r="ER29" s="8" t="str">
        <f ca="1">OFFSET(Database!$F29,0,COLUMN(Database!EO29)*2-12)</f>
        <v>n.r.</v>
      </c>
      <c r="ES29" s="8" t="str">
        <f ca="1">OFFSET(Database!$F29,0,COLUMN(Database!EP29)*2-12)</f>
        <v>n.r.</v>
      </c>
      <c r="ET29" s="8" t="str">
        <f ca="1">OFFSET(Database!$F29,0,COLUMN(Database!EQ29)*2-12)</f>
        <v>n.r.</v>
      </c>
      <c r="EU29" s="8" t="str">
        <f ca="1">OFFSET(Database!$F29,0,COLUMN(Database!ER29)*2-12)</f>
        <v>n.r.</v>
      </c>
      <c r="EV29" s="8" t="str">
        <f ca="1">OFFSET(Database!$F29,0,COLUMN(Database!ES29)*2-12)</f>
        <v>n.r.</v>
      </c>
      <c r="EW29" s="8" t="str">
        <f ca="1">OFFSET(Database!$F29,0,COLUMN(Database!ET29)*2-12)</f>
        <v>n.r.</v>
      </c>
      <c r="EX29" s="8" t="str">
        <f ca="1">OFFSET(Database!$F29,0,COLUMN(Database!EU29)*2-12)</f>
        <v>n.r.</v>
      </c>
      <c r="EY29" s="8" t="str">
        <f ca="1">OFFSET(Database!$F29,0,COLUMN(Database!EV29)*2-12)</f>
        <v>n.r.</v>
      </c>
      <c r="EZ29" s="8" t="str">
        <f ca="1">OFFSET(Database!$F29,0,COLUMN(Database!EW29)*2-12)</f>
        <v>n.r.</v>
      </c>
      <c r="FA29" s="8" t="str">
        <f ca="1">OFFSET(Database!$F29,0,COLUMN(Database!EX29)*2-12)</f>
        <v>n.r.</v>
      </c>
      <c r="FB29" s="8" t="str">
        <f ca="1">OFFSET(Database!$F29,0,COLUMN(Database!EY29)*2-12)</f>
        <v>n.r.</v>
      </c>
      <c r="FC29" s="8" t="str">
        <f ca="1">OFFSET(Database!$F29,0,COLUMN(Database!EZ29)*2-12)</f>
        <v>n.r.</v>
      </c>
      <c r="FD29" s="8" t="str">
        <f ca="1">OFFSET(Database!$F29,0,COLUMN(Database!FA29)*2-12)</f>
        <v>n.r.</v>
      </c>
      <c r="FE29" s="8" t="str">
        <f ca="1">OFFSET(Database!$F29,0,COLUMN(Database!FB29)*2-12)</f>
        <v>n.r.</v>
      </c>
      <c r="FF29" s="8" t="str">
        <f ca="1">OFFSET(Database!$F29,0,COLUMN(Database!FC29)*2-12)</f>
        <v>n.r.</v>
      </c>
      <c r="FG29" s="8" t="str">
        <f ca="1">OFFSET(Database!$F29,0,COLUMN(Database!FD29)*2-12)</f>
        <v>n.r.</v>
      </c>
      <c r="FH29" s="8" t="str">
        <f ca="1">OFFSET(Database!$F29,0,COLUMN(Database!FE29)*2-12)</f>
        <v>n.r.</v>
      </c>
      <c r="FI29" s="8" t="str">
        <f ca="1">OFFSET(Database!$F29,0,COLUMN(Database!FF29)*2-12)</f>
        <v>n.r.</v>
      </c>
      <c r="FJ29" s="8" t="str">
        <f ca="1">OFFSET(Database!$F29,0,COLUMN(Database!FG29)*2-12)</f>
        <v>n.r.</v>
      </c>
      <c r="FK29" s="8" t="str">
        <f ca="1">OFFSET(Database!$F29,0,COLUMN(Database!FH29)*2-12)</f>
        <v>n.r.</v>
      </c>
      <c r="FL29" s="8" t="str">
        <f ca="1">OFFSET(Database!$F29,0,COLUMN(Database!FI29)*2-12)</f>
        <v>n.r.</v>
      </c>
      <c r="FM29" s="8" t="str">
        <f ca="1">OFFSET(Database!$F29,0,COLUMN(Database!FJ29)*2-12)</f>
        <v>n.r.</v>
      </c>
      <c r="FN29" s="8" t="str">
        <f ca="1">OFFSET(Database!$F29,0,COLUMN(Database!FK29)*2-12)</f>
        <v>n.r.</v>
      </c>
      <c r="FO29" s="8" t="str">
        <f ca="1">OFFSET(Database!$F29,0,COLUMN(Database!FL29)*2-12)</f>
        <v>n.r.</v>
      </c>
      <c r="FP29" s="8" t="str">
        <f ca="1">OFFSET(Database!$F29,0,COLUMN(Database!FM29)*2-12)</f>
        <v>n.r.</v>
      </c>
      <c r="FQ29" s="8" t="str">
        <f ca="1">OFFSET(Database!$F29,0,COLUMN(Database!FN29)*2-12)</f>
        <v>n.r.</v>
      </c>
      <c r="FR29" s="8" t="str">
        <f ca="1">OFFSET(Database!$F29,0,COLUMN(Database!FO29)*2-12)</f>
        <v>n.r.</v>
      </c>
      <c r="FS29" s="8" t="str">
        <f ca="1">OFFSET(Database!$F29,0,COLUMN(Database!FP29)*2-12)</f>
        <v>n.r.</v>
      </c>
      <c r="FT29" s="8" t="str">
        <f ca="1">OFFSET(Database!$F29,0,COLUMN(Database!FQ29)*2-12)</f>
        <v>n.r.</v>
      </c>
      <c r="FU29" s="8" t="str">
        <f ca="1">OFFSET(Database!$F29,0,COLUMN(Database!FR29)*2-12)</f>
        <v>n.r.</v>
      </c>
      <c r="FV29" s="8" t="str">
        <f ca="1">OFFSET(Database!$F29,0,COLUMN(Database!FS29)*2-12)</f>
        <v>n.r.</v>
      </c>
      <c r="FW29" s="8" t="str">
        <f ca="1">OFFSET(Database!$F29,0,COLUMN(Database!FT29)*2-12)</f>
        <v>n.r.</v>
      </c>
      <c r="FX29" s="8" t="str">
        <f ca="1">OFFSET(Database!$F29,0,COLUMN(Database!FU29)*2-12)</f>
        <v>n.r.</v>
      </c>
      <c r="FY29" s="8" t="str">
        <f ca="1">OFFSET(Database!$F29,0,COLUMN(Database!FV29)*2-12)</f>
        <v>n.r.</v>
      </c>
      <c r="FZ29" s="8" t="str">
        <f ca="1">OFFSET(Database!$F29,0,COLUMN(Database!FW29)*2-12)</f>
        <v>n.r.</v>
      </c>
      <c r="GA29" s="8" t="str">
        <f ca="1">OFFSET(Database!$F29,0,COLUMN(Database!FX29)*2-12)</f>
        <v>n.r.</v>
      </c>
      <c r="GB29" s="8" t="str">
        <f ca="1">OFFSET(Database!$F29,0,COLUMN(Database!FY29)*2-12)</f>
        <v>n.r.</v>
      </c>
      <c r="GC29" s="8" t="str">
        <f ca="1">OFFSET(Database!$F29,0,COLUMN(Database!FZ29)*2-12)</f>
        <v>n.r.</v>
      </c>
      <c r="GD29" s="8" t="str">
        <f ca="1">OFFSET(Database!$F29,0,COLUMN(Database!GA29)*2-12)</f>
        <v>n.r.</v>
      </c>
      <c r="GE29" s="8" t="str">
        <f ca="1">OFFSET(Database!$F29,0,COLUMN(Database!GB29)*2-12)</f>
        <v>n.r.</v>
      </c>
      <c r="GF29" s="8" t="str">
        <f ca="1">OFFSET(Database!$F29,0,COLUMN(Database!GC29)*2-12)</f>
        <v>n.r.</v>
      </c>
      <c r="GG29" s="8" t="str">
        <f ca="1">OFFSET(Database!$F29,0,COLUMN(Database!GD29)*2-12)</f>
        <v>n.r.</v>
      </c>
      <c r="GH29" s="8" t="str">
        <f ca="1">OFFSET(Database!$F29,0,COLUMN(Database!GE29)*2-12)</f>
        <v>n.r.</v>
      </c>
      <c r="GI29" s="8" t="str">
        <f ca="1">OFFSET(Database!$F29,0,COLUMN(Database!GF29)*2-12)</f>
        <v>n.r.</v>
      </c>
      <c r="GJ29" s="8" t="str">
        <f ca="1">OFFSET(Database!$F29,0,COLUMN(Database!GG29)*2-12)</f>
        <v>n.r.</v>
      </c>
      <c r="GK29" s="8" t="str">
        <f ca="1">OFFSET(Database!$F29,0,COLUMN(Database!GH29)*2-12)</f>
        <v>n.r.</v>
      </c>
      <c r="GL29" s="8" t="str">
        <f ca="1">OFFSET(Database!$F29,0,COLUMN(Database!GI29)*2-12)</f>
        <v>n.r.</v>
      </c>
      <c r="GM29" s="8" t="str">
        <f ca="1">OFFSET(Database!$F29,0,COLUMN(Database!GJ29)*2-12)</f>
        <v>n.r.</v>
      </c>
      <c r="GN29" s="8" t="str">
        <f ca="1">OFFSET(Database!$F29,0,COLUMN(Database!GK29)*2-12)</f>
        <v>n.r.</v>
      </c>
      <c r="GO29" s="8">
        <f ca="1">OFFSET(Database!$F29,0,COLUMN(Database!GL29)*2-12)</f>
        <v>184.25135764158262</v>
      </c>
      <c r="GP29" s="8">
        <f ca="1">OFFSET(Database!$F29,0,COLUMN(Database!GM29)*2-12)</f>
        <v>436.38479441427461</v>
      </c>
    </row>
    <row r="30" spans="1:198" x14ac:dyDescent="0.2">
      <c r="A30" s="50" t="str">
        <f>Database!A30</f>
        <v>L-β-aminobutyric acid</v>
      </c>
      <c r="B30" s="32" t="s">
        <v>890</v>
      </c>
      <c r="C30" s="4" t="str">
        <f>Database!B30</f>
        <v>β</v>
      </c>
      <c r="D30" s="4" t="str">
        <f>Database!C30</f>
        <v>L</v>
      </c>
      <c r="E30" s="74">
        <f>Database!D30</f>
        <v>65</v>
      </c>
      <c r="F30" s="32" t="s">
        <v>913</v>
      </c>
      <c r="G30" s="1">
        <v>5706671</v>
      </c>
      <c r="H30" s="1">
        <f>Database!E30</f>
        <v>103.12</v>
      </c>
      <c r="I30" s="8">
        <f ca="1">OFFSET(Database!$F30,0,COLUMN(Database!F30)*2-12)</f>
        <v>1.1999999999999999E-3</v>
      </c>
      <c r="J30" s="8">
        <f ca="1">OFFSET(Database!$F30,0,COLUMN(Database!G30)*2-12)</f>
        <v>5.1999999999999998E-3</v>
      </c>
      <c r="K30" s="8">
        <f ca="1">OFFSET(Database!$F30,0,COLUMN(Database!H30)*2-12)</f>
        <v>4.7000000000000002E-3</v>
      </c>
      <c r="L30" s="8">
        <f ca="1">OFFSET(Database!$F30,0,COLUMN(Database!I30)*2-12)</f>
        <v>2.7000000000000001E-3</v>
      </c>
      <c r="M30" s="8">
        <f ca="1">OFFSET(Database!$F30,0,COLUMN(Database!J30)*2-12)</f>
        <v>2.8999999999999998E-3</v>
      </c>
      <c r="N30" s="8" t="str">
        <f ca="1">OFFSET(Database!$F30,0,COLUMN(Database!K30)*2-12)</f>
        <v>n.r.</v>
      </c>
      <c r="O30" s="8">
        <f ca="1">OFFSET(Database!$F30,0,COLUMN(Database!L30)*2-12)</f>
        <v>0.57999999999999996</v>
      </c>
      <c r="P30" s="8">
        <f ca="1">OFFSET(Database!$F30,0,COLUMN(Database!M30)*2-12)</f>
        <v>0.75</v>
      </c>
      <c r="Q30" s="8">
        <f ca="1">OFFSET(Database!$F30,0,COLUMN(Database!N30)*2-12)</f>
        <v>5.92</v>
      </c>
      <c r="R30" s="8" t="str">
        <f ca="1">OFFSET(Database!$F30,0,COLUMN(Database!O30)*2-12)</f>
        <v>n.r.</v>
      </c>
      <c r="S30" s="8" t="str">
        <f ca="1">OFFSET(Database!$F30,0,COLUMN(Database!P30)*2-12)</f>
        <v>n.r.</v>
      </c>
      <c r="T30" s="8">
        <f ca="1">OFFSET(Database!$F30,0,COLUMN(Database!Q30)*2-12)</f>
        <v>30.6</v>
      </c>
      <c r="U30" s="8">
        <f ca="1">OFFSET(Database!$F30,0,COLUMN(Database!R30)*2-12)</f>
        <v>6.58</v>
      </c>
      <c r="V30" s="8">
        <f ca="1">OFFSET(Database!$F30,0,COLUMN(Database!S30)*2-12)</f>
        <v>0.24243599689681922</v>
      </c>
      <c r="W30" s="8">
        <f ca="1">OFFSET(Database!$F30,0,COLUMN(Database!T30)*2-12)</f>
        <v>0.17455391776570983</v>
      </c>
      <c r="X30" s="8">
        <f ca="1">OFFSET(Database!$F30,0,COLUMN(Database!U30)*2-12)</f>
        <v>3.1031807602792862</v>
      </c>
      <c r="Y30" s="8">
        <f ca="1">OFFSET(Database!$F30,0,COLUMN(Database!V30)*2-12)</f>
        <v>1.6</v>
      </c>
      <c r="Z30" s="8">
        <f ca="1">OFFSET(Database!$F30,0,COLUMN(Database!W30)*2-12)</f>
        <v>1.2</v>
      </c>
      <c r="AA30" s="8">
        <f ca="1">OFFSET(Database!$F30,0,COLUMN(Database!X30)*2-12)</f>
        <v>9.5</v>
      </c>
      <c r="AB30" s="8">
        <f ca="1">OFFSET(Database!$F30,0,COLUMN(Database!Y30)*2-12)</f>
        <v>1.4158262218774242</v>
      </c>
      <c r="AC30" s="8">
        <f ca="1">OFFSET(Database!$F30,0,COLUMN(Database!Z30)*2-12)</f>
        <v>2.4825446082234288</v>
      </c>
      <c r="AD30" s="8">
        <f ca="1">OFFSET(Database!$F30,0,COLUMN(Database!AA30)*2-12)</f>
        <v>1.6679596586501162</v>
      </c>
      <c r="AE30" s="8">
        <f ca="1">OFFSET(Database!$F30,0,COLUMN(Database!AB30)*2-12)</f>
        <v>1.726144297905353</v>
      </c>
      <c r="AF30" s="8">
        <f ca="1">OFFSET(Database!$F30,0,COLUMN(Database!AC30)*2-12)</f>
        <v>4.4000000000000004</v>
      </c>
      <c r="AG30" s="8" t="str">
        <f ca="1">OFFSET(Database!$F30,0,COLUMN(Database!AD30)*2-12)</f>
        <v>&lt;0.01</v>
      </c>
      <c r="AH30" s="8" t="str">
        <f ca="1">OFFSET(Database!$F30,0,COLUMN(Database!AE30)*2-12)</f>
        <v>n.r.</v>
      </c>
      <c r="AI30" s="8" t="str">
        <f ca="1">OFFSET(Database!$F30,0,COLUMN(Database!AF30)*2-12)</f>
        <v>&lt;0.05</v>
      </c>
      <c r="AJ30" s="8">
        <f ca="1">OFFSET(Database!$F30,0,COLUMN(Database!AG30)*2-12)</f>
        <v>0.02</v>
      </c>
      <c r="AK30" s="8">
        <f ca="1">OFFSET(Database!$F30,0,COLUMN(Database!AH30)*2-12)</f>
        <v>0.03</v>
      </c>
      <c r="AL30" s="8" t="str">
        <f ca="1">OFFSET(Database!$F30,0,COLUMN(Database!AI30)*2-12)</f>
        <v>&lt;0.01</v>
      </c>
      <c r="AM30" s="8">
        <f ca="1">OFFSET(Database!$F30,0,COLUMN(Database!AJ30)*2-12)</f>
        <v>0.26</v>
      </c>
      <c r="AN30" s="8">
        <f ca="1">OFFSET(Database!$F30,0,COLUMN(Database!AK30)*2-12)</f>
        <v>0.3</v>
      </c>
      <c r="AO30" s="8">
        <f ca="1">OFFSET(Database!$F30,0,COLUMN(Database!AL30)*2-12)</f>
        <v>1.7552366175329712</v>
      </c>
      <c r="AP30" s="8">
        <f ca="1">OFFSET(Database!$F30,0,COLUMN(Database!AM30)*2-12)</f>
        <v>2.1</v>
      </c>
      <c r="AQ30" s="8">
        <f ca="1">OFFSET(Database!$F30,0,COLUMN(Database!AN30)*2-12)</f>
        <v>0.01</v>
      </c>
      <c r="AR30" s="8" t="str">
        <f ca="1">OFFSET(Database!$F30,0,COLUMN(Database!AO30)*2-12)</f>
        <v>&lt;0.01</v>
      </c>
      <c r="AS30" s="8">
        <f ca="1">OFFSET(Database!$F30,0,COLUMN(Database!AP30)*2-12)</f>
        <v>3.2971295577967415E-2</v>
      </c>
      <c r="AT30" s="8">
        <f ca="1">OFFSET(Database!$F30,0,COLUMN(Database!AQ30)*2-12)</f>
        <v>3.8789759503491078E-3</v>
      </c>
      <c r="AU30" s="8">
        <f ca="1">OFFSET(Database!$F30,0,COLUMN(Database!AR30)*2-12)</f>
        <v>4.8487199379363844E-3</v>
      </c>
      <c r="AV30" s="8">
        <f ca="1">OFFSET(Database!$F30,0,COLUMN(Database!AS30)*2-12)</f>
        <v>1.1636927851047323E-2</v>
      </c>
      <c r="AW30" s="8">
        <f ca="1">OFFSET(Database!$F30,0,COLUMN(Database!AT30)*2-12)</f>
        <v>1.9394879751745539E-3</v>
      </c>
      <c r="AX30" s="8">
        <f ca="1">OFFSET(Database!$F30,0,COLUMN(Database!AU30)*2-12)</f>
        <v>4.5577967416602014E-2</v>
      </c>
      <c r="AY30" s="8">
        <f ca="1">OFFSET(Database!$F30,0,COLUMN(Database!AV30)*2-12)</f>
        <v>2.9092319627618307E-3</v>
      </c>
      <c r="AZ30" s="8" t="str">
        <f ca="1">OFFSET(Database!$F30,0,COLUMN(Database!AW30)*2-12)</f>
        <v>&lt;0.001</v>
      </c>
      <c r="BA30" s="8" t="str">
        <f ca="1">OFFSET(Database!$F30,0,COLUMN(Database!AX30)*2-12)</f>
        <v>&lt;0.001</v>
      </c>
      <c r="BB30" s="8" t="str">
        <f ca="1">OFFSET(Database!$F30,0,COLUMN(Database!AY30)*2-12)</f>
        <v>&lt;0.001</v>
      </c>
      <c r="BC30" s="8">
        <f ca="1">OFFSET(Database!$F30,0,COLUMN(Database!AZ30)*2-12)</f>
        <v>2.9092319627618307E-3</v>
      </c>
      <c r="BD30" s="8">
        <f ca="1">OFFSET(Database!$F30,0,COLUMN(Database!BA30)*2-12)</f>
        <v>4.9456943366951119E-2</v>
      </c>
      <c r="BE30" s="8" t="str">
        <f ca="1">OFFSET(Database!$F30,0,COLUMN(Database!BB30)*2-12)</f>
        <v>&lt;0.001</v>
      </c>
      <c r="BF30" s="8">
        <f ca="1">OFFSET(Database!$F30,0,COLUMN(Database!BC30)*2-12)</f>
        <v>1.3576415826221875E-2</v>
      </c>
      <c r="BG30" s="8">
        <f ca="1">OFFSET(Database!$F30,0,COLUMN(Database!BD30)*2-12)</f>
        <v>1.7455391776570985E-2</v>
      </c>
      <c r="BH30" s="8" t="str">
        <f ca="1">OFFSET(Database!$F30,0,COLUMN(Database!BE30)*2-12)</f>
        <v>n.r.</v>
      </c>
      <c r="BI30" s="8" t="str">
        <f ca="1">OFFSET(Database!$F30,0,COLUMN(Database!BF30)*2-12)</f>
        <v>n.r.</v>
      </c>
      <c r="BJ30" s="8">
        <f ca="1">OFFSET(Database!$F30,0,COLUMN(Database!BG30)*2-12)</f>
        <v>1.1152055857253684</v>
      </c>
      <c r="BK30" s="8">
        <f ca="1">OFFSET(Database!$F30,0,COLUMN(Database!BH30)*2-12)</f>
        <v>3.655934833204034</v>
      </c>
      <c r="BL30" s="8">
        <f ca="1">OFFSET(Database!$F30,0,COLUMN(Database!BI30)*2-12)</f>
        <v>4.0341349883630722</v>
      </c>
      <c r="BM30" s="8" t="str">
        <f ca="1">OFFSET(Database!$F30,0,COLUMN(Database!BJ30)*2-12)</f>
        <v>&lt;0.001</v>
      </c>
      <c r="BN30" s="8">
        <f ca="1">OFFSET(Database!$F30,0,COLUMN(Database!BK30)*2-12)</f>
        <v>0.29092319627618307</v>
      </c>
      <c r="BO30" s="8">
        <f ca="1">OFFSET(Database!$F30,0,COLUMN(Database!BL30)*2-12)</f>
        <v>3.5880527540729248E-2</v>
      </c>
      <c r="BP30" s="8">
        <f ca="1">OFFSET(Database!$F30,0,COLUMN(Database!BM30)*2-12)</f>
        <v>1.5515903801396431E-2</v>
      </c>
      <c r="BQ30" s="8" t="str">
        <f ca="1">OFFSET(Database!$F30,0,COLUMN(Database!BN30)*2-12)</f>
        <v>&lt;0.002</v>
      </c>
      <c r="BR30" s="8" t="str">
        <f ca="1">OFFSET(Database!$F30,0,COLUMN(Database!BO30)*2-12)</f>
        <v>&lt;0.001</v>
      </c>
      <c r="BS30" s="8" t="str">
        <f ca="1">OFFSET(Database!$F30,0,COLUMN(Database!BP30)*2-12)</f>
        <v>&lt;0.001</v>
      </c>
      <c r="BT30" s="8">
        <f ca="1">OFFSET(Database!$F30,0,COLUMN(Database!BQ30)*2-12)</f>
        <v>9.6974398758727695E-4</v>
      </c>
      <c r="BU30" s="8">
        <f ca="1">OFFSET(Database!$F30,0,COLUMN(Database!BR30)*2-12)</f>
        <v>9.6974398758727695E-4</v>
      </c>
      <c r="BV30" s="8" t="str">
        <f ca="1">OFFSET(Database!$F30,0,COLUMN(Database!BS30)*2-12)</f>
        <v>&lt;0.001</v>
      </c>
      <c r="BW30" s="8" t="str">
        <f ca="1">OFFSET(Database!$F30,0,COLUMN(Database!BT30)*2-12)</f>
        <v>&lt;0.0001</v>
      </c>
      <c r="BX30" s="8" t="str">
        <f ca="1">OFFSET(Database!$F30,0,COLUMN(Database!BU30)*2-12)</f>
        <v>&lt;0.0001</v>
      </c>
      <c r="BY30" s="8" t="str">
        <f ca="1">OFFSET(Database!$F30,0,COLUMN(Database!BV30)*2-12)</f>
        <v>&lt;0.0001</v>
      </c>
      <c r="BZ30" s="8" t="str">
        <f ca="1">OFFSET(Database!$F30,0,COLUMN(Database!BW30)*2-12)</f>
        <v>n.r.</v>
      </c>
      <c r="CA30" s="8" t="str">
        <f ca="1">OFFSET(Database!$F30,0,COLUMN(Database!BX30)*2-12)</f>
        <v>n.r.</v>
      </c>
      <c r="CB30" s="8">
        <f ca="1">OFFSET(Database!$F30,0,COLUMN(Database!BY30)*2-12)</f>
        <v>5.8184639255236615E-3</v>
      </c>
      <c r="CC30" s="8">
        <f ca="1">OFFSET(Database!$F30,0,COLUMN(Database!BZ30)*2-12)</f>
        <v>3.7820015515903797E-2</v>
      </c>
      <c r="CD30" s="8" t="str">
        <f ca="1">OFFSET(Database!$F30,0,COLUMN(Database!CA30)*2-12)</f>
        <v>&lt;0.0010</v>
      </c>
      <c r="CE30" s="8">
        <f ca="1">OFFSET(Database!$F30,0,COLUMN(Database!CB30)*2-12)</f>
        <v>9.6974398758727695E-4</v>
      </c>
      <c r="CF30" s="8">
        <f ca="1">OFFSET(Database!$F30,0,COLUMN(Database!CC30)*2-12)</f>
        <v>3.8789759503491078E-3</v>
      </c>
      <c r="CG30" s="8" t="str">
        <f ca="1">OFFSET(Database!$F30,0,COLUMN(Database!CD30)*2-12)</f>
        <v>&lt;0.0097</v>
      </c>
      <c r="CH30" s="8" t="str">
        <f ca="1">OFFSET(Database!$F30,0,COLUMN(Database!CE30)*2-12)</f>
        <v>&lt;0.0097</v>
      </c>
      <c r="CI30" s="8">
        <f ca="1">OFFSET(Database!$F30,0,COLUMN(Database!CF30)*2-12)</f>
        <v>1.7455391776570985E-2</v>
      </c>
      <c r="CJ30" s="8">
        <f ca="1">OFFSET(Database!$F30,0,COLUMN(Database!CG30)*2-12)</f>
        <v>3.7820015515903797E-2</v>
      </c>
      <c r="CK30" s="8">
        <f ca="1">OFFSET(Database!$F30,0,COLUMN(Database!CH30)*2-12)</f>
        <v>1.2606671838634601E-2</v>
      </c>
      <c r="CL30" s="8">
        <f ca="1">OFFSET(Database!$F30,0,COLUMN(Database!CI30)*2-12)</f>
        <v>2.8122575640031029E-2</v>
      </c>
      <c r="CM30" s="8">
        <f ca="1">OFFSET(Database!$F30,0,COLUMN(Database!CJ30)*2-12)</f>
        <v>4.8487199379363844E-3</v>
      </c>
      <c r="CN30" s="8">
        <f ca="1">OFFSET(Database!$F30,0,COLUMN(Database!CK30)*2-12)</f>
        <v>1.0667183863460047E-2</v>
      </c>
      <c r="CO30" s="8">
        <f ca="1">OFFSET(Database!$F30,0,COLUMN(Database!CL30)*2-12)</f>
        <v>6.7882079131109377E-3</v>
      </c>
      <c r="CP30" s="8" t="str">
        <f ca="1">OFFSET(Database!$F30,0,COLUMN(Database!CM30)*2-12)</f>
        <v>&lt;0.1</v>
      </c>
      <c r="CQ30" s="8" t="str">
        <f ca="1">OFFSET(Database!$F30,0,COLUMN(Database!CN30)*2-12)</f>
        <v>&lt;0.1</v>
      </c>
      <c r="CR30" s="8" t="str">
        <f ca="1">OFFSET(Database!$F30,0,COLUMN(Database!CO30)*2-12)</f>
        <v>&lt;0.1</v>
      </c>
      <c r="CS30" s="8" t="str">
        <f ca="1">OFFSET(Database!$F30,0,COLUMN(Database!CP30)*2-12)</f>
        <v>&lt;0.1</v>
      </c>
      <c r="CT30" s="8" t="str">
        <f ca="1">OFFSET(Database!$F30,0,COLUMN(Database!CQ30)*2-12)</f>
        <v>&lt;0.1</v>
      </c>
      <c r="CU30" s="8" t="str">
        <f ca="1">OFFSET(Database!$F30,0,COLUMN(Database!CR30)*2-12)</f>
        <v>&lt;0.1</v>
      </c>
      <c r="CV30" s="8" t="str">
        <f ca="1">OFFSET(Database!$F30,0,COLUMN(Database!CS30)*2-12)</f>
        <v>&lt;0.1</v>
      </c>
      <c r="CW30" s="8" t="str">
        <f ca="1">OFFSET(Database!$F30,0,COLUMN(Database!CT30)*2-12)</f>
        <v>&lt;0.1</v>
      </c>
      <c r="CX30" s="8" t="str">
        <f ca="1">OFFSET(Database!$F30,0,COLUMN(Database!CU30)*2-12)</f>
        <v>&lt;0.1</v>
      </c>
      <c r="CY30" s="8" t="str">
        <f ca="1">OFFSET(Database!$F30,0,COLUMN(Database!CV30)*2-12)</f>
        <v>&lt;0.1</v>
      </c>
      <c r="CZ30" s="8" t="str">
        <f ca="1">OFFSET(Database!$F30,0,COLUMN(Database!CW30)*2-12)</f>
        <v>&lt;0.1</v>
      </c>
      <c r="DA30" s="8">
        <f ca="1">OFFSET(Database!$F30,0,COLUMN(Database!CX30)*2-12)</f>
        <v>0.14000000000000001</v>
      </c>
      <c r="DB30" s="8">
        <f ca="1">OFFSET(Database!$F30,0,COLUMN(Database!CY30)*2-12)</f>
        <v>0.32</v>
      </c>
      <c r="DC30" s="8">
        <f ca="1">OFFSET(Database!$F30,0,COLUMN(Database!CZ30)*2-12)</f>
        <v>0.36</v>
      </c>
      <c r="DD30" s="8">
        <f ca="1">OFFSET(Database!$F30,0,COLUMN(Database!DA30)*2-12)</f>
        <v>0.53</v>
      </c>
      <c r="DE30" s="8" t="str">
        <f ca="1">OFFSET(Database!$F30,0,COLUMN(Database!DB30)*2-12)</f>
        <v>&lt;0.0388</v>
      </c>
      <c r="DF30" s="8" t="str">
        <f ca="1">OFFSET(Database!$F30,0,COLUMN(Database!DC30)*2-12)</f>
        <v>n.r.</v>
      </c>
      <c r="DG30" s="8" t="str">
        <f ca="1">OFFSET(Database!$F30,0,COLUMN(Database!DD30)*2-12)</f>
        <v>n.r.</v>
      </c>
      <c r="DH30" s="8" t="str">
        <f ca="1">OFFSET(Database!$F30,0,COLUMN(Database!DE30)*2-12)</f>
        <v>n.r.</v>
      </c>
      <c r="DI30" s="8" t="str">
        <f ca="1">OFFSET(Database!$F30,0,COLUMN(Database!DF30)*2-12)</f>
        <v>n.r.</v>
      </c>
      <c r="DJ30" s="8" t="str">
        <f ca="1">OFFSET(Database!$F30,0,COLUMN(Database!DG30)*2-12)</f>
        <v>n.r.</v>
      </c>
      <c r="DK30" s="8" t="str">
        <f ca="1">OFFSET(Database!$F30,0,COLUMN(Database!DH30)*2-12)</f>
        <v>n.r.</v>
      </c>
      <c r="DL30" s="8" t="str">
        <f ca="1">OFFSET(Database!$F30,0,COLUMN(Database!DI30)*2-12)</f>
        <v>n.r.</v>
      </c>
      <c r="DM30" s="8" t="str">
        <f ca="1">OFFSET(Database!$F30,0,COLUMN(Database!DJ30)*2-12)</f>
        <v>n.r.</v>
      </c>
      <c r="DN30" s="8" t="str">
        <f ca="1">OFFSET(Database!$F30,0,COLUMN(Database!DK30)*2-12)</f>
        <v>n.r.</v>
      </c>
      <c r="DO30" s="8" t="str">
        <f ca="1">OFFSET(Database!$F30,0,COLUMN(Database!DL30)*2-12)</f>
        <v>n.r.</v>
      </c>
      <c r="DP30" s="8" t="str">
        <f ca="1">OFFSET(Database!$F30,0,COLUMN(Database!DM30)*2-12)</f>
        <v>n.r.</v>
      </c>
      <c r="DQ30" s="8" t="str">
        <f ca="1">OFFSET(Database!$F30,0,COLUMN(Database!DN30)*2-12)</f>
        <v>n.r.</v>
      </c>
      <c r="DR30" s="8" t="str">
        <f ca="1">OFFSET(Database!$F30,0,COLUMN(Database!DO30)*2-12)</f>
        <v>n.r.</v>
      </c>
      <c r="DS30" s="8" t="str">
        <f ca="1">OFFSET(Database!$F30,0,COLUMN(Database!DP30)*2-12)</f>
        <v>n.r.</v>
      </c>
      <c r="DT30" s="8" t="str">
        <f ca="1">OFFSET(Database!$F30,0,COLUMN(Database!DQ30)*2-12)</f>
        <v>n.r.</v>
      </c>
      <c r="DU30" s="8">
        <f ca="1">OFFSET(Database!$F30,0,COLUMN(Database!DR30)*2-12)</f>
        <v>2.3E-2</v>
      </c>
      <c r="DV30" s="8" t="str">
        <f ca="1">OFFSET(Database!$F30,0,COLUMN(Database!DS30)*2-12)</f>
        <v>n.dt.</v>
      </c>
      <c r="DW30" s="8" t="str">
        <f ca="1">OFFSET(Database!$F30,0,COLUMN(Database!DT30)*2-12)</f>
        <v>n.r.</v>
      </c>
      <c r="DX30" s="8" t="str">
        <f ca="1">OFFSET(Database!$F30,0,COLUMN(Database!DU30)*2-12)</f>
        <v>n.r.</v>
      </c>
      <c r="DY30" s="8" t="str">
        <f ca="1">OFFSET(Database!$F30,0,COLUMN(Database!DV30)*2-12)</f>
        <v>n.r.</v>
      </c>
      <c r="DZ30" s="8" t="str">
        <f ca="1">OFFSET(Database!$F30,0,COLUMN(Database!DW30)*2-12)</f>
        <v>n.r.</v>
      </c>
      <c r="EA30" s="8" t="str">
        <f ca="1">OFFSET(Database!$F30,0,COLUMN(Database!DX30)*2-12)</f>
        <v>n.r.</v>
      </c>
      <c r="EB30" s="8" t="str">
        <f ca="1">OFFSET(Database!$F30,0,COLUMN(Database!DY30)*2-12)</f>
        <v>n.r.</v>
      </c>
      <c r="EC30" s="8" t="str">
        <f ca="1">OFFSET(Database!$F30,0,COLUMN(Database!DZ30)*2-12)</f>
        <v>n.r.</v>
      </c>
      <c r="ED30" s="8" t="str">
        <f ca="1">OFFSET(Database!$F30,0,COLUMN(Database!EA30)*2-12)</f>
        <v>n.r</v>
      </c>
      <c r="EE30" s="8" t="str">
        <f ca="1">OFFSET(Database!$F30,0,COLUMN(Database!EB30)*2-12)</f>
        <v>n.r.</v>
      </c>
      <c r="EF30" s="8" t="str">
        <f ca="1">OFFSET(Database!$F30,0,COLUMN(Database!EC30)*2-12)</f>
        <v>n.r.</v>
      </c>
      <c r="EG30" s="8" t="str">
        <f ca="1">OFFSET(Database!$F30,0,COLUMN(Database!ED30)*2-12)</f>
        <v>n.r.</v>
      </c>
      <c r="EH30" s="8" t="str">
        <f ca="1">OFFSET(Database!$F30,0,COLUMN(Database!EE30)*2-12)</f>
        <v>n.r.</v>
      </c>
      <c r="EI30" s="8" t="str">
        <f ca="1">OFFSET(Database!$F30,0,COLUMN(Database!EF30)*2-12)</f>
        <v>n.r.</v>
      </c>
      <c r="EJ30" s="8" t="str">
        <f ca="1">OFFSET(Database!$F30,0,COLUMN(Database!EG30)*2-12)</f>
        <v>n.r.</v>
      </c>
      <c r="EK30" s="8" t="str">
        <f ca="1">OFFSET(Database!$F30,0,COLUMN(Database!EH30)*2-12)</f>
        <v>n.r.</v>
      </c>
      <c r="EL30" s="8" t="str">
        <f ca="1">OFFSET(Database!$F30,0,COLUMN(Database!EI30)*2-12)</f>
        <v>n.r.</v>
      </c>
      <c r="EM30" s="8" t="str">
        <f ca="1">OFFSET(Database!$F30,0,COLUMN(Database!EJ30)*2-12)</f>
        <v>n.r.</v>
      </c>
      <c r="EN30" s="8" t="str">
        <f ca="1">OFFSET(Database!$F30,0,COLUMN(Database!EK30)*2-12)</f>
        <v>n.r.</v>
      </c>
      <c r="EO30" s="8" t="str">
        <f ca="1">OFFSET(Database!$F30,0,COLUMN(Database!EL30)*2-12)</f>
        <v>n.r.</v>
      </c>
      <c r="EP30" s="8" t="str">
        <f ca="1">OFFSET(Database!$F30,0,COLUMN(Database!EM30)*2-12)</f>
        <v>n.r.</v>
      </c>
      <c r="EQ30" s="8" t="str">
        <f ca="1">OFFSET(Database!$F30,0,COLUMN(Database!EN30)*2-12)</f>
        <v>n.r.</v>
      </c>
      <c r="ER30" s="8" t="str">
        <f ca="1">OFFSET(Database!$F30,0,COLUMN(Database!EO30)*2-12)</f>
        <v>n.r.</v>
      </c>
      <c r="ES30" s="8" t="str">
        <f ca="1">OFFSET(Database!$F30,0,COLUMN(Database!EP30)*2-12)</f>
        <v>n.r.</v>
      </c>
      <c r="ET30" s="8" t="str">
        <f ca="1">OFFSET(Database!$F30,0,COLUMN(Database!EQ30)*2-12)</f>
        <v>n.r.</v>
      </c>
      <c r="EU30" s="8" t="str">
        <f ca="1">OFFSET(Database!$F30,0,COLUMN(Database!ER30)*2-12)</f>
        <v>n.r.</v>
      </c>
      <c r="EV30" s="8" t="str">
        <f ca="1">OFFSET(Database!$F30,0,COLUMN(Database!ES30)*2-12)</f>
        <v>n.r.</v>
      </c>
      <c r="EW30" s="8" t="str">
        <f ca="1">OFFSET(Database!$F30,0,COLUMN(Database!ET30)*2-12)</f>
        <v>n.r.</v>
      </c>
      <c r="EX30" s="8" t="str">
        <f ca="1">OFFSET(Database!$F30,0,COLUMN(Database!EU30)*2-12)</f>
        <v>n.r.</v>
      </c>
      <c r="EY30" s="8" t="str">
        <f ca="1">OFFSET(Database!$F30,0,COLUMN(Database!EV30)*2-12)</f>
        <v>n.r.</v>
      </c>
      <c r="EZ30" s="8" t="str">
        <f ca="1">OFFSET(Database!$F30,0,COLUMN(Database!EW30)*2-12)</f>
        <v>n.r.</v>
      </c>
      <c r="FA30" s="8" t="str">
        <f ca="1">OFFSET(Database!$F30,0,COLUMN(Database!EX30)*2-12)</f>
        <v>n.r.</v>
      </c>
      <c r="FB30" s="8" t="str">
        <f ca="1">OFFSET(Database!$F30,0,COLUMN(Database!EY30)*2-12)</f>
        <v>n.r.</v>
      </c>
      <c r="FC30" s="8" t="str">
        <f ca="1">OFFSET(Database!$F30,0,COLUMN(Database!EZ30)*2-12)</f>
        <v>n.r.</v>
      </c>
      <c r="FD30" s="8" t="str">
        <f ca="1">OFFSET(Database!$F30,0,COLUMN(Database!FA30)*2-12)</f>
        <v>n.r.</v>
      </c>
      <c r="FE30" s="8" t="str">
        <f ca="1">OFFSET(Database!$F30,0,COLUMN(Database!FB30)*2-12)</f>
        <v>n.r.</v>
      </c>
      <c r="FF30" s="8" t="str">
        <f ca="1">OFFSET(Database!$F30,0,COLUMN(Database!FC30)*2-12)</f>
        <v>n.r.</v>
      </c>
      <c r="FG30" s="8" t="str">
        <f ca="1">OFFSET(Database!$F30,0,COLUMN(Database!FD30)*2-12)</f>
        <v>n.r.</v>
      </c>
      <c r="FH30" s="8" t="str">
        <f ca="1">OFFSET(Database!$F30,0,COLUMN(Database!FE30)*2-12)</f>
        <v>n.r.</v>
      </c>
      <c r="FI30" s="8" t="str">
        <f ca="1">OFFSET(Database!$F30,0,COLUMN(Database!FF30)*2-12)</f>
        <v>n.r.</v>
      </c>
      <c r="FJ30" s="8" t="str">
        <f ca="1">OFFSET(Database!$F30,0,COLUMN(Database!FG30)*2-12)</f>
        <v>n.r.</v>
      </c>
      <c r="FK30" s="8" t="str">
        <f ca="1">OFFSET(Database!$F30,0,COLUMN(Database!FH30)*2-12)</f>
        <v>n.r.</v>
      </c>
      <c r="FL30" s="8" t="str">
        <f ca="1">OFFSET(Database!$F30,0,COLUMN(Database!FI30)*2-12)</f>
        <v>n.r.</v>
      </c>
      <c r="FM30" s="8" t="str">
        <f ca="1">OFFSET(Database!$F30,0,COLUMN(Database!FJ30)*2-12)</f>
        <v>n.r.</v>
      </c>
      <c r="FN30" s="8" t="str">
        <f ca="1">OFFSET(Database!$F30,0,COLUMN(Database!FK30)*2-12)</f>
        <v>n.r.</v>
      </c>
      <c r="FO30" s="8" t="str">
        <f ca="1">OFFSET(Database!$F30,0,COLUMN(Database!FL30)*2-12)</f>
        <v>n.r.</v>
      </c>
      <c r="FP30" s="8" t="str">
        <f ca="1">OFFSET(Database!$F30,0,COLUMN(Database!FM30)*2-12)</f>
        <v>n.r.</v>
      </c>
      <c r="FQ30" s="8" t="str">
        <f ca="1">OFFSET(Database!$F30,0,COLUMN(Database!FN30)*2-12)</f>
        <v>n.r.</v>
      </c>
      <c r="FR30" s="8" t="str">
        <f ca="1">OFFSET(Database!$F30,0,COLUMN(Database!FO30)*2-12)</f>
        <v>n.r.</v>
      </c>
      <c r="FS30" s="8" t="str">
        <f ca="1">OFFSET(Database!$F30,0,COLUMN(Database!FP30)*2-12)</f>
        <v>n.r.</v>
      </c>
      <c r="FT30" s="8" t="str">
        <f ca="1">OFFSET(Database!$F30,0,COLUMN(Database!FQ30)*2-12)</f>
        <v>n.r.</v>
      </c>
      <c r="FU30" s="8" t="str">
        <f ca="1">OFFSET(Database!$F30,0,COLUMN(Database!FR30)*2-12)</f>
        <v>n.r.</v>
      </c>
      <c r="FV30" s="8" t="str">
        <f ca="1">OFFSET(Database!$F30,0,COLUMN(Database!FS30)*2-12)</f>
        <v>n.r.</v>
      </c>
      <c r="FW30" s="8" t="str">
        <f ca="1">OFFSET(Database!$F30,0,COLUMN(Database!FT30)*2-12)</f>
        <v>n.r.</v>
      </c>
      <c r="FX30" s="8" t="str">
        <f ca="1">OFFSET(Database!$F30,0,COLUMN(Database!FU30)*2-12)</f>
        <v>n.r.</v>
      </c>
      <c r="FY30" s="8" t="str">
        <f ca="1">OFFSET(Database!$F30,0,COLUMN(Database!FV30)*2-12)</f>
        <v>n.r.</v>
      </c>
      <c r="FZ30" s="8" t="str">
        <f ca="1">OFFSET(Database!$F30,0,COLUMN(Database!FW30)*2-12)</f>
        <v>n.r.</v>
      </c>
      <c r="GA30" s="8" t="str">
        <f ca="1">OFFSET(Database!$F30,0,COLUMN(Database!FX30)*2-12)</f>
        <v>n.r.</v>
      </c>
      <c r="GB30" s="8" t="str">
        <f ca="1">OFFSET(Database!$F30,0,COLUMN(Database!FY30)*2-12)</f>
        <v>n.r.</v>
      </c>
      <c r="GC30" s="8" t="str">
        <f ca="1">OFFSET(Database!$F30,0,COLUMN(Database!FZ30)*2-12)</f>
        <v>n.r.</v>
      </c>
      <c r="GD30" s="8" t="str">
        <f ca="1">OFFSET(Database!$F30,0,COLUMN(Database!GA30)*2-12)</f>
        <v>n.r.</v>
      </c>
      <c r="GE30" s="8" t="str">
        <f ca="1">OFFSET(Database!$F30,0,COLUMN(Database!GB30)*2-12)</f>
        <v>n.r.</v>
      </c>
      <c r="GF30" s="8" t="str">
        <f ca="1">OFFSET(Database!$F30,0,COLUMN(Database!GC30)*2-12)</f>
        <v>n.r.</v>
      </c>
      <c r="GG30" s="8" t="str">
        <f ca="1">OFFSET(Database!$F30,0,COLUMN(Database!GD30)*2-12)</f>
        <v>n.r.</v>
      </c>
      <c r="GH30" s="8" t="str">
        <f ca="1">OFFSET(Database!$F30,0,COLUMN(Database!GE30)*2-12)</f>
        <v>n.r.</v>
      </c>
      <c r="GI30" s="8" t="str">
        <f ca="1">OFFSET(Database!$F30,0,COLUMN(Database!GF30)*2-12)</f>
        <v>n.r.</v>
      </c>
      <c r="GJ30" s="8" t="str">
        <f ca="1">OFFSET(Database!$F30,0,COLUMN(Database!GG30)*2-12)</f>
        <v>n.r.</v>
      </c>
      <c r="GK30" s="8" t="str">
        <f ca="1">OFFSET(Database!$F30,0,COLUMN(Database!GH30)*2-12)</f>
        <v>n.r.</v>
      </c>
      <c r="GL30" s="8" t="str">
        <f ca="1">OFFSET(Database!$F30,0,COLUMN(Database!GI30)*2-12)</f>
        <v>n.r.</v>
      </c>
      <c r="GM30" s="8" t="str">
        <f ca="1">OFFSET(Database!$F30,0,COLUMN(Database!GJ30)*2-12)</f>
        <v>n.r.</v>
      </c>
      <c r="GN30" s="8" t="str">
        <f ca="1">OFFSET(Database!$F30,0,COLUMN(Database!GK30)*2-12)</f>
        <v>n.r.</v>
      </c>
      <c r="GO30" s="8">
        <f ca="1">OFFSET(Database!$F30,0,COLUMN(Database!GL30)*2-12)</f>
        <v>232.73855702094647</v>
      </c>
      <c r="GP30" s="8">
        <f ca="1">OFFSET(Database!$F30,0,COLUMN(Database!GM30)*2-12)</f>
        <v>397.59503491078351</v>
      </c>
    </row>
    <row r="31" spans="1:198" x14ac:dyDescent="0.2">
      <c r="A31" s="50" t="str">
        <f>Database!A31</f>
        <v>β-aminobutyric acid</v>
      </c>
      <c r="B31" s="32" t="s">
        <v>890</v>
      </c>
      <c r="C31" s="4" t="str">
        <f>Database!B31</f>
        <v>β</v>
      </c>
      <c r="D31" s="4" t="str">
        <f>Database!C31</f>
        <v>Both</v>
      </c>
      <c r="E31" s="74">
        <f>Database!D31</f>
        <v>5</v>
      </c>
      <c r="F31" s="32" t="s">
        <v>1059</v>
      </c>
      <c r="G31" s="1" t="s">
        <v>1133</v>
      </c>
      <c r="H31" s="1">
        <f>Database!E31</f>
        <v>103.12</v>
      </c>
      <c r="I31" s="8" t="str">
        <f ca="1">OFFSET(Database!$F31,0,COLUMN(Database!F31)*2-12)</f>
        <v>n.r.</v>
      </c>
      <c r="J31" s="8" t="str">
        <f ca="1">OFFSET(Database!$F31,0,COLUMN(Database!G31)*2-12)</f>
        <v>n.r.</v>
      </c>
      <c r="K31" s="8" t="str">
        <f ca="1">OFFSET(Database!$F31,0,COLUMN(Database!H31)*2-12)</f>
        <v>n.r.</v>
      </c>
      <c r="L31" s="8" t="str">
        <f ca="1">OFFSET(Database!$F31,0,COLUMN(Database!I31)*2-12)</f>
        <v>n.r.</v>
      </c>
      <c r="M31" s="8" t="str">
        <f ca="1">OFFSET(Database!$F31,0,COLUMN(Database!J31)*2-12)</f>
        <v>n.r.</v>
      </c>
      <c r="N31" s="8">
        <f ca="1">OFFSET(Database!$F31,0,COLUMN(Database!K31)*2-12)</f>
        <v>0.4751745539177657</v>
      </c>
      <c r="O31" s="8" t="str">
        <f ca="1">OFFSET(Database!$F31,0,COLUMN(Database!L31)*2-12)</f>
        <v>n.r.</v>
      </c>
      <c r="P31" s="8" t="str">
        <f ca="1">OFFSET(Database!$F31,0,COLUMN(Database!M31)*2-12)</f>
        <v>n.r.</v>
      </c>
      <c r="Q31" s="8" t="str">
        <f ca="1">OFFSET(Database!$F31,0,COLUMN(Database!N31)*2-12)</f>
        <v>n.r.</v>
      </c>
      <c r="R31" s="8">
        <f ca="1">OFFSET(Database!$F31,0,COLUMN(Database!O31)*2-12)</f>
        <v>58.1</v>
      </c>
      <c r="S31" s="8">
        <f ca="1">OFFSET(Database!$F31,0,COLUMN(Database!P31)*2-12)</f>
        <v>30.003878975950347</v>
      </c>
      <c r="T31" s="8" t="str">
        <f ca="1">OFFSET(Database!$F31,0,COLUMN(Database!Q31)*2-12)</f>
        <v>n.r.</v>
      </c>
      <c r="U31" s="8" t="str">
        <f ca="1">OFFSET(Database!$F31,0,COLUMN(Database!R31)*2-12)</f>
        <v>n.r.</v>
      </c>
      <c r="V31" s="8" t="str">
        <f ca="1">OFFSET(Database!$F31,0,COLUMN(Database!S31)*2-12)</f>
        <v>n.r.</v>
      </c>
      <c r="W31" s="8" t="str">
        <f ca="1">OFFSET(Database!$F31,0,COLUMN(Database!T31)*2-12)</f>
        <v>n.r.</v>
      </c>
      <c r="X31" s="8" t="str">
        <f ca="1">OFFSET(Database!$F31,0,COLUMN(Database!U31)*2-12)</f>
        <v>n.r.</v>
      </c>
      <c r="Y31" s="8" t="str">
        <f ca="1">OFFSET(Database!$F31,0,COLUMN(Database!V31)*2-12)</f>
        <v>n.r.</v>
      </c>
      <c r="Z31" s="8" t="str">
        <f ca="1">OFFSET(Database!$F31,0,COLUMN(Database!W31)*2-12)</f>
        <v>n.r.</v>
      </c>
      <c r="AA31" s="8" t="str">
        <f ca="1">OFFSET(Database!$F31,0,COLUMN(Database!X31)*2-12)</f>
        <v>n.r.</v>
      </c>
      <c r="AB31" s="8" t="str">
        <f ca="1">OFFSET(Database!$F31,0,COLUMN(Database!Y31)*2-12)</f>
        <v>n.r.</v>
      </c>
      <c r="AC31" s="8" t="str">
        <f ca="1">OFFSET(Database!$F31,0,COLUMN(Database!Z31)*2-12)</f>
        <v>n.r.</v>
      </c>
      <c r="AD31" s="8" t="str">
        <f ca="1">OFFSET(Database!$F31,0,COLUMN(Database!AA31)*2-12)</f>
        <v>n.r.</v>
      </c>
      <c r="AE31" s="8" t="str">
        <f ca="1">OFFSET(Database!$F31,0,COLUMN(Database!AB31)*2-12)</f>
        <v>n.r.</v>
      </c>
      <c r="AF31" s="8" t="str">
        <f ca="1">OFFSET(Database!$F31,0,COLUMN(Database!AC31)*2-12)</f>
        <v>n.r.</v>
      </c>
      <c r="AG31" s="8" t="str">
        <f ca="1">OFFSET(Database!$F31,0,COLUMN(Database!AD31)*2-12)</f>
        <v>n.r.</v>
      </c>
      <c r="AH31" s="8">
        <f ca="1">OFFSET(Database!$F31,0,COLUMN(Database!AE31)*2-12)</f>
        <v>2.5</v>
      </c>
      <c r="AI31" s="8" t="str">
        <f ca="1">OFFSET(Database!$F31,0,COLUMN(Database!AF31)*2-12)</f>
        <v>n.r.</v>
      </c>
      <c r="AJ31" s="8" t="str">
        <f ca="1">OFFSET(Database!$F31,0,COLUMN(Database!AG31)*2-12)</f>
        <v>n.r.</v>
      </c>
      <c r="AK31" s="8" t="str">
        <f ca="1">OFFSET(Database!$F31,0,COLUMN(Database!AH31)*2-12)</f>
        <v>n.r.</v>
      </c>
      <c r="AL31" s="8" t="str">
        <f ca="1">OFFSET(Database!$F31,0,COLUMN(Database!AI31)*2-12)</f>
        <v>n.r.</v>
      </c>
      <c r="AM31" s="8" t="str">
        <f ca="1">OFFSET(Database!$F31,0,COLUMN(Database!AJ31)*2-12)</f>
        <v>n.r.</v>
      </c>
      <c r="AN31" s="8" t="str">
        <f ca="1">OFFSET(Database!$F31,0,COLUMN(Database!AK31)*2-12)</f>
        <v>n.r.</v>
      </c>
      <c r="AO31" s="8" t="str">
        <f ca="1">OFFSET(Database!$F31,0,COLUMN(Database!AL31)*2-12)</f>
        <v>n.r.</v>
      </c>
      <c r="AP31" s="8" t="str">
        <f ca="1">OFFSET(Database!$F31,0,COLUMN(Database!AM31)*2-12)</f>
        <v>n.r.</v>
      </c>
      <c r="AQ31" s="8" t="str">
        <f ca="1">OFFSET(Database!$F31,0,COLUMN(Database!AN31)*2-12)</f>
        <v>n.r.</v>
      </c>
      <c r="AR31" s="8" t="str">
        <f ca="1">OFFSET(Database!$F31,0,COLUMN(Database!AO31)*2-12)</f>
        <v>n.r.</v>
      </c>
      <c r="AS31" s="8" t="str">
        <f ca="1">OFFSET(Database!$F31,0,COLUMN(Database!AP31)*2-12)</f>
        <v>n.r.</v>
      </c>
      <c r="AT31" s="8" t="str">
        <f ca="1">OFFSET(Database!$F31,0,COLUMN(Database!AQ31)*2-12)</f>
        <v>n.r.</v>
      </c>
      <c r="AU31" s="8" t="str">
        <f ca="1">OFFSET(Database!$F31,0,COLUMN(Database!AR31)*2-12)</f>
        <v>n.r.</v>
      </c>
      <c r="AV31" s="8" t="str">
        <f ca="1">OFFSET(Database!$F31,0,COLUMN(Database!AS31)*2-12)</f>
        <v>n.r.</v>
      </c>
      <c r="AW31" s="8" t="str">
        <f ca="1">OFFSET(Database!$F31,0,COLUMN(Database!AT31)*2-12)</f>
        <v>n.r.</v>
      </c>
      <c r="AX31" s="8" t="str">
        <f ca="1">OFFSET(Database!$F31,0,COLUMN(Database!AU31)*2-12)</f>
        <v>n.r.</v>
      </c>
      <c r="AY31" s="8" t="str">
        <f ca="1">OFFSET(Database!$F31,0,COLUMN(Database!AV31)*2-12)</f>
        <v>n.r.</v>
      </c>
      <c r="AZ31" s="8" t="str">
        <f ca="1">OFFSET(Database!$F31,0,COLUMN(Database!AW31)*2-12)</f>
        <v>n.r.</v>
      </c>
      <c r="BA31" s="8" t="str">
        <f ca="1">OFFSET(Database!$F31,0,COLUMN(Database!AX31)*2-12)</f>
        <v>n.r.</v>
      </c>
      <c r="BB31" s="8" t="str">
        <f ca="1">OFFSET(Database!$F31,0,COLUMN(Database!AY31)*2-12)</f>
        <v>n.r.</v>
      </c>
      <c r="BC31" s="8" t="str">
        <f ca="1">OFFSET(Database!$F31,0,COLUMN(Database!AZ31)*2-12)</f>
        <v>n.r.</v>
      </c>
      <c r="BD31" s="8" t="str">
        <f ca="1">OFFSET(Database!$F31,0,COLUMN(Database!BA31)*2-12)</f>
        <v>n.r.</v>
      </c>
      <c r="BE31" s="8" t="str">
        <f ca="1">OFFSET(Database!$F31,0,COLUMN(Database!BB31)*2-12)</f>
        <v>n.r.</v>
      </c>
      <c r="BF31" s="8" t="str">
        <f ca="1">OFFSET(Database!$F31,0,COLUMN(Database!BC31)*2-12)</f>
        <v>n.r.</v>
      </c>
      <c r="BG31" s="8" t="str">
        <f ca="1">OFFSET(Database!$F31,0,COLUMN(Database!BD31)*2-12)</f>
        <v>n.r.</v>
      </c>
      <c r="BH31" s="8" t="str">
        <f ca="1">OFFSET(Database!$F31,0,COLUMN(Database!BE31)*2-12)</f>
        <v>n.r.</v>
      </c>
      <c r="BI31" s="8" t="str">
        <f ca="1">OFFSET(Database!$F31,0,COLUMN(Database!BF31)*2-12)</f>
        <v>n.r.</v>
      </c>
      <c r="BJ31" s="8" t="str">
        <f ca="1">OFFSET(Database!$F31,0,COLUMN(Database!BG31)*2-12)</f>
        <v>n.r.</v>
      </c>
      <c r="BK31" s="8" t="str">
        <f ca="1">OFFSET(Database!$F31,0,COLUMN(Database!BH31)*2-12)</f>
        <v>n.r.</v>
      </c>
      <c r="BL31" s="8" t="str">
        <f ca="1">OFFSET(Database!$F31,0,COLUMN(Database!BI31)*2-12)</f>
        <v>n.r.</v>
      </c>
      <c r="BM31" s="8" t="str">
        <f ca="1">OFFSET(Database!$F31,0,COLUMN(Database!BJ31)*2-12)</f>
        <v>n.r.</v>
      </c>
      <c r="BN31" s="8" t="str">
        <f ca="1">OFFSET(Database!$F31,0,COLUMN(Database!BK31)*2-12)</f>
        <v>n.r.</v>
      </c>
      <c r="BO31" s="8" t="str">
        <f ca="1">OFFSET(Database!$F31,0,COLUMN(Database!BL31)*2-12)</f>
        <v>n.r.</v>
      </c>
      <c r="BP31" s="8" t="str">
        <f ca="1">OFFSET(Database!$F31,0,COLUMN(Database!BM31)*2-12)</f>
        <v>n.r.</v>
      </c>
      <c r="BQ31" s="8" t="str">
        <f ca="1">OFFSET(Database!$F31,0,COLUMN(Database!BN31)*2-12)</f>
        <v>n.r.</v>
      </c>
      <c r="BR31" s="8" t="str">
        <f ca="1">OFFSET(Database!$F31,0,COLUMN(Database!BO31)*2-12)</f>
        <v>n.r.</v>
      </c>
      <c r="BS31" s="8" t="str">
        <f ca="1">OFFSET(Database!$F31,0,COLUMN(Database!BP31)*2-12)</f>
        <v>n.r.</v>
      </c>
      <c r="BT31" s="8" t="str">
        <f ca="1">OFFSET(Database!$F31,0,COLUMN(Database!BQ31)*2-12)</f>
        <v>n.r.</v>
      </c>
      <c r="BU31" s="8" t="str">
        <f ca="1">OFFSET(Database!$F31,0,COLUMN(Database!BR31)*2-12)</f>
        <v>n.r.</v>
      </c>
      <c r="BV31" s="8" t="str">
        <f ca="1">OFFSET(Database!$F31,0,COLUMN(Database!BS31)*2-12)</f>
        <v>n.r.</v>
      </c>
      <c r="BW31" s="8" t="str">
        <f ca="1">OFFSET(Database!$F31,0,COLUMN(Database!BT31)*2-12)</f>
        <v>n.r.</v>
      </c>
      <c r="BX31" s="8" t="str">
        <f ca="1">OFFSET(Database!$F31,0,COLUMN(Database!BU31)*2-12)</f>
        <v>n.r.</v>
      </c>
      <c r="BY31" s="8" t="str">
        <f ca="1">OFFSET(Database!$F31,0,COLUMN(Database!BV31)*2-12)</f>
        <v>n.r.</v>
      </c>
      <c r="BZ31" s="8" t="str">
        <f ca="1">OFFSET(Database!$F31,0,COLUMN(Database!BW31)*2-12)</f>
        <v>n.r.</v>
      </c>
      <c r="CA31" s="8" t="str">
        <f ca="1">OFFSET(Database!$F31,0,COLUMN(Database!BX31)*2-12)</f>
        <v>n.r.</v>
      </c>
      <c r="CB31" s="8" t="str">
        <f ca="1">OFFSET(Database!$F31,0,COLUMN(Database!BY31)*2-12)</f>
        <v>n.r.</v>
      </c>
      <c r="CC31" s="8" t="str">
        <f ca="1">OFFSET(Database!$F31,0,COLUMN(Database!BZ31)*2-12)</f>
        <v>n.r.</v>
      </c>
      <c r="CD31" s="8" t="str">
        <f ca="1">OFFSET(Database!$F31,0,COLUMN(Database!CA31)*2-12)</f>
        <v>n.r.</v>
      </c>
      <c r="CE31" s="8" t="str">
        <f ca="1">OFFSET(Database!$F31,0,COLUMN(Database!CB31)*2-12)</f>
        <v>n.r.</v>
      </c>
      <c r="CF31" s="8" t="str">
        <f ca="1">OFFSET(Database!$F31,0,COLUMN(Database!CC31)*2-12)</f>
        <v>n.r.</v>
      </c>
      <c r="CG31" s="8" t="str">
        <f ca="1">OFFSET(Database!$F31,0,COLUMN(Database!CD31)*2-12)</f>
        <v>n.r.</v>
      </c>
      <c r="CH31" s="8" t="str">
        <f ca="1">OFFSET(Database!$F31,0,COLUMN(Database!CE31)*2-12)</f>
        <v>n.r.</v>
      </c>
      <c r="CI31" s="8" t="str">
        <f ca="1">OFFSET(Database!$F31,0,COLUMN(Database!CF31)*2-12)</f>
        <v>n.r.</v>
      </c>
      <c r="CJ31" s="8" t="str">
        <f ca="1">OFFSET(Database!$F31,0,COLUMN(Database!CG31)*2-12)</f>
        <v>n.r.</v>
      </c>
      <c r="CK31" s="8" t="str">
        <f ca="1">OFFSET(Database!$F31,0,COLUMN(Database!CH31)*2-12)</f>
        <v>n.r.</v>
      </c>
      <c r="CL31" s="8" t="str">
        <f ca="1">OFFSET(Database!$F31,0,COLUMN(Database!CI31)*2-12)</f>
        <v>n.r.</v>
      </c>
      <c r="CM31" s="8" t="str">
        <f ca="1">OFFSET(Database!$F31,0,COLUMN(Database!CJ31)*2-12)</f>
        <v>n.r.</v>
      </c>
      <c r="CN31" s="8" t="str">
        <f ca="1">OFFSET(Database!$F31,0,COLUMN(Database!CK31)*2-12)</f>
        <v>n.r.</v>
      </c>
      <c r="CO31" s="8" t="str">
        <f ca="1">OFFSET(Database!$F31,0,COLUMN(Database!CL31)*2-12)</f>
        <v>n.r.</v>
      </c>
      <c r="CP31" s="8" t="str">
        <f ca="1">OFFSET(Database!$F31,0,COLUMN(Database!CM31)*2-12)</f>
        <v>n.r.</v>
      </c>
      <c r="CQ31" s="8" t="str">
        <f ca="1">OFFSET(Database!$F31,0,COLUMN(Database!CN31)*2-12)</f>
        <v>n.r.</v>
      </c>
      <c r="CR31" s="8" t="str">
        <f ca="1">OFFSET(Database!$F31,0,COLUMN(Database!CO31)*2-12)</f>
        <v>n.r.</v>
      </c>
      <c r="CS31" s="8" t="str">
        <f ca="1">OFFSET(Database!$F31,0,COLUMN(Database!CP31)*2-12)</f>
        <v>n.r.</v>
      </c>
      <c r="CT31" s="8" t="str">
        <f ca="1">OFFSET(Database!$F31,0,COLUMN(Database!CQ31)*2-12)</f>
        <v>n.r.</v>
      </c>
      <c r="CU31" s="8" t="str">
        <f ca="1">OFFSET(Database!$F31,0,COLUMN(Database!CR31)*2-12)</f>
        <v>n.r.</v>
      </c>
      <c r="CV31" s="8" t="str">
        <f ca="1">OFFSET(Database!$F31,0,COLUMN(Database!CS31)*2-12)</f>
        <v>n.r.</v>
      </c>
      <c r="CW31" s="8" t="str">
        <f ca="1">OFFSET(Database!$F31,0,COLUMN(Database!CT31)*2-12)</f>
        <v>n.r.</v>
      </c>
      <c r="CX31" s="8" t="str">
        <f ca="1">OFFSET(Database!$F31,0,COLUMN(Database!CU31)*2-12)</f>
        <v>n.r.</v>
      </c>
      <c r="CY31" s="8" t="str">
        <f ca="1">OFFSET(Database!$F31,0,COLUMN(Database!CV31)*2-12)</f>
        <v>n.r.</v>
      </c>
      <c r="CZ31" s="8" t="str">
        <f ca="1">OFFSET(Database!$F31,0,COLUMN(Database!CW31)*2-12)</f>
        <v>n.r.</v>
      </c>
      <c r="DA31" s="8" t="str">
        <f ca="1">OFFSET(Database!$F31,0,COLUMN(Database!CX31)*2-12)</f>
        <v>n.r.</v>
      </c>
      <c r="DB31" s="8" t="str">
        <f ca="1">OFFSET(Database!$F31,0,COLUMN(Database!CY31)*2-12)</f>
        <v>n.r.</v>
      </c>
      <c r="DC31" s="8" t="str">
        <f ca="1">OFFSET(Database!$F31,0,COLUMN(Database!CZ31)*2-12)</f>
        <v>n.r.</v>
      </c>
      <c r="DD31" s="8" t="str">
        <f ca="1">OFFSET(Database!$F31,0,COLUMN(Database!DA31)*2-12)</f>
        <v>n.r.</v>
      </c>
      <c r="DE31" s="8" t="str">
        <f ca="1">OFFSET(Database!$F31,0,COLUMN(Database!DB31)*2-12)</f>
        <v>n.r.</v>
      </c>
      <c r="DF31" s="8" t="str">
        <f ca="1">OFFSET(Database!$F31,0,COLUMN(Database!DC31)*2-12)</f>
        <v>n.r.</v>
      </c>
      <c r="DG31" s="8" t="str">
        <f ca="1">OFFSET(Database!$F31,0,COLUMN(Database!DD31)*2-12)</f>
        <v>n.r.</v>
      </c>
      <c r="DH31" s="8" t="str">
        <f ca="1">OFFSET(Database!$F31,0,COLUMN(Database!DE31)*2-12)</f>
        <v>n.r.</v>
      </c>
      <c r="DI31" s="8" t="str">
        <f ca="1">OFFSET(Database!$F31,0,COLUMN(Database!DF31)*2-12)</f>
        <v>n.r.</v>
      </c>
      <c r="DJ31" s="8" t="str">
        <f ca="1">OFFSET(Database!$F31,0,COLUMN(Database!DG31)*2-12)</f>
        <v>n.r.</v>
      </c>
      <c r="DK31" s="8" t="str">
        <f ca="1">OFFSET(Database!$F31,0,COLUMN(Database!DH31)*2-12)</f>
        <v>n.r.</v>
      </c>
      <c r="DL31" s="8" t="str">
        <f ca="1">OFFSET(Database!$F31,0,COLUMN(Database!DI31)*2-12)</f>
        <v>n.r.</v>
      </c>
      <c r="DM31" s="8" t="str">
        <f ca="1">OFFSET(Database!$F31,0,COLUMN(Database!DJ31)*2-12)</f>
        <v>n.r.</v>
      </c>
      <c r="DN31" s="8" t="str">
        <f ca="1">OFFSET(Database!$F31,0,COLUMN(Database!DK31)*2-12)</f>
        <v>n.r.</v>
      </c>
      <c r="DO31" s="8" t="str">
        <f ca="1">OFFSET(Database!$F31,0,COLUMN(Database!DL31)*2-12)</f>
        <v>n.r.</v>
      </c>
      <c r="DP31" s="8" t="str">
        <f ca="1">OFFSET(Database!$F31,0,COLUMN(Database!DM31)*2-12)</f>
        <v>n.r.</v>
      </c>
      <c r="DQ31" s="8" t="str">
        <f ca="1">OFFSET(Database!$F31,0,COLUMN(Database!DN31)*2-12)</f>
        <v>n.r.</v>
      </c>
      <c r="DR31" s="8" t="str">
        <f ca="1">OFFSET(Database!$F31,0,COLUMN(Database!DO31)*2-12)</f>
        <v>n.r.</v>
      </c>
      <c r="DS31" s="8" t="str">
        <f ca="1">OFFSET(Database!$F31,0,COLUMN(Database!DP31)*2-12)</f>
        <v>n.r.</v>
      </c>
      <c r="DT31" s="8" t="str">
        <f ca="1">OFFSET(Database!$F31,0,COLUMN(Database!DQ31)*2-12)</f>
        <v>n.r.</v>
      </c>
      <c r="DU31" s="8" t="str">
        <f ca="1">OFFSET(Database!$F31,0,COLUMN(Database!DR31)*2-12)</f>
        <v>n.r.</v>
      </c>
      <c r="DV31" s="8" t="str">
        <f ca="1">OFFSET(Database!$F31,0,COLUMN(Database!DS31)*2-12)</f>
        <v>n.r.</v>
      </c>
      <c r="DW31" s="8" t="str">
        <f ca="1">OFFSET(Database!$F31,0,COLUMN(Database!DT31)*2-12)</f>
        <v>b.b.</v>
      </c>
      <c r="DX31" s="8" t="str">
        <f ca="1">OFFSET(Database!$F31,0,COLUMN(Database!DU31)*2-12)</f>
        <v>n.dt.</v>
      </c>
      <c r="DY31" s="8" t="str">
        <f ca="1">OFFSET(Database!$F31,0,COLUMN(Database!DV31)*2-12)</f>
        <v>n.dt.</v>
      </c>
      <c r="DZ31" s="8">
        <f ca="1">OFFSET(Database!$F31,0,COLUMN(Database!DW31)*2-12)</f>
        <v>0.1</v>
      </c>
      <c r="EA31" s="8" t="str">
        <f ca="1">OFFSET(Database!$F31,0,COLUMN(Database!DX31)*2-12)</f>
        <v>n.dt.</v>
      </c>
      <c r="EB31" s="8" t="str">
        <f ca="1">OFFSET(Database!$F31,0,COLUMN(Database!DY31)*2-12)</f>
        <v>n.r.</v>
      </c>
      <c r="EC31" s="8" t="str">
        <f ca="1">OFFSET(Database!$F31,0,COLUMN(Database!DZ31)*2-12)</f>
        <v>n.r.</v>
      </c>
      <c r="ED31" s="8" t="str">
        <f ca="1">OFFSET(Database!$F31,0,COLUMN(Database!EA31)*2-12)</f>
        <v>n.r.</v>
      </c>
      <c r="EE31" s="8" t="str">
        <f ca="1">OFFSET(Database!$F31,0,COLUMN(Database!EB31)*2-12)</f>
        <v>n.r.</v>
      </c>
      <c r="EF31" s="8" t="str">
        <f ca="1">OFFSET(Database!$F31,0,COLUMN(Database!EC31)*2-12)</f>
        <v>n.r.</v>
      </c>
      <c r="EG31" s="8" t="str">
        <f ca="1">OFFSET(Database!$F31,0,COLUMN(Database!ED31)*2-12)</f>
        <v>n.r.</v>
      </c>
      <c r="EH31" s="8" t="str">
        <f ca="1">OFFSET(Database!$F31,0,COLUMN(Database!EE31)*2-12)</f>
        <v>n.r.</v>
      </c>
      <c r="EI31" s="8" t="str">
        <f ca="1">OFFSET(Database!$F31,0,COLUMN(Database!EF31)*2-12)</f>
        <v>n.r.</v>
      </c>
      <c r="EJ31" s="8" t="str">
        <f ca="1">OFFSET(Database!$F31,0,COLUMN(Database!EG31)*2-12)</f>
        <v>n.r.</v>
      </c>
      <c r="EK31" s="8" t="str">
        <f ca="1">OFFSET(Database!$F31,0,COLUMN(Database!EH31)*2-12)</f>
        <v>n.r.</v>
      </c>
      <c r="EL31" s="8" t="str">
        <f ca="1">OFFSET(Database!$F31,0,COLUMN(Database!EI31)*2-12)</f>
        <v>n.r.</v>
      </c>
      <c r="EM31" s="8" t="str">
        <f ca="1">OFFSET(Database!$F31,0,COLUMN(Database!EJ31)*2-12)</f>
        <v>n.r.</v>
      </c>
      <c r="EN31" s="8" t="str">
        <f ca="1">OFFSET(Database!$F31,0,COLUMN(Database!EK31)*2-12)</f>
        <v>n.r.</v>
      </c>
      <c r="EO31" s="8" t="str">
        <f ca="1">OFFSET(Database!$F31,0,COLUMN(Database!EL31)*2-12)</f>
        <v>n.r.</v>
      </c>
      <c r="EP31" s="8" t="str">
        <f ca="1">OFFSET(Database!$F31,0,COLUMN(Database!EM31)*2-12)</f>
        <v>n.r.</v>
      </c>
      <c r="EQ31" s="8" t="str">
        <f ca="1">OFFSET(Database!$F31,0,COLUMN(Database!EN31)*2-12)</f>
        <v>n.r.</v>
      </c>
      <c r="ER31" s="8" t="str">
        <f ca="1">OFFSET(Database!$F31,0,COLUMN(Database!EO31)*2-12)</f>
        <v>n.r.</v>
      </c>
      <c r="ES31" s="8" t="str">
        <f ca="1">OFFSET(Database!$F31,0,COLUMN(Database!EP31)*2-12)</f>
        <v>n.r.</v>
      </c>
      <c r="ET31" s="8" t="str">
        <f ca="1">OFFSET(Database!$F31,0,COLUMN(Database!EQ31)*2-12)</f>
        <v>n.r.</v>
      </c>
      <c r="EU31" s="8" t="str">
        <f ca="1">OFFSET(Database!$F31,0,COLUMN(Database!ER31)*2-12)</f>
        <v>n.r.</v>
      </c>
      <c r="EV31" s="8" t="str">
        <f ca="1">OFFSET(Database!$F31,0,COLUMN(Database!ES31)*2-12)</f>
        <v>n.r.</v>
      </c>
      <c r="EW31" s="8" t="str">
        <f ca="1">OFFSET(Database!$F31,0,COLUMN(Database!ET31)*2-12)</f>
        <v>n.r.</v>
      </c>
      <c r="EX31" s="8" t="str">
        <f ca="1">OFFSET(Database!$F31,0,COLUMN(Database!EU31)*2-12)</f>
        <v>n.r.</v>
      </c>
      <c r="EY31" s="8" t="str">
        <f ca="1">OFFSET(Database!$F31,0,COLUMN(Database!EV31)*2-12)</f>
        <v>n.r.</v>
      </c>
      <c r="EZ31" s="8" t="str">
        <f ca="1">OFFSET(Database!$F31,0,COLUMN(Database!EW31)*2-12)</f>
        <v>n.r.</v>
      </c>
      <c r="FA31" s="8" t="str">
        <f ca="1">OFFSET(Database!$F31,0,COLUMN(Database!EX31)*2-12)</f>
        <v>n.r.</v>
      </c>
      <c r="FB31" s="8" t="str">
        <f ca="1">OFFSET(Database!$F31,0,COLUMN(Database!EY31)*2-12)</f>
        <v>n.r.</v>
      </c>
      <c r="FC31" s="8" t="str">
        <f ca="1">OFFSET(Database!$F31,0,COLUMN(Database!EZ31)*2-12)</f>
        <v>n.r.</v>
      </c>
      <c r="FD31" s="8" t="str">
        <f ca="1">OFFSET(Database!$F31,0,COLUMN(Database!FA31)*2-12)</f>
        <v>n.r.</v>
      </c>
      <c r="FE31" s="8" t="str">
        <f ca="1">OFFSET(Database!$F31,0,COLUMN(Database!FB31)*2-12)</f>
        <v>n.r.</v>
      </c>
      <c r="FF31" s="8" t="str">
        <f ca="1">OFFSET(Database!$F31,0,COLUMN(Database!FC31)*2-12)</f>
        <v>n.r.</v>
      </c>
      <c r="FG31" s="8" t="str">
        <f ca="1">OFFSET(Database!$F31,0,COLUMN(Database!FD31)*2-12)</f>
        <v>n.r.</v>
      </c>
      <c r="FH31" s="8" t="str">
        <f ca="1">OFFSET(Database!$F31,0,COLUMN(Database!FE31)*2-12)</f>
        <v>n.r.</v>
      </c>
      <c r="FI31" s="8" t="str">
        <f ca="1">OFFSET(Database!$F31,0,COLUMN(Database!FF31)*2-12)</f>
        <v>n.r.</v>
      </c>
      <c r="FJ31" s="8" t="str">
        <f ca="1">OFFSET(Database!$F31,0,COLUMN(Database!FG31)*2-12)</f>
        <v>n.r.</v>
      </c>
      <c r="FK31" s="8" t="str">
        <f ca="1">OFFSET(Database!$F31,0,COLUMN(Database!FH31)*2-12)</f>
        <v>n.r.</v>
      </c>
      <c r="FL31" s="8" t="str">
        <f ca="1">OFFSET(Database!$F31,0,COLUMN(Database!FI31)*2-12)</f>
        <v>n.r.</v>
      </c>
      <c r="FM31" s="8" t="str">
        <f ca="1">OFFSET(Database!$F31,0,COLUMN(Database!FJ31)*2-12)</f>
        <v>n.r.</v>
      </c>
      <c r="FN31" s="8" t="str">
        <f ca="1">OFFSET(Database!$F31,0,COLUMN(Database!FK31)*2-12)</f>
        <v>n.r.</v>
      </c>
      <c r="FO31" s="8" t="str">
        <f ca="1">OFFSET(Database!$F31,0,COLUMN(Database!FL31)*2-12)</f>
        <v>n.r.</v>
      </c>
      <c r="FP31" s="8" t="str">
        <f ca="1">OFFSET(Database!$F31,0,COLUMN(Database!FM31)*2-12)</f>
        <v>n.r.</v>
      </c>
      <c r="FQ31" s="8" t="str">
        <f ca="1">OFFSET(Database!$F31,0,COLUMN(Database!FN31)*2-12)</f>
        <v>n.r.</v>
      </c>
      <c r="FR31" s="8" t="str">
        <f ca="1">OFFSET(Database!$F31,0,COLUMN(Database!FO31)*2-12)</f>
        <v>n.r.</v>
      </c>
      <c r="FS31" s="8" t="str">
        <f ca="1">OFFSET(Database!$F31,0,COLUMN(Database!FP31)*2-12)</f>
        <v>n.r.</v>
      </c>
      <c r="FT31" s="8" t="str">
        <f ca="1">OFFSET(Database!$F31,0,COLUMN(Database!FQ31)*2-12)</f>
        <v>n.r.</v>
      </c>
      <c r="FU31" s="8" t="str">
        <f ca="1">OFFSET(Database!$F31,0,COLUMN(Database!FR31)*2-12)</f>
        <v>n.r.</v>
      </c>
      <c r="FV31" s="8" t="str">
        <f ca="1">OFFSET(Database!$F31,0,COLUMN(Database!FS31)*2-12)</f>
        <v>n.r.</v>
      </c>
      <c r="FW31" s="8" t="str">
        <f ca="1">OFFSET(Database!$F31,0,COLUMN(Database!FT31)*2-12)</f>
        <v>n.r.</v>
      </c>
      <c r="FX31" s="8" t="str">
        <f ca="1">OFFSET(Database!$F31,0,COLUMN(Database!FU31)*2-12)</f>
        <v>n.r.</v>
      </c>
      <c r="FY31" s="8" t="str">
        <f ca="1">OFFSET(Database!$F31,0,COLUMN(Database!FV31)*2-12)</f>
        <v>n.r.</v>
      </c>
      <c r="FZ31" s="8" t="str">
        <f ca="1">OFFSET(Database!$F31,0,COLUMN(Database!FW31)*2-12)</f>
        <v>n.r.</v>
      </c>
      <c r="GA31" s="8" t="str">
        <f ca="1">OFFSET(Database!$F31,0,COLUMN(Database!FX31)*2-12)</f>
        <v>n.r.</v>
      </c>
      <c r="GB31" s="8" t="str">
        <f ca="1">OFFSET(Database!$F31,0,COLUMN(Database!FY31)*2-12)</f>
        <v>n.r.</v>
      </c>
      <c r="GC31" s="8" t="str">
        <f ca="1">OFFSET(Database!$F31,0,COLUMN(Database!FZ31)*2-12)</f>
        <v>n.r.</v>
      </c>
      <c r="GD31" s="8" t="str">
        <f ca="1">OFFSET(Database!$F31,0,COLUMN(Database!GA31)*2-12)</f>
        <v>n.r.</v>
      </c>
      <c r="GE31" s="8" t="str">
        <f ca="1">OFFSET(Database!$F31,0,COLUMN(Database!GB31)*2-12)</f>
        <v>n.r.</v>
      </c>
      <c r="GF31" s="8" t="str">
        <f ca="1">OFFSET(Database!$F31,0,COLUMN(Database!GC31)*2-12)</f>
        <v>n.r.</v>
      </c>
      <c r="GG31" s="8" t="str">
        <f ca="1">OFFSET(Database!$F31,0,COLUMN(Database!GD31)*2-12)</f>
        <v>n.r.</v>
      </c>
      <c r="GH31" s="8" t="str">
        <f ca="1">OFFSET(Database!$F31,0,COLUMN(Database!GE31)*2-12)</f>
        <v>n.r.</v>
      </c>
      <c r="GI31" s="8" t="str">
        <f ca="1">OFFSET(Database!$F31,0,COLUMN(Database!GF31)*2-12)</f>
        <v>n.r.</v>
      </c>
      <c r="GJ31" s="8" t="str">
        <f ca="1">OFFSET(Database!$F31,0,COLUMN(Database!GG31)*2-12)</f>
        <v>n.r.</v>
      </c>
      <c r="GK31" s="8" t="str">
        <f ca="1">OFFSET(Database!$F31,0,COLUMN(Database!GH31)*2-12)</f>
        <v>n.r.</v>
      </c>
      <c r="GL31" s="8" t="str">
        <f ca="1">OFFSET(Database!$F31,0,COLUMN(Database!GI31)*2-12)</f>
        <v>n.r.</v>
      </c>
      <c r="GM31" s="8" t="str">
        <f ca="1">OFFSET(Database!$F31,0,COLUMN(Database!GJ31)*2-12)</f>
        <v>n.r.</v>
      </c>
      <c r="GN31" s="8" t="str">
        <f ca="1">OFFSET(Database!$F31,0,COLUMN(Database!GK31)*2-12)</f>
        <v>n.r.</v>
      </c>
      <c r="GO31" s="8" t="str">
        <f ca="1">OFFSET(Database!$F31,0,COLUMN(Database!GL31)*2-12)</f>
        <v>n.r.</v>
      </c>
      <c r="GP31" s="8" t="str">
        <f ca="1">OFFSET(Database!$F31,0,COLUMN(Database!GM31)*2-12)</f>
        <v>n.r.</v>
      </c>
    </row>
    <row r="32" spans="1:198" x14ac:dyDescent="0.2">
      <c r="A32" s="50" t="str">
        <f>Database!A32</f>
        <v>ɣ-aminobutyric acid</v>
      </c>
      <c r="B32" s="32" t="s">
        <v>915</v>
      </c>
      <c r="C32" s="4" t="str">
        <f>Database!B32</f>
        <v>ɣ</v>
      </c>
      <c r="D32" s="4" t="str">
        <f>Database!C32</f>
        <v>Both</v>
      </c>
      <c r="E32" s="74">
        <f>Database!D32</f>
        <v>108</v>
      </c>
      <c r="F32" s="32" t="s">
        <v>914</v>
      </c>
      <c r="G32" s="1">
        <v>119</v>
      </c>
      <c r="H32" s="1">
        <f>Database!E32</f>
        <v>103.12</v>
      </c>
      <c r="I32" s="8" t="str">
        <f ca="1">OFFSET(Database!$F32,0,COLUMN(Database!F32)*2-12)</f>
        <v>n.s.</v>
      </c>
      <c r="J32" s="8" t="str">
        <f ca="1">OFFSET(Database!$F32,0,COLUMN(Database!G32)*2-12)</f>
        <v>n.s.</v>
      </c>
      <c r="K32" s="8" t="str">
        <f ca="1">OFFSET(Database!$F32,0,COLUMN(Database!H32)*2-12)</f>
        <v>n.s.</v>
      </c>
      <c r="L32" s="8" t="str">
        <f ca="1">OFFSET(Database!$F32,0,COLUMN(Database!I32)*2-12)</f>
        <v>n.s.</v>
      </c>
      <c r="M32" s="8" t="str">
        <f ca="1">OFFSET(Database!$F32,0,COLUMN(Database!J32)*2-12)</f>
        <v>n.s.</v>
      </c>
      <c r="N32" s="8">
        <f ca="1">OFFSET(Database!$F32,0,COLUMN(Database!K32)*2-12)</f>
        <v>0.5236617532971295</v>
      </c>
      <c r="O32" s="8">
        <f ca="1">OFFSET(Database!$F32,0,COLUMN(Database!L32)*2-12)</f>
        <v>1.4</v>
      </c>
      <c r="P32" s="8">
        <f ca="1">OFFSET(Database!$F32,0,COLUMN(Database!M32)*2-12)</f>
        <v>1.0900000000000001</v>
      </c>
      <c r="Q32" s="8">
        <f ca="1">OFFSET(Database!$F32,0,COLUMN(Database!N32)*2-12)</f>
        <v>22.1</v>
      </c>
      <c r="R32" s="8">
        <f ca="1">OFFSET(Database!$F32,0,COLUMN(Database!O32)*2-12)</f>
        <v>27.6</v>
      </c>
      <c r="S32" s="8">
        <f ca="1">OFFSET(Database!$F32,0,COLUMN(Database!P32)*2-12)</f>
        <v>19.152443754848719</v>
      </c>
      <c r="T32" s="8">
        <f ca="1">OFFSET(Database!$F32,0,COLUMN(Database!Q32)*2-12)</f>
        <v>25.4</v>
      </c>
      <c r="U32" s="8">
        <f ca="1">OFFSET(Database!$F32,0,COLUMN(Database!R32)*2-12)</f>
        <v>12.8</v>
      </c>
      <c r="V32" s="8">
        <f ca="1">OFFSET(Database!$F32,0,COLUMN(Database!S32)*2-12)</f>
        <v>0.44608223429014737</v>
      </c>
      <c r="W32" s="8">
        <f ca="1">OFFSET(Database!$F32,0,COLUMN(Database!T32)*2-12)</f>
        <v>0.5236617532971295</v>
      </c>
      <c r="X32" s="8">
        <f ca="1">OFFSET(Database!$F32,0,COLUMN(Database!U32)*2-12)</f>
        <v>9.4937936384794401</v>
      </c>
      <c r="Y32" s="8" t="str">
        <f ca="1">OFFSET(Database!$F32,0,COLUMN(Database!V32)*2-12)</f>
        <v>n.s.</v>
      </c>
      <c r="Z32" s="8">
        <f ca="1">OFFSET(Database!$F32,0,COLUMN(Database!W32)*2-12)</f>
        <v>2</v>
      </c>
      <c r="AA32" s="8">
        <f ca="1">OFFSET(Database!$F32,0,COLUMN(Database!X32)*2-12)</f>
        <v>9.5</v>
      </c>
      <c r="AB32" s="8">
        <f ca="1">OFFSET(Database!$F32,0,COLUMN(Database!Y32)*2-12)</f>
        <v>12.063615205585725</v>
      </c>
      <c r="AC32" s="8">
        <f ca="1">OFFSET(Database!$F32,0,COLUMN(Database!Z32)*2-12)</f>
        <v>14.158262218774244</v>
      </c>
      <c r="AD32" s="8">
        <f ca="1">OFFSET(Database!$F32,0,COLUMN(Database!AA32)*2-12)</f>
        <v>1.5903801396431341</v>
      </c>
      <c r="AE32" s="8">
        <f ca="1">OFFSET(Database!$F32,0,COLUMN(Database!AB32)*2-12)</f>
        <v>4.5577967416602014</v>
      </c>
      <c r="AF32" s="8" t="str">
        <f ca="1">OFFSET(Database!$F32,0,COLUMN(Database!AC32)*2-12)</f>
        <v>n.s.</v>
      </c>
      <c r="AG32" s="8" t="str">
        <f ca="1">OFFSET(Database!$F32,0,COLUMN(Database!AD32)*2-12)</f>
        <v>&lt;0.01</v>
      </c>
      <c r="AH32" s="8">
        <f ca="1">OFFSET(Database!$F32,0,COLUMN(Database!AE32)*2-12)</f>
        <v>6.8</v>
      </c>
      <c r="AI32" s="8">
        <f ca="1">OFFSET(Database!$F32,0,COLUMN(Database!AF32)*2-12)</f>
        <v>0.06</v>
      </c>
      <c r="AJ32" s="8">
        <f ca="1">OFFSET(Database!$F32,0,COLUMN(Database!AG32)*2-12)</f>
        <v>0.38</v>
      </c>
      <c r="AK32" s="8">
        <f ca="1">OFFSET(Database!$F32,0,COLUMN(Database!AH32)*2-12)</f>
        <v>5.98</v>
      </c>
      <c r="AL32" s="8">
        <f ca="1">OFFSET(Database!$F32,0,COLUMN(Database!AI32)*2-12)</f>
        <v>1.8</v>
      </c>
      <c r="AM32" s="8" t="str">
        <f ca="1">OFFSET(Database!$F32,0,COLUMN(Database!AJ32)*2-12)</f>
        <v>n.s.</v>
      </c>
      <c r="AN32" s="8" t="str">
        <f ca="1">OFFSET(Database!$F32,0,COLUMN(Database!AK32)*2-12)</f>
        <v>n.s.</v>
      </c>
      <c r="AO32" s="8">
        <f ca="1">OFFSET(Database!$F32,0,COLUMN(Database!AL32)*2-12)</f>
        <v>2.7249806051202481</v>
      </c>
      <c r="AP32" s="8">
        <f ca="1">OFFSET(Database!$F32,0,COLUMN(Database!AM32)*2-12)</f>
        <v>3.9</v>
      </c>
      <c r="AQ32" s="8">
        <f ca="1">OFFSET(Database!$F32,0,COLUMN(Database!AN32)*2-12)</f>
        <v>0.04</v>
      </c>
      <c r="AR32" s="8">
        <f ca="1">OFFSET(Database!$F32,0,COLUMN(Database!AO32)*2-12)</f>
        <v>0.15</v>
      </c>
      <c r="AS32" s="8">
        <f ca="1">OFFSET(Database!$F32,0,COLUMN(Database!AP32)*2-12)</f>
        <v>2.7637703646237393</v>
      </c>
      <c r="AT32" s="8">
        <f ca="1">OFFSET(Database!$F32,0,COLUMN(Database!AQ32)*2-12)</f>
        <v>5.5760279286268419</v>
      </c>
      <c r="AU32" s="8">
        <f ca="1">OFFSET(Database!$F32,0,COLUMN(Database!AR32)*2-12)</f>
        <v>7.9034134988363069</v>
      </c>
      <c r="AV32" s="8">
        <f ca="1">OFFSET(Database!$F32,0,COLUMN(Database!AS32)*2-12)</f>
        <v>5.4402637703646235</v>
      </c>
      <c r="AW32" s="8">
        <f ca="1">OFFSET(Database!$F32,0,COLUMN(Database!AT32)*2-12)</f>
        <v>5.4111714507370055</v>
      </c>
      <c r="AX32" s="8">
        <f ca="1">OFFSET(Database!$F32,0,COLUMN(Database!AU32)*2-12)</f>
        <v>0.11636927851047323</v>
      </c>
      <c r="AY32" s="8">
        <f ca="1">OFFSET(Database!$F32,0,COLUMN(Database!AV32)*2-12)</f>
        <v>1.5321955003878975</v>
      </c>
      <c r="AZ32" s="8">
        <f ca="1">OFFSET(Database!$F32,0,COLUMN(Database!AW32)*2-12)</f>
        <v>9.4937936384794401</v>
      </c>
      <c r="BA32" s="8">
        <f ca="1">OFFSET(Database!$F32,0,COLUMN(Database!AX32)*2-12)</f>
        <v>10.764158262218773</v>
      </c>
      <c r="BB32" s="8">
        <f ca="1">OFFSET(Database!$F32,0,COLUMN(Database!AY32)*2-12)</f>
        <v>2.2207137315748642</v>
      </c>
      <c r="BC32" s="8">
        <f ca="1">OFFSET(Database!$F32,0,COLUMN(Database!AZ32)*2-12)</f>
        <v>0.39759503491078352</v>
      </c>
      <c r="BD32" s="8">
        <f ca="1">OFFSET(Database!$F32,0,COLUMN(Database!BA32)*2-12)</f>
        <v>1.008533747090768</v>
      </c>
      <c r="BE32" s="8">
        <f ca="1">OFFSET(Database!$F32,0,COLUMN(Database!BB32)*2-12)</f>
        <v>7.5737005430566331</v>
      </c>
      <c r="BF32" s="8">
        <f ca="1">OFFSET(Database!$F32,0,COLUMN(Database!BC32)*2-12)</f>
        <v>4.8487199379363848E-2</v>
      </c>
      <c r="BG32" s="8">
        <f ca="1">OFFSET(Database!$F32,0,COLUMN(Database!BD32)*2-12)</f>
        <v>0.78549262994569435</v>
      </c>
      <c r="BH32" s="8">
        <f ca="1">OFFSET(Database!$F32,0,COLUMN(Database!BE32)*2-12)</f>
        <v>1.0870830100853375</v>
      </c>
      <c r="BI32" s="8" t="str">
        <f ca="1">OFFSET(Database!$F32,0,COLUMN(Database!BF32)*2-12)</f>
        <v>n.d.</v>
      </c>
      <c r="BJ32" s="8">
        <f ca="1">OFFSET(Database!$F32,0,COLUMN(Database!BG32)*2-12)</f>
        <v>19.356089992242048</v>
      </c>
      <c r="BK32" s="8">
        <f ca="1">OFFSET(Database!$F32,0,COLUMN(Database!BH32)*2-12)</f>
        <v>5.2560124127230408</v>
      </c>
      <c r="BL32" s="8">
        <f ca="1">OFFSET(Database!$F32,0,COLUMN(Database!BI32)*2-12)</f>
        <v>7.84522885958107</v>
      </c>
      <c r="BM32" s="8">
        <f ca="1">OFFSET(Database!$F32,0,COLUMN(Database!BJ32)*2-12)</f>
        <v>0.69821567106283933</v>
      </c>
      <c r="BN32" s="8">
        <f ca="1">OFFSET(Database!$F32,0,COLUMN(Database!BK32)*2-12)</f>
        <v>1.71644685802948</v>
      </c>
      <c r="BO32" s="8">
        <f ca="1">OFFSET(Database!$F32,0,COLUMN(Database!BL32)*2-12)</f>
        <v>0.28122575640031028</v>
      </c>
      <c r="BP32" s="8">
        <f ca="1">OFFSET(Database!$F32,0,COLUMN(Database!BM32)*2-12)</f>
        <v>0.54305663304887508</v>
      </c>
      <c r="BQ32" s="8">
        <f ca="1">OFFSET(Database!$F32,0,COLUMN(Database!BN32)*2-12)</f>
        <v>0.11636927851047323</v>
      </c>
      <c r="BR32" s="8">
        <f ca="1">OFFSET(Database!$F32,0,COLUMN(Database!BO32)*2-12)</f>
        <v>0.16485647788983707</v>
      </c>
      <c r="BS32" s="8">
        <f ca="1">OFFSET(Database!$F32,0,COLUMN(Database!BP32)*2-12)</f>
        <v>1.0958107059736228</v>
      </c>
      <c r="BT32" s="8">
        <f ca="1">OFFSET(Database!$F32,0,COLUMN(Database!BQ32)*2-12)</f>
        <v>6.8851823118696656E-2</v>
      </c>
      <c r="BU32" s="8">
        <f ca="1">OFFSET(Database!$F32,0,COLUMN(Database!BR32)*2-12)</f>
        <v>4.3929402637703641</v>
      </c>
      <c r="BV32" s="8">
        <f ca="1">OFFSET(Database!$F32,0,COLUMN(Database!BS32)*2-12)</f>
        <v>0.10667183863460046</v>
      </c>
      <c r="BW32" s="8">
        <f ca="1">OFFSET(Database!$F32,0,COLUMN(Database!BT32)*2-12)</f>
        <v>9.9000000000000008E-3</v>
      </c>
      <c r="BX32" s="8">
        <f ca="1">OFFSET(Database!$F32,0,COLUMN(Database!BU32)*2-12)</f>
        <v>7.4000000000000003E-3</v>
      </c>
      <c r="BY32" s="8">
        <f ca="1">OFFSET(Database!$F32,0,COLUMN(Database!BV32)*2-12)</f>
        <v>4.87E-2</v>
      </c>
      <c r="BZ32" s="8">
        <f ca="1">OFFSET(Database!$F32,0,COLUMN(Database!BW32)*2-12)</f>
        <v>6.3537626066718387</v>
      </c>
      <c r="CA32" s="8" t="str">
        <f ca="1">OFFSET(Database!$F32,0,COLUMN(Database!BX32)*2-12)</f>
        <v>n.r.</v>
      </c>
      <c r="CB32" s="8">
        <f ca="1">OFFSET(Database!$F32,0,COLUMN(Database!BY32)*2-12)</f>
        <v>0.23273855702094645</v>
      </c>
      <c r="CC32" s="8">
        <f ca="1">OFFSET(Database!$F32,0,COLUMN(Database!BZ32)*2-12)</f>
        <v>0.1551590380139643</v>
      </c>
      <c r="CD32" s="8" t="str">
        <f ca="1">OFFSET(Database!$F32,0,COLUMN(Database!CA32)*2-12)</f>
        <v>&lt;0.0097</v>
      </c>
      <c r="CE32" s="8">
        <f ca="1">OFFSET(Database!$F32,0,COLUMN(Database!CB32)*2-12)</f>
        <v>0.21334367726920092</v>
      </c>
      <c r="CF32" s="8" t="str">
        <f ca="1">OFFSET(Database!$F32,0,COLUMN(Database!CC32)*2-12)</f>
        <v>&lt;0.0194</v>
      </c>
      <c r="CG32" s="8">
        <f ca="1">OFFSET(Database!$F32,0,COLUMN(Database!CD32)*2-12)</f>
        <v>5.8184639255236613E-2</v>
      </c>
      <c r="CH32" s="8">
        <f ca="1">OFFSET(Database!$F32,0,COLUMN(Database!CE32)*2-12)</f>
        <v>5.2366175329712959E-2</v>
      </c>
      <c r="CI32" s="8">
        <f ca="1">OFFSET(Database!$F32,0,COLUMN(Database!CF32)*2-12)</f>
        <v>0.63033359193173</v>
      </c>
      <c r="CJ32" s="8">
        <f ca="1">OFFSET(Database!$F32,0,COLUMN(Database!CG32)*2-12)</f>
        <v>1.0376260667183863</v>
      </c>
      <c r="CK32" s="8">
        <f ca="1">OFFSET(Database!$F32,0,COLUMN(Database!CH32)*2-12)</f>
        <v>3.0062063615205585</v>
      </c>
      <c r="CL32" s="8">
        <f ca="1">OFFSET(Database!$F32,0,COLUMN(Database!CI32)*2-12)</f>
        <v>2.6183087664856477</v>
      </c>
      <c r="CM32" s="8">
        <f ca="1">OFFSET(Database!$F32,0,COLUMN(Database!CJ32)*2-12)</f>
        <v>2.3564778898370831</v>
      </c>
      <c r="CN32" s="8">
        <f ca="1">OFFSET(Database!$F32,0,COLUMN(Database!CK32)*2-12)</f>
        <v>1.7746314972847168</v>
      </c>
      <c r="CO32" s="8">
        <f ca="1">OFFSET(Database!$F32,0,COLUMN(Database!CL32)*2-12)</f>
        <v>2.6764934057408842</v>
      </c>
      <c r="CP32" s="8">
        <f ca="1">OFFSET(Database!$F32,0,COLUMN(Database!CM32)*2-12)</f>
        <v>0.87</v>
      </c>
      <c r="CQ32" s="8">
        <f ca="1">OFFSET(Database!$F32,0,COLUMN(Database!CN32)*2-12)</f>
        <v>0.22</v>
      </c>
      <c r="CR32" s="8">
        <f ca="1">OFFSET(Database!$F32,0,COLUMN(Database!CO32)*2-12)</f>
        <v>48.24</v>
      </c>
      <c r="CS32" s="8" t="str">
        <f ca="1">OFFSET(Database!$F32,0,COLUMN(Database!CP32)*2-12)</f>
        <v>&lt;0.1</v>
      </c>
      <c r="CT32" s="8" t="str">
        <f ca="1">OFFSET(Database!$F32,0,COLUMN(Database!CQ32)*2-12)</f>
        <v>&lt;0.1</v>
      </c>
      <c r="CU32" s="8" t="str">
        <f ca="1">OFFSET(Database!$F32,0,COLUMN(Database!CR32)*2-12)</f>
        <v>&lt;0.1</v>
      </c>
      <c r="CV32" s="8">
        <f ca="1">OFFSET(Database!$F32,0,COLUMN(Database!CS32)*2-12)</f>
        <v>0.62</v>
      </c>
      <c r="CW32" s="8">
        <f ca="1">OFFSET(Database!$F32,0,COLUMN(Database!CT32)*2-12)</f>
        <v>1.05</v>
      </c>
      <c r="CX32" s="8">
        <f ca="1">OFFSET(Database!$F32,0,COLUMN(Database!CU32)*2-12)</f>
        <v>0.66</v>
      </c>
      <c r="CY32" s="8">
        <f ca="1">OFFSET(Database!$F32,0,COLUMN(Database!CV32)*2-12)</f>
        <v>6.32</v>
      </c>
      <c r="CZ32" s="8">
        <f ca="1">OFFSET(Database!$F32,0,COLUMN(Database!CW32)*2-12)</f>
        <v>9.2200000000000006</v>
      </c>
      <c r="DA32" s="8">
        <f ca="1">OFFSET(Database!$F32,0,COLUMN(Database!CX32)*2-12)</f>
        <v>1.66</v>
      </c>
      <c r="DB32" s="8">
        <f ca="1">OFFSET(Database!$F32,0,COLUMN(Database!CY32)*2-12)</f>
        <v>3.5</v>
      </c>
      <c r="DC32" s="8">
        <f ca="1">OFFSET(Database!$F32,0,COLUMN(Database!CZ32)*2-12)</f>
        <v>3.9</v>
      </c>
      <c r="DD32" s="8">
        <f ca="1">OFFSET(Database!$F32,0,COLUMN(Database!DA32)*2-12)</f>
        <v>3.03</v>
      </c>
      <c r="DE32" s="8">
        <f ca="1">OFFSET(Database!$F32,0,COLUMN(Database!DB32)*2-12)</f>
        <v>1.26066718386346</v>
      </c>
      <c r="DF32" s="8" t="str">
        <f ca="1">OFFSET(Database!$F32,0,COLUMN(Database!DC32)*2-12)</f>
        <v>n.r.</v>
      </c>
      <c r="DG32" s="8" t="str">
        <f ca="1">OFFSET(Database!$F32,0,COLUMN(Database!DD32)*2-12)</f>
        <v>n.r.</v>
      </c>
      <c r="DH32" s="8" t="str">
        <f ca="1">OFFSET(Database!$F32,0,COLUMN(Database!DE32)*2-12)</f>
        <v>n.r.</v>
      </c>
      <c r="DI32" s="8" t="str">
        <f ca="1">OFFSET(Database!$F32,0,COLUMN(Database!DF32)*2-12)</f>
        <v>n.r.</v>
      </c>
      <c r="DJ32" s="8" t="str">
        <f ca="1">OFFSET(Database!$F32,0,COLUMN(Database!DG32)*2-12)</f>
        <v>n.r.</v>
      </c>
      <c r="DK32" s="8" t="str">
        <f ca="1">OFFSET(Database!$F32,0,COLUMN(Database!DH32)*2-12)</f>
        <v>n.r.</v>
      </c>
      <c r="DL32" s="8" t="str">
        <f ca="1">OFFSET(Database!$F32,0,COLUMN(Database!DI32)*2-12)</f>
        <v>n.r.</v>
      </c>
      <c r="DM32" s="8" t="str">
        <f ca="1">OFFSET(Database!$F32,0,COLUMN(Database!DJ32)*2-12)</f>
        <v>n.r.</v>
      </c>
      <c r="DN32" s="8" t="str">
        <f ca="1">OFFSET(Database!$F32,0,COLUMN(Database!DK32)*2-12)</f>
        <v>n.r.</v>
      </c>
      <c r="DO32" s="8" t="str">
        <f ca="1">OFFSET(Database!$F32,0,COLUMN(Database!DL32)*2-12)</f>
        <v>n.r.</v>
      </c>
      <c r="DP32" s="8" t="str">
        <f ca="1">OFFSET(Database!$F32,0,COLUMN(Database!DM32)*2-12)</f>
        <v>n.r.</v>
      </c>
      <c r="DQ32" s="8" t="str">
        <f ca="1">OFFSET(Database!$F32,0,COLUMN(Database!DN32)*2-12)</f>
        <v>n.r.</v>
      </c>
      <c r="DR32" s="8" t="str">
        <f ca="1">OFFSET(Database!$F32,0,COLUMN(Database!DO32)*2-12)</f>
        <v>n.r.</v>
      </c>
      <c r="DS32" s="8" t="str">
        <f ca="1">OFFSET(Database!$F32,0,COLUMN(Database!DP32)*2-12)</f>
        <v>n.r.</v>
      </c>
      <c r="DT32" s="8" t="str">
        <f ca="1">OFFSET(Database!$F32,0,COLUMN(Database!DQ32)*2-12)</f>
        <v>n.r.</v>
      </c>
      <c r="DU32" s="8">
        <f ca="1">OFFSET(Database!$F32,0,COLUMN(Database!DR32)*2-12)</f>
        <v>1.0391999999999999</v>
      </c>
      <c r="DV32" s="8">
        <f ca="1">OFFSET(Database!$F32,0,COLUMN(Database!DS32)*2-12)</f>
        <v>4.0099999999999997E-2</v>
      </c>
      <c r="DW32" s="8">
        <f ca="1">OFFSET(Database!$F32,0,COLUMN(Database!DT32)*2-12)</f>
        <v>0.3</v>
      </c>
      <c r="DX32" s="8">
        <f ca="1">OFFSET(Database!$F32,0,COLUMN(Database!DU32)*2-12)</f>
        <v>0.1</v>
      </c>
      <c r="DY32" s="8">
        <f ca="1">OFFSET(Database!$F32,0,COLUMN(Database!DV32)*2-12)</f>
        <v>0.7</v>
      </c>
      <c r="DZ32" s="8">
        <f ca="1">OFFSET(Database!$F32,0,COLUMN(Database!DW32)*2-12)</f>
        <v>0.7</v>
      </c>
      <c r="EA32" s="8">
        <f ca="1">OFFSET(Database!$F32,0,COLUMN(Database!DX32)*2-12)</f>
        <v>10</v>
      </c>
      <c r="EB32" s="8" t="str">
        <f ca="1">OFFSET(Database!$F32,0,COLUMN(Database!DY32)*2-12)</f>
        <v>n.r.</v>
      </c>
      <c r="EC32" s="8">
        <f ca="1">OFFSET(Database!$F32,0,COLUMN(Database!DZ32)*2-12)</f>
        <v>0.2</v>
      </c>
      <c r="ED32" s="8" t="str">
        <f ca="1">OFFSET(Database!$F32,0,COLUMN(Database!EA32)*2-12)</f>
        <v>n.r</v>
      </c>
      <c r="EE32" s="8" t="str">
        <f ca="1">OFFSET(Database!$F32,0,COLUMN(Database!EB32)*2-12)</f>
        <v>n.r.</v>
      </c>
      <c r="EF32" s="8" t="str">
        <f ca="1">OFFSET(Database!$F32,0,COLUMN(Database!EC32)*2-12)</f>
        <v>n.r.</v>
      </c>
      <c r="EG32" s="8" t="str">
        <f ca="1">OFFSET(Database!$F32,0,COLUMN(Database!ED32)*2-12)</f>
        <v>n.r.</v>
      </c>
      <c r="EH32" s="8" t="str">
        <f ca="1">OFFSET(Database!$F32,0,COLUMN(Database!EE32)*2-12)</f>
        <v>n.r.</v>
      </c>
      <c r="EI32" s="8" t="str">
        <f ca="1">OFFSET(Database!$F32,0,COLUMN(Database!EF32)*2-12)</f>
        <v>n.r.</v>
      </c>
      <c r="EJ32" s="8" t="str">
        <f ca="1">OFFSET(Database!$F32,0,COLUMN(Database!EG32)*2-12)</f>
        <v>n.r.</v>
      </c>
      <c r="EK32" s="8" t="str">
        <f ca="1">OFFSET(Database!$F32,0,COLUMN(Database!EH32)*2-12)</f>
        <v>n.r.</v>
      </c>
      <c r="EL32" s="8" t="str">
        <f ca="1">OFFSET(Database!$F32,0,COLUMN(Database!EI32)*2-12)</f>
        <v>n.r.</v>
      </c>
      <c r="EM32" s="8" t="str">
        <f ca="1">OFFSET(Database!$F32,0,COLUMN(Database!EJ32)*2-12)</f>
        <v>n.r.</v>
      </c>
      <c r="EN32" s="8" t="str">
        <f ca="1">OFFSET(Database!$F32,0,COLUMN(Database!EK32)*2-12)</f>
        <v>n.r.</v>
      </c>
      <c r="EO32" s="8" t="str">
        <f ca="1">OFFSET(Database!$F32,0,COLUMN(Database!EL32)*2-12)</f>
        <v>n.r.</v>
      </c>
      <c r="EP32" s="8" t="str">
        <f ca="1">OFFSET(Database!$F32,0,COLUMN(Database!EM32)*2-12)</f>
        <v>n.r.</v>
      </c>
      <c r="EQ32" s="8">
        <f ca="1">OFFSET(Database!$F32,0,COLUMN(Database!EN32)*2-12)</f>
        <v>0.5</v>
      </c>
      <c r="ER32" s="8" t="str">
        <f ca="1">OFFSET(Database!$F32,0,COLUMN(Database!EO32)*2-12)</f>
        <v>n.r.</v>
      </c>
      <c r="ES32" s="8" t="str">
        <f ca="1">OFFSET(Database!$F32,0,COLUMN(Database!EP32)*2-12)</f>
        <v>n.r.</v>
      </c>
      <c r="ET32" s="8" t="str">
        <f ca="1">OFFSET(Database!$F32,0,COLUMN(Database!EQ32)*2-12)</f>
        <v>n.r.</v>
      </c>
      <c r="EU32" s="8" t="str">
        <f ca="1">OFFSET(Database!$F32,0,COLUMN(Database!ER32)*2-12)</f>
        <v>n.r.</v>
      </c>
      <c r="EV32" s="8" t="str">
        <f ca="1">OFFSET(Database!$F32,0,COLUMN(Database!ES32)*2-12)</f>
        <v>n.r.</v>
      </c>
      <c r="EW32" s="8" t="str">
        <f ca="1">OFFSET(Database!$F32,0,COLUMN(Database!ET32)*2-12)</f>
        <v>n.r.</v>
      </c>
      <c r="EX32" s="8" t="str">
        <f ca="1">OFFSET(Database!$F32,0,COLUMN(Database!EU32)*2-12)</f>
        <v>n.r.</v>
      </c>
      <c r="EY32" s="8" t="str">
        <f ca="1">OFFSET(Database!$F32,0,COLUMN(Database!EV32)*2-12)</f>
        <v>n.r.</v>
      </c>
      <c r="EZ32" s="8" t="str">
        <f ca="1">OFFSET(Database!$F32,0,COLUMN(Database!EW32)*2-12)</f>
        <v>n.r.</v>
      </c>
      <c r="FA32" s="8" t="str">
        <f ca="1">OFFSET(Database!$F32,0,COLUMN(Database!EX32)*2-12)</f>
        <v>n.r.</v>
      </c>
      <c r="FB32" s="8" t="str">
        <f ca="1">OFFSET(Database!$F32,0,COLUMN(Database!EY32)*2-12)</f>
        <v>n.r.</v>
      </c>
      <c r="FC32" s="8" t="str">
        <f ca="1">OFFSET(Database!$F32,0,COLUMN(Database!EZ32)*2-12)</f>
        <v>n.r.</v>
      </c>
      <c r="FD32" s="8" t="str">
        <f ca="1">OFFSET(Database!$F32,0,COLUMN(Database!FA32)*2-12)</f>
        <v>n.r.</v>
      </c>
      <c r="FE32" s="8" t="str">
        <f ca="1">OFFSET(Database!$F32,0,COLUMN(Database!FB32)*2-12)</f>
        <v>n.r.</v>
      </c>
      <c r="FF32" s="8" t="str">
        <f ca="1">OFFSET(Database!$F32,0,COLUMN(Database!FC32)*2-12)</f>
        <v>n.r.</v>
      </c>
      <c r="FG32" s="8" t="str">
        <f ca="1">OFFSET(Database!$F32,0,COLUMN(Database!FD32)*2-12)</f>
        <v>n.r.</v>
      </c>
      <c r="FH32" s="8">
        <f ca="1">OFFSET(Database!$F32,0,COLUMN(Database!FE32)*2-12)</f>
        <v>6100</v>
      </c>
      <c r="FI32" s="8">
        <f ca="1">OFFSET(Database!$F32,0,COLUMN(Database!FF32)*2-12)</f>
        <v>270</v>
      </c>
      <c r="FJ32" s="8">
        <f ca="1">OFFSET(Database!$F32,0,COLUMN(Database!FG32)*2-12)</f>
        <v>1620</v>
      </c>
      <c r="FK32" s="8" t="str">
        <f ca="1">OFFSET(Database!$F32,0,COLUMN(Database!FH32)*2-12)</f>
        <v>n.r.</v>
      </c>
      <c r="FL32" s="8" t="str">
        <f ca="1">OFFSET(Database!$F32,0,COLUMN(Database!FI32)*2-12)</f>
        <v>n.r.</v>
      </c>
      <c r="FM32" s="8" t="str">
        <f ca="1">OFFSET(Database!$F32,0,COLUMN(Database!FJ32)*2-12)</f>
        <v>n.r.</v>
      </c>
      <c r="FN32" s="8" t="str">
        <f ca="1">OFFSET(Database!$F32,0,COLUMN(Database!FK32)*2-12)</f>
        <v>n.r.</v>
      </c>
      <c r="FO32" s="8" t="str">
        <f ca="1">OFFSET(Database!$F32,0,COLUMN(Database!FL32)*2-12)</f>
        <v>n.r.</v>
      </c>
      <c r="FP32" s="8" t="str">
        <f ca="1">OFFSET(Database!$F32,0,COLUMN(Database!FM32)*2-12)</f>
        <v>n.r.</v>
      </c>
      <c r="FQ32" s="8" t="str">
        <f ca="1">OFFSET(Database!$F32,0,COLUMN(Database!FN32)*2-12)</f>
        <v>n.r.</v>
      </c>
      <c r="FR32" s="8" t="str">
        <f ca="1">OFFSET(Database!$F32,0,COLUMN(Database!FO32)*2-12)</f>
        <v>n.r.</v>
      </c>
      <c r="FS32" s="8" t="str">
        <f ca="1">OFFSET(Database!$F32,0,COLUMN(Database!FP32)*2-12)</f>
        <v>n.r.</v>
      </c>
      <c r="FT32" s="8" t="str">
        <f ca="1">OFFSET(Database!$F32,0,COLUMN(Database!FQ32)*2-12)</f>
        <v>n.r.</v>
      </c>
      <c r="FU32" s="8">
        <f ca="1">OFFSET(Database!$F32,0,COLUMN(Database!FR32)*2-12)</f>
        <v>10023</v>
      </c>
      <c r="FV32" s="8">
        <f ca="1">OFFSET(Database!$F32,0,COLUMN(Database!FS32)*2-12)</f>
        <v>7375</v>
      </c>
      <c r="FW32" s="8">
        <f ca="1">OFFSET(Database!$F32,0,COLUMN(Database!FT32)*2-12)</f>
        <v>11923</v>
      </c>
      <c r="FX32" s="8">
        <f ca="1">OFFSET(Database!$F32,0,COLUMN(Database!FU32)*2-12)</f>
        <v>7240</v>
      </c>
      <c r="FY32" s="8">
        <f ca="1">OFFSET(Database!$F32,0,COLUMN(Database!FV32)*2-12)</f>
        <v>6012</v>
      </c>
      <c r="FZ32" s="8">
        <f ca="1">OFFSET(Database!$F32,0,COLUMN(Database!FW32)*2-12)</f>
        <v>8120</v>
      </c>
      <c r="GA32" s="8">
        <f ca="1">OFFSET(Database!$F32,0,COLUMN(Database!FX32)*2-12)</f>
        <v>7883</v>
      </c>
      <c r="GB32" s="8">
        <f ca="1">OFFSET(Database!$F32,0,COLUMN(Database!FY32)*2-12)</f>
        <v>7295</v>
      </c>
      <c r="GC32" s="8">
        <f ca="1">OFFSET(Database!$F32,0,COLUMN(Database!FZ32)*2-12)</f>
        <v>9766</v>
      </c>
      <c r="GD32" s="8">
        <f ca="1">OFFSET(Database!$F32,0,COLUMN(Database!GA32)*2-12)</f>
        <v>8854</v>
      </c>
      <c r="GE32" s="8">
        <f ca="1">OFFSET(Database!$F32,0,COLUMN(Database!GB32)*2-12)</f>
        <v>5223</v>
      </c>
      <c r="GF32" s="8">
        <f ca="1">OFFSET(Database!$F32,0,COLUMN(Database!GC32)*2-12)</f>
        <v>6844</v>
      </c>
      <c r="GG32" s="8" t="str">
        <f ca="1">OFFSET(Database!$F32,0,COLUMN(Database!GD32)*2-12)</f>
        <v>n.r.</v>
      </c>
      <c r="GH32" s="8" t="str">
        <f ca="1">OFFSET(Database!$F32,0,COLUMN(Database!GE32)*2-12)</f>
        <v>n.r.</v>
      </c>
      <c r="GI32" s="8" t="str">
        <f ca="1">OFFSET(Database!$F32,0,COLUMN(Database!GF32)*2-12)</f>
        <v>n.r.</v>
      </c>
      <c r="GJ32" s="8" t="str">
        <f ca="1">OFFSET(Database!$F32,0,COLUMN(Database!GG32)*2-12)</f>
        <v>n.r.</v>
      </c>
      <c r="GK32" s="8" t="str">
        <f ca="1">OFFSET(Database!$F32,0,COLUMN(Database!GH32)*2-12)</f>
        <v>n.r.</v>
      </c>
      <c r="GL32" s="8" t="str">
        <f ca="1">OFFSET(Database!$F32,0,COLUMN(Database!GI32)*2-12)</f>
        <v>n.r.</v>
      </c>
      <c r="GM32" s="8" t="str">
        <f ca="1">OFFSET(Database!$F32,0,COLUMN(Database!GJ32)*2-12)</f>
        <v>n.r.</v>
      </c>
      <c r="GN32" s="8" t="str">
        <f ca="1">OFFSET(Database!$F32,0,COLUMN(Database!GK32)*2-12)</f>
        <v>n.r.</v>
      </c>
      <c r="GO32" s="8" t="str">
        <f ca="1">OFFSET(Database!$F32,0,COLUMN(Database!GL32)*2-12)</f>
        <v>n.d.</v>
      </c>
      <c r="GP32" s="8" t="str">
        <f ca="1">OFFSET(Database!$F32,0,COLUMN(Database!GM32)*2-12)</f>
        <v>tr.</v>
      </c>
    </row>
    <row r="33" spans="1:198" x14ac:dyDescent="0.2">
      <c r="A33" s="50" t="str">
        <f>Database!A33</f>
        <v>ɑ-aminoisobutyric acid</v>
      </c>
      <c r="B33" s="32" t="s">
        <v>891</v>
      </c>
      <c r="C33" s="4" t="str">
        <f>Database!B33</f>
        <v>ɑ</v>
      </c>
      <c r="D33" s="4" t="str">
        <f>Database!C33</f>
        <v>Both</v>
      </c>
      <c r="E33" s="74">
        <f>Database!D33</f>
        <v>73</v>
      </c>
      <c r="F33" s="32" t="s">
        <v>916</v>
      </c>
      <c r="G33" s="1">
        <v>6119</v>
      </c>
      <c r="H33" s="1">
        <f>Database!E33</f>
        <v>103.12</v>
      </c>
      <c r="I33" s="8">
        <f ca="1">OFFSET(Database!$F33,0,COLUMN(Database!F33)*2-12)</f>
        <v>1.55E-2</v>
      </c>
      <c r="J33" s="8">
        <f ca="1">OFFSET(Database!$F33,0,COLUMN(Database!G33)*2-12)</f>
        <v>1.35E-2</v>
      </c>
      <c r="K33" s="8">
        <f ca="1">OFFSET(Database!$F33,0,COLUMN(Database!H33)*2-12)</f>
        <v>1.77E-2</v>
      </c>
      <c r="L33" s="8">
        <f ca="1">OFFSET(Database!$F33,0,COLUMN(Database!I33)*2-12)</f>
        <v>1.5900000000000001E-2</v>
      </c>
      <c r="M33" s="8">
        <f ca="1">OFFSET(Database!$F33,0,COLUMN(Database!J33)*2-12)</f>
        <v>9.1999999999999998E-3</v>
      </c>
      <c r="N33" s="8">
        <f ca="1">OFFSET(Database!$F33,0,COLUMN(Database!K33)*2-12)</f>
        <v>0.4654771140418929</v>
      </c>
      <c r="O33" s="8">
        <f ca="1">OFFSET(Database!$F33,0,COLUMN(Database!L33)*2-12)</f>
        <v>1.7</v>
      </c>
      <c r="P33" s="8">
        <f ca="1">OFFSET(Database!$F33,0,COLUMN(Database!M33)*2-12)</f>
        <v>1.26</v>
      </c>
      <c r="Q33" s="8">
        <f ca="1">OFFSET(Database!$F33,0,COLUMN(Database!N33)*2-12)</f>
        <v>238</v>
      </c>
      <c r="R33" s="8">
        <f ca="1">OFFSET(Database!$F33,0,COLUMN(Database!O33)*2-12)</f>
        <v>268</v>
      </c>
      <c r="S33" s="8">
        <f ca="1">OFFSET(Database!$F33,0,COLUMN(Database!P33)*2-12)</f>
        <v>561.0550814584949</v>
      </c>
      <c r="T33" s="8">
        <f ca="1">OFFSET(Database!$F33,0,COLUMN(Database!Q33)*2-12)</f>
        <v>551</v>
      </c>
      <c r="U33" s="8">
        <f ca="1">OFFSET(Database!$F33,0,COLUMN(Database!R33)*2-12)</f>
        <v>138</v>
      </c>
      <c r="V33" s="8">
        <f ca="1">OFFSET(Database!$F33,0,COLUMN(Database!S33)*2-12)</f>
        <v>0.35880527540729246</v>
      </c>
      <c r="W33" s="8">
        <f ca="1">OFFSET(Database!$F33,0,COLUMN(Database!T33)*2-12)</f>
        <v>0.29092319627618307</v>
      </c>
      <c r="X33" s="8">
        <f ca="1">OFFSET(Database!$F33,0,COLUMN(Database!U33)*2-12)</f>
        <v>49.689681923972067</v>
      </c>
      <c r="Y33" s="8">
        <f ca="1">OFFSET(Database!$F33,0,COLUMN(Database!V33)*2-12)</f>
        <v>11.4</v>
      </c>
      <c r="Z33" s="8">
        <f ca="1">OFFSET(Database!$F33,0,COLUMN(Database!W33)*2-12)</f>
        <v>10.4</v>
      </c>
      <c r="AA33" s="8">
        <f ca="1">OFFSET(Database!$F33,0,COLUMN(Database!X33)*2-12)</f>
        <v>56.4</v>
      </c>
      <c r="AB33" s="8">
        <f ca="1">OFFSET(Database!$F33,0,COLUMN(Database!Y33)*2-12)</f>
        <v>8.3688906128782001</v>
      </c>
      <c r="AC33" s="8">
        <f ca="1">OFFSET(Database!$F33,0,COLUMN(Database!Z33)*2-12)</f>
        <v>30.85725368502715</v>
      </c>
      <c r="AD33" s="8">
        <f ca="1">OFFSET(Database!$F33,0,COLUMN(Database!AA33)*2-12)</f>
        <v>26.241272304111714</v>
      </c>
      <c r="AE33" s="8">
        <f ca="1">OFFSET(Database!$F33,0,COLUMN(Database!AB33)*2-12)</f>
        <v>7.3021722265321953</v>
      </c>
      <c r="AF33" s="8">
        <f ca="1">OFFSET(Database!$F33,0,COLUMN(Database!AC33)*2-12)</f>
        <v>17.899999999999999</v>
      </c>
      <c r="AG33" s="8">
        <f ca="1">OFFSET(Database!$F33,0,COLUMN(Database!AD33)*2-12)</f>
        <v>6.0000000000000001E-3</v>
      </c>
      <c r="AH33" s="8">
        <f ca="1">OFFSET(Database!$F33,0,COLUMN(Database!AE33)*2-12)</f>
        <v>1.7</v>
      </c>
      <c r="AI33" s="8" t="str">
        <f ca="1">OFFSET(Database!$F33,0,COLUMN(Database!AF33)*2-12)</f>
        <v>&lt;0.05</v>
      </c>
      <c r="AJ33" s="8" t="str">
        <f ca="1">OFFSET(Database!$F33,0,COLUMN(Database!AG33)*2-12)</f>
        <v>&lt;0.02</v>
      </c>
      <c r="AK33" s="8" t="str">
        <f ca="1">OFFSET(Database!$F33,0,COLUMN(Database!AH33)*2-12)</f>
        <v>&lt;0.03</v>
      </c>
      <c r="AL33" s="8">
        <f ca="1">OFFSET(Database!$F33,0,COLUMN(Database!AI33)*2-12)</f>
        <v>3</v>
      </c>
      <c r="AM33" s="8">
        <f ca="1">OFFSET(Database!$F33,0,COLUMN(Database!AJ33)*2-12)</f>
        <v>4.5999999999999996</v>
      </c>
      <c r="AN33" s="8">
        <f ca="1">OFFSET(Database!$F33,0,COLUMN(Database!AK33)*2-12)</f>
        <v>5.2</v>
      </c>
      <c r="AO33" s="8">
        <f ca="1">OFFSET(Database!$F33,0,COLUMN(Database!AL33)*2-12)</f>
        <v>3.3262218774243597</v>
      </c>
      <c r="AP33" s="8">
        <f ca="1">OFFSET(Database!$F33,0,COLUMN(Database!AM33)*2-12)</f>
        <v>2.6</v>
      </c>
      <c r="AQ33" s="8">
        <f ca="1">OFFSET(Database!$F33,0,COLUMN(Database!AN33)*2-12)</f>
        <v>0.02</v>
      </c>
      <c r="AR33" s="8">
        <f ca="1">OFFSET(Database!$F33,0,COLUMN(Database!AO33)*2-12)</f>
        <v>0.03</v>
      </c>
      <c r="AS33" s="8">
        <f ca="1">OFFSET(Database!$F33,0,COLUMN(Database!AP33)*2-12)</f>
        <v>9.6974398758727688E-3</v>
      </c>
      <c r="AT33" s="8">
        <f ca="1">OFFSET(Database!$F33,0,COLUMN(Database!AQ33)*2-12)</f>
        <v>2.9092319627618307E-3</v>
      </c>
      <c r="AU33" s="8">
        <f ca="1">OFFSET(Database!$F33,0,COLUMN(Database!AR33)*2-12)</f>
        <v>1.9394879751745539E-3</v>
      </c>
      <c r="AV33" s="8">
        <f ca="1">OFFSET(Database!$F33,0,COLUMN(Database!AS33)*2-12)</f>
        <v>1.9394879751745539E-3</v>
      </c>
      <c r="AW33" s="8" t="str">
        <f ca="1">OFFSET(Database!$F33,0,COLUMN(Database!AT33)*2-12)</f>
        <v>&lt;0.001</v>
      </c>
      <c r="AX33" s="8">
        <f ca="1">OFFSET(Database!$F33,0,COLUMN(Database!AU33)*2-12)</f>
        <v>6.8851823118696656E-2</v>
      </c>
      <c r="AY33" s="8">
        <f ca="1">OFFSET(Database!$F33,0,COLUMN(Database!AV33)*2-12)</f>
        <v>1.6485647788983707E-2</v>
      </c>
      <c r="AZ33" s="8">
        <f ca="1">OFFSET(Database!$F33,0,COLUMN(Database!AW33)*2-12)</f>
        <v>4.8487199379363844E-3</v>
      </c>
      <c r="BA33" s="8" t="str">
        <f ca="1">OFFSET(Database!$F33,0,COLUMN(Database!AX33)*2-12)</f>
        <v>&lt;0.001</v>
      </c>
      <c r="BB33" s="8">
        <f ca="1">OFFSET(Database!$F33,0,COLUMN(Database!AY33)*2-12)</f>
        <v>3.8789759503491078E-3</v>
      </c>
      <c r="BC33" s="8">
        <f ca="1">OFFSET(Database!$F33,0,COLUMN(Database!AZ33)*2-12)</f>
        <v>6.7882079131109377E-3</v>
      </c>
      <c r="BD33" s="8">
        <f ca="1">OFFSET(Database!$F33,0,COLUMN(Database!BA33)*2-12)</f>
        <v>6.2063615205585725E-2</v>
      </c>
      <c r="BE33" s="8" t="str">
        <f ca="1">OFFSET(Database!$F33,0,COLUMN(Database!BB33)*2-12)</f>
        <v>&lt;0.003</v>
      </c>
      <c r="BF33" s="8">
        <f ca="1">OFFSET(Database!$F33,0,COLUMN(Database!BC33)*2-12)</f>
        <v>4.8487199379363844E-3</v>
      </c>
      <c r="BG33" s="8">
        <f ca="1">OFFSET(Database!$F33,0,COLUMN(Database!BD33)*2-12)</f>
        <v>2.2304111714507368E-2</v>
      </c>
      <c r="BH33" s="8">
        <f ca="1">OFFSET(Database!$F33,0,COLUMN(Database!BE33)*2-12)</f>
        <v>5.8184639255236615E-3</v>
      </c>
      <c r="BI33" s="8" t="str">
        <f ca="1">OFFSET(Database!$F33,0,COLUMN(Database!BF33)*2-12)</f>
        <v>n.d.</v>
      </c>
      <c r="BJ33" s="8">
        <f ca="1">OFFSET(Database!$F33,0,COLUMN(Database!BG33)*2-12)</f>
        <v>0.56245151280062056</v>
      </c>
      <c r="BK33" s="8">
        <f ca="1">OFFSET(Database!$F33,0,COLUMN(Database!BH33)*2-12)</f>
        <v>1.347944142746315</v>
      </c>
      <c r="BL33" s="8">
        <f ca="1">OFFSET(Database!$F33,0,COLUMN(Database!BI33)*2-12)</f>
        <v>1.8910007757951899</v>
      </c>
      <c r="BM33" s="8" t="str">
        <f ca="1">OFFSET(Database!$F33,0,COLUMN(Database!BJ33)*2-12)</f>
        <v>&lt;0.001</v>
      </c>
      <c r="BN33" s="8">
        <f ca="1">OFFSET(Database!$F33,0,COLUMN(Database!BK33)*2-12)</f>
        <v>0.55275407292474787</v>
      </c>
      <c r="BO33" s="8">
        <f ca="1">OFFSET(Database!$F33,0,COLUMN(Database!BL33)*2-12)</f>
        <v>5.8184639255236613E-2</v>
      </c>
      <c r="BP33" s="8">
        <f ca="1">OFFSET(Database!$F33,0,COLUMN(Database!BM33)*2-12)</f>
        <v>0.21334367726920092</v>
      </c>
      <c r="BQ33" s="8" t="str">
        <f ca="1">OFFSET(Database!$F33,0,COLUMN(Database!BN33)*2-12)</f>
        <v>&lt;0.0078</v>
      </c>
      <c r="BR33" s="8" t="str">
        <f ca="1">OFFSET(Database!$F33,0,COLUMN(Database!BO33)*2-12)</f>
        <v>&lt;0.0068</v>
      </c>
      <c r="BS33" s="8" t="str">
        <f ca="1">OFFSET(Database!$F33,0,COLUMN(Database!BP33)*2-12)</f>
        <v>&lt;0.01</v>
      </c>
      <c r="BT33" s="8">
        <f ca="1">OFFSET(Database!$F33,0,COLUMN(Database!BQ33)*2-12)</f>
        <v>1.9394879751745539E-3</v>
      </c>
      <c r="BU33" s="8" t="str">
        <f ca="1">OFFSET(Database!$F33,0,COLUMN(Database!BR33)*2-12)</f>
        <v>&lt;0.001</v>
      </c>
      <c r="BV33" s="8" t="str">
        <f ca="1">OFFSET(Database!$F33,0,COLUMN(Database!BS33)*2-12)</f>
        <v>&lt;0.001</v>
      </c>
      <c r="BW33" s="8" t="str">
        <f ca="1">OFFSET(Database!$F33,0,COLUMN(Database!BT33)*2-12)</f>
        <v>&lt;0.0001</v>
      </c>
      <c r="BX33" s="8" t="str">
        <f ca="1">OFFSET(Database!$F33,0,COLUMN(Database!BU33)*2-12)</f>
        <v>&lt;0.0001</v>
      </c>
      <c r="BY33" s="8" t="str">
        <f ca="1">OFFSET(Database!$F33,0,COLUMN(Database!BV33)*2-12)</f>
        <v>&lt;0.0001</v>
      </c>
      <c r="BZ33" s="8">
        <f ca="1">OFFSET(Database!$F33,0,COLUMN(Database!BW33)*2-12)</f>
        <v>1.1636927851047323E-2</v>
      </c>
      <c r="CA33" s="8" t="str">
        <f ca="1">OFFSET(Database!$F33,0,COLUMN(Database!BX33)*2-12)</f>
        <v>n.r.</v>
      </c>
      <c r="CB33" s="8">
        <f ca="1">OFFSET(Database!$F33,0,COLUMN(Database!BY33)*2-12)</f>
        <v>1.2606671838634601E-2</v>
      </c>
      <c r="CC33" s="8">
        <f ca="1">OFFSET(Database!$F33,0,COLUMN(Database!BZ33)*2-12)</f>
        <v>7.7579519006982156E-3</v>
      </c>
      <c r="CD33" s="8">
        <f ca="1">OFFSET(Database!$F33,0,COLUMN(Database!CA33)*2-12)</f>
        <v>6.7882079131109377E-3</v>
      </c>
      <c r="CE33" s="8">
        <f ca="1">OFFSET(Database!$F33,0,COLUMN(Database!CB33)*2-12)</f>
        <v>1.5515903801396431E-2</v>
      </c>
      <c r="CF33" s="8">
        <f ca="1">OFFSET(Database!$F33,0,COLUMN(Database!CC33)*2-12)</f>
        <v>7.7579519006982156E-3</v>
      </c>
      <c r="CG33" s="8" t="str">
        <f ca="1">OFFSET(Database!$F33,0,COLUMN(Database!CD33)*2-12)</f>
        <v>&lt;0.0097</v>
      </c>
      <c r="CH33" s="8" t="str">
        <f ca="1">OFFSET(Database!$F33,0,COLUMN(Database!CE33)*2-12)</f>
        <v>&lt;0.0097</v>
      </c>
      <c r="CI33" s="8">
        <f ca="1">OFFSET(Database!$F33,0,COLUMN(Database!CF33)*2-12)</f>
        <v>8.9216446858029472E-2</v>
      </c>
      <c r="CJ33" s="8">
        <f ca="1">OFFSET(Database!$F33,0,COLUMN(Database!CG33)*2-12)</f>
        <v>3.6850271528316519E-2</v>
      </c>
      <c r="CK33" s="8">
        <f ca="1">OFFSET(Database!$F33,0,COLUMN(Database!CH33)*2-12)</f>
        <v>3.1031807602792862E-2</v>
      </c>
      <c r="CL33" s="8">
        <f ca="1">OFFSET(Database!$F33,0,COLUMN(Database!CI33)*2-12)</f>
        <v>9.0186190845616757E-2</v>
      </c>
      <c r="CM33" s="8">
        <f ca="1">OFFSET(Database!$F33,0,COLUMN(Database!CJ33)*2-12)</f>
        <v>5.4305663304887501E-2</v>
      </c>
      <c r="CN33" s="8">
        <f ca="1">OFFSET(Database!$F33,0,COLUMN(Database!CK33)*2-12)</f>
        <v>4.3638479441427458E-2</v>
      </c>
      <c r="CO33" s="8">
        <f ca="1">OFFSET(Database!$F33,0,COLUMN(Database!CL33)*2-12)</f>
        <v>4.8487199379363848E-2</v>
      </c>
      <c r="CP33" s="8" t="str">
        <f ca="1">OFFSET(Database!$F33,0,COLUMN(Database!CM33)*2-12)</f>
        <v>&lt;0.1</v>
      </c>
      <c r="CQ33" s="8" t="str">
        <f ca="1">OFFSET(Database!$F33,0,COLUMN(Database!CN33)*2-12)</f>
        <v>&lt;0.1</v>
      </c>
      <c r="CR33" s="8">
        <f ca="1">OFFSET(Database!$F33,0,COLUMN(Database!CO33)*2-12)</f>
        <v>0.44</v>
      </c>
      <c r="CS33" s="8" t="str">
        <f ca="1">OFFSET(Database!$F33,0,COLUMN(Database!CP33)*2-12)</f>
        <v>&lt;0.1</v>
      </c>
      <c r="CT33" s="8" t="str">
        <f ca="1">OFFSET(Database!$F33,0,COLUMN(Database!CQ33)*2-12)</f>
        <v>&lt;0.1</v>
      </c>
      <c r="CU33" s="8" t="str">
        <f ca="1">OFFSET(Database!$F33,0,COLUMN(Database!CR33)*2-12)</f>
        <v>&lt;0.1</v>
      </c>
      <c r="CV33" s="8" t="str">
        <f ca="1">OFFSET(Database!$F33,0,COLUMN(Database!CS33)*2-12)</f>
        <v>&lt;0.1</v>
      </c>
      <c r="CW33" s="8" t="str">
        <f ca="1">OFFSET(Database!$F33,0,COLUMN(Database!CT33)*2-12)</f>
        <v>&lt;0.1</v>
      </c>
      <c r="CX33" s="8" t="str">
        <f ca="1">OFFSET(Database!$F33,0,COLUMN(Database!CU33)*2-12)</f>
        <v>&lt;0.1</v>
      </c>
      <c r="CY33" s="8" t="str">
        <f ca="1">OFFSET(Database!$F33,0,COLUMN(Database!CV33)*2-12)</f>
        <v>&lt;0.1</v>
      </c>
      <c r="CZ33" s="8" t="str">
        <f ca="1">OFFSET(Database!$F33,0,COLUMN(Database!CW33)*2-12)</f>
        <v>&lt;0.1</v>
      </c>
      <c r="DA33" s="8" t="str">
        <f ca="1">OFFSET(Database!$F33,0,COLUMN(Database!CX33)*2-12)</f>
        <v>&lt;0.1</v>
      </c>
      <c r="DB33" s="8">
        <f ca="1">OFFSET(Database!$F33,0,COLUMN(Database!CY33)*2-12)</f>
        <v>0.38</v>
      </c>
      <c r="DC33" s="8">
        <f ca="1">OFFSET(Database!$F33,0,COLUMN(Database!CZ33)*2-12)</f>
        <v>0.44</v>
      </c>
      <c r="DD33" s="8">
        <f ca="1">OFFSET(Database!$F33,0,COLUMN(Database!DA33)*2-12)</f>
        <v>0.61</v>
      </c>
      <c r="DE33" s="8" t="str">
        <f ca="1">OFFSET(Database!$F33,0,COLUMN(Database!DB33)*2-12)</f>
        <v>&lt;0.0485</v>
      </c>
      <c r="DF33" s="8" t="str">
        <f ca="1">OFFSET(Database!$F33,0,COLUMN(Database!DC33)*2-12)</f>
        <v>n.r.</v>
      </c>
      <c r="DG33" s="8" t="str">
        <f ca="1">OFFSET(Database!$F33,0,COLUMN(Database!DD33)*2-12)</f>
        <v>n.r.</v>
      </c>
      <c r="DH33" s="8" t="str">
        <f ca="1">OFFSET(Database!$F33,0,COLUMN(Database!DE33)*2-12)</f>
        <v>n.r.</v>
      </c>
      <c r="DI33" s="8" t="str">
        <f ca="1">OFFSET(Database!$F33,0,COLUMN(Database!DF33)*2-12)</f>
        <v>n.r.</v>
      </c>
      <c r="DJ33" s="8" t="str">
        <f ca="1">OFFSET(Database!$F33,0,COLUMN(Database!DG33)*2-12)</f>
        <v>n.r.</v>
      </c>
      <c r="DK33" s="8" t="str">
        <f ca="1">OFFSET(Database!$F33,0,COLUMN(Database!DH33)*2-12)</f>
        <v>n.r.</v>
      </c>
      <c r="DL33" s="8" t="str">
        <f ca="1">OFFSET(Database!$F33,0,COLUMN(Database!DI33)*2-12)</f>
        <v>n.r.</v>
      </c>
      <c r="DM33" s="8" t="str">
        <f ca="1">OFFSET(Database!$F33,0,COLUMN(Database!DJ33)*2-12)</f>
        <v>n.r.</v>
      </c>
      <c r="DN33" s="8" t="str">
        <f ca="1">OFFSET(Database!$F33,0,COLUMN(Database!DK33)*2-12)</f>
        <v>n.r.</v>
      </c>
      <c r="DO33" s="8" t="str">
        <f ca="1">OFFSET(Database!$F33,0,COLUMN(Database!DL33)*2-12)</f>
        <v>n.r.</v>
      </c>
      <c r="DP33" s="8" t="str">
        <f ca="1">OFFSET(Database!$F33,0,COLUMN(Database!DM33)*2-12)</f>
        <v>n.r.</v>
      </c>
      <c r="DQ33" s="8" t="str">
        <f ca="1">OFFSET(Database!$F33,0,COLUMN(Database!DN33)*2-12)</f>
        <v>n.r.</v>
      </c>
      <c r="DR33" s="8" t="str">
        <f ca="1">OFFSET(Database!$F33,0,COLUMN(Database!DO33)*2-12)</f>
        <v>n.r.</v>
      </c>
      <c r="DS33" s="8" t="str">
        <f ca="1">OFFSET(Database!$F33,0,COLUMN(Database!DP33)*2-12)</f>
        <v>n.r.</v>
      </c>
      <c r="DT33" s="8" t="str">
        <f ca="1">OFFSET(Database!$F33,0,COLUMN(Database!DQ33)*2-12)</f>
        <v>n.r.</v>
      </c>
      <c r="DU33" s="8">
        <f ca="1">OFFSET(Database!$F33,0,COLUMN(Database!DR33)*2-12)</f>
        <v>8.3299999999999999E-2</v>
      </c>
      <c r="DV33" s="8">
        <f ca="1">OFFSET(Database!$F33,0,COLUMN(Database!DS33)*2-12)</f>
        <v>1.0500000000000001E-2</v>
      </c>
      <c r="DW33" s="8" t="str">
        <f ca="1">OFFSET(Database!$F33,0,COLUMN(Database!DT33)*2-12)</f>
        <v>n.r.</v>
      </c>
      <c r="DX33" s="8" t="str">
        <f ca="1">OFFSET(Database!$F33,0,COLUMN(Database!DU33)*2-12)</f>
        <v>n.r.</v>
      </c>
      <c r="DY33" s="8" t="str">
        <f ca="1">OFFSET(Database!$F33,0,COLUMN(Database!DV33)*2-12)</f>
        <v>n.r.</v>
      </c>
      <c r="DZ33" s="8" t="str">
        <f ca="1">OFFSET(Database!$F33,0,COLUMN(Database!DW33)*2-12)</f>
        <v>n.r.</v>
      </c>
      <c r="EA33" s="8" t="str">
        <f ca="1">OFFSET(Database!$F33,0,COLUMN(Database!DX33)*2-12)</f>
        <v>n.r.</v>
      </c>
      <c r="EB33" s="8" t="str">
        <f ca="1">OFFSET(Database!$F33,0,COLUMN(Database!DY33)*2-12)</f>
        <v>n.r.</v>
      </c>
      <c r="EC33" s="8">
        <f ca="1">OFFSET(Database!$F33,0,COLUMN(Database!DZ33)*2-12)</f>
        <v>33.1</v>
      </c>
      <c r="ED33" s="8" t="str">
        <f ca="1">OFFSET(Database!$F33,0,COLUMN(Database!EA33)*2-12)</f>
        <v>n.r</v>
      </c>
      <c r="EE33" s="8" t="str">
        <f ca="1">OFFSET(Database!$F33,0,COLUMN(Database!EB33)*2-12)</f>
        <v>n.r.</v>
      </c>
      <c r="EF33" s="8" t="str">
        <f ca="1">OFFSET(Database!$F33,0,COLUMN(Database!EC33)*2-12)</f>
        <v>n.r.</v>
      </c>
      <c r="EG33" s="8" t="str">
        <f ca="1">OFFSET(Database!$F33,0,COLUMN(Database!ED33)*2-12)</f>
        <v>n.r.</v>
      </c>
      <c r="EH33" s="8" t="str">
        <f ca="1">OFFSET(Database!$F33,0,COLUMN(Database!EE33)*2-12)</f>
        <v>n.r.</v>
      </c>
      <c r="EI33" s="8" t="str">
        <f ca="1">OFFSET(Database!$F33,0,COLUMN(Database!EF33)*2-12)</f>
        <v>n.r.</v>
      </c>
      <c r="EJ33" s="8" t="str">
        <f ca="1">OFFSET(Database!$F33,0,COLUMN(Database!EG33)*2-12)</f>
        <v>n.r.</v>
      </c>
      <c r="EK33" s="8" t="str">
        <f ca="1">OFFSET(Database!$F33,0,COLUMN(Database!EH33)*2-12)</f>
        <v>n.r.</v>
      </c>
      <c r="EL33" s="8" t="str">
        <f ca="1">OFFSET(Database!$F33,0,COLUMN(Database!EI33)*2-12)</f>
        <v>n.r.</v>
      </c>
      <c r="EM33" s="8" t="str">
        <f ca="1">OFFSET(Database!$F33,0,COLUMN(Database!EJ33)*2-12)</f>
        <v>n.r.</v>
      </c>
      <c r="EN33" s="8" t="str">
        <f ca="1">OFFSET(Database!$F33,0,COLUMN(Database!EK33)*2-12)</f>
        <v>n.r.</v>
      </c>
      <c r="EO33" s="8" t="str">
        <f ca="1">OFFSET(Database!$F33,0,COLUMN(Database!EL33)*2-12)</f>
        <v>n.r.</v>
      </c>
      <c r="EP33" s="8" t="str">
        <f ca="1">OFFSET(Database!$F33,0,COLUMN(Database!EM33)*2-12)</f>
        <v>n.r.</v>
      </c>
      <c r="EQ33" s="8" t="str">
        <f ca="1">OFFSET(Database!$F33,0,COLUMN(Database!EN33)*2-12)</f>
        <v>n.r.</v>
      </c>
      <c r="ER33" s="8" t="str">
        <f ca="1">OFFSET(Database!$F33,0,COLUMN(Database!EO33)*2-12)</f>
        <v>n.r.</v>
      </c>
      <c r="ES33" s="8" t="str">
        <f ca="1">OFFSET(Database!$F33,0,COLUMN(Database!EP33)*2-12)</f>
        <v>n.r.</v>
      </c>
      <c r="ET33" s="8" t="str">
        <f ca="1">OFFSET(Database!$F33,0,COLUMN(Database!EQ33)*2-12)</f>
        <v>n.r.</v>
      </c>
      <c r="EU33" s="8" t="str">
        <f ca="1">OFFSET(Database!$F33,0,COLUMN(Database!ER33)*2-12)</f>
        <v>n.r.</v>
      </c>
      <c r="EV33" s="8" t="str">
        <f ca="1">OFFSET(Database!$F33,0,COLUMN(Database!ES33)*2-12)</f>
        <v>n.r.</v>
      </c>
      <c r="EW33" s="8" t="str">
        <f ca="1">OFFSET(Database!$F33,0,COLUMN(Database!ET33)*2-12)</f>
        <v>n.r.</v>
      </c>
      <c r="EX33" s="8" t="str">
        <f ca="1">OFFSET(Database!$F33,0,COLUMN(Database!EU33)*2-12)</f>
        <v>n.r.</v>
      </c>
      <c r="EY33" s="8" t="str">
        <f ca="1">OFFSET(Database!$F33,0,COLUMN(Database!EV33)*2-12)</f>
        <v>n.r.</v>
      </c>
      <c r="EZ33" s="8" t="str">
        <f ca="1">OFFSET(Database!$F33,0,COLUMN(Database!EW33)*2-12)</f>
        <v>n.r.</v>
      </c>
      <c r="FA33" s="8" t="str">
        <f ca="1">OFFSET(Database!$F33,0,COLUMN(Database!EX33)*2-12)</f>
        <v>n.r.</v>
      </c>
      <c r="FB33" s="8" t="str">
        <f ca="1">OFFSET(Database!$F33,0,COLUMN(Database!EY33)*2-12)</f>
        <v>n.r.</v>
      </c>
      <c r="FC33" s="8" t="str">
        <f ca="1">OFFSET(Database!$F33,0,COLUMN(Database!EZ33)*2-12)</f>
        <v>n.r.</v>
      </c>
      <c r="FD33" s="8" t="str">
        <f ca="1">OFFSET(Database!$F33,0,COLUMN(Database!FA33)*2-12)</f>
        <v>n.r.</v>
      </c>
      <c r="FE33" s="8" t="str">
        <f ca="1">OFFSET(Database!$F33,0,COLUMN(Database!FB33)*2-12)</f>
        <v>n.r.</v>
      </c>
      <c r="FF33" s="8" t="str">
        <f ca="1">OFFSET(Database!$F33,0,COLUMN(Database!FC33)*2-12)</f>
        <v>n.r.</v>
      </c>
      <c r="FG33" s="8" t="str">
        <f ca="1">OFFSET(Database!$F33,0,COLUMN(Database!FD33)*2-12)</f>
        <v>n.r.</v>
      </c>
      <c r="FH33" s="8" t="str">
        <f ca="1">OFFSET(Database!$F33,0,COLUMN(Database!FE33)*2-12)</f>
        <v>n.r.</v>
      </c>
      <c r="FI33" s="8" t="str">
        <f ca="1">OFFSET(Database!$F33,0,COLUMN(Database!FF33)*2-12)</f>
        <v>n.r.</v>
      </c>
      <c r="FJ33" s="8" t="str">
        <f ca="1">OFFSET(Database!$F33,0,COLUMN(Database!FG33)*2-12)</f>
        <v>n.r.</v>
      </c>
      <c r="FK33" s="8" t="str">
        <f ca="1">OFFSET(Database!$F33,0,COLUMN(Database!FH33)*2-12)</f>
        <v>n.r.</v>
      </c>
      <c r="FL33" s="8" t="str">
        <f ca="1">OFFSET(Database!$F33,0,COLUMN(Database!FI33)*2-12)</f>
        <v>n.r.</v>
      </c>
      <c r="FM33" s="8" t="str">
        <f ca="1">OFFSET(Database!$F33,0,COLUMN(Database!FJ33)*2-12)</f>
        <v>n.r.</v>
      </c>
      <c r="FN33" s="8" t="str">
        <f ca="1">OFFSET(Database!$F33,0,COLUMN(Database!FK33)*2-12)</f>
        <v>n.r.</v>
      </c>
      <c r="FO33" s="8" t="str">
        <f ca="1">OFFSET(Database!$F33,0,COLUMN(Database!FL33)*2-12)</f>
        <v>n.r.</v>
      </c>
      <c r="FP33" s="8" t="str">
        <f ca="1">OFFSET(Database!$F33,0,COLUMN(Database!FM33)*2-12)</f>
        <v>n.r.</v>
      </c>
      <c r="FQ33" s="8" t="str">
        <f ca="1">OFFSET(Database!$F33,0,COLUMN(Database!FN33)*2-12)</f>
        <v>n.r.</v>
      </c>
      <c r="FR33" s="8" t="str">
        <f ca="1">OFFSET(Database!$F33,0,COLUMN(Database!FO33)*2-12)</f>
        <v>n.r.</v>
      </c>
      <c r="FS33" s="8" t="str">
        <f ca="1">OFFSET(Database!$F33,0,COLUMN(Database!FP33)*2-12)</f>
        <v>n.r.</v>
      </c>
      <c r="FT33" s="8" t="str">
        <f ca="1">OFFSET(Database!$F33,0,COLUMN(Database!FQ33)*2-12)</f>
        <v>n.r.</v>
      </c>
      <c r="FU33" s="8" t="str">
        <f ca="1">OFFSET(Database!$F33,0,COLUMN(Database!FR33)*2-12)</f>
        <v>n.r.</v>
      </c>
      <c r="FV33" s="8" t="str">
        <f ca="1">OFFSET(Database!$F33,0,COLUMN(Database!FS33)*2-12)</f>
        <v>n.r.</v>
      </c>
      <c r="FW33" s="8" t="str">
        <f ca="1">OFFSET(Database!$F33,0,COLUMN(Database!FT33)*2-12)</f>
        <v>n.r.</v>
      </c>
      <c r="FX33" s="8" t="str">
        <f ca="1">OFFSET(Database!$F33,0,COLUMN(Database!FU33)*2-12)</f>
        <v>n.r.</v>
      </c>
      <c r="FY33" s="8" t="str">
        <f ca="1">OFFSET(Database!$F33,0,COLUMN(Database!FV33)*2-12)</f>
        <v>n.r.</v>
      </c>
      <c r="FZ33" s="8" t="str">
        <f ca="1">OFFSET(Database!$F33,0,COLUMN(Database!FW33)*2-12)</f>
        <v>n.r.</v>
      </c>
      <c r="GA33" s="8" t="str">
        <f ca="1">OFFSET(Database!$F33,0,COLUMN(Database!FX33)*2-12)</f>
        <v>n.r.</v>
      </c>
      <c r="GB33" s="8" t="str">
        <f ca="1">OFFSET(Database!$F33,0,COLUMN(Database!FY33)*2-12)</f>
        <v>n.r.</v>
      </c>
      <c r="GC33" s="8" t="str">
        <f ca="1">OFFSET(Database!$F33,0,COLUMN(Database!FZ33)*2-12)</f>
        <v>n.r.</v>
      </c>
      <c r="GD33" s="8" t="str">
        <f ca="1">OFFSET(Database!$F33,0,COLUMN(Database!GA33)*2-12)</f>
        <v>n.r.</v>
      </c>
      <c r="GE33" s="8" t="str">
        <f ca="1">OFFSET(Database!$F33,0,COLUMN(Database!GB33)*2-12)</f>
        <v>n.r.</v>
      </c>
      <c r="GF33" s="8" t="str">
        <f ca="1">OFFSET(Database!$F33,0,COLUMN(Database!GC33)*2-12)</f>
        <v>n.r.</v>
      </c>
      <c r="GG33" s="8" t="str">
        <f ca="1">OFFSET(Database!$F33,0,COLUMN(Database!GD33)*2-12)</f>
        <v>n.r.</v>
      </c>
      <c r="GH33" s="8" t="str">
        <f ca="1">OFFSET(Database!$F33,0,COLUMN(Database!GE33)*2-12)</f>
        <v>n.r.</v>
      </c>
      <c r="GI33" s="8" t="str">
        <f ca="1">OFFSET(Database!$F33,0,COLUMN(Database!GF33)*2-12)</f>
        <v>n.r.</v>
      </c>
      <c r="GJ33" s="8" t="str">
        <f ca="1">OFFSET(Database!$F33,0,COLUMN(Database!GG33)*2-12)</f>
        <v>n.r.</v>
      </c>
      <c r="GK33" s="8" t="str">
        <f ca="1">OFFSET(Database!$F33,0,COLUMN(Database!GH33)*2-12)</f>
        <v>n.r.</v>
      </c>
      <c r="GL33" s="8" t="str">
        <f ca="1">OFFSET(Database!$F33,0,COLUMN(Database!GI33)*2-12)</f>
        <v>n.r.</v>
      </c>
      <c r="GM33" s="8" t="str">
        <f ca="1">OFFSET(Database!$F33,0,COLUMN(Database!GJ33)*2-12)</f>
        <v>n.r.</v>
      </c>
      <c r="GN33" s="8" t="str">
        <f ca="1">OFFSET(Database!$F33,0,COLUMN(Database!GK33)*2-12)</f>
        <v>n.r.</v>
      </c>
      <c r="GO33" s="8" t="str">
        <f ca="1">OFFSET(Database!$F33,0,COLUMN(Database!GL33)*2-12)</f>
        <v>n.d.</v>
      </c>
      <c r="GP33" s="8" t="str">
        <f ca="1">OFFSET(Database!$F33,0,COLUMN(Database!GM33)*2-12)</f>
        <v>n.d.</v>
      </c>
    </row>
    <row r="34" spans="1:198" x14ac:dyDescent="0.2">
      <c r="A34" s="50" t="str">
        <f>Database!A34</f>
        <v>D-β-aminoisobutyric acid</v>
      </c>
      <c r="B34" s="32" t="s">
        <v>892</v>
      </c>
      <c r="C34" s="4" t="str">
        <f>Database!B34</f>
        <v>β</v>
      </c>
      <c r="D34" s="4" t="str">
        <f>Database!C34</f>
        <v>D</v>
      </c>
      <c r="E34" s="74">
        <f>Database!D34</f>
        <v>5</v>
      </c>
      <c r="F34" s="32" t="s">
        <v>917</v>
      </c>
      <c r="G34" s="1">
        <v>439433</v>
      </c>
      <c r="H34" s="1">
        <f>Database!E34</f>
        <v>103.12</v>
      </c>
      <c r="I34" s="8" t="str">
        <f ca="1">OFFSET(Database!$F34,0,COLUMN(Database!F34)*2-12)</f>
        <v>n.r.</v>
      </c>
      <c r="J34" s="8" t="str">
        <f ca="1">OFFSET(Database!$F34,0,COLUMN(Database!G34)*2-12)</f>
        <v>n.r.</v>
      </c>
      <c r="K34" s="8" t="str">
        <f ca="1">OFFSET(Database!$F34,0,COLUMN(Database!H34)*2-12)</f>
        <v>n.r.</v>
      </c>
      <c r="L34" s="8" t="str">
        <f ca="1">OFFSET(Database!$F34,0,COLUMN(Database!I34)*2-12)</f>
        <v>n.r.</v>
      </c>
      <c r="M34" s="8" t="str">
        <f ca="1">OFFSET(Database!$F34,0,COLUMN(Database!J34)*2-12)</f>
        <v>n.r.</v>
      </c>
      <c r="N34" s="8" t="str">
        <f ca="1">OFFSET(Database!$F34,0,COLUMN(Database!K34)*2-12)</f>
        <v>n.r.</v>
      </c>
      <c r="O34" s="8" t="str">
        <f ca="1">OFFSET(Database!$F34,0,COLUMN(Database!L34)*2-12)</f>
        <v>n.r.</v>
      </c>
      <c r="P34" s="8" t="str">
        <f ca="1">OFFSET(Database!$F34,0,COLUMN(Database!M34)*2-12)</f>
        <v>n.r.</v>
      </c>
      <c r="Q34" s="8" t="str">
        <f ca="1">OFFSET(Database!$F34,0,COLUMN(Database!N34)*2-12)</f>
        <v>n.r.</v>
      </c>
      <c r="R34" s="8" t="str">
        <f ca="1">OFFSET(Database!$F34,0,COLUMN(Database!O34)*2-12)</f>
        <v>n.r.</v>
      </c>
      <c r="S34" s="8" t="str">
        <f ca="1">OFFSET(Database!$F34,0,COLUMN(Database!P34)*2-12)</f>
        <v>n.r.</v>
      </c>
      <c r="T34" s="8" t="str">
        <f ca="1">OFFSET(Database!$F34,0,COLUMN(Database!Q34)*2-12)</f>
        <v>n.r.</v>
      </c>
      <c r="U34" s="8" t="str">
        <f ca="1">OFFSET(Database!$F34,0,COLUMN(Database!R34)*2-12)</f>
        <v>n.r.</v>
      </c>
      <c r="V34" s="8" t="str">
        <f ca="1">OFFSET(Database!$F34,0,COLUMN(Database!S34)*2-12)</f>
        <v>n.r.</v>
      </c>
      <c r="W34" s="8" t="str">
        <f ca="1">OFFSET(Database!$F34,0,COLUMN(Database!T34)*2-12)</f>
        <v>n.r.</v>
      </c>
      <c r="X34" s="8" t="str">
        <f ca="1">OFFSET(Database!$F34,0,COLUMN(Database!U34)*2-12)</f>
        <v>n.r.</v>
      </c>
      <c r="Y34" s="8" t="str">
        <f ca="1">OFFSET(Database!$F34,0,COLUMN(Database!V34)*2-12)</f>
        <v>n.r.</v>
      </c>
      <c r="Z34" s="8" t="str">
        <f ca="1">OFFSET(Database!$F34,0,COLUMN(Database!W34)*2-12)</f>
        <v>n.r.</v>
      </c>
      <c r="AA34" s="8" t="str">
        <f ca="1">OFFSET(Database!$F34,0,COLUMN(Database!X34)*2-12)</f>
        <v>n.r.</v>
      </c>
      <c r="AB34" s="8">
        <f ca="1">OFFSET(Database!$F34,0,COLUMN(Database!Y34)*2-12)</f>
        <v>1.4546159813809154</v>
      </c>
      <c r="AC34" s="8" t="str">
        <f ca="1">OFFSET(Database!$F34,0,COLUMN(Database!Z34)*2-12)</f>
        <v>n.r.</v>
      </c>
      <c r="AD34" s="8" t="str">
        <f ca="1">OFFSET(Database!$F34,0,COLUMN(Database!AA34)*2-12)</f>
        <v>n.r.</v>
      </c>
      <c r="AE34" s="8" t="str">
        <f ca="1">OFFSET(Database!$F34,0,COLUMN(Database!AB34)*2-12)</f>
        <v>n.r.</v>
      </c>
      <c r="AF34" s="8" t="str">
        <f ca="1">OFFSET(Database!$F34,0,COLUMN(Database!AC34)*2-12)</f>
        <v>n.r.</v>
      </c>
      <c r="AG34" s="8" t="str">
        <f ca="1">OFFSET(Database!$F34,0,COLUMN(Database!AD34)*2-12)</f>
        <v>n.r.</v>
      </c>
      <c r="AH34" s="8" t="str">
        <f ca="1">OFFSET(Database!$F34,0,COLUMN(Database!AE34)*2-12)</f>
        <v>n.r.</v>
      </c>
      <c r="AI34" s="8" t="str">
        <f ca="1">OFFSET(Database!$F34,0,COLUMN(Database!AF34)*2-12)</f>
        <v>n.r.</v>
      </c>
      <c r="AJ34" s="8" t="str">
        <f ca="1">OFFSET(Database!$F34,0,COLUMN(Database!AG34)*2-12)</f>
        <v>n.r.</v>
      </c>
      <c r="AK34" s="8" t="str">
        <f ca="1">OFFSET(Database!$F34,0,COLUMN(Database!AH34)*2-12)</f>
        <v>n.r.</v>
      </c>
      <c r="AL34" s="8" t="str">
        <f ca="1">OFFSET(Database!$F34,0,COLUMN(Database!AI34)*2-12)</f>
        <v>n.r.</v>
      </c>
      <c r="AM34" s="8" t="str">
        <f ca="1">OFFSET(Database!$F34,0,COLUMN(Database!AJ34)*2-12)</f>
        <v>n.r.</v>
      </c>
      <c r="AN34" s="8" t="str">
        <f ca="1">OFFSET(Database!$F34,0,COLUMN(Database!AK34)*2-12)</f>
        <v>n.r.</v>
      </c>
      <c r="AO34" s="8" t="str">
        <f ca="1">OFFSET(Database!$F34,0,COLUMN(Database!AL34)*2-12)</f>
        <v>n.r.</v>
      </c>
      <c r="AP34" s="8" t="str">
        <f ca="1">OFFSET(Database!$F34,0,COLUMN(Database!AM34)*2-12)</f>
        <v>n.r.</v>
      </c>
      <c r="AQ34" s="8" t="str">
        <f ca="1">OFFSET(Database!$F34,0,COLUMN(Database!AN34)*2-12)</f>
        <v>n.r.</v>
      </c>
      <c r="AR34" s="8" t="str">
        <f ca="1">OFFSET(Database!$F34,0,COLUMN(Database!AO34)*2-12)</f>
        <v>n.r.</v>
      </c>
      <c r="AS34" s="8" t="str">
        <f ca="1">OFFSET(Database!$F34,0,COLUMN(Database!AP34)*2-12)</f>
        <v>n.r.</v>
      </c>
      <c r="AT34" s="8" t="str">
        <f ca="1">OFFSET(Database!$F34,0,COLUMN(Database!AQ34)*2-12)</f>
        <v>n.r.</v>
      </c>
      <c r="AU34" s="8" t="str">
        <f ca="1">OFFSET(Database!$F34,0,COLUMN(Database!AR34)*2-12)</f>
        <v>n.r.</v>
      </c>
      <c r="AV34" s="8" t="str">
        <f ca="1">OFFSET(Database!$F34,0,COLUMN(Database!AS34)*2-12)</f>
        <v>n.r.</v>
      </c>
      <c r="AW34" s="8" t="str">
        <f ca="1">OFFSET(Database!$F34,0,COLUMN(Database!AT34)*2-12)</f>
        <v>n.r.</v>
      </c>
      <c r="AX34" s="8" t="str">
        <f ca="1">OFFSET(Database!$F34,0,COLUMN(Database!AU34)*2-12)</f>
        <v>n.r.</v>
      </c>
      <c r="AY34" s="8" t="str">
        <f ca="1">OFFSET(Database!$F34,0,COLUMN(Database!AV34)*2-12)</f>
        <v>n.r.</v>
      </c>
      <c r="AZ34" s="8" t="str">
        <f ca="1">OFFSET(Database!$F34,0,COLUMN(Database!AW34)*2-12)</f>
        <v>n.r.</v>
      </c>
      <c r="BA34" s="8" t="str">
        <f ca="1">OFFSET(Database!$F34,0,COLUMN(Database!AX34)*2-12)</f>
        <v>n.r.</v>
      </c>
      <c r="BB34" s="8" t="str">
        <f ca="1">OFFSET(Database!$F34,0,COLUMN(Database!AY34)*2-12)</f>
        <v>n.r.</v>
      </c>
      <c r="BC34" s="8" t="str">
        <f ca="1">OFFSET(Database!$F34,0,COLUMN(Database!AZ34)*2-12)</f>
        <v>n.r.</v>
      </c>
      <c r="BD34" s="8" t="str">
        <f ca="1">OFFSET(Database!$F34,0,COLUMN(Database!BA34)*2-12)</f>
        <v>n.r.</v>
      </c>
      <c r="BE34" s="8" t="str">
        <f ca="1">OFFSET(Database!$F34,0,COLUMN(Database!BB34)*2-12)</f>
        <v>n.r.</v>
      </c>
      <c r="BF34" s="8" t="str">
        <f ca="1">OFFSET(Database!$F34,0,COLUMN(Database!BC34)*2-12)</f>
        <v>n.r.</v>
      </c>
      <c r="BG34" s="8" t="str">
        <f ca="1">OFFSET(Database!$F34,0,COLUMN(Database!BD34)*2-12)</f>
        <v>n.r.</v>
      </c>
      <c r="BH34" s="8" t="str">
        <f ca="1">OFFSET(Database!$F34,0,COLUMN(Database!BE34)*2-12)</f>
        <v>n.r.</v>
      </c>
      <c r="BI34" s="8" t="str">
        <f ca="1">OFFSET(Database!$F34,0,COLUMN(Database!BF34)*2-12)</f>
        <v>n.r.</v>
      </c>
      <c r="BJ34" s="8" t="str">
        <f ca="1">OFFSET(Database!$F34,0,COLUMN(Database!BG34)*2-12)</f>
        <v>n.r.</v>
      </c>
      <c r="BK34" s="8" t="str">
        <f ca="1">OFFSET(Database!$F34,0,COLUMN(Database!BH34)*2-12)</f>
        <v>n.r.</v>
      </c>
      <c r="BL34" s="8" t="str">
        <f ca="1">OFFSET(Database!$F34,0,COLUMN(Database!BI34)*2-12)</f>
        <v>n.r.</v>
      </c>
      <c r="BM34" s="8" t="str">
        <f ca="1">OFFSET(Database!$F34,0,COLUMN(Database!BJ34)*2-12)</f>
        <v>n.r.</v>
      </c>
      <c r="BN34" s="8" t="str">
        <f ca="1">OFFSET(Database!$F34,0,COLUMN(Database!BK34)*2-12)</f>
        <v>n.r.</v>
      </c>
      <c r="BO34" s="8" t="str">
        <f ca="1">OFFSET(Database!$F34,0,COLUMN(Database!BL34)*2-12)</f>
        <v>n.r.</v>
      </c>
      <c r="BP34" s="8" t="str">
        <f ca="1">OFFSET(Database!$F34,0,COLUMN(Database!BM34)*2-12)</f>
        <v>n.r.</v>
      </c>
      <c r="BQ34" s="8" t="str">
        <f ca="1">OFFSET(Database!$F34,0,COLUMN(Database!BN34)*2-12)</f>
        <v>n.r.</v>
      </c>
      <c r="BR34" s="8" t="str">
        <f ca="1">OFFSET(Database!$F34,0,COLUMN(Database!BO34)*2-12)</f>
        <v>n.r.</v>
      </c>
      <c r="BS34" s="8" t="str">
        <f ca="1">OFFSET(Database!$F34,0,COLUMN(Database!BP34)*2-12)</f>
        <v>n.r.</v>
      </c>
      <c r="BT34" s="8" t="str">
        <f ca="1">OFFSET(Database!$F34,0,COLUMN(Database!BQ34)*2-12)</f>
        <v>n.r.</v>
      </c>
      <c r="BU34" s="8" t="str">
        <f ca="1">OFFSET(Database!$F34,0,COLUMN(Database!BR34)*2-12)</f>
        <v>n.r.</v>
      </c>
      <c r="BV34" s="8" t="str">
        <f ca="1">OFFSET(Database!$F34,0,COLUMN(Database!BS34)*2-12)</f>
        <v>n.r.</v>
      </c>
      <c r="BW34" s="8" t="str">
        <f ca="1">OFFSET(Database!$F34,0,COLUMN(Database!BT34)*2-12)</f>
        <v>n.r.</v>
      </c>
      <c r="BX34" s="8" t="str">
        <f ca="1">OFFSET(Database!$F34,0,COLUMN(Database!BU34)*2-12)</f>
        <v>n.r.</v>
      </c>
      <c r="BY34" s="8" t="str">
        <f ca="1">OFFSET(Database!$F34,0,COLUMN(Database!BV34)*2-12)</f>
        <v>n.r.</v>
      </c>
      <c r="BZ34" s="8" t="str">
        <f ca="1">OFFSET(Database!$F34,0,COLUMN(Database!BW34)*2-12)</f>
        <v>n.r.</v>
      </c>
      <c r="CA34" s="8" t="str">
        <f ca="1">OFFSET(Database!$F34,0,COLUMN(Database!BX34)*2-12)</f>
        <v>n.r.</v>
      </c>
      <c r="CB34" s="8" t="str">
        <f ca="1">OFFSET(Database!$F34,0,COLUMN(Database!BY34)*2-12)</f>
        <v>n.r.</v>
      </c>
      <c r="CC34" s="8" t="str">
        <f ca="1">OFFSET(Database!$F34,0,COLUMN(Database!BZ34)*2-12)</f>
        <v>n.r.</v>
      </c>
      <c r="CD34" s="8" t="str">
        <f ca="1">OFFSET(Database!$F34,0,COLUMN(Database!CA34)*2-12)</f>
        <v>n.r.</v>
      </c>
      <c r="CE34" s="8" t="str">
        <f ca="1">OFFSET(Database!$F34,0,COLUMN(Database!CB34)*2-12)</f>
        <v>n.r.</v>
      </c>
      <c r="CF34" s="8" t="str">
        <f ca="1">OFFSET(Database!$F34,0,COLUMN(Database!CC34)*2-12)</f>
        <v>n.r.</v>
      </c>
      <c r="CG34" s="8" t="str">
        <f ca="1">OFFSET(Database!$F34,0,COLUMN(Database!CD34)*2-12)</f>
        <v>n.r.</v>
      </c>
      <c r="CH34" s="8" t="str">
        <f ca="1">OFFSET(Database!$F34,0,COLUMN(Database!CE34)*2-12)</f>
        <v>n.r.</v>
      </c>
      <c r="CI34" s="8" t="str">
        <f ca="1">OFFSET(Database!$F34,0,COLUMN(Database!CF34)*2-12)</f>
        <v>n.r.</v>
      </c>
      <c r="CJ34" s="8" t="str">
        <f ca="1">OFFSET(Database!$F34,0,COLUMN(Database!CG34)*2-12)</f>
        <v>n.r.</v>
      </c>
      <c r="CK34" s="8" t="str">
        <f ca="1">OFFSET(Database!$F34,0,COLUMN(Database!CH34)*2-12)</f>
        <v>n.r.</v>
      </c>
      <c r="CL34" s="8" t="str">
        <f ca="1">OFFSET(Database!$F34,0,COLUMN(Database!CI34)*2-12)</f>
        <v>n.r.</v>
      </c>
      <c r="CM34" s="8" t="str">
        <f ca="1">OFFSET(Database!$F34,0,COLUMN(Database!CJ34)*2-12)</f>
        <v>n.r.</v>
      </c>
      <c r="CN34" s="8" t="str">
        <f ca="1">OFFSET(Database!$F34,0,COLUMN(Database!CK34)*2-12)</f>
        <v>n.r.</v>
      </c>
      <c r="CO34" s="8" t="str">
        <f ca="1">OFFSET(Database!$F34,0,COLUMN(Database!CL34)*2-12)</f>
        <v>n.r.</v>
      </c>
      <c r="CP34" s="8" t="str">
        <f ca="1">OFFSET(Database!$F34,0,COLUMN(Database!CM34)*2-12)</f>
        <v>n.r.</v>
      </c>
      <c r="CQ34" s="8" t="str">
        <f ca="1">OFFSET(Database!$F34,0,COLUMN(Database!CN34)*2-12)</f>
        <v>n.r.</v>
      </c>
      <c r="CR34" s="8" t="str">
        <f ca="1">OFFSET(Database!$F34,0,COLUMN(Database!CO34)*2-12)</f>
        <v>n.r.</v>
      </c>
      <c r="CS34" s="8" t="str">
        <f ca="1">OFFSET(Database!$F34,0,COLUMN(Database!CP34)*2-12)</f>
        <v>n.r.</v>
      </c>
      <c r="CT34" s="8" t="str">
        <f ca="1">OFFSET(Database!$F34,0,COLUMN(Database!CQ34)*2-12)</f>
        <v>n.r.</v>
      </c>
      <c r="CU34" s="8" t="str">
        <f ca="1">OFFSET(Database!$F34,0,COLUMN(Database!CR34)*2-12)</f>
        <v>n.r.</v>
      </c>
      <c r="CV34" s="8" t="str">
        <f ca="1">OFFSET(Database!$F34,0,COLUMN(Database!CS34)*2-12)</f>
        <v>n.r.</v>
      </c>
      <c r="CW34" s="8" t="str">
        <f ca="1">OFFSET(Database!$F34,0,COLUMN(Database!CT34)*2-12)</f>
        <v>n.r.</v>
      </c>
      <c r="CX34" s="8" t="str">
        <f ca="1">OFFSET(Database!$F34,0,COLUMN(Database!CU34)*2-12)</f>
        <v>n.r.</v>
      </c>
      <c r="CY34" s="8" t="str">
        <f ca="1">OFFSET(Database!$F34,0,COLUMN(Database!CV34)*2-12)</f>
        <v>n.r.</v>
      </c>
      <c r="CZ34" s="8" t="str">
        <f ca="1">OFFSET(Database!$F34,0,COLUMN(Database!CW34)*2-12)</f>
        <v>n.r.</v>
      </c>
      <c r="DA34" s="8" t="str">
        <f ca="1">OFFSET(Database!$F34,0,COLUMN(Database!CX34)*2-12)</f>
        <v>n.r.</v>
      </c>
      <c r="DB34" s="8">
        <f ca="1">OFFSET(Database!$F34,0,COLUMN(Database!CY34)*2-12)</f>
        <v>0.2</v>
      </c>
      <c r="DC34" s="8">
        <f ca="1">OFFSET(Database!$F34,0,COLUMN(Database!CZ34)*2-12)</f>
        <v>0.28999999999999998</v>
      </c>
      <c r="DD34" s="8">
        <f ca="1">OFFSET(Database!$F34,0,COLUMN(Database!DA34)*2-12)</f>
        <v>0.16</v>
      </c>
      <c r="DE34" s="8" t="str">
        <f ca="1">OFFSET(Database!$F34,0,COLUMN(Database!DB34)*2-12)</f>
        <v>n.r.</v>
      </c>
      <c r="DF34" s="8" t="str">
        <f ca="1">OFFSET(Database!$F34,0,COLUMN(Database!DC34)*2-12)</f>
        <v>n.r.</v>
      </c>
      <c r="DG34" s="8" t="str">
        <f ca="1">OFFSET(Database!$F34,0,COLUMN(Database!DD34)*2-12)</f>
        <v>n.r.</v>
      </c>
      <c r="DH34" s="8" t="str">
        <f ca="1">OFFSET(Database!$F34,0,COLUMN(Database!DE34)*2-12)</f>
        <v>n.r.</v>
      </c>
      <c r="DI34" s="8" t="str">
        <f ca="1">OFFSET(Database!$F34,0,COLUMN(Database!DF34)*2-12)</f>
        <v>n.r.</v>
      </c>
      <c r="DJ34" s="8" t="str">
        <f ca="1">OFFSET(Database!$F34,0,COLUMN(Database!DG34)*2-12)</f>
        <v>n.r.</v>
      </c>
      <c r="DK34" s="8" t="str">
        <f ca="1">OFFSET(Database!$F34,0,COLUMN(Database!DH34)*2-12)</f>
        <v>n.r.</v>
      </c>
      <c r="DL34" s="8" t="str">
        <f ca="1">OFFSET(Database!$F34,0,COLUMN(Database!DI34)*2-12)</f>
        <v>n.r.</v>
      </c>
      <c r="DM34" s="8" t="str">
        <f ca="1">OFFSET(Database!$F34,0,COLUMN(Database!DJ34)*2-12)</f>
        <v>n.r.</v>
      </c>
      <c r="DN34" s="8" t="str">
        <f ca="1">OFFSET(Database!$F34,0,COLUMN(Database!DK34)*2-12)</f>
        <v>n.r.</v>
      </c>
      <c r="DO34" s="8" t="str">
        <f ca="1">OFFSET(Database!$F34,0,COLUMN(Database!DL34)*2-12)</f>
        <v>n.r.</v>
      </c>
      <c r="DP34" s="8" t="str">
        <f ca="1">OFFSET(Database!$F34,0,COLUMN(Database!DM34)*2-12)</f>
        <v>n.r.</v>
      </c>
      <c r="DQ34" s="8" t="str">
        <f ca="1">OFFSET(Database!$F34,0,COLUMN(Database!DN34)*2-12)</f>
        <v>n.r.</v>
      </c>
      <c r="DR34" s="8" t="str">
        <f ca="1">OFFSET(Database!$F34,0,COLUMN(Database!DO34)*2-12)</f>
        <v>n.r.</v>
      </c>
      <c r="DS34" s="8" t="str">
        <f ca="1">OFFSET(Database!$F34,0,COLUMN(Database!DP34)*2-12)</f>
        <v>n.r.</v>
      </c>
      <c r="DT34" s="8" t="str">
        <f ca="1">OFFSET(Database!$F34,0,COLUMN(Database!DQ34)*2-12)</f>
        <v>n.r.</v>
      </c>
      <c r="DU34" s="8" t="str">
        <f ca="1">OFFSET(Database!$F34,0,COLUMN(Database!DR34)*2-12)</f>
        <v>n.r.</v>
      </c>
      <c r="DV34" s="8" t="str">
        <f ca="1">OFFSET(Database!$F34,0,COLUMN(Database!DS34)*2-12)</f>
        <v>n.r.</v>
      </c>
      <c r="DW34" s="8" t="str">
        <f ca="1">OFFSET(Database!$F34,0,COLUMN(Database!DT34)*2-12)</f>
        <v>n.r.</v>
      </c>
      <c r="DX34" s="8" t="str">
        <f ca="1">OFFSET(Database!$F34,0,COLUMN(Database!DU34)*2-12)</f>
        <v>n.r.</v>
      </c>
      <c r="DY34" s="8" t="str">
        <f ca="1">OFFSET(Database!$F34,0,COLUMN(Database!DV34)*2-12)</f>
        <v>n.r.</v>
      </c>
      <c r="DZ34" s="8" t="str">
        <f ca="1">OFFSET(Database!$F34,0,COLUMN(Database!DW34)*2-12)</f>
        <v>n.r.</v>
      </c>
      <c r="EA34" s="8" t="str">
        <f ca="1">OFFSET(Database!$F34,0,COLUMN(Database!DX34)*2-12)</f>
        <v>n.r.</v>
      </c>
      <c r="EB34" s="8" t="str">
        <f ca="1">OFFSET(Database!$F34,0,COLUMN(Database!DY34)*2-12)</f>
        <v>n.r.</v>
      </c>
      <c r="EC34" s="8" t="str">
        <f ca="1">OFFSET(Database!$F34,0,COLUMN(Database!DZ34)*2-12)</f>
        <v>n.r.</v>
      </c>
      <c r="ED34" s="8" t="str">
        <f ca="1">OFFSET(Database!$F34,0,COLUMN(Database!EA34)*2-12)</f>
        <v>n.r</v>
      </c>
      <c r="EE34" s="8" t="str">
        <f ca="1">OFFSET(Database!$F34,0,COLUMN(Database!EB34)*2-12)</f>
        <v>n.r.</v>
      </c>
      <c r="EF34" s="8" t="str">
        <f ca="1">OFFSET(Database!$F34,0,COLUMN(Database!EC34)*2-12)</f>
        <v>n.r.</v>
      </c>
      <c r="EG34" s="8" t="str">
        <f ca="1">OFFSET(Database!$F34,0,COLUMN(Database!ED34)*2-12)</f>
        <v>n.r.</v>
      </c>
      <c r="EH34" s="8" t="str">
        <f ca="1">OFFSET(Database!$F34,0,COLUMN(Database!EE34)*2-12)</f>
        <v>n.r.</v>
      </c>
      <c r="EI34" s="8" t="str">
        <f ca="1">OFFSET(Database!$F34,0,COLUMN(Database!EF34)*2-12)</f>
        <v>n.r.</v>
      </c>
      <c r="EJ34" s="8" t="str">
        <f ca="1">OFFSET(Database!$F34,0,COLUMN(Database!EG34)*2-12)</f>
        <v>n.r.</v>
      </c>
      <c r="EK34" s="8" t="str">
        <f ca="1">OFFSET(Database!$F34,0,COLUMN(Database!EH34)*2-12)</f>
        <v>n.r.</v>
      </c>
      <c r="EL34" s="8" t="str">
        <f ca="1">OFFSET(Database!$F34,0,COLUMN(Database!EI34)*2-12)</f>
        <v>n.r.</v>
      </c>
      <c r="EM34" s="8" t="str">
        <f ca="1">OFFSET(Database!$F34,0,COLUMN(Database!EJ34)*2-12)</f>
        <v>n.r.</v>
      </c>
      <c r="EN34" s="8" t="str">
        <f ca="1">OFFSET(Database!$F34,0,COLUMN(Database!EK34)*2-12)</f>
        <v>n.r.</v>
      </c>
      <c r="EO34" s="8" t="str">
        <f ca="1">OFFSET(Database!$F34,0,COLUMN(Database!EL34)*2-12)</f>
        <v>n.r.</v>
      </c>
      <c r="EP34" s="8" t="str">
        <f ca="1">OFFSET(Database!$F34,0,COLUMN(Database!EM34)*2-12)</f>
        <v>n.r.</v>
      </c>
      <c r="EQ34" s="8" t="str">
        <f ca="1">OFFSET(Database!$F34,0,COLUMN(Database!EN34)*2-12)</f>
        <v>n.r.</v>
      </c>
      <c r="ER34" s="8" t="str">
        <f ca="1">OFFSET(Database!$F34,0,COLUMN(Database!EO34)*2-12)</f>
        <v>n.r.</v>
      </c>
      <c r="ES34" s="8" t="str">
        <f ca="1">OFFSET(Database!$F34,0,COLUMN(Database!EP34)*2-12)</f>
        <v>n.r.</v>
      </c>
      <c r="ET34" s="8" t="str">
        <f ca="1">OFFSET(Database!$F34,0,COLUMN(Database!EQ34)*2-12)</f>
        <v>n.r.</v>
      </c>
      <c r="EU34" s="8" t="str">
        <f ca="1">OFFSET(Database!$F34,0,COLUMN(Database!ER34)*2-12)</f>
        <v>n.r.</v>
      </c>
      <c r="EV34" s="8" t="str">
        <f ca="1">OFFSET(Database!$F34,0,COLUMN(Database!ES34)*2-12)</f>
        <v>n.r.</v>
      </c>
      <c r="EW34" s="8" t="str">
        <f ca="1">OFFSET(Database!$F34,0,COLUMN(Database!ET34)*2-12)</f>
        <v>n.r.</v>
      </c>
      <c r="EX34" s="8" t="str">
        <f ca="1">OFFSET(Database!$F34,0,COLUMN(Database!EU34)*2-12)</f>
        <v>n.r.</v>
      </c>
      <c r="EY34" s="8" t="str">
        <f ca="1">OFFSET(Database!$F34,0,COLUMN(Database!EV34)*2-12)</f>
        <v>n.r.</v>
      </c>
      <c r="EZ34" s="8" t="str">
        <f ca="1">OFFSET(Database!$F34,0,COLUMN(Database!EW34)*2-12)</f>
        <v>n.r.</v>
      </c>
      <c r="FA34" s="8" t="str">
        <f ca="1">OFFSET(Database!$F34,0,COLUMN(Database!EX34)*2-12)</f>
        <v>n.r.</v>
      </c>
      <c r="FB34" s="8" t="str">
        <f ca="1">OFFSET(Database!$F34,0,COLUMN(Database!EY34)*2-12)</f>
        <v>n.r.</v>
      </c>
      <c r="FC34" s="8" t="str">
        <f ca="1">OFFSET(Database!$F34,0,COLUMN(Database!EZ34)*2-12)</f>
        <v>n.r.</v>
      </c>
      <c r="FD34" s="8" t="str">
        <f ca="1">OFFSET(Database!$F34,0,COLUMN(Database!FA34)*2-12)</f>
        <v>n.r.</v>
      </c>
      <c r="FE34" s="8" t="str">
        <f ca="1">OFFSET(Database!$F34,0,COLUMN(Database!FB34)*2-12)</f>
        <v>n.r.</v>
      </c>
      <c r="FF34" s="8" t="str">
        <f ca="1">OFFSET(Database!$F34,0,COLUMN(Database!FC34)*2-12)</f>
        <v>n.r.</v>
      </c>
      <c r="FG34" s="8" t="str">
        <f ca="1">OFFSET(Database!$F34,0,COLUMN(Database!FD34)*2-12)</f>
        <v>n.r.</v>
      </c>
      <c r="FH34" s="8" t="str">
        <f ca="1">OFFSET(Database!$F34,0,COLUMN(Database!FE34)*2-12)</f>
        <v>n.r.</v>
      </c>
      <c r="FI34" s="8" t="str">
        <f ca="1">OFFSET(Database!$F34,0,COLUMN(Database!FF34)*2-12)</f>
        <v>n.r.</v>
      </c>
      <c r="FJ34" s="8" t="str">
        <f ca="1">OFFSET(Database!$F34,0,COLUMN(Database!FG34)*2-12)</f>
        <v>n.r.</v>
      </c>
      <c r="FK34" s="8" t="str">
        <f ca="1">OFFSET(Database!$F34,0,COLUMN(Database!FH34)*2-12)</f>
        <v>n.r.</v>
      </c>
      <c r="FL34" s="8" t="str">
        <f ca="1">OFFSET(Database!$F34,0,COLUMN(Database!FI34)*2-12)</f>
        <v>n.r.</v>
      </c>
      <c r="FM34" s="8" t="str">
        <f ca="1">OFFSET(Database!$F34,0,COLUMN(Database!FJ34)*2-12)</f>
        <v>n.r.</v>
      </c>
      <c r="FN34" s="8" t="str">
        <f ca="1">OFFSET(Database!$F34,0,COLUMN(Database!FK34)*2-12)</f>
        <v>n.r.</v>
      </c>
      <c r="FO34" s="8" t="str">
        <f ca="1">OFFSET(Database!$F34,0,COLUMN(Database!FL34)*2-12)</f>
        <v>n.r.</v>
      </c>
      <c r="FP34" s="8" t="str">
        <f ca="1">OFFSET(Database!$F34,0,COLUMN(Database!FM34)*2-12)</f>
        <v>n.r.</v>
      </c>
      <c r="FQ34" s="8" t="str">
        <f ca="1">OFFSET(Database!$F34,0,COLUMN(Database!FN34)*2-12)</f>
        <v>n.r.</v>
      </c>
      <c r="FR34" s="8" t="str">
        <f ca="1">OFFSET(Database!$F34,0,COLUMN(Database!FO34)*2-12)</f>
        <v>n.r.</v>
      </c>
      <c r="FS34" s="8" t="str">
        <f ca="1">OFFSET(Database!$F34,0,COLUMN(Database!FP34)*2-12)</f>
        <v>n.r.</v>
      </c>
      <c r="FT34" s="8" t="str">
        <f ca="1">OFFSET(Database!$F34,0,COLUMN(Database!FQ34)*2-12)</f>
        <v>n.r.</v>
      </c>
      <c r="FU34" s="8" t="str">
        <f ca="1">OFFSET(Database!$F34,0,COLUMN(Database!FR34)*2-12)</f>
        <v>n.r.</v>
      </c>
      <c r="FV34" s="8" t="str">
        <f ca="1">OFFSET(Database!$F34,0,COLUMN(Database!FS34)*2-12)</f>
        <v>n.r.</v>
      </c>
      <c r="FW34" s="8" t="str">
        <f ca="1">OFFSET(Database!$F34,0,COLUMN(Database!FT34)*2-12)</f>
        <v>n.r.</v>
      </c>
      <c r="FX34" s="8" t="str">
        <f ca="1">OFFSET(Database!$F34,0,COLUMN(Database!FU34)*2-12)</f>
        <v>n.r.</v>
      </c>
      <c r="FY34" s="8" t="str">
        <f ca="1">OFFSET(Database!$F34,0,COLUMN(Database!FV34)*2-12)</f>
        <v>n.r.</v>
      </c>
      <c r="FZ34" s="8" t="str">
        <f ca="1">OFFSET(Database!$F34,0,COLUMN(Database!FW34)*2-12)</f>
        <v>n.r.</v>
      </c>
      <c r="GA34" s="8" t="str">
        <f ca="1">OFFSET(Database!$F34,0,COLUMN(Database!FX34)*2-12)</f>
        <v>n.r.</v>
      </c>
      <c r="GB34" s="8" t="str">
        <f ca="1">OFFSET(Database!$F34,0,COLUMN(Database!FY34)*2-12)</f>
        <v>n.r.</v>
      </c>
      <c r="GC34" s="8" t="str">
        <f ca="1">OFFSET(Database!$F34,0,COLUMN(Database!FZ34)*2-12)</f>
        <v>n.r.</v>
      </c>
      <c r="GD34" s="8" t="str">
        <f ca="1">OFFSET(Database!$F34,0,COLUMN(Database!GA34)*2-12)</f>
        <v>n.r.</v>
      </c>
      <c r="GE34" s="8" t="str">
        <f ca="1">OFFSET(Database!$F34,0,COLUMN(Database!GB34)*2-12)</f>
        <v>n.r.</v>
      </c>
      <c r="GF34" s="8" t="str">
        <f ca="1">OFFSET(Database!$F34,0,COLUMN(Database!GC34)*2-12)</f>
        <v>n.r.</v>
      </c>
      <c r="GG34" s="8" t="str">
        <f ca="1">OFFSET(Database!$F34,0,COLUMN(Database!GD34)*2-12)</f>
        <v>n.r.</v>
      </c>
      <c r="GH34" s="8" t="str">
        <f ca="1">OFFSET(Database!$F34,0,COLUMN(Database!GE34)*2-12)</f>
        <v>n.r.</v>
      </c>
      <c r="GI34" s="8" t="str">
        <f ca="1">OFFSET(Database!$F34,0,COLUMN(Database!GF34)*2-12)</f>
        <v>n.r.</v>
      </c>
      <c r="GJ34" s="8" t="str">
        <f ca="1">OFFSET(Database!$F34,0,COLUMN(Database!GG34)*2-12)</f>
        <v>n.r.</v>
      </c>
      <c r="GK34" s="8" t="str">
        <f ca="1">OFFSET(Database!$F34,0,COLUMN(Database!GH34)*2-12)</f>
        <v>n.r.</v>
      </c>
      <c r="GL34" s="8" t="str">
        <f ca="1">OFFSET(Database!$F34,0,COLUMN(Database!GI34)*2-12)</f>
        <v>n.r.</v>
      </c>
      <c r="GM34" s="8" t="str">
        <f ca="1">OFFSET(Database!$F34,0,COLUMN(Database!GJ34)*2-12)</f>
        <v>n.r.</v>
      </c>
      <c r="GN34" s="8" t="str">
        <f ca="1">OFFSET(Database!$F34,0,COLUMN(Database!GK34)*2-12)</f>
        <v>n.r.</v>
      </c>
      <c r="GO34" s="8" t="str">
        <f ca="1">OFFSET(Database!$F34,0,COLUMN(Database!GL34)*2-12)</f>
        <v>n.d.</v>
      </c>
      <c r="GP34" s="8">
        <f ca="1">OFFSET(Database!$F34,0,COLUMN(Database!GM34)*2-12)</f>
        <v>155.15903801396431</v>
      </c>
    </row>
    <row r="35" spans="1:198" x14ac:dyDescent="0.2">
      <c r="A35" s="50" t="str">
        <f>Database!A35</f>
        <v>L-β-aminoisobutyric acid</v>
      </c>
      <c r="B35" s="32" t="s">
        <v>892</v>
      </c>
      <c r="C35" s="4" t="str">
        <f>Database!B35</f>
        <v>β</v>
      </c>
      <c r="D35" s="4" t="str">
        <f>Database!C35</f>
        <v>L</v>
      </c>
      <c r="E35" s="74">
        <f>Database!D35</f>
        <v>5</v>
      </c>
      <c r="F35" s="32" t="s">
        <v>918</v>
      </c>
      <c r="G35" s="1">
        <v>439434</v>
      </c>
      <c r="H35" s="1">
        <f>Database!E35</f>
        <v>103.12</v>
      </c>
      <c r="I35" s="8" t="str">
        <f ca="1">OFFSET(Database!$F35,0,COLUMN(Database!F35)*2-12)</f>
        <v>n.r.</v>
      </c>
      <c r="J35" s="8" t="str">
        <f ca="1">OFFSET(Database!$F35,0,COLUMN(Database!G35)*2-12)</f>
        <v>n.r.</v>
      </c>
      <c r="K35" s="8" t="str">
        <f ca="1">OFFSET(Database!$F35,0,COLUMN(Database!H35)*2-12)</f>
        <v>n.r.</v>
      </c>
      <c r="L35" s="8" t="str">
        <f ca="1">OFFSET(Database!$F35,0,COLUMN(Database!I35)*2-12)</f>
        <v>n.r.</v>
      </c>
      <c r="M35" s="8" t="str">
        <f ca="1">OFFSET(Database!$F35,0,COLUMN(Database!J35)*2-12)</f>
        <v>n.r.</v>
      </c>
      <c r="N35" s="8" t="str">
        <f ca="1">OFFSET(Database!$F35,0,COLUMN(Database!K35)*2-12)</f>
        <v>n.r.</v>
      </c>
      <c r="O35" s="8" t="str">
        <f ca="1">OFFSET(Database!$F35,0,COLUMN(Database!L35)*2-12)</f>
        <v>n.r.</v>
      </c>
      <c r="P35" s="8" t="str">
        <f ca="1">OFFSET(Database!$F35,0,COLUMN(Database!M35)*2-12)</f>
        <v>n.r.</v>
      </c>
      <c r="Q35" s="8" t="str">
        <f ca="1">OFFSET(Database!$F35,0,COLUMN(Database!N35)*2-12)</f>
        <v>n.r.</v>
      </c>
      <c r="R35" s="8" t="str">
        <f ca="1">OFFSET(Database!$F35,0,COLUMN(Database!O35)*2-12)</f>
        <v>n.r.</v>
      </c>
      <c r="S35" s="8" t="str">
        <f ca="1">OFFSET(Database!$F35,0,COLUMN(Database!P35)*2-12)</f>
        <v>n.r.</v>
      </c>
      <c r="T35" s="8" t="str">
        <f ca="1">OFFSET(Database!$F35,0,COLUMN(Database!Q35)*2-12)</f>
        <v>n.r.</v>
      </c>
      <c r="U35" s="8" t="str">
        <f ca="1">OFFSET(Database!$F35,0,COLUMN(Database!R35)*2-12)</f>
        <v>n.r.</v>
      </c>
      <c r="V35" s="8" t="str">
        <f ca="1">OFFSET(Database!$F35,0,COLUMN(Database!S35)*2-12)</f>
        <v>n.r.</v>
      </c>
      <c r="W35" s="8" t="str">
        <f ca="1">OFFSET(Database!$F35,0,COLUMN(Database!T35)*2-12)</f>
        <v>n.r.</v>
      </c>
      <c r="X35" s="8" t="str">
        <f ca="1">OFFSET(Database!$F35,0,COLUMN(Database!U35)*2-12)</f>
        <v>n.r.</v>
      </c>
      <c r="Y35" s="8" t="str">
        <f ca="1">OFFSET(Database!$F35,0,COLUMN(Database!V35)*2-12)</f>
        <v>n.r.</v>
      </c>
      <c r="Z35" s="8" t="str">
        <f ca="1">OFFSET(Database!$F35,0,COLUMN(Database!W35)*2-12)</f>
        <v>n.r.</v>
      </c>
      <c r="AA35" s="8" t="str">
        <f ca="1">OFFSET(Database!$F35,0,COLUMN(Database!X35)*2-12)</f>
        <v>n.r.</v>
      </c>
      <c r="AB35" s="8">
        <f ca="1">OFFSET(Database!$F35,0,COLUMN(Database!Y35)*2-12)</f>
        <v>1.2703646237393327</v>
      </c>
      <c r="AC35" s="8" t="str">
        <f ca="1">OFFSET(Database!$F35,0,COLUMN(Database!Z35)*2-12)</f>
        <v>n.r.</v>
      </c>
      <c r="AD35" s="8" t="str">
        <f ca="1">OFFSET(Database!$F35,0,COLUMN(Database!AA35)*2-12)</f>
        <v>n.r.</v>
      </c>
      <c r="AE35" s="8" t="str">
        <f ca="1">OFFSET(Database!$F35,0,COLUMN(Database!AB35)*2-12)</f>
        <v>n.r.</v>
      </c>
      <c r="AF35" s="8" t="str">
        <f ca="1">OFFSET(Database!$F35,0,COLUMN(Database!AC35)*2-12)</f>
        <v>n.r.</v>
      </c>
      <c r="AG35" s="8" t="str">
        <f ca="1">OFFSET(Database!$F35,0,COLUMN(Database!AD35)*2-12)</f>
        <v>n.r.</v>
      </c>
      <c r="AH35" s="8" t="str">
        <f ca="1">OFFSET(Database!$F35,0,COLUMN(Database!AE35)*2-12)</f>
        <v>n.r.</v>
      </c>
      <c r="AI35" s="8" t="str">
        <f ca="1">OFFSET(Database!$F35,0,COLUMN(Database!AF35)*2-12)</f>
        <v>n.r.</v>
      </c>
      <c r="AJ35" s="8" t="str">
        <f ca="1">OFFSET(Database!$F35,0,COLUMN(Database!AG35)*2-12)</f>
        <v>n.r.</v>
      </c>
      <c r="AK35" s="8" t="str">
        <f ca="1">OFFSET(Database!$F35,0,COLUMN(Database!AH35)*2-12)</f>
        <v>n.r.</v>
      </c>
      <c r="AL35" s="8" t="str">
        <f ca="1">OFFSET(Database!$F35,0,COLUMN(Database!AI35)*2-12)</f>
        <v>n.r.</v>
      </c>
      <c r="AM35" s="8" t="str">
        <f ca="1">OFFSET(Database!$F35,0,COLUMN(Database!AJ35)*2-12)</f>
        <v>n.r.</v>
      </c>
      <c r="AN35" s="8" t="str">
        <f ca="1">OFFSET(Database!$F35,0,COLUMN(Database!AK35)*2-12)</f>
        <v>n.r.</v>
      </c>
      <c r="AO35" s="8" t="str">
        <f ca="1">OFFSET(Database!$F35,0,COLUMN(Database!AL35)*2-12)</f>
        <v>n.r.</v>
      </c>
      <c r="AP35" s="8" t="str">
        <f ca="1">OFFSET(Database!$F35,0,COLUMN(Database!AM35)*2-12)</f>
        <v>n.r.</v>
      </c>
      <c r="AQ35" s="8" t="str">
        <f ca="1">OFFSET(Database!$F35,0,COLUMN(Database!AN35)*2-12)</f>
        <v>n.r.</v>
      </c>
      <c r="AR35" s="8" t="str">
        <f ca="1">OFFSET(Database!$F35,0,COLUMN(Database!AO35)*2-12)</f>
        <v>n.r.</v>
      </c>
      <c r="AS35" s="8" t="str">
        <f ca="1">OFFSET(Database!$F35,0,COLUMN(Database!AP35)*2-12)</f>
        <v>n.r.</v>
      </c>
      <c r="AT35" s="8" t="str">
        <f ca="1">OFFSET(Database!$F35,0,COLUMN(Database!AQ35)*2-12)</f>
        <v>n.r.</v>
      </c>
      <c r="AU35" s="8" t="str">
        <f ca="1">OFFSET(Database!$F35,0,COLUMN(Database!AR35)*2-12)</f>
        <v>n.r.</v>
      </c>
      <c r="AV35" s="8" t="str">
        <f ca="1">OFFSET(Database!$F35,0,COLUMN(Database!AS35)*2-12)</f>
        <v>n.r.</v>
      </c>
      <c r="AW35" s="8" t="str">
        <f ca="1">OFFSET(Database!$F35,0,COLUMN(Database!AT35)*2-12)</f>
        <v>n.r.</v>
      </c>
      <c r="AX35" s="8" t="str">
        <f ca="1">OFFSET(Database!$F35,0,COLUMN(Database!AU35)*2-12)</f>
        <v>n.r.</v>
      </c>
      <c r="AY35" s="8" t="str">
        <f ca="1">OFFSET(Database!$F35,0,COLUMN(Database!AV35)*2-12)</f>
        <v>n.r.</v>
      </c>
      <c r="AZ35" s="8" t="str">
        <f ca="1">OFFSET(Database!$F35,0,COLUMN(Database!AW35)*2-12)</f>
        <v>n.r.</v>
      </c>
      <c r="BA35" s="8" t="str">
        <f ca="1">OFFSET(Database!$F35,0,COLUMN(Database!AX35)*2-12)</f>
        <v>n.r.</v>
      </c>
      <c r="BB35" s="8" t="str">
        <f ca="1">OFFSET(Database!$F35,0,COLUMN(Database!AY35)*2-12)</f>
        <v>n.r.</v>
      </c>
      <c r="BC35" s="8" t="str">
        <f ca="1">OFFSET(Database!$F35,0,COLUMN(Database!AZ35)*2-12)</f>
        <v>n.r.</v>
      </c>
      <c r="BD35" s="8" t="str">
        <f ca="1">OFFSET(Database!$F35,0,COLUMN(Database!BA35)*2-12)</f>
        <v>n.r.</v>
      </c>
      <c r="BE35" s="8" t="str">
        <f ca="1">OFFSET(Database!$F35,0,COLUMN(Database!BB35)*2-12)</f>
        <v>n.r.</v>
      </c>
      <c r="BF35" s="8" t="str">
        <f ca="1">OFFSET(Database!$F35,0,COLUMN(Database!BC35)*2-12)</f>
        <v>n.r.</v>
      </c>
      <c r="BG35" s="8" t="str">
        <f ca="1">OFFSET(Database!$F35,0,COLUMN(Database!BD35)*2-12)</f>
        <v>n.r.</v>
      </c>
      <c r="BH35" s="8" t="str">
        <f ca="1">OFFSET(Database!$F35,0,COLUMN(Database!BE35)*2-12)</f>
        <v>n.r.</v>
      </c>
      <c r="BI35" s="8" t="str">
        <f ca="1">OFFSET(Database!$F35,0,COLUMN(Database!BF35)*2-12)</f>
        <v>n.r.</v>
      </c>
      <c r="BJ35" s="8" t="str">
        <f ca="1">OFFSET(Database!$F35,0,COLUMN(Database!BG35)*2-12)</f>
        <v>n.r.</v>
      </c>
      <c r="BK35" s="8" t="str">
        <f ca="1">OFFSET(Database!$F35,0,COLUMN(Database!BH35)*2-12)</f>
        <v>n.r.</v>
      </c>
      <c r="BL35" s="8" t="str">
        <f ca="1">OFFSET(Database!$F35,0,COLUMN(Database!BI35)*2-12)</f>
        <v>n.r.</v>
      </c>
      <c r="BM35" s="8" t="str">
        <f ca="1">OFFSET(Database!$F35,0,COLUMN(Database!BJ35)*2-12)</f>
        <v>n.r.</v>
      </c>
      <c r="BN35" s="8" t="str">
        <f ca="1">OFFSET(Database!$F35,0,COLUMN(Database!BK35)*2-12)</f>
        <v>n.r.</v>
      </c>
      <c r="BO35" s="8" t="str">
        <f ca="1">OFFSET(Database!$F35,0,COLUMN(Database!BL35)*2-12)</f>
        <v>n.r.</v>
      </c>
      <c r="BP35" s="8" t="str">
        <f ca="1">OFFSET(Database!$F35,0,COLUMN(Database!BM35)*2-12)</f>
        <v>n.r.</v>
      </c>
      <c r="BQ35" s="8" t="str">
        <f ca="1">OFFSET(Database!$F35,0,COLUMN(Database!BN35)*2-12)</f>
        <v>n.r.</v>
      </c>
      <c r="BR35" s="8" t="str">
        <f ca="1">OFFSET(Database!$F35,0,COLUMN(Database!BO35)*2-12)</f>
        <v>n.r.</v>
      </c>
      <c r="BS35" s="8" t="str">
        <f ca="1">OFFSET(Database!$F35,0,COLUMN(Database!BP35)*2-12)</f>
        <v>n.r.</v>
      </c>
      <c r="BT35" s="8" t="str">
        <f ca="1">OFFSET(Database!$F35,0,COLUMN(Database!BQ35)*2-12)</f>
        <v>n.r.</v>
      </c>
      <c r="BU35" s="8" t="str">
        <f ca="1">OFFSET(Database!$F35,0,COLUMN(Database!BR35)*2-12)</f>
        <v>n.r.</v>
      </c>
      <c r="BV35" s="8" t="str">
        <f ca="1">OFFSET(Database!$F35,0,COLUMN(Database!BS35)*2-12)</f>
        <v>n.r.</v>
      </c>
      <c r="BW35" s="8" t="str">
        <f ca="1">OFFSET(Database!$F35,0,COLUMN(Database!BT35)*2-12)</f>
        <v>n.r.</v>
      </c>
      <c r="BX35" s="8" t="str">
        <f ca="1">OFFSET(Database!$F35,0,COLUMN(Database!BU35)*2-12)</f>
        <v>n.r.</v>
      </c>
      <c r="BY35" s="8" t="str">
        <f ca="1">OFFSET(Database!$F35,0,COLUMN(Database!BV35)*2-12)</f>
        <v>n.r.</v>
      </c>
      <c r="BZ35" s="8" t="str">
        <f ca="1">OFFSET(Database!$F35,0,COLUMN(Database!BW35)*2-12)</f>
        <v>n.r.</v>
      </c>
      <c r="CA35" s="8" t="str">
        <f ca="1">OFFSET(Database!$F35,0,COLUMN(Database!BX35)*2-12)</f>
        <v>n.r.</v>
      </c>
      <c r="CB35" s="8" t="str">
        <f ca="1">OFFSET(Database!$F35,0,COLUMN(Database!BY35)*2-12)</f>
        <v>n.r.</v>
      </c>
      <c r="CC35" s="8" t="str">
        <f ca="1">OFFSET(Database!$F35,0,COLUMN(Database!BZ35)*2-12)</f>
        <v>n.r.</v>
      </c>
      <c r="CD35" s="8" t="str">
        <f ca="1">OFFSET(Database!$F35,0,COLUMN(Database!CA35)*2-12)</f>
        <v>n.r.</v>
      </c>
      <c r="CE35" s="8" t="str">
        <f ca="1">OFFSET(Database!$F35,0,COLUMN(Database!CB35)*2-12)</f>
        <v>n.r.</v>
      </c>
      <c r="CF35" s="8" t="str">
        <f ca="1">OFFSET(Database!$F35,0,COLUMN(Database!CC35)*2-12)</f>
        <v>n.r.</v>
      </c>
      <c r="CG35" s="8" t="str">
        <f ca="1">OFFSET(Database!$F35,0,COLUMN(Database!CD35)*2-12)</f>
        <v>n.r.</v>
      </c>
      <c r="CH35" s="8" t="str">
        <f ca="1">OFFSET(Database!$F35,0,COLUMN(Database!CE35)*2-12)</f>
        <v>n.r.</v>
      </c>
      <c r="CI35" s="8" t="str">
        <f ca="1">OFFSET(Database!$F35,0,COLUMN(Database!CF35)*2-12)</f>
        <v>n.r.</v>
      </c>
      <c r="CJ35" s="8" t="str">
        <f ca="1">OFFSET(Database!$F35,0,COLUMN(Database!CG35)*2-12)</f>
        <v>n.r.</v>
      </c>
      <c r="CK35" s="8" t="str">
        <f ca="1">OFFSET(Database!$F35,0,COLUMN(Database!CH35)*2-12)</f>
        <v>n.r.</v>
      </c>
      <c r="CL35" s="8" t="str">
        <f ca="1">OFFSET(Database!$F35,0,COLUMN(Database!CI35)*2-12)</f>
        <v>n.r.</v>
      </c>
      <c r="CM35" s="8" t="str">
        <f ca="1">OFFSET(Database!$F35,0,COLUMN(Database!CJ35)*2-12)</f>
        <v>n.r.</v>
      </c>
      <c r="CN35" s="8" t="str">
        <f ca="1">OFFSET(Database!$F35,0,COLUMN(Database!CK35)*2-12)</f>
        <v>n.r.</v>
      </c>
      <c r="CO35" s="8" t="str">
        <f ca="1">OFFSET(Database!$F35,0,COLUMN(Database!CL35)*2-12)</f>
        <v>n.r.</v>
      </c>
      <c r="CP35" s="8" t="str">
        <f ca="1">OFFSET(Database!$F35,0,COLUMN(Database!CM35)*2-12)</f>
        <v>n.r.</v>
      </c>
      <c r="CQ35" s="8" t="str">
        <f ca="1">OFFSET(Database!$F35,0,COLUMN(Database!CN35)*2-12)</f>
        <v>n.r.</v>
      </c>
      <c r="CR35" s="8" t="str">
        <f ca="1">OFFSET(Database!$F35,0,COLUMN(Database!CO35)*2-12)</f>
        <v>n.r.</v>
      </c>
      <c r="CS35" s="8" t="str">
        <f ca="1">OFFSET(Database!$F35,0,COLUMN(Database!CP35)*2-12)</f>
        <v>n.r.</v>
      </c>
      <c r="CT35" s="8" t="str">
        <f ca="1">OFFSET(Database!$F35,0,COLUMN(Database!CQ35)*2-12)</f>
        <v>n.r.</v>
      </c>
      <c r="CU35" s="8" t="str">
        <f ca="1">OFFSET(Database!$F35,0,COLUMN(Database!CR35)*2-12)</f>
        <v>n.r.</v>
      </c>
      <c r="CV35" s="8" t="str">
        <f ca="1">OFFSET(Database!$F35,0,COLUMN(Database!CS35)*2-12)</f>
        <v>n.r.</v>
      </c>
      <c r="CW35" s="8" t="str">
        <f ca="1">OFFSET(Database!$F35,0,COLUMN(Database!CT35)*2-12)</f>
        <v>n.r.</v>
      </c>
      <c r="CX35" s="8" t="str">
        <f ca="1">OFFSET(Database!$F35,0,COLUMN(Database!CU35)*2-12)</f>
        <v>n.r.</v>
      </c>
      <c r="CY35" s="8" t="str">
        <f ca="1">OFFSET(Database!$F35,0,COLUMN(Database!CV35)*2-12)</f>
        <v>n.r.</v>
      </c>
      <c r="CZ35" s="8" t="str">
        <f ca="1">OFFSET(Database!$F35,0,COLUMN(Database!CW35)*2-12)</f>
        <v>n.r.</v>
      </c>
      <c r="DA35" s="8" t="str">
        <f ca="1">OFFSET(Database!$F35,0,COLUMN(Database!CX35)*2-12)</f>
        <v>n.r.</v>
      </c>
      <c r="DB35" s="8">
        <f ca="1">OFFSET(Database!$F35,0,COLUMN(Database!CY35)*2-12)</f>
        <v>0.17</v>
      </c>
      <c r="DC35" s="8">
        <f ca="1">OFFSET(Database!$F35,0,COLUMN(Database!CZ35)*2-12)</f>
        <v>0.2</v>
      </c>
      <c r="DD35" s="8">
        <f ca="1">OFFSET(Database!$F35,0,COLUMN(Database!DA35)*2-12)</f>
        <v>0.16</v>
      </c>
      <c r="DE35" s="8" t="str">
        <f ca="1">OFFSET(Database!$F35,0,COLUMN(Database!DB35)*2-12)</f>
        <v>n.r.</v>
      </c>
      <c r="DF35" s="8" t="str">
        <f ca="1">OFFSET(Database!$F35,0,COLUMN(Database!DC35)*2-12)</f>
        <v>n.r.</v>
      </c>
      <c r="DG35" s="8" t="str">
        <f ca="1">OFFSET(Database!$F35,0,COLUMN(Database!DD35)*2-12)</f>
        <v>n.r.</v>
      </c>
      <c r="DH35" s="8" t="str">
        <f ca="1">OFFSET(Database!$F35,0,COLUMN(Database!DE35)*2-12)</f>
        <v>n.r.</v>
      </c>
      <c r="DI35" s="8" t="str">
        <f ca="1">OFFSET(Database!$F35,0,COLUMN(Database!DF35)*2-12)</f>
        <v>n.r.</v>
      </c>
      <c r="DJ35" s="8" t="str">
        <f ca="1">OFFSET(Database!$F35,0,COLUMN(Database!DG35)*2-12)</f>
        <v>n.r.</v>
      </c>
      <c r="DK35" s="8" t="str">
        <f ca="1">OFFSET(Database!$F35,0,COLUMN(Database!DH35)*2-12)</f>
        <v>n.r.</v>
      </c>
      <c r="DL35" s="8" t="str">
        <f ca="1">OFFSET(Database!$F35,0,COLUMN(Database!DI35)*2-12)</f>
        <v>n.r.</v>
      </c>
      <c r="DM35" s="8" t="str">
        <f ca="1">OFFSET(Database!$F35,0,COLUMN(Database!DJ35)*2-12)</f>
        <v>n.r.</v>
      </c>
      <c r="DN35" s="8" t="str">
        <f ca="1">OFFSET(Database!$F35,0,COLUMN(Database!DK35)*2-12)</f>
        <v>n.r.</v>
      </c>
      <c r="DO35" s="8" t="str">
        <f ca="1">OFFSET(Database!$F35,0,COLUMN(Database!DL35)*2-12)</f>
        <v>n.r.</v>
      </c>
      <c r="DP35" s="8" t="str">
        <f ca="1">OFFSET(Database!$F35,0,COLUMN(Database!DM35)*2-12)</f>
        <v>n.r.</v>
      </c>
      <c r="DQ35" s="8" t="str">
        <f ca="1">OFFSET(Database!$F35,0,COLUMN(Database!DN35)*2-12)</f>
        <v>n.r.</v>
      </c>
      <c r="DR35" s="8" t="str">
        <f ca="1">OFFSET(Database!$F35,0,COLUMN(Database!DO35)*2-12)</f>
        <v>n.r.</v>
      </c>
      <c r="DS35" s="8" t="str">
        <f ca="1">OFFSET(Database!$F35,0,COLUMN(Database!DP35)*2-12)</f>
        <v>n.r.</v>
      </c>
      <c r="DT35" s="8" t="str">
        <f ca="1">OFFSET(Database!$F35,0,COLUMN(Database!DQ35)*2-12)</f>
        <v>n.r.</v>
      </c>
      <c r="DU35" s="8" t="str">
        <f ca="1">OFFSET(Database!$F35,0,COLUMN(Database!DR35)*2-12)</f>
        <v>n.r.</v>
      </c>
      <c r="DV35" s="8" t="str">
        <f ca="1">OFFSET(Database!$F35,0,COLUMN(Database!DS35)*2-12)</f>
        <v>n.r.</v>
      </c>
      <c r="DW35" s="8" t="str">
        <f ca="1">OFFSET(Database!$F35,0,COLUMN(Database!DT35)*2-12)</f>
        <v>n.r.</v>
      </c>
      <c r="DX35" s="8" t="str">
        <f ca="1">OFFSET(Database!$F35,0,COLUMN(Database!DU35)*2-12)</f>
        <v>n.r.</v>
      </c>
      <c r="DY35" s="8" t="str">
        <f ca="1">OFFSET(Database!$F35,0,COLUMN(Database!DV35)*2-12)</f>
        <v>n.r.</v>
      </c>
      <c r="DZ35" s="8" t="str">
        <f ca="1">OFFSET(Database!$F35,0,COLUMN(Database!DW35)*2-12)</f>
        <v>n.r.</v>
      </c>
      <c r="EA35" s="8" t="str">
        <f ca="1">OFFSET(Database!$F35,0,COLUMN(Database!DX35)*2-12)</f>
        <v>n.r.</v>
      </c>
      <c r="EB35" s="8" t="str">
        <f ca="1">OFFSET(Database!$F35,0,COLUMN(Database!DY35)*2-12)</f>
        <v>n.r.</v>
      </c>
      <c r="EC35" s="8" t="str">
        <f ca="1">OFFSET(Database!$F35,0,COLUMN(Database!DZ35)*2-12)</f>
        <v>n.r.</v>
      </c>
      <c r="ED35" s="8" t="str">
        <f ca="1">OFFSET(Database!$F35,0,COLUMN(Database!EA35)*2-12)</f>
        <v>n.r.</v>
      </c>
      <c r="EE35" s="8" t="str">
        <f ca="1">OFFSET(Database!$F35,0,COLUMN(Database!EB35)*2-12)</f>
        <v>n.r.</v>
      </c>
      <c r="EF35" s="8" t="str">
        <f ca="1">OFFSET(Database!$F35,0,COLUMN(Database!EC35)*2-12)</f>
        <v>n.r.</v>
      </c>
      <c r="EG35" s="8" t="str">
        <f ca="1">OFFSET(Database!$F35,0,COLUMN(Database!ED35)*2-12)</f>
        <v>n.r.</v>
      </c>
      <c r="EH35" s="8" t="str">
        <f ca="1">OFFSET(Database!$F35,0,COLUMN(Database!EE35)*2-12)</f>
        <v>n.r.</v>
      </c>
      <c r="EI35" s="8" t="str">
        <f ca="1">OFFSET(Database!$F35,0,COLUMN(Database!EF35)*2-12)</f>
        <v>n.r.</v>
      </c>
      <c r="EJ35" s="8" t="str">
        <f ca="1">OFFSET(Database!$F35,0,COLUMN(Database!EG35)*2-12)</f>
        <v>n.r.</v>
      </c>
      <c r="EK35" s="8" t="str">
        <f ca="1">OFFSET(Database!$F35,0,COLUMN(Database!EH35)*2-12)</f>
        <v>n.r.</v>
      </c>
      <c r="EL35" s="8" t="str">
        <f ca="1">OFFSET(Database!$F35,0,COLUMN(Database!EI35)*2-12)</f>
        <v>n.r.</v>
      </c>
      <c r="EM35" s="8" t="str">
        <f ca="1">OFFSET(Database!$F35,0,COLUMN(Database!EJ35)*2-12)</f>
        <v>n.r.</v>
      </c>
      <c r="EN35" s="8" t="str">
        <f ca="1">OFFSET(Database!$F35,0,COLUMN(Database!EK35)*2-12)</f>
        <v>n.r.</v>
      </c>
      <c r="EO35" s="8" t="str">
        <f ca="1">OFFSET(Database!$F35,0,COLUMN(Database!EL35)*2-12)</f>
        <v>n.r.</v>
      </c>
      <c r="EP35" s="8" t="str">
        <f ca="1">OFFSET(Database!$F35,0,COLUMN(Database!EM35)*2-12)</f>
        <v>n.r.</v>
      </c>
      <c r="EQ35" s="8" t="str">
        <f ca="1">OFFSET(Database!$F35,0,COLUMN(Database!EN35)*2-12)</f>
        <v>n.r.</v>
      </c>
      <c r="ER35" s="8" t="str">
        <f ca="1">OFFSET(Database!$F35,0,COLUMN(Database!EO35)*2-12)</f>
        <v>n.r.</v>
      </c>
      <c r="ES35" s="8" t="str">
        <f ca="1">OFFSET(Database!$F35,0,COLUMN(Database!EP35)*2-12)</f>
        <v>n.r.</v>
      </c>
      <c r="ET35" s="8" t="str">
        <f ca="1">OFFSET(Database!$F35,0,COLUMN(Database!EQ35)*2-12)</f>
        <v>n.r.</v>
      </c>
      <c r="EU35" s="8" t="str">
        <f ca="1">OFFSET(Database!$F35,0,COLUMN(Database!ER35)*2-12)</f>
        <v>n.r.</v>
      </c>
      <c r="EV35" s="8" t="str">
        <f ca="1">OFFSET(Database!$F35,0,COLUMN(Database!ES35)*2-12)</f>
        <v>n.r.</v>
      </c>
      <c r="EW35" s="8" t="str">
        <f ca="1">OFFSET(Database!$F35,0,COLUMN(Database!ET35)*2-12)</f>
        <v>n.r.</v>
      </c>
      <c r="EX35" s="8" t="str">
        <f ca="1">OFFSET(Database!$F35,0,COLUMN(Database!EU35)*2-12)</f>
        <v>n.r.</v>
      </c>
      <c r="EY35" s="8" t="str">
        <f ca="1">OFFSET(Database!$F35,0,COLUMN(Database!EV35)*2-12)</f>
        <v>n.r.</v>
      </c>
      <c r="EZ35" s="8" t="str">
        <f ca="1">OFFSET(Database!$F35,0,COLUMN(Database!EW35)*2-12)</f>
        <v>n.r.</v>
      </c>
      <c r="FA35" s="8" t="str">
        <f ca="1">OFFSET(Database!$F35,0,COLUMN(Database!EX35)*2-12)</f>
        <v>n.r.</v>
      </c>
      <c r="FB35" s="8" t="str">
        <f ca="1">OFFSET(Database!$F35,0,COLUMN(Database!EY35)*2-12)</f>
        <v>n.r.</v>
      </c>
      <c r="FC35" s="8" t="str">
        <f ca="1">OFFSET(Database!$F35,0,COLUMN(Database!EZ35)*2-12)</f>
        <v>n.r.</v>
      </c>
      <c r="FD35" s="8" t="str">
        <f ca="1">OFFSET(Database!$F35,0,COLUMN(Database!FA35)*2-12)</f>
        <v>n.r.</v>
      </c>
      <c r="FE35" s="8" t="str">
        <f ca="1">OFFSET(Database!$F35,0,COLUMN(Database!FB35)*2-12)</f>
        <v>n.r.</v>
      </c>
      <c r="FF35" s="8" t="str">
        <f ca="1">OFFSET(Database!$F35,0,COLUMN(Database!FC35)*2-12)</f>
        <v>n.r.</v>
      </c>
      <c r="FG35" s="8" t="str">
        <f ca="1">OFFSET(Database!$F35,0,COLUMN(Database!FD35)*2-12)</f>
        <v>n.r.</v>
      </c>
      <c r="FH35" s="8" t="str">
        <f ca="1">OFFSET(Database!$F35,0,COLUMN(Database!FE35)*2-12)</f>
        <v>n.r.</v>
      </c>
      <c r="FI35" s="8" t="str">
        <f ca="1">OFFSET(Database!$F35,0,COLUMN(Database!FF35)*2-12)</f>
        <v>n.r.</v>
      </c>
      <c r="FJ35" s="8" t="str">
        <f ca="1">OFFSET(Database!$F35,0,COLUMN(Database!FG35)*2-12)</f>
        <v>n.r.</v>
      </c>
      <c r="FK35" s="8" t="str">
        <f ca="1">OFFSET(Database!$F35,0,COLUMN(Database!FH35)*2-12)</f>
        <v>n.r.</v>
      </c>
      <c r="FL35" s="8" t="str">
        <f ca="1">OFFSET(Database!$F35,0,COLUMN(Database!FI35)*2-12)</f>
        <v>n.r.</v>
      </c>
      <c r="FM35" s="8" t="str">
        <f ca="1">OFFSET(Database!$F35,0,COLUMN(Database!FJ35)*2-12)</f>
        <v>n.r.</v>
      </c>
      <c r="FN35" s="8" t="str">
        <f ca="1">OFFSET(Database!$F35,0,COLUMN(Database!FK35)*2-12)</f>
        <v>n.r.</v>
      </c>
      <c r="FO35" s="8" t="str">
        <f ca="1">OFFSET(Database!$F35,0,COLUMN(Database!FL35)*2-12)</f>
        <v>n.r.</v>
      </c>
      <c r="FP35" s="8" t="str">
        <f ca="1">OFFSET(Database!$F35,0,COLUMN(Database!FM35)*2-12)</f>
        <v>n.r.</v>
      </c>
      <c r="FQ35" s="8" t="str">
        <f ca="1">OFFSET(Database!$F35,0,COLUMN(Database!FN35)*2-12)</f>
        <v>n.r.</v>
      </c>
      <c r="FR35" s="8" t="str">
        <f ca="1">OFFSET(Database!$F35,0,COLUMN(Database!FO35)*2-12)</f>
        <v>n.r.</v>
      </c>
      <c r="FS35" s="8" t="str">
        <f ca="1">OFFSET(Database!$F35,0,COLUMN(Database!FP35)*2-12)</f>
        <v>n.r.</v>
      </c>
      <c r="FT35" s="8" t="str">
        <f ca="1">OFFSET(Database!$F35,0,COLUMN(Database!FQ35)*2-12)</f>
        <v>n.r.</v>
      </c>
      <c r="FU35" s="8" t="str">
        <f ca="1">OFFSET(Database!$F35,0,COLUMN(Database!FR35)*2-12)</f>
        <v>n.r.</v>
      </c>
      <c r="FV35" s="8" t="str">
        <f ca="1">OFFSET(Database!$F35,0,COLUMN(Database!FS35)*2-12)</f>
        <v>n.r.</v>
      </c>
      <c r="FW35" s="8" t="str">
        <f ca="1">OFFSET(Database!$F35,0,COLUMN(Database!FT35)*2-12)</f>
        <v>n.r.</v>
      </c>
      <c r="FX35" s="8" t="str">
        <f ca="1">OFFSET(Database!$F35,0,COLUMN(Database!FU35)*2-12)</f>
        <v>n.r.</v>
      </c>
      <c r="FY35" s="8" t="str">
        <f ca="1">OFFSET(Database!$F35,0,COLUMN(Database!FV35)*2-12)</f>
        <v>n.r.</v>
      </c>
      <c r="FZ35" s="8" t="str">
        <f ca="1">OFFSET(Database!$F35,0,COLUMN(Database!FW35)*2-12)</f>
        <v>n.r.</v>
      </c>
      <c r="GA35" s="8" t="str">
        <f ca="1">OFFSET(Database!$F35,0,COLUMN(Database!FX35)*2-12)</f>
        <v>n.r.</v>
      </c>
      <c r="GB35" s="8" t="str">
        <f ca="1">OFFSET(Database!$F35,0,COLUMN(Database!FY35)*2-12)</f>
        <v>n.r.</v>
      </c>
      <c r="GC35" s="8" t="str">
        <f ca="1">OFFSET(Database!$F35,0,COLUMN(Database!FZ35)*2-12)</f>
        <v>n.r.</v>
      </c>
      <c r="GD35" s="8" t="str">
        <f ca="1">OFFSET(Database!$F35,0,COLUMN(Database!GA35)*2-12)</f>
        <v>n.r.</v>
      </c>
      <c r="GE35" s="8" t="str">
        <f ca="1">OFFSET(Database!$F35,0,COLUMN(Database!GB35)*2-12)</f>
        <v>n.r.</v>
      </c>
      <c r="GF35" s="8" t="str">
        <f ca="1">OFFSET(Database!$F35,0,COLUMN(Database!GC35)*2-12)</f>
        <v>n.r.</v>
      </c>
      <c r="GG35" s="8" t="str">
        <f ca="1">OFFSET(Database!$F35,0,COLUMN(Database!GD35)*2-12)</f>
        <v>n.r.</v>
      </c>
      <c r="GH35" s="8" t="str">
        <f ca="1">OFFSET(Database!$F35,0,COLUMN(Database!GE35)*2-12)</f>
        <v>n.r.</v>
      </c>
      <c r="GI35" s="8" t="str">
        <f ca="1">OFFSET(Database!$F35,0,COLUMN(Database!GF35)*2-12)</f>
        <v>n.r.</v>
      </c>
      <c r="GJ35" s="8" t="str">
        <f ca="1">OFFSET(Database!$F35,0,COLUMN(Database!GG35)*2-12)</f>
        <v>n.r.</v>
      </c>
      <c r="GK35" s="8" t="str">
        <f ca="1">OFFSET(Database!$F35,0,COLUMN(Database!GH35)*2-12)</f>
        <v>n.r.</v>
      </c>
      <c r="GL35" s="8" t="str">
        <f ca="1">OFFSET(Database!$F35,0,COLUMN(Database!GI35)*2-12)</f>
        <v>n.r.</v>
      </c>
      <c r="GM35" s="8" t="str">
        <f ca="1">OFFSET(Database!$F35,0,COLUMN(Database!GJ35)*2-12)</f>
        <v>n.r.</v>
      </c>
      <c r="GN35" s="8" t="str">
        <f ca="1">OFFSET(Database!$F35,0,COLUMN(Database!GK35)*2-12)</f>
        <v>n.r.</v>
      </c>
      <c r="GO35" s="8" t="str">
        <f ca="1">OFFSET(Database!$F35,0,COLUMN(Database!GL35)*2-12)</f>
        <v>n.d.</v>
      </c>
      <c r="GP35" s="8">
        <f ca="1">OFFSET(Database!$F35,0,COLUMN(Database!GM35)*2-12)</f>
        <v>145.46159813809155</v>
      </c>
    </row>
    <row r="36" spans="1:198" x14ac:dyDescent="0.2">
      <c r="A36" s="50" t="str">
        <f>Database!A36</f>
        <v>β-aminoisobutyric acid</v>
      </c>
      <c r="B36" s="32" t="s">
        <v>892</v>
      </c>
      <c r="C36" s="4" t="str">
        <f>Database!B36</f>
        <v>β</v>
      </c>
      <c r="D36" s="4" t="str">
        <f>Database!C36</f>
        <v>Both</v>
      </c>
      <c r="E36" s="74">
        <f>Database!D36</f>
        <v>26</v>
      </c>
      <c r="F36" s="32" t="s">
        <v>1060</v>
      </c>
      <c r="G36" s="1" t="s">
        <v>1132</v>
      </c>
      <c r="H36" s="1">
        <f>Database!E36</f>
        <v>103.12</v>
      </c>
      <c r="I36" s="8" t="str">
        <f ca="1">OFFSET(Database!$F36,0,COLUMN(Database!F36)*2-12)</f>
        <v>n.s.</v>
      </c>
      <c r="J36" s="8" t="str">
        <f ca="1">OFFSET(Database!$F36,0,COLUMN(Database!G36)*2-12)</f>
        <v>n.s.</v>
      </c>
      <c r="K36" s="8" t="str">
        <f ca="1">OFFSET(Database!$F36,0,COLUMN(Database!H36)*2-12)</f>
        <v>n.s.</v>
      </c>
      <c r="L36" s="8" t="str">
        <f ca="1">OFFSET(Database!$F36,0,COLUMN(Database!I36)*2-12)</f>
        <v>n.s.</v>
      </c>
      <c r="M36" s="8" t="str">
        <f ca="1">OFFSET(Database!$F36,0,COLUMN(Database!J36)*2-12)</f>
        <v>n.s.</v>
      </c>
      <c r="N36" s="8">
        <f ca="1">OFFSET(Database!$F36,0,COLUMN(Database!K36)*2-12)</f>
        <v>0.29092319627618307</v>
      </c>
      <c r="O36" s="8" t="str">
        <f ca="1">OFFSET(Database!$F36,0,COLUMN(Database!L36)*2-12)</f>
        <v>n.r.</v>
      </c>
      <c r="P36" s="8">
        <f ca="1">OFFSET(Database!$F36,0,COLUMN(Database!M36)*2-12)</f>
        <v>2.81</v>
      </c>
      <c r="Q36" s="8">
        <f ca="1">OFFSET(Database!$F36,0,COLUMN(Database!N36)*2-12)</f>
        <v>6.67</v>
      </c>
      <c r="R36" s="8">
        <f ca="1">OFFSET(Database!$F36,0,COLUMN(Database!O36)*2-12)</f>
        <v>16</v>
      </c>
      <c r="S36" s="8">
        <f ca="1">OFFSET(Database!$F36,0,COLUMN(Database!P36)*2-12)</f>
        <v>14.798293250581846</v>
      </c>
      <c r="T36" s="8" t="str">
        <f ca="1">OFFSET(Database!$F36,0,COLUMN(Database!Q36)*2-12)</f>
        <v>n.r.</v>
      </c>
      <c r="U36" s="8" t="str">
        <f ca="1">OFFSET(Database!$F36,0,COLUMN(Database!R36)*2-12)</f>
        <v>n.r.</v>
      </c>
      <c r="V36" s="8" t="str">
        <f ca="1">OFFSET(Database!$F36,0,COLUMN(Database!S36)*2-12)</f>
        <v>n.r.</v>
      </c>
      <c r="W36" s="8" t="str">
        <f ca="1">OFFSET(Database!$F36,0,COLUMN(Database!T36)*2-12)</f>
        <v>n.r.</v>
      </c>
      <c r="X36" s="8" t="str">
        <f ca="1">OFFSET(Database!$F36,0,COLUMN(Database!U36)*2-12)</f>
        <v>n.r.</v>
      </c>
      <c r="Y36" s="8" t="str">
        <f ca="1">OFFSET(Database!$F36,0,COLUMN(Database!V36)*2-12)</f>
        <v>n.s.</v>
      </c>
      <c r="Z36" s="8" t="str">
        <f ca="1">OFFSET(Database!$F36,0,COLUMN(Database!W36)*2-12)</f>
        <v>n.s.</v>
      </c>
      <c r="AA36" s="8" t="str">
        <f ca="1">OFFSET(Database!$F36,0,COLUMN(Database!X36)*2-12)</f>
        <v>n.r.</v>
      </c>
      <c r="AB36" s="8" t="str">
        <f ca="1">OFFSET(Database!$F36,0,COLUMN(Database!Y36)*2-12)</f>
        <v>n.r.</v>
      </c>
      <c r="AC36" s="8" t="str">
        <f ca="1">OFFSET(Database!$F36,0,COLUMN(Database!Z36)*2-12)</f>
        <v>n.r.</v>
      </c>
      <c r="AD36" s="8" t="str">
        <f ca="1">OFFSET(Database!$F36,0,COLUMN(Database!AA36)*2-12)</f>
        <v>n.r.</v>
      </c>
      <c r="AE36" s="8" t="str">
        <f ca="1">OFFSET(Database!$F36,0,COLUMN(Database!AB36)*2-12)</f>
        <v>n.r.</v>
      </c>
      <c r="AF36" s="8" t="str">
        <f ca="1">OFFSET(Database!$F36,0,COLUMN(Database!AC36)*2-12)</f>
        <v>n.s.</v>
      </c>
      <c r="AG36" s="8" t="str">
        <f ca="1">OFFSET(Database!$F36,0,COLUMN(Database!AD36)*2-12)</f>
        <v>&lt;0.01</v>
      </c>
      <c r="AH36" s="8">
        <f ca="1">OFFSET(Database!$F36,0,COLUMN(Database!AE36)*2-12)</f>
        <v>2.1</v>
      </c>
      <c r="AI36" s="8" t="str">
        <f ca="1">OFFSET(Database!$F36,0,COLUMN(Database!AF36)*2-12)</f>
        <v>&lt;0.02</v>
      </c>
      <c r="AJ36" s="8" t="str">
        <f ca="1">OFFSET(Database!$F36,0,COLUMN(Database!AG36)*2-12)</f>
        <v>&lt;0.02</v>
      </c>
      <c r="AK36" s="8" t="str">
        <f ca="1">OFFSET(Database!$F36,0,COLUMN(Database!AH36)*2-12)</f>
        <v>&lt;0.04</v>
      </c>
      <c r="AL36" s="8" t="str">
        <f ca="1">OFFSET(Database!$F36,0,COLUMN(Database!AI36)*2-12)</f>
        <v>&lt;0.01</v>
      </c>
      <c r="AM36" s="8" t="str">
        <f ca="1">OFFSET(Database!$F36,0,COLUMN(Database!AJ36)*2-12)</f>
        <v>n.s.</v>
      </c>
      <c r="AN36" s="8" t="str">
        <f ca="1">OFFSET(Database!$F36,0,COLUMN(Database!AK36)*2-12)</f>
        <v>n.s.</v>
      </c>
      <c r="AO36" s="8" t="str">
        <f ca="1">OFFSET(Database!$F36,0,COLUMN(Database!AL36)*2-12)</f>
        <v>n.r.</v>
      </c>
      <c r="AP36" s="8">
        <f ca="1">OFFSET(Database!$F36,0,COLUMN(Database!AM36)*2-12)</f>
        <v>2.6</v>
      </c>
      <c r="AQ36" s="8" t="str">
        <f ca="1">OFFSET(Database!$F36,0,COLUMN(Database!AN36)*2-12)</f>
        <v>&lt;0.01</v>
      </c>
      <c r="AR36" s="8" t="str">
        <f ca="1">OFFSET(Database!$F36,0,COLUMN(Database!AO36)*2-12)</f>
        <v>&lt;0.01</v>
      </c>
      <c r="AS36" s="8" t="str">
        <f ca="1">OFFSET(Database!$F36,0,COLUMN(Database!AP36)*2-12)</f>
        <v>&lt;0.001</v>
      </c>
      <c r="AT36" s="8" t="str">
        <f ca="1">OFFSET(Database!$F36,0,COLUMN(Database!AQ36)*2-12)</f>
        <v>&lt;0.001</v>
      </c>
      <c r="AU36" s="8" t="str">
        <f ca="1">OFFSET(Database!$F36,0,COLUMN(Database!AR36)*2-12)</f>
        <v>&lt;0.001</v>
      </c>
      <c r="AV36" s="8" t="str">
        <f ca="1">OFFSET(Database!$F36,0,COLUMN(Database!AS36)*2-12)</f>
        <v>&lt;0.001</v>
      </c>
      <c r="AW36" s="8" t="str">
        <f ca="1">OFFSET(Database!$F36,0,COLUMN(Database!AT36)*2-12)</f>
        <v>&lt;0.001</v>
      </c>
      <c r="AX36" s="8" t="str">
        <f ca="1">OFFSET(Database!$F36,0,COLUMN(Database!AU36)*2-12)</f>
        <v>n.r.</v>
      </c>
      <c r="AY36" s="8">
        <f ca="1">OFFSET(Database!$F36,0,COLUMN(Database!AV36)*2-12)</f>
        <v>0.13576415826221877</v>
      </c>
      <c r="AZ36" s="8" t="str">
        <f ca="1">OFFSET(Database!$F36,0,COLUMN(Database!AW36)*2-12)</f>
        <v>tr</v>
      </c>
      <c r="BA36" s="8" t="str">
        <f ca="1">OFFSET(Database!$F36,0,COLUMN(Database!AX36)*2-12)</f>
        <v xml:space="preserve">tr </v>
      </c>
      <c r="BB36" s="8" t="str">
        <f ca="1">OFFSET(Database!$F36,0,COLUMN(Database!AY36)*2-12)</f>
        <v>tr</v>
      </c>
      <c r="BC36" s="8" t="str">
        <f ca="1">OFFSET(Database!$F36,0,COLUMN(Database!AZ36)*2-12)</f>
        <v>tr</v>
      </c>
      <c r="BD36" s="8" t="str">
        <f ca="1">OFFSET(Database!$F36,0,COLUMN(Database!BA36)*2-12)</f>
        <v>&lt;0.001</v>
      </c>
      <c r="BE36" s="8" t="str">
        <f ca="1">OFFSET(Database!$F36,0,COLUMN(Database!BB36)*2-12)</f>
        <v>tr</v>
      </c>
      <c r="BF36" s="8">
        <f ca="1">OFFSET(Database!$F36,0,COLUMN(Database!BC36)*2-12)</f>
        <v>0.22304111714507369</v>
      </c>
      <c r="BG36" s="8">
        <f ca="1">OFFSET(Database!$F36,0,COLUMN(Database!BD36)*2-12)</f>
        <v>8.9216446858029472E-2</v>
      </c>
      <c r="BH36" s="8" t="str">
        <f ca="1">OFFSET(Database!$F36,0,COLUMN(Database!BE36)*2-12)</f>
        <v>n.r.</v>
      </c>
      <c r="BI36" s="8" t="str">
        <f ca="1">OFFSET(Database!$F36,0,COLUMN(Database!BF36)*2-12)</f>
        <v>n.r.</v>
      </c>
      <c r="BJ36" s="8">
        <f ca="1">OFFSET(Database!$F36,0,COLUMN(Database!BG36)*2-12)</f>
        <v>1.3285492629945694</v>
      </c>
      <c r="BK36" s="8">
        <f ca="1">OFFSET(Database!$F36,0,COLUMN(Database!BH36)*2-12)</f>
        <v>4.5287044220325834</v>
      </c>
      <c r="BL36" s="8">
        <f ca="1">OFFSET(Database!$F36,0,COLUMN(Database!BI36)*2-12)</f>
        <v>4.4996121024049645</v>
      </c>
      <c r="BM36" s="8" t="str">
        <f ca="1">OFFSET(Database!$F36,0,COLUMN(Database!BJ36)*2-12)</f>
        <v>&lt;0.001</v>
      </c>
      <c r="BN36" s="8">
        <f ca="1">OFFSET(Database!$F36,0,COLUMN(Database!BK36)*2-12)</f>
        <v>0.20364623739332816</v>
      </c>
      <c r="BO36" s="8">
        <f ca="1">OFFSET(Database!$F36,0,COLUMN(Database!BL36)*2-12)</f>
        <v>0.14546159813809154</v>
      </c>
      <c r="BP36" s="8">
        <f ca="1">OFFSET(Database!$F36,0,COLUMN(Database!BM36)*2-12)</f>
        <v>6.7882079131109385E-2</v>
      </c>
      <c r="BQ36" s="8" t="str">
        <f ca="1">OFFSET(Database!$F36,0,COLUMN(Database!BN36)*2-12)</f>
        <v>&lt;0.001</v>
      </c>
      <c r="BR36" s="8" t="str">
        <f ca="1">OFFSET(Database!$F36,0,COLUMN(Database!BO36)*2-12)</f>
        <v>&lt;0.001</v>
      </c>
      <c r="BS36" s="8" t="str">
        <f ca="1">OFFSET(Database!$F36,0,COLUMN(Database!BP36)*2-12)</f>
        <v>&lt;0.001</v>
      </c>
      <c r="BT36" s="8" t="str">
        <f ca="1">OFFSET(Database!$F36,0,COLUMN(Database!BQ36)*2-12)</f>
        <v>&lt;0.001</v>
      </c>
      <c r="BU36" s="8" t="str">
        <f ca="1">OFFSET(Database!$F36,0,COLUMN(Database!BR36)*2-12)</f>
        <v>&lt;0.001</v>
      </c>
      <c r="BV36" s="8" t="str">
        <f ca="1">OFFSET(Database!$F36,0,COLUMN(Database!BS36)*2-12)</f>
        <v>&lt;0.001</v>
      </c>
      <c r="BW36" s="8" t="str">
        <f ca="1">OFFSET(Database!$F36,0,COLUMN(Database!BT36)*2-12)</f>
        <v>n.r.</v>
      </c>
      <c r="BX36" s="8" t="str">
        <f ca="1">OFFSET(Database!$F36,0,COLUMN(Database!BU36)*2-12)</f>
        <v>n.r.</v>
      </c>
      <c r="BY36" s="8" t="str">
        <f ca="1">OFFSET(Database!$F36,0,COLUMN(Database!BV36)*2-12)</f>
        <v>n.r.</v>
      </c>
      <c r="BZ36" s="8" t="str">
        <f ca="1">OFFSET(Database!$F36,0,COLUMN(Database!BW36)*2-12)</f>
        <v>n.r.</v>
      </c>
      <c r="CA36" s="8" t="str">
        <f ca="1">OFFSET(Database!$F36,0,COLUMN(Database!BX36)*2-12)</f>
        <v>n.r.</v>
      </c>
      <c r="CB36" s="8" t="str">
        <f ca="1">OFFSET(Database!$F36,0,COLUMN(Database!BY36)*2-12)</f>
        <v>n.r.</v>
      </c>
      <c r="CC36" s="8" t="str">
        <f ca="1">OFFSET(Database!$F36,0,COLUMN(Database!BZ36)*2-12)</f>
        <v>n.r.</v>
      </c>
      <c r="CD36" s="8" t="str">
        <f ca="1">OFFSET(Database!$F36,0,COLUMN(Database!CA36)*2-12)</f>
        <v>n.r.</v>
      </c>
      <c r="CE36" s="8" t="str">
        <f ca="1">OFFSET(Database!$F36,0,COLUMN(Database!CB36)*2-12)</f>
        <v>n.r.</v>
      </c>
      <c r="CF36" s="8" t="str">
        <f ca="1">OFFSET(Database!$F36,0,COLUMN(Database!CC36)*2-12)</f>
        <v>n.r.</v>
      </c>
      <c r="CG36" s="8" t="str">
        <f ca="1">OFFSET(Database!$F36,0,COLUMN(Database!CD36)*2-12)</f>
        <v>n.r.</v>
      </c>
      <c r="CH36" s="8" t="str">
        <f ca="1">OFFSET(Database!$F36,0,COLUMN(Database!CE36)*2-12)</f>
        <v>n.r.</v>
      </c>
      <c r="CI36" s="8" t="str">
        <f ca="1">OFFSET(Database!$F36,0,COLUMN(Database!CF36)*2-12)</f>
        <v>n.r.</v>
      </c>
      <c r="CJ36" s="8" t="str">
        <f ca="1">OFFSET(Database!$F36,0,COLUMN(Database!CG36)*2-12)</f>
        <v>n.r.</v>
      </c>
      <c r="CK36" s="8" t="str">
        <f ca="1">OFFSET(Database!$F36,0,COLUMN(Database!CH36)*2-12)</f>
        <v>n.r.</v>
      </c>
      <c r="CL36" s="8" t="str">
        <f ca="1">OFFSET(Database!$F36,0,COLUMN(Database!CI36)*2-12)</f>
        <v>n.r.</v>
      </c>
      <c r="CM36" s="8" t="str">
        <f ca="1">OFFSET(Database!$F36,0,COLUMN(Database!CJ36)*2-12)</f>
        <v>n.r.</v>
      </c>
      <c r="CN36" s="8" t="str">
        <f ca="1">OFFSET(Database!$F36,0,COLUMN(Database!CK36)*2-12)</f>
        <v>n.r.</v>
      </c>
      <c r="CO36" s="8" t="str">
        <f ca="1">OFFSET(Database!$F36,0,COLUMN(Database!CL36)*2-12)</f>
        <v>n.r.</v>
      </c>
      <c r="CP36" s="8" t="str">
        <f ca="1">OFFSET(Database!$F36,0,COLUMN(Database!CM36)*2-12)</f>
        <v>n.r.</v>
      </c>
      <c r="CQ36" s="8" t="str">
        <f ca="1">OFFSET(Database!$F36,0,COLUMN(Database!CN36)*2-12)</f>
        <v>n.r.</v>
      </c>
      <c r="CR36" s="8" t="str">
        <f ca="1">OFFSET(Database!$F36,0,COLUMN(Database!CO36)*2-12)</f>
        <v>n.r.</v>
      </c>
      <c r="CS36" s="8" t="str">
        <f ca="1">OFFSET(Database!$F36,0,COLUMN(Database!CP36)*2-12)</f>
        <v>n.r.</v>
      </c>
      <c r="CT36" s="8" t="str">
        <f ca="1">OFFSET(Database!$F36,0,COLUMN(Database!CQ36)*2-12)</f>
        <v>n.r.</v>
      </c>
      <c r="CU36" s="8" t="str">
        <f ca="1">OFFSET(Database!$F36,0,COLUMN(Database!CR36)*2-12)</f>
        <v>n.r.</v>
      </c>
      <c r="CV36" s="8" t="str">
        <f ca="1">OFFSET(Database!$F36,0,COLUMN(Database!CS36)*2-12)</f>
        <v>n.r.</v>
      </c>
      <c r="CW36" s="8" t="str">
        <f ca="1">OFFSET(Database!$F36,0,COLUMN(Database!CT36)*2-12)</f>
        <v>n.r.</v>
      </c>
      <c r="CX36" s="8" t="str">
        <f ca="1">OFFSET(Database!$F36,0,COLUMN(Database!CU36)*2-12)</f>
        <v>n.r.</v>
      </c>
      <c r="CY36" s="8" t="str">
        <f ca="1">OFFSET(Database!$F36,0,COLUMN(Database!CV36)*2-12)</f>
        <v>n.r.</v>
      </c>
      <c r="CZ36" s="8" t="str">
        <f ca="1">OFFSET(Database!$F36,0,COLUMN(Database!CW36)*2-12)</f>
        <v>n.r.</v>
      </c>
      <c r="DA36" s="8" t="str">
        <f ca="1">OFFSET(Database!$F36,0,COLUMN(Database!CX36)*2-12)</f>
        <v>n.r.</v>
      </c>
      <c r="DB36" s="8">
        <f ca="1">OFFSET(Database!$F36,0,COLUMN(Database!CY36)*2-12)</f>
        <v>0.2</v>
      </c>
      <c r="DC36" s="8">
        <f ca="1">OFFSET(Database!$F36,0,COLUMN(Database!CZ36)*2-12)</f>
        <v>0.28999999999999998</v>
      </c>
      <c r="DD36" s="8" t="str">
        <f ca="1">OFFSET(Database!$F36,0,COLUMN(Database!DA36)*2-12)</f>
        <v>n.r.</v>
      </c>
      <c r="DE36" s="8" t="str">
        <f ca="1">OFFSET(Database!$F36,0,COLUMN(Database!DB36)*2-12)</f>
        <v>&lt;0.0485</v>
      </c>
      <c r="DF36" s="8" t="str">
        <f ca="1">OFFSET(Database!$F36,0,COLUMN(Database!DC36)*2-12)</f>
        <v>n.r.</v>
      </c>
      <c r="DG36" s="8" t="str">
        <f ca="1">OFFSET(Database!$F36,0,COLUMN(Database!DD36)*2-12)</f>
        <v>n.r.</v>
      </c>
      <c r="DH36" s="8" t="str">
        <f ca="1">OFFSET(Database!$F36,0,COLUMN(Database!DE36)*2-12)</f>
        <v>n.r.</v>
      </c>
      <c r="DI36" s="8" t="str">
        <f ca="1">OFFSET(Database!$F36,0,COLUMN(Database!DF36)*2-12)</f>
        <v>n.r.</v>
      </c>
      <c r="DJ36" s="8" t="str">
        <f ca="1">OFFSET(Database!$F36,0,COLUMN(Database!DG36)*2-12)</f>
        <v>n.r.</v>
      </c>
      <c r="DK36" s="8" t="str">
        <f ca="1">OFFSET(Database!$F36,0,COLUMN(Database!DH36)*2-12)</f>
        <v>n.r.</v>
      </c>
      <c r="DL36" s="8" t="str">
        <f ca="1">OFFSET(Database!$F36,0,COLUMN(Database!DI36)*2-12)</f>
        <v>n.r.</v>
      </c>
      <c r="DM36" s="8" t="str">
        <f ca="1">OFFSET(Database!$F36,0,COLUMN(Database!DJ36)*2-12)</f>
        <v>n.r.</v>
      </c>
      <c r="DN36" s="8" t="str">
        <f ca="1">OFFSET(Database!$F36,0,COLUMN(Database!DK36)*2-12)</f>
        <v>n.r.</v>
      </c>
      <c r="DO36" s="8" t="str">
        <f ca="1">OFFSET(Database!$F36,0,COLUMN(Database!DL36)*2-12)</f>
        <v>n.r.</v>
      </c>
      <c r="DP36" s="8" t="str">
        <f ca="1">OFFSET(Database!$F36,0,COLUMN(Database!DM36)*2-12)</f>
        <v>n.r.</v>
      </c>
      <c r="DQ36" s="8" t="str">
        <f ca="1">OFFSET(Database!$F36,0,COLUMN(Database!DN36)*2-12)</f>
        <v>n.r.</v>
      </c>
      <c r="DR36" s="8" t="str">
        <f ca="1">OFFSET(Database!$F36,0,COLUMN(Database!DO36)*2-12)</f>
        <v>n.r.</v>
      </c>
      <c r="DS36" s="8" t="str">
        <f ca="1">OFFSET(Database!$F36,0,COLUMN(Database!DP36)*2-12)</f>
        <v>n.r.</v>
      </c>
      <c r="DT36" s="8" t="str">
        <f ca="1">OFFSET(Database!$F36,0,COLUMN(Database!DQ36)*2-12)</f>
        <v>n.r.</v>
      </c>
      <c r="DU36" s="8" t="str">
        <f ca="1">OFFSET(Database!$F36,0,COLUMN(Database!DR36)*2-12)</f>
        <v>n.r.</v>
      </c>
      <c r="DV36" s="8" t="str">
        <f ca="1">OFFSET(Database!$F36,0,COLUMN(Database!DS36)*2-12)</f>
        <v>n.r.</v>
      </c>
      <c r="DW36" s="8" t="str">
        <f ca="1">OFFSET(Database!$F36,0,COLUMN(Database!DT36)*2-12)</f>
        <v>n.r.</v>
      </c>
      <c r="DX36" s="8" t="str">
        <f ca="1">OFFSET(Database!$F36,0,COLUMN(Database!DU36)*2-12)</f>
        <v>n.r.</v>
      </c>
      <c r="DY36" s="8" t="str">
        <f ca="1">OFFSET(Database!$F36,0,COLUMN(Database!DV36)*2-12)</f>
        <v>n.r.</v>
      </c>
      <c r="DZ36" s="8" t="str">
        <f ca="1">OFFSET(Database!$F36,0,COLUMN(Database!DW36)*2-12)</f>
        <v>n.r.</v>
      </c>
      <c r="EA36" s="8" t="str">
        <f ca="1">OFFSET(Database!$F36,0,COLUMN(Database!DX36)*2-12)</f>
        <v>n.r.</v>
      </c>
      <c r="EB36" s="8" t="str">
        <f ca="1">OFFSET(Database!$F36,0,COLUMN(Database!DY36)*2-12)</f>
        <v>n.r.</v>
      </c>
      <c r="EC36" s="8" t="str">
        <f ca="1">OFFSET(Database!$F36,0,COLUMN(Database!DZ36)*2-12)</f>
        <v>n.r.</v>
      </c>
      <c r="ED36" s="8" t="str">
        <f ca="1">OFFSET(Database!$F36,0,COLUMN(Database!EA36)*2-12)</f>
        <v>n.r.</v>
      </c>
      <c r="EE36" s="8" t="str">
        <f ca="1">OFFSET(Database!$F36,0,COLUMN(Database!EB36)*2-12)</f>
        <v>n.r.</v>
      </c>
      <c r="EF36" s="8" t="str">
        <f ca="1">OFFSET(Database!$F36,0,COLUMN(Database!EC36)*2-12)</f>
        <v>n.r.</v>
      </c>
      <c r="EG36" s="8" t="str">
        <f ca="1">OFFSET(Database!$F36,0,COLUMN(Database!ED36)*2-12)</f>
        <v>n.r.</v>
      </c>
      <c r="EH36" s="8" t="str">
        <f ca="1">OFFSET(Database!$F36,0,COLUMN(Database!EE36)*2-12)</f>
        <v>n.r.</v>
      </c>
      <c r="EI36" s="8" t="str">
        <f ca="1">OFFSET(Database!$F36,0,COLUMN(Database!EF36)*2-12)</f>
        <v>n.r.</v>
      </c>
      <c r="EJ36" s="8" t="str">
        <f ca="1">OFFSET(Database!$F36,0,COLUMN(Database!EG36)*2-12)</f>
        <v>n.r.</v>
      </c>
      <c r="EK36" s="8" t="str">
        <f ca="1">OFFSET(Database!$F36,0,COLUMN(Database!EH36)*2-12)</f>
        <v>n.r.</v>
      </c>
      <c r="EL36" s="8" t="str">
        <f ca="1">OFFSET(Database!$F36,0,COLUMN(Database!EI36)*2-12)</f>
        <v>n.r.</v>
      </c>
      <c r="EM36" s="8" t="str">
        <f ca="1">OFFSET(Database!$F36,0,COLUMN(Database!EJ36)*2-12)</f>
        <v>n.r.</v>
      </c>
      <c r="EN36" s="8" t="str">
        <f ca="1">OFFSET(Database!$F36,0,COLUMN(Database!EK36)*2-12)</f>
        <v>n.r.</v>
      </c>
      <c r="EO36" s="8" t="str">
        <f ca="1">OFFSET(Database!$F36,0,COLUMN(Database!EL36)*2-12)</f>
        <v>n.r.</v>
      </c>
      <c r="EP36" s="8" t="str">
        <f ca="1">OFFSET(Database!$F36,0,COLUMN(Database!EM36)*2-12)</f>
        <v>n.r.</v>
      </c>
      <c r="EQ36" s="8" t="str">
        <f ca="1">OFFSET(Database!$F36,0,COLUMN(Database!EN36)*2-12)</f>
        <v>n.r.</v>
      </c>
      <c r="ER36" s="8" t="str">
        <f ca="1">OFFSET(Database!$F36,0,COLUMN(Database!EO36)*2-12)</f>
        <v>n.r.</v>
      </c>
      <c r="ES36" s="8" t="str">
        <f ca="1">OFFSET(Database!$F36,0,COLUMN(Database!EP36)*2-12)</f>
        <v>n.r.</v>
      </c>
      <c r="ET36" s="8" t="str">
        <f ca="1">OFFSET(Database!$F36,0,COLUMN(Database!EQ36)*2-12)</f>
        <v>n.r.</v>
      </c>
      <c r="EU36" s="8" t="str">
        <f ca="1">OFFSET(Database!$F36,0,COLUMN(Database!ER36)*2-12)</f>
        <v>n.r.</v>
      </c>
      <c r="EV36" s="8" t="str">
        <f ca="1">OFFSET(Database!$F36,0,COLUMN(Database!ES36)*2-12)</f>
        <v>n.r.</v>
      </c>
      <c r="EW36" s="8" t="str">
        <f ca="1">OFFSET(Database!$F36,0,COLUMN(Database!ET36)*2-12)</f>
        <v>n.r.</v>
      </c>
      <c r="EX36" s="8" t="str">
        <f ca="1">OFFSET(Database!$F36,0,COLUMN(Database!EU36)*2-12)</f>
        <v>n.r.</v>
      </c>
      <c r="EY36" s="8" t="str">
        <f ca="1">OFFSET(Database!$F36,0,COLUMN(Database!EV36)*2-12)</f>
        <v>n.r.</v>
      </c>
      <c r="EZ36" s="8" t="str">
        <f ca="1">OFFSET(Database!$F36,0,COLUMN(Database!EW36)*2-12)</f>
        <v>n.r.</v>
      </c>
      <c r="FA36" s="8" t="str">
        <f ca="1">OFFSET(Database!$F36,0,COLUMN(Database!EX36)*2-12)</f>
        <v>n.r.</v>
      </c>
      <c r="FB36" s="8" t="str">
        <f ca="1">OFFSET(Database!$F36,0,COLUMN(Database!EY36)*2-12)</f>
        <v>n.r.</v>
      </c>
      <c r="FC36" s="8" t="str">
        <f ca="1">OFFSET(Database!$F36,0,COLUMN(Database!EZ36)*2-12)</f>
        <v>n.r.</v>
      </c>
      <c r="FD36" s="8" t="str">
        <f ca="1">OFFSET(Database!$F36,0,COLUMN(Database!FA36)*2-12)</f>
        <v>n.r.</v>
      </c>
      <c r="FE36" s="8" t="str">
        <f ca="1">OFFSET(Database!$F36,0,COLUMN(Database!FB36)*2-12)</f>
        <v>n.r.</v>
      </c>
      <c r="FF36" s="8" t="str">
        <f ca="1">OFFSET(Database!$F36,0,COLUMN(Database!FC36)*2-12)</f>
        <v>n.r.</v>
      </c>
      <c r="FG36" s="8" t="str">
        <f ca="1">OFFSET(Database!$F36,0,COLUMN(Database!FD36)*2-12)</f>
        <v>n.r.</v>
      </c>
      <c r="FH36" s="8" t="str">
        <f ca="1">OFFSET(Database!$F36,0,COLUMN(Database!FE36)*2-12)</f>
        <v>n.r.</v>
      </c>
      <c r="FI36" s="8" t="str">
        <f ca="1">OFFSET(Database!$F36,0,COLUMN(Database!FF36)*2-12)</f>
        <v>n.r.</v>
      </c>
      <c r="FJ36" s="8" t="str">
        <f ca="1">OFFSET(Database!$F36,0,COLUMN(Database!FG36)*2-12)</f>
        <v>n.r.</v>
      </c>
      <c r="FK36" s="8" t="str">
        <f ca="1">OFFSET(Database!$F36,0,COLUMN(Database!FH36)*2-12)</f>
        <v>n.r.</v>
      </c>
      <c r="FL36" s="8" t="str">
        <f ca="1">OFFSET(Database!$F36,0,COLUMN(Database!FI36)*2-12)</f>
        <v>n.r.</v>
      </c>
      <c r="FM36" s="8" t="str">
        <f ca="1">OFFSET(Database!$F36,0,COLUMN(Database!FJ36)*2-12)</f>
        <v>n.r.</v>
      </c>
      <c r="FN36" s="8" t="str">
        <f ca="1">OFFSET(Database!$F36,0,COLUMN(Database!FK36)*2-12)</f>
        <v>n.r.</v>
      </c>
      <c r="FO36" s="8" t="str">
        <f ca="1">OFFSET(Database!$F36,0,COLUMN(Database!FL36)*2-12)</f>
        <v>n.r.</v>
      </c>
      <c r="FP36" s="8" t="str">
        <f ca="1">OFFSET(Database!$F36,0,COLUMN(Database!FM36)*2-12)</f>
        <v>n.r.</v>
      </c>
      <c r="FQ36" s="8" t="str">
        <f ca="1">OFFSET(Database!$F36,0,COLUMN(Database!FN36)*2-12)</f>
        <v>n.r.</v>
      </c>
      <c r="FR36" s="8" t="str">
        <f ca="1">OFFSET(Database!$F36,0,COLUMN(Database!FO36)*2-12)</f>
        <v>n.r.</v>
      </c>
      <c r="FS36" s="8" t="str">
        <f ca="1">OFFSET(Database!$F36,0,COLUMN(Database!FP36)*2-12)</f>
        <v>n.r.</v>
      </c>
      <c r="FT36" s="8" t="str">
        <f ca="1">OFFSET(Database!$F36,0,COLUMN(Database!FQ36)*2-12)</f>
        <v>n.r.</v>
      </c>
      <c r="FU36" s="8">
        <f ca="1">OFFSET(Database!$F36,0,COLUMN(Database!FR36)*2-12)</f>
        <v>93</v>
      </c>
      <c r="FV36" s="8" t="str">
        <f ca="1">OFFSET(Database!$F36,0,COLUMN(Database!FS36)*2-12)</f>
        <v>b.d.</v>
      </c>
      <c r="FW36" s="8">
        <f ca="1">OFFSET(Database!$F36,0,COLUMN(Database!FT36)*2-12)</f>
        <v>170</v>
      </c>
      <c r="FX36" s="8">
        <f ca="1">OFFSET(Database!$F36,0,COLUMN(Database!FU36)*2-12)</f>
        <v>216</v>
      </c>
      <c r="FY36" s="8" t="str">
        <f ca="1">OFFSET(Database!$F36,0,COLUMN(Database!FV36)*2-12)</f>
        <v>b.d.</v>
      </c>
      <c r="FZ36" s="8" t="str">
        <f ca="1">OFFSET(Database!$F36,0,COLUMN(Database!FW36)*2-12)</f>
        <v>b.d.</v>
      </c>
      <c r="GA36" s="8" t="str">
        <f ca="1">OFFSET(Database!$F36,0,COLUMN(Database!FX36)*2-12)</f>
        <v>b.d.</v>
      </c>
      <c r="GB36" s="8">
        <f ca="1">OFFSET(Database!$F36,0,COLUMN(Database!FY36)*2-12)</f>
        <v>221</v>
      </c>
      <c r="GC36" s="8">
        <f ca="1">OFFSET(Database!$F36,0,COLUMN(Database!FZ36)*2-12)</f>
        <v>207</v>
      </c>
      <c r="GD36" s="8">
        <f ca="1">OFFSET(Database!$F36,0,COLUMN(Database!GA36)*2-12)</f>
        <v>155</v>
      </c>
      <c r="GE36" s="8">
        <f ca="1">OFFSET(Database!$F36,0,COLUMN(Database!GB36)*2-12)</f>
        <v>91</v>
      </c>
      <c r="GF36" s="8">
        <f ca="1">OFFSET(Database!$F36,0,COLUMN(Database!GC36)*2-12)</f>
        <v>127</v>
      </c>
      <c r="GG36" s="8" t="str">
        <f ca="1">OFFSET(Database!$F36,0,COLUMN(Database!GD36)*2-12)</f>
        <v>n.r.</v>
      </c>
      <c r="GH36" s="8" t="str">
        <f ca="1">OFFSET(Database!$F36,0,COLUMN(Database!GE36)*2-12)</f>
        <v>n.r.</v>
      </c>
      <c r="GI36" s="8" t="str">
        <f ca="1">OFFSET(Database!$F36,0,COLUMN(Database!GF36)*2-12)</f>
        <v>n.r.</v>
      </c>
      <c r="GJ36" s="8" t="str">
        <f ca="1">OFFSET(Database!$F36,0,COLUMN(Database!GG36)*2-12)</f>
        <v>n.r.</v>
      </c>
      <c r="GK36" s="8" t="str">
        <f ca="1">OFFSET(Database!$F36,0,COLUMN(Database!GH36)*2-12)</f>
        <v>n.r.</v>
      </c>
      <c r="GL36" s="8" t="str">
        <f ca="1">OFFSET(Database!$F36,0,COLUMN(Database!GI36)*2-12)</f>
        <v>n.r.</v>
      </c>
      <c r="GM36" s="8" t="str">
        <f ca="1">OFFSET(Database!$F36,0,COLUMN(Database!GJ36)*2-12)</f>
        <v>n.r.</v>
      </c>
      <c r="GN36" s="8" t="str">
        <f ca="1">OFFSET(Database!$F36,0,COLUMN(Database!GK36)*2-12)</f>
        <v>n.r.</v>
      </c>
      <c r="GO36" s="8" t="str">
        <f ca="1">OFFSET(Database!$F36,0,COLUMN(Database!GL36)*2-12)</f>
        <v>n.r.</v>
      </c>
      <c r="GP36" s="8" t="str">
        <f ca="1">OFFSET(Database!$F36,0,COLUMN(Database!GM36)*2-12)</f>
        <v>n.r.</v>
      </c>
    </row>
    <row r="37" spans="1:198" x14ac:dyDescent="0.2">
      <c r="A37" s="50" t="str">
        <f>Database!A37</f>
        <v>1-Aminocyclopropane-1-carboxylic acid</v>
      </c>
      <c r="B37" s="32" t="s">
        <v>1014</v>
      </c>
      <c r="C37" s="4" t="str">
        <f>Database!B37</f>
        <v>ɑ</v>
      </c>
      <c r="D37" s="4" t="str">
        <f>Database!C37</f>
        <v>Achiral</v>
      </c>
      <c r="E37" s="74">
        <f>Database!D37</f>
        <v>12</v>
      </c>
      <c r="F37" s="32" t="s">
        <v>919</v>
      </c>
      <c r="G37" s="1">
        <v>535</v>
      </c>
      <c r="H37" s="1">
        <f>Database!E37</f>
        <v>101.1</v>
      </c>
      <c r="I37" s="8" t="str">
        <f ca="1">OFFSET(Database!$F37,0,COLUMN(Database!F37)*2-12)</f>
        <v>n.r.</v>
      </c>
      <c r="J37" s="8" t="str">
        <f ca="1">OFFSET(Database!$F37,0,COLUMN(Database!G37)*2-12)</f>
        <v>n.r.</v>
      </c>
      <c r="K37" s="8" t="str">
        <f ca="1">OFFSET(Database!$F37,0,COLUMN(Database!H37)*2-12)</f>
        <v>n.r.</v>
      </c>
      <c r="L37" s="8" t="str">
        <f ca="1">OFFSET(Database!$F37,0,COLUMN(Database!I37)*2-12)</f>
        <v>n.r.</v>
      </c>
      <c r="M37" s="8" t="str">
        <f ca="1">OFFSET(Database!$F37,0,COLUMN(Database!J37)*2-12)</f>
        <v>n.r.</v>
      </c>
      <c r="N37" s="8" t="str">
        <f ca="1">OFFSET(Database!$F37,0,COLUMN(Database!K37)*2-12)</f>
        <v>n.r.</v>
      </c>
      <c r="O37" s="8" t="str">
        <f ca="1">OFFSET(Database!$F37,0,COLUMN(Database!L37)*2-12)</f>
        <v>n.r.</v>
      </c>
      <c r="P37" s="8" t="str">
        <f ca="1">OFFSET(Database!$F37,0,COLUMN(Database!M37)*2-12)</f>
        <v>n.r.</v>
      </c>
      <c r="Q37" s="8" t="str">
        <f ca="1">OFFSET(Database!$F37,0,COLUMN(Database!N37)*2-12)</f>
        <v>n.r.</v>
      </c>
      <c r="R37" s="8" t="str">
        <f ca="1">OFFSET(Database!$F37,0,COLUMN(Database!O37)*2-12)</f>
        <v>n.r.</v>
      </c>
      <c r="S37" s="8" t="str">
        <f ca="1">OFFSET(Database!$F37,0,COLUMN(Database!P37)*2-12)</f>
        <v>n.r.</v>
      </c>
      <c r="T37" s="8" t="str">
        <f ca="1">OFFSET(Database!$F37,0,COLUMN(Database!Q37)*2-12)</f>
        <v>n.r.</v>
      </c>
      <c r="U37" s="8" t="str">
        <f ca="1">OFFSET(Database!$F37,0,COLUMN(Database!R37)*2-12)</f>
        <v>n.r.</v>
      </c>
      <c r="V37" s="8" t="str">
        <f ca="1">OFFSET(Database!$F37,0,COLUMN(Database!S37)*2-12)</f>
        <v>n.r.</v>
      </c>
      <c r="W37" s="8" t="str">
        <f ca="1">OFFSET(Database!$F37,0,COLUMN(Database!T37)*2-12)</f>
        <v>n.r.</v>
      </c>
      <c r="X37" s="8" t="str">
        <f ca="1">OFFSET(Database!$F37,0,COLUMN(Database!U37)*2-12)</f>
        <v>n.r.</v>
      </c>
      <c r="Y37" s="8" t="str">
        <f ca="1">OFFSET(Database!$F37,0,COLUMN(Database!V37)*2-12)</f>
        <v>n.r.</v>
      </c>
      <c r="Z37" s="8" t="str">
        <f ca="1">OFFSET(Database!$F37,0,COLUMN(Database!W37)*2-12)</f>
        <v>n.r.</v>
      </c>
      <c r="AA37" s="8" t="str">
        <f ca="1">OFFSET(Database!$F37,0,COLUMN(Database!X37)*2-12)</f>
        <v>n.r.</v>
      </c>
      <c r="AB37" s="8" t="str">
        <f ca="1">OFFSET(Database!$F37,0,COLUMN(Database!Y37)*2-12)</f>
        <v>n.r.</v>
      </c>
      <c r="AC37" s="8" t="str">
        <f ca="1">OFFSET(Database!$F37,0,COLUMN(Database!Z37)*2-12)</f>
        <v>n.r.</v>
      </c>
      <c r="AD37" s="8" t="str">
        <f ca="1">OFFSET(Database!$F37,0,COLUMN(Database!AA37)*2-12)</f>
        <v>n.r.</v>
      </c>
      <c r="AE37" s="8" t="str">
        <f ca="1">OFFSET(Database!$F37,0,COLUMN(Database!AB37)*2-12)</f>
        <v>n.r.</v>
      </c>
      <c r="AF37" s="8" t="str">
        <f ca="1">OFFSET(Database!$F37,0,COLUMN(Database!AC37)*2-12)</f>
        <v>n.r.</v>
      </c>
      <c r="AG37" s="8" t="str">
        <f ca="1">OFFSET(Database!$F37,0,COLUMN(Database!AD37)*2-12)</f>
        <v>n.r.</v>
      </c>
      <c r="AH37" s="8" t="str">
        <f ca="1">OFFSET(Database!$F37,0,COLUMN(Database!AE37)*2-12)</f>
        <v>n.r.</v>
      </c>
      <c r="AI37" s="8" t="str">
        <f ca="1">OFFSET(Database!$F37,0,COLUMN(Database!AF37)*2-12)</f>
        <v>n.r.</v>
      </c>
      <c r="AJ37" s="8" t="str">
        <f ca="1">OFFSET(Database!$F37,0,COLUMN(Database!AG37)*2-12)</f>
        <v>n.r.</v>
      </c>
      <c r="AK37" s="8" t="str">
        <f ca="1">OFFSET(Database!$F37,0,COLUMN(Database!AH37)*2-12)</f>
        <v>n.r.</v>
      </c>
      <c r="AL37" s="8" t="str">
        <f ca="1">OFFSET(Database!$F37,0,COLUMN(Database!AI37)*2-12)</f>
        <v>n.r.</v>
      </c>
      <c r="AM37" s="8" t="str">
        <f ca="1">OFFSET(Database!$F37,0,COLUMN(Database!AJ37)*2-12)</f>
        <v>n.r.</v>
      </c>
      <c r="AN37" s="8" t="str">
        <f ca="1">OFFSET(Database!$F37,0,COLUMN(Database!AK37)*2-12)</f>
        <v>n.r.</v>
      </c>
      <c r="AO37" s="8" t="str">
        <f ca="1">OFFSET(Database!$F37,0,COLUMN(Database!AL37)*2-12)</f>
        <v>n.r.</v>
      </c>
      <c r="AP37" s="8" t="str">
        <f ca="1">OFFSET(Database!$F37,0,COLUMN(Database!AM37)*2-12)</f>
        <v>n.r.</v>
      </c>
      <c r="AQ37" s="8" t="str">
        <f ca="1">OFFSET(Database!$F37,0,COLUMN(Database!AN37)*2-12)</f>
        <v>n.r.</v>
      </c>
      <c r="AR37" s="8" t="str">
        <f ca="1">OFFSET(Database!$F37,0,COLUMN(Database!AO37)*2-12)</f>
        <v>n.r.</v>
      </c>
      <c r="AS37" s="8" t="str">
        <f ca="1">OFFSET(Database!$F37,0,COLUMN(Database!AP37)*2-12)</f>
        <v>n.r.</v>
      </c>
      <c r="AT37" s="8" t="str">
        <f ca="1">OFFSET(Database!$F37,0,COLUMN(Database!AQ37)*2-12)</f>
        <v>n.r.</v>
      </c>
      <c r="AU37" s="8" t="str">
        <f ca="1">OFFSET(Database!$F37,0,COLUMN(Database!AR37)*2-12)</f>
        <v>n.r.</v>
      </c>
      <c r="AV37" s="8" t="str">
        <f ca="1">OFFSET(Database!$F37,0,COLUMN(Database!AS37)*2-12)</f>
        <v>n.r.</v>
      </c>
      <c r="AW37" s="8" t="str">
        <f ca="1">OFFSET(Database!$F37,0,COLUMN(Database!AT37)*2-12)</f>
        <v>n.r.</v>
      </c>
      <c r="AX37" s="8" t="str">
        <f ca="1">OFFSET(Database!$F37,0,COLUMN(Database!AU37)*2-12)</f>
        <v>n.r.</v>
      </c>
      <c r="AY37" s="8" t="str">
        <f ca="1">OFFSET(Database!$F37,0,COLUMN(Database!AV37)*2-12)</f>
        <v>n.r.</v>
      </c>
      <c r="AZ37" s="8" t="str">
        <f ca="1">OFFSET(Database!$F37,0,COLUMN(Database!AW37)*2-12)</f>
        <v>n.r.</v>
      </c>
      <c r="BA37" s="8" t="str">
        <f ca="1">OFFSET(Database!$F37,0,COLUMN(Database!AX37)*2-12)</f>
        <v>n.r.</v>
      </c>
      <c r="BB37" s="8" t="str">
        <f ca="1">OFFSET(Database!$F37,0,COLUMN(Database!AY37)*2-12)</f>
        <v>n.r.</v>
      </c>
      <c r="BC37" s="8" t="str">
        <f ca="1">OFFSET(Database!$F37,0,COLUMN(Database!AZ37)*2-12)</f>
        <v>n.r.</v>
      </c>
      <c r="BD37" s="8" t="str">
        <f ca="1">OFFSET(Database!$F37,0,COLUMN(Database!BA37)*2-12)</f>
        <v>n.r.</v>
      </c>
      <c r="BE37" s="8" t="str">
        <f ca="1">OFFSET(Database!$F37,0,COLUMN(Database!BB37)*2-12)</f>
        <v>n.r.</v>
      </c>
      <c r="BF37" s="8" t="str">
        <f ca="1">OFFSET(Database!$F37,0,COLUMN(Database!BC37)*2-12)</f>
        <v>n.r.</v>
      </c>
      <c r="BG37" s="8" t="str">
        <f ca="1">OFFSET(Database!$F37,0,COLUMN(Database!BD37)*2-12)</f>
        <v>n.r.</v>
      </c>
      <c r="BH37" s="8" t="str">
        <f ca="1">OFFSET(Database!$F37,0,COLUMN(Database!BE37)*2-12)</f>
        <v>n.r.</v>
      </c>
      <c r="BI37" s="8" t="str">
        <f ca="1">OFFSET(Database!$F37,0,COLUMN(Database!BF37)*2-12)</f>
        <v>n.r.</v>
      </c>
      <c r="BJ37" s="8" t="str">
        <f ca="1">OFFSET(Database!$F37,0,COLUMN(Database!BG37)*2-12)</f>
        <v>n.r.</v>
      </c>
      <c r="BK37" s="8" t="str">
        <f ca="1">OFFSET(Database!$F37,0,COLUMN(Database!BH37)*2-12)</f>
        <v>n.r.</v>
      </c>
      <c r="BL37" s="8" t="str">
        <f ca="1">OFFSET(Database!$F37,0,COLUMN(Database!BI37)*2-12)</f>
        <v>n.r.</v>
      </c>
      <c r="BM37" s="8" t="str">
        <f ca="1">OFFSET(Database!$F37,0,COLUMN(Database!BJ37)*2-12)</f>
        <v>n.r.</v>
      </c>
      <c r="BN37" s="8" t="str">
        <f ca="1">OFFSET(Database!$F37,0,COLUMN(Database!BK37)*2-12)</f>
        <v>n.r.</v>
      </c>
      <c r="BO37" s="8" t="str">
        <f ca="1">OFFSET(Database!$F37,0,COLUMN(Database!BL37)*2-12)</f>
        <v>n.r.</v>
      </c>
      <c r="BP37" s="8" t="str">
        <f ca="1">OFFSET(Database!$F37,0,COLUMN(Database!BM37)*2-12)</f>
        <v>n.r.</v>
      </c>
      <c r="BQ37" s="8" t="str">
        <f ca="1">OFFSET(Database!$F37,0,COLUMN(Database!BN37)*2-12)</f>
        <v>n.r.</v>
      </c>
      <c r="BR37" s="8" t="str">
        <f ca="1">OFFSET(Database!$F37,0,COLUMN(Database!BO37)*2-12)</f>
        <v>n.r.</v>
      </c>
      <c r="BS37" s="8" t="str">
        <f ca="1">OFFSET(Database!$F37,0,COLUMN(Database!BP37)*2-12)</f>
        <v>n.r.</v>
      </c>
      <c r="BT37" s="8" t="str">
        <f ca="1">OFFSET(Database!$F37,0,COLUMN(Database!BQ37)*2-12)</f>
        <v>n.r.</v>
      </c>
      <c r="BU37" s="8" t="str">
        <f ca="1">OFFSET(Database!$F37,0,COLUMN(Database!BR37)*2-12)</f>
        <v>n.r.</v>
      </c>
      <c r="BV37" s="8" t="str">
        <f ca="1">OFFSET(Database!$F37,0,COLUMN(Database!BS37)*2-12)</f>
        <v>n.r.</v>
      </c>
      <c r="BW37" s="8" t="str">
        <f ca="1">OFFSET(Database!$F37,0,COLUMN(Database!BT37)*2-12)</f>
        <v>n.r.</v>
      </c>
      <c r="BX37" s="8" t="str">
        <f ca="1">OFFSET(Database!$F37,0,COLUMN(Database!BU37)*2-12)</f>
        <v>n.r.</v>
      </c>
      <c r="BY37" s="8" t="str">
        <f ca="1">OFFSET(Database!$F37,0,COLUMN(Database!BV37)*2-12)</f>
        <v>n.r.</v>
      </c>
      <c r="BZ37" s="8" t="str">
        <f ca="1">OFFSET(Database!$F37,0,COLUMN(Database!BW37)*2-12)</f>
        <v>n.r.</v>
      </c>
      <c r="CA37" s="8" t="str">
        <f ca="1">OFFSET(Database!$F37,0,COLUMN(Database!BX37)*2-12)</f>
        <v>n.r.</v>
      </c>
      <c r="CB37" s="8" t="str">
        <f ca="1">OFFSET(Database!$F37,0,COLUMN(Database!BY37)*2-12)</f>
        <v>n.r.</v>
      </c>
      <c r="CC37" s="8" t="str">
        <f ca="1">OFFSET(Database!$F37,0,COLUMN(Database!BZ37)*2-12)</f>
        <v>n.r.</v>
      </c>
      <c r="CD37" s="8" t="str">
        <f ca="1">OFFSET(Database!$F37,0,COLUMN(Database!CA37)*2-12)</f>
        <v>n.r.</v>
      </c>
      <c r="CE37" s="8" t="str">
        <f ca="1">OFFSET(Database!$F37,0,COLUMN(Database!CB37)*2-12)</f>
        <v>n.r.</v>
      </c>
      <c r="CF37" s="8" t="str">
        <f ca="1">OFFSET(Database!$F37,0,COLUMN(Database!CC37)*2-12)</f>
        <v>n.r.</v>
      </c>
      <c r="CG37" s="8" t="str">
        <f ca="1">OFFSET(Database!$F37,0,COLUMN(Database!CD37)*2-12)</f>
        <v>n.r.</v>
      </c>
      <c r="CH37" s="8" t="str">
        <f ca="1">OFFSET(Database!$F37,0,COLUMN(Database!CE37)*2-12)</f>
        <v>n.r.</v>
      </c>
      <c r="CI37" s="8" t="str">
        <f ca="1">OFFSET(Database!$F37,0,COLUMN(Database!CF37)*2-12)</f>
        <v>n.r.</v>
      </c>
      <c r="CJ37" s="8" t="str">
        <f ca="1">OFFSET(Database!$F37,0,COLUMN(Database!CG37)*2-12)</f>
        <v>n.r.</v>
      </c>
      <c r="CK37" s="8" t="str">
        <f ca="1">OFFSET(Database!$F37,0,COLUMN(Database!CH37)*2-12)</f>
        <v>n.r.</v>
      </c>
      <c r="CL37" s="8" t="str">
        <f ca="1">OFFSET(Database!$F37,0,COLUMN(Database!CI37)*2-12)</f>
        <v>n.r.</v>
      </c>
      <c r="CM37" s="8" t="str">
        <f ca="1">OFFSET(Database!$F37,0,COLUMN(Database!CJ37)*2-12)</f>
        <v>n.r.</v>
      </c>
      <c r="CN37" s="8" t="str">
        <f ca="1">OFFSET(Database!$F37,0,COLUMN(Database!CK37)*2-12)</f>
        <v>n.r.</v>
      </c>
      <c r="CO37" s="8" t="str">
        <f ca="1">OFFSET(Database!$F37,0,COLUMN(Database!CL37)*2-12)</f>
        <v>n.r.</v>
      </c>
      <c r="CP37" s="8" t="str">
        <f ca="1">OFFSET(Database!$F37,0,COLUMN(Database!CM37)*2-12)</f>
        <v>n.r.</v>
      </c>
      <c r="CQ37" s="8" t="str">
        <f ca="1">OFFSET(Database!$F37,0,COLUMN(Database!CN37)*2-12)</f>
        <v>n.r.</v>
      </c>
      <c r="CR37" s="8" t="str">
        <f ca="1">OFFSET(Database!$F37,0,COLUMN(Database!CO37)*2-12)</f>
        <v>n.r.</v>
      </c>
      <c r="CS37" s="8" t="str">
        <f ca="1">OFFSET(Database!$F37,0,COLUMN(Database!CP37)*2-12)</f>
        <v>n.r.</v>
      </c>
      <c r="CT37" s="8" t="str">
        <f ca="1">OFFSET(Database!$F37,0,COLUMN(Database!CQ37)*2-12)</f>
        <v>n.r.</v>
      </c>
      <c r="CU37" s="8" t="str">
        <f ca="1">OFFSET(Database!$F37,0,COLUMN(Database!CR37)*2-12)</f>
        <v>n.r.</v>
      </c>
      <c r="CV37" s="8" t="str">
        <f ca="1">OFFSET(Database!$F37,0,COLUMN(Database!CS37)*2-12)</f>
        <v>n.r.</v>
      </c>
      <c r="CW37" s="8" t="str">
        <f ca="1">OFFSET(Database!$F37,0,COLUMN(Database!CT37)*2-12)</f>
        <v>n.r.</v>
      </c>
      <c r="CX37" s="8" t="str">
        <f ca="1">OFFSET(Database!$F37,0,COLUMN(Database!CU37)*2-12)</f>
        <v>n.r.</v>
      </c>
      <c r="CY37" s="8" t="str">
        <f ca="1">OFFSET(Database!$F37,0,COLUMN(Database!CV37)*2-12)</f>
        <v>n.r.</v>
      </c>
      <c r="CZ37" s="8" t="str">
        <f ca="1">OFFSET(Database!$F37,0,COLUMN(Database!CW37)*2-12)</f>
        <v>n.r.</v>
      </c>
      <c r="DA37" s="8" t="str">
        <f ca="1">OFFSET(Database!$F37,0,COLUMN(Database!CX37)*2-12)</f>
        <v>n.r.</v>
      </c>
      <c r="DB37" s="8" t="str">
        <f ca="1">OFFSET(Database!$F37,0,COLUMN(Database!CY37)*2-12)</f>
        <v>n.r.</v>
      </c>
      <c r="DC37" s="8" t="str">
        <f ca="1">OFFSET(Database!$F37,0,COLUMN(Database!CZ37)*2-12)</f>
        <v>n.r.</v>
      </c>
      <c r="DD37" s="8" t="str">
        <f ca="1">OFFSET(Database!$F37,0,COLUMN(Database!DA37)*2-12)</f>
        <v>n.r.</v>
      </c>
      <c r="DE37" s="8" t="str">
        <f ca="1">OFFSET(Database!$F37,0,COLUMN(Database!DB37)*2-12)</f>
        <v>n.r.</v>
      </c>
      <c r="DF37" s="8" t="str">
        <f ca="1">OFFSET(Database!$F37,0,COLUMN(Database!DC37)*2-12)</f>
        <v>n.r.</v>
      </c>
      <c r="DG37" s="8" t="str">
        <f ca="1">OFFSET(Database!$F37,0,COLUMN(Database!DD37)*2-12)</f>
        <v>n.r.</v>
      </c>
      <c r="DH37" s="8" t="str">
        <f ca="1">OFFSET(Database!$F37,0,COLUMN(Database!DE37)*2-12)</f>
        <v>n.r.</v>
      </c>
      <c r="DI37" s="8" t="str">
        <f ca="1">OFFSET(Database!$F37,0,COLUMN(Database!DF37)*2-12)</f>
        <v>n.r.</v>
      </c>
      <c r="DJ37" s="8" t="str">
        <f ca="1">OFFSET(Database!$F37,0,COLUMN(Database!DG37)*2-12)</f>
        <v>n.r.</v>
      </c>
      <c r="DK37" s="8" t="str">
        <f ca="1">OFFSET(Database!$F37,0,COLUMN(Database!DH37)*2-12)</f>
        <v>n.r.</v>
      </c>
      <c r="DL37" s="8" t="str">
        <f ca="1">OFFSET(Database!$F37,0,COLUMN(Database!DI37)*2-12)</f>
        <v>n.r.</v>
      </c>
      <c r="DM37" s="8" t="str">
        <f ca="1">OFFSET(Database!$F37,0,COLUMN(Database!DJ37)*2-12)</f>
        <v>n.r.</v>
      </c>
      <c r="DN37" s="8" t="str">
        <f ca="1">OFFSET(Database!$F37,0,COLUMN(Database!DK37)*2-12)</f>
        <v>n.r.</v>
      </c>
      <c r="DO37" s="8" t="str">
        <f ca="1">OFFSET(Database!$F37,0,COLUMN(Database!DL37)*2-12)</f>
        <v>n.r.</v>
      </c>
      <c r="DP37" s="8" t="str">
        <f ca="1">OFFSET(Database!$F37,0,COLUMN(Database!DM37)*2-12)</f>
        <v>n.r.</v>
      </c>
      <c r="DQ37" s="8" t="str">
        <f ca="1">OFFSET(Database!$F37,0,COLUMN(Database!DN37)*2-12)</f>
        <v>n.r.</v>
      </c>
      <c r="DR37" s="8" t="str">
        <f ca="1">OFFSET(Database!$F37,0,COLUMN(Database!DO37)*2-12)</f>
        <v>n.r.</v>
      </c>
      <c r="DS37" s="8" t="str">
        <f ca="1">OFFSET(Database!$F37,0,COLUMN(Database!DP37)*2-12)</f>
        <v>n.r.</v>
      </c>
      <c r="DT37" s="8" t="str">
        <f ca="1">OFFSET(Database!$F37,0,COLUMN(Database!DQ37)*2-12)</f>
        <v>n.r.</v>
      </c>
      <c r="DU37" s="8" t="str">
        <f ca="1">OFFSET(Database!$F37,0,COLUMN(Database!DR37)*2-12)</f>
        <v>n.r.</v>
      </c>
      <c r="DV37" s="8" t="str">
        <f ca="1">OFFSET(Database!$F37,0,COLUMN(Database!DS37)*2-12)</f>
        <v>n.r.</v>
      </c>
      <c r="DW37" s="8" t="str">
        <f ca="1">OFFSET(Database!$F37,0,COLUMN(Database!DT37)*2-12)</f>
        <v>n.r.</v>
      </c>
      <c r="DX37" s="8" t="str">
        <f ca="1">OFFSET(Database!$F37,0,COLUMN(Database!DU37)*2-12)</f>
        <v>n.r.</v>
      </c>
      <c r="DY37" s="8" t="str">
        <f ca="1">OFFSET(Database!$F37,0,COLUMN(Database!DV37)*2-12)</f>
        <v>n.r.</v>
      </c>
      <c r="DZ37" s="8" t="str">
        <f ca="1">OFFSET(Database!$F37,0,COLUMN(Database!DW37)*2-12)</f>
        <v>n.r.</v>
      </c>
      <c r="EA37" s="8" t="str">
        <f ca="1">OFFSET(Database!$F37,0,COLUMN(Database!DX37)*2-12)</f>
        <v>n.r.</v>
      </c>
      <c r="EB37" s="8" t="str">
        <f ca="1">OFFSET(Database!$F37,0,COLUMN(Database!DY37)*2-12)</f>
        <v>n.r.</v>
      </c>
      <c r="EC37" s="8" t="str">
        <f ca="1">OFFSET(Database!$F37,0,COLUMN(Database!DZ37)*2-12)</f>
        <v>n.r.</v>
      </c>
      <c r="ED37" s="8" t="str">
        <f ca="1">OFFSET(Database!$F37,0,COLUMN(Database!EA37)*2-12)</f>
        <v>n.r.</v>
      </c>
      <c r="EE37" s="8" t="str">
        <f ca="1">OFFSET(Database!$F37,0,COLUMN(Database!EB37)*2-12)</f>
        <v>n.r.</v>
      </c>
      <c r="EF37" s="8" t="str">
        <f ca="1">OFFSET(Database!$F37,0,COLUMN(Database!EC37)*2-12)</f>
        <v>n.r.</v>
      </c>
      <c r="EG37" s="8" t="str">
        <f ca="1">OFFSET(Database!$F37,0,COLUMN(Database!ED37)*2-12)</f>
        <v>n.r.</v>
      </c>
      <c r="EH37" s="8" t="str">
        <f ca="1">OFFSET(Database!$F37,0,COLUMN(Database!EE37)*2-12)</f>
        <v>n.r.</v>
      </c>
      <c r="EI37" s="8" t="str">
        <f ca="1">OFFSET(Database!$F37,0,COLUMN(Database!EF37)*2-12)</f>
        <v>n.r.</v>
      </c>
      <c r="EJ37" s="8" t="str">
        <f ca="1">OFFSET(Database!$F37,0,COLUMN(Database!EG37)*2-12)</f>
        <v>n.r.</v>
      </c>
      <c r="EK37" s="8" t="str">
        <f ca="1">OFFSET(Database!$F37,0,COLUMN(Database!EH37)*2-12)</f>
        <v>n.r.</v>
      </c>
      <c r="EL37" s="8" t="str">
        <f ca="1">OFFSET(Database!$F37,0,COLUMN(Database!EI37)*2-12)</f>
        <v>n.r.</v>
      </c>
      <c r="EM37" s="8" t="str">
        <f ca="1">OFFSET(Database!$F37,0,COLUMN(Database!EJ37)*2-12)</f>
        <v>n.r.</v>
      </c>
      <c r="EN37" s="8" t="str">
        <f ca="1">OFFSET(Database!$F37,0,COLUMN(Database!EK37)*2-12)</f>
        <v>n.r.</v>
      </c>
      <c r="EO37" s="8" t="str">
        <f ca="1">OFFSET(Database!$F37,0,COLUMN(Database!EL37)*2-12)</f>
        <v>n.r.</v>
      </c>
      <c r="EP37" s="8" t="str">
        <f ca="1">OFFSET(Database!$F37,0,COLUMN(Database!EM37)*2-12)</f>
        <v>n.r.</v>
      </c>
      <c r="EQ37" s="8" t="str">
        <f ca="1">OFFSET(Database!$F37,0,COLUMN(Database!EN37)*2-12)</f>
        <v>n.r.</v>
      </c>
      <c r="ER37" s="8" t="str">
        <f ca="1">OFFSET(Database!$F37,0,COLUMN(Database!EO37)*2-12)</f>
        <v>n.r.</v>
      </c>
      <c r="ES37" s="8" t="str">
        <f ca="1">OFFSET(Database!$F37,0,COLUMN(Database!EP37)*2-12)</f>
        <v>n.r.</v>
      </c>
      <c r="ET37" s="8" t="str">
        <f ca="1">OFFSET(Database!$F37,0,COLUMN(Database!EQ37)*2-12)</f>
        <v>n.r.</v>
      </c>
      <c r="EU37" s="8" t="str">
        <f ca="1">OFFSET(Database!$F37,0,COLUMN(Database!ER37)*2-12)</f>
        <v>n.r.</v>
      </c>
      <c r="EV37" s="8" t="str">
        <f ca="1">OFFSET(Database!$F37,0,COLUMN(Database!ES37)*2-12)</f>
        <v>n.r.</v>
      </c>
      <c r="EW37" s="8" t="str">
        <f ca="1">OFFSET(Database!$F37,0,COLUMN(Database!ET37)*2-12)</f>
        <v>n.r.</v>
      </c>
      <c r="EX37" s="8" t="str">
        <f ca="1">OFFSET(Database!$F37,0,COLUMN(Database!EU37)*2-12)</f>
        <v>n.r.</v>
      </c>
      <c r="EY37" s="8" t="str">
        <f ca="1">OFFSET(Database!$F37,0,COLUMN(Database!EV37)*2-12)</f>
        <v>n.r.</v>
      </c>
      <c r="EZ37" s="8" t="str">
        <f ca="1">OFFSET(Database!$F37,0,COLUMN(Database!EW37)*2-12)</f>
        <v>n.r.</v>
      </c>
      <c r="FA37" s="8" t="str">
        <f ca="1">OFFSET(Database!$F37,0,COLUMN(Database!EX37)*2-12)</f>
        <v>n.r.</v>
      </c>
      <c r="FB37" s="8" t="str">
        <f ca="1">OFFSET(Database!$F37,0,COLUMN(Database!EY37)*2-12)</f>
        <v>n.r.</v>
      </c>
      <c r="FC37" s="8" t="str">
        <f ca="1">OFFSET(Database!$F37,0,COLUMN(Database!EZ37)*2-12)</f>
        <v>n.r.</v>
      </c>
      <c r="FD37" s="8" t="str">
        <f ca="1">OFFSET(Database!$F37,0,COLUMN(Database!FA37)*2-12)</f>
        <v>n.r.</v>
      </c>
      <c r="FE37" s="8" t="str">
        <f ca="1">OFFSET(Database!$F37,0,COLUMN(Database!FB37)*2-12)</f>
        <v>n.r.</v>
      </c>
      <c r="FF37" s="8" t="str">
        <f ca="1">OFFSET(Database!$F37,0,COLUMN(Database!FC37)*2-12)</f>
        <v>n.r.</v>
      </c>
      <c r="FG37" s="8" t="str">
        <f ca="1">OFFSET(Database!$F37,0,COLUMN(Database!FD37)*2-12)</f>
        <v>n.r.</v>
      </c>
      <c r="FH37" s="8" t="str">
        <f ca="1">OFFSET(Database!$F37,0,COLUMN(Database!FE37)*2-12)</f>
        <v>n.r.</v>
      </c>
      <c r="FI37" s="8" t="str">
        <f ca="1">OFFSET(Database!$F37,0,COLUMN(Database!FF37)*2-12)</f>
        <v>n.r.</v>
      </c>
      <c r="FJ37" s="8" t="str">
        <f ca="1">OFFSET(Database!$F37,0,COLUMN(Database!FG37)*2-12)</f>
        <v>n.r.</v>
      </c>
      <c r="FK37" s="8" t="str">
        <f ca="1">OFFSET(Database!$F37,0,COLUMN(Database!FH37)*2-12)</f>
        <v>n.r.</v>
      </c>
      <c r="FL37" s="8" t="str">
        <f ca="1">OFFSET(Database!$F37,0,COLUMN(Database!FI37)*2-12)</f>
        <v>n.r.</v>
      </c>
      <c r="FM37" s="8" t="str">
        <f ca="1">OFFSET(Database!$F37,0,COLUMN(Database!FJ37)*2-12)</f>
        <v>n.r.</v>
      </c>
      <c r="FN37" s="8" t="str">
        <f ca="1">OFFSET(Database!$F37,0,COLUMN(Database!FK37)*2-12)</f>
        <v>n.r.</v>
      </c>
      <c r="FO37" s="8" t="str">
        <f ca="1">OFFSET(Database!$F37,0,COLUMN(Database!FL37)*2-12)</f>
        <v>n.r.</v>
      </c>
      <c r="FP37" s="8" t="str">
        <f ca="1">OFFSET(Database!$F37,0,COLUMN(Database!FM37)*2-12)</f>
        <v>n.r.</v>
      </c>
      <c r="FQ37" s="8" t="str">
        <f ca="1">OFFSET(Database!$F37,0,COLUMN(Database!FN37)*2-12)</f>
        <v>n.r.</v>
      </c>
      <c r="FR37" s="8" t="str">
        <f ca="1">OFFSET(Database!$F37,0,COLUMN(Database!FO37)*2-12)</f>
        <v>n.r.</v>
      </c>
      <c r="FS37" s="8" t="str">
        <f ca="1">OFFSET(Database!$F37,0,COLUMN(Database!FP37)*2-12)</f>
        <v>n.r.</v>
      </c>
      <c r="FT37" s="8" t="str">
        <f ca="1">OFFSET(Database!$F37,0,COLUMN(Database!FQ37)*2-12)</f>
        <v>n.r.</v>
      </c>
      <c r="FU37" s="8">
        <f ca="1">OFFSET(Database!$F37,0,COLUMN(Database!FR37)*2-12)</f>
        <v>14375</v>
      </c>
      <c r="FV37" s="8">
        <f ca="1">OFFSET(Database!$F37,0,COLUMN(Database!FS37)*2-12)</f>
        <v>13238</v>
      </c>
      <c r="FW37" s="8">
        <f ca="1">OFFSET(Database!$F37,0,COLUMN(Database!FT37)*2-12)</f>
        <v>23638</v>
      </c>
      <c r="FX37" s="8">
        <f ca="1">OFFSET(Database!$F37,0,COLUMN(Database!FU37)*2-12)</f>
        <v>21953</v>
      </c>
      <c r="FY37" s="8">
        <f ca="1">OFFSET(Database!$F37,0,COLUMN(Database!FV37)*2-12)</f>
        <v>25804</v>
      </c>
      <c r="FZ37" s="8">
        <f ca="1">OFFSET(Database!$F37,0,COLUMN(Database!FW37)*2-12)</f>
        <v>25288</v>
      </c>
      <c r="GA37" s="8">
        <f ca="1">OFFSET(Database!$F37,0,COLUMN(Database!FX37)*2-12)</f>
        <v>25712</v>
      </c>
      <c r="GB37" s="8">
        <f ca="1">OFFSET(Database!$F37,0,COLUMN(Database!FY37)*2-12)</f>
        <v>24315</v>
      </c>
      <c r="GC37" s="8">
        <f ca="1">OFFSET(Database!$F37,0,COLUMN(Database!FZ37)*2-12)</f>
        <v>23788</v>
      </c>
      <c r="GD37" s="8">
        <f ca="1">OFFSET(Database!$F37,0,COLUMN(Database!GA37)*2-12)</f>
        <v>16981</v>
      </c>
      <c r="GE37" s="8">
        <f ca="1">OFFSET(Database!$F37,0,COLUMN(Database!GB37)*2-12)</f>
        <v>15104</v>
      </c>
      <c r="GF37" s="8">
        <f ca="1">OFFSET(Database!$F37,0,COLUMN(Database!GC37)*2-12)</f>
        <v>20129</v>
      </c>
      <c r="GG37" s="8" t="str">
        <f ca="1">OFFSET(Database!$F37,0,COLUMN(Database!GD37)*2-12)</f>
        <v>n.r.</v>
      </c>
      <c r="GH37" s="8" t="str">
        <f ca="1">OFFSET(Database!$F37,0,COLUMN(Database!GE37)*2-12)</f>
        <v>n.r.</v>
      </c>
      <c r="GI37" s="8" t="str">
        <f ca="1">OFFSET(Database!$F37,0,COLUMN(Database!GF37)*2-12)</f>
        <v>n.r.</v>
      </c>
      <c r="GJ37" s="8" t="str">
        <f ca="1">OFFSET(Database!$F37,0,COLUMN(Database!GG37)*2-12)</f>
        <v>n.r.</v>
      </c>
      <c r="GK37" s="8" t="str">
        <f ca="1">OFFSET(Database!$F37,0,COLUMN(Database!GH37)*2-12)</f>
        <v>n.r.</v>
      </c>
      <c r="GL37" s="8" t="str">
        <f ca="1">OFFSET(Database!$F37,0,COLUMN(Database!GI37)*2-12)</f>
        <v>n.r.</v>
      </c>
      <c r="GM37" s="8" t="str">
        <f ca="1">OFFSET(Database!$F37,0,COLUMN(Database!GJ37)*2-12)</f>
        <v>n.r.</v>
      </c>
      <c r="GN37" s="8" t="str">
        <f ca="1">OFFSET(Database!$F37,0,COLUMN(Database!GK37)*2-12)</f>
        <v>n.r.</v>
      </c>
      <c r="GO37" s="8" t="str">
        <f ca="1">OFFSET(Database!$F37,0,COLUMN(Database!GL37)*2-12)</f>
        <v>n.r.</v>
      </c>
      <c r="GP37" s="8" t="str">
        <f ca="1">OFFSET(Database!$F37,0,COLUMN(Database!GM37)*2-12)</f>
        <v>n.r.</v>
      </c>
    </row>
    <row r="38" spans="1:198" x14ac:dyDescent="0.2">
      <c r="A38" s="50" t="str">
        <f>Database!A38</f>
        <v>4-Amino-2-hydroxybutyric acid</v>
      </c>
      <c r="B38" s="32" t="s">
        <v>1015</v>
      </c>
      <c r="C38" s="4" t="str">
        <f>Database!B38</f>
        <v>ɣ</v>
      </c>
      <c r="D38" s="4" t="str">
        <f>Database!C38</f>
        <v>Both</v>
      </c>
      <c r="E38" s="74">
        <f>Database!D38</f>
        <v>3</v>
      </c>
      <c r="F38" s="32" t="s">
        <v>941</v>
      </c>
      <c r="G38" s="1">
        <v>26062</v>
      </c>
      <c r="H38" s="1">
        <f>Database!E38</f>
        <v>119.12</v>
      </c>
      <c r="I38" s="8" t="str">
        <f ca="1">OFFSET(Database!$F38,0,COLUMN(Database!F38)*2-12)</f>
        <v>n.r.</v>
      </c>
      <c r="J38" s="8" t="str">
        <f ca="1">OFFSET(Database!$F38,0,COLUMN(Database!G38)*2-12)</f>
        <v>n.r.</v>
      </c>
      <c r="K38" s="8" t="str">
        <f ca="1">OFFSET(Database!$F38,0,COLUMN(Database!H38)*2-12)</f>
        <v>n.r.</v>
      </c>
      <c r="L38" s="8" t="str">
        <f ca="1">OFFSET(Database!$F38,0,COLUMN(Database!I38)*2-12)</f>
        <v>n.r.</v>
      </c>
      <c r="M38" s="8" t="str">
        <f ca="1">OFFSET(Database!$F38,0,COLUMN(Database!J38)*2-12)</f>
        <v>n.r.</v>
      </c>
      <c r="N38" s="8" t="str">
        <f ca="1">OFFSET(Database!$F38,0,COLUMN(Database!K38)*2-12)</f>
        <v>n.r.</v>
      </c>
      <c r="O38" s="8" t="str">
        <f ca="1">OFFSET(Database!$F38,0,COLUMN(Database!L38)*2-12)</f>
        <v>n.r.</v>
      </c>
      <c r="P38" s="8" t="str">
        <f ca="1">OFFSET(Database!$F38,0,COLUMN(Database!M38)*2-12)</f>
        <v>n.r.</v>
      </c>
      <c r="Q38" s="8" t="str">
        <f ca="1">OFFSET(Database!$F38,0,COLUMN(Database!N38)*2-12)</f>
        <v>n.r.</v>
      </c>
      <c r="R38" s="8" t="str">
        <f ca="1">OFFSET(Database!$F38,0,COLUMN(Database!O38)*2-12)</f>
        <v>n.r.</v>
      </c>
      <c r="S38" s="8" t="str">
        <f ca="1">OFFSET(Database!$F38,0,COLUMN(Database!P38)*2-12)</f>
        <v>n.r.</v>
      </c>
      <c r="T38" s="8" t="str">
        <f ca="1">OFFSET(Database!$F38,0,COLUMN(Database!Q38)*2-12)</f>
        <v>n.r.</v>
      </c>
      <c r="U38" s="8" t="str">
        <f ca="1">OFFSET(Database!$F38,0,COLUMN(Database!R38)*2-12)</f>
        <v>n.r.</v>
      </c>
      <c r="V38" s="8" t="str">
        <f ca="1">OFFSET(Database!$F38,0,COLUMN(Database!S38)*2-12)</f>
        <v>n.r.</v>
      </c>
      <c r="W38" s="8" t="str">
        <f ca="1">OFFSET(Database!$F38,0,COLUMN(Database!T38)*2-12)</f>
        <v>n.r.</v>
      </c>
      <c r="X38" s="8" t="str">
        <f ca="1">OFFSET(Database!$F38,0,COLUMN(Database!U38)*2-12)</f>
        <v>n.r.</v>
      </c>
      <c r="Y38" s="8" t="str">
        <f ca="1">OFFSET(Database!$F38,0,COLUMN(Database!V38)*2-12)</f>
        <v>n.r.</v>
      </c>
      <c r="Z38" s="8" t="str">
        <f ca="1">OFFSET(Database!$F38,0,COLUMN(Database!W38)*2-12)</f>
        <v>n.r.</v>
      </c>
      <c r="AA38" s="8" t="str">
        <f ca="1">OFFSET(Database!$F38,0,COLUMN(Database!X38)*2-12)</f>
        <v>n.r.</v>
      </c>
      <c r="AB38" s="8">
        <f ca="1">OFFSET(Database!$F38,0,COLUMN(Database!Y38)*2-12)</f>
        <v>0.23505708529214236</v>
      </c>
      <c r="AC38" s="8" t="str">
        <f ca="1">OFFSET(Database!$F38,0,COLUMN(Database!Z38)*2-12)</f>
        <v>n.r.</v>
      </c>
      <c r="AD38" s="8" t="str">
        <f ca="1">OFFSET(Database!$F38,0,COLUMN(Database!AA38)*2-12)</f>
        <v>n.r.</v>
      </c>
      <c r="AE38" s="8" t="str">
        <f ca="1">OFFSET(Database!$F38,0,COLUMN(Database!AB38)*2-12)</f>
        <v>n.r.</v>
      </c>
      <c r="AF38" s="8" t="str">
        <f ca="1">OFFSET(Database!$F38,0,COLUMN(Database!AC38)*2-12)</f>
        <v>n.r.</v>
      </c>
      <c r="AG38" s="8" t="str">
        <f ca="1">OFFSET(Database!$F38,0,COLUMN(Database!AD38)*2-12)</f>
        <v>n.r.</v>
      </c>
      <c r="AH38" s="8" t="str">
        <f ca="1">OFFSET(Database!$F38,0,COLUMN(Database!AE38)*2-12)</f>
        <v>n.r.</v>
      </c>
      <c r="AI38" s="8" t="str">
        <f ca="1">OFFSET(Database!$F38,0,COLUMN(Database!AF38)*2-12)</f>
        <v>n.r.</v>
      </c>
      <c r="AJ38" s="8" t="str">
        <f ca="1">OFFSET(Database!$F38,0,COLUMN(Database!AG38)*2-12)</f>
        <v>n.r.</v>
      </c>
      <c r="AK38" s="8" t="str">
        <f ca="1">OFFSET(Database!$F38,0,COLUMN(Database!AH38)*2-12)</f>
        <v>n.r.</v>
      </c>
      <c r="AL38" s="8" t="str">
        <f ca="1">OFFSET(Database!$F38,0,COLUMN(Database!AI38)*2-12)</f>
        <v>n.r.</v>
      </c>
      <c r="AM38" s="8" t="str">
        <f ca="1">OFFSET(Database!$F38,0,COLUMN(Database!AJ38)*2-12)</f>
        <v>n.r.</v>
      </c>
      <c r="AN38" s="8" t="str">
        <f ca="1">OFFSET(Database!$F38,0,COLUMN(Database!AK38)*2-12)</f>
        <v>n.r.</v>
      </c>
      <c r="AO38" s="8" t="str">
        <f ca="1">OFFSET(Database!$F38,0,COLUMN(Database!AL38)*2-12)</f>
        <v>n.r.</v>
      </c>
      <c r="AP38" s="8" t="str">
        <f ca="1">OFFSET(Database!$F38,0,COLUMN(Database!AM38)*2-12)</f>
        <v>n.r.</v>
      </c>
      <c r="AQ38" s="8" t="str">
        <f ca="1">OFFSET(Database!$F38,0,COLUMN(Database!AN38)*2-12)</f>
        <v>n.r.</v>
      </c>
      <c r="AR38" s="8" t="str">
        <f ca="1">OFFSET(Database!$F38,0,COLUMN(Database!AO38)*2-12)</f>
        <v>n.r.</v>
      </c>
      <c r="AS38" s="8" t="str">
        <f ca="1">OFFSET(Database!$F38,0,COLUMN(Database!AP38)*2-12)</f>
        <v>n.r.</v>
      </c>
      <c r="AT38" s="8" t="str">
        <f ca="1">OFFSET(Database!$F38,0,COLUMN(Database!AQ38)*2-12)</f>
        <v>n.r.</v>
      </c>
      <c r="AU38" s="8" t="str">
        <f ca="1">OFFSET(Database!$F38,0,COLUMN(Database!AR38)*2-12)</f>
        <v>n.r.</v>
      </c>
      <c r="AV38" s="8" t="str">
        <f ca="1">OFFSET(Database!$F38,0,COLUMN(Database!AS38)*2-12)</f>
        <v>n.r.</v>
      </c>
      <c r="AW38" s="8" t="str">
        <f ca="1">OFFSET(Database!$F38,0,COLUMN(Database!AT38)*2-12)</f>
        <v>n.r.</v>
      </c>
      <c r="AX38" s="8" t="str">
        <f ca="1">OFFSET(Database!$F38,0,COLUMN(Database!AU38)*2-12)</f>
        <v>n.r.</v>
      </c>
      <c r="AY38" s="8" t="str">
        <f ca="1">OFFSET(Database!$F38,0,COLUMN(Database!AV38)*2-12)</f>
        <v>n.r.</v>
      </c>
      <c r="AZ38" s="8" t="str">
        <f ca="1">OFFSET(Database!$F38,0,COLUMN(Database!AW38)*2-12)</f>
        <v>n.r.</v>
      </c>
      <c r="BA38" s="8" t="str">
        <f ca="1">OFFSET(Database!$F38,0,COLUMN(Database!AX38)*2-12)</f>
        <v>n.r.</v>
      </c>
      <c r="BB38" s="8" t="str">
        <f ca="1">OFFSET(Database!$F38,0,COLUMN(Database!AY38)*2-12)</f>
        <v>n.r.</v>
      </c>
      <c r="BC38" s="8" t="str">
        <f ca="1">OFFSET(Database!$F38,0,COLUMN(Database!AZ38)*2-12)</f>
        <v>n.r.</v>
      </c>
      <c r="BD38" s="8" t="str">
        <f ca="1">OFFSET(Database!$F38,0,COLUMN(Database!BA38)*2-12)</f>
        <v>n.r.</v>
      </c>
      <c r="BE38" s="8" t="str">
        <f ca="1">OFFSET(Database!$F38,0,COLUMN(Database!BB38)*2-12)</f>
        <v>n.r.</v>
      </c>
      <c r="BF38" s="8" t="str">
        <f ca="1">OFFSET(Database!$F38,0,COLUMN(Database!BC38)*2-12)</f>
        <v>n.r.</v>
      </c>
      <c r="BG38" s="8" t="str">
        <f ca="1">OFFSET(Database!$F38,0,COLUMN(Database!BD38)*2-12)</f>
        <v>n.r.</v>
      </c>
      <c r="BH38" s="8" t="str">
        <f ca="1">OFFSET(Database!$F38,0,COLUMN(Database!BE38)*2-12)</f>
        <v>n.r.</v>
      </c>
      <c r="BI38" s="8" t="str">
        <f ca="1">OFFSET(Database!$F38,0,COLUMN(Database!BF38)*2-12)</f>
        <v>n.r.</v>
      </c>
      <c r="BJ38" s="8" t="str">
        <f ca="1">OFFSET(Database!$F38,0,COLUMN(Database!BG38)*2-12)</f>
        <v>n.r.</v>
      </c>
      <c r="BK38" s="8" t="str">
        <f ca="1">OFFSET(Database!$F38,0,COLUMN(Database!BH38)*2-12)</f>
        <v>n.r.</v>
      </c>
      <c r="BL38" s="8" t="str">
        <f ca="1">OFFSET(Database!$F38,0,COLUMN(Database!BI38)*2-12)</f>
        <v>n.r.</v>
      </c>
      <c r="BM38" s="8" t="str">
        <f ca="1">OFFSET(Database!$F38,0,COLUMN(Database!BJ38)*2-12)</f>
        <v>n.r.</v>
      </c>
      <c r="BN38" s="8" t="str">
        <f ca="1">OFFSET(Database!$F38,0,COLUMN(Database!BK38)*2-12)</f>
        <v>n.r.</v>
      </c>
      <c r="BO38" s="8" t="str">
        <f ca="1">OFFSET(Database!$F38,0,COLUMN(Database!BL38)*2-12)</f>
        <v>n.r.</v>
      </c>
      <c r="BP38" s="8" t="str">
        <f ca="1">OFFSET(Database!$F38,0,COLUMN(Database!BM38)*2-12)</f>
        <v>n.r.</v>
      </c>
      <c r="BQ38" s="8" t="str">
        <f ca="1">OFFSET(Database!$F38,0,COLUMN(Database!BN38)*2-12)</f>
        <v>n.r.</v>
      </c>
      <c r="BR38" s="8" t="str">
        <f ca="1">OFFSET(Database!$F38,0,COLUMN(Database!BO38)*2-12)</f>
        <v>n.r.</v>
      </c>
      <c r="BS38" s="8" t="str">
        <f ca="1">OFFSET(Database!$F38,0,COLUMN(Database!BP38)*2-12)</f>
        <v>n.r.</v>
      </c>
      <c r="BT38" s="8" t="str">
        <f ca="1">OFFSET(Database!$F38,0,COLUMN(Database!BQ38)*2-12)</f>
        <v>n.r.</v>
      </c>
      <c r="BU38" s="8" t="str">
        <f ca="1">OFFSET(Database!$F38,0,COLUMN(Database!BR38)*2-12)</f>
        <v>n.r.</v>
      </c>
      <c r="BV38" s="8" t="str">
        <f ca="1">OFFSET(Database!$F38,0,COLUMN(Database!BS38)*2-12)</f>
        <v>n.r.</v>
      </c>
      <c r="BW38" s="8" t="str">
        <f ca="1">OFFSET(Database!$F38,0,COLUMN(Database!BT38)*2-12)</f>
        <v>n.r.</v>
      </c>
      <c r="BX38" s="8" t="str">
        <f ca="1">OFFSET(Database!$F38,0,COLUMN(Database!BU38)*2-12)</f>
        <v>n.r.</v>
      </c>
      <c r="BY38" s="8" t="str">
        <f ca="1">OFFSET(Database!$F38,0,COLUMN(Database!BV38)*2-12)</f>
        <v>n.r.</v>
      </c>
      <c r="BZ38" s="8" t="str">
        <f ca="1">OFFSET(Database!$F38,0,COLUMN(Database!BW38)*2-12)</f>
        <v>n.r.</v>
      </c>
      <c r="CA38" s="8" t="str">
        <f ca="1">OFFSET(Database!$F38,0,COLUMN(Database!BX38)*2-12)</f>
        <v>n.r.</v>
      </c>
      <c r="CB38" s="8" t="str">
        <f ca="1">OFFSET(Database!$F38,0,COLUMN(Database!BY38)*2-12)</f>
        <v>n.r.</v>
      </c>
      <c r="CC38" s="8" t="str">
        <f ca="1">OFFSET(Database!$F38,0,COLUMN(Database!BZ38)*2-12)</f>
        <v>n.r.</v>
      </c>
      <c r="CD38" s="8" t="str">
        <f ca="1">OFFSET(Database!$F38,0,COLUMN(Database!CA38)*2-12)</f>
        <v>n.r.</v>
      </c>
      <c r="CE38" s="8" t="str">
        <f ca="1">OFFSET(Database!$F38,0,COLUMN(Database!CB38)*2-12)</f>
        <v>n.r.</v>
      </c>
      <c r="CF38" s="8" t="str">
        <f ca="1">OFFSET(Database!$F38,0,COLUMN(Database!CC38)*2-12)</f>
        <v>n.r.</v>
      </c>
      <c r="CG38" s="8" t="str">
        <f ca="1">OFFSET(Database!$F38,0,COLUMN(Database!CD38)*2-12)</f>
        <v>n.r.</v>
      </c>
      <c r="CH38" s="8" t="str">
        <f ca="1">OFFSET(Database!$F38,0,COLUMN(Database!CE38)*2-12)</f>
        <v>n.r.</v>
      </c>
      <c r="CI38" s="8" t="str">
        <f ca="1">OFFSET(Database!$F38,0,COLUMN(Database!CF38)*2-12)</f>
        <v>n.r.</v>
      </c>
      <c r="CJ38" s="8" t="str">
        <f ca="1">OFFSET(Database!$F38,0,COLUMN(Database!CG38)*2-12)</f>
        <v>n.r.</v>
      </c>
      <c r="CK38" s="8" t="str">
        <f ca="1">OFFSET(Database!$F38,0,COLUMN(Database!CH38)*2-12)</f>
        <v>n.r.</v>
      </c>
      <c r="CL38" s="8" t="str">
        <f ca="1">OFFSET(Database!$F38,0,COLUMN(Database!CI38)*2-12)</f>
        <v>n.r.</v>
      </c>
      <c r="CM38" s="8" t="str">
        <f ca="1">OFFSET(Database!$F38,0,COLUMN(Database!CJ38)*2-12)</f>
        <v>n.r.</v>
      </c>
      <c r="CN38" s="8" t="str">
        <f ca="1">OFFSET(Database!$F38,0,COLUMN(Database!CK38)*2-12)</f>
        <v>n.r.</v>
      </c>
      <c r="CO38" s="8" t="str">
        <f ca="1">OFFSET(Database!$F38,0,COLUMN(Database!CL38)*2-12)</f>
        <v>n.r.</v>
      </c>
      <c r="CP38" s="8" t="str">
        <f ca="1">OFFSET(Database!$F38,0,COLUMN(Database!CM38)*2-12)</f>
        <v>n.r.</v>
      </c>
      <c r="CQ38" s="8" t="str">
        <f ca="1">OFFSET(Database!$F38,0,COLUMN(Database!CN38)*2-12)</f>
        <v>n.r.</v>
      </c>
      <c r="CR38" s="8" t="str">
        <f ca="1">OFFSET(Database!$F38,0,COLUMN(Database!CO38)*2-12)</f>
        <v>n.r.</v>
      </c>
      <c r="CS38" s="8" t="str">
        <f ca="1">OFFSET(Database!$F38,0,COLUMN(Database!CP38)*2-12)</f>
        <v>n.r.</v>
      </c>
      <c r="CT38" s="8" t="str">
        <f ca="1">OFFSET(Database!$F38,0,COLUMN(Database!CQ38)*2-12)</f>
        <v>n.r.</v>
      </c>
      <c r="CU38" s="8" t="str">
        <f ca="1">OFFSET(Database!$F38,0,COLUMN(Database!CR38)*2-12)</f>
        <v>n.r.</v>
      </c>
      <c r="CV38" s="8" t="str">
        <f ca="1">OFFSET(Database!$F38,0,COLUMN(Database!CS38)*2-12)</f>
        <v>n.r.</v>
      </c>
      <c r="CW38" s="8" t="str">
        <f ca="1">OFFSET(Database!$F38,0,COLUMN(Database!CT38)*2-12)</f>
        <v>n.r.</v>
      </c>
      <c r="CX38" s="8" t="str">
        <f ca="1">OFFSET(Database!$F38,0,COLUMN(Database!CU38)*2-12)</f>
        <v>n.r.</v>
      </c>
      <c r="CY38" s="8" t="str">
        <f ca="1">OFFSET(Database!$F38,0,COLUMN(Database!CV38)*2-12)</f>
        <v>n.r.</v>
      </c>
      <c r="CZ38" s="8" t="str">
        <f ca="1">OFFSET(Database!$F38,0,COLUMN(Database!CW38)*2-12)</f>
        <v>n.r.</v>
      </c>
      <c r="DA38" s="8" t="str">
        <f ca="1">OFFSET(Database!$F38,0,COLUMN(Database!CX38)*2-12)</f>
        <v>n.r.</v>
      </c>
      <c r="DB38" s="8" t="str">
        <f ca="1">OFFSET(Database!$F38,0,COLUMN(Database!CY38)*2-12)</f>
        <v>n.r.</v>
      </c>
      <c r="DC38" s="8" t="str">
        <f ca="1">OFFSET(Database!$F38,0,COLUMN(Database!CZ38)*2-12)</f>
        <v>n.r.</v>
      </c>
      <c r="DD38" s="8" t="str">
        <f ca="1">OFFSET(Database!$F38,0,COLUMN(Database!DA38)*2-12)</f>
        <v>n.r.</v>
      </c>
      <c r="DE38" s="8" t="str">
        <f ca="1">OFFSET(Database!$F38,0,COLUMN(Database!DB38)*2-12)</f>
        <v>n.r.</v>
      </c>
      <c r="DF38" s="8" t="str">
        <f ca="1">OFFSET(Database!$F38,0,COLUMN(Database!DC38)*2-12)</f>
        <v>n.r.</v>
      </c>
      <c r="DG38" s="8" t="str">
        <f ca="1">OFFSET(Database!$F38,0,COLUMN(Database!DD38)*2-12)</f>
        <v>n.r.</v>
      </c>
      <c r="DH38" s="8" t="str">
        <f ca="1">OFFSET(Database!$F38,0,COLUMN(Database!DE38)*2-12)</f>
        <v>n.r.</v>
      </c>
      <c r="DI38" s="8" t="str">
        <f ca="1">OFFSET(Database!$F38,0,COLUMN(Database!DF38)*2-12)</f>
        <v>n.r.</v>
      </c>
      <c r="DJ38" s="8" t="str">
        <f ca="1">OFFSET(Database!$F38,0,COLUMN(Database!DG38)*2-12)</f>
        <v>n.r.</v>
      </c>
      <c r="DK38" s="8" t="str">
        <f ca="1">OFFSET(Database!$F38,0,COLUMN(Database!DH38)*2-12)</f>
        <v>n.r.</v>
      </c>
      <c r="DL38" s="8" t="str">
        <f ca="1">OFFSET(Database!$F38,0,COLUMN(Database!DI38)*2-12)</f>
        <v>n.r.</v>
      </c>
      <c r="DM38" s="8" t="str">
        <f ca="1">OFFSET(Database!$F38,0,COLUMN(Database!DJ38)*2-12)</f>
        <v>n.r.</v>
      </c>
      <c r="DN38" s="8" t="str">
        <f ca="1">OFFSET(Database!$F38,0,COLUMN(Database!DK38)*2-12)</f>
        <v>n.r.</v>
      </c>
      <c r="DO38" s="8" t="str">
        <f ca="1">OFFSET(Database!$F38,0,COLUMN(Database!DL38)*2-12)</f>
        <v>n.r.</v>
      </c>
      <c r="DP38" s="8" t="str">
        <f ca="1">OFFSET(Database!$F38,0,COLUMN(Database!DM38)*2-12)</f>
        <v>n.r.</v>
      </c>
      <c r="DQ38" s="8" t="str">
        <f ca="1">OFFSET(Database!$F38,0,COLUMN(Database!DN38)*2-12)</f>
        <v>n.r.</v>
      </c>
      <c r="DR38" s="8" t="str">
        <f ca="1">OFFSET(Database!$F38,0,COLUMN(Database!DO38)*2-12)</f>
        <v>n.r.</v>
      </c>
      <c r="DS38" s="8" t="str">
        <f ca="1">OFFSET(Database!$F38,0,COLUMN(Database!DP38)*2-12)</f>
        <v>n.r.</v>
      </c>
      <c r="DT38" s="8" t="str">
        <f ca="1">OFFSET(Database!$F38,0,COLUMN(Database!DQ38)*2-12)</f>
        <v>n.r.</v>
      </c>
      <c r="DU38" s="8" t="str">
        <f ca="1">OFFSET(Database!$F38,0,COLUMN(Database!DR38)*2-12)</f>
        <v>n.r.</v>
      </c>
      <c r="DV38" s="8" t="str">
        <f ca="1">OFFSET(Database!$F38,0,COLUMN(Database!DS38)*2-12)</f>
        <v>n.r.</v>
      </c>
      <c r="DW38" s="8" t="str">
        <f ca="1">OFFSET(Database!$F38,0,COLUMN(Database!DT38)*2-12)</f>
        <v>n.r.</v>
      </c>
      <c r="DX38" s="8" t="str">
        <f ca="1">OFFSET(Database!$F38,0,COLUMN(Database!DU38)*2-12)</f>
        <v>n.r.</v>
      </c>
      <c r="DY38" s="8" t="str">
        <f ca="1">OFFSET(Database!$F38,0,COLUMN(Database!DV38)*2-12)</f>
        <v>n.r.</v>
      </c>
      <c r="DZ38" s="8" t="str">
        <f ca="1">OFFSET(Database!$F38,0,COLUMN(Database!DW38)*2-12)</f>
        <v>n.r.</v>
      </c>
      <c r="EA38" s="8" t="str">
        <f ca="1">OFFSET(Database!$F38,0,COLUMN(Database!DX38)*2-12)</f>
        <v>n.r.</v>
      </c>
      <c r="EB38" s="8" t="str">
        <f ca="1">OFFSET(Database!$F38,0,COLUMN(Database!DY38)*2-12)</f>
        <v>n.r.</v>
      </c>
      <c r="EC38" s="8" t="str">
        <f ca="1">OFFSET(Database!$F38,0,COLUMN(Database!DZ38)*2-12)</f>
        <v>n.r.</v>
      </c>
      <c r="ED38" s="8" t="str">
        <f ca="1">OFFSET(Database!$F38,0,COLUMN(Database!EA38)*2-12)</f>
        <v>n.r.</v>
      </c>
      <c r="EE38" s="8" t="str">
        <f ca="1">OFFSET(Database!$F38,0,COLUMN(Database!EB38)*2-12)</f>
        <v>n.r.</v>
      </c>
      <c r="EF38" s="8" t="str">
        <f ca="1">OFFSET(Database!$F38,0,COLUMN(Database!EC38)*2-12)</f>
        <v>n.r.</v>
      </c>
      <c r="EG38" s="8" t="str">
        <f ca="1">OFFSET(Database!$F38,0,COLUMN(Database!ED38)*2-12)</f>
        <v>n.r.</v>
      </c>
      <c r="EH38" s="8" t="str">
        <f ca="1">OFFSET(Database!$F38,0,COLUMN(Database!EE38)*2-12)</f>
        <v>n.r.</v>
      </c>
      <c r="EI38" s="8" t="str">
        <f ca="1">OFFSET(Database!$F38,0,COLUMN(Database!EF38)*2-12)</f>
        <v>n.r.</v>
      </c>
      <c r="EJ38" s="8" t="str">
        <f ca="1">OFFSET(Database!$F38,0,COLUMN(Database!EG38)*2-12)</f>
        <v>n.r.</v>
      </c>
      <c r="EK38" s="8" t="str">
        <f ca="1">OFFSET(Database!$F38,0,COLUMN(Database!EH38)*2-12)</f>
        <v>n.r.</v>
      </c>
      <c r="EL38" s="8" t="str">
        <f ca="1">OFFSET(Database!$F38,0,COLUMN(Database!EI38)*2-12)</f>
        <v>n.r.</v>
      </c>
      <c r="EM38" s="8" t="str">
        <f ca="1">OFFSET(Database!$F38,0,COLUMN(Database!EJ38)*2-12)</f>
        <v>n.r.</v>
      </c>
      <c r="EN38" s="8" t="str">
        <f ca="1">OFFSET(Database!$F38,0,COLUMN(Database!EK38)*2-12)</f>
        <v>n.r.</v>
      </c>
      <c r="EO38" s="8" t="str">
        <f ca="1">OFFSET(Database!$F38,0,COLUMN(Database!EL38)*2-12)</f>
        <v>n.r.</v>
      </c>
      <c r="EP38" s="8" t="str">
        <f ca="1">OFFSET(Database!$F38,0,COLUMN(Database!EM38)*2-12)</f>
        <v>n.r.</v>
      </c>
      <c r="EQ38" s="8" t="str">
        <f ca="1">OFFSET(Database!$F38,0,COLUMN(Database!EN38)*2-12)</f>
        <v>n.r.</v>
      </c>
      <c r="ER38" s="8" t="str">
        <f ca="1">OFFSET(Database!$F38,0,COLUMN(Database!EO38)*2-12)</f>
        <v>n.r.</v>
      </c>
      <c r="ES38" s="8" t="str">
        <f ca="1">OFFSET(Database!$F38,0,COLUMN(Database!EP38)*2-12)</f>
        <v>n.r.</v>
      </c>
      <c r="ET38" s="8" t="str">
        <f ca="1">OFFSET(Database!$F38,0,COLUMN(Database!EQ38)*2-12)</f>
        <v>n.r.</v>
      </c>
      <c r="EU38" s="8" t="str">
        <f ca="1">OFFSET(Database!$F38,0,COLUMN(Database!ER38)*2-12)</f>
        <v>n.r.</v>
      </c>
      <c r="EV38" s="8" t="str">
        <f ca="1">OFFSET(Database!$F38,0,COLUMN(Database!ES38)*2-12)</f>
        <v>n.r.</v>
      </c>
      <c r="EW38" s="8" t="str">
        <f ca="1">OFFSET(Database!$F38,0,COLUMN(Database!ET38)*2-12)</f>
        <v>n.r.</v>
      </c>
      <c r="EX38" s="8" t="str">
        <f ca="1">OFFSET(Database!$F38,0,COLUMN(Database!EU38)*2-12)</f>
        <v>n.r.</v>
      </c>
      <c r="EY38" s="8" t="str">
        <f ca="1">OFFSET(Database!$F38,0,COLUMN(Database!EV38)*2-12)</f>
        <v>n.r.</v>
      </c>
      <c r="EZ38" s="8" t="str">
        <f ca="1">OFFSET(Database!$F38,0,COLUMN(Database!EW38)*2-12)</f>
        <v>n.r.</v>
      </c>
      <c r="FA38" s="8" t="str">
        <f ca="1">OFFSET(Database!$F38,0,COLUMN(Database!EX38)*2-12)</f>
        <v>n.r.</v>
      </c>
      <c r="FB38" s="8" t="str">
        <f ca="1">OFFSET(Database!$F38,0,COLUMN(Database!EY38)*2-12)</f>
        <v>n.r.</v>
      </c>
      <c r="FC38" s="8" t="str">
        <f ca="1">OFFSET(Database!$F38,0,COLUMN(Database!EZ38)*2-12)</f>
        <v>n.r.</v>
      </c>
      <c r="FD38" s="8" t="str">
        <f ca="1">OFFSET(Database!$F38,0,COLUMN(Database!FA38)*2-12)</f>
        <v>n.r.</v>
      </c>
      <c r="FE38" s="8" t="str">
        <f ca="1">OFFSET(Database!$F38,0,COLUMN(Database!FB38)*2-12)</f>
        <v>n.r.</v>
      </c>
      <c r="FF38" s="8" t="str">
        <f ca="1">OFFSET(Database!$F38,0,COLUMN(Database!FC38)*2-12)</f>
        <v>n.r.</v>
      </c>
      <c r="FG38" s="8" t="str">
        <f ca="1">OFFSET(Database!$F38,0,COLUMN(Database!FD38)*2-12)</f>
        <v>n.r.</v>
      </c>
      <c r="FH38" s="8" t="str">
        <f ca="1">OFFSET(Database!$F38,0,COLUMN(Database!FE38)*2-12)</f>
        <v>n.r.</v>
      </c>
      <c r="FI38" s="8" t="str">
        <f ca="1">OFFSET(Database!$F38,0,COLUMN(Database!FF38)*2-12)</f>
        <v>n.r.</v>
      </c>
      <c r="FJ38" s="8" t="str">
        <f ca="1">OFFSET(Database!$F38,0,COLUMN(Database!FG38)*2-12)</f>
        <v>n.r.</v>
      </c>
      <c r="FK38" s="8" t="str">
        <f ca="1">OFFSET(Database!$F38,0,COLUMN(Database!FH38)*2-12)</f>
        <v>n.r.</v>
      </c>
      <c r="FL38" s="8" t="str">
        <f ca="1">OFFSET(Database!$F38,0,COLUMN(Database!FI38)*2-12)</f>
        <v>n.r.</v>
      </c>
      <c r="FM38" s="8" t="str">
        <f ca="1">OFFSET(Database!$F38,0,COLUMN(Database!FJ38)*2-12)</f>
        <v>n.r.</v>
      </c>
      <c r="FN38" s="8" t="str">
        <f ca="1">OFFSET(Database!$F38,0,COLUMN(Database!FK38)*2-12)</f>
        <v>n.r.</v>
      </c>
      <c r="FO38" s="8" t="str">
        <f ca="1">OFFSET(Database!$F38,0,COLUMN(Database!FL38)*2-12)</f>
        <v>n.r.</v>
      </c>
      <c r="FP38" s="8" t="str">
        <f ca="1">OFFSET(Database!$F38,0,COLUMN(Database!FM38)*2-12)</f>
        <v>n.r.</v>
      </c>
      <c r="FQ38" s="8" t="str">
        <f ca="1">OFFSET(Database!$F38,0,COLUMN(Database!FN38)*2-12)</f>
        <v>n.r.</v>
      </c>
      <c r="FR38" s="8" t="str">
        <f ca="1">OFFSET(Database!$F38,0,COLUMN(Database!FO38)*2-12)</f>
        <v>n.r.</v>
      </c>
      <c r="FS38" s="8" t="str">
        <f ca="1">OFFSET(Database!$F38,0,COLUMN(Database!FP38)*2-12)</f>
        <v>n.r.</v>
      </c>
      <c r="FT38" s="8" t="str">
        <f ca="1">OFFSET(Database!$F38,0,COLUMN(Database!FQ38)*2-12)</f>
        <v>n.r.</v>
      </c>
      <c r="FU38" s="8" t="str">
        <f ca="1">OFFSET(Database!$F38,0,COLUMN(Database!FR38)*2-12)</f>
        <v>n.r.</v>
      </c>
      <c r="FV38" s="8" t="str">
        <f ca="1">OFFSET(Database!$F38,0,COLUMN(Database!FS38)*2-12)</f>
        <v>n.r.</v>
      </c>
      <c r="FW38" s="8" t="str">
        <f ca="1">OFFSET(Database!$F38,0,COLUMN(Database!FT38)*2-12)</f>
        <v>n.r.</v>
      </c>
      <c r="FX38" s="8" t="str">
        <f ca="1">OFFSET(Database!$F38,0,COLUMN(Database!FU38)*2-12)</f>
        <v>n.r.</v>
      </c>
      <c r="FY38" s="8" t="str">
        <f ca="1">OFFSET(Database!$F38,0,COLUMN(Database!FV38)*2-12)</f>
        <v>n.r.</v>
      </c>
      <c r="FZ38" s="8" t="str">
        <f ca="1">OFFSET(Database!$F38,0,COLUMN(Database!FW38)*2-12)</f>
        <v>n.r.</v>
      </c>
      <c r="GA38" s="8" t="str">
        <f ca="1">OFFSET(Database!$F38,0,COLUMN(Database!FX38)*2-12)</f>
        <v>n.r.</v>
      </c>
      <c r="GB38" s="8" t="str">
        <f ca="1">OFFSET(Database!$F38,0,COLUMN(Database!FY38)*2-12)</f>
        <v>n.r.</v>
      </c>
      <c r="GC38" s="8" t="str">
        <f ca="1">OFFSET(Database!$F38,0,COLUMN(Database!FZ38)*2-12)</f>
        <v>n.r.</v>
      </c>
      <c r="GD38" s="8" t="str">
        <f ca="1">OFFSET(Database!$F38,0,COLUMN(Database!GA38)*2-12)</f>
        <v>n.r.</v>
      </c>
      <c r="GE38" s="8" t="str">
        <f ca="1">OFFSET(Database!$F38,0,COLUMN(Database!GB38)*2-12)</f>
        <v>n.r.</v>
      </c>
      <c r="GF38" s="8" t="str">
        <f ca="1">OFFSET(Database!$F38,0,COLUMN(Database!GC38)*2-12)</f>
        <v>n.r.</v>
      </c>
      <c r="GG38" s="8" t="str">
        <f ca="1">OFFSET(Database!$F38,0,COLUMN(Database!GD38)*2-12)</f>
        <v>n.r.</v>
      </c>
      <c r="GH38" s="8" t="str">
        <f ca="1">OFFSET(Database!$F38,0,COLUMN(Database!GE38)*2-12)</f>
        <v>n.r.</v>
      </c>
      <c r="GI38" s="8" t="str">
        <f ca="1">OFFSET(Database!$F38,0,COLUMN(Database!GF38)*2-12)</f>
        <v>n.r.</v>
      </c>
      <c r="GJ38" s="8" t="str">
        <f ca="1">OFFSET(Database!$F38,0,COLUMN(Database!GG38)*2-12)</f>
        <v>n.r.</v>
      </c>
      <c r="GK38" s="8" t="str">
        <f ca="1">OFFSET(Database!$F38,0,COLUMN(Database!GH38)*2-12)</f>
        <v>n.r.</v>
      </c>
      <c r="GL38" s="8" t="str">
        <f ca="1">OFFSET(Database!$F38,0,COLUMN(Database!GI38)*2-12)</f>
        <v>n.r.</v>
      </c>
      <c r="GM38" s="8" t="str">
        <f ca="1">OFFSET(Database!$F38,0,COLUMN(Database!GJ38)*2-12)</f>
        <v>n.r.</v>
      </c>
      <c r="GN38" s="8" t="str">
        <f ca="1">OFFSET(Database!$F38,0,COLUMN(Database!GK38)*2-12)</f>
        <v>n.r.</v>
      </c>
      <c r="GO38" s="8">
        <f ca="1">OFFSET(Database!$F38,0,COLUMN(Database!GL38)*2-12)</f>
        <v>23.505708529214235</v>
      </c>
      <c r="GP38" s="8">
        <f ca="1">OFFSET(Database!$F38,0,COLUMN(Database!GM38)*2-12)</f>
        <v>176.29281396910679</v>
      </c>
    </row>
    <row r="39" spans="1:198" x14ac:dyDescent="0.2">
      <c r="A39" s="50" t="str">
        <f>Database!A39</f>
        <v>D-4-Amino-3-hydroxybutyric acid</v>
      </c>
      <c r="B39" s="32" t="s">
        <v>1016</v>
      </c>
      <c r="C39" s="4" t="str">
        <f>Database!B39</f>
        <v>ɣ</v>
      </c>
      <c r="D39" s="4" t="str">
        <f>Database!C39</f>
        <v>D</v>
      </c>
      <c r="E39" s="74">
        <f>Database!D39</f>
        <v>1</v>
      </c>
      <c r="F39" s="32" t="s">
        <v>940</v>
      </c>
      <c r="G39" s="1">
        <v>2733883</v>
      </c>
      <c r="H39" s="1">
        <f>Database!E39</f>
        <v>119.12</v>
      </c>
      <c r="I39" s="8" t="str">
        <f ca="1">OFFSET(Database!$F39,0,COLUMN(Database!F39)*2-12)</f>
        <v>n.r.</v>
      </c>
      <c r="J39" s="8" t="str">
        <f ca="1">OFFSET(Database!$F39,0,COLUMN(Database!G39)*2-12)</f>
        <v>n.r.</v>
      </c>
      <c r="K39" s="8" t="str">
        <f ca="1">OFFSET(Database!$F39,0,COLUMN(Database!H39)*2-12)</f>
        <v>n.r.</v>
      </c>
      <c r="L39" s="8" t="str">
        <f ca="1">OFFSET(Database!$F39,0,COLUMN(Database!I39)*2-12)</f>
        <v>n.r.</v>
      </c>
      <c r="M39" s="8" t="str">
        <f ca="1">OFFSET(Database!$F39,0,COLUMN(Database!J39)*2-12)</f>
        <v>n.r.</v>
      </c>
      <c r="N39" s="8" t="str">
        <f ca="1">OFFSET(Database!$F39,0,COLUMN(Database!K39)*2-12)</f>
        <v>n.r.</v>
      </c>
      <c r="O39" s="8" t="str">
        <f ca="1">OFFSET(Database!$F39,0,COLUMN(Database!L39)*2-12)</f>
        <v>n.r.</v>
      </c>
      <c r="P39" s="8" t="str">
        <f ca="1">OFFSET(Database!$F39,0,COLUMN(Database!M39)*2-12)</f>
        <v>n.r.</v>
      </c>
      <c r="Q39" s="8" t="str">
        <f ca="1">OFFSET(Database!$F39,0,COLUMN(Database!N39)*2-12)</f>
        <v>n.r.</v>
      </c>
      <c r="R39" s="8" t="str">
        <f ca="1">OFFSET(Database!$F39,0,COLUMN(Database!O39)*2-12)</f>
        <v>n.r.</v>
      </c>
      <c r="S39" s="8" t="str">
        <f ca="1">OFFSET(Database!$F39,0,COLUMN(Database!P39)*2-12)</f>
        <v>n.r.</v>
      </c>
      <c r="T39" s="8" t="str">
        <f ca="1">OFFSET(Database!$F39,0,COLUMN(Database!Q39)*2-12)</f>
        <v>n.r.</v>
      </c>
      <c r="U39" s="8" t="str">
        <f ca="1">OFFSET(Database!$F39,0,COLUMN(Database!R39)*2-12)</f>
        <v>n.r.</v>
      </c>
      <c r="V39" s="8" t="str">
        <f ca="1">OFFSET(Database!$F39,0,COLUMN(Database!S39)*2-12)</f>
        <v>n.r.</v>
      </c>
      <c r="W39" s="8" t="str">
        <f ca="1">OFFSET(Database!$F39,0,COLUMN(Database!T39)*2-12)</f>
        <v>n.r.</v>
      </c>
      <c r="X39" s="8" t="str">
        <f ca="1">OFFSET(Database!$F39,0,COLUMN(Database!U39)*2-12)</f>
        <v>n.r.</v>
      </c>
      <c r="Y39" s="8" t="str">
        <f ca="1">OFFSET(Database!$F39,0,COLUMN(Database!V39)*2-12)</f>
        <v>n.r.</v>
      </c>
      <c r="Z39" s="8" t="str">
        <f ca="1">OFFSET(Database!$F39,0,COLUMN(Database!W39)*2-12)</f>
        <v>n.r.</v>
      </c>
      <c r="AA39" s="8" t="str">
        <f ca="1">OFFSET(Database!$F39,0,COLUMN(Database!X39)*2-12)</f>
        <v>n.r.</v>
      </c>
      <c r="AB39" s="8">
        <f ca="1">OFFSET(Database!$F39,0,COLUMN(Database!Y39)*2-12)</f>
        <v>0.17629281396910679</v>
      </c>
      <c r="AC39" s="8" t="str">
        <f ca="1">OFFSET(Database!$F39,0,COLUMN(Database!Z39)*2-12)</f>
        <v>n.r.</v>
      </c>
      <c r="AD39" s="8" t="str">
        <f ca="1">OFFSET(Database!$F39,0,COLUMN(Database!AA39)*2-12)</f>
        <v>n.r.</v>
      </c>
      <c r="AE39" s="8" t="str">
        <f ca="1">OFFSET(Database!$F39,0,COLUMN(Database!AB39)*2-12)</f>
        <v>n.r.</v>
      </c>
      <c r="AF39" s="8" t="str">
        <f ca="1">OFFSET(Database!$F39,0,COLUMN(Database!AC39)*2-12)</f>
        <v>n.r.</v>
      </c>
      <c r="AG39" s="8" t="str">
        <f ca="1">OFFSET(Database!$F39,0,COLUMN(Database!AD39)*2-12)</f>
        <v>n.r.</v>
      </c>
      <c r="AH39" s="8" t="str">
        <f ca="1">OFFSET(Database!$F39,0,COLUMN(Database!AE39)*2-12)</f>
        <v>n.r.</v>
      </c>
      <c r="AI39" s="8" t="str">
        <f ca="1">OFFSET(Database!$F39,0,COLUMN(Database!AF39)*2-12)</f>
        <v>n.r.</v>
      </c>
      <c r="AJ39" s="8" t="str">
        <f ca="1">OFFSET(Database!$F39,0,COLUMN(Database!AG39)*2-12)</f>
        <v>n.r.</v>
      </c>
      <c r="AK39" s="8" t="str">
        <f ca="1">OFFSET(Database!$F39,0,COLUMN(Database!AH39)*2-12)</f>
        <v>n.r.</v>
      </c>
      <c r="AL39" s="8" t="str">
        <f ca="1">OFFSET(Database!$F39,0,COLUMN(Database!AI39)*2-12)</f>
        <v>n.r.</v>
      </c>
      <c r="AM39" s="8" t="str">
        <f ca="1">OFFSET(Database!$F39,0,COLUMN(Database!AJ39)*2-12)</f>
        <v>n.r.</v>
      </c>
      <c r="AN39" s="8" t="str">
        <f ca="1">OFFSET(Database!$F39,0,COLUMN(Database!AK39)*2-12)</f>
        <v>n.r.</v>
      </c>
      <c r="AO39" s="8" t="str">
        <f ca="1">OFFSET(Database!$F39,0,COLUMN(Database!AL39)*2-12)</f>
        <v>n.r.</v>
      </c>
      <c r="AP39" s="8" t="str">
        <f ca="1">OFFSET(Database!$F39,0,COLUMN(Database!AM39)*2-12)</f>
        <v>n.r.</v>
      </c>
      <c r="AQ39" s="8" t="str">
        <f ca="1">OFFSET(Database!$F39,0,COLUMN(Database!AN39)*2-12)</f>
        <v>n.r.</v>
      </c>
      <c r="AR39" s="8" t="str">
        <f ca="1">OFFSET(Database!$F39,0,COLUMN(Database!AO39)*2-12)</f>
        <v>n.r.</v>
      </c>
      <c r="AS39" s="8" t="str">
        <f ca="1">OFFSET(Database!$F39,0,COLUMN(Database!AP39)*2-12)</f>
        <v>n.r.</v>
      </c>
      <c r="AT39" s="8" t="str">
        <f ca="1">OFFSET(Database!$F39,0,COLUMN(Database!AQ39)*2-12)</f>
        <v>n.r.</v>
      </c>
      <c r="AU39" s="8" t="str">
        <f ca="1">OFFSET(Database!$F39,0,COLUMN(Database!AR39)*2-12)</f>
        <v>n.r.</v>
      </c>
      <c r="AV39" s="8" t="str">
        <f ca="1">OFFSET(Database!$F39,0,COLUMN(Database!AS39)*2-12)</f>
        <v>n.r.</v>
      </c>
      <c r="AW39" s="8" t="str">
        <f ca="1">OFFSET(Database!$F39,0,COLUMN(Database!AT39)*2-12)</f>
        <v>n.r.</v>
      </c>
      <c r="AX39" s="8" t="str">
        <f ca="1">OFFSET(Database!$F39,0,COLUMN(Database!AU39)*2-12)</f>
        <v>n.r.</v>
      </c>
      <c r="AY39" s="8" t="str">
        <f ca="1">OFFSET(Database!$F39,0,COLUMN(Database!AV39)*2-12)</f>
        <v>n.r.</v>
      </c>
      <c r="AZ39" s="8" t="str">
        <f ca="1">OFFSET(Database!$F39,0,COLUMN(Database!AW39)*2-12)</f>
        <v>n.r.</v>
      </c>
      <c r="BA39" s="8" t="str">
        <f ca="1">OFFSET(Database!$F39,0,COLUMN(Database!AX39)*2-12)</f>
        <v>n.r.</v>
      </c>
      <c r="BB39" s="8" t="str">
        <f ca="1">OFFSET(Database!$F39,0,COLUMN(Database!AY39)*2-12)</f>
        <v>n.r.</v>
      </c>
      <c r="BC39" s="8" t="str">
        <f ca="1">OFFSET(Database!$F39,0,COLUMN(Database!AZ39)*2-12)</f>
        <v>n.r.</v>
      </c>
      <c r="BD39" s="8" t="str">
        <f ca="1">OFFSET(Database!$F39,0,COLUMN(Database!BA39)*2-12)</f>
        <v>n.r.</v>
      </c>
      <c r="BE39" s="8" t="str">
        <f ca="1">OFFSET(Database!$F39,0,COLUMN(Database!BB39)*2-12)</f>
        <v>n.r.</v>
      </c>
      <c r="BF39" s="8" t="str">
        <f ca="1">OFFSET(Database!$F39,0,COLUMN(Database!BC39)*2-12)</f>
        <v>n.r.</v>
      </c>
      <c r="BG39" s="8" t="str">
        <f ca="1">OFFSET(Database!$F39,0,COLUMN(Database!BD39)*2-12)</f>
        <v>n.r.</v>
      </c>
      <c r="BH39" s="8" t="str">
        <f ca="1">OFFSET(Database!$F39,0,COLUMN(Database!BE39)*2-12)</f>
        <v>n.r.</v>
      </c>
      <c r="BI39" s="8" t="str">
        <f ca="1">OFFSET(Database!$F39,0,COLUMN(Database!BF39)*2-12)</f>
        <v>n.r.</v>
      </c>
      <c r="BJ39" s="8" t="str">
        <f ca="1">OFFSET(Database!$F39,0,COLUMN(Database!BG39)*2-12)</f>
        <v>n.r.</v>
      </c>
      <c r="BK39" s="8" t="str">
        <f ca="1">OFFSET(Database!$F39,0,COLUMN(Database!BH39)*2-12)</f>
        <v>n.r.</v>
      </c>
      <c r="BL39" s="8" t="str">
        <f ca="1">OFFSET(Database!$F39,0,COLUMN(Database!BI39)*2-12)</f>
        <v>n.r.</v>
      </c>
      <c r="BM39" s="8" t="str">
        <f ca="1">OFFSET(Database!$F39,0,COLUMN(Database!BJ39)*2-12)</f>
        <v>n.r.</v>
      </c>
      <c r="BN39" s="8" t="str">
        <f ca="1">OFFSET(Database!$F39,0,COLUMN(Database!BK39)*2-12)</f>
        <v>n.r.</v>
      </c>
      <c r="BO39" s="8" t="str">
        <f ca="1">OFFSET(Database!$F39,0,COLUMN(Database!BL39)*2-12)</f>
        <v>n.r.</v>
      </c>
      <c r="BP39" s="8" t="str">
        <f ca="1">OFFSET(Database!$F39,0,COLUMN(Database!BM39)*2-12)</f>
        <v>n.r.</v>
      </c>
      <c r="BQ39" s="8" t="str">
        <f ca="1">OFFSET(Database!$F39,0,COLUMN(Database!BN39)*2-12)</f>
        <v>n.r.</v>
      </c>
      <c r="BR39" s="8" t="str">
        <f ca="1">OFFSET(Database!$F39,0,COLUMN(Database!BO39)*2-12)</f>
        <v>n.r.</v>
      </c>
      <c r="BS39" s="8" t="str">
        <f ca="1">OFFSET(Database!$F39,0,COLUMN(Database!BP39)*2-12)</f>
        <v>n.r.</v>
      </c>
      <c r="BT39" s="8" t="str">
        <f ca="1">OFFSET(Database!$F39,0,COLUMN(Database!BQ39)*2-12)</f>
        <v>n.r.</v>
      </c>
      <c r="BU39" s="8" t="str">
        <f ca="1">OFFSET(Database!$F39,0,COLUMN(Database!BR39)*2-12)</f>
        <v>n.r.</v>
      </c>
      <c r="BV39" s="8" t="str">
        <f ca="1">OFFSET(Database!$F39,0,COLUMN(Database!BS39)*2-12)</f>
        <v>n.r.</v>
      </c>
      <c r="BW39" s="8" t="str">
        <f ca="1">OFFSET(Database!$F39,0,COLUMN(Database!BT39)*2-12)</f>
        <v>n.r.</v>
      </c>
      <c r="BX39" s="8" t="str">
        <f ca="1">OFFSET(Database!$F39,0,COLUMN(Database!BU39)*2-12)</f>
        <v>n.r.</v>
      </c>
      <c r="BY39" s="8" t="str">
        <f ca="1">OFFSET(Database!$F39,0,COLUMN(Database!BV39)*2-12)</f>
        <v>n.r.</v>
      </c>
      <c r="BZ39" s="8" t="str">
        <f ca="1">OFFSET(Database!$F39,0,COLUMN(Database!BW39)*2-12)</f>
        <v>n.r.</v>
      </c>
      <c r="CA39" s="8" t="str">
        <f ca="1">OFFSET(Database!$F39,0,COLUMN(Database!BX39)*2-12)</f>
        <v>n.r.</v>
      </c>
      <c r="CB39" s="8" t="str">
        <f ca="1">OFFSET(Database!$F39,0,COLUMN(Database!BY39)*2-12)</f>
        <v>n.r.</v>
      </c>
      <c r="CC39" s="8" t="str">
        <f ca="1">OFFSET(Database!$F39,0,COLUMN(Database!BZ39)*2-12)</f>
        <v>n.r.</v>
      </c>
      <c r="CD39" s="8" t="str">
        <f ca="1">OFFSET(Database!$F39,0,COLUMN(Database!CA39)*2-12)</f>
        <v>n.r.</v>
      </c>
      <c r="CE39" s="8" t="str">
        <f ca="1">OFFSET(Database!$F39,0,COLUMN(Database!CB39)*2-12)</f>
        <v>n.r.</v>
      </c>
      <c r="CF39" s="8" t="str">
        <f ca="1">OFFSET(Database!$F39,0,COLUMN(Database!CC39)*2-12)</f>
        <v>n.r.</v>
      </c>
      <c r="CG39" s="8" t="str">
        <f ca="1">OFFSET(Database!$F39,0,COLUMN(Database!CD39)*2-12)</f>
        <v>n.r.</v>
      </c>
      <c r="CH39" s="8" t="str">
        <f ca="1">OFFSET(Database!$F39,0,COLUMN(Database!CE39)*2-12)</f>
        <v>n.r.</v>
      </c>
      <c r="CI39" s="8" t="str">
        <f ca="1">OFFSET(Database!$F39,0,COLUMN(Database!CF39)*2-12)</f>
        <v>n.r.</v>
      </c>
      <c r="CJ39" s="8" t="str">
        <f ca="1">OFFSET(Database!$F39,0,COLUMN(Database!CG39)*2-12)</f>
        <v>n.r.</v>
      </c>
      <c r="CK39" s="8" t="str">
        <f ca="1">OFFSET(Database!$F39,0,COLUMN(Database!CH39)*2-12)</f>
        <v>n.r.</v>
      </c>
      <c r="CL39" s="8" t="str">
        <f ca="1">OFFSET(Database!$F39,0,COLUMN(Database!CI39)*2-12)</f>
        <v>n.r.</v>
      </c>
      <c r="CM39" s="8" t="str">
        <f ca="1">OFFSET(Database!$F39,0,COLUMN(Database!CJ39)*2-12)</f>
        <v>n.r.</v>
      </c>
      <c r="CN39" s="8" t="str">
        <f ca="1">OFFSET(Database!$F39,0,COLUMN(Database!CK39)*2-12)</f>
        <v>n.r.</v>
      </c>
      <c r="CO39" s="8" t="str">
        <f ca="1">OFFSET(Database!$F39,0,COLUMN(Database!CL39)*2-12)</f>
        <v>n.r.</v>
      </c>
      <c r="CP39" s="8" t="str">
        <f ca="1">OFFSET(Database!$F39,0,COLUMN(Database!CM39)*2-12)</f>
        <v>n.r.</v>
      </c>
      <c r="CQ39" s="8" t="str">
        <f ca="1">OFFSET(Database!$F39,0,COLUMN(Database!CN39)*2-12)</f>
        <v>n.r.</v>
      </c>
      <c r="CR39" s="8" t="str">
        <f ca="1">OFFSET(Database!$F39,0,COLUMN(Database!CO39)*2-12)</f>
        <v>n.r.</v>
      </c>
      <c r="CS39" s="8" t="str">
        <f ca="1">OFFSET(Database!$F39,0,COLUMN(Database!CP39)*2-12)</f>
        <v>n.r.</v>
      </c>
      <c r="CT39" s="8" t="str">
        <f ca="1">OFFSET(Database!$F39,0,COLUMN(Database!CQ39)*2-12)</f>
        <v>n.r.</v>
      </c>
      <c r="CU39" s="8" t="str">
        <f ca="1">OFFSET(Database!$F39,0,COLUMN(Database!CR39)*2-12)</f>
        <v>n.r.</v>
      </c>
      <c r="CV39" s="8" t="str">
        <f ca="1">OFFSET(Database!$F39,0,COLUMN(Database!CS39)*2-12)</f>
        <v>n.r.</v>
      </c>
      <c r="CW39" s="8" t="str">
        <f ca="1">OFFSET(Database!$F39,0,COLUMN(Database!CT39)*2-12)</f>
        <v>n.r.</v>
      </c>
      <c r="CX39" s="8" t="str">
        <f ca="1">OFFSET(Database!$F39,0,COLUMN(Database!CU39)*2-12)</f>
        <v>n.r.</v>
      </c>
      <c r="CY39" s="8" t="str">
        <f ca="1">OFFSET(Database!$F39,0,COLUMN(Database!CV39)*2-12)</f>
        <v>n.r.</v>
      </c>
      <c r="CZ39" s="8" t="str">
        <f ca="1">OFFSET(Database!$F39,0,COLUMN(Database!CW39)*2-12)</f>
        <v>n.r.</v>
      </c>
      <c r="DA39" s="8" t="str">
        <f ca="1">OFFSET(Database!$F39,0,COLUMN(Database!CX39)*2-12)</f>
        <v>n.r.</v>
      </c>
      <c r="DB39" s="8" t="str">
        <f ca="1">OFFSET(Database!$F39,0,COLUMN(Database!CY39)*2-12)</f>
        <v>n.r.</v>
      </c>
      <c r="DC39" s="8" t="str">
        <f ca="1">OFFSET(Database!$F39,0,COLUMN(Database!CZ39)*2-12)</f>
        <v>n.r.</v>
      </c>
      <c r="DD39" s="8" t="str">
        <f ca="1">OFFSET(Database!$F39,0,COLUMN(Database!DA39)*2-12)</f>
        <v>n.r.</v>
      </c>
      <c r="DE39" s="8" t="str">
        <f ca="1">OFFSET(Database!$F39,0,COLUMN(Database!DB39)*2-12)</f>
        <v>n.r.</v>
      </c>
      <c r="DF39" s="8" t="str">
        <f ca="1">OFFSET(Database!$F39,0,COLUMN(Database!DC39)*2-12)</f>
        <v>n.r.</v>
      </c>
      <c r="DG39" s="8" t="str">
        <f ca="1">OFFSET(Database!$F39,0,COLUMN(Database!DD39)*2-12)</f>
        <v>n.r.</v>
      </c>
      <c r="DH39" s="8" t="str">
        <f ca="1">OFFSET(Database!$F39,0,COLUMN(Database!DE39)*2-12)</f>
        <v>n.r.</v>
      </c>
      <c r="DI39" s="8" t="str">
        <f ca="1">OFFSET(Database!$F39,0,COLUMN(Database!DF39)*2-12)</f>
        <v>n.r.</v>
      </c>
      <c r="DJ39" s="8" t="str">
        <f ca="1">OFFSET(Database!$F39,0,COLUMN(Database!DG39)*2-12)</f>
        <v>n.r.</v>
      </c>
      <c r="DK39" s="8" t="str">
        <f ca="1">OFFSET(Database!$F39,0,COLUMN(Database!DH39)*2-12)</f>
        <v>n.r.</v>
      </c>
      <c r="DL39" s="8" t="str">
        <f ca="1">OFFSET(Database!$F39,0,COLUMN(Database!DI39)*2-12)</f>
        <v>n.r.</v>
      </c>
      <c r="DM39" s="8" t="str">
        <f ca="1">OFFSET(Database!$F39,0,COLUMN(Database!DJ39)*2-12)</f>
        <v>n.r.</v>
      </c>
      <c r="DN39" s="8" t="str">
        <f ca="1">OFFSET(Database!$F39,0,COLUMN(Database!DK39)*2-12)</f>
        <v>n.r.</v>
      </c>
      <c r="DO39" s="8" t="str">
        <f ca="1">OFFSET(Database!$F39,0,COLUMN(Database!DL39)*2-12)</f>
        <v>n.r.</v>
      </c>
      <c r="DP39" s="8" t="str">
        <f ca="1">OFFSET(Database!$F39,0,COLUMN(Database!DM39)*2-12)</f>
        <v>n.r.</v>
      </c>
      <c r="DQ39" s="8" t="str">
        <f ca="1">OFFSET(Database!$F39,0,COLUMN(Database!DN39)*2-12)</f>
        <v>n.r.</v>
      </c>
      <c r="DR39" s="8" t="str">
        <f ca="1">OFFSET(Database!$F39,0,COLUMN(Database!DO39)*2-12)</f>
        <v>n.r.</v>
      </c>
      <c r="DS39" s="8" t="str">
        <f ca="1">OFFSET(Database!$F39,0,COLUMN(Database!DP39)*2-12)</f>
        <v>n.r.</v>
      </c>
      <c r="DT39" s="8" t="str">
        <f ca="1">OFFSET(Database!$F39,0,COLUMN(Database!DQ39)*2-12)</f>
        <v>n.r.</v>
      </c>
      <c r="DU39" s="8" t="str">
        <f ca="1">OFFSET(Database!$F39,0,COLUMN(Database!DR39)*2-12)</f>
        <v>n.r.</v>
      </c>
      <c r="DV39" s="8" t="str">
        <f ca="1">OFFSET(Database!$F39,0,COLUMN(Database!DS39)*2-12)</f>
        <v>n.r.</v>
      </c>
      <c r="DW39" s="8" t="str">
        <f ca="1">OFFSET(Database!$F39,0,COLUMN(Database!DT39)*2-12)</f>
        <v>n.r.</v>
      </c>
      <c r="DX39" s="8" t="str">
        <f ca="1">OFFSET(Database!$F39,0,COLUMN(Database!DU39)*2-12)</f>
        <v>n.r.</v>
      </c>
      <c r="DY39" s="8" t="str">
        <f ca="1">OFFSET(Database!$F39,0,COLUMN(Database!DV39)*2-12)</f>
        <v>n.r.</v>
      </c>
      <c r="DZ39" s="8" t="str">
        <f ca="1">OFFSET(Database!$F39,0,COLUMN(Database!DW39)*2-12)</f>
        <v>n.r.</v>
      </c>
      <c r="EA39" s="8" t="str">
        <f ca="1">OFFSET(Database!$F39,0,COLUMN(Database!DX39)*2-12)</f>
        <v>n.r.</v>
      </c>
      <c r="EB39" s="8" t="str">
        <f ca="1">OFFSET(Database!$F39,0,COLUMN(Database!DY39)*2-12)</f>
        <v>n.r.</v>
      </c>
      <c r="EC39" s="8" t="str">
        <f ca="1">OFFSET(Database!$F39,0,COLUMN(Database!DZ39)*2-12)</f>
        <v>n.r.</v>
      </c>
      <c r="ED39" s="8" t="str">
        <f ca="1">OFFSET(Database!$F39,0,COLUMN(Database!EA39)*2-12)</f>
        <v>n.r.</v>
      </c>
      <c r="EE39" s="8" t="str">
        <f ca="1">OFFSET(Database!$F39,0,COLUMN(Database!EB39)*2-12)</f>
        <v>n.r.</v>
      </c>
      <c r="EF39" s="8" t="str">
        <f ca="1">OFFSET(Database!$F39,0,COLUMN(Database!EC39)*2-12)</f>
        <v>n.r.</v>
      </c>
      <c r="EG39" s="8" t="str">
        <f ca="1">OFFSET(Database!$F39,0,COLUMN(Database!ED39)*2-12)</f>
        <v>n.r.</v>
      </c>
      <c r="EH39" s="8" t="str">
        <f ca="1">OFFSET(Database!$F39,0,COLUMN(Database!EE39)*2-12)</f>
        <v>n.r.</v>
      </c>
      <c r="EI39" s="8" t="str">
        <f ca="1">OFFSET(Database!$F39,0,COLUMN(Database!EF39)*2-12)</f>
        <v>n.r.</v>
      </c>
      <c r="EJ39" s="8" t="str">
        <f ca="1">OFFSET(Database!$F39,0,COLUMN(Database!EG39)*2-12)</f>
        <v>n.r.</v>
      </c>
      <c r="EK39" s="8" t="str">
        <f ca="1">OFFSET(Database!$F39,0,COLUMN(Database!EH39)*2-12)</f>
        <v>n.r.</v>
      </c>
      <c r="EL39" s="8" t="str">
        <f ca="1">OFFSET(Database!$F39,0,COLUMN(Database!EI39)*2-12)</f>
        <v>n.r.</v>
      </c>
      <c r="EM39" s="8" t="str">
        <f ca="1">OFFSET(Database!$F39,0,COLUMN(Database!EJ39)*2-12)</f>
        <v>n.r.</v>
      </c>
      <c r="EN39" s="8" t="str">
        <f ca="1">OFFSET(Database!$F39,0,COLUMN(Database!EK39)*2-12)</f>
        <v>n.r.</v>
      </c>
      <c r="EO39" s="8" t="str">
        <f ca="1">OFFSET(Database!$F39,0,COLUMN(Database!EL39)*2-12)</f>
        <v>n.r.</v>
      </c>
      <c r="EP39" s="8" t="str">
        <f ca="1">OFFSET(Database!$F39,0,COLUMN(Database!EM39)*2-12)</f>
        <v>n.r.</v>
      </c>
      <c r="EQ39" s="8" t="str">
        <f ca="1">OFFSET(Database!$F39,0,COLUMN(Database!EN39)*2-12)</f>
        <v>n.r.</v>
      </c>
      <c r="ER39" s="8" t="str">
        <f ca="1">OFFSET(Database!$F39,0,COLUMN(Database!EO39)*2-12)</f>
        <v>n.r.</v>
      </c>
      <c r="ES39" s="8" t="str">
        <f ca="1">OFFSET(Database!$F39,0,COLUMN(Database!EP39)*2-12)</f>
        <v>n.r.</v>
      </c>
      <c r="ET39" s="8" t="str">
        <f ca="1">OFFSET(Database!$F39,0,COLUMN(Database!EQ39)*2-12)</f>
        <v>n.r.</v>
      </c>
      <c r="EU39" s="8" t="str">
        <f ca="1">OFFSET(Database!$F39,0,COLUMN(Database!ER39)*2-12)</f>
        <v>n.r.</v>
      </c>
      <c r="EV39" s="8" t="str">
        <f ca="1">OFFSET(Database!$F39,0,COLUMN(Database!ES39)*2-12)</f>
        <v>n.r.</v>
      </c>
      <c r="EW39" s="8" t="str">
        <f ca="1">OFFSET(Database!$F39,0,COLUMN(Database!ET39)*2-12)</f>
        <v>n.r.</v>
      </c>
      <c r="EX39" s="8" t="str">
        <f ca="1">OFFSET(Database!$F39,0,COLUMN(Database!EU39)*2-12)</f>
        <v>n.r.</v>
      </c>
      <c r="EY39" s="8" t="str">
        <f ca="1">OFFSET(Database!$F39,0,COLUMN(Database!EV39)*2-12)</f>
        <v>n.r.</v>
      </c>
      <c r="EZ39" s="8" t="str">
        <f ca="1">OFFSET(Database!$F39,0,COLUMN(Database!EW39)*2-12)</f>
        <v>n.r.</v>
      </c>
      <c r="FA39" s="8" t="str">
        <f ca="1">OFFSET(Database!$F39,0,COLUMN(Database!EX39)*2-12)</f>
        <v>n.r.</v>
      </c>
      <c r="FB39" s="8" t="str">
        <f ca="1">OFFSET(Database!$F39,0,COLUMN(Database!EY39)*2-12)</f>
        <v>n.r.</v>
      </c>
      <c r="FC39" s="8" t="str">
        <f ca="1">OFFSET(Database!$F39,0,COLUMN(Database!EZ39)*2-12)</f>
        <v>n.r.</v>
      </c>
      <c r="FD39" s="8" t="str">
        <f ca="1">OFFSET(Database!$F39,0,COLUMN(Database!FA39)*2-12)</f>
        <v>n.r.</v>
      </c>
      <c r="FE39" s="8" t="str">
        <f ca="1">OFFSET(Database!$F39,0,COLUMN(Database!FB39)*2-12)</f>
        <v>n.r.</v>
      </c>
      <c r="FF39" s="8" t="str">
        <f ca="1">OFFSET(Database!$F39,0,COLUMN(Database!FC39)*2-12)</f>
        <v>n.r.</v>
      </c>
      <c r="FG39" s="8" t="str">
        <f ca="1">OFFSET(Database!$F39,0,COLUMN(Database!FD39)*2-12)</f>
        <v>n.r.</v>
      </c>
      <c r="FH39" s="8" t="str">
        <f ca="1">OFFSET(Database!$F39,0,COLUMN(Database!FE39)*2-12)</f>
        <v>n.r.</v>
      </c>
      <c r="FI39" s="8" t="str">
        <f ca="1">OFFSET(Database!$F39,0,COLUMN(Database!FF39)*2-12)</f>
        <v>n.r.</v>
      </c>
      <c r="FJ39" s="8" t="str">
        <f ca="1">OFFSET(Database!$F39,0,COLUMN(Database!FG39)*2-12)</f>
        <v>n.r.</v>
      </c>
      <c r="FK39" s="8" t="str">
        <f ca="1">OFFSET(Database!$F39,0,COLUMN(Database!FH39)*2-12)</f>
        <v>n.r.</v>
      </c>
      <c r="FL39" s="8" t="str">
        <f ca="1">OFFSET(Database!$F39,0,COLUMN(Database!FI39)*2-12)</f>
        <v>n.r.</v>
      </c>
      <c r="FM39" s="8" t="str">
        <f ca="1">OFFSET(Database!$F39,0,COLUMN(Database!FJ39)*2-12)</f>
        <v>n.r.</v>
      </c>
      <c r="FN39" s="8" t="str">
        <f ca="1">OFFSET(Database!$F39,0,COLUMN(Database!FK39)*2-12)</f>
        <v>n.r.</v>
      </c>
      <c r="FO39" s="8" t="str">
        <f ca="1">OFFSET(Database!$F39,0,COLUMN(Database!FL39)*2-12)</f>
        <v>n.r.</v>
      </c>
      <c r="FP39" s="8" t="str">
        <f ca="1">OFFSET(Database!$F39,0,COLUMN(Database!FM39)*2-12)</f>
        <v>n.r.</v>
      </c>
      <c r="FQ39" s="8" t="str">
        <f ca="1">OFFSET(Database!$F39,0,COLUMN(Database!FN39)*2-12)</f>
        <v>n.r.</v>
      </c>
      <c r="FR39" s="8" t="str">
        <f ca="1">OFFSET(Database!$F39,0,COLUMN(Database!FO39)*2-12)</f>
        <v>n.r.</v>
      </c>
      <c r="FS39" s="8" t="str">
        <f ca="1">OFFSET(Database!$F39,0,COLUMN(Database!FP39)*2-12)</f>
        <v>n.r.</v>
      </c>
      <c r="FT39" s="8" t="str">
        <f ca="1">OFFSET(Database!$F39,0,COLUMN(Database!FQ39)*2-12)</f>
        <v>n.r.</v>
      </c>
      <c r="FU39" s="8" t="str">
        <f ca="1">OFFSET(Database!$F39,0,COLUMN(Database!FR39)*2-12)</f>
        <v>n.r.</v>
      </c>
      <c r="FV39" s="8" t="str">
        <f ca="1">OFFSET(Database!$F39,0,COLUMN(Database!FS39)*2-12)</f>
        <v>n.r.</v>
      </c>
      <c r="FW39" s="8" t="str">
        <f ca="1">OFFSET(Database!$F39,0,COLUMN(Database!FT39)*2-12)</f>
        <v>n.r.</v>
      </c>
      <c r="FX39" s="8" t="str">
        <f ca="1">OFFSET(Database!$F39,0,COLUMN(Database!FU39)*2-12)</f>
        <v>n.r.</v>
      </c>
      <c r="FY39" s="8" t="str">
        <f ca="1">OFFSET(Database!$F39,0,COLUMN(Database!FV39)*2-12)</f>
        <v>n.r.</v>
      </c>
      <c r="FZ39" s="8" t="str">
        <f ca="1">OFFSET(Database!$F39,0,COLUMN(Database!FW39)*2-12)</f>
        <v>n.r.</v>
      </c>
      <c r="GA39" s="8" t="str">
        <f ca="1">OFFSET(Database!$F39,0,COLUMN(Database!FX39)*2-12)</f>
        <v>n.r.</v>
      </c>
      <c r="GB39" s="8" t="str">
        <f ca="1">OFFSET(Database!$F39,0,COLUMN(Database!FY39)*2-12)</f>
        <v>n.r.</v>
      </c>
      <c r="GC39" s="8" t="str">
        <f ca="1">OFFSET(Database!$F39,0,COLUMN(Database!FZ39)*2-12)</f>
        <v>n.r.</v>
      </c>
      <c r="GD39" s="8" t="str">
        <f ca="1">OFFSET(Database!$F39,0,COLUMN(Database!GA39)*2-12)</f>
        <v>n.r.</v>
      </c>
      <c r="GE39" s="8" t="str">
        <f ca="1">OFFSET(Database!$F39,0,COLUMN(Database!GB39)*2-12)</f>
        <v>n.r.</v>
      </c>
      <c r="GF39" s="8" t="str">
        <f ca="1">OFFSET(Database!$F39,0,COLUMN(Database!GC39)*2-12)</f>
        <v>n.r.</v>
      </c>
      <c r="GG39" s="8" t="str">
        <f ca="1">OFFSET(Database!$F39,0,COLUMN(Database!GD39)*2-12)</f>
        <v>n.r.</v>
      </c>
      <c r="GH39" s="8" t="str">
        <f ca="1">OFFSET(Database!$F39,0,COLUMN(Database!GE39)*2-12)</f>
        <v>n.r.</v>
      </c>
      <c r="GI39" s="8" t="str">
        <f ca="1">OFFSET(Database!$F39,0,COLUMN(Database!GF39)*2-12)</f>
        <v>n.r.</v>
      </c>
      <c r="GJ39" s="8" t="str">
        <f ca="1">OFFSET(Database!$F39,0,COLUMN(Database!GG39)*2-12)</f>
        <v>n.r.</v>
      </c>
      <c r="GK39" s="8" t="str">
        <f ca="1">OFFSET(Database!$F39,0,COLUMN(Database!GH39)*2-12)</f>
        <v>n.r.</v>
      </c>
      <c r="GL39" s="8" t="str">
        <f ca="1">OFFSET(Database!$F39,0,COLUMN(Database!GI39)*2-12)</f>
        <v>n.r.</v>
      </c>
      <c r="GM39" s="8" t="str">
        <f ca="1">OFFSET(Database!$F39,0,COLUMN(Database!GJ39)*2-12)</f>
        <v>n.r.</v>
      </c>
      <c r="GN39" s="8" t="str">
        <f ca="1">OFFSET(Database!$F39,0,COLUMN(Database!GK39)*2-12)</f>
        <v>n.r.</v>
      </c>
      <c r="GO39" s="8" t="str">
        <f ca="1">OFFSET(Database!$F39,0,COLUMN(Database!GL39)*2-12)</f>
        <v>n.d.</v>
      </c>
      <c r="GP39" s="8" t="str">
        <f ca="1">OFFSET(Database!$F39,0,COLUMN(Database!GM39)*2-12)</f>
        <v>n.d.</v>
      </c>
    </row>
    <row r="40" spans="1:198" x14ac:dyDescent="0.2">
      <c r="A40" s="50" t="str">
        <f>Database!A40</f>
        <v>L-4-Amino-3-hydroxybutyric acid</v>
      </c>
      <c r="B40" s="32" t="s">
        <v>1016</v>
      </c>
      <c r="C40" s="4" t="str">
        <f>Database!B40</f>
        <v>ɣ</v>
      </c>
      <c r="D40" s="4" t="str">
        <f>Database!C40</f>
        <v>L</v>
      </c>
      <c r="E40" s="74">
        <f>Database!D40</f>
        <v>1</v>
      </c>
      <c r="F40" s="32" t="s">
        <v>939</v>
      </c>
      <c r="G40" s="1">
        <v>6971281</v>
      </c>
      <c r="H40" s="1">
        <f>Database!E40</f>
        <v>119.12</v>
      </c>
      <c r="I40" s="8" t="str">
        <f ca="1">OFFSET(Database!$F40,0,COLUMN(Database!F40)*2-12)</f>
        <v>n.r.</v>
      </c>
      <c r="J40" s="8" t="str">
        <f ca="1">OFFSET(Database!$F40,0,COLUMN(Database!G40)*2-12)</f>
        <v>n.r.</v>
      </c>
      <c r="K40" s="8" t="str">
        <f ca="1">OFFSET(Database!$F40,0,COLUMN(Database!H40)*2-12)</f>
        <v>n.r.</v>
      </c>
      <c r="L40" s="8" t="str">
        <f ca="1">OFFSET(Database!$F40,0,COLUMN(Database!I40)*2-12)</f>
        <v>n.r.</v>
      </c>
      <c r="M40" s="8" t="str">
        <f ca="1">OFFSET(Database!$F40,0,COLUMN(Database!J40)*2-12)</f>
        <v>n.r.</v>
      </c>
      <c r="N40" s="8" t="str">
        <f ca="1">OFFSET(Database!$F40,0,COLUMN(Database!K40)*2-12)</f>
        <v>n.r.</v>
      </c>
      <c r="O40" s="8" t="str">
        <f ca="1">OFFSET(Database!$F40,0,COLUMN(Database!L40)*2-12)</f>
        <v>n.r.</v>
      </c>
      <c r="P40" s="8" t="str">
        <f ca="1">OFFSET(Database!$F40,0,COLUMN(Database!M40)*2-12)</f>
        <v>n.r.</v>
      </c>
      <c r="Q40" s="8" t="str">
        <f ca="1">OFFSET(Database!$F40,0,COLUMN(Database!N40)*2-12)</f>
        <v>n.r.</v>
      </c>
      <c r="R40" s="8" t="str">
        <f ca="1">OFFSET(Database!$F40,0,COLUMN(Database!O40)*2-12)</f>
        <v>n.r.</v>
      </c>
      <c r="S40" s="8" t="str">
        <f ca="1">OFFSET(Database!$F40,0,COLUMN(Database!P40)*2-12)</f>
        <v>n.r.</v>
      </c>
      <c r="T40" s="8" t="str">
        <f ca="1">OFFSET(Database!$F40,0,COLUMN(Database!Q40)*2-12)</f>
        <v>n.r.</v>
      </c>
      <c r="U40" s="8" t="str">
        <f ca="1">OFFSET(Database!$F40,0,COLUMN(Database!R40)*2-12)</f>
        <v>n.r.</v>
      </c>
      <c r="V40" s="8" t="str">
        <f ca="1">OFFSET(Database!$F40,0,COLUMN(Database!S40)*2-12)</f>
        <v>n.r.</v>
      </c>
      <c r="W40" s="8" t="str">
        <f ca="1">OFFSET(Database!$F40,0,COLUMN(Database!T40)*2-12)</f>
        <v>n.r.</v>
      </c>
      <c r="X40" s="8" t="str">
        <f ca="1">OFFSET(Database!$F40,0,COLUMN(Database!U40)*2-12)</f>
        <v>n.r.</v>
      </c>
      <c r="Y40" s="8" t="str">
        <f ca="1">OFFSET(Database!$F40,0,COLUMN(Database!V40)*2-12)</f>
        <v>n.r.</v>
      </c>
      <c r="Z40" s="8" t="str">
        <f ca="1">OFFSET(Database!$F40,0,COLUMN(Database!W40)*2-12)</f>
        <v>n.r.</v>
      </c>
      <c r="AA40" s="8" t="str">
        <f ca="1">OFFSET(Database!$F40,0,COLUMN(Database!X40)*2-12)</f>
        <v>n.r.</v>
      </c>
      <c r="AB40" s="8">
        <f ca="1">OFFSET(Database!$F40,0,COLUMN(Database!Y40)*2-12)</f>
        <v>0.10073875083948959</v>
      </c>
      <c r="AC40" s="8" t="str">
        <f ca="1">OFFSET(Database!$F40,0,COLUMN(Database!Z40)*2-12)</f>
        <v>n.r.</v>
      </c>
      <c r="AD40" s="8" t="str">
        <f ca="1">OFFSET(Database!$F40,0,COLUMN(Database!AA40)*2-12)</f>
        <v>n.r.</v>
      </c>
      <c r="AE40" s="8" t="str">
        <f ca="1">OFFSET(Database!$F40,0,COLUMN(Database!AB40)*2-12)</f>
        <v>n.r.</v>
      </c>
      <c r="AF40" s="8" t="str">
        <f ca="1">OFFSET(Database!$F40,0,COLUMN(Database!AC40)*2-12)</f>
        <v>n.r.</v>
      </c>
      <c r="AG40" s="8" t="str">
        <f ca="1">OFFSET(Database!$F40,0,COLUMN(Database!AD40)*2-12)</f>
        <v>n.r.</v>
      </c>
      <c r="AH40" s="8" t="str">
        <f ca="1">OFFSET(Database!$F40,0,COLUMN(Database!AE40)*2-12)</f>
        <v>n.r.</v>
      </c>
      <c r="AI40" s="8" t="str">
        <f ca="1">OFFSET(Database!$F40,0,COLUMN(Database!AF40)*2-12)</f>
        <v>n.r.</v>
      </c>
      <c r="AJ40" s="8" t="str">
        <f ca="1">OFFSET(Database!$F40,0,COLUMN(Database!AG40)*2-12)</f>
        <v>n.r.</v>
      </c>
      <c r="AK40" s="8" t="str">
        <f ca="1">OFFSET(Database!$F40,0,COLUMN(Database!AH40)*2-12)</f>
        <v>n.r.</v>
      </c>
      <c r="AL40" s="8" t="str">
        <f ca="1">OFFSET(Database!$F40,0,COLUMN(Database!AI40)*2-12)</f>
        <v>n.r.</v>
      </c>
      <c r="AM40" s="8" t="str">
        <f ca="1">OFFSET(Database!$F40,0,COLUMN(Database!AJ40)*2-12)</f>
        <v>n.r.</v>
      </c>
      <c r="AN40" s="8" t="str">
        <f ca="1">OFFSET(Database!$F40,0,COLUMN(Database!AK40)*2-12)</f>
        <v>n.r.</v>
      </c>
      <c r="AO40" s="8" t="str">
        <f ca="1">OFFSET(Database!$F40,0,COLUMN(Database!AL40)*2-12)</f>
        <v>n.r.</v>
      </c>
      <c r="AP40" s="8" t="str">
        <f ca="1">OFFSET(Database!$F40,0,COLUMN(Database!AM40)*2-12)</f>
        <v>n.r.</v>
      </c>
      <c r="AQ40" s="8" t="str">
        <f ca="1">OFFSET(Database!$F40,0,COLUMN(Database!AN40)*2-12)</f>
        <v>n.r.</v>
      </c>
      <c r="AR40" s="8" t="str">
        <f ca="1">OFFSET(Database!$F40,0,COLUMN(Database!AO40)*2-12)</f>
        <v>n.r.</v>
      </c>
      <c r="AS40" s="8" t="str">
        <f ca="1">OFFSET(Database!$F40,0,COLUMN(Database!AP40)*2-12)</f>
        <v>n.r.</v>
      </c>
      <c r="AT40" s="8" t="str">
        <f ca="1">OFFSET(Database!$F40,0,COLUMN(Database!AQ40)*2-12)</f>
        <v>n.r.</v>
      </c>
      <c r="AU40" s="8" t="str">
        <f ca="1">OFFSET(Database!$F40,0,COLUMN(Database!AR40)*2-12)</f>
        <v>n.r.</v>
      </c>
      <c r="AV40" s="8" t="str">
        <f ca="1">OFFSET(Database!$F40,0,COLUMN(Database!AS40)*2-12)</f>
        <v>n.r.</v>
      </c>
      <c r="AW40" s="8" t="str">
        <f ca="1">OFFSET(Database!$F40,0,COLUMN(Database!AT40)*2-12)</f>
        <v>n.r.</v>
      </c>
      <c r="AX40" s="8" t="str">
        <f ca="1">OFFSET(Database!$F40,0,COLUMN(Database!AU40)*2-12)</f>
        <v>n.r.</v>
      </c>
      <c r="AY40" s="8" t="str">
        <f ca="1">OFFSET(Database!$F40,0,COLUMN(Database!AV40)*2-12)</f>
        <v>n.r.</v>
      </c>
      <c r="AZ40" s="8" t="str">
        <f ca="1">OFFSET(Database!$F40,0,COLUMN(Database!AW40)*2-12)</f>
        <v>n.r.</v>
      </c>
      <c r="BA40" s="8" t="str">
        <f ca="1">OFFSET(Database!$F40,0,COLUMN(Database!AX40)*2-12)</f>
        <v>n.r.</v>
      </c>
      <c r="BB40" s="8" t="str">
        <f ca="1">OFFSET(Database!$F40,0,COLUMN(Database!AY40)*2-12)</f>
        <v>n.r.</v>
      </c>
      <c r="BC40" s="8" t="str">
        <f ca="1">OFFSET(Database!$F40,0,COLUMN(Database!AZ40)*2-12)</f>
        <v>n.r.</v>
      </c>
      <c r="BD40" s="8" t="str">
        <f ca="1">OFFSET(Database!$F40,0,COLUMN(Database!BA40)*2-12)</f>
        <v>n.r.</v>
      </c>
      <c r="BE40" s="8" t="str">
        <f ca="1">OFFSET(Database!$F40,0,COLUMN(Database!BB40)*2-12)</f>
        <v>n.r.</v>
      </c>
      <c r="BF40" s="8" t="str">
        <f ca="1">OFFSET(Database!$F40,0,COLUMN(Database!BC40)*2-12)</f>
        <v>n.r.</v>
      </c>
      <c r="BG40" s="8" t="str">
        <f ca="1">OFFSET(Database!$F40,0,COLUMN(Database!BD40)*2-12)</f>
        <v>n.r.</v>
      </c>
      <c r="BH40" s="8" t="str">
        <f ca="1">OFFSET(Database!$F40,0,COLUMN(Database!BE40)*2-12)</f>
        <v>n.r.</v>
      </c>
      <c r="BI40" s="8" t="str">
        <f ca="1">OFFSET(Database!$F40,0,COLUMN(Database!BF40)*2-12)</f>
        <v>n.r.</v>
      </c>
      <c r="BJ40" s="8" t="str">
        <f ca="1">OFFSET(Database!$F40,0,COLUMN(Database!BG40)*2-12)</f>
        <v>n.r.</v>
      </c>
      <c r="BK40" s="8" t="str">
        <f ca="1">OFFSET(Database!$F40,0,COLUMN(Database!BH40)*2-12)</f>
        <v>n.r.</v>
      </c>
      <c r="BL40" s="8" t="str">
        <f ca="1">OFFSET(Database!$F40,0,COLUMN(Database!BI40)*2-12)</f>
        <v>n.r.</v>
      </c>
      <c r="BM40" s="8" t="str">
        <f ca="1">OFFSET(Database!$F40,0,COLUMN(Database!BJ40)*2-12)</f>
        <v>n.r.</v>
      </c>
      <c r="BN40" s="8" t="str">
        <f ca="1">OFFSET(Database!$F40,0,COLUMN(Database!BK40)*2-12)</f>
        <v>n.r.</v>
      </c>
      <c r="BO40" s="8" t="str">
        <f ca="1">OFFSET(Database!$F40,0,COLUMN(Database!BL40)*2-12)</f>
        <v>n.r.</v>
      </c>
      <c r="BP40" s="8" t="str">
        <f ca="1">OFFSET(Database!$F40,0,COLUMN(Database!BM40)*2-12)</f>
        <v>n.r.</v>
      </c>
      <c r="BQ40" s="8" t="str">
        <f ca="1">OFFSET(Database!$F40,0,COLUMN(Database!BN40)*2-12)</f>
        <v>n.r.</v>
      </c>
      <c r="BR40" s="8" t="str">
        <f ca="1">OFFSET(Database!$F40,0,COLUMN(Database!BO40)*2-12)</f>
        <v>n.r.</v>
      </c>
      <c r="BS40" s="8" t="str">
        <f ca="1">OFFSET(Database!$F40,0,COLUMN(Database!BP40)*2-12)</f>
        <v>n.r.</v>
      </c>
      <c r="BT40" s="8" t="str">
        <f ca="1">OFFSET(Database!$F40,0,COLUMN(Database!BQ40)*2-12)</f>
        <v>n.r.</v>
      </c>
      <c r="BU40" s="8" t="str">
        <f ca="1">OFFSET(Database!$F40,0,COLUMN(Database!BR40)*2-12)</f>
        <v>n.r.</v>
      </c>
      <c r="BV40" s="8" t="str">
        <f ca="1">OFFSET(Database!$F40,0,COLUMN(Database!BS40)*2-12)</f>
        <v>n.r.</v>
      </c>
      <c r="BW40" s="8" t="str">
        <f ca="1">OFFSET(Database!$F40,0,COLUMN(Database!BT40)*2-12)</f>
        <v>n.r.</v>
      </c>
      <c r="BX40" s="8" t="str">
        <f ca="1">OFFSET(Database!$F40,0,COLUMN(Database!BU40)*2-12)</f>
        <v>n.r.</v>
      </c>
      <c r="BY40" s="8" t="str">
        <f ca="1">OFFSET(Database!$F40,0,COLUMN(Database!BV40)*2-12)</f>
        <v>n.r.</v>
      </c>
      <c r="BZ40" s="8" t="str">
        <f ca="1">OFFSET(Database!$F40,0,COLUMN(Database!BW40)*2-12)</f>
        <v>n.r.</v>
      </c>
      <c r="CA40" s="8" t="str">
        <f ca="1">OFFSET(Database!$F40,0,COLUMN(Database!BX40)*2-12)</f>
        <v>n.r.</v>
      </c>
      <c r="CB40" s="8" t="str">
        <f ca="1">OFFSET(Database!$F40,0,COLUMN(Database!BY40)*2-12)</f>
        <v>n.r.</v>
      </c>
      <c r="CC40" s="8" t="str">
        <f ca="1">OFFSET(Database!$F40,0,COLUMN(Database!BZ40)*2-12)</f>
        <v>n.r.</v>
      </c>
      <c r="CD40" s="8" t="str">
        <f ca="1">OFFSET(Database!$F40,0,COLUMN(Database!CA40)*2-12)</f>
        <v>n.r.</v>
      </c>
      <c r="CE40" s="8" t="str">
        <f ca="1">OFFSET(Database!$F40,0,COLUMN(Database!CB40)*2-12)</f>
        <v>n.r.</v>
      </c>
      <c r="CF40" s="8" t="str">
        <f ca="1">OFFSET(Database!$F40,0,COLUMN(Database!CC40)*2-12)</f>
        <v>n.r.</v>
      </c>
      <c r="CG40" s="8" t="str">
        <f ca="1">OFFSET(Database!$F40,0,COLUMN(Database!CD40)*2-12)</f>
        <v>n.r.</v>
      </c>
      <c r="CH40" s="8" t="str">
        <f ca="1">OFFSET(Database!$F40,0,COLUMN(Database!CE40)*2-12)</f>
        <v>n.r.</v>
      </c>
      <c r="CI40" s="8" t="str">
        <f ca="1">OFFSET(Database!$F40,0,COLUMN(Database!CF40)*2-12)</f>
        <v>n.r.</v>
      </c>
      <c r="CJ40" s="8" t="str">
        <f ca="1">OFFSET(Database!$F40,0,COLUMN(Database!CG40)*2-12)</f>
        <v>n.r.</v>
      </c>
      <c r="CK40" s="8" t="str">
        <f ca="1">OFFSET(Database!$F40,0,COLUMN(Database!CH40)*2-12)</f>
        <v>n.r.</v>
      </c>
      <c r="CL40" s="8" t="str">
        <f ca="1">OFFSET(Database!$F40,0,COLUMN(Database!CI40)*2-12)</f>
        <v>n.r.</v>
      </c>
      <c r="CM40" s="8" t="str">
        <f ca="1">OFFSET(Database!$F40,0,COLUMN(Database!CJ40)*2-12)</f>
        <v>n.r.</v>
      </c>
      <c r="CN40" s="8" t="str">
        <f ca="1">OFFSET(Database!$F40,0,COLUMN(Database!CK40)*2-12)</f>
        <v>n.r.</v>
      </c>
      <c r="CO40" s="8" t="str">
        <f ca="1">OFFSET(Database!$F40,0,COLUMN(Database!CL40)*2-12)</f>
        <v>n.r.</v>
      </c>
      <c r="CP40" s="8" t="str">
        <f ca="1">OFFSET(Database!$F40,0,COLUMN(Database!CM40)*2-12)</f>
        <v>n.r.</v>
      </c>
      <c r="CQ40" s="8" t="str">
        <f ca="1">OFFSET(Database!$F40,0,COLUMN(Database!CN40)*2-12)</f>
        <v>n.r.</v>
      </c>
      <c r="CR40" s="8" t="str">
        <f ca="1">OFFSET(Database!$F40,0,COLUMN(Database!CO40)*2-12)</f>
        <v>n.r.</v>
      </c>
      <c r="CS40" s="8" t="str">
        <f ca="1">OFFSET(Database!$F40,0,COLUMN(Database!CP40)*2-12)</f>
        <v>n.r.</v>
      </c>
      <c r="CT40" s="8" t="str">
        <f ca="1">OFFSET(Database!$F40,0,COLUMN(Database!CQ40)*2-12)</f>
        <v>n.r.</v>
      </c>
      <c r="CU40" s="8" t="str">
        <f ca="1">OFFSET(Database!$F40,0,COLUMN(Database!CR40)*2-12)</f>
        <v>n.r.</v>
      </c>
      <c r="CV40" s="8" t="str">
        <f ca="1">OFFSET(Database!$F40,0,COLUMN(Database!CS40)*2-12)</f>
        <v>n.r.</v>
      </c>
      <c r="CW40" s="8" t="str">
        <f ca="1">OFFSET(Database!$F40,0,COLUMN(Database!CT40)*2-12)</f>
        <v>n.r.</v>
      </c>
      <c r="CX40" s="8" t="str">
        <f ca="1">OFFSET(Database!$F40,0,COLUMN(Database!CU40)*2-12)</f>
        <v>n.r.</v>
      </c>
      <c r="CY40" s="8" t="str">
        <f ca="1">OFFSET(Database!$F40,0,COLUMN(Database!CV40)*2-12)</f>
        <v>n.r.</v>
      </c>
      <c r="CZ40" s="8" t="str">
        <f ca="1">OFFSET(Database!$F40,0,COLUMN(Database!CW40)*2-12)</f>
        <v>n.r.</v>
      </c>
      <c r="DA40" s="8" t="str">
        <f ca="1">OFFSET(Database!$F40,0,COLUMN(Database!CX40)*2-12)</f>
        <v>n.r.</v>
      </c>
      <c r="DB40" s="8" t="str">
        <f ca="1">OFFSET(Database!$F40,0,COLUMN(Database!CY40)*2-12)</f>
        <v>n.r.</v>
      </c>
      <c r="DC40" s="8" t="str">
        <f ca="1">OFFSET(Database!$F40,0,COLUMN(Database!CZ40)*2-12)</f>
        <v>n.r.</v>
      </c>
      <c r="DD40" s="8" t="str">
        <f ca="1">OFFSET(Database!$F40,0,COLUMN(Database!DA40)*2-12)</f>
        <v>n.r.</v>
      </c>
      <c r="DE40" s="8" t="str">
        <f ca="1">OFFSET(Database!$F40,0,COLUMN(Database!DB40)*2-12)</f>
        <v>n.r.</v>
      </c>
      <c r="DF40" s="8" t="str">
        <f ca="1">OFFSET(Database!$F40,0,COLUMN(Database!DC40)*2-12)</f>
        <v>n.r.</v>
      </c>
      <c r="DG40" s="8" t="str">
        <f ca="1">OFFSET(Database!$F40,0,COLUMN(Database!DD40)*2-12)</f>
        <v>n.r.</v>
      </c>
      <c r="DH40" s="8" t="str">
        <f ca="1">OFFSET(Database!$F40,0,COLUMN(Database!DE40)*2-12)</f>
        <v>n.r.</v>
      </c>
      <c r="DI40" s="8" t="str">
        <f ca="1">OFFSET(Database!$F40,0,COLUMN(Database!DF40)*2-12)</f>
        <v>n.r.</v>
      </c>
      <c r="DJ40" s="8" t="str">
        <f ca="1">OFFSET(Database!$F40,0,COLUMN(Database!DG40)*2-12)</f>
        <v>n.r.</v>
      </c>
      <c r="DK40" s="8" t="str">
        <f ca="1">OFFSET(Database!$F40,0,COLUMN(Database!DH40)*2-12)</f>
        <v>n.r.</v>
      </c>
      <c r="DL40" s="8" t="str">
        <f ca="1">OFFSET(Database!$F40,0,COLUMN(Database!DI40)*2-12)</f>
        <v>n.r.</v>
      </c>
      <c r="DM40" s="8" t="str">
        <f ca="1">OFFSET(Database!$F40,0,COLUMN(Database!DJ40)*2-12)</f>
        <v>n.r.</v>
      </c>
      <c r="DN40" s="8" t="str">
        <f ca="1">OFFSET(Database!$F40,0,COLUMN(Database!DK40)*2-12)</f>
        <v>n.r.</v>
      </c>
      <c r="DO40" s="8" t="str">
        <f ca="1">OFFSET(Database!$F40,0,COLUMN(Database!DL40)*2-12)</f>
        <v>n.r.</v>
      </c>
      <c r="DP40" s="8" t="str">
        <f ca="1">OFFSET(Database!$F40,0,COLUMN(Database!DM40)*2-12)</f>
        <v>n.r.</v>
      </c>
      <c r="DQ40" s="8" t="str">
        <f ca="1">OFFSET(Database!$F40,0,COLUMN(Database!DN40)*2-12)</f>
        <v>n.r.</v>
      </c>
      <c r="DR40" s="8" t="str">
        <f ca="1">OFFSET(Database!$F40,0,COLUMN(Database!DO40)*2-12)</f>
        <v>n.r.</v>
      </c>
      <c r="DS40" s="8" t="str">
        <f ca="1">OFFSET(Database!$F40,0,COLUMN(Database!DP40)*2-12)</f>
        <v>n.r.</v>
      </c>
      <c r="DT40" s="8" t="str">
        <f ca="1">OFFSET(Database!$F40,0,COLUMN(Database!DQ40)*2-12)</f>
        <v>n.r.</v>
      </c>
      <c r="DU40" s="8" t="str">
        <f ca="1">OFFSET(Database!$F40,0,COLUMN(Database!DR40)*2-12)</f>
        <v>n.r.</v>
      </c>
      <c r="DV40" s="8" t="str">
        <f ca="1">OFFSET(Database!$F40,0,COLUMN(Database!DS40)*2-12)</f>
        <v>n.r.</v>
      </c>
      <c r="DW40" s="8" t="str">
        <f ca="1">OFFSET(Database!$F40,0,COLUMN(Database!DT40)*2-12)</f>
        <v>n.r.</v>
      </c>
      <c r="DX40" s="8" t="str">
        <f ca="1">OFFSET(Database!$F40,0,COLUMN(Database!DU40)*2-12)</f>
        <v>n.r.</v>
      </c>
      <c r="DY40" s="8" t="str">
        <f ca="1">OFFSET(Database!$F40,0,COLUMN(Database!DV40)*2-12)</f>
        <v>n.r.</v>
      </c>
      <c r="DZ40" s="8" t="str">
        <f ca="1">OFFSET(Database!$F40,0,COLUMN(Database!DW40)*2-12)</f>
        <v>n.r.</v>
      </c>
      <c r="EA40" s="8" t="str">
        <f ca="1">OFFSET(Database!$F40,0,COLUMN(Database!DX40)*2-12)</f>
        <v>n.r.</v>
      </c>
      <c r="EB40" s="8" t="str">
        <f ca="1">OFFSET(Database!$F40,0,COLUMN(Database!DY40)*2-12)</f>
        <v>n.r.</v>
      </c>
      <c r="EC40" s="8" t="str">
        <f ca="1">OFFSET(Database!$F40,0,COLUMN(Database!DZ40)*2-12)</f>
        <v>n.r.</v>
      </c>
      <c r="ED40" s="8" t="str">
        <f ca="1">OFFSET(Database!$F40,0,COLUMN(Database!EA40)*2-12)</f>
        <v>n.r.</v>
      </c>
      <c r="EE40" s="8" t="str">
        <f ca="1">OFFSET(Database!$F40,0,COLUMN(Database!EB40)*2-12)</f>
        <v>n.r.</v>
      </c>
      <c r="EF40" s="8" t="str">
        <f ca="1">OFFSET(Database!$F40,0,COLUMN(Database!EC40)*2-12)</f>
        <v>n.r.</v>
      </c>
      <c r="EG40" s="8" t="str">
        <f ca="1">OFFSET(Database!$F40,0,COLUMN(Database!ED40)*2-12)</f>
        <v>n.r.</v>
      </c>
      <c r="EH40" s="8" t="str">
        <f ca="1">OFFSET(Database!$F40,0,COLUMN(Database!EE40)*2-12)</f>
        <v>n.r.</v>
      </c>
      <c r="EI40" s="8" t="str">
        <f ca="1">OFFSET(Database!$F40,0,COLUMN(Database!EF40)*2-12)</f>
        <v>n.r.</v>
      </c>
      <c r="EJ40" s="8" t="str">
        <f ca="1">OFFSET(Database!$F40,0,COLUMN(Database!EG40)*2-12)</f>
        <v>n.r.</v>
      </c>
      <c r="EK40" s="8" t="str">
        <f ca="1">OFFSET(Database!$F40,0,COLUMN(Database!EH40)*2-12)</f>
        <v>n.r.</v>
      </c>
      <c r="EL40" s="8" t="str">
        <f ca="1">OFFSET(Database!$F40,0,COLUMN(Database!EI40)*2-12)</f>
        <v>n.r.</v>
      </c>
      <c r="EM40" s="8" t="str">
        <f ca="1">OFFSET(Database!$F40,0,COLUMN(Database!EJ40)*2-12)</f>
        <v>n.r.</v>
      </c>
      <c r="EN40" s="8" t="str">
        <f ca="1">OFFSET(Database!$F40,0,COLUMN(Database!EK40)*2-12)</f>
        <v>n.r.</v>
      </c>
      <c r="EO40" s="8" t="str">
        <f ca="1">OFFSET(Database!$F40,0,COLUMN(Database!EL40)*2-12)</f>
        <v>n.r.</v>
      </c>
      <c r="EP40" s="8" t="str">
        <f ca="1">OFFSET(Database!$F40,0,COLUMN(Database!EM40)*2-12)</f>
        <v>n.r.</v>
      </c>
      <c r="EQ40" s="8" t="str">
        <f ca="1">OFFSET(Database!$F40,0,COLUMN(Database!EN40)*2-12)</f>
        <v>n.r.</v>
      </c>
      <c r="ER40" s="8" t="str">
        <f ca="1">OFFSET(Database!$F40,0,COLUMN(Database!EO40)*2-12)</f>
        <v>n.r.</v>
      </c>
      <c r="ES40" s="8" t="str">
        <f ca="1">OFFSET(Database!$F40,0,COLUMN(Database!EP40)*2-12)</f>
        <v>n.r.</v>
      </c>
      <c r="ET40" s="8" t="str">
        <f ca="1">OFFSET(Database!$F40,0,COLUMN(Database!EQ40)*2-12)</f>
        <v>n.r.</v>
      </c>
      <c r="EU40" s="8" t="str">
        <f ca="1">OFFSET(Database!$F40,0,COLUMN(Database!ER40)*2-12)</f>
        <v>n.r.</v>
      </c>
      <c r="EV40" s="8" t="str">
        <f ca="1">OFFSET(Database!$F40,0,COLUMN(Database!ES40)*2-12)</f>
        <v>n.r.</v>
      </c>
      <c r="EW40" s="8" t="str">
        <f ca="1">OFFSET(Database!$F40,0,COLUMN(Database!ET40)*2-12)</f>
        <v>n.r.</v>
      </c>
      <c r="EX40" s="8" t="str">
        <f ca="1">OFFSET(Database!$F40,0,COLUMN(Database!EU40)*2-12)</f>
        <v>n.r.</v>
      </c>
      <c r="EY40" s="8" t="str">
        <f ca="1">OFFSET(Database!$F40,0,COLUMN(Database!EV40)*2-12)</f>
        <v>n.r.</v>
      </c>
      <c r="EZ40" s="8" t="str">
        <f ca="1">OFFSET(Database!$F40,0,COLUMN(Database!EW40)*2-12)</f>
        <v>n.r.</v>
      </c>
      <c r="FA40" s="8" t="str">
        <f ca="1">OFFSET(Database!$F40,0,COLUMN(Database!EX40)*2-12)</f>
        <v>n.r.</v>
      </c>
      <c r="FB40" s="8" t="str">
        <f ca="1">OFFSET(Database!$F40,0,COLUMN(Database!EY40)*2-12)</f>
        <v>n.r.</v>
      </c>
      <c r="FC40" s="8" t="str">
        <f ca="1">OFFSET(Database!$F40,0,COLUMN(Database!EZ40)*2-12)</f>
        <v>n.r.</v>
      </c>
      <c r="FD40" s="8" t="str">
        <f ca="1">OFFSET(Database!$F40,0,COLUMN(Database!FA40)*2-12)</f>
        <v>n.r.</v>
      </c>
      <c r="FE40" s="8" t="str">
        <f ca="1">OFFSET(Database!$F40,0,COLUMN(Database!FB40)*2-12)</f>
        <v>n.r.</v>
      </c>
      <c r="FF40" s="8" t="str">
        <f ca="1">OFFSET(Database!$F40,0,COLUMN(Database!FC40)*2-12)</f>
        <v>n.r.</v>
      </c>
      <c r="FG40" s="8" t="str">
        <f ca="1">OFFSET(Database!$F40,0,COLUMN(Database!FD40)*2-12)</f>
        <v>n.r.</v>
      </c>
      <c r="FH40" s="8" t="str">
        <f ca="1">OFFSET(Database!$F40,0,COLUMN(Database!FE40)*2-12)</f>
        <v>n.r.</v>
      </c>
      <c r="FI40" s="8" t="str">
        <f ca="1">OFFSET(Database!$F40,0,COLUMN(Database!FF40)*2-12)</f>
        <v>n.r.</v>
      </c>
      <c r="FJ40" s="8" t="str">
        <f ca="1">OFFSET(Database!$F40,0,COLUMN(Database!FG40)*2-12)</f>
        <v>n.r.</v>
      </c>
      <c r="FK40" s="8" t="str">
        <f ca="1">OFFSET(Database!$F40,0,COLUMN(Database!FH40)*2-12)</f>
        <v>n.r.</v>
      </c>
      <c r="FL40" s="8" t="str">
        <f ca="1">OFFSET(Database!$F40,0,COLUMN(Database!FI40)*2-12)</f>
        <v>n.r.</v>
      </c>
      <c r="FM40" s="8" t="str">
        <f ca="1">OFFSET(Database!$F40,0,COLUMN(Database!FJ40)*2-12)</f>
        <v>n.r.</v>
      </c>
      <c r="FN40" s="8" t="str">
        <f ca="1">OFFSET(Database!$F40,0,COLUMN(Database!FK40)*2-12)</f>
        <v>n.r.</v>
      </c>
      <c r="FO40" s="8" t="str">
        <f ca="1">OFFSET(Database!$F40,0,COLUMN(Database!FL40)*2-12)</f>
        <v>n.r.</v>
      </c>
      <c r="FP40" s="8" t="str">
        <f ca="1">OFFSET(Database!$F40,0,COLUMN(Database!FM40)*2-12)</f>
        <v>n.r.</v>
      </c>
      <c r="FQ40" s="8" t="str">
        <f ca="1">OFFSET(Database!$F40,0,COLUMN(Database!FN40)*2-12)</f>
        <v>n.r.</v>
      </c>
      <c r="FR40" s="8" t="str">
        <f ca="1">OFFSET(Database!$F40,0,COLUMN(Database!FO40)*2-12)</f>
        <v>n.r.</v>
      </c>
      <c r="FS40" s="8" t="str">
        <f ca="1">OFFSET(Database!$F40,0,COLUMN(Database!FP40)*2-12)</f>
        <v>n.r.</v>
      </c>
      <c r="FT40" s="8" t="str">
        <f ca="1">OFFSET(Database!$F40,0,COLUMN(Database!FQ40)*2-12)</f>
        <v>n.r.</v>
      </c>
      <c r="FU40" s="8" t="str">
        <f ca="1">OFFSET(Database!$F40,0,COLUMN(Database!FR40)*2-12)</f>
        <v>n.r.</v>
      </c>
      <c r="FV40" s="8" t="str">
        <f ca="1">OFFSET(Database!$F40,0,COLUMN(Database!FS40)*2-12)</f>
        <v>n.r.</v>
      </c>
      <c r="FW40" s="8" t="str">
        <f ca="1">OFFSET(Database!$F40,0,COLUMN(Database!FT40)*2-12)</f>
        <v>n.r.</v>
      </c>
      <c r="FX40" s="8" t="str">
        <f ca="1">OFFSET(Database!$F40,0,COLUMN(Database!FU40)*2-12)</f>
        <v>n.r.</v>
      </c>
      <c r="FY40" s="8" t="str">
        <f ca="1">OFFSET(Database!$F40,0,COLUMN(Database!FV40)*2-12)</f>
        <v>n.r.</v>
      </c>
      <c r="FZ40" s="8" t="str">
        <f ca="1">OFFSET(Database!$F40,0,COLUMN(Database!FW40)*2-12)</f>
        <v>n.r.</v>
      </c>
      <c r="GA40" s="8" t="str">
        <f ca="1">OFFSET(Database!$F40,0,COLUMN(Database!FX40)*2-12)</f>
        <v>n.r.</v>
      </c>
      <c r="GB40" s="8" t="str">
        <f ca="1">OFFSET(Database!$F40,0,COLUMN(Database!FY40)*2-12)</f>
        <v>n.r.</v>
      </c>
      <c r="GC40" s="8" t="str">
        <f ca="1">OFFSET(Database!$F40,0,COLUMN(Database!FZ40)*2-12)</f>
        <v>n.r.</v>
      </c>
      <c r="GD40" s="8" t="str">
        <f ca="1">OFFSET(Database!$F40,0,COLUMN(Database!GA40)*2-12)</f>
        <v>n.r.</v>
      </c>
      <c r="GE40" s="8" t="str">
        <f ca="1">OFFSET(Database!$F40,0,COLUMN(Database!GB40)*2-12)</f>
        <v>n.r.</v>
      </c>
      <c r="GF40" s="8" t="str">
        <f ca="1">OFFSET(Database!$F40,0,COLUMN(Database!GC40)*2-12)</f>
        <v>n.r.</v>
      </c>
      <c r="GG40" s="8" t="str">
        <f ca="1">OFFSET(Database!$F40,0,COLUMN(Database!GD40)*2-12)</f>
        <v>n.r.</v>
      </c>
      <c r="GH40" s="8" t="str">
        <f ca="1">OFFSET(Database!$F40,0,COLUMN(Database!GE40)*2-12)</f>
        <v>n.r.</v>
      </c>
      <c r="GI40" s="8" t="str">
        <f ca="1">OFFSET(Database!$F40,0,COLUMN(Database!GF40)*2-12)</f>
        <v>n.r.</v>
      </c>
      <c r="GJ40" s="8" t="str">
        <f ca="1">OFFSET(Database!$F40,0,COLUMN(Database!GG40)*2-12)</f>
        <v>n.r.</v>
      </c>
      <c r="GK40" s="8" t="str">
        <f ca="1">OFFSET(Database!$F40,0,COLUMN(Database!GH40)*2-12)</f>
        <v>n.r.</v>
      </c>
      <c r="GL40" s="8" t="str">
        <f ca="1">OFFSET(Database!$F40,0,COLUMN(Database!GI40)*2-12)</f>
        <v>n.r.</v>
      </c>
      <c r="GM40" s="8" t="str">
        <f ca="1">OFFSET(Database!$F40,0,COLUMN(Database!GJ40)*2-12)</f>
        <v>n.r.</v>
      </c>
      <c r="GN40" s="8" t="str">
        <f ca="1">OFFSET(Database!$F40,0,COLUMN(Database!GK40)*2-12)</f>
        <v>n.r.</v>
      </c>
      <c r="GO40" s="8" t="str">
        <f ca="1">OFFSET(Database!$F40,0,COLUMN(Database!GL40)*2-12)</f>
        <v>n.d.</v>
      </c>
      <c r="GP40" s="8" t="str">
        <f ca="1">OFFSET(Database!$F40,0,COLUMN(Database!GM40)*2-12)</f>
        <v>n.d.</v>
      </c>
    </row>
    <row r="41" spans="1:198" x14ac:dyDescent="0.2">
      <c r="A41" s="50" t="str">
        <f>Database!A41</f>
        <v>methylserine</v>
      </c>
      <c r="B41" s="32" t="s">
        <v>893</v>
      </c>
      <c r="C41" s="4" t="str">
        <f>Database!B41</f>
        <v>ɑ</v>
      </c>
      <c r="D41" s="4" t="str">
        <f>Database!C41</f>
        <v>Both</v>
      </c>
      <c r="E41" s="74">
        <f>Database!D41</f>
        <v>2</v>
      </c>
      <c r="F41" s="32" t="s">
        <v>920</v>
      </c>
      <c r="G41" s="1">
        <v>7009640</v>
      </c>
      <c r="H41" s="1">
        <f>Database!E41</f>
        <v>119.12</v>
      </c>
      <c r="I41" s="8" t="str">
        <f ca="1">OFFSET(Database!$F41,0,COLUMN(Database!F41)*2-12)</f>
        <v>n.r.</v>
      </c>
      <c r="J41" s="8" t="str">
        <f ca="1">OFFSET(Database!$F41,0,COLUMN(Database!G41)*2-12)</f>
        <v>n.r.</v>
      </c>
      <c r="K41" s="8" t="str">
        <f ca="1">OFFSET(Database!$F41,0,COLUMN(Database!H41)*2-12)</f>
        <v>n.r.</v>
      </c>
      <c r="L41" s="8" t="str">
        <f ca="1">OFFSET(Database!$F41,0,COLUMN(Database!I41)*2-12)</f>
        <v>n.r.</v>
      </c>
      <c r="M41" s="8" t="str">
        <f ca="1">OFFSET(Database!$F41,0,COLUMN(Database!J41)*2-12)</f>
        <v>n.r.</v>
      </c>
      <c r="N41" s="8" t="str">
        <f ca="1">OFFSET(Database!$F41,0,COLUMN(Database!K41)*2-12)</f>
        <v>n.r.</v>
      </c>
      <c r="O41" s="8" t="str">
        <f ca="1">OFFSET(Database!$F41,0,COLUMN(Database!L41)*2-12)</f>
        <v>n.r.</v>
      </c>
      <c r="P41" s="8" t="str">
        <f ca="1">OFFSET(Database!$F41,0,COLUMN(Database!M41)*2-12)</f>
        <v>n.r.</v>
      </c>
      <c r="Q41" s="8" t="str">
        <f ca="1">OFFSET(Database!$F41,0,COLUMN(Database!N41)*2-12)</f>
        <v>n.r.</v>
      </c>
      <c r="R41" s="8" t="str">
        <f ca="1">OFFSET(Database!$F41,0,COLUMN(Database!O41)*2-12)</f>
        <v>n.r.</v>
      </c>
      <c r="S41" s="8" t="str">
        <f ca="1">OFFSET(Database!$F41,0,COLUMN(Database!P41)*2-12)</f>
        <v>n.r.</v>
      </c>
      <c r="T41" s="8" t="str">
        <f ca="1">OFFSET(Database!$F41,0,COLUMN(Database!Q41)*2-12)</f>
        <v>n.r.</v>
      </c>
      <c r="U41" s="8" t="str">
        <f ca="1">OFFSET(Database!$F41,0,COLUMN(Database!R41)*2-12)</f>
        <v>n.r.</v>
      </c>
      <c r="V41" s="8" t="str">
        <f ca="1">OFFSET(Database!$F41,0,COLUMN(Database!S41)*2-12)</f>
        <v>n.r.</v>
      </c>
      <c r="W41" s="8" t="str">
        <f ca="1">OFFSET(Database!$F41,0,COLUMN(Database!T41)*2-12)</f>
        <v>n.r.</v>
      </c>
      <c r="X41" s="8" t="str">
        <f ca="1">OFFSET(Database!$F41,0,COLUMN(Database!U41)*2-12)</f>
        <v>n.r.</v>
      </c>
      <c r="Y41" s="8" t="str">
        <f ca="1">OFFSET(Database!$F41,0,COLUMN(Database!V41)*2-12)</f>
        <v>n.r.</v>
      </c>
      <c r="Z41" s="8" t="str">
        <f ca="1">OFFSET(Database!$F41,0,COLUMN(Database!W41)*2-12)</f>
        <v>n.r.</v>
      </c>
      <c r="AA41" s="8" t="str">
        <f ca="1">OFFSET(Database!$F41,0,COLUMN(Database!X41)*2-12)</f>
        <v>n.r.</v>
      </c>
      <c r="AB41" s="8">
        <f ca="1">OFFSET(Database!$F41,0,COLUMN(Database!Y41)*2-12)</f>
        <v>0.66319677635997309</v>
      </c>
      <c r="AC41" s="8" t="str">
        <f ca="1">OFFSET(Database!$F41,0,COLUMN(Database!Z41)*2-12)</f>
        <v>n.r.</v>
      </c>
      <c r="AD41" s="8" t="str">
        <f ca="1">OFFSET(Database!$F41,0,COLUMN(Database!AA41)*2-12)</f>
        <v>n.r.</v>
      </c>
      <c r="AE41" s="8" t="str">
        <f ca="1">OFFSET(Database!$F41,0,COLUMN(Database!AB41)*2-12)</f>
        <v>n.r.</v>
      </c>
      <c r="AF41" s="8" t="str">
        <f ca="1">OFFSET(Database!$F41,0,COLUMN(Database!AC41)*2-12)</f>
        <v>n.r.</v>
      </c>
      <c r="AG41" s="8" t="str">
        <f ca="1">OFFSET(Database!$F41,0,COLUMN(Database!AD41)*2-12)</f>
        <v>n.r.</v>
      </c>
      <c r="AH41" s="8" t="str">
        <f ca="1">OFFSET(Database!$F41,0,COLUMN(Database!AE41)*2-12)</f>
        <v>n.r.</v>
      </c>
      <c r="AI41" s="8" t="str">
        <f ca="1">OFFSET(Database!$F41,0,COLUMN(Database!AF41)*2-12)</f>
        <v>n.r.</v>
      </c>
      <c r="AJ41" s="8" t="str">
        <f ca="1">OFFSET(Database!$F41,0,COLUMN(Database!AG41)*2-12)</f>
        <v>n.r.</v>
      </c>
      <c r="AK41" s="8" t="str">
        <f ca="1">OFFSET(Database!$F41,0,COLUMN(Database!AH41)*2-12)</f>
        <v>n.r.</v>
      </c>
      <c r="AL41" s="8" t="str">
        <f ca="1">OFFSET(Database!$F41,0,COLUMN(Database!AI41)*2-12)</f>
        <v>n.r.</v>
      </c>
      <c r="AM41" s="8" t="str">
        <f ca="1">OFFSET(Database!$F41,0,COLUMN(Database!AJ41)*2-12)</f>
        <v>n.r.</v>
      </c>
      <c r="AN41" s="8" t="str">
        <f ca="1">OFFSET(Database!$F41,0,COLUMN(Database!AK41)*2-12)</f>
        <v>n.r.</v>
      </c>
      <c r="AO41" s="8" t="str">
        <f ca="1">OFFSET(Database!$F41,0,COLUMN(Database!AL41)*2-12)</f>
        <v>n.r.</v>
      </c>
      <c r="AP41" s="8" t="str">
        <f ca="1">OFFSET(Database!$F41,0,COLUMN(Database!AM41)*2-12)</f>
        <v>n.r.</v>
      </c>
      <c r="AQ41" s="8" t="str">
        <f ca="1">OFFSET(Database!$F41,0,COLUMN(Database!AN41)*2-12)</f>
        <v>n.r.</v>
      </c>
      <c r="AR41" s="8" t="str">
        <f ca="1">OFFSET(Database!$F41,0,COLUMN(Database!AO41)*2-12)</f>
        <v>n.r.</v>
      </c>
      <c r="AS41" s="8" t="str">
        <f ca="1">OFFSET(Database!$F41,0,COLUMN(Database!AP41)*2-12)</f>
        <v>n.r.</v>
      </c>
      <c r="AT41" s="8" t="str">
        <f ca="1">OFFSET(Database!$F41,0,COLUMN(Database!AQ41)*2-12)</f>
        <v>n.r.</v>
      </c>
      <c r="AU41" s="8" t="str">
        <f ca="1">OFFSET(Database!$F41,0,COLUMN(Database!AR41)*2-12)</f>
        <v>n.r.</v>
      </c>
      <c r="AV41" s="8" t="str">
        <f ca="1">OFFSET(Database!$F41,0,COLUMN(Database!AS41)*2-12)</f>
        <v>n.r.</v>
      </c>
      <c r="AW41" s="8" t="str">
        <f ca="1">OFFSET(Database!$F41,0,COLUMN(Database!AT41)*2-12)</f>
        <v>n.r.</v>
      </c>
      <c r="AX41" s="8" t="str">
        <f ca="1">OFFSET(Database!$F41,0,COLUMN(Database!AU41)*2-12)</f>
        <v>n.r.</v>
      </c>
      <c r="AY41" s="8" t="str">
        <f ca="1">OFFSET(Database!$F41,0,COLUMN(Database!AV41)*2-12)</f>
        <v>n.r.</v>
      </c>
      <c r="AZ41" s="8" t="str">
        <f ca="1">OFFSET(Database!$F41,0,COLUMN(Database!AW41)*2-12)</f>
        <v>n.r.</v>
      </c>
      <c r="BA41" s="8" t="str">
        <f ca="1">OFFSET(Database!$F41,0,COLUMN(Database!AX41)*2-12)</f>
        <v>n.r.</v>
      </c>
      <c r="BB41" s="8" t="str">
        <f ca="1">OFFSET(Database!$F41,0,COLUMN(Database!AY41)*2-12)</f>
        <v>n.r.</v>
      </c>
      <c r="BC41" s="8" t="str">
        <f ca="1">OFFSET(Database!$F41,0,COLUMN(Database!AZ41)*2-12)</f>
        <v>n.r.</v>
      </c>
      <c r="BD41" s="8" t="str">
        <f ca="1">OFFSET(Database!$F41,0,COLUMN(Database!BA41)*2-12)</f>
        <v>n.r.</v>
      </c>
      <c r="BE41" s="8" t="str">
        <f ca="1">OFFSET(Database!$F41,0,COLUMN(Database!BB41)*2-12)</f>
        <v>n.r.</v>
      </c>
      <c r="BF41" s="8" t="str">
        <f ca="1">OFFSET(Database!$F41,0,COLUMN(Database!BC41)*2-12)</f>
        <v>n.r.</v>
      </c>
      <c r="BG41" s="8" t="str">
        <f ca="1">OFFSET(Database!$F41,0,COLUMN(Database!BD41)*2-12)</f>
        <v>n.r.</v>
      </c>
      <c r="BH41" s="8" t="str">
        <f ca="1">OFFSET(Database!$F41,0,COLUMN(Database!BE41)*2-12)</f>
        <v>n.r.</v>
      </c>
      <c r="BI41" s="8" t="str">
        <f ca="1">OFFSET(Database!$F41,0,COLUMN(Database!BF41)*2-12)</f>
        <v>n.r.</v>
      </c>
      <c r="BJ41" s="8" t="str">
        <f ca="1">OFFSET(Database!$F41,0,COLUMN(Database!BG41)*2-12)</f>
        <v>n.r.</v>
      </c>
      <c r="BK41" s="8" t="str">
        <f ca="1">OFFSET(Database!$F41,0,COLUMN(Database!BH41)*2-12)</f>
        <v>n.r.</v>
      </c>
      <c r="BL41" s="8" t="str">
        <f ca="1">OFFSET(Database!$F41,0,COLUMN(Database!BI41)*2-12)</f>
        <v>n.r.</v>
      </c>
      <c r="BM41" s="8" t="str">
        <f ca="1">OFFSET(Database!$F41,0,COLUMN(Database!BJ41)*2-12)</f>
        <v>n.r.</v>
      </c>
      <c r="BN41" s="8" t="str">
        <f ca="1">OFFSET(Database!$F41,0,COLUMN(Database!BK41)*2-12)</f>
        <v>n.r.</v>
      </c>
      <c r="BO41" s="8" t="str">
        <f ca="1">OFFSET(Database!$F41,0,COLUMN(Database!BL41)*2-12)</f>
        <v>n.r.</v>
      </c>
      <c r="BP41" s="8" t="str">
        <f ca="1">OFFSET(Database!$F41,0,COLUMN(Database!BM41)*2-12)</f>
        <v>n.r.</v>
      </c>
      <c r="BQ41" s="8" t="str">
        <f ca="1">OFFSET(Database!$F41,0,COLUMN(Database!BN41)*2-12)</f>
        <v>n.r.</v>
      </c>
      <c r="BR41" s="8" t="str">
        <f ca="1">OFFSET(Database!$F41,0,COLUMN(Database!BO41)*2-12)</f>
        <v>n.r.</v>
      </c>
      <c r="BS41" s="8" t="str">
        <f ca="1">OFFSET(Database!$F41,0,COLUMN(Database!BP41)*2-12)</f>
        <v>n.r.</v>
      </c>
      <c r="BT41" s="8" t="str">
        <f ca="1">OFFSET(Database!$F41,0,COLUMN(Database!BQ41)*2-12)</f>
        <v>n.r.</v>
      </c>
      <c r="BU41" s="8" t="str">
        <f ca="1">OFFSET(Database!$F41,0,COLUMN(Database!BR41)*2-12)</f>
        <v>n.r.</v>
      </c>
      <c r="BV41" s="8" t="str">
        <f ca="1">OFFSET(Database!$F41,0,COLUMN(Database!BS41)*2-12)</f>
        <v>n.r.</v>
      </c>
      <c r="BW41" s="8" t="str">
        <f ca="1">OFFSET(Database!$F41,0,COLUMN(Database!BT41)*2-12)</f>
        <v>n.r.</v>
      </c>
      <c r="BX41" s="8" t="str">
        <f ca="1">OFFSET(Database!$F41,0,COLUMN(Database!BU41)*2-12)</f>
        <v>n.r.</v>
      </c>
      <c r="BY41" s="8" t="str">
        <f ca="1">OFFSET(Database!$F41,0,COLUMN(Database!BV41)*2-12)</f>
        <v>n.r.</v>
      </c>
      <c r="BZ41" s="8" t="str">
        <f ca="1">OFFSET(Database!$F41,0,COLUMN(Database!BW41)*2-12)</f>
        <v>n.r.</v>
      </c>
      <c r="CA41" s="8" t="str">
        <f ca="1">OFFSET(Database!$F41,0,COLUMN(Database!BX41)*2-12)</f>
        <v>n.r.</v>
      </c>
      <c r="CB41" s="8" t="str">
        <f ca="1">OFFSET(Database!$F41,0,COLUMN(Database!BY41)*2-12)</f>
        <v>n.r.</v>
      </c>
      <c r="CC41" s="8" t="str">
        <f ca="1">OFFSET(Database!$F41,0,COLUMN(Database!BZ41)*2-12)</f>
        <v>n.r.</v>
      </c>
      <c r="CD41" s="8" t="str">
        <f ca="1">OFFSET(Database!$F41,0,COLUMN(Database!CA41)*2-12)</f>
        <v>n.r.</v>
      </c>
      <c r="CE41" s="8" t="str">
        <f ca="1">OFFSET(Database!$F41,0,COLUMN(Database!CB41)*2-12)</f>
        <v>n.r.</v>
      </c>
      <c r="CF41" s="8" t="str">
        <f ca="1">OFFSET(Database!$F41,0,COLUMN(Database!CC41)*2-12)</f>
        <v>n.r.</v>
      </c>
      <c r="CG41" s="8" t="str">
        <f ca="1">OFFSET(Database!$F41,0,COLUMN(Database!CD41)*2-12)</f>
        <v>n.r.</v>
      </c>
      <c r="CH41" s="8" t="str">
        <f ca="1">OFFSET(Database!$F41,0,COLUMN(Database!CE41)*2-12)</f>
        <v>n.r.</v>
      </c>
      <c r="CI41" s="8" t="str">
        <f ca="1">OFFSET(Database!$F41,0,COLUMN(Database!CF41)*2-12)</f>
        <v>n.r.</v>
      </c>
      <c r="CJ41" s="8" t="str">
        <f ca="1">OFFSET(Database!$F41,0,COLUMN(Database!CG41)*2-12)</f>
        <v>n.r.</v>
      </c>
      <c r="CK41" s="8" t="str">
        <f ca="1">OFFSET(Database!$F41,0,COLUMN(Database!CH41)*2-12)</f>
        <v>n.r.</v>
      </c>
      <c r="CL41" s="8" t="str">
        <f ca="1">OFFSET(Database!$F41,0,COLUMN(Database!CI41)*2-12)</f>
        <v>n.r.</v>
      </c>
      <c r="CM41" s="8" t="str">
        <f ca="1">OFFSET(Database!$F41,0,COLUMN(Database!CJ41)*2-12)</f>
        <v>n.r.</v>
      </c>
      <c r="CN41" s="8" t="str">
        <f ca="1">OFFSET(Database!$F41,0,COLUMN(Database!CK41)*2-12)</f>
        <v>n.r.</v>
      </c>
      <c r="CO41" s="8" t="str">
        <f ca="1">OFFSET(Database!$F41,0,COLUMN(Database!CL41)*2-12)</f>
        <v>n.r.</v>
      </c>
      <c r="CP41" s="8" t="str">
        <f ca="1">OFFSET(Database!$F41,0,COLUMN(Database!CM41)*2-12)</f>
        <v>n.r.</v>
      </c>
      <c r="CQ41" s="8" t="str">
        <f ca="1">OFFSET(Database!$F41,0,COLUMN(Database!CN41)*2-12)</f>
        <v>n.r.</v>
      </c>
      <c r="CR41" s="8" t="str">
        <f ca="1">OFFSET(Database!$F41,0,COLUMN(Database!CO41)*2-12)</f>
        <v>n.r.</v>
      </c>
      <c r="CS41" s="8" t="str">
        <f ca="1">OFFSET(Database!$F41,0,COLUMN(Database!CP41)*2-12)</f>
        <v>n.r.</v>
      </c>
      <c r="CT41" s="8" t="str">
        <f ca="1">OFFSET(Database!$F41,0,COLUMN(Database!CQ41)*2-12)</f>
        <v>n.r.</v>
      </c>
      <c r="CU41" s="8" t="str">
        <f ca="1">OFFSET(Database!$F41,0,COLUMN(Database!CR41)*2-12)</f>
        <v>n.r.</v>
      </c>
      <c r="CV41" s="8" t="str">
        <f ca="1">OFFSET(Database!$F41,0,COLUMN(Database!CS41)*2-12)</f>
        <v>n.r.</v>
      </c>
      <c r="CW41" s="8" t="str">
        <f ca="1">OFFSET(Database!$F41,0,COLUMN(Database!CT41)*2-12)</f>
        <v>n.r.</v>
      </c>
      <c r="CX41" s="8" t="str">
        <f ca="1">OFFSET(Database!$F41,0,COLUMN(Database!CU41)*2-12)</f>
        <v>n.r.</v>
      </c>
      <c r="CY41" s="8" t="str">
        <f ca="1">OFFSET(Database!$F41,0,COLUMN(Database!CV41)*2-12)</f>
        <v>n.r.</v>
      </c>
      <c r="CZ41" s="8" t="str">
        <f ca="1">OFFSET(Database!$F41,0,COLUMN(Database!CW41)*2-12)</f>
        <v>n.r.</v>
      </c>
      <c r="DA41" s="8" t="str">
        <f ca="1">OFFSET(Database!$F41,0,COLUMN(Database!CX41)*2-12)</f>
        <v>n.r.</v>
      </c>
      <c r="DB41" s="8" t="str">
        <f ca="1">OFFSET(Database!$F41,0,COLUMN(Database!CY41)*2-12)</f>
        <v>n.r.</v>
      </c>
      <c r="DC41" s="8" t="str">
        <f ca="1">OFFSET(Database!$F41,0,COLUMN(Database!CZ41)*2-12)</f>
        <v>n.r.</v>
      </c>
      <c r="DD41" s="8" t="str">
        <f ca="1">OFFSET(Database!$F41,0,COLUMN(Database!DA41)*2-12)</f>
        <v>n.r.</v>
      </c>
      <c r="DE41" s="8" t="str">
        <f ca="1">OFFSET(Database!$F41,0,COLUMN(Database!DB41)*2-12)</f>
        <v>n.r.</v>
      </c>
      <c r="DF41" s="8" t="str">
        <f ca="1">OFFSET(Database!$F41,0,COLUMN(Database!DC41)*2-12)</f>
        <v>n.r.</v>
      </c>
      <c r="DG41" s="8" t="str">
        <f ca="1">OFFSET(Database!$F41,0,COLUMN(Database!DD41)*2-12)</f>
        <v>n.r.</v>
      </c>
      <c r="DH41" s="8" t="str">
        <f ca="1">OFFSET(Database!$F41,0,COLUMN(Database!DE41)*2-12)</f>
        <v>n.r.</v>
      </c>
      <c r="DI41" s="8" t="str">
        <f ca="1">OFFSET(Database!$F41,0,COLUMN(Database!DF41)*2-12)</f>
        <v>n.r.</v>
      </c>
      <c r="DJ41" s="8" t="str">
        <f ca="1">OFFSET(Database!$F41,0,COLUMN(Database!DG41)*2-12)</f>
        <v>n.r.</v>
      </c>
      <c r="DK41" s="8" t="str">
        <f ca="1">OFFSET(Database!$F41,0,COLUMN(Database!DH41)*2-12)</f>
        <v>n.r.</v>
      </c>
      <c r="DL41" s="8" t="str">
        <f ca="1">OFFSET(Database!$F41,0,COLUMN(Database!DI41)*2-12)</f>
        <v>n.r.</v>
      </c>
      <c r="DM41" s="8" t="str">
        <f ca="1">OFFSET(Database!$F41,0,COLUMN(Database!DJ41)*2-12)</f>
        <v>n.r.</v>
      </c>
      <c r="DN41" s="8" t="str">
        <f ca="1">OFFSET(Database!$F41,0,COLUMN(Database!DK41)*2-12)</f>
        <v>n.r.</v>
      </c>
      <c r="DO41" s="8" t="str">
        <f ca="1">OFFSET(Database!$F41,0,COLUMN(Database!DL41)*2-12)</f>
        <v>n.r.</v>
      </c>
      <c r="DP41" s="8" t="str">
        <f ca="1">OFFSET(Database!$F41,0,COLUMN(Database!DM41)*2-12)</f>
        <v>n.r.</v>
      </c>
      <c r="DQ41" s="8" t="str">
        <f ca="1">OFFSET(Database!$F41,0,COLUMN(Database!DN41)*2-12)</f>
        <v>n.r.</v>
      </c>
      <c r="DR41" s="8" t="str">
        <f ca="1">OFFSET(Database!$F41,0,COLUMN(Database!DO41)*2-12)</f>
        <v>n.r.</v>
      </c>
      <c r="DS41" s="8" t="str">
        <f ca="1">OFFSET(Database!$F41,0,COLUMN(Database!DP41)*2-12)</f>
        <v>n.r.</v>
      </c>
      <c r="DT41" s="8" t="str">
        <f ca="1">OFFSET(Database!$F41,0,COLUMN(Database!DQ41)*2-12)</f>
        <v>n.r.</v>
      </c>
      <c r="DU41" s="8" t="str">
        <f ca="1">OFFSET(Database!$F41,0,COLUMN(Database!DR41)*2-12)</f>
        <v>n.r.</v>
      </c>
      <c r="DV41" s="8" t="str">
        <f ca="1">OFFSET(Database!$F41,0,COLUMN(Database!DS41)*2-12)</f>
        <v>n.r.</v>
      </c>
      <c r="DW41" s="8" t="str">
        <f ca="1">OFFSET(Database!$F41,0,COLUMN(Database!DT41)*2-12)</f>
        <v>n.r.</v>
      </c>
      <c r="DX41" s="8" t="str">
        <f ca="1">OFFSET(Database!$F41,0,COLUMN(Database!DU41)*2-12)</f>
        <v>n.r.</v>
      </c>
      <c r="DY41" s="8" t="str">
        <f ca="1">OFFSET(Database!$F41,0,COLUMN(Database!DV41)*2-12)</f>
        <v>n.r.</v>
      </c>
      <c r="DZ41" s="8" t="str">
        <f ca="1">OFFSET(Database!$F41,0,COLUMN(Database!DW41)*2-12)</f>
        <v>n.r.</v>
      </c>
      <c r="EA41" s="8" t="str">
        <f ca="1">OFFSET(Database!$F41,0,COLUMN(Database!DX41)*2-12)</f>
        <v>n.r.</v>
      </c>
      <c r="EB41" s="8" t="str">
        <f ca="1">OFFSET(Database!$F41,0,COLUMN(Database!DY41)*2-12)</f>
        <v>n.r.</v>
      </c>
      <c r="EC41" s="8" t="str">
        <f ca="1">OFFSET(Database!$F41,0,COLUMN(Database!DZ41)*2-12)</f>
        <v>n.r.</v>
      </c>
      <c r="ED41" s="8" t="str">
        <f ca="1">OFFSET(Database!$F41,0,COLUMN(Database!EA41)*2-12)</f>
        <v>n.r.</v>
      </c>
      <c r="EE41" s="8" t="str">
        <f ca="1">OFFSET(Database!$F41,0,COLUMN(Database!EB41)*2-12)</f>
        <v>n.r.</v>
      </c>
      <c r="EF41" s="8" t="str">
        <f ca="1">OFFSET(Database!$F41,0,COLUMN(Database!EC41)*2-12)</f>
        <v>n.r.</v>
      </c>
      <c r="EG41" s="8" t="str">
        <f ca="1">OFFSET(Database!$F41,0,COLUMN(Database!ED41)*2-12)</f>
        <v>n.r.</v>
      </c>
      <c r="EH41" s="8" t="str">
        <f ca="1">OFFSET(Database!$F41,0,COLUMN(Database!EE41)*2-12)</f>
        <v>n.r.</v>
      </c>
      <c r="EI41" s="8" t="str">
        <f ca="1">OFFSET(Database!$F41,0,COLUMN(Database!EF41)*2-12)</f>
        <v>n.r.</v>
      </c>
      <c r="EJ41" s="8" t="str">
        <f ca="1">OFFSET(Database!$F41,0,COLUMN(Database!EG41)*2-12)</f>
        <v>n.r.</v>
      </c>
      <c r="EK41" s="8" t="str">
        <f ca="1">OFFSET(Database!$F41,0,COLUMN(Database!EH41)*2-12)</f>
        <v>n.r.</v>
      </c>
      <c r="EL41" s="8" t="str">
        <f ca="1">OFFSET(Database!$F41,0,COLUMN(Database!EI41)*2-12)</f>
        <v>n.r.</v>
      </c>
      <c r="EM41" s="8" t="str">
        <f ca="1">OFFSET(Database!$F41,0,COLUMN(Database!EJ41)*2-12)</f>
        <v>n.r.</v>
      </c>
      <c r="EN41" s="8" t="str">
        <f ca="1">OFFSET(Database!$F41,0,COLUMN(Database!EK41)*2-12)</f>
        <v>n.r.</v>
      </c>
      <c r="EO41" s="8" t="str">
        <f ca="1">OFFSET(Database!$F41,0,COLUMN(Database!EL41)*2-12)</f>
        <v>n.r.</v>
      </c>
      <c r="EP41" s="8" t="str">
        <f ca="1">OFFSET(Database!$F41,0,COLUMN(Database!EM41)*2-12)</f>
        <v>n.r.</v>
      </c>
      <c r="EQ41" s="8" t="str">
        <f ca="1">OFFSET(Database!$F41,0,COLUMN(Database!EN41)*2-12)</f>
        <v>n.r.</v>
      </c>
      <c r="ER41" s="8" t="str">
        <f ca="1">OFFSET(Database!$F41,0,COLUMN(Database!EO41)*2-12)</f>
        <v>n.r.</v>
      </c>
      <c r="ES41" s="8" t="str">
        <f ca="1">OFFSET(Database!$F41,0,COLUMN(Database!EP41)*2-12)</f>
        <v>n.r.</v>
      </c>
      <c r="ET41" s="8" t="str">
        <f ca="1">OFFSET(Database!$F41,0,COLUMN(Database!EQ41)*2-12)</f>
        <v>n.r.</v>
      </c>
      <c r="EU41" s="8" t="str">
        <f ca="1">OFFSET(Database!$F41,0,COLUMN(Database!ER41)*2-12)</f>
        <v>n.r.</v>
      </c>
      <c r="EV41" s="8" t="str">
        <f ca="1">OFFSET(Database!$F41,0,COLUMN(Database!ES41)*2-12)</f>
        <v>n.r.</v>
      </c>
      <c r="EW41" s="8" t="str">
        <f ca="1">OFFSET(Database!$F41,0,COLUMN(Database!ET41)*2-12)</f>
        <v>n.r.</v>
      </c>
      <c r="EX41" s="8" t="str">
        <f ca="1">OFFSET(Database!$F41,0,COLUMN(Database!EU41)*2-12)</f>
        <v>n.r.</v>
      </c>
      <c r="EY41" s="8" t="str">
        <f ca="1">OFFSET(Database!$F41,0,COLUMN(Database!EV41)*2-12)</f>
        <v>n.r.</v>
      </c>
      <c r="EZ41" s="8" t="str">
        <f ca="1">OFFSET(Database!$F41,0,COLUMN(Database!EW41)*2-12)</f>
        <v>n.r.</v>
      </c>
      <c r="FA41" s="8" t="str">
        <f ca="1">OFFSET(Database!$F41,0,COLUMN(Database!EX41)*2-12)</f>
        <v>n.r.</v>
      </c>
      <c r="FB41" s="8" t="str">
        <f ca="1">OFFSET(Database!$F41,0,COLUMN(Database!EY41)*2-12)</f>
        <v>n.r.</v>
      </c>
      <c r="FC41" s="8" t="str">
        <f ca="1">OFFSET(Database!$F41,0,COLUMN(Database!EZ41)*2-12)</f>
        <v>n.r.</v>
      </c>
      <c r="FD41" s="8" t="str">
        <f ca="1">OFFSET(Database!$F41,0,COLUMN(Database!FA41)*2-12)</f>
        <v>n.r.</v>
      </c>
      <c r="FE41" s="8" t="str">
        <f ca="1">OFFSET(Database!$F41,0,COLUMN(Database!FB41)*2-12)</f>
        <v>n.r.</v>
      </c>
      <c r="FF41" s="8" t="str">
        <f ca="1">OFFSET(Database!$F41,0,COLUMN(Database!FC41)*2-12)</f>
        <v>n.r.</v>
      </c>
      <c r="FG41" s="8" t="str">
        <f ca="1">OFFSET(Database!$F41,0,COLUMN(Database!FD41)*2-12)</f>
        <v>n.r.</v>
      </c>
      <c r="FH41" s="8" t="str">
        <f ca="1">OFFSET(Database!$F41,0,COLUMN(Database!FE41)*2-12)</f>
        <v>n.r.</v>
      </c>
      <c r="FI41" s="8" t="str">
        <f ca="1">OFFSET(Database!$F41,0,COLUMN(Database!FF41)*2-12)</f>
        <v>n.r.</v>
      </c>
      <c r="FJ41" s="8" t="str">
        <f ca="1">OFFSET(Database!$F41,0,COLUMN(Database!FG41)*2-12)</f>
        <v>n.r.</v>
      </c>
      <c r="FK41" s="8" t="str">
        <f ca="1">OFFSET(Database!$F41,0,COLUMN(Database!FH41)*2-12)</f>
        <v>n.r.</v>
      </c>
      <c r="FL41" s="8" t="str">
        <f ca="1">OFFSET(Database!$F41,0,COLUMN(Database!FI41)*2-12)</f>
        <v>n.r.</v>
      </c>
      <c r="FM41" s="8" t="str">
        <f ca="1">OFFSET(Database!$F41,0,COLUMN(Database!FJ41)*2-12)</f>
        <v>n.r.</v>
      </c>
      <c r="FN41" s="8" t="str">
        <f ca="1">OFFSET(Database!$F41,0,COLUMN(Database!FK41)*2-12)</f>
        <v>n.r.</v>
      </c>
      <c r="FO41" s="8" t="str">
        <f ca="1">OFFSET(Database!$F41,0,COLUMN(Database!FL41)*2-12)</f>
        <v>n.r.</v>
      </c>
      <c r="FP41" s="8" t="str">
        <f ca="1">OFFSET(Database!$F41,0,COLUMN(Database!FM41)*2-12)</f>
        <v>n.r.</v>
      </c>
      <c r="FQ41" s="8" t="str">
        <f ca="1">OFFSET(Database!$F41,0,COLUMN(Database!FN41)*2-12)</f>
        <v>n.r.</v>
      </c>
      <c r="FR41" s="8" t="str">
        <f ca="1">OFFSET(Database!$F41,0,COLUMN(Database!FO41)*2-12)</f>
        <v>n.r.</v>
      </c>
      <c r="FS41" s="8" t="str">
        <f ca="1">OFFSET(Database!$F41,0,COLUMN(Database!FP41)*2-12)</f>
        <v>n.r.</v>
      </c>
      <c r="FT41" s="8" t="str">
        <f ca="1">OFFSET(Database!$F41,0,COLUMN(Database!FQ41)*2-12)</f>
        <v>n.r.</v>
      </c>
      <c r="FU41" s="8" t="str">
        <f ca="1">OFFSET(Database!$F41,0,COLUMN(Database!FR41)*2-12)</f>
        <v>n.r.</v>
      </c>
      <c r="FV41" s="8" t="str">
        <f ca="1">OFFSET(Database!$F41,0,COLUMN(Database!FS41)*2-12)</f>
        <v>n.r.</v>
      </c>
      <c r="FW41" s="8" t="str">
        <f ca="1">OFFSET(Database!$F41,0,COLUMN(Database!FT41)*2-12)</f>
        <v>n.r.</v>
      </c>
      <c r="FX41" s="8" t="str">
        <f ca="1">OFFSET(Database!$F41,0,COLUMN(Database!FU41)*2-12)</f>
        <v>n.r.</v>
      </c>
      <c r="FY41" s="8" t="str">
        <f ca="1">OFFSET(Database!$F41,0,COLUMN(Database!FV41)*2-12)</f>
        <v>n.r.</v>
      </c>
      <c r="FZ41" s="8" t="str">
        <f ca="1">OFFSET(Database!$F41,0,COLUMN(Database!FW41)*2-12)</f>
        <v>n.r.</v>
      </c>
      <c r="GA41" s="8" t="str">
        <f ca="1">OFFSET(Database!$F41,0,COLUMN(Database!FX41)*2-12)</f>
        <v>n.r.</v>
      </c>
      <c r="GB41" s="8" t="str">
        <f ca="1">OFFSET(Database!$F41,0,COLUMN(Database!FY41)*2-12)</f>
        <v>n.r.</v>
      </c>
      <c r="GC41" s="8" t="str">
        <f ca="1">OFFSET(Database!$F41,0,COLUMN(Database!FZ41)*2-12)</f>
        <v>n.r.</v>
      </c>
      <c r="GD41" s="8" t="str">
        <f ca="1">OFFSET(Database!$F41,0,COLUMN(Database!GA41)*2-12)</f>
        <v>n.r.</v>
      </c>
      <c r="GE41" s="8" t="str">
        <f ca="1">OFFSET(Database!$F41,0,COLUMN(Database!GB41)*2-12)</f>
        <v>n.r.</v>
      </c>
      <c r="GF41" s="8" t="str">
        <f ca="1">OFFSET(Database!$F41,0,COLUMN(Database!GC41)*2-12)</f>
        <v>n.r.</v>
      </c>
      <c r="GG41" s="8" t="str">
        <f ca="1">OFFSET(Database!$F41,0,COLUMN(Database!GD41)*2-12)</f>
        <v>n.r.</v>
      </c>
      <c r="GH41" s="8" t="str">
        <f ca="1">OFFSET(Database!$F41,0,COLUMN(Database!GE41)*2-12)</f>
        <v>n.r.</v>
      </c>
      <c r="GI41" s="8" t="str">
        <f ca="1">OFFSET(Database!$F41,0,COLUMN(Database!GF41)*2-12)</f>
        <v>n.r.</v>
      </c>
      <c r="GJ41" s="8" t="str">
        <f ca="1">OFFSET(Database!$F41,0,COLUMN(Database!GG41)*2-12)</f>
        <v>n.r.</v>
      </c>
      <c r="GK41" s="8" t="str">
        <f ca="1">OFFSET(Database!$F41,0,COLUMN(Database!GH41)*2-12)</f>
        <v>n.r.</v>
      </c>
      <c r="GL41" s="8" t="str">
        <f ca="1">OFFSET(Database!$F41,0,COLUMN(Database!GI41)*2-12)</f>
        <v>n.r.</v>
      </c>
      <c r="GM41" s="8" t="str">
        <f ca="1">OFFSET(Database!$F41,0,COLUMN(Database!GJ41)*2-12)</f>
        <v>n.r.</v>
      </c>
      <c r="GN41" s="8" t="str">
        <f ca="1">OFFSET(Database!$F41,0,COLUMN(Database!GK41)*2-12)</f>
        <v>n.r.</v>
      </c>
      <c r="GO41" s="8" t="str">
        <f ca="1">OFFSET(Database!$F41,0,COLUMN(Database!GL41)*2-12)</f>
        <v>n.d.</v>
      </c>
      <c r="GP41" s="8">
        <f ca="1">OFFSET(Database!$F41,0,COLUMN(Database!GM41)*2-12)</f>
        <v>621.22229684351908</v>
      </c>
    </row>
    <row r="42" spans="1:198" x14ac:dyDescent="0.2">
      <c r="A42" s="50" t="str">
        <f>Database!A42</f>
        <v>D-homoserine</v>
      </c>
      <c r="B42" s="32" t="s">
        <v>894</v>
      </c>
      <c r="C42" s="4" t="str">
        <f>Database!B42</f>
        <v>ɑ</v>
      </c>
      <c r="D42" s="4" t="str">
        <f>Database!C42</f>
        <v>D</v>
      </c>
      <c r="E42" s="74">
        <f>Database!D42</f>
        <v>2</v>
      </c>
      <c r="F42" s="32" t="s">
        <v>921</v>
      </c>
      <c r="G42" s="1">
        <v>2724170</v>
      </c>
      <c r="H42" s="1">
        <f>Database!E42</f>
        <v>119.12</v>
      </c>
      <c r="I42" s="8" t="str">
        <f ca="1">OFFSET(Database!$F42,0,COLUMN(Database!F42)*2-12)</f>
        <v>n.r.</v>
      </c>
      <c r="J42" s="8" t="str">
        <f ca="1">OFFSET(Database!$F42,0,COLUMN(Database!G42)*2-12)</f>
        <v>n.r.</v>
      </c>
      <c r="K42" s="8" t="str">
        <f ca="1">OFFSET(Database!$F42,0,COLUMN(Database!H42)*2-12)</f>
        <v>n.r.</v>
      </c>
      <c r="L42" s="8" t="str">
        <f ca="1">OFFSET(Database!$F42,0,COLUMN(Database!I42)*2-12)</f>
        <v>n.r.</v>
      </c>
      <c r="M42" s="8" t="str">
        <f ca="1">OFFSET(Database!$F42,0,COLUMN(Database!J42)*2-12)</f>
        <v>n.r.</v>
      </c>
      <c r="N42" s="8" t="str">
        <f ca="1">OFFSET(Database!$F42,0,COLUMN(Database!K42)*2-12)</f>
        <v>n.r.</v>
      </c>
      <c r="O42" s="8" t="str">
        <f ca="1">OFFSET(Database!$F42,0,COLUMN(Database!L42)*2-12)</f>
        <v>n.r.</v>
      </c>
      <c r="P42" s="8" t="str">
        <f ca="1">OFFSET(Database!$F42,0,COLUMN(Database!M42)*2-12)</f>
        <v>n.r.</v>
      </c>
      <c r="Q42" s="8" t="str">
        <f ca="1">OFFSET(Database!$F42,0,COLUMN(Database!N42)*2-12)</f>
        <v>n.r.</v>
      </c>
      <c r="R42" s="8" t="str">
        <f ca="1">OFFSET(Database!$F42,0,COLUMN(Database!O42)*2-12)</f>
        <v>n.r.</v>
      </c>
      <c r="S42" s="8" t="str">
        <f ca="1">OFFSET(Database!$F42,0,COLUMN(Database!P42)*2-12)</f>
        <v>n.r.</v>
      </c>
      <c r="T42" s="8" t="str">
        <f ca="1">OFFSET(Database!$F42,0,COLUMN(Database!Q42)*2-12)</f>
        <v>n.r.</v>
      </c>
      <c r="U42" s="8" t="str">
        <f ca="1">OFFSET(Database!$F42,0,COLUMN(Database!R42)*2-12)</f>
        <v>n.r.</v>
      </c>
      <c r="V42" s="8" t="str">
        <f ca="1">OFFSET(Database!$F42,0,COLUMN(Database!S42)*2-12)</f>
        <v>n.r.</v>
      </c>
      <c r="W42" s="8" t="str">
        <f ca="1">OFFSET(Database!$F42,0,COLUMN(Database!T42)*2-12)</f>
        <v>n.r.</v>
      </c>
      <c r="X42" s="8" t="str">
        <f ca="1">OFFSET(Database!$F42,0,COLUMN(Database!U42)*2-12)</f>
        <v>n.r.</v>
      </c>
      <c r="Y42" s="8" t="str">
        <f ca="1">OFFSET(Database!$F42,0,COLUMN(Database!V42)*2-12)</f>
        <v>n.r.</v>
      </c>
      <c r="Z42" s="8" t="str">
        <f ca="1">OFFSET(Database!$F42,0,COLUMN(Database!W42)*2-12)</f>
        <v>n.r.</v>
      </c>
      <c r="AA42" s="8" t="str">
        <f ca="1">OFFSET(Database!$F42,0,COLUMN(Database!X42)*2-12)</f>
        <v>n.r.</v>
      </c>
      <c r="AB42" s="8">
        <f ca="1">OFFSET(Database!$F42,0,COLUMN(Database!Y42)*2-12)</f>
        <v>6.6319677635997318E-2</v>
      </c>
      <c r="AC42" s="8" t="str">
        <f ca="1">OFFSET(Database!$F42,0,COLUMN(Database!Z42)*2-12)</f>
        <v>n.r.</v>
      </c>
      <c r="AD42" s="8" t="str">
        <f ca="1">OFFSET(Database!$F42,0,COLUMN(Database!AA42)*2-12)</f>
        <v>n.r.</v>
      </c>
      <c r="AE42" s="8" t="str">
        <f ca="1">OFFSET(Database!$F42,0,COLUMN(Database!AB42)*2-12)</f>
        <v>n.r.</v>
      </c>
      <c r="AF42" s="8" t="str">
        <f ca="1">OFFSET(Database!$F42,0,COLUMN(Database!AC42)*2-12)</f>
        <v>n.r.</v>
      </c>
      <c r="AG42" s="8" t="str">
        <f ca="1">OFFSET(Database!$F42,0,COLUMN(Database!AD42)*2-12)</f>
        <v>n.r.</v>
      </c>
      <c r="AH42" s="8" t="str">
        <f ca="1">OFFSET(Database!$F42,0,COLUMN(Database!AE42)*2-12)</f>
        <v>n.r.</v>
      </c>
      <c r="AI42" s="8" t="str">
        <f ca="1">OFFSET(Database!$F42,0,COLUMN(Database!AF42)*2-12)</f>
        <v>n.r.</v>
      </c>
      <c r="AJ42" s="8" t="str">
        <f ca="1">OFFSET(Database!$F42,0,COLUMN(Database!AG42)*2-12)</f>
        <v>n.r.</v>
      </c>
      <c r="AK42" s="8" t="str">
        <f ca="1">OFFSET(Database!$F42,0,COLUMN(Database!AH42)*2-12)</f>
        <v>n.r.</v>
      </c>
      <c r="AL42" s="8" t="str">
        <f ca="1">OFFSET(Database!$F42,0,COLUMN(Database!AI42)*2-12)</f>
        <v>n.r.</v>
      </c>
      <c r="AM42" s="8" t="str">
        <f ca="1">OFFSET(Database!$F42,0,COLUMN(Database!AJ42)*2-12)</f>
        <v>n.r.</v>
      </c>
      <c r="AN42" s="8" t="str">
        <f ca="1">OFFSET(Database!$F42,0,COLUMN(Database!AK42)*2-12)</f>
        <v>n.r.</v>
      </c>
      <c r="AO42" s="8" t="str">
        <f ca="1">OFFSET(Database!$F42,0,COLUMN(Database!AL42)*2-12)</f>
        <v>n.r.</v>
      </c>
      <c r="AP42" s="8" t="str">
        <f ca="1">OFFSET(Database!$F42,0,COLUMN(Database!AM42)*2-12)</f>
        <v>n.r.</v>
      </c>
      <c r="AQ42" s="8" t="str">
        <f ca="1">OFFSET(Database!$F42,0,COLUMN(Database!AN42)*2-12)</f>
        <v>n.r.</v>
      </c>
      <c r="AR42" s="8" t="str">
        <f ca="1">OFFSET(Database!$F42,0,COLUMN(Database!AO42)*2-12)</f>
        <v>n.r.</v>
      </c>
      <c r="AS42" s="8" t="str">
        <f ca="1">OFFSET(Database!$F42,0,COLUMN(Database!AP42)*2-12)</f>
        <v>n.r.</v>
      </c>
      <c r="AT42" s="8" t="str">
        <f ca="1">OFFSET(Database!$F42,0,COLUMN(Database!AQ42)*2-12)</f>
        <v>n.r.</v>
      </c>
      <c r="AU42" s="8" t="str">
        <f ca="1">OFFSET(Database!$F42,0,COLUMN(Database!AR42)*2-12)</f>
        <v>n.r.</v>
      </c>
      <c r="AV42" s="8" t="str">
        <f ca="1">OFFSET(Database!$F42,0,COLUMN(Database!AS42)*2-12)</f>
        <v>n.r.</v>
      </c>
      <c r="AW42" s="8" t="str">
        <f ca="1">OFFSET(Database!$F42,0,COLUMN(Database!AT42)*2-12)</f>
        <v>n.r.</v>
      </c>
      <c r="AX42" s="8" t="str">
        <f ca="1">OFFSET(Database!$F42,0,COLUMN(Database!AU42)*2-12)</f>
        <v>n.r.</v>
      </c>
      <c r="AY42" s="8" t="str">
        <f ca="1">OFFSET(Database!$F42,0,COLUMN(Database!AV42)*2-12)</f>
        <v>n.r.</v>
      </c>
      <c r="AZ42" s="8" t="str">
        <f ca="1">OFFSET(Database!$F42,0,COLUMN(Database!AW42)*2-12)</f>
        <v>n.r.</v>
      </c>
      <c r="BA42" s="8" t="str">
        <f ca="1">OFFSET(Database!$F42,0,COLUMN(Database!AX42)*2-12)</f>
        <v>n.r.</v>
      </c>
      <c r="BB42" s="8" t="str">
        <f ca="1">OFFSET(Database!$F42,0,COLUMN(Database!AY42)*2-12)</f>
        <v>n.r.</v>
      </c>
      <c r="BC42" s="8" t="str">
        <f ca="1">OFFSET(Database!$F42,0,COLUMN(Database!AZ42)*2-12)</f>
        <v>n.r.</v>
      </c>
      <c r="BD42" s="8" t="str">
        <f ca="1">OFFSET(Database!$F42,0,COLUMN(Database!BA42)*2-12)</f>
        <v>n.r.</v>
      </c>
      <c r="BE42" s="8" t="str">
        <f ca="1">OFFSET(Database!$F42,0,COLUMN(Database!BB42)*2-12)</f>
        <v>n.r.</v>
      </c>
      <c r="BF42" s="8" t="str">
        <f ca="1">OFFSET(Database!$F42,0,COLUMN(Database!BC42)*2-12)</f>
        <v>n.r.</v>
      </c>
      <c r="BG42" s="8" t="str">
        <f ca="1">OFFSET(Database!$F42,0,COLUMN(Database!BD42)*2-12)</f>
        <v>n.r.</v>
      </c>
      <c r="BH42" s="8" t="str">
        <f ca="1">OFFSET(Database!$F42,0,COLUMN(Database!BE42)*2-12)</f>
        <v>n.r.</v>
      </c>
      <c r="BI42" s="8" t="str">
        <f ca="1">OFFSET(Database!$F42,0,COLUMN(Database!BF42)*2-12)</f>
        <v>n.r.</v>
      </c>
      <c r="BJ42" s="8" t="str">
        <f ca="1">OFFSET(Database!$F42,0,COLUMN(Database!BG42)*2-12)</f>
        <v>n.r.</v>
      </c>
      <c r="BK42" s="8" t="str">
        <f ca="1">OFFSET(Database!$F42,0,COLUMN(Database!BH42)*2-12)</f>
        <v>n.r.</v>
      </c>
      <c r="BL42" s="8" t="str">
        <f ca="1">OFFSET(Database!$F42,0,COLUMN(Database!BI42)*2-12)</f>
        <v>n.r.</v>
      </c>
      <c r="BM42" s="8" t="str">
        <f ca="1">OFFSET(Database!$F42,0,COLUMN(Database!BJ42)*2-12)</f>
        <v>n.r.</v>
      </c>
      <c r="BN42" s="8" t="str">
        <f ca="1">OFFSET(Database!$F42,0,COLUMN(Database!BK42)*2-12)</f>
        <v>n.r.</v>
      </c>
      <c r="BO42" s="8" t="str">
        <f ca="1">OFFSET(Database!$F42,0,COLUMN(Database!BL42)*2-12)</f>
        <v>n.r.</v>
      </c>
      <c r="BP42" s="8" t="str">
        <f ca="1">OFFSET(Database!$F42,0,COLUMN(Database!BM42)*2-12)</f>
        <v>n.r.</v>
      </c>
      <c r="BQ42" s="8" t="str">
        <f ca="1">OFFSET(Database!$F42,0,COLUMN(Database!BN42)*2-12)</f>
        <v>n.r.</v>
      </c>
      <c r="BR42" s="8" t="str">
        <f ca="1">OFFSET(Database!$F42,0,COLUMN(Database!BO42)*2-12)</f>
        <v>n.r.</v>
      </c>
      <c r="BS42" s="8" t="str">
        <f ca="1">OFFSET(Database!$F42,0,COLUMN(Database!BP42)*2-12)</f>
        <v>n.r.</v>
      </c>
      <c r="BT42" s="8" t="str">
        <f ca="1">OFFSET(Database!$F42,0,COLUMN(Database!BQ42)*2-12)</f>
        <v>n.r.</v>
      </c>
      <c r="BU42" s="8" t="str">
        <f ca="1">OFFSET(Database!$F42,0,COLUMN(Database!BR42)*2-12)</f>
        <v>n.r.</v>
      </c>
      <c r="BV42" s="8" t="str">
        <f ca="1">OFFSET(Database!$F42,0,COLUMN(Database!BS42)*2-12)</f>
        <v>n.r.</v>
      </c>
      <c r="BW42" s="8" t="str">
        <f ca="1">OFFSET(Database!$F42,0,COLUMN(Database!BT42)*2-12)</f>
        <v>n.r.</v>
      </c>
      <c r="BX42" s="8" t="str">
        <f ca="1">OFFSET(Database!$F42,0,COLUMN(Database!BU42)*2-12)</f>
        <v>n.r.</v>
      </c>
      <c r="BY42" s="8" t="str">
        <f ca="1">OFFSET(Database!$F42,0,COLUMN(Database!BV42)*2-12)</f>
        <v>n.r.</v>
      </c>
      <c r="BZ42" s="8" t="str">
        <f ca="1">OFFSET(Database!$F42,0,COLUMN(Database!BW42)*2-12)</f>
        <v>n.r.</v>
      </c>
      <c r="CA42" s="8" t="str">
        <f ca="1">OFFSET(Database!$F42,0,COLUMN(Database!BX42)*2-12)</f>
        <v>n.r.</v>
      </c>
      <c r="CB42" s="8" t="str">
        <f ca="1">OFFSET(Database!$F42,0,COLUMN(Database!BY42)*2-12)</f>
        <v>n.r.</v>
      </c>
      <c r="CC42" s="8" t="str">
        <f ca="1">OFFSET(Database!$F42,0,COLUMN(Database!BZ42)*2-12)</f>
        <v>n.r.</v>
      </c>
      <c r="CD42" s="8" t="str">
        <f ca="1">OFFSET(Database!$F42,0,COLUMN(Database!CA42)*2-12)</f>
        <v>n.r.</v>
      </c>
      <c r="CE42" s="8" t="str">
        <f ca="1">OFFSET(Database!$F42,0,COLUMN(Database!CB42)*2-12)</f>
        <v>n.r.</v>
      </c>
      <c r="CF42" s="8" t="str">
        <f ca="1">OFFSET(Database!$F42,0,COLUMN(Database!CC42)*2-12)</f>
        <v>n.r.</v>
      </c>
      <c r="CG42" s="8" t="str">
        <f ca="1">OFFSET(Database!$F42,0,COLUMN(Database!CD42)*2-12)</f>
        <v>n.r.</v>
      </c>
      <c r="CH42" s="8" t="str">
        <f ca="1">OFFSET(Database!$F42,0,COLUMN(Database!CE42)*2-12)</f>
        <v>n.r.</v>
      </c>
      <c r="CI42" s="8" t="str">
        <f ca="1">OFFSET(Database!$F42,0,COLUMN(Database!CF42)*2-12)</f>
        <v>n.r.</v>
      </c>
      <c r="CJ42" s="8" t="str">
        <f ca="1">OFFSET(Database!$F42,0,COLUMN(Database!CG42)*2-12)</f>
        <v>n.r.</v>
      </c>
      <c r="CK42" s="8" t="str">
        <f ca="1">OFFSET(Database!$F42,0,COLUMN(Database!CH42)*2-12)</f>
        <v>n.r.</v>
      </c>
      <c r="CL42" s="8" t="str">
        <f ca="1">OFFSET(Database!$F42,0,COLUMN(Database!CI42)*2-12)</f>
        <v>n.r.</v>
      </c>
      <c r="CM42" s="8" t="str">
        <f ca="1">OFFSET(Database!$F42,0,COLUMN(Database!CJ42)*2-12)</f>
        <v>n.r.</v>
      </c>
      <c r="CN42" s="8" t="str">
        <f ca="1">OFFSET(Database!$F42,0,COLUMN(Database!CK42)*2-12)</f>
        <v>n.r.</v>
      </c>
      <c r="CO42" s="8" t="str">
        <f ca="1">OFFSET(Database!$F42,0,COLUMN(Database!CL42)*2-12)</f>
        <v>n.r.</v>
      </c>
      <c r="CP42" s="8" t="str">
        <f ca="1">OFFSET(Database!$F42,0,COLUMN(Database!CM42)*2-12)</f>
        <v>n.r.</v>
      </c>
      <c r="CQ42" s="8" t="str">
        <f ca="1">OFFSET(Database!$F42,0,COLUMN(Database!CN42)*2-12)</f>
        <v>n.r.</v>
      </c>
      <c r="CR42" s="8" t="str">
        <f ca="1">OFFSET(Database!$F42,0,COLUMN(Database!CO42)*2-12)</f>
        <v>n.r.</v>
      </c>
      <c r="CS42" s="8" t="str">
        <f ca="1">OFFSET(Database!$F42,0,COLUMN(Database!CP42)*2-12)</f>
        <v>n.r.</v>
      </c>
      <c r="CT42" s="8" t="str">
        <f ca="1">OFFSET(Database!$F42,0,COLUMN(Database!CQ42)*2-12)</f>
        <v>n.r.</v>
      </c>
      <c r="CU42" s="8" t="str">
        <f ca="1">OFFSET(Database!$F42,0,COLUMN(Database!CR42)*2-12)</f>
        <v>n.r.</v>
      </c>
      <c r="CV42" s="8" t="str">
        <f ca="1">OFFSET(Database!$F42,0,COLUMN(Database!CS42)*2-12)</f>
        <v>n.r.</v>
      </c>
      <c r="CW42" s="8" t="str">
        <f ca="1">OFFSET(Database!$F42,0,COLUMN(Database!CT42)*2-12)</f>
        <v>n.r.</v>
      </c>
      <c r="CX42" s="8" t="str">
        <f ca="1">OFFSET(Database!$F42,0,COLUMN(Database!CU42)*2-12)</f>
        <v>n.r.</v>
      </c>
      <c r="CY42" s="8" t="str">
        <f ca="1">OFFSET(Database!$F42,0,COLUMN(Database!CV42)*2-12)</f>
        <v>n.r.</v>
      </c>
      <c r="CZ42" s="8" t="str">
        <f ca="1">OFFSET(Database!$F42,0,COLUMN(Database!CW42)*2-12)</f>
        <v>n.r.</v>
      </c>
      <c r="DA42" s="8" t="str">
        <f ca="1">OFFSET(Database!$F42,0,COLUMN(Database!CX42)*2-12)</f>
        <v>n.r.</v>
      </c>
      <c r="DB42" s="8" t="str">
        <f ca="1">OFFSET(Database!$F42,0,COLUMN(Database!CY42)*2-12)</f>
        <v>n.r.</v>
      </c>
      <c r="DC42" s="8" t="str">
        <f ca="1">OFFSET(Database!$F42,0,COLUMN(Database!CZ42)*2-12)</f>
        <v>n.r.</v>
      </c>
      <c r="DD42" s="8" t="str">
        <f ca="1">OFFSET(Database!$F42,0,COLUMN(Database!DA42)*2-12)</f>
        <v>n.r.</v>
      </c>
      <c r="DE42" s="8" t="str">
        <f ca="1">OFFSET(Database!$F42,0,COLUMN(Database!DB42)*2-12)</f>
        <v>n.r.</v>
      </c>
      <c r="DF42" s="8" t="str">
        <f ca="1">OFFSET(Database!$F42,0,COLUMN(Database!DC42)*2-12)</f>
        <v>n.r.</v>
      </c>
      <c r="DG42" s="8" t="str">
        <f ca="1">OFFSET(Database!$F42,0,COLUMN(Database!DD42)*2-12)</f>
        <v>n.r.</v>
      </c>
      <c r="DH42" s="8" t="str">
        <f ca="1">OFFSET(Database!$F42,0,COLUMN(Database!DE42)*2-12)</f>
        <v>n.r.</v>
      </c>
      <c r="DI42" s="8" t="str">
        <f ca="1">OFFSET(Database!$F42,0,COLUMN(Database!DF42)*2-12)</f>
        <v>n.r.</v>
      </c>
      <c r="DJ42" s="8" t="str">
        <f ca="1">OFFSET(Database!$F42,0,COLUMN(Database!DG42)*2-12)</f>
        <v>n.r.</v>
      </c>
      <c r="DK42" s="8" t="str">
        <f ca="1">OFFSET(Database!$F42,0,COLUMN(Database!DH42)*2-12)</f>
        <v>n.r.</v>
      </c>
      <c r="DL42" s="8" t="str">
        <f ca="1">OFFSET(Database!$F42,0,COLUMN(Database!DI42)*2-12)</f>
        <v>n.r.</v>
      </c>
      <c r="DM42" s="8" t="str">
        <f ca="1">OFFSET(Database!$F42,0,COLUMN(Database!DJ42)*2-12)</f>
        <v>n.r.</v>
      </c>
      <c r="DN42" s="8" t="str">
        <f ca="1">OFFSET(Database!$F42,0,COLUMN(Database!DK42)*2-12)</f>
        <v>n.r.</v>
      </c>
      <c r="DO42" s="8" t="str">
        <f ca="1">OFFSET(Database!$F42,0,COLUMN(Database!DL42)*2-12)</f>
        <v>n.r.</v>
      </c>
      <c r="DP42" s="8" t="str">
        <f ca="1">OFFSET(Database!$F42,0,COLUMN(Database!DM42)*2-12)</f>
        <v>n.r.</v>
      </c>
      <c r="DQ42" s="8" t="str">
        <f ca="1">OFFSET(Database!$F42,0,COLUMN(Database!DN42)*2-12)</f>
        <v>n.r.</v>
      </c>
      <c r="DR42" s="8" t="str">
        <f ca="1">OFFSET(Database!$F42,0,COLUMN(Database!DO42)*2-12)</f>
        <v>n.r.</v>
      </c>
      <c r="DS42" s="8" t="str">
        <f ca="1">OFFSET(Database!$F42,0,COLUMN(Database!DP42)*2-12)</f>
        <v>n.r.</v>
      </c>
      <c r="DT42" s="8" t="str">
        <f ca="1">OFFSET(Database!$F42,0,COLUMN(Database!DQ42)*2-12)</f>
        <v>n.r.</v>
      </c>
      <c r="DU42" s="8" t="str">
        <f ca="1">OFFSET(Database!$F42,0,COLUMN(Database!DR42)*2-12)</f>
        <v>n.r.</v>
      </c>
      <c r="DV42" s="8" t="str">
        <f ca="1">OFFSET(Database!$F42,0,COLUMN(Database!DS42)*2-12)</f>
        <v>n.r.</v>
      </c>
      <c r="DW42" s="8" t="str">
        <f ca="1">OFFSET(Database!$F42,0,COLUMN(Database!DT42)*2-12)</f>
        <v>n.r.</v>
      </c>
      <c r="DX42" s="8" t="str">
        <f ca="1">OFFSET(Database!$F42,0,COLUMN(Database!DU42)*2-12)</f>
        <v>n.r.</v>
      </c>
      <c r="DY42" s="8" t="str">
        <f ca="1">OFFSET(Database!$F42,0,COLUMN(Database!DV42)*2-12)</f>
        <v>n.r.</v>
      </c>
      <c r="DZ42" s="8" t="str">
        <f ca="1">OFFSET(Database!$F42,0,COLUMN(Database!DW42)*2-12)</f>
        <v>n.r.</v>
      </c>
      <c r="EA42" s="8" t="str">
        <f ca="1">OFFSET(Database!$F42,0,COLUMN(Database!DX42)*2-12)</f>
        <v>n.r.</v>
      </c>
      <c r="EB42" s="8" t="str">
        <f ca="1">OFFSET(Database!$F42,0,COLUMN(Database!DY42)*2-12)</f>
        <v>n.r.</v>
      </c>
      <c r="EC42" s="8" t="str">
        <f ca="1">OFFSET(Database!$F42,0,COLUMN(Database!DZ42)*2-12)</f>
        <v>n.r.</v>
      </c>
      <c r="ED42" s="8" t="str">
        <f ca="1">OFFSET(Database!$F42,0,COLUMN(Database!EA42)*2-12)</f>
        <v>n.r.</v>
      </c>
      <c r="EE42" s="8" t="str">
        <f ca="1">OFFSET(Database!$F42,0,COLUMN(Database!EB42)*2-12)</f>
        <v>n.r.</v>
      </c>
      <c r="EF42" s="8" t="str">
        <f ca="1">OFFSET(Database!$F42,0,COLUMN(Database!EC42)*2-12)</f>
        <v>n.r.</v>
      </c>
      <c r="EG42" s="8" t="str">
        <f ca="1">OFFSET(Database!$F42,0,COLUMN(Database!ED42)*2-12)</f>
        <v>n.r.</v>
      </c>
      <c r="EH42" s="8" t="str">
        <f ca="1">OFFSET(Database!$F42,0,COLUMN(Database!EE42)*2-12)</f>
        <v>n.r.</v>
      </c>
      <c r="EI42" s="8" t="str">
        <f ca="1">OFFSET(Database!$F42,0,COLUMN(Database!EF42)*2-12)</f>
        <v>n.r.</v>
      </c>
      <c r="EJ42" s="8" t="str">
        <f ca="1">OFFSET(Database!$F42,0,COLUMN(Database!EG42)*2-12)</f>
        <v>n.r.</v>
      </c>
      <c r="EK42" s="8" t="str">
        <f ca="1">OFFSET(Database!$F42,0,COLUMN(Database!EH42)*2-12)</f>
        <v>n.r.</v>
      </c>
      <c r="EL42" s="8" t="str">
        <f ca="1">OFFSET(Database!$F42,0,COLUMN(Database!EI42)*2-12)</f>
        <v>n.r.</v>
      </c>
      <c r="EM42" s="8" t="str">
        <f ca="1">OFFSET(Database!$F42,0,COLUMN(Database!EJ42)*2-12)</f>
        <v>n.r.</v>
      </c>
      <c r="EN42" s="8" t="str">
        <f ca="1">OFFSET(Database!$F42,0,COLUMN(Database!EK42)*2-12)</f>
        <v>n.r.</v>
      </c>
      <c r="EO42" s="8" t="str">
        <f ca="1">OFFSET(Database!$F42,0,COLUMN(Database!EL42)*2-12)</f>
        <v>n.r.</v>
      </c>
      <c r="EP42" s="8" t="str">
        <f ca="1">OFFSET(Database!$F42,0,COLUMN(Database!EM42)*2-12)</f>
        <v>n.r.</v>
      </c>
      <c r="EQ42" s="8" t="str">
        <f ca="1">OFFSET(Database!$F42,0,COLUMN(Database!EN42)*2-12)</f>
        <v>n.r.</v>
      </c>
      <c r="ER42" s="8" t="str">
        <f ca="1">OFFSET(Database!$F42,0,COLUMN(Database!EO42)*2-12)</f>
        <v>n.r.</v>
      </c>
      <c r="ES42" s="8" t="str">
        <f ca="1">OFFSET(Database!$F42,0,COLUMN(Database!EP42)*2-12)</f>
        <v>n.r.</v>
      </c>
      <c r="ET42" s="8" t="str">
        <f ca="1">OFFSET(Database!$F42,0,COLUMN(Database!EQ42)*2-12)</f>
        <v>n.r.</v>
      </c>
      <c r="EU42" s="8" t="str">
        <f ca="1">OFFSET(Database!$F42,0,COLUMN(Database!ER42)*2-12)</f>
        <v>n.r.</v>
      </c>
      <c r="EV42" s="8" t="str">
        <f ca="1">OFFSET(Database!$F42,0,COLUMN(Database!ES42)*2-12)</f>
        <v>n.r.</v>
      </c>
      <c r="EW42" s="8" t="str">
        <f ca="1">OFFSET(Database!$F42,0,COLUMN(Database!ET42)*2-12)</f>
        <v>n.r.</v>
      </c>
      <c r="EX42" s="8" t="str">
        <f ca="1">OFFSET(Database!$F42,0,COLUMN(Database!EU42)*2-12)</f>
        <v>n.r.</v>
      </c>
      <c r="EY42" s="8" t="str">
        <f ca="1">OFFSET(Database!$F42,0,COLUMN(Database!EV42)*2-12)</f>
        <v>n.r.</v>
      </c>
      <c r="EZ42" s="8" t="str">
        <f ca="1">OFFSET(Database!$F42,0,COLUMN(Database!EW42)*2-12)</f>
        <v>n.r.</v>
      </c>
      <c r="FA42" s="8" t="str">
        <f ca="1">OFFSET(Database!$F42,0,COLUMN(Database!EX42)*2-12)</f>
        <v>n.r.</v>
      </c>
      <c r="FB42" s="8" t="str">
        <f ca="1">OFFSET(Database!$F42,0,COLUMN(Database!EY42)*2-12)</f>
        <v>n.r.</v>
      </c>
      <c r="FC42" s="8" t="str">
        <f ca="1">OFFSET(Database!$F42,0,COLUMN(Database!EZ42)*2-12)</f>
        <v>n.r.</v>
      </c>
      <c r="FD42" s="8" t="str">
        <f ca="1">OFFSET(Database!$F42,0,COLUMN(Database!FA42)*2-12)</f>
        <v>n.r.</v>
      </c>
      <c r="FE42" s="8" t="str">
        <f ca="1">OFFSET(Database!$F42,0,COLUMN(Database!FB42)*2-12)</f>
        <v>n.r.</v>
      </c>
      <c r="FF42" s="8" t="str">
        <f ca="1">OFFSET(Database!$F42,0,COLUMN(Database!FC42)*2-12)</f>
        <v>n.r.</v>
      </c>
      <c r="FG42" s="8" t="str">
        <f ca="1">OFFSET(Database!$F42,0,COLUMN(Database!FD42)*2-12)</f>
        <v>n.r.</v>
      </c>
      <c r="FH42" s="8" t="str">
        <f ca="1">OFFSET(Database!$F42,0,COLUMN(Database!FE42)*2-12)</f>
        <v>n.r.</v>
      </c>
      <c r="FI42" s="8" t="str">
        <f ca="1">OFFSET(Database!$F42,0,COLUMN(Database!FF42)*2-12)</f>
        <v>n.r.</v>
      </c>
      <c r="FJ42" s="8" t="str">
        <f ca="1">OFFSET(Database!$F42,0,COLUMN(Database!FG42)*2-12)</f>
        <v>n.r.</v>
      </c>
      <c r="FK42" s="8" t="str">
        <f ca="1">OFFSET(Database!$F42,0,COLUMN(Database!FH42)*2-12)</f>
        <v>n.r.</v>
      </c>
      <c r="FL42" s="8" t="str">
        <f ca="1">OFFSET(Database!$F42,0,COLUMN(Database!FI42)*2-12)</f>
        <v>n.r.</v>
      </c>
      <c r="FM42" s="8" t="str">
        <f ca="1">OFFSET(Database!$F42,0,COLUMN(Database!FJ42)*2-12)</f>
        <v>n.r.</v>
      </c>
      <c r="FN42" s="8" t="str">
        <f ca="1">OFFSET(Database!$F42,0,COLUMN(Database!FK42)*2-12)</f>
        <v>n.r.</v>
      </c>
      <c r="FO42" s="8" t="str">
        <f ca="1">OFFSET(Database!$F42,0,COLUMN(Database!FL42)*2-12)</f>
        <v>n.r.</v>
      </c>
      <c r="FP42" s="8" t="str">
        <f ca="1">OFFSET(Database!$F42,0,COLUMN(Database!FM42)*2-12)</f>
        <v>n.r.</v>
      </c>
      <c r="FQ42" s="8" t="str">
        <f ca="1">OFFSET(Database!$F42,0,COLUMN(Database!FN42)*2-12)</f>
        <v>n.r.</v>
      </c>
      <c r="FR42" s="8" t="str">
        <f ca="1">OFFSET(Database!$F42,0,COLUMN(Database!FO42)*2-12)</f>
        <v>n.r.</v>
      </c>
      <c r="FS42" s="8" t="str">
        <f ca="1">OFFSET(Database!$F42,0,COLUMN(Database!FP42)*2-12)</f>
        <v>n.r.</v>
      </c>
      <c r="FT42" s="8" t="str">
        <f ca="1">OFFSET(Database!$F42,0,COLUMN(Database!FQ42)*2-12)</f>
        <v>n.r.</v>
      </c>
      <c r="FU42" s="8" t="str">
        <f ca="1">OFFSET(Database!$F42,0,COLUMN(Database!FR42)*2-12)</f>
        <v>n.r.</v>
      </c>
      <c r="FV42" s="8" t="str">
        <f ca="1">OFFSET(Database!$F42,0,COLUMN(Database!FS42)*2-12)</f>
        <v>n.r.</v>
      </c>
      <c r="FW42" s="8" t="str">
        <f ca="1">OFFSET(Database!$F42,0,COLUMN(Database!FT42)*2-12)</f>
        <v>n.r.</v>
      </c>
      <c r="FX42" s="8" t="str">
        <f ca="1">OFFSET(Database!$F42,0,COLUMN(Database!FU42)*2-12)</f>
        <v>n.r.</v>
      </c>
      <c r="FY42" s="8" t="str">
        <f ca="1">OFFSET(Database!$F42,0,COLUMN(Database!FV42)*2-12)</f>
        <v>n.r.</v>
      </c>
      <c r="FZ42" s="8" t="str">
        <f ca="1">OFFSET(Database!$F42,0,COLUMN(Database!FW42)*2-12)</f>
        <v>n.r.</v>
      </c>
      <c r="GA42" s="8" t="str">
        <f ca="1">OFFSET(Database!$F42,0,COLUMN(Database!FX42)*2-12)</f>
        <v>n.r.</v>
      </c>
      <c r="GB42" s="8" t="str">
        <f ca="1">OFFSET(Database!$F42,0,COLUMN(Database!FY42)*2-12)</f>
        <v>n.r.</v>
      </c>
      <c r="GC42" s="8" t="str">
        <f ca="1">OFFSET(Database!$F42,0,COLUMN(Database!FZ42)*2-12)</f>
        <v>n.r.</v>
      </c>
      <c r="GD42" s="8" t="str">
        <f ca="1">OFFSET(Database!$F42,0,COLUMN(Database!GA42)*2-12)</f>
        <v>n.r.</v>
      </c>
      <c r="GE42" s="8" t="str">
        <f ca="1">OFFSET(Database!$F42,0,COLUMN(Database!GB42)*2-12)</f>
        <v>n.r.</v>
      </c>
      <c r="GF42" s="8" t="str">
        <f ca="1">OFFSET(Database!$F42,0,COLUMN(Database!GC42)*2-12)</f>
        <v>n.r.</v>
      </c>
      <c r="GG42" s="8" t="str">
        <f ca="1">OFFSET(Database!$F42,0,COLUMN(Database!GD42)*2-12)</f>
        <v>n.r.</v>
      </c>
      <c r="GH42" s="8" t="str">
        <f ca="1">OFFSET(Database!$F42,0,COLUMN(Database!GE42)*2-12)</f>
        <v>n.r.</v>
      </c>
      <c r="GI42" s="8" t="str">
        <f ca="1">OFFSET(Database!$F42,0,COLUMN(Database!GF42)*2-12)</f>
        <v>n.r.</v>
      </c>
      <c r="GJ42" s="8" t="str">
        <f ca="1">OFFSET(Database!$F42,0,COLUMN(Database!GG42)*2-12)</f>
        <v>n.r.</v>
      </c>
      <c r="GK42" s="8" t="str">
        <f ca="1">OFFSET(Database!$F42,0,COLUMN(Database!GH42)*2-12)</f>
        <v>n.r.</v>
      </c>
      <c r="GL42" s="8" t="str">
        <f ca="1">OFFSET(Database!$F42,0,COLUMN(Database!GI42)*2-12)</f>
        <v>n.r.</v>
      </c>
      <c r="GM42" s="8" t="str">
        <f ca="1">OFFSET(Database!$F42,0,COLUMN(Database!GJ42)*2-12)</f>
        <v>n.r.</v>
      </c>
      <c r="GN42" s="8" t="str">
        <f ca="1">OFFSET(Database!$F42,0,COLUMN(Database!GK42)*2-12)</f>
        <v>n.r.</v>
      </c>
      <c r="GO42" s="8" t="str">
        <f ca="1">OFFSET(Database!$F42,0,COLUMN(Database!GL42)*2-12)</f>
        <v>n.d.</v>
      </c>
      <c r="GP42" s="8">
        <f ca="1">OFFSET(Database!$F42,0,COLUMN(Database!GM42)*2-12)</f>
        <v>75.554063129617191</v>
      </c>
    </row>
    <row r="43" spans="1:198" x14ac:dyDescent="0.2">
      <c r="A43" s="50" t="str">
        <f>Database!A43</f>
        <v>L-homoserine</v>
      </c>
      <c r="B43" s="32" t="s">
        <v>894</v>
      </c>
      <c r="C43" s="4" t="str">
        <f>Database!B43</f>
        <v>ɑ</v>
      </c>
      <c r="D43" s="4" t="str">
        <f>Database!C43</f>
        <v>L</v>
      </c>
      <c r="E43" s="74">
        <f>Database!D43</f>
        <v>2</v>
      </c>
      <c r="F43" s="32" t="s">
        <v>922</v>
      </c>
      <c r="G43" s="1">
        <v>12647</v>
      </c>
      <c r="H43" s="1">
        <f>Database!E43</f>
        <v>119.12</v>
      </c>
      <c r="I43" s="8" t="str">
        <f ca="1">OFFSET(Database!$F43,0,COLUMN(Database!F43)*2-12)</f>
        <v>n.r.</v>
      </c>
      <c r="J43" s="8" t="str">
        <f ca="1">OFFSET(Database!$F43,0,COLUMN(Database!G43)*2-12)</f>
        <v>n.r.</v>
      </c>
      <c r="K43" s="8" t="str">
        <f ca="1">OFFSET(Database!$F43,0,COLUMN(Database!H43)*2-12)</f>
        <v>n.r.</v>
      </c>
      <c r="L43" s="8" t="str">
        <f ca="1">OFFSET(Database!$F43,0,COLUMN(Database!I43)*2-12)</f>
        <v>n.r.</v>
      </c>
      <c r="M43" s="8" t="str">
        <f ca="1">OFFSET(Database!$F43,0,COLUMN(Database!J43)*2-12)</f>
        <v>n.r.</v>
      </c>
      <c r="N43" s="8" t="str">
        <f ca="1">OFFSET(Database!$F43,0,COLUMN(Database!K43)*2-12)</f>
        <v>n.r.</v>
      </c>
      <c r="O43" s="8" t="str">
        <f ca="1">OFFSET(Database!$F43,0,COLUMN(Database!L43)*2-12)</f>
        <v>n.r.</v>
      </c>
      <c r="P43" s="8" t="str">
        <f ca="1">OFFSET(Database!$F43,0,COLUMN(Database!M43)*2-12)</f>
        <v>n.r.</v>
      </c>
      <c r="Q43" s="8" t="str">
        <f ca="1">OFFSET(Database!$F43,0,COLUMN(Database!N43)*2-12)</f>
        <v>n.r.</v>
      </c>
      <c r="R43" s="8" t="str">
        <f ca="1">OFFSET(Database!$F43,0,COLUMN(Database!O43)*2-12)</f>
        <v>n.r.</v>
      </c>
      <c r="S43" s="8" t="str">
        <f ca="1">OFFSET(Database!$F43,0,COLUMN(Database!P43)*2-12)</f>
        <v>n.r.</v>
      </c>
      <c r="T43" s="8" t="str">
        <f ca="1">OFFSET(Database!$F43,0,COLUMN(Database!Q43)*2-12)</f>
        <v>n.r.</v>
      </c>
      <c r="U43" s="8" t="str">
        <f ca="1">OFFSET(Database!$F43,0,COLUMN(Database!R43)*2-12)</f>
        <v>n.r.</v>
      </c>
      <c r="V43" s="8" t="str">
        <f ca="1">OFFSET(Database!$F43,0,COLUMN(Database!S43)*2-12)</f>
        <v>n.r.</v>
      </c>
      <c r="W43" s="8" t="str">
        <f ca="1">OFFSET(Database!$F43,0,COLUMN(Database!T43)*2-12)</f>
        <v>n.r.</v>
      </c>
      <c r="X43" s="8" t="str">
        <f ca="1">OFFSET(Database!$F43,0,COLUMN(Database!U43)*2-12)</f>
        <v>n.r.</v>
      </c>
      <c r="Y43" s="8" t="str">
        <f ca="1">OFFSET(Database!$F43,0,COLUMN(Database!V43)*2-12)</f>
        <v>n.r.</v>
      </c>
      <c r="Z43" s="8" t="str">
        <f ca="1">OFFSET(Database!$F43,0,COLUMN(Database!W43)*2-12)</f>
        <v>n.r.</v>
      </c>
      <c r="AA43" s="8" t="str">
        <f ca="1">OFFSET(Database!$F43,0,COLUMN(Database!X43)*2-12)</f>
        <v>n.r.</v>
      </c>
      <c r="AB43" s="8">
        <f ca="1">OFFSET(Database!$F43,0,COLUMN(Database!Y43)*2-12)</f>
        <v>0.10913364674278038</v>
      </c>
      <c r="AC43" s="8" t="str">
        <f ca="1">OFFSET(Database!$F43,0,COLUMN(Database!Z43)*2-12)</f>
        <v>n.r.</v>
      </c>
      <c r="AD43" s="8" t="str">
        <f ca="1">OFFSET(Database!$F43,0,COLUMN(Database!AA43)*2-12)</f>
        <v>n.r.</v>
      </c>
      <c r="AE43" s="8" t="str">
        <f ca="1">OFFSET(Database!$F43,0,COLUMN(Database!AB43)*2-12)</f>
        <v>n.r.</v>
      </c>
      <c r="AF43" s="8" t="str">
        <f ca="1">OFFSET(Database!$F43,0,COLUMN(Database!AC43)*2-12)</f>
        <v>n.r.</v>
      </c>
      <c r="AG43" s="8" t="str">
        <f ca="1">OFFSET(Database!$F43,0,COLUMN(Database!AD43)*2-12)</f>
        <v>n.r.</v>
      </c>
      <c r="AH43" s="8" t="str">
        <f ca="1">OFFSET(Database!$F43,0,COLUMN(Database!AE43)*2-12)</f>
        <v>n.r.</v>
      </c>
      <c r="AI43" s="8" t="str">
        <f ca="1">OFFSET(Database!$F43,0,COLUMN(Database!AF43)*2-12)</f>
        <v>n.r.</v>
      </c>
      <c r="AJ43" s="8" t="str">
        <f ca="1">OFFSET(Database!$F43,0,COLUMN(Database!AG43)*2-12)</f>
        <v>n.r.</v>
      </c>
      <c r="AK43" s="8" t="str">
        <f ca="1">OFFSET(Database!$F43,0,COLUMN(Database!AH43)*2-12)</f>
        <v>n.r.</v>
      </c>
      <c r="AL43" s="8" t="str">
        <f ca="1">OFFSET(Database!$F43,0,COLUMN(Database!AI43)*2-12)</f>
        <v>n.r.</v>
      </c>
      <c r="AM43" s="8" t="str">
        <f ca="1">OFFSET(Database!$F43,0,COLUMN(Database!AJ43)*2-12)</f>
        <v>n.r.</v>
      </c>
      <c r="AN43" s="8" t="str">
        <f ca="1">OFFSET(Database!$F43,0,COLUMN(Database!AK43)*2-12)</f>
        <v>n.r.</v>
      </c>
      <c r="AO43" s="8" t="str">
        <f ca="1">OFFSET(Database!$F43,0,COLUMN(Database!AL43)*2-12)</f>
        <v>n.r.</v>
      </c>
      <c r="AP43" s="8" t="str">
        <f ca="1">OFFSET(Database!$F43,0,COLUMN(Database!AM43)*2-12)</f>
        <v>n.r.</v>
      </c>
      <c r="AQ43" s="8" t="str">
        <f ca="1">OFFSET(Database!$F43,0,COLUMN(Database!AN43)*2-12)</f>
        <v>n.r.</v>
      </c>
      <c r="AR43" s="8" t="str">
        <f ca="1">OFFSET(Database!$F43,0,COLUMN(Database!AO43)*2-12)</f>
        <v>n.r.</v>
      </c>
      <c r="AS43" s="8" t="str">
        <f ca="1">OFFSET(Database!$F43,0,COLUMN(Database!AP43)*2-12)</f>
        <v>n.r.</v>
      </c>
      <c r="AT43" s="8" t="str">
        <f ca="1">OFFSET(Database!$F43,0,COLUMN(Database!AQ43)*2-12)</f>
        <v>n.r.</v>
      </c>
      <c r="AU43" s="8" t="str">
        <f ca="1">OFFSET(Database!$F43,0,COLUMN(Database!AR43)*2-12)</f>
        <v>n.r.</v>
      </c>
      <c r="AV43" s="8" t="str">
        <f ca="1">OFFSET(Database!$F43,0,COLUMN(Database!AS43)*2-12)</f>
        <v>n.r.</v>
      </c>
      <c r="AW43" s="8" t="str">
        <f ca="1">OFFSET(Database!$F43,0,COLUMN(Database!AT43)*2-12)</f>
        <v>n.r.</v>
      </c>
      <c r="AX43" s="8" t="str">
        <f ca="1">OFFSET(Database!$F43,0,COLUMN(Database!AU43)*2-12)</f>
        <v>n.r.</v>
      </c>
      <c r="AY43" s="8" t="str">
        <f ca="1">OFFSET(Database!$F43,0,COLUMN(Database!AV43)*2-12)</f>
        <v>n.r.</v>
      </c>
      <c r="AZ43" s="8" t="str">
        <f ca="1">OFFSET(Database!$F43,0,COLUMN(Database!AW43)*2-12)</f>
        <v>n.r.</v>
      </c>
      <c r="BA43" s="8" t="str">
        <f ca="1">OFFSET(Database!$F43,0,COLUMN(Database!AX43)*2-12)</f>
        <v>n.r.</v>
      </c>
      <c r="BB43" s="8" t="str">
        <f ca="1">OFFSET(Database!$F43,0,COLUMN(Database!AY43)*2-12)</f>
        <v>n.r.</v>
      </c>
      <c r="BC43" s="8" t="str">
        <f ca="1">OFFSET(Database!$F43,0,COLUMN(Database!AZ43)*2-12)</f>
        <v>n.r.</v>
      </c>
      <c r="BD43" s="8" t="str">
        <f ca="1">OFFSET(Database!$F43,0,COLUMN(Database!BA43)*2-12)</f>
        <v>n.r.</v>
      </c>
      <c r="BE43" s="8" t="str">
        <f ca="1">OFFSET(Database!$F43,0,COLUMN(Database!BB43)*2-12)</f>
        <v>n.r.</v>
      </c>
      <c r="BF43" s="8" t="str">
        <f ca="1">OFFSET(Database!$F43,0,COLUMN(Database!BC43)*2-12)</f>
        <v>n.r.</v>
      </c>
      <c r="BG43" s="8" t="str">
        <f ca="1">OFFSET(Database!$F43,0,COLUMN(Database!BD43)*2-12)</f>
        <v>n.r.</v>
      </c>
      <c r="BH43" s="8" t="str">
        <f ca="1">OFFSET(Database!$F43,0,COLUMN(Database!BE43)*2-12)</f>
        <v>n.r.</v>
      </c>
      <c r="BI43" s="8" t="str">
        <f ca="1">OFFSET(Database!$F43,0,COLUMN(Database!BF43)*2-12)</f>
        <v>n.r.</v>
      </c>
      <c r="BJ43" s="8" t="str">
        <f ca="1">OFFSET(Database!$F43,0,COLUMN(Database!BG43)*2-12)</f>
        <v>n.r.</v>
      </c>
      <c r="BK43" s="8" t="str">
        <f ca="1">OFFSET(Database!$F43,0,COLUMN(Database!BH43)*2-12)</f>
        <v>n.r.</v>
      </c>
      <c r="BL43" s="8" t="str">
        <f ca="1">OFFSET(Database!$F43,0,COLUMN(Database!BI43)*2-12)</f>
        <v>n.r.</v>
      </c>
      <c r="BM43" s="8" t="str">
        <f ca="1">OFFSET(Database!$F43,0,COLUMN(Database!BJ43)*2-12)</f>
        <v>n.r.</v>
      </c>
      <c r="BN43" s="8" t="str">
        <f ca="1">OFFSET(Database!$F43,0,COLUMN(Database!BK43)*2-12)</f>
        <v>n.r.</v>
      </c>
      <c r="BO43" s="8" t="str">
        <f ca="1">OFFSET(Database!$F43,0,COLUMN(Database!BL43)*2-12)</f>
        <v>n.r.</v>
      </c>
      <c r="BP43" s="8" t="str">
        <f ca="1">OFFSET(Database!$F43,0,COLUMN(Database!BM43)*2-12)</f>
        <v>n.r.</v>
      </c>
      <c r="BQ43" s="8" t="str">
        <f ca="1">OFFSET(Database!$F43,0,COLUMN(Database!BN43)*2-12)</f>
        <v>n.r.</v>
      </c>
      <c r="BR43" s="8" t="str">
        <f ca="1">OFFSET(Database!$F43,0,COLUMN(Database!BO43)*2-12)</f>
        <v>n.r.</v>
      </c>
      <c r="BS43" s="8" t="str">
        <f ca="1">OFFSET(Database!$F43,0,COLUMN(Database!BP43)*2-12)</f>
        <v>n.r.</v>
      </c>
      <c r="BT43" s="8" t="str">
        <f ca="1">OFFSET(Database!$F43,0,COLUMN(Database!BQ43)*2-12)</f>
        <v>n.r.</v>
      </c>
      <c r="BU43" s="8" t="str">
        <f ca="1">OFFSET(Database!$F43,0,COLUMN(Database!BR43)*2-12)</f>
        <v>n.r.</v>
      </c>
      <c r="BV43" s="8" t="str">
        <f ca="1">OFFSET(Database!$F43,0,COLUMN(Database!BS43)*2-12)</f>
        <v>n.r.</v>
      </c>
      <c r="BW43" s="8" t="str">
        <f ca="1">OFFSET(Database!$F43,0,COLUMN(Database!BT43)*2-12)</f>
        <v>n.r.</v>
      </c>
      <c r="BX43" s="8" t="str">
        <f ca="1">OFFSET(Database!$F43,0,COLUMN(Database!BU43)*2-12)</f>
        <v>n.r.</v>
      </c>
      <c r="BY43" s="8" t="str">
        <f ca="1">OFFSET(Database!$F43,0,COLUMN(Database!BV43)*2-12)</f>
        <v>n.r.</v>
      </c>
      <c r="BZ43" s="8" t="str">
        <f ca="1">OFFSET(Database!$F43,0,COLUMN(Database!BW43)*2-12)</f>
        <v>n.r.</v>
      </c>
      <c r="CA43" s="8" t="str">
        <f ca="1">OFFSET(Database!$F43,0,COLUMN(Database!BX43)*2-12)</f>
        <v>n.r.</v>
      </c>
      <c r="CB43" s="8" t="str">
        <f ca="1">OFFSET(Database!$F43,0,COLUMN(Database!BY43)*2-12)</f>
        <v>n.r.</v>
      </c>
      <c r="CC43" s="8" t="str">
        <f ca="1">OFFSET(Database!$F43,0,COLUMN(Database!BZ43)*2-12)</f>
        <v>n.r.</v>
      </c>
      <c r="CD43" s="8" t="str">
        <f ca="1">OFFSET(Database!$F43,0,COLUMN(Database!CA43)*2-12)</f>
        <v>n.r.</v>
      </c>
      <c r="CE43" s="8" t="str">
        <f ca="1">OFFSET(Database!$F43,0,COLUMN(Database!CB43)*2-12)</f>
        <v>n.r.</v>
      </c>
      <c r="CF43" s="8" t="str">
        <f ca="1">OFFSET(Database!$F43,0,COLUMN(Database!CC43)*2-12)</f>
        <v>n.r.</v>
      </c>
      <c r="CG43" s="8" t="str">
        <f ca="1">OFFSET(Database!$F43,0,COLUMN(Database!CD43)*2-12)</f>
        <v>n.r.</v>
      </c>
      <c r="CH43" s="8" t="str">
        <f ca="1">OFFSET(Database!$F43,0,COLUMN(Database!CE43)*2-12)</f>
        <v>n.r.</v>
      </c>
      <c r="CI43" s="8" t="str">
        <f ca="1">OFFSET(Database!$F43,0,COLUMN(Database!CF43)*2-12)</f>
        <v>n.r.</v>
      </c>
      <c r="CJ43" s="8" t="str">
        <f ca="1">OFFSET(Database!$F43,0,COLUMN(Database!CG43)*2-12)</f>
        <v>n.r.</v>
      </c>
      <c r="CK43" s="8" t="str">
        <f ca="1">OFFSET(Database!$F43,0,COLUMN(Database!CH43)*2-12)</f>
        <v>n.r.</v>
      </c>
      <c r="CL43" s="8" t="str">
        <f ca="1">OFFSET(Database!$F43,0,COLUMN(Database!CI43)*2-12)</f>
        <v>n.r.</v>
      </c>
      <c r="CM43" s="8" t="str">
        <f ca="1">OFFSET(Database!$F43,0,COLUMN(Database!CJ43)*2-12)</f>
        <v>n.r.</v>
      </c>
      <c r="CN43" s="8" t="str">
        <f ca="1">OFFSET(Database!$F43,0,COLUMN(Database!CK43)*2-12)</f>
        <v>n.r.</v>
      </c>
      <c r="CO43" s="8" t="str">
        <f ca="1">OFFSET(Database!$F43,0,COLUMN(Database!CL43)*2-12)</f>
        <v>n.r.</v>
      </c>
      <c r="CP43" s="8" t="str">
        <f ca="1">OFFSET(Database!$F43,0,COLUMN(Database!CM43)*2-12)</f>
        <v>n.r.</v>
      </c>
      <c r="CQ43" s="8" t="str">
        <f ca="1">OFFSET(Database!$F43,0,COLUMN(Database!CN43)*2-12)</f>
        <v>n.r.</v>
      </c>
      <c r="CR43" s="8" t="str">
        <f ca="1">OFFSET(Database!$F43,0,COLUMN(Database!CO43)*2-12)</f>
        <v>n.r.</v>
      </c>
      <c r="CS43" s="8" t="str">
        <f ca="1">OFFSET(Database!$F43,0,COLUMN(Database!CP43)*2-12)</f>
        <v>n.r.</v>
      </c>
      <c r="CT43" s="8" t="str">
        <f ca="1">OFFSET(Database!$F43,0,COLUMN(Database!CQ43)*2-12)</f>
        <v>n.r.</v>
      </c>
      <c r="CU43" s="8" t="str">
        <f ca="1">OFFSET(Database!$F43,0,COLUMN(Database!CR43)*2-12)</f>
        <v>n.r.</v>
      </c>
      <c r="CV43" s="8" t="str">
        <f ca="1">OFFSET(Database!$F43,0,COLUMN(Database!CS43)*2-12)</f>
        <v>n.r.</v>
      </c>
      <c r="CW43" s="8" t="str">
        <f ca="1">OFFSET(Database!$F43,0,COLUMN(Database!CT43)*2-12)</f>
        <v>n.r.</v>
      </c>
      <c r="CX43" s="8" t="str">
        <f ca="1">OFFSET(Database!$F43,0,COLUMN(Database!CU43)*2-12)</f>
        <v>n.r.</v>
      </c>
      <c r="CY43" s="8" t="str">
        <f ca="1">OFFSET(Database!$F43,0,COLUMN(Database!CV43)*2-12)</f>
        <v>n.r.</v>
      </c>
      <c r="CZ43" s="8" t="str">
        <f ca="1">OFFSET(Database!$F43,0,COLUMN(Database!CW43)*2-12)</f>
        <v>n.r.</v>
      </c>
      <c r="DA43" s="8" t="str">
        <f ca="1">OFFSET(Database!$F43,0,COLUMN(Database!CX43)*2-12)</f>
        <v>n.r.</v>
      </c>
      <c r="DB43" s="8" t="str">
        <f ca="1">OFFSET(Database!$F43,0,COLUMN(Database!CY43)*2-12)</f>
        <v>n.r.</v>
      </c>
      <c r="DC43" s="8" t="str">
        <f ca="1">OFFSET(Database!$F43,0,COLUMN(Database!CZ43)*2-12)</f>
        <v>n.r.</v>
      </c>
      <c r="DD43" s="8" t="str">
        <f ca="1">OFFSET(Database!$F43,0,COLUMN(Database!DA43)*2-12)</f>
        <v>n.r.</v>
      </c>
      <c r="DE43" s="8" t="str">
        <f ca="1">OFFSET(Database!$F43,0,COLUMN(Database!DB43)*2-12)</f>
        <v>n.r.</v>
      </c>
      <c r="DF43" s="8" t="str">
        <f ca="1">OFFSET(Database!$F43,0,COLUMN(Database!DC43)*2-12)</f>
        <v>n.r.</v>
      </c>
      <c r="DG43" s="8" t="str">
        <f ca="1">OFFSET(Database!$F43,0,COLUMN(Database!DD43)*2-12)</f>
        <v>n.r.</v>
      </c>
      <c r="DH43" s="8" t="str">
        <f ca="1">OFFSET(Database!$F43,0,COLUMN(Database!DE43)*2-12)</f>
        <v>n.r.</v>
      </c>
      <c r="DI43" s="8" t="str">
        <f ca="1">OFFSET(Database!$F43,0,COLUMN(Database!DF43)*2-12)</f>
        <v>n.r.</v>
      </c>
      <c r="DJ43" s="8" t="str">
        <f ca="1">OFFSET(Database!$F43,0,COLUMN(Database!DG43)*2-12)</f>
        <v>n.r.</v>
      </c>
      <c r="DK43" s="8" t="str">
        <f ca="1">OFFSET(Database!$F43,0,COLUMN(Database!DH43)*2-12)</f>
        <v>n.r.</v>
      </c>
      <c r="DL43" s="8" t="str">
        <f ca="1">OFFSET(Database!$F43,0,COLUMN(Database!DI43)*2-12)</f>
        <v>n.r.</v>
      </c>
      <c r="DM43" s="8" t="str">
        <f ca="1">OFFSET(Database!$F43,0,COLUMN(Database!DJ43)*2-12)</f>
        <v>n.r.</v>
      </c>
      <c r="DN43" s="8" t="str">
        <f ca="1">OFFSET(Database!$F43,0,COLUMN(Database!DK43)*2-12)</f>
        <v>n.r.</v>
      </c>
      <c r="DO43" s="8" t="str">
        <f ca="1">OFFSET(Database!$F43,0,COLUMN(Database!DL43)*2-12)</f>
        <v>n.r.</v>
      </c>
      <c r="DP43" s="8" t="str">
        <f ca="1">OFFSET(Database!$F43,0,COLUMN(Database!DM43)*2-12)</f>
        <v>n.r.</v>
      </c>
      <c r="DQ43" s="8" t="str">
        <f ca="1">OFFSET(Database!$F43,0,COLUMN(Database!DN43)*2-12)</f>
        <v>n.r.</v>
      </c>
      <c r="DR43" s="8" t="str">
        <f ca="1">OFFSET(Database!$F43,0,COLUMN(Database!DO43)*2-12)</f>
        <v>n.r.</v>
      </c>
      <c r="DS43" s="8" t="str">
        <f ca="1">OFFSET(Database!$F43,0,COLUMN(Database!DP43)*2-12)</f>
        <v>n.r.</v>
      </c>
      <c r="DT43" s="8" t="str">
        <f ca="1">OFFSET(Database!$F43,0,COLUMN(Database!DQ43)*2-12)</f>
        <v>n.r.</v>
      </c>
      <c r="DU43" s="8" t="str">
        <f ca="1">OFFSET(Database!$F43,0,COLUMN(Database!DR43)*2-12)</f>
        <v>n.r.</v>
      </c>
      <c r="DV43" s="8" t="str">
        <f ca="1">OFFSET(Database!$F43,0,COLUMN(Database!DS43)*2-12)</f>
        <v>n.r.</v>
      </c>
      <c r="DW43" s="8" t="str">
        <f ca="1">OFFSET(Database!$F43,0,COLUMN(Database!DT43)*2-12)</f>
        <v>n.r.</v>
      </c>
      <c r="DX43" s="8" t="str">
        <f ca="1">OFFSET(Database!$F43,0,COLUMN(Database!DU43)*2-12)</f>
        <v>n.r.</v>
      </c>
      <c r="DY43" s="8" t="str">
        <f ca="1">OFFSET(Database!$F43,0,COLUMN(Database!DV43)*2-12)</f>
        <v>n.r.</v>
      </c>
      <c r="DZ43" s="8" t="str">
        <f ca="1">OFFSET(Database!$F43,0,COLUMN(Database!DW43)*2-12)</f>
        <v>n.r.</v>
      </c>
      <c r="EA43" s="8" t="str">
        <f ca="1">OFFSET(Database!$F43,0,COLUMN(Database!DX43)*2-12)</f>
        <v>n.r.</v>
      </c>
      <c r="EB43" s="8" t="str">
        <f ca="1">OFFSET(Database!$F43,0,COLUMN(Database!DY43)*2-12)</f>
        <v>n.r.</v>
      </c>
      <c r="EC43" s="8" t="str">
        <f ca="1">OFFSET(Database!$F43,0,COLUMN(Database!DZ43)*2-12)</f>
        <v>n.r.</v>
      </c>
      <c r="ED43" s="8" t="str">
        <f ca="1">OFFSET(Database!$F43,0,COLUMN(Database!EA43)*2-12)</f>
        <v>n.r.</v>
      </c>
      <c r="EE43" s="8" t="str">
        <f ca="1">OFFSET(Database!$F43,0,COLUMN(Database!EB43)*2-12)</f>
        <v>n.r.</v>
      </c>
      <c r="EF43" s="8" t="str">
        <f ca="1">OFFSET(Database!$F43,0,COLUMN(Database!EC43)*2-12)</f>
        <v>n.r.</v>
      </c>
      <c r="EG43" s="8" t="str">
        <f ca="1">OFFSET(Database!$F43,0,COLUMN(Database!ED43)*2-12)</f>
        <v>n.r.</v>
      </c>
      <c r="EH43" s="8" t="str">
        <f ca="1">OFFSET(Database!$F43,0,COLUMN(Database!EE43)*2-12)</f>
        <v>n.r.</v>
      </c>
      <c r="EI43" s="8" t="str">
        <f ca="1">OFFSET(Database!$F43,0,COLUMN(Database!EF43)*2-12)</f>
        <v>n.r.</v>
      </c>
      <c r="EJ43" s="8" t="str">
        <f ca="1">OFFSET(Database!$F43,0,COLUMN(Database!EG43)*2-12)</f>
        <v>n.r.</v>
      </c>
      <c r="EK43" s="8" t="str">
        <f ca="1">OFFSET(Database!$F43,0,COLUMN(Database!EH43)*2-12)</f>
        <v>n.r.</v>
      </c>
      <c r="EL43" s="8" t="str">
        <f ca="1">OFFSET(Database!$F43,0,COLUMN(Database!EI43)*2-12)</f>
        <v>n.r.</v>
      </c>
      <c r="EM43" s="8" t="str">
        <f ca="1">OFFSET(Database!$F43,0,COLUMN(Database!EJ43)*2-12)</f>
        <v>n.r.</v>
      </c>
      <c r="EN43" s="8" t="str">
        <f ca="1">OFFSET(Database!$F43,0,COLUMN(Database!EK43)*2-12)</f>
        <v>n.r.</v>
      </c>
      <c r="EO43" s="8" t="str">
        <f ca="1">OFFSET(Database!$F43,0,COLUMN(Database!EL43)*2-12)</f>
        <v>n.r.</v>
      </c>
      <c r="EP43" s="8" t="str">
        <f ca="1">OFFSET(Database!$F43,0,COLUMN(Database!EM43)*2-12)</f>
        <v>n.r.</v>
      </c>
      <c r="EQ43" s="8" t="str">
        <f ca="1">OFFSET(Database!$F43,0,COLUMN(Database!EN43)*2-12)</f>
        <v>n.r.</v>
      </c>
      <c r="ER43" s="8" t="str">
        <f ca="1">OFFSET(Database!$F43,0,COLUMN(Database!EO43)*2-12)</f>
        <v>n.r.</v>
      </c>
      <c r="ES43" s="8" t="str">
        <f ca="1">OFFSET(Database!$F43,0,COLUMN(Database!EP43)*2-12)</f>
        <v>n.r.</v>
      </c>
      <c r="ET43" s="8" t="str">
        <f ca="1">OFFSET(Database!$F43,0,COLUMN(Database!EQ43)*2-12)</f>
        <v>n.r.</v>
      </c>
      <c r="EU43" s="8" t="str">
        <f ca="1">OFFSET(Database!$F43,0,COLUMN(Database!ER43)*2-12)</f>
        <v>n.r.</v>
      </c>
      <c r="EV43" s="8" t="str">
        <f ca="1">OFFSET(Database!$F43,0,COLUMN(Database!ES43)*2-12)</f>
        <v>n.r.</v>
      </c>
      <c r="EW43" s="8" t="str">
        <f ca="1">OFFSET(Database!$F43,0,COLUMN(Database!ET43)*2-12)</f>
        <v>n.r.</v>
      </c>
      <c r="EX43" s="8" t="str">
        <f ca="1">OFFSET(Database!$F43,0,COLUMN(Database!EU43)*2-12)</f>
        <v>n.r.</v>
      </c>
      <c r="EY43" s="8" t="str">
        <f ca="1">OFFSET(Database!$F43,0,COLUMN(Database!EV43)*2-12)</f>
        <v>n.r.</v>
      </c>
      <c r="EZ43" s="8" t="str">
        <f ca="1">OFFSET(Database!$F43,0,COLUMN(Database!EW43)*2-12)</f>
        <v>n.r.</v>
      </c>
      <c r="FA43" s="8" t="str">
        <f ca="1">OFFSET(Database!$F43,0,COLUMN(Database!EX43)*2-12)</f>
        <v>n.r.</v>
      </c>
      <c r="FB43" s="8" t="str">
        <f ca="1">OFFSET(Database!$F43,0,COLUMN(Database!EY43)*2-12)</f>
        <v>n.r.</v>
      </c>
      <c r="FC43" s="8" t="str">
        <f ca="1">OFFSET(Database!$F43,0,COLUMN(Database!EZ43)*2-12)</f>
        <v>n.r.</v>
      </c>
      <c r="FD43" s="8" t="str">
        <f ca="1">OFFSET(Database!$F43,0,COLUMN(Database!FA43)*2-12)</f>
        <v>n.r.</v>
      </c>
      <c r="FE43" s="8" t="str">
        <f ca="1">OFFSET(Database!$F43,0,COLUMN(Database!FB43)*2-12)</f>
        <v>n.r.</v>
      </c>
      <c r="FF43" s="8" t="str">
        <f ca="1">OFFSET(Database!$F43,0,COLUMN(Database!FC43)*2-12)</f>
        <v>n.r.</v>
      </c>
      <c r="FG43" s="8" t="str">
        <f ca="1">OFFSET(Database!$F43,0,COLUMN(Database!FD43)*2-12)</f>
        <v>n.r.</v>
      </c>
      <c r="FH43" s="8" t="str">
        <f ca="1">OFFSET(Database!$F43,0,COLUMN(Database!FE43)*2-12)</f>
        <v>n.r.</v>
      </c>
      <c r="FI43" s="8" t="str">
        <f ca="1">OFFSET(Database!$F43,0,COLUMN(Database!FF43)*2-12)</f>
        <v>n.r.</v>
      </c>
      <c r="FJ43" s="8" t="str">
        <f ca="1">OFFSET(Database!$F43,0,COLUMN(Database!FG43)*2-12)</f>
        <v>n.r.</v>
      </c>
      <c r="FK43" s="8" t="str">
        <f ca="1">OFFSET(Database!$F43,0,COLUMN(Database!FH43)*2-12)</f>
        <v>n.r.</v>
      </c>
      <c r="FL43" s="8" t="str">
        <f ca="1">OFFSET(Database!$F43,0,COLUMN(Database!FI43)*2-12)</f>
        <v>n.r.</v>
      </c>
      <c r="FM43" s="8" t="str">
        <f ca="1">OFFSET(Database!$F43,0,COLUMN(Database!FJ43)*2-12)</f>
        <v>n.r.</v>
      </c>
      <c r="FN43" s="8" t="str">
        <f ca="1">OFFSET(Database!$F43,0,COLUMN(Database!FK43)*2-12)</f>
        <v>n.r.</v>
      </c>
      <c r="FO43" s="8" t="str">
        <f ca="1">OFFSET(Database!$F43,0,COLUMN(Database!FL43)*2-12)</f>
        <v>n.r.</v>
      </c>
      <c r="FP43" s="8" t="str">
        <f ca="1">OFFSET(Database!$F43,0,COLUMN(Database!FM43)*2-12)</f>
        <v>n.r.</v>
      </c>
      <c r="FQ43" s="8" t="str">
        <f ca="1">OFFSET(Database!$F43,0,COLUMN(Database!FN43)*2-12)</f>
        <v>n.r.</v>
      </c>
      <c r="FR43" s="8" t="str">
        <f ca="1">OFFSET(Database!$F43,0,COLUMN(Database!FO43)*2-12)</f>
        <v>n.r.</v>
      </c>
      <c r="FS43" s="8" t="str">
        <f ca="1">OFFSET(Database!$F43,0,COLUMN(Database!FP43)*2-12)</f>
        <v>n.r.</v>
      </c>
      <c r="FT43" s="8" t="str">
        <f ca="1">OFFSET(Database!$F43,0,COLUMN(Database!FQ43)*2-12)</f>
        <v>n.r.</v>
      </c>
      <c r="FU43" s="8" t="str">
        <f ca="1">OFFSET(Database!$F43,0,COLUMN(Database!FR43)*2-12)</f>
        <v>n.r.</v>
      </c>
      <c r="FV43" s="8" t="str">
        <f ca="1">OFFSET(Database!$F43,0,COLUMN(Database!FS43)*2-12)</f>
        <v>n.r.</v>
      </c>
      <c r="FW43" s="8" t="str">
        <f ca="1">OFFSET(Database!$F43,0,COLUMN(Database!FT43)*2-12)</f>
        <v>n.r.</v>
      </c>
      <c r="FX43" s="8" t="str">
        <f ca="1">OFFSET(Database!$F43,0,COLUMN(Database!FU43)*2-12)</f>
        <v>n.r.</v>
      </c>
      <c r="FY43" s="8" t="str">
        <f ca="1">OFFSET(Database!$F43,0,COLUMN(Database!FV43)*2-12)</f>
        <v>n.r.</v>
      </c>
      <c r="FZ43" s="8" t="str">
        <f ca="1">OFFSET(Database!$F43,0,COLUMN(Database!FW43)*2-12)</f>
        <v>n.r.</v>
      </c>
      <c r="GA43" s="8" t="str">
        <f ca="1">OFFSET(Database!$F43,0,COLUMN(Database!FX43)*2-12)</f>
        <v>n.r.</v>
      </c>
      <c r="GB43" s="8" t="str">
        <f ca="1">OFFSET(Database!$F43,0,COLUMN(Database!FY43)*2-12)</f>
        <v>n.r.</v>
      </c>
      <c r="GC43" s="8" t="str">
        <f ca="1">OFFSET(Database!$F43,0,COLUMN(Database!FZ43)*2-12)</f>
        <v>n.r.</v>
      </c>
      <c r="GD43" s="8" t="str">
        <f ca="1">OFFSET(Database!$F43,0,COLUMN(Database!GA43)*2-12)</f>
        <v>n.r.</v>
      </c>
      <c r="GE43" s="8" t="str">
        <f ca="1">OFFSET(Database!$F43,0,COLUMN(Database!GB43)*2-12)</f>
        <v>n.r.</v>
      </c>
      <c r="GF43" s="8" t="str">
        <f ca="1">OFFSET(Database!$F43,0,COLUMN(Database!GC43)*2-12)</f>
        <v>n.r.</v>
      </c>
      <c r="GG43" s="8" t="str">
        <f ca="1">OFFSET(Database!$F43,0,COLUMN(Database!GD43)*2-12)</f>
        <v>n.r.</v>
      </c>
      <c r="GH43" s="8" t="str">
        <f ca="1">OFFSET(Database!$F43,0,COLUMN(Database!GE43)*2-12)</f>
        <v>n.r.</v>
      </c>
      <c r="GI43" s="8" t="str">
        <f ca="1">OFFSET(Database!$F43,0,COLUMN(Database!GF43)*2-12)</f>
        <v>n.r.</v>
      </c>
      <c r="GJ43" s="8" t="str">
        <f ca="1">OFFSET(Database!$F43,0,COLUMN(Database!GG43)*2-12)</f>
        <v>n.r.</v>
      </c>
      <c r="GK43" s="8" t="str">
        <f ca="1">OFFSET(Database!$F43,0,COLUMN(Database!GH43)*2-12)</f>
        <v>n.r.</v>
      </c>
      <c r="GL43" s="8" t="str">
        <f ca="1">OFFSET(Database!$F43,0,COLUMN(Database!GI43)*2-12)</f>
        <v>n.r.</v>
      </c>
      <c r="GM43" s="8" t="str">
        <f ca="1">OFFSET(Database!$F43,0,COLUMN(Database!GJ43)*2-12)</f>
        <v>n.r.</v>
      </c>
      <c r="GN43" s="8" t="str">
        <f ca="1">OFFSET(Database!$F43,0,COLUMN(Database!GK43)*2-12)</f>
        <v>n.r.</v>
      </c>
      <c r="GO43" s="8" t="str">
        <f ca="1">OFFSET(Database!$F43,0,COLUMN(Database!GL43)*2-12)</f>
        <v>n.d.</v>
      </c>
      <c r="GP43" s="8">
        <f ca="1">OFFSET(Database!$F43,0,COLUMN(Database!GM43)*2-12)</f>
        <v>83.948959032907993</v>
      </c>
    </row>
    <row r="44" spans="1:198" x14ac:dyDescent="0.2">
      <c r="A44" s="50" t="str">
        <f>Database!A44</f>
        <v>β-homoserine</v>
      </c>
      <c r="B44" s="32" t="s">
        <v>1006</v>
      </c>
      <c r="C44" s="4" t="str">
        <f>Database!B44</f>
        <v>β</v>
      </c>
      <c r="D44" s="4" t="str">
        <f>Database!C44</f>
        <v>Both</v>
      </c>
      <c r="E44" s="74">
        <f>Database!D44</f>
        <v>2</v>
      </c>
      <c r="F44" s="32" t="s">
        <v>923</v>
      </c>
      <c r="G44" s="1">
        <v>1502076</v>
      </c>
      <c r="H44" s="1">
        <f>Database!E44</f>
        <v>119.12</v>
      </c>
      <c r="I44" s="8" t="str">
        <f ca="1">OFFSET(Database!$F44,0,COLUMN(Database!F44)*2-12)</f>
        <v>n.r.</v>
      </c>
      <c r="J44" s="8" t="str">
        <f ca="1">OFFSET(Database!$F44,0,COLUMN(Database!G44)*2-12)</f>
        <v>n.r.</v>
      </c>
      <c r="K44" s="8" t="str">
        <f ca="1">OFFSET(Database!$F44,0,COLUMN(Database!H44)*2-12)</f>
        <v>n.r.</v>
      </c>
      <c r="L44" s="8" t="str">
        <f ca="1">OFFSET(Database!$F44,0,COLUMN(Database!I44)*2-12)</f>
        <v>n.r.</v>
      </c>
      <c r="M44" s="8" t="str">
        <f ca="1">OFFSET(Database!$F44,0,COLUMN(Database!J44)*2-12)</f>
        <v>n.r.</v>
      </c>
      <c r="N44" s="8" t="str">
        <f ca="1">OFFSET(Database!$F44,0,COLUMN(Database!K44)*2-12)</f>
        <v>n.r.</v>
      </c>
      <c r="O44" s="8" t="str">
        <f ca="1">OFFSET(Database!$F44,0,COLUMN(Database!L44)*2-12)</f>
        <v>n.r.</v>
      </c>
      <c r="P44" s="8" t="str">
        <f ca="1">OFFSET(Database!$F44,0,COLUMN(Database!M44)*2-12)</f>
        <v>n.r.</v>
      </c>
      <c r="Q44" s="8" t="str">
        <f ca="1">OFFSET(Database!$F44,0,COLUMN(Database!N44)*2-12)</f>
        <v>n.r.</v>
      </c>
      <c r="R44" s="8" t="str">
        <f ca="1">OFFSET(Database!$F44,0,COLUMN(Database!O44)*2-12)</f>
        <v>n.r.</v>
      </c>
      <c r="S44" s="8" t="str">
        <f ca="1">OFFSET(Database!$F44,0,COLUMN(Database!P44)*2-12)</f>
        <v>n.r.</v>
      </c>
      <c r="T44" s="8" t="str">
        <f ca="1">OFFSET(Database!$F44,0,COLUMN(Database!Q44)*2-12)</f>
        <v>n.r.</v>
      </c>
      <c r="U44" s="8" t="str">
        <f ca="1">OFFSET(Database!$F44,0,COLUMN(Database!R44)*2-12)</f>
        <v>n.r.</v>
      </c>
      <c r="V44" s="8" t="str">
        <f ca="1">OFFSET(Database!$F44,0,COLUMN(Database!S44)*2-12)</f>
        <v>n.r.</v>
      </c>
      <c r="W44" s="8" t="str">
        <f ca="1">OFFSET(Database!$F44,0,COLUMN(Database!T44)*2-12)</f>
        <v>n.r.</v>
      </c>
      <c r="X44" s="8" t="str">
        <f ca="1">OFFSET(Database!$F44,0,COLUMN(Database!U44)*2-12)</f>
        <v>n.r.</v>
      </c>
      <c r="Y44" s="8" t="str">
        <f ca="1">OFFSET(Database!$F44,0,COLUMN(Database!V44)*2-12)</f>
        <v>n.r.</v>
      </c>
      <c r="Z44" s="8" t="str">
        <f ca="1">OFFSET(Database!$F44,0,COLUMN(Database!W44)*2-12)</f>
        <v>n.r.</v>
      </c>
      <c r="AA44" s="8" t="str">
        <f ca="1">OFFSET(Database!$F44,0,COLUMN(Database!X44)*2-12)</f>
        <v>n.r.</v>
      </c>
      <c r="AB44" s="8">
        <f ca="1">OFFSET(Database!$F44,0,COLUMN(Database!Y44)*2-12)</f>
        <v>0.10073875083948959</v>
      </c>
      <c r="AC44" s="8" t="str">
        <f ca="1">OFFSET(Database!$F44,0,COLUMN(Database!Z44)*2-12)</f>
        <v>n.r.</v>
      </c>
      <c r="AD44" s="8" t="str">
        <f ca="1">OFFSET(Database!$F44,0,COLUMN(Database!AA44)*2-12)</f>
        <v>n.r.</v>
      </c>
      <c r="AE44" s="8" t="str">
        <f ca="1">OFFSET(Database!$F44,0,COLUMN(Database!AB44)*2-12)</f>
        <v>n.r.</v>
      </c>
      <c r="AF44" s="8" t="str">
        <f ca="1">OFFSET(Database!$F44,0,COLUMN(Database!AC44)*2-12)</f>
        <v>n.r.</v>
      </c>
      <c r="AG44" s="8" t="str">
        <f ca="1">OFFSET(Database!$F44,0,COLUMN(Database!AD44)*2-12)</f>
        <v>n.r.</v>
      </c>
      <c r="AH44" s="8" t="str">
        <f ca="1">OFFSET(Database!$F44,0,COLUMN(Database!AE44)*2-12)</f>
        <v>n.r.</v>
      </c>
      <c r="AI44" s="8" t="str">
        <f ca="1">OFFSET(Database!$F44,0,COLUMN(Database!AF44)*2-12)</f>
        <v>n.r.</v>
      </c>
      <c r="AJ44" s="8" t="str">
        <f ca="1">OFFSET(Database!$F44,0,COLUMN(Database!AG44)*2-12)</f>
        <v>n.r.</v>
      </c>
      <c r="AK44" s="8" t="str">
        <f ca="1">OFFSET(Database!$F44,0,COLUMN(Database!AH44)*2-12)</f>
        <v>n.r.</v>
      </c>
      <c r="AL44" s="8" t="str">
        <f ca="1">OFFSET(Database!$F44,0,COLUMN(Database!AI44)*2-12)</f>
        <v>n.r.</v>
      </c>
      <c r="AM44" s="8" t="str">
        <f ca="1">OFFSET(Database!$F44,0,COLUMN(Database!AJ44)*2-12)</f>
        <v>n.r.</v>
      </c>
      <c r="AN44" s="8" t="str">
        <f ca="1">OFFSET(Database!$F44,0,COLUMN(Database!AK44)*2-12)</f>
        <v>n.r.</v>
      </c>
      <c r="AO44" s="8" t="str">
        <f ca="1">OFFSET(Database!$F44,0,COLUMN(Database!AL44)*2-12)</f>
        <v>n.r.</v>
      </c>
      <c r="AP44" s="8" t="str">
        <f ca="1">OFFSET(Database!$F44,0,COLUMN(Database!AM44)*2-12)</f>
        <v>n.r.</v>
      </c>
      <c r="AQ44" s="8" t="str">
        <f ca="1">OFFSET(Database!$F44,0,COLUMN(Database!AN44)*2-12)</f>
        <v>n.r.</v>
      </c>
      <c r="AR44" s="8" t="str">
        <f ca="1">OFFSET(Database!$F44,0,COLUMN(Database!AO44)*2-12)</f>
        <v>n.r.</v>
      </c>
      <c r="AS44" s="8" t="str">
        <f ca="1">OFFSET(Database!$F44,0,COLUMN(Database!AP44)*2-12)</f>
        <v>n.r.</v>
      </c>
      <c r="AT44" s="8" t="str">
        <f ca="1">OFFSET(Database!$F44,0,COLUMN(Database!AQ44)*2-12)</f>
        <v>n.r.</v>
      </c>
      <c r="AU44" s="8" t="str">
        <f ca="1">OFFSET(Database!$F44,0,COLUMN(Database!AR44)*2-12)</f>
        <v>n.r.</v>
      </c>
      <c r="AV44" s="8" t="str">
        <f ca="1">OFFSET(Database!$F44,0,COLUMN(Database!AS44)*2-12)</f>
        <v>n.r.</v>
      </c>
      <c r="AW44" s="8" t="str">
        <f ca="1">OFFSET(Database!$F44,0,COLUMN(Database!AT44)*2-12)</f>
        <v>n.r.</v>
      </c>
      <c r="AX44" s="8" t="str">
        <f ca="1">OFFSET(Database!$F44,0,COLUMN(Database!AU44)*2-12)</f>
        <v>n.r.</v>
      </c>
      <c r="AY44" s="8" t="str">
        <f ca="1">OFFSET(Database!$F44,0,COLUMN(Database!AV44)*2-12)</f>
        <v>n.r.</v>
      </c>
      <c r="AZ44" s="8" t="str">
        <f ca="1">OFFSET(Database!$F44,0,COLUMN(Database!AW44)*2-12)</f>
        <v>n.r.</v>
      </c>
      <c r="BA44" s="8" t="str">
        <f ca="1">OFFSET(Database!$F44,0,COLUMN(Database!AX44)*2-12)</f>
        <v>n.r.</v>
      </c>
      <c r="BB44" s="8" t="str">
        <f ca="1">OFFSET(Database!$F44,0,COLUMN(Database!AY44)*2-12)</f>
        <v>n.r.</v>
      </c>
      <c r="BC44" s="8" t="str">
        <f ca="1">OFFSET(Database!$F44,0,COLUMN(Database!AZ44)*2-12)</f>
        <v>n.r.</v>
      </c>
      <c r="BD44" s="8" t="str">
        <f ca="1">OFFSET(Database!$F44,0,COLUMN(Database!BA44)*2-12)</f>
        <v>n.r.</v>
      </c>
      <c r="BE44" s="8" t="str">
        <f ca="1">OFFSET(Database!$F44,0,COLUMN(Database!BB44)*2-12)</f>
        <v>n.r.</v>
      </c>
      <c r="BF44" s="8" t="str">
        <f ca="1">OFFSET(Database!$F44,0,COLUMN(Database!BC44)*2-12)</f>
        <v>n.r.</v>
      </c>
      <c r="BG44" s="8" t="str">
        <f ca="1">OFFSET(Database!$F44,0,COLUMN(Database!BD44)*2-12)</f>
        <v>n.r.</v>
      </c>
      <c r="BH44" s="8" t="str">
        <f ca="1">OFFSET(Database!$F44,0,COLUMN(Database!BE44)*2-12)</f>
        <v>n.r.</v>
      </c>
      <c r="BI44" s="8" t="str">
        <f ca="1">OFFSET(Database!$F44,0,COLUMN(Database!BF44)*2-12)</f>
        <v>n.r.</v>
      </c>
      <c r="BJ44" s="8" t="str">
        <f ca="1">OFFSET(Database!$F44,0,COLUMN(Database!BG44)*2-12)</f>
        <v>n.r.</v>
      </c>
      <c r="BK44" s="8" t="str">
        <f ca="1">OFFSET(Database!$F44,0,COLUMN(Database!BH44)*2-12)</f>
        <v>n.r.</v>
      </c>
      <c r="BL44" s="8" t="str">
        <f ca="1">OFFSET(Database!$F44,0,COLUMN(Database!BI44)*2-12)</f>
        <v>n.r.</v>
      </c>
      <c r="BM44" s="8" t="str">
        <f ca="1">OFFSET(Database!$F44,0,COLUMN(Database!BJ44)*2-12)</f>
        <v>n.r.</v>
      </c>
      <c r="BN44" s="8" t="str">
        <f ca="1">OFFSET(Database!$F44,0,COLUMN(Database!BK44)*2-12)</f>
        <v>n.r.</v>
      </c>
      <c r="BO44" s="8" t="str">
        <f ca="1">OFFSET(Database!$F44,0,COLUMN(Database!BL44)*2-12)</f>
        <v>n.r.</v>
      </c>
      <c r="BP44" s="8" t="str">
        <f ca="1">OFFSET(Database!$F44,0,COLUMN(Database!BM44)*2-12)</f>
        <v>n.r.</v>
      </c>
      <c r="BQ44" s="8" t="str">
        <f ca="1">OFFSET(Database!$F44,0,COLUMN(Database!BN44)*2-12)</f>
        <v>n.r.</v>
      </c>
      <c r="BR44" s="8" t="str">
        <f ca="1">OFFSET(Database!$F44,0,COLUMN(Database!BO44)*2-12)</f>
        <v>n.r.</v>
      </c>
      <c r="BS44" s="8" t="str">
        <f ca="1">OFFSET(Database!$F44,0,COLUMN(Database!BP44)*2-12)</f>
        <v>n.r.</v>
      </c>
      <c r="BT44" s="8" t="str">
        <f ca="1">OFFSET(Database!$F44,0,COLUMN(Database!BQ44)*2-12)</f>
        <v>n.r.</v>
      </c>
      <c r="BU44" s="8" t="str">
        <f ca="1">OFFSET(Database!$F44,0,COLUMN(Database!BR44)*2-12)</f>
        <v>n.r.</v>
      </c>
      <c r="BV44" s="8" t="str">
        <f ca="1">OFFSET(Database!$F44,0,COLUMN(Database!BS44)*2-12)</f>
        <v>n.r.</v>
      </c>
      <c r="BW44" s="8" t="str">
        <f ca="1">OFFSET(Database!$F44,0,COLUMN(Database!BT44)*2-12)</f>
        <v>n.r.</v>
      </c>
      <c r="BX44" s="8" t="str">
        <f ca="1">OFFSET(Database!$F44,0,COLUMN(Database!BU44)*2-12)</f>
        <v>n.r.</v>
      </c>
      <c r="BY44" s="8" t="str">
        <f ca="1">OFFSET(Database!$F44,0,COLUMN(Database!BV44)*2-12)</f>
        <v>n.r.</v>
      </c>
      <c r="BZ44" s="8" t="str">
        <f ca="1">OFFSET(Database!$F44,0,COLUMN(Database!BW44)*2-12)</f>
        <v>n.r.</v>
      </c>
      <c r="CA44" s="8" t="str">
        <f ca="1">OFFSET(Database!$F44,0,COLUMN(Database!BX44)*2-12)</f>
        <v>n.r.</v>
      </c>
      <c r="CB44" s="8" t="str">
        <f ca="1">OFFSET(Database!$F44,0,COLUMN(Database!BY44)*2-12)</f>
        <v>n.r.</v>
      </c>
      <c r="CC44" s="8" t="str">
        <f ca="1">OFFSET(Database!$F44,0,COLUMN(Database!BZ44)*2-12)</f>
        <v>n.r.</v>
      </c>
      <c r="CD44" s="8" t="str">
        <f ca="1">OFFSET(Database!$F44,0,COLUMN(Database!CA44)*2-12)</f>
        <v>n.r.</v>
      </c>
      <c r="CE44" s="8" t="str">
        <f ca="1">OFFSET(Database!$F44,0,COLUMN(Database!CB44)*2-12)</f>
        <v>n.r.</v>
      </c>
      <c r="CF44" s="8" t="str">
        <f ca="1">OFFSET(Database!$F44,0,COLUMN(Database!CC44)*2-12)</f>
        <v>n.r.</v>
      </c>
      <c r="CG44" s="8" t="str">
        <f ca="1">OFFSET(Database!$F44,0,COLUMN(Database!CD44)*2-12)</f>
        <v>n.r.</v>
      </c>
      <c r="CH44" s="8" t="str">
        <f ca="1">OFFSET(Database!$F44,0,COLUMN(Database!CE44)*2-12)</f>
        <v>n.r.</v>
      </c>
      <c r="CI44" s="8" t="str">
        <f ca="1">OFFSET(Database!$F44,0,COLUMN(Database!CF44)*2-12)</f>
        <v>n.r.</v>
      </c>
      <c r="CJ44" s="8" t="str">
        <f ca="1">OFFSET(Database!$F44,0,COLUMN(Database!CG44)*2-12)</f>
        <v>n.r.</v>
      </c>
      <c r="CK44" s="8" t="str">
        <f ca="1">OFFSET(Database!$F44,0,COLUMN(Database!CH44)*2-12)</f>
        <v>n.r.</v>
      </c>
      <c r="CL44" s="8" t="str">
        <f ca="1">OFFSET(Database!$F44,0,COLUMN(Database!CI44)*2-12)</f>
        <v>n.r.</v>
      </c>
      <c r="CM44" s="8" t="str">
        <f ca="1">OFFSET(Database!$F44,0,COLUMN(Database!CJ44)*2-12)</f>
        <v>n.r.</v>
      </c>
      <c r="CN44" s="8" t="str">
        <f ca="1">OFFSET(Database!$F44,0,COLUMN(Database!CK44)*2-12)</f>
        <v>n.r.</v>
      </c>
      <c r="CO44" s="8" t="str">
        <f ca="1">OFFSET(Database!$F44,0,COLUMN(Database!CL44)*2-12)</f>
        <v>n.r.</v>
      </c>
      <c r="CP44" s="8" t="str">
        <f ca="1">OFFSET(Database!$F44,0,COLUMN(Database!CM44)*2-12)</f>
        <v>n.r.</v>
      </c>
      <c r="CQ44" s="8" t="str">
        <f ca="1">OFFSET(Database!$F44,0,COLUMN(Database!CN44)*2-12)</f>
        <v>n.r.</v>
      </c>
      <c r="CR44" s="8" t="str">
        <f ca="1">OFFSET(Database!$F44,0,COLUMN(Database!CO44)*2-12)</f>
        <v>n.r.</v>
      </c>
      <c r="CS44" s="8" t="str">
        <f ca="1">OFFSET(Database!$F44,0,COLUMN(Database!CP44)*2-12)</f>
        <v>n.r.</v>
      </c>
      <c r="CT44" s="8" t="str">
        <f ca="1">OFFSET(Database!$F44,0,COLUMN(Database!CQ44)*2-12)</f>
        <v>n.r.</v>
      </c>
      <c r="CU44" s="8" t="str">
        <f ca="1">OFFSET(Database!$F44,0,COLUMN(Database!CR44)*2-12)</f>
        <v>n.r.</v>
      </c>
      <c r="CV44" s="8" t="str">
        <f ca="1">OFFSET(Database!$F44,0,COLUMN(Database!CS44)*2-12)</f>
        <v>n.r.</v>
      </c>
      <c r="CW44" s="8" t="str">
        <f ca="1">OFFSET(Database!$F44,0,COLUMN(Database!CT44)*2-12)</f>
        <v>n.r.</v>
      </c>
      <c r="CX44" s="8" t="str">
        <f ca="1">OFFSET(Database!$F44,0,COLUMN(Database!CU44)*2-12)</f>
        <v>n.r.</v>
      </c>
      <c r="CY44" s="8" t="str">
        <f ca="1">OFFSET(Database!$F44,0,COLUMN(Database!CV44)*2-12)</f>
        <v>n.r.</v>
      </c>
      <c r="CZ44" s="8" t="str">
        <f ca="1">OFFSET(Database!$F44,0,COLUMN(Database!CW44)*2-12)</f>
        <v>n.r.</v>
      </c>
      <c r="DA44" s="8" t="str">
        <f ca="1">OFFSET(Database!$F44,0,COLUMN(Database!CX44)*2-12)</f>
        <v>n.r.</v>
      </c>
      <c r="DB44" s="8" t="str">
        <f ca="1">OFFSET(Database!$F44,0,COLUMN(Database!CY44)*2-12)</f>
        <v>n.r.</v>
      </c>
      <c r="DC44" s="8" t="str">
        <f ca="1">OFFSET(Database!$F44,0,COLUMN(Database!CZ44)*2-12)</f>
        <v>n.r.</v>
      </c>
      <c r="DD44" s="8" t="str">
        <f ca="1">OFFSET(Database!$F44,0,COLUMN(Database!DA44)*2-12)</f>
        <v>n.r.</v>
      </c>
      <c r="DE44" s="8" t="str">
        <f ca="1">OFFSET(Database!$F44,0,COLUMN(Database!DB44)*2-12)</f>
        <v>n.r.</v>
      </c>
      <c r="DF44" s="8" t="str">
        <f ca="1">OFFSET(Database!$F44,0,COLUMN(Database!DC44)*2-12)</f>
        <v>n.r.</v>
      </c>
      <c r="DG44" s="8" t="str">
        <f ca="1">OFFSET(Database!$F44,0,COLUMN(Database!DD44)*2-12)</f>
        <v>n.r.</v>
      </c>
      <c r="DH44" s="8" t="str">
        <f ca="1">OFFSET(Database!$F44,0,COLUMN(Database!DE44)*2-12)</f>
        <v>n.r.</v>
      </c>
      <c r="DI44" s="8" t="str">
        <f ca="1">OFFSET(Database!$F44,0,COLUMN(Database!DF44)*2-12)</f>
        <v>n.r.</v>
      </c>
      <c r="DJ44" s="8" t="str">
        <f ca="1">OFFSET(Database!$F44,0,COLUMN(Database!DG44)*2-12)</f>
        <v>n.r.</v>
      </c>
      <c r="DK44" s="8" t="str">
        <f ca="1">OFFSET(Database!$F44,0,COLUMN(Database!DH44)*2-12)</f>
        <v>n.r.</v>
      </c>
      <c r="DL44" s="8" t="str">
        <f ca="1">OFFSET(Database!$F44,0,COLUMN(Database!DI44)*2-12)</f>
        <v>n.r.</v>
      </c>
      <c r="DM44" s="8" t="str">
        <f ca="1">OFFSET(Database!$F44,0,COLUMN(Database!DJ44)*2-12)</f>
        <v>n.r.</v>
      </c>
      <c r="DN44" s="8" t="str">
        <f ca="1">OFFSET(Database!$F44,0,COLUMN(Database!DK44)*2-12)</f>
        <v>n.r.</v>
      </c>
      <c r="DO44" s="8" t="str">
        <f ca="1">OFFSET(Database!$F44,0,COLUMN(Database!DL44)*2-12)</f>
        <v>n.r.</v>
      </c>
      <c r="DP44" s="8" t="str">
        <f ca="1">OFFSET(Database!$F44,0,COLUMN(Database!DM44)*2-12)</f>
        <v>n.r.</v>
      </c>
      <c r="DQ44" s="8" t="str">
        <f ca="1">OFFSET(Database!$F44,0,COLUMN(Database!DN44)*2-12)</f>
        <v>n.r.</v>
      </c>
      <c r="DR44" s="8" t="str">
        <f ca="1">OFFSET(Database!$F44,0,COLUMN(Database!DO44)*2-12)</f>
        <v>n.r.</v>
      </c>
      <c r="DS44" s="8" t="str">
        <f ca="1">OFFSET(Database!$F44,0,COLUMN(Database!DP44)*2-12)</f>
        <v>n.r.</v>
      </c>
      <c r="DT44" s="8" t="str">
        <f ca="1">OFFSET(Database!$F44,0,COLUMN(Database!DQ44)*2-12)</f>
        <v>n.r.</v>
      </c>
      <c r="DU44" s="8" t="str">
        <f ca="1">OFFSET(Database!$F44,0,COLUMN(Database!DR44)*2-12)</f>
        <v>n.r.</v>
      </c>
      <c r="DV44" s="8" t="str">
        <f ca="1">OFFSET(Database!$F44,0,COLUMN(Database!DS44)*2-12)</f>
        <v>n.r.</v>
      </c>
      <c r="DW44" s="8" t="str">
        <f ca="1">OFFSET(Database!$F44,0,COLUMN(Database!DT44)*2-12)</f>
        <v>n.r.</v>
      </c>
      <c r="DX44" s="8" t="str">
        <f ca="1">OFFSET(Database!$F44,0,COLUMN(Database!DU44)*2-12)</f>
        <v>n.r.</v>
      </c>
      <c r="DY44" s="8" t="str">
        <f ca="1">OFFSET(Database!$F44,0,COLUMN(Database!DV44)*2-12)</f>
        <v>n.r.</v>
      </c>
      <c r="DZ44" s="8" t="str">
        <f ca="1">OFFSET(Database!$F44,0,COLUMN(Database!DW44)*2-12)</f>
        <v>n.r.</v>
      </c>
      <c r="EA44" s="8" t="str">
        <f ca="1">OFFSET(Database!$F44,0,COLUMN(Database!DX44)*2-12)</f>
        <v>n.r.</v>
      </c>
      <c r="EB44" s="8" t="str">
        <f ca="1">OFFSET(Database!$F44,0,COLUMN(Database!DY44)*2-12)</f>
        <v>n.r.</v>
      </c>
      <c r="EC44" s="8" t="str">
        <f ca="1">OFFSET(Database!$F44,0,COLUMN(Database!DZ44)*2-12)</f>
        <v>n.r.</v>
      </c>
      <c r="ED44" s="8" t="str">
        <f ca="1">OFFSET(Database!$F44,0,COLUMN(Database!EA44)*2-12)</f>
        <v>n.r.</v>
      </c>
      <c r="EE44" s="8" t="str">
        <f ca="1">OFFSET(Database!$F44,0,COLUMN(Database!EB44)*2-12)</f>
        <v>n.r.</v>
      </c>
      <c r="EF44" s="8" t="str">
        <f ca="1">OFFSET(Database!$F44,0,COLUMN(Database!EC44)*2-12)</f>
        <v>n.r.</v>
      </c>
      <c r="EG44" s="8" t="str">
        <f ca="1">OFFSET(Database!$F44,0,COLUMN(Database!ED44)*2-12)</f>
        <v>n.r.</v>
      </c>
      <c r="EH44" s="8" t="str">
        <f ca="1">OFFSET(Database!$F44,0,COLUMN(Database!EE44)*2-12)</f>
        <v>n.r.</v>
      </c>
      <c r="EI44" s="8" t="str">
        <f ca="1">OFFSET(Database!$F44,0,COLUMN(Database!EF44)*2-12)</f>
        <v>n.r.</v>
      </c>
      <c r="EJ44" s="8" t="str">
        <f ca="1">OFFSET(Database!$F44,0,COLUMN(Database!EG44)*2-12)</f>
        <v>n.r.</v>
      </c>
      <c r="EK44" s="8" t="str">
        <f ca="1">OFFSET(Database!$F44,0,COLUMN(Database!EH44)*2-12)</f>
        <v>n.r.</v>
      </c>
      <c r="EL44" s="8" t="str">
        <f ca="1">OFFSET(Database!$F44,0,COLUMN(Database!EI44)*2-12)</f>
        <v>n.r.</v>
      </c>
      <c r="EM44" s="8" t="str">
        <f ca="1">OFFSET(Database!$F44,0,COLUMN(Database!EJ44)*2-12)</f>
        <v>n.r.</v>
      </c>
      <c r="EN44" s="8" t="str">
        <f ca="1">OFFSET(Database!$F44,0,COLUMN(Database!EK44)*2-12)</f>
        <v>n.r.</v>
      </c>
      <c r="EO44" s="8" t="str">
        <f ca="1">OFFSET(Database!$F44,0,COLUMN(Database!EL44)*2-12)</f>
        <v>n.r.</v>
      </c>
      <c r="EP44" s="8" t="str">
        <f ca="1">OFFSET(Database!$F44,0,COLUMN(Database!EM44)*2-12)</f>
        <v>n.r.</v>
      </c>
      <c r="EQ44" s="8" t="str">
        <f ca="1">OFFSET(Database!$F44,0,COLUMN(Database!EN44)*2-12)</f>
        <v>n.r.</v>
      </c>
      <c r="ER44" s="8" t="str">
        <f ca="1">OFFSET(Database!$F44,0,COLUMN(Database!EO44)*2-12)</f>
        <v>n.r.</v>
      </c>
      <c r="ES44" s="8" t="str">
        <f ca="1">OFFSET(Database!$F44,0,COLUMN(Database!EP44)*2-12)</f>
        <v>n.r.</v>
      </c>
      <c r="ET44" s="8" t="str">
        <f ca="1">OFFSET(Database!$F44,0,COLUMN(Database!EQ44)*2-12)</f>
        <v>n.r.</v>
      </c>
      <c r="EU44" s="8" t="str">
        <f ca="1">OFFSET(Database!$F44,0,COLUMN(Database!ER44)*2-12)</f>
        <v>n.r.</v>
      </c>
      <c r="EV44" s="8" t="str">
        <f ca="1">OFFSET(Database!$F44,0,COLUMN(Database!ES44)*2-12)</f>
        <v>n.r.</v>
      </c>
      <c r="EW44" s="8" t="str">
        <f ca="1">OFFSET(Database!$F44,0,COLUMN(Database!ET44)*2-12)</f>
        <v>n.r.</v>
      </c>
      <c r="EX44" s="8" t="str">
        <f ca="1">OFFSET(Database!$F44,0,COLUMN(Database!EU44)*2-12)</f>
        <v>n.r.</v>
      </c>
      <c r="EY44" s="8" t="str">
        <f ca="1">OFFSET(Database!$F44,0,COLUMN(Database!EV44)*2-12)</f>
        <v>n.r.</v>
      </c>
      <c r="EZ44" s="8" t="str">
        <f ca="1">OFFSET(Database!$F44,0,COLUMN(Database!EW44)*2-12)</f>
        <v>n.r.</v>
      </c>
      <c r="FA44" s="8" t="str">
        <f ca="1">OFFSET(Database!$F44,0,COLUMN(Database!EX44)*2-12)</f>
        <v>n.r.</v>
      </c>
      <c r="FB44" s="8" t="str">
        <f ca="1">OFFSET(Database!$F44,0,COLUMN(Database!EY44)*2-12)</f>
        <v>n.r.</v>
      </c>
      <c r="FC44" s="8" t="str">
        <f ca="1">OFFSET(Database!$F44,0,COLUMN(Database!EZ44)*2-12)</f>
        <v>n.r.</v>
      </c>
      <c r="FD44" s="8" t="str">
        <f ca="1">OFFSET(Database!$F44,0,COLUMN(Database!FA44)*2-12)</f>
        <v>n.r.</v>
      </c>
      <c r="FE44" s="8" t="str">
        <f ca="1">OFFSET(Database!$F44,0,COLUMN(Database!FB44)*2-12)</f>
        <v>n.r.</v>
      </c>
      <c r="FF44" s="8" t="str">
        <f ca="1">OFFSET(Database!$F44,0,COLUMN(Database!FC44)*2-12)</f>
        <v>n.r.</v>
      </c>
      <c r="FG44" s="8" t="str">
        <f ca="1">OFFSET(Database!$F44,0,COLUMN(Database!FD44)*2-12)</f>
        <v>n.r.</v>
      </c>
      <c r="FH44" s="8" t="str">
        <f ca="1">OFFSET(Database!$F44,0,COLUMN(Database!FE44)*2-12)</f>
        <v>n.r.</v>
      </c>
      <c r="FI44" s="8" t="str">
        <f ca="1">OFFSET(Database!$F44,0,COLUMN(Database!FF44)*2-12)</f>
        <v>n.r.</v>
      </c>
      <c r="FJ44" s="8" t="str">
        <f ca="1">OFFSET(Database!$F44,0,COLUMN(Database!FG44)*2-12)</f>
        <v>n.r.</v>
      </c>
      <c r="FK44" s="8" t="str">
        <f ca="1">OFFSET(Database!$F44,0,COLUMN(Database!FH44)*2-12)</f>
        <v>n.r.</v>
      </c>
      <c r="FL44" s="8" t="str">
        <f ca="1">OFFSET(Database!$F44,0,COLUMN(Database!FI44)*2-12)</f>
        <v>n.r.</v>
      </c>
      <c r="FM44" s="8" t="str">
        <f ca="1">OFFSET(Database!$F44,0,COLUMN(Database!FJ44)*2-12)</f>
        <v>n.r.</v>
      </c>
      <c r="FN44" s="8" t="str">
        <f ca="1">OFFSET(Database!$F44,0,COLUMN(Database!FK44)*2-12)</f>
        <v>n.r.</v>
      </c>
      <c r="FO44" s="8" t="str">
        <f ca="1">OFFSET(Database!$F44,0,COLUMN(Database!FL44)*2-12)</f>
        <v>n.r.</v>
      </c>
      <c r="FP44" s="8" t="str">
        <f ca="1">OFFSET(Database!$F44,0,COLUMN(Database!FM44)*2-12)</f>
        <v>n.r.</v>
      </c>
      <c r="FQ44" s="8" t="str">
        <f ca="1">OFFSET(Database!$F44,0,COLUMN(Database!FN44)*2-12)</f>
        <v>n.r.</v>
      </c>
      <c r="FR44" s="8" t="str">
        <f ca="1">OFFSET(Database!$F44,0,COLUMN(Database!FO44)*2-12)</f>
        <v>n.r.</v>
      </c>
      <c r="FS44" s="8" t="str">
        <f ca="1">OFFSET(Database!$F44,0,COLUMN(Database!FP44)*2-12)</f>
        <v>n.r.</v>
      </c>
      <c r="FT44" s="8" t="str">
        <f ca="1">OFFSET(Database!$F44,0,COLUMN(Database!FQ44)*2-12)</f>
        <v>n.r.</v>
      </c>
      <c r="FU44" s="8" t="str">
        <f ca="1">OFFSET(Database!$F44,0,COLUMN(Database!FR44)*2-12)</f>
        <v>n.r.</v>
      </c>
      <c r="FV44" s="8" t="str">
        <f ca="1">OFFSET(Database!$F44,0,COLUMN(Database!FS44)*2-12)</f>
        <v>n.r.</v>
      </c>
      <c r="FW44" s="8" t="str">
        <f ca="1">OFFSET(Database!$F44,0,COLUMN(Database!FT44)*2-12)</f>
        <v>n.r.</v>
      </c>
      <c r="FX44" s="8" t="str">
        <f ca="1">OFFSET(Database!$F44,0,COLUMN(Database!FU44)*2-12)</f>
        <v>n.r.</v>
      </c>
      <c r="FY44" s="8" t="str">
        <f ca="1">OFFSET(Database!$F44,0,COLUMN(Database!FV44)*2-12)</f>
        <v>n.r.</v>
      </c>
      <c r="FZ44" s="8" t="str">
        <f ca="1">OFFSET(Database!$F44,0,COLUMN(Database!FW44)*2-12)</f>
        <v>n.r.</v>
      </c>
      <c r="GA44" s="8" t="str">
        <f ca="1">OFFSET(Database!$F44,0,COLUMN(Database!FX44)*2-12)</f>
        <v>n.r.</v>
      </c>
      <c r="GB44" s="8" t="str">
        <f ca="1">OFFSET(Database!$F44,0,COLUMN(Database!FY44)*2-12)</f>
        <v>n.r.</v>
      </c>
      <c r="GC44" s="8" t="str">
        <f ca="1">OFFSET(Database!$F44,0,COLUMN(Database!FZ44)*2-12)</f>
        <v>n.r.</v>
      </c>
      <c r="GD44" s="8" t="str">
        <f ca="1">OFFSET(Database!$F44,0,COLUMN(Database!GA44)*2-12)</f>
        <v>n.r.</v>
      </c>
      <c r="GE44" s="8" t="str">
        <f ca="1">OFFSET(Database!$F44,0,COLUMN(Database!GB44)*2-12)</f>
        <v>n.r.</v>
      </c>
      <c r="GF44" s="8" t="str">
        <f ca="1">OFFSET(Database!$F44,0,COLUMN(Database!GC44)*2-12)</f>
        <v>n.r.</v>
      </c>
      <c r="GG44" s="8" t="str">
        <f ca="1">OFFSET(Database!$F44,0,COLUMN(Database!GD44)*2-12)</f>
        <v>n.r.</v>
      </c>
      <c r="GH44" s="8" t="str">
        <f ca="1">OFFSET(Database!$F44,0,COLUMN(Database!GE44)*2-12)</f>
        <v>n.r.</v>
      </c>
      <c r="GI44" s="8" t="str">
        <f ca="1">OFFSET(Database!$F44,0,COLUMN(Database!GF44)*2-12)</f>
        <v>n.r.</v>
      </c>
      <c r="GJ44" s="8" t="str">
        <f ca="1">OFFSET(Database!$F44,0,COLUMN(Database!GG44)*2-12)</f>
        <v>n.r.</v>
      </c>
      <c r="GK44" s="8" t="str">
        <f ca="1">OFFSET(Database!$F44,0,COLUMN(Database!GH44)*2-12)</f>
        <v>n.r.</v>
      </c>
      <c r="GL44" s="8" t="str">
        <f ca="1">OFFSET(Database!$F44,0,COLUMN(Database!GI44)*2-12)</f>
        <v>n.r.</v>
      </c>
      <c r="GM44" s="8" t="str">
        <f ca="1">OFFSET(Database!$F44,0,COLUMN(Database!GJ44)*2-12)</f>
        <v>n.r.</v>
      </c>
      <c r="GN44" s="8" t="str">
        <f ca="1">OFFSET(Database!$F44,0,COLUMN(Database!GK44)*2-12)</f>
        <v>n.r.</v>
      </c>
      <c r="GO44" s="8" t="str">
        <f ca="1">OFFSET(Database!$F44,0,COLUMN(Database!GL44)*2-12)</f>
        <v>n.d.</v>
      </c>
      <c r="GP44" s="8">
        <f ca="1">OFFSET(Database!$F44,0,COLUMN(Database!GM44)*2-12)</f>
        <v>167.89791806581599</v>
      </c>
    </row>
    <row r="45" spans="1:198" x14ac:dyDescent="0.2">
      <c r="A45" s="50" t="str">
        <f>Database!A45</f>
        <v>3-Amino-2-(hydroxy-methyl) propanoic acid</v>
      </c>
      <c r="B45" s="32" t="s">
        <v>1017</v>
      </c>
      <c r="C45" s="4" t="str">
        <f>Database!B45</f>
        <v>β</v>
      </c>
      <c r="D45" s="4" t="str">
        <f>Database!C45</f>
        <v>Both</v>
      </c>
      <c r="E45" s="74">
        <f>Database!D45</f>
        <v>3</v>
      </c>
      <c r="F45" s="32" t="s">
        <v>938</v>
      </c>
      <c r="G45" s="1">
        <v>23644509</v>
      </c>
      <c r="H45" s="1">
        <f>Database!E45</f>
        <v>119.12</v>
      </c>
      <c r="I45" s="8" t="str">
        <f ca="1">OFFSET(Database!$F45,0,COLUMN(Database!F45)*2-12)</f>
        <v>n.r.</v>
      </c>
      <c r="J45" s="8" t="str">
        <f ca="1">OFFSET(Database!$F45,0,COLUMN(Database!G45)*2-12)</f>
        <v>n.r.</v>
      </c>
      <c r="K45" s="8" t="str">
        <f ca="1">OFFSET(Database!$F45,0,COLUMN(Database!H45)*2-12)</f>
        <v>n.r.</v>
      </c>
      <c r="L45" s="8" t="str">
        <f ca="1">OFFSET(Database!$F45,0,COLUMN(Database!I45)*2-12)</f>
        <v>n.r.</v>
      </c>
      <c r="M45" s="8" t="str">
        <f ca="1">OFFSET(Database!$F45,0,COLUMN(Database!J45)*2-12)</f>
        <v>n.r.</v>
      </c>
      <c r="N45" s="8" t="str">
        <f ca="1">OFFSET(Database!$F45,0,COLUMN(Database!K45)*2-12)</f>
        <v>n.r.</v>
      </c>
      <c r="O45" s="8" t="str">
        <f ca="1">OFFSET(Database!$F45,0,COLUMN(Database!L45)*2-12)</f>
        <v>n.r.</v>
      </c>
      <c r="P45" s="8" t="str">
        <f ca="1">OFFSET(Database!$F45,0,COLUMN(Database!M45)*2-12)</f>
        <v>n.r.</v>
      </c>
      <c r="Q45" s="8" t="str">
        <f ca="1">OFFSET(Database!$F45,0,COLUMN(Database!N45)*2-12)</f>
        <v>n.r.</v>
      </c>
      <c r="R45" s="8" t="str">
        <f ca="1">OFFSET(Database!$F45,0,COLUMN(Database!O45)*2-12)</f>
        <v>n.r.</v>
      </c>
      <c r="S45" s="8" t="str">
        <f ca="1">OFFSET(Database!$F45,0,COLUMN(Database!P45)*2-12)</f>
        <v>n.r.</v>
      </c>
      <c r="T45" s="8" t="str">
        <f ca="1">OFFSET(Database!$F45,0,COLUMN(Database!Q45)*2-12)</f>
        <v>n.r.</v>
      </c>
      <c r="U45" s="8" t="str">
        <f ca="1">OFFSET(Database!$F45,0,COLUMN(Database!R45)*2-12)</f>
        <v>n.r.</v>
      </c>
      <c r="V45" s="8" t="str">
        <f ca="1">OFFSET(Database!$F45,0,COLUMN(Database!S45)*2-12)</f>
        <v>n.r.</v>
      </c>
      <c r="W45" s="8" t="str">
        <f ca="1">OFFSET(Database!$F45,0,COLUMN(Database!T45)*2-12)</f>
        <v>n.r.</v>
      </c>
      <c r="X45" s="8" t="str">
        <f ca="1">OFFSET(Database!$F45,0,COLUMN(Database!U45)*2-12)</f>
        <v>n.r.</v>
      </c>
      <c r="Y45" s="8" t="str">
        <f ca="1">OFFSET(Database!$F45,0,COLUMN(Database!V45)*2-12)</f>
        <v>n.r.</v>
      </c>
      <c r="Z45" s="8" t="str">
        <f ca="1">OFFSET(Database!$F45,0,COLUMN(Database!W45)*2-12)</f>
        <v>n.r.</v>
      </c>
      <c r="AA45" s="8" t="str">
        <f ca="1">OFFSET(Database!$F45,0,COLUMN(Database!X45)*2-12)</f>
        <v>n.r.</v>
      </c>
      <c r="AB45" s="8">
        <f ca="1">OFFSET(Database!$F45,0,COLUMN(Database!Y45)*2-12)</f>
        <v>0.27703156480859636</v>
      </c>
      <c r="AC45" s="8" t="str">
        <f ca="1">OFFSET(Database!$F45,0,COLUMN(Database!Z45)*2-12)</f>
        <v>n.r.</v>
      </c>
      <c r="AD45" s="8" t="str">
        <f ca="1">OFFSET(Database!$F45,0,COLUMN(Database!AA45)*2-12)</f>
        <v>n.r.</v>
      </c>
      <c r="AE45" s="8" t="str">
        <f ca="1">OFFSET(Database!$F45,0,COLUMN(Database!AB45)*2-12)</f>
        <v>n.r.</v>
      </c>
      <c r="AF45" s="8" t="str">
        <f ca="1">OFFSET(Database!$F45,0,COLUMN(Database!AC45)*2-12)</f>
        <v>n.r.</v>
      </c>
      <c r="AG45" s="8" t="str">
        <f ca="1">OFFSET(Database!$F45,0,COLUMN(Database!AD45)*2-12)</f>
        <v>n.r.</v>
      </c>
      <c r="AH45" s="8" t="str">
        <f ca="1">OFFSET(Database!$F45,0,COLUMN(Database!AE45)*2-12)</f>
        <v>n.r.</v>
      </c>
      <c r="AI45" s="8" t="str">
        <f ca="1">OFFSET(Database!$F45,0,COLUMN(Database!AF45)*2-12)</f>
        <v>n.r.</v>
      </c>
      <c r="AJ45" s="8" t="str">
        <f ca="1">OFFSET(Database!$F45,0,COLUMN(Database!AG45)*2-12)</f>
        <v>n.r.</v>
      </c>
      <c r="AK45" s="8" t="str">
        <f ca="1">OFFSET(Database!$F45,0,COLUMN(Database!AH45)*2-12)</f>
        <v>n.r.</v>
      </c>
      <c r="AL45" s="8" t="str">
        <f ca="1">OFFSET(Database!$F45,0,COLUMN(Database!AI45)*2-12)</f>
        <v>n.r.</v>
      </c>
      <c r="AM45" s="8" t="str">
        <f ca="1">OFFSET(Database!$F45,0,COLUMN(Database!AJ45)*2-12)</f>
        <v>n.r.</v>
      </c>
      <c r="AN45" s="8" t="str">
        <f ca="1">OFFSET(Database!$F45,0,COLUMN(Database!AK45)*2-12)</f>
        <v>n.r.</v>
      </c>
      <c r="AO45" s="8" t="str">
        <f ca="1">OFFSET(Database!$F45,0,COLUMN(Database!AL45)*2-12)</f>
        <v>n.r.</v>
      </c>
      <c r="AP45" s="8" t="str">
        <f ca="1">OFFSET(Database!$F45,0,COLUMN(Database!AM45)*2-12)</f>
        <v>n.r.</v>
      </c>
      <c r="AQ45" s="8" t="str">
        <f ca="1">OFFSET(Database!$F45,0,COLUMN(Database!AN45)*2-12)</f>
        <v>n.r.</v>
      </c>
      <c r="AR45" s="8" t="str">
        <f ca="1">OFFSET(Database!$F45,0,COLUMN(Database!AO45)*2-12)</f>
        <v>n.r.</v>
      </c>
      <c r="AS45" s="8" t="str">
        <f ca="1">OFFSET(Database!$F45,0,COLUMN(Database!AP45)*2-12)</f>
        <v>n.r.</v>
      </c>
      <c r="AT45" s="8" t="str">
        <f ca="1">OFFSET(Database!$F45,0,COLUMN(Database!AQ45)*2-12)</f>
        <v>n.r.</v>
      </c>
      <c r="AU45" s="8" t="str">
        <f ca="1">OFFSET(Database!$F45,0,COLUMN(Database!AR45)*2-12)</f>
        <v>n.r.</v>
      </c>
      <c r="AV45" s="8" t="str">
        <f ca="1">OFFSET(Database!$F45,0,COLUMN(Database!AS45)*2-12)</f>
        <v>n.r.</v>
      </c>
      <c r="AW45" s="8" t="str">
        <f ca="1">OFFSET(Database!$F45,0,COLUMN(Database!AT45)*2-12)</f>
        <v>n.r.</v>
      </c>
      <c r="AX45" s="8" t="str">
        <f ca="1">OFFSET(Database!$F45,0,COLUMN(Database!AU45)*2-12)</f>
        <v>n.r.</v>
      </c>
      <c r="AY45" s="8" t="str">
        <f ca="1">OFFSET(Database!$F45,0,COLUMN(Database!AV45)*2-12)</f>
        <v>n.r.</v>
      </c>
      <c r="AZ45" s="8" t="str">
        <f ca="1">OFFSET(Database!$F45,0,COLUMN(Database!AW45)*2-12)</f>
        <v>n.r.</v>
      </c>
      <c r="BA45" s="8" t="str">
        <f ca="1">OFFSET(Database!$F45,0,COLUMN(Database!AX45)*2-12)</f>
        <v>n.r.</v>
      </c>
      <c r="BB45" s="8" t="str">
        <f ca="1">OFFSET(Database!$F45,0,COLUMN(Database!AY45)*2-12)</f>
        <v>n.r.</v>
      </c>
      <c r="BC45" s="8" t="str">
        <f ca="1">OFFSET(Database!$F45,0,COLUMN(Database!AZ45)*2-12)</f>
        <v>n.r.</v>
      </c>
      <c r="BD45" s="8" t="str">
        <f ca="1">OFFSET(Database!$F45,0,COLUMN(Database!BA45)*2-12)</f>
        <v>n.r.</v>
      </c>
      <c r="BE45" s="8" t="str">
        <f ca="1">OFFSET(Database!$F45,0,COLUMN(Database!BB45)*2-12)</f>
        <v>n.r.</v>
      </c>
      <c r="BF45" s="8" t="str">
        <f ca="1">OFFSET(Database!$F45,0,COLUMN(Database!BC45)*2-12)</f>
        <v>n.r.</v>
      </c>
      <c r="BG45" s="8" t="str">
        <f ca="1">OFFSET(Database!$F45,0,COLUMN(Database!BD45)*2-12)</f>
        <v>n.r.</v>
      </c>
      <c r="BH45" s="8" t="str">
        <f ca="1">OFFSET(Database!$F45,0,COLUMN(Database!BE45)*2-12)</f>
        <v>n.r.</v>
      </c>
      <c r="BI45" s="8" t="str">
        <f ca="1">OFFSET(Database!$F45,0,COLUMN(Database!BF45)*2-12)</f>
        <v>n.r.</v>
      </c>
      <c r="BJ45" s="8" t="str">
        <f ca="1">OFFSET(Database!$F45,0,COLUMN(Database!BG45)*2-12)</f>
        <v>n.r.</v>
      </c>
      <c r="BK45" s="8" t="str">
        <f ca="1">OFFSET(Database!$F45,0,COLUMN(Database!BH45)*2-12)</f>
        <v>n.r.</v>
      </c>
      <c r="BL45" s="8" t="str">
        <f ca="1">OFFSET(Database!$F45,0,COLUMN(Database!BI45)*2-12)</f>
        <v>n.r.</v>
      </c>
      <c r="BM45" s="8" t="str">
        <f ca="1">OFFSET(Database!$F45,0,COLUMN(Database!BJ45)*2-12)</f>
        <v>n.r.</v>
      </c>
      <c r="BN45" s="8" t="str">
        <f ca="1">OFFSET(Database!$F45,0,COLUMN(Database!BK45)*2-12)</f>
        <v>n.r.</v>
      </c>
      <c r="BO45" s="8" t="str">
        <f ca="1">OFFSET(Database!$F45,0,COLUMN(Database!BL45)*2-12)</f>
        <v>n.r.</v>
      </c>
      <c r="BP45" s="8" t="str">
        <f ca="1">OFFSET(Database!$F45,0,COLUMN(Database!BM45)*2-12)</f>
        <v>n.r.</v>
      </c>
      <c r="BQ45" s="8" t="str">
        <f ca="1">OFFSET(Database!$F45,0,COLUMN(Database!BN45)*2-12)</f>
        <v>n.r.</v>
      </c>
      <c r="BR45" s="8" t="str">
        <f ca="1">OFFSET(Database!$F45,0,COLUMN(Database!BO45)*2-12)</f>
        <v>n.r.</v>
      </c>
      <c r="BS45" s="8" t="str">
        <f ca="1">OFFSET(Database!$F45,0,COLUMN(Database!BP45)*2-12)</f>
        <v>n.r.</v>
      </c>
      <c r="BT45" s="8" t="str">
        <f ca="1">OFFSET(Database!$F45,0,COLUMN(Database!BQ45)*2-12)</f>
        <v>n.r.</v>
      </c>
      <c r="BU45" s="8" t="str">
        <f ca="1">OFFSET(Database!$F45,0,COLUMN(Database!BR45)*2-12)</f>
        <v>n.r.</v>
      </c>
      <c r="BV45" s="8" t="str">
        <f ca="1">OFFSET(Database!$F45,0,COLUMN(Database!BS45)*2-12)</f>
        <v>n.r.</v>
      </c>
      <c r="BW45" s="8" t="str">
        <f ca="1">OFFSET(Database!$F45,0,COLUMN(Database!BT45)*2-12)</f>
        <v>n.r.</v>
      </c>
      <c r="BX45" s="8" t="str">
        <f ca="1">OFFSET(Database!$F45,0,COLUMN(Database!BU45)*2-12)</f>
        <v>n.r.</v>
      </c>
      <c r="BY45" s="8" t="str">
        <f ca="1">OFFSET(Database!$F45,0,COLUMN(Database!BV45)*2-12)</f>
        <v>n.r.</v>
      </c>
      <c r="BZ45" s="8" t="str">
        <f ca="1">OFFSET(Database!$F45,0,COLUMN(Database!BW45)*2-12)</f>
        <v>n.r.</v>
      </c>
      <c r="CA45" s="8" t="str">
        <f ca="1">OFFSET(Database!$F45,0,COLUMN(Database!BX45)*2-12)</f>
        <v>n.r.</v>
      </c>
      <c r="CB45" s="8" t="str">
        <f ca="1">OFFSET(Database!$F45,0,COLUMN(Database!BY45)*2-12)</f>
        <v>n.r.</v>
      </c>
      <c r="CC45" s="8" t="str">
        <f ca="1">OFFSET(Database!$F45,0,COLUMN(Database!BZ45)*2-12)</f>
        <v>n.r.</v>
      </c>
      <c r="CD45" s="8" t="str">
        <f ca="1">OFFSET(Database!$F45,0,COLUMN(Database!CA45)*2-12)</f>
        <v>n.r.</v>
      </c>
      <c r="CE45" s="8" t="str">
        <f ca="1">OFFSET(Database!$F45,0,COLUMN(Database!CB45)*2-12)</f>
        <v>n.r.</v>
      </c>
      <c r="CF45" s="8" t="str">
        <f ca="1">OFFSET(Database!$F45,0,COLUMN(Database!CC45)*2-12)</f>
        <v>n.r.</v>
      </c>
      <c r="CG45" s="8" t="str">
        <f ca="1">OFFSET(Database!$F45,0,COLUMN(Database!CD45)*2-12)</f>
        <v>n.r.</v>
      </c>
      <c r="CH45" s="8" t="str">
        <f ca="1">OFFSET(Database!$F45,0,COLUMN(Database!CE45)*2-12)</f>
        <v>n.r.</v>
      </c>
      <c r="CI45" s="8" t="str">
        <f ca="1">OFFSET(Database!$F45,0,COLUMN(Database!CF45)*2-12)</f>
        <v>n.r.</v>
      </c>
      <c r="CJ45" s="8" t="str">
        <f ca="1">OFFSET(Database!$F45,0,COLUMN(Database!CG45)*2-12)</f>
        <v>n.r.</v>
      </c>
      <c r="CK45" s="8" t="str">
        <f ca="1">OFFSET(Database!$F45,0,COLUMN(Database!CH45)*2-12)</f>
        <v>n.r.</v>
      </c>
      <c r="CL45" s="8" t="str">
        <f ca="1">OFFSET(Database!$F45,0,COLUMN(Database!CI45)*2-12)</f>
        <v>n.r.</v>
      </c>
      <c r="CM45" s="8" t="str">
        <f ca="1">OFFSET(Database!$F45,0,COLUMN(Database!CJ45)*2-12)</f>
        <v>n.r.</v>
      </c>
      <c r="CN45" s="8" t="str">
        <f ca="1">OFFSET(Database!$F45,0,COLUMN(Database!CK45)*2-12)</f>
        <v>n.r.</v>
      </c>
      <c r="CO45" s="8" t="str">
        <f ca="1">OFFSET(Database!$F45,0,COLUMN(Database!CL45)*2-12)</f>
        <v>n.r.</v>
      </c>
      <c r="CP45" s="8" t="str">
        <f ca="1">OFFSET(Database!$F45,0,COLUMN(Database!CM45)*2-12)</f>
        <v>n.r.</v>
      </c>
      <c r="CQ45" s="8" t="str">
        <f ca="1">OFFSET(Database!$F45,0,COLUMN(Database!CN45)*2-12)</f>
        <v>n.r.</v>
      </c>
      <c r="CR45" s="8" t="str">
        <f ca="1">OFFSET(Database!$F45,0,COLUMN(Database!CO45)*2-12)</f>
        <v>n.r.</v>
      </c>
      <c r="CS45" s="8" t="str">
        <f ca="1">OFFSET(Database!$F45,0,COLUMN(Database!CP45)*2-12)</f>
        <v>n.r.</v>
      </c>
      <c r="CT45" s="8" t="str">
        <f ca="1">OFFSET(Database!$F45,0,COLUMN(Database!CQ45)*2-12)</f>
        <v>n.r.</v>
      </c>
      <c r="CU45" s="8" t="str">
        <f ca="1">OFFSET(Database!$F45,0,COLUMN(Database!CR45)*2-12)</f>
        <v>n.r.</v>
      </c>
      <c r="CV45" s="8" t="str">
        <f ca="1">OFFSET(Database!$F45,0,COLUMN(Database!CS45)*2-12)</f>
        <v>n.r.</v>
      </c>
      <c r="CW45" s="8" t="str">
        <f ca="1">OFFSET(Database!$F45,0,COLUMN(Database!CT45)*2-12)</f>
        <v>n.r.</v>
      </c>
      <c r="CX45" s="8" t="str">
        <f ca="1">OFFSET(Database!$F45,0,COLUMN(Database!CU45)*2-12)</f>
        <v>n.r.</v>
      </c>
      <c r="CY45" s="8" t="str">
        <f ca="1">OFFSET(Database!$F45,0,COLUMN(Database!CV45)*2-12)</f>
        <v>n.r.</v>
      </c>
      <c r="CZ45" s="8" t="str">
        <f ca="1">OFFSET(Database!$F45,0,COLUMN(Database!CW45)*2-12)</f>
        <v>n.r.</v>
      </c>
      <c r="DA45" s="8" t="str">
        <f ca="1">OFFSET(Database!$F45,0,COLUMN(Database!CX45)*2-12)</f>
        <v>n.r.</v>
      </c>
      <c r="DB45" s="8" t="str">
        <f ca="1">OFFSET(Database!$F45,0,COLUMN(Database!CY45)*2-12)</f>
        <v>n.r.</v>
      </c>
      <c r="DC45" s="8" t="str">
        <f ca="1">OFFSET(Database!$F45,0,COLUMN(Database!CZ45)*2-12)</f>
        <v>n.r.</v>
      </c>
      <c r="DD45" s="8" t="str">
        <f ca="1">OFFSET(Database!$F45,0,COLUMN(Database!DA45)*2-12)</f>
        <v>n.r.</v>
      </c>
      <c r="DE45" s="8" t="str">
        <f ca="1">OFFSET(Database!$F45,0,COLUMN(Database!DB45)*2-12)</f>
        <v>n.r.</v>
      </c>
      <c r="DF45" s="8" t="str">
        <f ca="1">OFFSET(Database!$F45,0,COLUMN(Database!DC45)*2-12)</f>
        <v>n.r.</v>
      </c>
      <c r="DG45" s="8" t="str">
        <f ca="1">OFFSET(Database!$F45,0,COLUMN(Database!DD45)*2-12)</f>
        <v>n.r.</v>
      </c>
      <c r="DH45" s="8" t="str">
        <f ca="1">OFFSET(Database!$F45,0,COLUMN(Database!DE45)*2-12)</f>
        <v>n.r.</v>
      </c>
      <c r="DI45" s="8" t="str">
        <f ca="1">OFFSET(Database!$F45,0,COLUMN(Database!DF45)*2-12)</f>
        <v>n.r.</v>
      </c>
      <c r="DJ45" s="8" t="str">
        <f ca="1">OFFSET(Database!$F45,0,COLUMN(Database!DG45)*2-12)</f>
        <v>n.r.</v>
      </c>
      <c r="DK45" s="8" t="str">
        <f ca="1">OFFSET(Database!$F45,0,COLUMN(Database!DH45)*2-12)</f>
        <v>n.r.</v>
      </c>
      <c r="DL45" s="8" t="str">
        <f ca="1">OFFSET(Database!$F45,0,COLUMN(Database!DI45)*2-12)</f>
        <v>n.r.</v>
      </c>
      <c r="DM45" s="8" t="str">
        <f ca="1">OFFSET(Database!$F45,0,COLUMN(Database!DJ45)*2-12)</f>
        <v>n.r.</v>
      </c>
      <c r="DN45" s="8" t="str">
        <f ca="1">OFFSET(Database!$F45,0,COLUMN(Database!DK45)*2-12)</f>
        <v>n.r.</v>
      </c>
      <c r="DO45" s="8" t="str">
        <f ca="1">OFFSET(Database!$F45,0,COLUMN(Database!DL45)*2-12)</f>
        <v>n.r.</v>
      </c>
      <c r="DP45" s="8" t="str">
        <f ca="1">OFFSET(Database!$F45,0,COLUMN(Database!DM45)*2-12)</f>
        <v>n.r.</v>
      </c>
      <c r="DQ45" s="8" t="str">
        <f ca="1">OFFSET(Database!$F45,0,COLUMN(Database!DN45)*2-12)</f>
        <v>n.r.</v>
      </c>
      <c r="DR45" s="8" t="str">
        <f ca="1">OFFSET(Database!$F45,0,COLUMN(Database!DO45)*2-12)</f>
        <v>n.r.</v>
      </c>
      <c r="DS45" s="8" t="str">
        <f ca="1">OFFSET(Database!$F45,0,COLUMN(Database!DP45)*2-12)</f>
        <v>n.r.</v>
      </c>
      <c r="DT45" s="8" t="str">
        <f ca="1">OFFSET(Database!$F45,0,COLUMN(Database!DQ45)*2-12)</f>
        <v>n.r.</v>
      </c>
      <c r="DU45" s="8" t="str">
        <f ca="1">OFFSET(Database!$F45,0,COLUMN(Database!DR45)*2-12)</f>
        <v>n.r.</v>
      </c>
      <c r="DV45" s="8" t="str">
        <f ca="1">OFFSET(Database!$F45,0,COLUMN(Database!DS45)*2-12)</f>
        <v>n.r.</v>
      </c>
      <c r="DW45" s="8" t="str">
        <f ca="1">OFFSET(Database!$F45,0,COLUMN(Database!DT45)*2-12)</f>
        <v>n.r.</v>
      </c>
      <c r="DX45" s="8" t="str">
        <f ca="1">OFFSET(Database!$F45,0,COLUMN(Database!DU45)*2-12)</f>
        <v>n.r.</v>
      </c>
      <c r="DY45" s="8" t="str">
        <f ca="1">OFFSET(Database!$F45,0,COLUMN(Database!DV45)*2-12)</f>
        <v>n.r.</v>
      </c>
      <c r="DZ45" s="8" t="str">
        <f ca="1">OFFSET(Database!$F45,0,COLUMN(Database!DW45)*2-12)</f>
        <v>n.r.</v>
      </c>
      <c r="EA45" s="8" t="str">
        <f ca="1">OFFSET(Database!$F45,0,COLUMN(Database!DX45)*2-12)</f>
        <v>n.r.</v>
      </c>
      <c r="EB45" s="8" t="str">
        <f ca="1">OFFSET(Database!$F45,0,COLUMN(Database!DY45)*2-12)</f>
        <v>n.r.</v>
      </c>
      <c r="EC45" s="8" t="str">
        <f ca="1">OFFSET(Database!$F45,0,COLUMN(Database!DZ45)*2-12)</f>
        <v>n.r.</v>
      </c>
      <c r="ED45" s="8" t="str">
        <f ca="1">OFFSET(Database!$F45,0,COLUMN(Database!EA45)*2-12)</f>
        <v>n.r.</v>
      </c>
      <c r="EE45" s="8" t="str">
        <f ca="1">OFFSET(Database!$F45,0,COLUMN(Database!EB45)*2-12)</f>
        <v>n.r.</v>
      </c>
      <c r="EF45" s="8" t="str">
        <f ca="1">OFFSET(Database!$F45,0,COLUMN(Database!EC45)*2-12)</f>
        <v>n.r.</v>
      </c>
      <c r="EG45" s="8" t="str">
        <f ca="1">OFFSET(Database!$F45,0,COLUMN(Database!ED45)*2-12)</f>
        <v>n.r.</v>
      </c>
      <c r="EH45" s="8" t="str">
        <f ca="1">OFFSET(Database!$F45,0,COLUMN(Database!EE45)*2-12)</f>
        <v>n.r.</v>
      </c>
      <c r="EI45" s="8" t="str">
        <f ca="1">OFFSET(Database!$F45,0,COLUMN(Database!EF45)*2-12)</f>
        <v>n.r.</v>
      </c>
      <c r="EJ45" s="8" t="str">
        <f ca="1">OFFSET(Database!$F45,0,COLUMN(Database!EG45)*2-12)</f>
        <v>n.r.</v>
      </c>
      <c r="EK45" s="8" t="str">
        <f ca="1">OFFSET(Database!$F45,0,COLUMN(Database!EH45)*2-12)</f>
        <v>n.r.</v>
      </c>
      <c r="EL45" s="8" t="str">
        <f ca="1">OFFSET(Database!$F45,0,COLUMN(Database!EI45)*2-12)</f>
        <v>n.r.</v>
      </c>
      <c r="EM45" s="8" t="str">
        <f ca="1">OFFSET(Database!$F45,0,COLUMN(Database!EJ45)*2-12)</f>
        <v>n.r.</v>
      </c>
      <c r="EN45" s="8" t="str">
        <f ca="1">OFFSET(Database!$F45,0,COLUMN(Database!EK45)*2-12)</f>
        <v>n.r.</v>
      </c>
      <c r="EO45" s="8" t="str">
        <f ca="1">OFFSET(Database!$F45,0,COLUMN(Database!EL45)*2-12)</f>
        <v>n.r.</v>
      </c>
      <c r="EP45" s="8" t="str">
        <f ca="1">OFFSET(Database!$F45,0,COLUMN(Database!EM45)*2-12)</f>
        <v>n.r.</v>
      </c>
      <c r="EQ45" s="8" t="str">
        <f ca="1">OFFSET(Database!$F45,0,COLUMN(Database!EN45)*2-12)</f>
        <v>n.r.</v>
      </c>
      <c r="ER45" s="8" t="str">
        <f ca="1">OFFSET(Database!$F45,0,COLUMN(Database!EO45)*2-12)</f>
        <v>n.r.</v>
      </c>
      <c r="ES45" s="8" t="str">
        <f ca="1">OFFSET(Database!$F45,0,COLUMN(Database!EP45)*2-12)</f>
        <v>n.r.</v>
      </c>
      <c r="ET45" s="8" t="str">
        <f ca="1">OFFSET(Database!$F45,0,COLUMN(Database!EQ45)*2-12)</f>
        <v>n.r.</v>
      </c>
      <c r="EU45" s="8" t="str">
        <f ca="1">OFFSET(Database!$F45,0,COLUMN(Database!ER45)*2-12)</f>
        <v>n.r.</v>
      </c>
      <c r="EV45" s="8" t="str">
        <f ca="1">OFFSET(Database!$F45,0,COLUMN(Database!ES45)*2-12)</f>
        <v>n.r.</v>
      </c>
      <c r="EW45" s="8" t="str">
        <f ca="1">OFFSET(Database!$F45,0,COLUMN(Database!ET45)*2-12)</f>
        <v>n.r.</v>
      </c>
      <c r="EX45" s="8" t="str">
        <f ca="1">OFFSET(Database!$F45,0,COLUMN(Database!EU45)*2-12)</f>
        <v>n.r.</v>
      </c>
      <c r="EY45" s="8" t="str">
        <f ca="1">OFFSET(Database!$F45,0,COLUMN(Database!EV45)*2-12)</f>
        <v>n.r.</v>
      </c>
      <c r="EZ45" s="8" t="str">
        <f ca="1">OFFSET(Database!$F45,0,COLUMN(Database!EW45)*2-12)</f>
        <v>n.r.</v>
      </c>
      <c r="FA45" s="8" t="str">
        <f ca="1">OFFSET(Database!$F45,0,COLUMN(Database!EX45)*2-12)</f>
        <v>n.r.</v>
      </c>
      <c r="FB45" s="8" t="str">
        <f ca="1">OFFSET(Database!$F45,0,COLUMN(Database!EY45)*2-12)</f>
        <v>n.r.</v>
      </c>
      <c r="FC45" s="8" t="str">
        <f ca="1">OFFSET(Database!$F45,0,COLUMN(Database!EZ45)*2-12)</f>
        <v>n.r.</v>
      </c>
      <c r="FD45" s="8" t="str">
        <f ca="1">OFFSET(Database!$F45,0,COLUMN(Database!FA45)*2-12)</f>
        <v>n.r.</v>
      </c>
      <c r="FE45" s="8" t="str">
        <f ca="1">OFFSET(Database!$F45,0,COLUMN(Database!FB45)*2-12)</f>
        <v>n.r.</v>
      </c>
      <c r="FF45" s="8" t="str">
        <f ca="1">OFFSET(Database!$F45,0,COLUMN(Database!FC45)*2-12)</f>
        <v>n.r.</v>
      </c>
      <c r="FG45" s="8" t="str">
        <f ca="1">OFFSET(Database!$F45,0,COLUMN(Database!FD45)*2-12)</f>
        <v>n.r.</v>
      </c>
      <c r="FH45" s="8" t="str">
        <f ca="1">OFFSET(Database!$F45,0,COLUMN(Database!FE45)*2-12)</f>
        <v>n.r.</v>
      </c>
      <c r="FI45" s="8" t="str">
        <f ca="1">OFFSET(Database!$F45,0,COLUMN(Database!FF45)*2-12)</f>
        <v>n.r.</v>
      </c>
      <c r="FJ45" s="8" t="str">
        <f ca="1">OFFSET(Database!$F45,0,COLUMN(Database!FG45)*2-12)</f>
        <v>n.r.</v>
      </c>
      <c r="FK45" s="8" t="str">
        <f ca="1">OFFSET(Database!$F45,0,COLUMN(Database!FH45)*2-12)</f>
        <v>n.r.</v>
      </c>
      <c r="FL45" s="8" t="str">
        <f ca="1">OFFSET(Database!$F45,0,COLUMN(Database!FI45)*2-12)</f>
        <v>n.r.</v>
      </c>
      <c r="FM45" s="8" t="str">
        <f ca="1">OFFSET(Database!$F45,0,COLUMN(Database!FJ45)*2-12)</f>
        <v>n.r.</v>
      </c>
      <c r="FN45" s="8" t="str">
        <f ca="1">OFFSET(Database!$F45,0,COLUMN(Database!FK45)*2-12)</f>
        <v>n.r.</v>
      </c>
      <c r="FO45" s="8" t="str">
        <f ca="1">OFFSET(Database!$F45,0,COLUMN(Database!FL45)*2-12)</f>
        <v>n.r.</v>
      </c>
      <c r="FP45" s="8" t="str">
        <f ca="1">OFFSET(Database!$F45,0,COLUMN(Database!FM45)*2-12)</f>
        <v>n.r.</v>
      </c>
      <c r="FQ45" s="8" t="str">
        <f ca="1">OFFSET(Database!$F45,0,COLUMN(Database!FN45)*2-12)</f>
        <v>n.r.</v>
      </c>
      <c r="FR45" s="8" t="str">
        <f ca="1">OFFSET(Database!$F45,0,COLUMN(Database!FO45)*2-12)</f>
        <v>n.r.</v>
      </c>
      <c r="FS45" s="8" t="str">
        <f ca="1">OFFSET(Database!$F45,0,COLUMN(Database!FP45)*2-12)</f>
        <v>n.r.</v>
      </c>
      <c r="FT45" s="8" t="str">
        <f ca="1">OFFSET(Database!$F45,0,COLUMN(Database!FQ45)*2-12)</f>
        <v>n.r.</v>
      </c>
      <c r="FU45" s="8" t="str">
        <f ca="1">OFFSET(Database!$F45,0,COLUMN(Database!FR45)*2-12)</f>
        <v>n.r.</v>
      </c>
      <c r="FV45" s="8" t="str">
        <f ca="1">OFFSET(Database!$F45,0,COLUMN(Database!FS45)*2-12)</f>
        <v>n.r.</v>
      </c>
      <c r="FW45" s="8" t="str">
        <f ca="1">OFFSET(Database!$F45,0,COLUMN(Database!FT45)*2-12)</f>
        <v>n.r.</v>
      </c>
      <c r="FX45" s="8" t="str">
        <f ca="1">OFFSET(Database!$F45,0,COLUMN(Database!FU45)*2-12)</f>
        <v>n.r.</v>
      </c>
      <c r="FY45" s="8" t="str">
        <f ca="1">OFFSET(Database!$F45,0,COLUMN(Database!FV45)*2-12)</f>
        <v>n.r.</v>
      </c>
      <c r="FZ45" s="8" t="str">
        <f ca="1">OFFSET(Database!$F45,0,COLUMN(Database!FW45)*2-12)</f>
        <v>n.r.</v>
      </c>
      <c r="GA45" s="8" t="str">
        <f ca="1">OFFSET(Database!$F45,0,COLUMN(Database!FX45)*2-12)</f>
        <v>n.r.</v>
      </c>
      <c r="GB45" s="8" t="str">
        <f ca="1">OFFSET(Database!$F45,0,COLUMN(Database!FY45)*2-12)</f>
        <v>n.r.</v>
      </c>
      <c r="GC45" s="8" t="str">
        <f ca="1">OFFSET(Database!$F45,0,COLUMN(Database!FZ45)*2-12)</f>
        <v>n.r.</v>
      </c>
      <c r="GD45" s="8" t="str">
        <f ca="1">OFFSET(Database!$F45,0,COLUMN(Database!GA45)*2-12)</f>
        <v>n.r.</v>
      </c>
      <c r="GE45" s="8" t="str">
        <f ca="1">OFFSET(Database!$F45,0,COLUMN(Database!GB45)*2-12)</f>
        <v>n.r.</v>
      </c>
      <c r="GF45" s="8" t="str">
        <f ca="1">OFFSET(Database!$F45,0,COLUMN(Database!GC45)*2-12)</f>
        <v>n.r.</v>
      </c>
      <c r="GG45" s="8" t="str">
        <f ca="1">OFFSET(Database!$F45,0,COLUMN(Database!GD45)*2-12)</f>
        <v>n.r.</v>
      </c>
      <c r="GH45" s="8" t="str">
        <f ca="1">OFFSET(Database!$F45,0,COLUMN(Database!GE45)*2-12)</f>
        <v>n.r.</v>
      </c>
      <c r="GI45" s="8" t="str">
        <f ca="1">OFFSET(Database!$F45,0,COLUMN(Database!GF45)*2-12)</f>
        <v>n.r.</v>
      </c>
      <c r="GJ45" s="8" t="str">
        <f ca="1">OFFSET(Database!$F45,0,COLUMN(Database!GG45)*2-12)</f>
        <v>n.r.</v>
      </c>
      <c r="GK45" s="8" t="str">
        <f ca="1">OFFSET(Database!$F45,0,COLUMN(Database!GH45)*2-12)</f>
        <v>n.r.</v>
      </c>
      <c r="GL45" s="8" t="str">
        <f ca="1">OFFSET(Database!$F45,0,COLUMN(Database!GI45)*2-12)</f>
        <v>n.r.</v>
      </c>
      <c r="GM45" s="8" t="str">
        <f ca="1">OFFSET(Database!$F45,0,COLUMN(Database!GJ45)*2-12)</f>
        <v>n.r.</v>
      </c>
      <c r="GN45" s="8" t="str">
        <f ca="1">OFFSET(Database!$F45,0,COLUMN(Database!GK45)*2-12)</f>
        <v>n.r.</v>
      </c>
      <c r="GO45" s="8">
        <f ca="1">OFFSET(Database!$F45,0,COLUMN(Database!GL45)*2-12)</f>
        <v>77.233042310275351</v>
      </c>
      <c r="GP45" s="8">
        <f ca="1">OFFSET(Database!$F45,0,COLUMN(Database!GM45)*2-12)</f>
        <v>957.01813297515105</v>
      </c>
    </row>
    <row r="46" spans="1:198" x14ac:dyDescent="0.2">
      <c r="A46" s="50" t="str">
        <f>Database!A46</f>
        <v>L-asparagine</v>
      </c>
      <c r="B46" s="1" t="s">
        <v>868</v>
      </c>
      <c r="C46" s="4" t="str">
        <f>Database!B46</f>
        <v>ɑ</v>
      </c>
      <c r="D46" s="4" t="str">
        <f>Database!C46</f>
        <v>L</v>
      </c>
      <c r="E46" s="74">
        <f>Database!D46</f>
        <v>3</v>
      </c>
      <c r="F46" s="1" t="s">
        <v>925</v>
      </c>
      <c r="G46" s="4">
        <v>6267</v>
      </c>
      <c r="H46" s="1">
        <f>Database!E46</f>
        <v>132.12</v>
      </c>
      <c r="I46" s="8" t="str">
        <f ca="1">OFFSET(Database!$F46,0,COLUMN(Database!F46)*2-12)</f>
        <v>n.r.</v>
      </c>
      <c r="J46" s="8" t="str">
        <f ca="1">OFFSET(Database!$F46,0,COLUMN(Database!G46)*2-12)</f>
        <v>n.r.</v>
      </c>
      <c r="K46" s="8" t="str">
        <f ca="1">OFFSET(Database!$F46,0,COLUMN(Database!H46)*2-12)</f>
        <v>n.r.</v>
      </c>
      <c r="L46" s="8" t="str">
        <f ca="1">OFFSET(Database!$F46,0,COLUMN(Database!I46)*2-12)</f>
        <v>n.r.</v>
      </c>
      <c r="M46" s="8" t="str">
        <f ca="1">OFFSET(Database!$F46,0,COLUMN(Database!J46)*2-12)</f>
        <v>n.r.</v>
      </c>
      <c r="N46" s="8" t="str">
        <f ca="1">OFFSET(Database!$F46,0,COLUMN(Database!K46)*2-12)</f>
        <v>n.r.</v>
      </c>
      <c r="O46" s="8" t="str">
        <f ca="1">OFFSET(Database!$F46,0,COLUMN(Database!L46)*2-12)</f>
        <v>n.r.</v>
      </c>
      <c r="P46" s="8" t="str">
        <f ca="1">OFFSET(Database!$F46,0,COLUMN(Database!M46)*2-12)</f>
        <v>n.r.</v>
      </c>
      <c r="Q46" s="8" t="str">
        <f ca="1">OFFSET(Database!$F46,0,COLUMN(Database!N46)*2-12)</f>
        <v>n.r.</v>
      </c>
      <c r="R46" s="8" t="str">
        <f ca="1">OFFSET(Database!$F46,0,COLUMN(Database!O46)*2-12)</f>
        <v>n.r.</v>
      </c>
      <c r="S46" s="8" t="str">
        <f ca="1">OFFSET(Database!$F46,0,COLUMN(Database!P46)*2-12)</f>
        <v>n.r.</v>
      </c>
      <c r="T46" s="8" t="str">
        <f ca="1">OFFSET(Database!$F46,0,COLUMN(Database!Q46)*2-12)</f>
        <v>n.r.</v>
      </c>
      <c r="U46" s="8" t="str">
        <f ca="1">OFFSET(Database!$F46,0,COLUMN(Database!R46)*2-12)</f>
        <v>n.r.</v>
      </c>
      <c r="V46" s="8" t="str">
        <f ca="1">OFFSET(Database!$F46,0,COLUMN(Database!S46)*2-12)</f>
        <v>n.r.</v>
      </c>
      <c r="W46" s="8" t="str">
        <f ca="1">OFFSET(Database!$F46,0,COLUMN(Database!T46)*2-12)</f>
        <v>n.r.</v>
      </c>
      <c r="X46" s="8" t="str">
        <f ca="1">OFFSET(Database!$F46,0,COLUMN(Database!U46)*2-12)</f>
        <v>n.r.</v>
      </c>
      <c r="Y46" s="8" t="str">
        <f ca="1">OFFSET(Database!$F46,0,COLUMN(Database!V46)*2-12)</f>
        <v>n.r.</v>
      </c>
      <c r="Z46" s="8" t="str">
        <f ca="1">OFFSET(Database!$F46,0,COLUMN(Database!W46)*2-12)</f>
        <v>n.r.</v>
      </c>
      <c r="AA46" s="8" t="str">
        <f ca="1">OFFSET(Database!$F46,0,COLUMN(Database!X46)*2-12)</f>
        <v>n.r.</v>
      </c>
      <c r="AB46" s="8" t="str">
        <f ca="1">OFFSET(Database!$F46,0,COLUMN(Database!Y46)*2-12)</f>
        <v>n.r.</v>
      </c>
      <c r="AC46" s="8" t="str">
        <f ca="1">OFFSET(Database!$F46,0,COLUMN(Database!Z46)*2-12)</f>
        <v>n.r.</v>
      </c>
      <c r="AD46" s="8" t="str">
        <f ca="1">OFFSET(Database!$F46,0,COLUMN(Database!AA46)*2-12)</f>
        <v>n.r.</v>
      </c>
      <c r="AE46" s="8" t="str">
        <f ca="1">OFFSET(Database!$F46,0,COLUMN(Database!AB46)*2-12)</f>
        <v>n.r.</v>
      </c>
      <c r="AF46" s="8" t="str">
        <f ca="1">OFFSET(Database!$F46,0,COLUMN(Database!AC46)*2-12)</f>
        <v>n.r.</v>
      </c>
      <c r="AG46" s="8" t="str">
        <f ca="1">OFFSET(Database!$F46,0,COLUMN(Database!AD46)*2-12)</f>
        <v>n.r.</v>
      </c>
      <c r="AH46" s="8" t="str">
        <f ca="1">OFFSET(Database!$F46,0,COLUMN(Database!AE46)*2-12)</f>
        <v>n.r.</v>
      </c>
      <c r="AI46" s="8" t="str">
        <f ca="1">OFFSET(Database!$F46,0,COLUMN(Database!AF46)*2-12)</f>
        <v>n.r.</v>
      </c>
      <c r="AJ46" s="8" t="str">
        <f ca="1">OFFSET(Database!$F46,0,COLUMN(Database!AG46)*2-12)</f>
        <v>n.r.</v>
      </c>
      <c r="AK46" s="8" t="str">
        <f ca="1">OFFSET(Database!$F46,0,COLUMN(Database!AH46)*2-12)</f>
        <v>n.r.</v>
      </c>
      <c r="AL46" s="8" t="str">
        <f ca="1">OFFSET(Database!$F46,0,COLUMN(Database!AI46)*2-12)</f>
        <v>n.r.</v>
      </c>
      <c r="AM46" s="8" t="str">
        <f ca="1">OFFSET(Database!$F46,0,COLUMN(Database!AJ46)*2-12)</f>
        <v>n.r.</v>
      </c>
      <c r="AN46" s="8" t="str">
        <f ca="1">OFFSET(Database!$F46,0,COLUMN(Database!AK46)*2-12)</f>
        <v>n.r.</v>
      </c>
      <c r="AO46" s="8" t="str">
        <f ca="1">OFFSET(Database!$F46,0,COLUMN(Database!AL46)*2-12)</f>
        <v>n.r.</v>
      </c>
      <c r="AP46" s="8" t="str">
        <f ca="1">OFFSET(Database!$F46,0,COLUMN(Database!AM46)*2-12)</f>
        <v>n.r.</v>
      </c>
      <c r="AQ46" s="8" t="str">
        <f ca="1">OFFSET(Database!$F46,0,COLUMN(Database!AN46)*2-12)</f>
        <v>n.r.</v>
      </c>
      <c r="AR46" s="8" t="str">
        <f ca="1">OFFSET(Database!$F46,0,COLUMN(Database!AO46)*2-12)</f>
        <v>n.r.</v>
      </c>
      <c r="AS46" s="8" t="str">
        <f ca="1">OFFSET(Database!$F46,0,COLUMN(Database!AP46)*2-12)</f>
        <v>n.r.</v>
      </c>
      <c r="AT46" s="8" t="str">
        <f ca="1">OFFSET(Database!$F46,0,COLUMN(Database!AQ46)*2-12)</f>
        <v>n.r.</v>
      </c>
      <c r="AU46" s="8" t="str">
        <f ca="1">OFFSET(Database!$F46,0,COLUMN(Database!AR46)*2-12)</f>
        <v>n.r.</v>
      </c>
      <c r="AV46" s="8" t="str">
        <f ca="1">OFFSET(Database!$F46,0,COLUMN(Database!AS46)*2-12)</f>
        <v>n.r.</v>
      </c>
      <c r="AW46" s="8" t="str">
        <f ca="1">OFFSET(Database!$F46,0,COLUMN(Database!AT46)*2-12)</f>
        <v>n.r.</v>
      </c>
      <c r="AX46" s="8" t="str">
        <f ca="1">OFFSET(Database!$F46,0,COLUMN(Database!AU46)*2-12)</f>
        <v>n.r.</v>
      </c>
      <c r="AY46" s="8" t="str">
        <f ca="1">OFFSET(Database!$F46,0,COLUMN(Database!AV46)*2-12)</f>
        <v>n.r.</v>
      </c>
      <c r="AZ46" s="8" t="str">
        <f ca="1">OFFSET(Database!$F46,0,COLUMN(Database!AW46)*2-12)</f>
        <v>n.r.</v>
      </c>
      <c r="BA46" s="8" t="str">
        <f ca="1">OFFSET(Database!$F46,0,COLUMN(Database!AX46)*2-12)</f>
        <v>n.r.</v>
      </c>
      <c r="BB46" s="8" t="str">
        <f ca="1">OFFSET(Database!$F46,0,COLUMN(Database!AY46)*2-12)</f>
        <v>n.r.</v>
      </c>
      <c r="BC46" s="8" t="str">
        <f ca="1">OFFSET(Database!$F46,0,COLUMN(Database!AZ46)*2-12)</f>
        <v>n.r.</v>
      </c>
      <c r="BD46" s="8" t="str">
        <f ca="1">OFFSET(Database!$F46,0,COLUMN(Database!BA46)*2-12)</f>
        <v>n.r.</v>
      </c>
      <c r="BE46" s="8" t="str">
        <f ca="1">OFFSET(Database!$F46,0,COLUMN(Database!BB46)*2-12)</f>
        <v>n.r.</v>
      </c>
      <c r="BF46" s="8" t="str">
        <f ca="1">OFFSET(Database!$F46,0,COLUMN(Database!BC46)*2-12)</f>
        <v>n.r.</v>
      </c>
      <c r="BG46" s="8" t="str">
        <f ca="1">OFFSET(Database!$F46,0,COLUMN(Database!BD46)*2-12)</f>
        <v>n.r.</v>
      </c>
      <c r="BH46" s="8" t="str">
        <f ca="1">OFFSET(Database!$F46,0,COLUMN(Database!BE46)*2-12)</f>
        <v>n.r.</v>
      </c>
      <c r="BI46" s="8" t="str">
        <f ca="1">OFFSET(Database!$F46,0,COLUMN(Database!BF46)*2-12)</f>
        <v>n.r.</v>
      </c>
      <c r="BJ46" s="8" t="str">
        <f ca="1">OFFSET(Database!$F46,0,COLUMN(Database!BG46)*2-12)</f>
        <v>n.r.</v>
      </c>
      <c r="BK46" s="8" t="str">
        <f ca="1">OFFSET(Database!$F46,0,COLUMN(Database!BH46)*2-12)</f>
        <v>n.r.</v>
      </c>
      <c r="BL46" s="8" t="str">
        <f ca="1">OFFSET(Database!$F46,0,COLUMN(Database!BI46)*2-12)</f>
        <v>n.r.</v>
      </c>
      <c r="BM46" s="8" t="str">
        <f ca="1">OFFSET(Database!$F46,0,COLUMN(Database!BJ46)*2-12)</f>
        <v>n.r.</v>
      </c>
      <c r="BN46" s="8" t="str">
        <f ca="1">OFFSET(Database!$F46,0,COLUMN(Database!BK46)*2-12)</f>
        <v>n.r.</v>
      </c>
      <c r="BO46" s="8" t="str">
        <f ca="1">OFFSET(Database!$F46,0,COLUMN(Database!BL46)*2-12)</f>
        <v>n.r.</v>
      </c>
      <c r="BP46" s="8" t="str">
        <f ca="1">OFFSET(Database!$F46,0,COLUMN(Database!BM46)*2-12)</f>
        <v>n.r.</v>
      </c>
      <c r="BQ46" s="8" t="str">
        <f ca="1">OFFSET(Database!$F46,0,COLUMN(Database!BN46)*2-12)</f>
        <v>n.r.</v>
      </c>
      <c r="BR46" s="8" t="str">
        <f ca="1">OFFSET(Database!$F46,0,COLUMN(Database!BO46)*2-12)</f>
        <v>n.r.</v>
      </c>
      <c r="BS46" s="8" t="str">
        <f ca="1">OFFSET(Database!$F46,0,COLUMN(Database!BP46)*2-12)</f>
        <v>n.r.</v>
      </c>
      <c r="BT46" s="8" t="str">
        <f ca="1">OFFSET(Database!$F46,0,COLUMN(Database!BQ46)*2-12)</f>
        <v>n.r.</v>
      </c>
      <c r="BU46" s="8" t="str">
        <f ca="1">OFFSET(Database!$F46,0,COLUMN(Database!BR46)*2-12)</f>
        <v>n.r.</v>
      </c>
      <c r="BV46" s="8" t="str">
        <f ca="1">OFFSET(Database!$F46,0,COLUMN(Database!BS46)*2-12)</f>
        <v>n.r.</v>
      </c>
      <c r="BW46" s="8" t="str">
        <f ca="1">OFFSET(Database!$F46,0,COLUMN(Database!BT46)*2-12)</f>
        <v>n.r.</v>
      </c>
      <c r="BX46" s="8" t="str">
        <f ca="1">OFFSET(Database!$F46,0,COLUMN(Database!BU46)*2-12)</f>
        <v>n.r.</v>
      </c>
      <c r="BY46" s="8" t="str">
        <f ca="1">OFFSET(Database!$F46,0,COLUMN(Database!BV46)*2-12)</f>
        <v>n.r.</v>
      </c>
      <c r="BZ46" s="8" t="str">
        <f ca="1">OFFSET(Database!$F46,0,COLUMN(Database!BW46)*2-12)</f>
        <v>n.r.</v>
      </c>
      <c r="CA46" s="8" t="str">
        <f ca="1">OFFSET(Database!$F46,0,COLUMN(Database!BX46)*2-12)</f>
        <v>n.r.</v>
      </c>
      <c r="CB46" s="8" t="str">
        <f ca="1">OFFSET(Database!$F46,0,COLUMN(Database!BY46)*2-12)</f>
        <v>n.r.</v>
      </c>
      <c r="CC46" s="8" t="str">
        <f ca="1">OFFSET(Database!$F46,0,COLUMN(Database!BZ46)*2-12)</f>
        <v>n.r.</v>
      </c>
      <c r="CD46" s="8" t="str">
        <f ca="1">OFFSET(Database!$F46,0,COLUMN(Database!CA46)*2-12)</f>
        <v>n.r.</v>
      </c>
      <c r="CE46" s="8" t="str">
        <f ca="1">OFFSET(Database!$F46,0,COLUMN(Database!CB46)*2-12)</f>
        <v>n.r.</v>
      </c>
      <c r="CF46" s="8" t="str">
        <f ca="1">OFFSET(Database!$F46,0,COLUMN(Database!CC46)*2-12)</f>
        <v>n.r.</v>
      </c>
      <c r="CG46" s="8" t="str">
        <f ca="1">OFFSET(Database!$F46,0,COLUMN(Database!CD46)*2-12)</f>
        <v>n.r.</v>
      </c>
      <c r="CH46" s="8" t="str">
        <f ca="1">OFFSET(Database!$F46,0,COLUMN(Database!CE46)*2-12)</f>
        <v>n.r.</v>
      </c>
      <c r="CI46" s="8" t="str">
        <f ca="1">OFFSET(Database!$F46,0,COLUMN(Database!CF46)*2-12)</f>
        <v>n.r.</v>
      </c>
      <c r="CJ46" s="8" t="str">
        <f ca="1">OFFSET(Database!$F46,0,COLUMN(Database!CG46)*2-12)</f>
        <v>n.r.</v>
      </c>
      <c r="CK46" s="8" t="str">
        <f ca="1">OFFSET(Database!$F46,0,COLUMN(Database!CH46)*2-12)</f>
        <v>n.r.</v>
      </c>
      <c r="CL46" s="8" t="str">
        <f ca="1">OFFSET(Database!$F46,0,COLUMN(Database!CI46)*2-12)</f>
        <v>n.r.</v>
      </c>
      <c r="CM46" s="8" t="str">
        <f ca="1">OFFSET(Database!$F46,0,COLUMN(Database!CJ46)*2-12)</f>
        <v>n.r.</v>
      </c>
      <c r="CN46" s="8" t="str">
        <f ca="1">OFFSET(Database!$F46,0,COLUMN(Database!CK46)*2-12)</f>
        <v>n.r.</v>
      </c>
      <c r="CO46" s="8" t="str">
        <f ca="1">OFFSET(Database!$F46,0,COLUMN(Database!CL46)*2-12)</f>
        <v>n.r.</v>
      </c>
      <c r="CP46" s="8" t="str">
        <f ca="1">OFFSET(Database!$F46,0,COLUMN(Database!CM46)*2-12)</f>
        <v>n.r.</v>
      </c>
      <c r="CQ46" s="8" t="str">
        <f ca="1">OFFSET(Database!$F46,0,COLUMN(Database!CN46)*2-12)</f>
        <v>n.r.</v>
      </c>
      <c r="CR46" s="8" t="str">
        <f ca="1">OFFSET(Database!$F46,0,COLUMN(Database!CO46)*2-12)</f>
        <v>n.r.</v>
      </c>
      <c r="CS46" s="8" t="str">
        <f ca="1">OFFSET(Database!$F46,0,COLUMN(Database!CP46)*2-12)</f>
        <v>n.r.</v>
      </c>
      <c r="CT46" s="8" t="str">
        <f ca="1">OFFSET(Database!$F46,0,COLUMN(Database!CQ46)*2-12)</f>
        <v>n.r.</v>
      </c>
      <c r="CU46" s="8" t="str">
        <f ca="1">OFFSET(Database!$F46,0,COLUMN(Database!CR46)*2-12)</f>
        <v>n.r.</v>
      </c>
      <c r="CV46" s="8" t="str">
        <f ca="1">OFFSET(Database!$F46,0,COLUMN(Database!CS46)*2-12)</f>
        <v>n.r.</v>
      </c>
      <c r="CW46" s="8" t="str">
        <f ca="1">OFFSET(Database!$F46,0,COLUMN(Database!CT46)*2-12)</f>
        <v>n.r.</v>
      </c>
      <c r="CX46" s="8" t="str">
        <f ca="1">OFFSET(Database!$F46,0,COLUMN(Database!CU46)*2-12)</f>
        <v>n.r.</v>
      </c>
      <c r="CY46" s="8" t="str">
        <f ca="1">OFFSET(Database!$F46,0,COLUMN(Database!CV46)*2-12)</f>
        <v>n.r.</v>
      </c>
      <c r="CZ46" s="8" t="str">
        <f ca="1">OFFSET(Database!$F46,0,COLUMN(Database!CW46)*2-12)</f>
        <v>n.r.</v>
      </c>
      <c r="DA46" s="8" t="str">
        <f ca="1">OFFSET(Database!$F46,0,COLUMN(Database!CX46)*2-12)</f>
        <v>n.r.</v>
      </c>
      <c r="DB46" s="8" t="str">
        <f ca="1">OFFSET(Database!$F46,0,COLUMN(Database!CY46)*2-12)</f>
        <v>n.r.</v>
      </c>
      <c r="DC46" s="8" t="str">
        <f ca="1">OFFSET(Database!$F46,0,COLUMN(Database!CZ46)*2-12)</f>
        <v>n.r.</v>
      </c>
      <c r="DD46" s="8" t="str">
        <f ca="1">OFFSET(Database!$F46,0,COLUMN(Database!DA46)*2-12)</f>
        <v>n.r.</v>
      </c>
      <c r="DE46" s="8" t="str">
        <f ca="1">OFFSET(Database!$F46,0,COLUMN(Database!DB46)*2-12)</f>
        <v>n.r.</v>
      </c>
      <c r="DF46" s="8" t="str">
        <f ca="1">OFFSET(Database!$F46,0,COLUMN(Database!DC46)*2-12)</f>
        <v>n.r.</v>
      </c>
      <c r="DG46" s="8" t="str">
        <f ca="1">OFFSET(Database!$F46,0,COLUMN(Database!DD46)*2-12)</f>
        <v>n.r.</v>
      </c>
      <c r="DH46" s="8" t="str">
        <f ca="1">OFFSET(Database!$F46,0,COLUMN(Database!DE46)*2-12)</f>
        <v>n.r.</v>
      </c>
      <c r="DI46" s="8" t="str">
        <f ca="1">OFFSET(Database!$F46,0,COLUMN(Database!DF46)*2-12)</f>
        <v>n.r.</v>
      </c>
      <c r="DJ46" s="8" t="str">
        <f ca="1">OFFSET(Database!$F46,0,COLUMN(Database!DG46)*2-12)</f>
        <v>n.r.</v>
      </c>
      <c r="DK46" s="8" t="str">
        <f ca="1">OFFSET(Database!$F46,0,COLUMN(Database!DH46)*2-12)</f>
        <v>n.r.</v>
      </c>
      <c r="DL46" s="8" t="str">
        <f ca="1">OFFSET(Database!$F46,0,COLUMN(Database!DI46)*2-12)</f>
        <v>n.r.</v>
      </c>
      <c r="DM46" s="8" t="str">
        <f ca="1">OFFSET(Database!$F46,0,COLUMN(Database!DJ46)*2-12)</f>
        <v>n.r.</v>
      </c>
      <c r="DN46" s="8" t="str">
        <f ca="1">OFFSET(Database!$F46,0,COLUMN(Database!DK46)*2-12)</f>
        <v>n.r.</v>
      </c>
      <c r="DO46" s="8" t="str">
        <f ca="1">OFFSET(Database!$F46,0,COLUMN(Database!DL46)*2-12)</f>
        <v>n.r.</v>
      </c>
      <c r="DP46" s="8" t="str">
        <f ca="1">OFFSET(Database!$F46,0,COLUMN(Database!DM46)*2-12)</f>
        <v>n.r.</v>
      </c>
      <c r="DQ46" s="8" t="str">
        <f ca="1">OFFSET(Database!$F46,0,COLUMN(Database!DN46)*2-12)</f>
        <v>n.r.</v>
      </c>
      <c r="DR46" s="8" t="str">
        <f ca="1">OFFSET(Database!$F46,0,COLUMN(Database!DO46)*2-12)</f>
        <v>n.r.</v>
      </c>
      <c r="DS46" s="8" t="str">
        <f ca="1">OFFSET(Database!$F46,0,COLUMN(Database!DP46)*2-12)</f>
        <v>n.r.</v>
      </c>
      <c r="DT46" s="8" t="str">
        <f ca="1">OFFSET(Database!$F46,0,COLUMN(Database!DQ46)*2-12)</f>
        <v>n.r.</v>
      </c>
      <c r="DU46" s="8" t="str">
        <f ca="1">OFFSET(Database!$F46,0,COLUMN(Database!DR46)*2-12)</f>
        <v>n.r.</v>
      </c>
      <c r="DV46" s="8" t="str">
        <f ca="1">OFFSET(Database!$F46,0,COLUMN(Database!DS46)*2-12)</f>
        <v>n.r.</v>
      </c>
      <c r="DW46" s="8" t="str">
        <f ca="1">OFFSET(Database!$F46,0,COLUMN(Database!DT46)*2-12)</f>
        <v>n.r.</v>
      </c>
      <c r="DX46" s="8" t="str">
        <f ca="1">OFFSET(Database!$F46,0,COLUMN(Database!DU46)*2-12)</f>
        <v>n.r.</v>
      </c>
      <c r="DY46" s="8" t="str">
        <f ca="1">OFFSET(Database!$F46,0,COLUMN(Database!DV46)*2-12)</f>
        <v>n.r.</v>
      </c>
      <c r="DZ46" s="8" t="str">
        <f ca="1">OFFSET(Database!$F46,0,COLUMN(Database!DW46)*2-12)</f>
        <v>n.r.</v>
      </c>
      <c r="EA46" s="8" t="str">
        <f ca="1">OFFSET(Database!$F46,0,COLUMN(Database!DX46)*2-12)</f>
        <v>n.r.</v>
      </c>
      <c r="EB46" s="8" t="str">
        <f ca="1">OFFSET(Database!$F46,0,COLUMN(Database!DY46)*2-12)</f>
        <v>n.r.</v>
      </c>
      <c r="EC46" s="8" t="str">
        <f ca="1">OFFSET(Database!$F46,0,COLUMN(Database!DZ46)*2-12)</f>
        <v>n.r.</v>
      </c>
      <c r="ED46" s="8" t="str">
        <f ca="1">OFFSET(Database!$F46,0,COLUMN(Database!EA46)*2-12)</f>
        <v>n.r.</v>
      </c>
      <c r="EE46" s="8" t="str">
        <f ca="1">OFFSET(Database!$F46,0,COLUMN(Database!EB46)*2-12)</f>
        <v>n.r.</v>
      </c>
      <c r="EF46" s="8" t="str">
        <f ca="1">OFFSET(Database!$F46,0,COLUMN(Database!EC46)*2-12)</f>
        <v>n.r.</v>
      </c>
      <c r="EG46" s="8" t="str">
        <f ca="1">OFFSET(Database!$F46,0,COLUMN(Database!ED46)*2-12)</f>
        <v>n.r.</v>
      </c>
      <c r="EH46" s="8" t="str">
        <f ca="1">OFFSET(Database!$F46,0,COLUMN(Database!EE46)*2-12)</f>
        <v>n.r.</v>
      </c>
      <c r="EI46" s="8" t="str">
        <f ca="1">OFFSET(Database!$F46,0,COLUMN(Database!EF46)*2-12)</f>
        <v>n.r.</v>
      </c>
      <c r="EJ46" s="8" t="str">
        <f ca="1">OFFSET(Database!$F46,0,COLUMN(Database!EG46)*2-12)</f>
        <v>n.r.</v>
      </c>
      <c r="EK46" s="8" t="str">
        <f ca="1">OFFSET(Database!$F46,0,COLUMN(Database!EH46)*2-12)</f>
        <v>n.r.</v>
      </c>
      <c r="EL46" s="8" t="str">
        <f ca="1">OFFSET(Database!$F46,0,COLUMN(Database!EI46)*2-12)</f>
        <v>n.r.</v>
      </c>
      <c r="EM46" s="8" t="str">
        <f ca="1">OFFSET(Database!$F46,0,COLUMN(Database!EJ46)*2-12)</f>
        <v>n.r.</v>
      </c>
      <c r="EN46" s="8" t="str">
        <f ca="1">OFFSET(Database!$F46,0,COLUMN(Database!EK46)*2-12)</f>
        <v>n.r.</v>
      </c>
      <c r="EO46" s="8" t="str">
        <f ca="1">OFFSET(Database!$F46,0,COLUMN(Database!EL46)*2-12)</f>
        <v>n.r.</v>
      </c>
      <c r="EP46" s="8" t="str">
        <f ca="1">OFFSET(Database!$F46,0,COLUMN(Database!EM46)*2-12)</f>
        <v>n.r.</v>
      </c>
      <c r="EQ46" s="8" t="str">
        <f ca="1">OFFSET(Database!$F46,0,COLUMN(Database!EN46)*2-12)</f>
        <v>n.r.</v>
      </c>
      <c r="ER46" s="8" t="str">
        <f ca="1">OFFSET(Database!$F46,0,COLUMN(Database!EO46)*2-12)</f>
        <v>n.r.</v>
      </c>
      <c r="ES46" s="8" t="str">
        <f ca="1">OFFSET(Database!$F46,0,COLUMN(Database!EP46)*2-12)</f>
        <v>n.r.</v>
      </c>
      <c r="ET46" s="8" t="str">
        <f ca="1">OFFSET(Database!$F46,0,COLUMN(Database!EQ46)*2-12)</f>
        <v>n.r.</v>
      </c>
      <c r="EU46" s="8" t="str">
        <f ca="1">OFFSET(Database!$F46,0,COLUMN(Database!ER46)*2-12)</f>
        <v>n.r.</v>
      </c>
      <c r="EV46" s="8" t="str">
        <f ca="1">OFFSET(Database!$F46,0,COLUMN(Database!ES46)*2-12)</f>
        <v>n.r.</v>
      </c>
      <c r="EW46" s="8" t="str">
        <f ca="1">OFFSET(Database!$F46,0,COLUMN(Database!ET46)*2-12)</f>
        <v>n.r.</v>
      </c>
      <c r="EX46" s="8" t="str">
        <f ca="1">OFFSET(Database!$F46,0,COLUMN(Database!EU46)*2-12)</f>
        <v>n.r.</v>
      </c>
      <c r="EY46" s="8" t="str">
        <f ca="1">OFFSET(Database!$F46,0,COLUMN(Database!EV46)*2-12)</f>
        <v>n.r.</v>
      </c>
      <c r="EZ46" s="8" t="str">
        <f ca="1">OFFSET(Database!$F46,0,COLUMN(Database!EW46)*2-12)</f>
        <v>n.r.</v>
      </c>
      <c r="FA46" s="8" t="str">
        <f ca="1">OFFSET(Database!$F46,0,COLUMN(Database!EX46)*2-12)</f>
        <v>n.r.</v>
      </c>
      <c r="FB46" s="8" t="str">
        <f ca="1">OFFSET(Database!$F46,0,COLUMN(Database!EY46)*2-12)</f>
        <v>n.r.</v>
      </c>
      <c r="FC46" s="8" t="str">
        <f ca="1">OFFSET(Database!$F46,0,COLUMN(Database!EZ46)*2-12)</f>
        <v>n.r.</v>
      </c>
      <c r="FD46" s="8" t="str">
        <f ca="1">OFFSET(Database!$F46,0,COLUMN(Database!FA46)*2-12)</f>
        <v>n.r.</v>
      </c>
      <c r="FE46" s="8" t="str">
        <f ca="1">OFFSET(Database!$F46,0,COLUMN(Database!FB46)*2-12)</f>
        <v>n.r.</v>
      </c>
      <c r="FF46" s="8" t="str">
        <f ca="1">OFFSET(Database!$F46,0,COLUMN(Database!FC46)*2-12)</f>
        <v>n.r.</v>
      </c>
      <c r="FG46" s="8" t="str">
        <f ca="1">OFFSET(Database!$F46,0,COLUMN(Database!FD46)*2-12)</f>
        <v>n.r.</v>
      </c>
      <c r="FH46" s="8">
        <f ca="1">OFFSET(Database!$F46,0,COLUMN(Database!FE46)*2-12)</f>
        <v>920</v>
      </c>
      <c r="FI46" s="8">
        <f ca="1">OFFSET(Database!$F46,0,COLUMN(Database!FF46)*2-12)</f>
        <v>200</v>
      </c>
      <c r="FJ46" s="8">
        <f ca="1">OFFSET(Database!$F46,0,COLUMN(Database!FG46)*2-12)</f>
        <v>180</v>
      </c>
      <c r="FK46" s="8" t="str">
        <f ca="1">OFFSET(Database!$F46,0,COLUMN(Database!FH46)*2-12)</f>
        <v>n.r.</v>
      </c>
      <c r="FL46" s="8" t="str">
        <f ca="1">OFFSET(Database!$F46,0,COLUMN(Database!FI46)*2-12)</f>
        <v>n.r.</v>
      </c>
      <c r="FM46" s="8" t="str">
        <f ca="1">OFFSET(Database!$F46,0,COLUMN(Database!FJ46)*2-12)</f>
        <v>n.r.</v>
      </c>
      <c r="FN46" s="8" t="str">
        <f ca="1">OFFSET(Database!$F46,0,COLUMN(Database!FK46)*2-12)</f>
        <v>n.r.</v>
      </c>
      <c r="FO46" s="8" t="str">
        <f ca="1">OFFSET(Database!$F46,0,COLUMN(Database!FL46)*2-12)</f>
        <v>n.r.</v>
      </c>
      <c r="FP46" s="8" t="str">
        <f ca="1">OFFSET(Database!$F46,0,COLUMN(Database!FM46)*2-12)</f>
        <v>n.r.</v>
      </c>
      <c r="FQ46" s="8" t="str">
        <f ca="1">OFFSET(Database!$F46,0,COLUMN(Database!FN46)*2-12)</f>
        <v>n.r.</v>
      </c>
      <c r="FR46" s="8" t="str">
        <f ca="1">OFFSET(Database!$F46,0,COLUMN(Database!FO46)*2-12)</f>
        <v>n.r.</v>
      </c>
      <c r="FS46" s="8" t="str">
        <f ca="1">OFFSET(Database!$F46,0,COLUMN(Database!FP46)*2-12)</f>
        <v>n.r.</v>
      </c>
      <c r="FT46" s="8" t="str">
        <f ca="1">OFFSET(Database!$F46,0,COLUMN(Database!FQ46)*2-12)</f>
        <v>n.r.</v>
      </c>
      <c r="FU46" s="8" t="str">
        <f ca="1">OFFSET(Database!$F46,0,COLUMN(Database!FR46)*2-12)</f>
        <v>n.r.</v>
      </c>
      <c r="FV46" s="8" t="str">
        <f ca="1">OFFSET(Database!$F46,0,COLUMN(Database!FS46)*2-12)</f>
        <v>n.r.</v>
      </c>
      <c r="FW46" s="8" t="str">
        <f ca="1">OFFSET(Database!$F46,0,COLUMN(Database!FT46)*2-12)</f>
        <v>n.r.</v>
      </c>
      <c r="FX46" s="8" t="str">
        <f ca="1">OFFSET(Database!$F46,0,COLUMN(Database!FU46)*2-12)</f>
        <v>n.r.</v>
      </c>
      <c r="FY46" s="8" t="str">
        <f ca="1">OFFSET(Database!$F46,0,COLUMN(Database!FV46)*2-12)</f>
        <v>n.r.</v>
      </c>
      <c r="FZ46" s="8" t="str">
        <f ca="1">OFFSET(Database!$F46,0,COLUMN(Database!FW46)*2-12)</f>
        <v>n.r.</v>
      </c>
      <c r="GA46" s="8" t="str">
        <f ca="1">OFFSET(Database!$F46,0,COLUMN(Database!FX46)*2-12)</f>
        <v>n.r.</v>
      </c>
      <c r="GB46" s="8" t="str">
        <f ca="1">OFFSET(Database!$F46,0,COLUMN(Database!FY46)*2-12)</f>
        <v>n.r.</v>
      </c>
      <c r="GC46" s="8" t="str">
        <f ca="1">OFFSET(Database!$F46,0,COLUMN(Database!FZ46)*2-12)</f>
        <v>n.r.</v>
      </c>
      <c r="GD46" s="8" t="str">
        <f ca="1">OFFSET(Database!$F46,0,COLUMN(Database!GA46)*2-12)</f>
        <v>n.r.</v>
      </c>
      <c r="GE46" s="8" t="str">
        <f ca="1">OFFSET(Database!$F46,0,COLUMN(Database!GB46)*2-12)</f>
        <v>n.r.</v>
      </c>
      <c r="GF46" s="8" t="str">
        <f ca="1">OFFSET(Database!$F46,0,COLUMN(Database!GC46)*2-12)</f>
        <v>n.r.</v>
      </c>
      <c r="GG46" s="8" t="str">
        <f ca="1">OFFSET(Database!$F46,0,COLUMN(Database!GD46)*2-12)</f>
        <v>n.r.</v>
      </c>
      <c r="GH46" s="8" t="str">
        <f ca="1">OFFSET(Database!$F46,0,COLUMN(Database!GE46)*2-12)</f>
        <v>n.r.</v>
      </c>
      <c r="GI46" s="8" t="str">
        <f ca="1">OFFSET(Database!$F46,0,COLUMN(Database!GF46)*2-12)</f>
        <v>n.r.</v>
      </c>
      <c r="GJ46" s="8" t="str">
        <f ca="1">OFFSET(Database!$F46,0,COLUMN(Database!GG46)*2-12)</f>
        <v>n.r.</v>
      </c>
      <c r="GK46" s="8" t="str">
        <f ca="1">OFFSET(Database!$F46,0,COLUMN(Database!GH46)*2-12)</f>
        <v>n.r.</v>
      </c>
      <c r="GL46" s="8" t="str">
        <f ca="1">OFFSET(Database!$F46,0,COLUMN(Database!GI46)*2-12)</f>
        <v>n.r.</v>
      </c>
      <c r="GM46" s="8" t="str">
        <f ca="1">OFFSET(Database!$F46,0,COLUMN(Database!GJ46)*2-12)</f>
        <v>n.r.</v>
      </c>
      <c r="GN46" s="8" t="str">
        <f ca="1">OFFSET(Database!$F46,0,COLUMN(Database!GK46)*2-12)</f>
        <v>n.r.</v>
      </c>
      <c r="GO46" s="8" t="str">
        <f ca="1">OFFSET(Database!$F46,0,COLUMN(Database!GL46)*2-12)</f>
        <v>n.r.</v>
      </c>
      <c r="GP46" s="8" t="str">
        <f ca="1">OFFSET(Database!$F46,0,COLUMN(Database!GM46)*2-12)</f>
        <v>n.r.</v>
      </c>
    </row>
    <row r="47" spans="1:198" x14ac:dyDescent="0.2">
      <c r="A47" s="50" t="str">
        <f>Database!A47</f>
        <v>asparagine</v>
      </c>
      <c r="B47" s="1" t="s">
        <v>868</v>
      </c>
      <c r="C47" s="4" t="str">
        <f>Database!B47</f>
        <v>ɑ</v>
      </c>
      <c r="D47" s="4" t="str">
        <f>Database!C47</f>
        <v>Both</v>
      </c>
      <c r="E47" s="74">
        <f>Database!D47</f>
        <v>7</v>
      </c>
      <c r="F47" s="33" t="s">
        <v>1023</v>
      </c>
      <c r="G47" s="4" t="s">
        <v>1131</v>
      </c>
      <c r="H47" s="1">
        <f>Database!E47</f>
        <v>132.12</v>
      </c>
      <c r="I47" s="8" t="str">
        <f ca="1">OFFSET(Database!$F47,0,COLUMN(Database!F47)*2-12)</f>
        <v>n.r.</v>
      </c>
      <c r="J47" s="8" t="str">
        <f ca="1">OFFSET(Database!$F47,0,COLUMN(Database!G47)*2-12)</f>
        <v>n.r.</v>
      </c>
      <c r="K47" s="8" t="str">
        <f ca="1">OFFSET(Database!$F47,0,COLUMN(Database!H47)*2-12)</f>
        <v>n.r.</v>
      </c>
      <c r="L47" s="8" t="str">
        <f ca="1">OFFSET(Database!$F47,0,COLUMN(Database!I47)*2-12)</f>
        <v>n.r.</v>
      </c>
      <c r="M47" s="8" t="str">
        <f ca="1">OFFSET(Database!$F47,0,COLUMN(Database!J47)*2-12)</f>
        <v>n.r.</v>
      </c>
      <c r="N47" s="8" t="str">
        <f ca="1">OFFSET(Database!$F47,0,COLUMN(Database!K47)*2-12)</f>
        <v>n.r.</v>
      </c>
      <c r="O47" s="8" t="str">
        <f ca="1">OFFSET(Database!$F47,0,COLUMN(Database!L47)*2-12)</f>
        <v>n.r.</v>
      </c>
      <c r="P47" s="8" t="str">
        <f ca="1">OFFSET(Database!$F47,0,COLUMN(Database!M47)*2-12)</f>
        <v>n.r.</v>
      </c>
      <c r="Q47" s="8" t="str">
        <f ca="1">OFFSET(Database!$F47,0,COLUMN(Database!N47)*2-12)</f>
        <v>n.r.</v>
      </c>
      <c r="R47" s="8" t="str">
        <f ca="1">OFFSET(Database!$F47,0,COLUMN(Database!O47)*2-12)</f>
        <v>n.r.</v>
      </c>
      <c r="S47" s="8" t="str">
        <f ca="1">OFFSET(Database!$F47,0,COLUMN(Database!P47)*2-12)</f>
        <v>n.r.</v>
      </c>
      <c r="T47" s="8" t="str">
        <f ca="1">OFFSET(Database!$F47,0,COLUMN(Database!Q47)*2-12)</f>
        <v>n.r.</v>
      </c>
      <c r="U47" s="8" t="str">
        <f ca="1">OFFSET(Database!$F47,0,COLUMN(Database!R47)*2-12)</f>
        <v>n.r.</v>
      </c>
      <c r="V47" s="8" t="str">
        <f ca="1">OFFSET(Database!$F47,0,COLUMN(Database!S47)*2-12)</f>
        <v>n.r.</v>
      </c>
      <c r="W47" s="8" t="str">
        <f ca="1">OFFSET(Database!$F47,0,COLUMN(Database!T47)*2-12)</f>
        <v>n.r.</v>
      </c>
      <c r="X47" s="8" t="str">
        <f ca="1">OFFSET(Database!$F47,0,COLUMN(Database!U47)*2-12)</f>
        <v>n.r.</v>
      </c>
      <c r="Y47" s="8" t="str">
        <f ca="1">OFFSET(Database!$F47,0,COLUMN(Database!V47)*2-12)</f>
        <v>n.r.</v>
      </c>
      <c r="Z47" s="8" t="str">
        <f ca="1">OFFSET(Database!$F47,0,COLUMN(Database!W47)*2-12)</f>
        <v>n.r.</v>
      </c>
      <c r="AA47" s="8" t="str">
        <f ca="1">OFFSET(Database!$F47,0,COLUMN(Database!X47)*2-12)</f>
        <v>n.r.</v>
      </c>
      <c r="AB47" s="8" t="str">
        <f ca="1">OFFSET(Database!$F47,0,COLUMN(Database!Y47)*2-12)</f>
        <v>n.r.</v>
      </c>
      <c r="AC47" s="8" t="str">
        <f ca="1">OFFSET(Database!$F47,0,COLUMN(Database!Z47)*2-12)</f>
        <v>n.r.</v>
      </c>
      <c r="AD47" s="8" t="str">
        <f ca="1">OFFSET(Database!$F47,0,COLUMN(Database!AA47)*2-12)</f>
        <v>n.r.</v>
      </c>
      <c r="AE47" s="8" t="str">
        <f ca="1">OFFSET(Database!$F47,0,COLUMN(Database!AB47)*2-12)</f>
        <v>n.r.</v>
      </c>
      <c r="AF47" s="8" t="str">
        <f ca="1">OFFSET(Database!$F47,0,COLUMN(Database!AC47)*2-12)</f>
        <v>n.r.</v>
      </c>
      <c r="AG47" s="8" t="str">
        <f ca="1">OFFSET(Database!$F47,0,COLUMN(Database!AD47)*2-12)</f>
        <v>n.r.</v>
      </c>
      <c r="AH47" s="8" t="str">
        <f ca="1">OFFSET(Database!$F47,0,COLUMN(Database!AE47)*2-12)</f>
        <v>n.r.</v>
      </c>
      <c r="AI47" s="8" t="str">
        <f ca="1">OFFSET(Database!$F47,0,COLUMN(Database!AF47)*2-12)</f>
        <v>n.r.</v>
      </c>
      <c r="AJ47" s="8" t="str">
        <f ca="1">OFFSET(Database!$F47,0,COLUMN(Database!AG47)*2-12)</f>
        <v>n.r.</v>
      </c>
      <c r="AK47" s="8" t="str">
        <f ca="1">OFFSET(Database!$F47,0,COLUMN(Database!AH47)*2-12)</f>
        <v>n.r.</v>
      </c>
      <c r="AL47" s="8" t="str">
        <f ca="1">OFFSET(Database!$F47,0,COLUMN(Database!AI47)*2-12)</f>
        <v>n.r.</v>
      </c>
      <c r="AM47" s="8" t="str">
        <f ca="1">OFFSET(Database!$F47,0,COLUMN(Database!AJ47)*2-12)</f>
        <v>n.r.</v>
      </c>
      <c r="AN47" s="8" t="str">
        <f ca="1">OFFSET(Database!$F47,0,COLUMN(Database!AK47)*2-12)</f>
        <v>n.r.</v>
      </c>
      <c r="AO47" s="8" t="str">
        <f ca="1">OFFSET(Database!$F47,0,COLUMN(Database!AL47)*2-12)</f>
        <v>n.r.</v>
      </c>
      <c r="AP47" s="8" t="str">
        <f ca="1">OFFSET(Database!$F47,0,COLUMN(Database!AM47)*2-12)</f>
        <v>n.r.</v>
      </c>
      <c r="AQ47" s="8" t="str">
        <f ca="1">OFFSET(Database!$F47,0,COLUMN(Database!AN47)*2-12)</f>
        <v>n.r.</v>
      </c>
      <c r="AR47" s="8" t="str">
        <f ca="1">OFFSET(Database!$F47,0,COLUMN(Database!AO47)*2-12)</f>
        <v>n.r.</v>
      </c>
      <c r="AS47" s="8" t="str">
        <f ca="1">OFFSET(Database!$F47,0,COLUMN(Database!AP47)*2-12)</f>
        <v>n.r.</v>
      </c>
      <c r="AT47" s="8" t="str">
        <f ca="1">OFFSET(Database!$F47,0,COLUMN(Database!AQ47)*2-12)</f>
        <v>n.r.</v>
      </c>
      <c r="AU47" s="8" t="str">
        <f ca="1">OFFSET(Database!$F47,0,COLUMN(Database!AR47)*2-12)</f>
        <v>n.r.</v>
      </c>
      <c r="AV47" s="8" t="str">
        <f ca="1">OFFSET(Database!$F47,0,COLUMN(Database!AS47)*2-12)</f>
        <v>n.r.</v>
      </c>
      <c r="AW47" s="8" t="str">
        <f ca="1">OFFSET(Database!$F47,0,COLUMN(Database!AT47)*2-12)</f>
        <v>n.r.</v>
      </c>
      <c r="AX47" s="8" t="str">
        <f ca="1">OFFSET(Database!$F47,0,COLUMN(Database!AU47)*2-12)</f>
        <v>n.r.</v>
      </c>
      <c r="AY47" s="8" t="str">
        <f ca="1">OFFSET(Database!$F47,0,COLUMN(Database!AV47)*2-12)</f>
        <v>n.r.</v>
      </c>
      <c r="AZ47" s="8" t="str">
        <f ca="1">OFFSET(Database!$F47,0,COLUMN(Database!AW47)*2-12)</f>
        <v>n.r.</v>
      </c>
      <c r="BA47" s="8" t="str">
        <f ca="1">OFFSET(Database!$F47,0,COLUMN(Database!AX47)*2-12)</f>
        <v>n.r.</v>
      </c>
      <c r="BB47" s="8" t="str">
        <f ca="1">OFFSET(Database!$F47,0,COLUMN(Database!AY47)*2-12)</f>
        <v>n.r.</v>
      </c>
      <c r="BC47" s="8" t="str">
        <f ca="1">OFFSET(Database!$F47,0,COLUMN(Database!AZ47)*2-12)</f>
        <v>n.r.</v>
      </c>
      <c r="BD47" s="8" t="str">
        <f ca="1">OFFSET(Database!$F47,0,COLUMN(Database!BA47)*2-12)</f>
        <v>n.r.</v>
      </c>
      <c r="BE47" s="8" t="str">
        <f ca="1">OFFSET(Database!$F47,0,COLUMN(Database!BB47)*2-12)</f>
        <v>n.r.</v>
      </c>
      <c r="BF47" s="8" t="str">
        <f ca="1">OFFSET(Database!$F47,0,COLUMN(Database!BC47)*2-12)</f>
        <v>n.r.</v>
      </c>
      <c r="BG47" s="8" t="str">
        <f ca="1">OFFSET(Database!$F47,0,COLUMN(Database!BD47)*2-12)</f>
        <v>n.r.</v>
      </c>
      <c r="BH47" s="8" t="str">
        <f ca="1">OFFSET(Database!$F47,0,COLUMN(Database!BE47)*2-12)</f>
        <v>n.r.</v>
      </c>
      <c r="BI47" s="8" t="str">
        <f ca="1">OFFSET(Database!$F47,0,COLUMN(Database!BF47)*2-12)</f>
        <v>n.r.</v>
      </c>
      <c r="BJ47" s="8" t="str">
        <f ca="1">OFFSET(Database!$F47,0,COLUMN(Database!BG47)*2-12)</f>
        <v>n.r.</v>
      </c>
      <c r="BK47" s="8" t="str">
        <f ca="1">OFFSET(Database!$F47,0,COLUMN(Database!BH47)*2-12)</f>
        <v>n.r.</v>
      </c>
      <c r="BL47" s="8" t="str">
        <f ca="1">OFFSET(Database!$F47,0,COLUMN(Database!BI47)*2-12)</f>
        <v>n.r.</v>
      </c>
      <c r="BM47" s="8" t="str">
        <f ca="1">OFFSET(Database!$F47,0,COLUMN(Database!BJ47)*2-12)</f>
        <v>n.r.</v>
      </c>
      <c r="BN47" s="8" t="str">
        <f ca="1">OFFSET(Database!$F47,0,COLUMN(Database!BK47)*2-12)</f>
        <v>n.r.</v>
      </c>
      <c r="BO47" s="8" t="str">
        <f ca="1">OFFSET(Database!$F47,0,COLUMN(Database!BL47)*2-12)</f>
        <v>n.r.</v>
      </c>
      <c r="BP47" s="8" t="str">
        <f ca="1">OFFSET(Database!$F47,0,COLUMN(Database!BM47)*2-12)</f>
        <v>n.r.</v>
      </c>
      <c r="BQ47" s="8" t="str">
        <f ca="1">OFFSET(Database!$F47,0,COLUMN(Database!BN47)*2-12)</f>
        <v>n.r.</v>
      </c>
      <c r="BR47" s="8" t="str">
        <f ca="1">OFFSET(Database!$F47,0,COLUMN(Database!BO47)*2-12)</f>
        <v>n.r.</v>
      </c>
      <c r="BS47" s="8" t="str">
        <f ca="1">OFFSET(Database!$F47,0,COLUMN(Database!BP47)*2-12)</f>
        <v>n.r.</v>
      </c>
      <c r="BT47" s="8" t="str">
        <f ca="1">OFFSET(Database!$F47,0,COLUMN(Database!BQ47)*2-12)</f>
        <v>n.r.</v>
      </c>
      <c r="BU47" s="8" t="str">
        <f ca="1">OFFSET(Database!$F47,0,COLUMN(Database!BR47)*2-12)</f>
        <v>n.r.</v>
      </c>
      <c r="BV47" s="8" t="str">
        <f ca="1">OFFSET(Database!$F47,0,COLUMN(Database!BS47)*2-12)</f>
        <v>n.r.</v>
      </c>
      <c r="BW47" s="8" t="str">
        <f ca="1">OFFSET(Database!$F47,0,COLUMN(Database!BT47)*2-12)</f>
        <v>n.r.</v>
      </c>
      <c r="BX47" s="8" t="str">
        <f ca="1">OFFSET(Database!$F47,0,COLUMN(Database!BU47)*2-12)</f>
        <v>n.r.</v>
      </c>
      <c r="BY47" s="8" t="str">
        <f ca="1">OFFSET(Database!$F47,0,COLUMN(Database!BV47)*2-12)</f>
        <v>n.r.</v>
      </c>
      <c r="BZ47" s="8" t="str">
        <f ca="1">OFFSET(Database!$F47,0,COLUMN(Database!BW47)*2-12)</f>
        <v>n.r.</v>
      </c>
      <c r="CA47" s="8" t="str">
        <f ca="1">OFFSET(Database!$F47,0,COLUMN(Database!BX47)*2-12)</f>
        <v>n.r.</v>
      </c>
      <c r="CB47" s="8" t="str">
        <f ca="1">OFFSET(Database!$F47,0,COLUMN(Database!BY47)*2-12)</f>
        <v>n.r.</v>
      </c>
      <c r="CC47" s="8" t="str">
        <f ca="1">OFFSET(Database!$F47,0,COLUMN(Database!BZ47)*2-12)</f>
        <v>n.r.</v>
      </c>
      <c r="CD47" s="8" t="str">
        <f ca="1">OFFSET(Database!$F47,0,COLUMN(Database!CA47)*2-12)</f>
        <v>n.r.</v>
      </c>
      <c r="CE47" s="8" t="str">
        <f ca="1">OFFSET(Database!$F47,0,COLUMN(Database!CB47)*2-12)</f>
        <v>n.r.</v>
      </c>
      <c r="CF47" s="8" t="str">
        <f ca="1">OFFSET(Database!$F47,0,COLUMN(Database!CC47)*2-12)</f>
        <v>n.r.</v>
      </c>
      <c r="CG47" s="8" t="str">
        <f ca="1">OFFSET(Database!$F47,0,COLUMN(Database!CD47)*2-12)</f>
        <v>n.r.</v>
      </c>
      <c r="CH47" s="8" t="str">
        <f ca="1">OFFSET(Database!$F47,0,COLUMN(Database!CE47)*2-12)</f>
        <v>n.r.</v>
      </c>
      <c r="CI47" s="8" t="str">
        <f ca="1">OFFSET(Database!$F47,0,COLUMN(Database!CF47)*2-12)</f>
        <v>n.r.</v>
      </c>
      <c r="CJ47" s="8" t="str">
        <f ca="1">OFFSET(Database!$F47,0,COLUMN(Database!CG47)*2-12)</f>
        <v>n.r.</v>
      </c>
      <c r="CK47" s="8" t="str">
        <f ca="1">OFFSET(Database!$F47,0,COLUMN(Database!CH47)*2-12)</f>
        <v>n.r.</v>
      </c>
      <c r="CL47" s="8" t="str">
        <f ca="1">OFFSET(Database!$F47,0,COLUMN(Database!CI47)*2-12)</f>
        <v>n.r.</v>
      </c>
      <c r="CM47" s="8" t="str">
        <f ca="1">OFFSET(Database!$F47,0,COLUMN(Database!CJ47)*2-12)</f>
        <v>n.r.</v>
      </c>
      <c r="CN47" s="8" t="str">
        <f ca="1">OFFSET(Database!$F47,0,COLUMN(Database!CK47)*2-12)</f>
        <v>n.r.</v>
      </c>
      <c r="CO47" s="8" t="str">
        <f ca="1">OFFSET(Database!$F47,0,COLUMN(Database!CL47)*2-12)</f>
        <v>n.r.</v>
      </c>
      <c r="CP47" s="8" t="str">
        <f ca="1">OFFSET(Database!$F47,0,COLUMN(Database!CM47)*2-12)</f>
        <v>n.r.</v>
      </c>
      <c r="CQ47" s="8" t="str">
        <f ca="1">OFFSET(Database!$F47,0,COLUMN(Database!CN47)*2-12)</f>
        <v>n.r.</v>
      </c>
      <c r="CR47" s="8" t="str">
        <f ca="1">OFFSET(Database!$F47,0,COLUMN(Database!CO47)*2-12)</f>
        <v>n.r.</v>
      </c>
      <c r="CS47" s="8" t="str">
        <f ca="1">OFFSET(Database!$F47,0,COLUMN(Database!CP47)*2-12)</f>
        <v>n.r.</v>
      </c>
      <c r="CT47" s="8" t="str">
        <f ca="1">OFFSET(Database!$F47,0,COLUMN(Database!CQ47)*2-12)</f>
        <v>n.r.</v>
      </c>
      <c r="CU47" s="8" t="str">
        <f ca="1">OFFSET(Database!$F47,0,COLUMN(Database!CR47)*2-12)</f>
        <v>n.r.</v>
      </c>
      <c r="CV47" s="8" t="str">
        <f ca="1">OFFSET(Database!$F47,0,COLUMN(Database!CS47)*2-12)</f>
        <v>n.r.</v>
      </c>
      <c r="CW47" s="8" t="str">
        <f ca="1">OFFSET(Database!$F47,0,COLUMN(Database!CT47)*2-12)</f>
        <v>n.r.</v>
      </c>
      <c r="CX47" s="8" t="str">
        <f ca="1">OFFSET(Database!$F47,0,COLUMN(Database!CU47)*2-12)</f>
        <v>n.r.</v>
      </c>
      <c r="CY47" s="8" t="str">
        <f ca="1">OFFSET(Database!$F47,0,COLUMN(Database!CV47)*2-12)</f>
        <v>n.r.</v>
      </c>
      <c r="CZ47" s="8" t="str">
        <f ca="1">OFFSET(Database!$F47,0,COLUMN(Database!CW47)*2-12)</f>
        <v>n.r.</v>
      </c>
      <c r="DA47" s="8" t="str">
        <f ca="1">OFFSET(Database!$F47,0,COLUMN(Database!CX47)*2-12)</f>
        <v>n.r.</v>
      </c>
      <c r="DB47" s="8" t="str">
        <f ca="1">OFFSET(Database!$F47,0,COLUMN(Database!CY47)*2-12)</f>
        <v>n.r.</v>
      </c>
      <c r="DC47" s="8" t="str">
        <f ca="1">OFFSET(Database!$F47,0,COLUMN(Database!CZ47)*2-12)</f>
        <v>n.r.</v>
      </c>
      <c r="DD47" s="8" t="str">
        <f ca="1">OFFSET(Database!$F47,0,COLUMN(Database!DA47)*2-12)</f>
        <v>n.r.</v>
      </c>
      <c r="DE47" s="8" t="str">
        <f ca="1">OFFSET(Database!$F47,0,COLUMN(Database!DB47)*2-12)</f>
        <v>n.r.</v>
      </c>
      <c r="DF47" s="8" t="str">
        <f ca="1">OFFSET(Database!$F47,0,COLUMN(Database!DC47)*2-12)</f>
        <v>n.r.</v>
      </c>
      <c r="DG47" s="8" t="str">
        <f ca="1">OFFSET(Database!$F47,0,COLUMN(Database!DD47)*2-12)</f>
        <v>n.r.</v>
      </c>
      <c r="DH47" s="8" t="str">
        <f ca="1">OFFSET(Database!$F47,0,COLUMN(Database!DE47)*2-12)</f>
        <v>n.r.</v>
      </c>
      <c r="DI47" s="8" t="str">
        <f ca="1">OFFSET(Database!$F47,0,COLUMN(Database!DF47)*2-12)</f>
        <v>n.r.</v>
      </c>
      <c r="DJ47" s="8" t="str">
        <f ca="1">OFFSET(Database!$F47,0,COLUMN(Database!DG47)*2-12)</f>
        <v>n.r.</v>
      </c>
      <c r="DK47" s="8" t="str">
        <f ca="1">OFFSET(Database!$F47,0,COLUMN(Database!DH47)*2-12)</f>
        <v>n.r.</v>
      </c>
      <c r="DL47" s="8" t="str">
        <f ca="1">OFFSET(Database!$F47,0,COLUMN(Database!DI47)*2-12)</f>
        <v>n.r.</v>
      </c>
      <c r="DM47" s="8" t="str">
        <f ca="1">OFFSET(Database!$F47,0,COLUMN(Database!DJ47)*2-12)</f>
        <v>n.r.</v>
      </c>
      <c r="DN47" s="8" t="str">
        <f ca="1">OFFSET(Database!$F47,0,COLUMN(Database!DK47)*2-12)</f>
        <v>n.r.</v>
      </c>
      <c r="DO47" s="8" t="str">
        <f ca="1">OFFSET(Database!$F47,0,COLUMN(Database!DL47)*2-12)</f>
        <v>n.r.</v>
      </c>
      <c r="DP47" s="8" t="str">
        <f ca="1">OFFSET(Database!$F47,0,COLUMN(Database!DM47)*2-12)</f>
        <v>n.r.</v>
      </c>
      <c r="DQ47" s="8" t="str">
        <f ca="1">OFFSET(Database!$F47,0,COLUMN(Database!DN47)*2-12)</f>
        <v>n.r.</v>
      </c>
      <c r="DR47" s="8" t="str">
        <f ca="1">OFFSET(Database!$F47,0,COLUMN(Database!DO47)*2-12)</f>
        <v>n.r.</v>
      </c>
      <c r="DS47" s="8" t="str">
        <f ca="1">OFFSET(Database!$F47,0,COLUMN(Database!DP47)*2-12)</f>
        <v>n.r.</v>
      </c>
      <c r="DT47" s="8" t="str">
        <f ca="1">OFFSET(Database!$F47,0,COLUMN(Database!DQ47)*2-12)</f>
        <v>n.r.</v>
      </c>
      <c r="DU47" s="8" t="str">
        <f ca="1">OFFSET(Database!$F47,0,COLUMN(Database!DR47)*2-12)</f>
        <v>n.r.</v>
      </c>
      <c r="DV47" s="8" t="str">
        <f ca="1">OFFSET(Database!$F47,0,COLUMN(Database!DS47)*2-12)</f>
        <v>n.r.</v>
      </c>
      <c r="DW47" s="8" t="str">
        <f ca="1">OFFSET(Database!$F47,0,COLUMN(Database!DT47)*2-12)</f>
        <v>n.r.</v>
      </c>
      <c r="DX47" s="8" t="str">
        <f ca="1">OFFSET(Database!$F47,0,COLUMN(Database!DU47)*2-12)</f>
        <v>n.r.</v>
      </c>
      <c r="DY47" s="8" t="str">
        <f ca="1">OFFSET(Database!$F47,0,COLUMN(Database!DV47)*2-12)</f>
        <v>n.r.</v>
      </c>
      <c r="DZ47" s="8" t="str">
        <f ca="1">OFFSET(Database!$F47,0,COLUMN(Database!DW47)*2-12)</f>
        <v>n.r.</v>
      </c>
      <c r="EA47" s="8" t="str">
        <f ca="1">OFFSET(Database!$F47,0,COLUMN(Database!DX47)*2-12)</f>
        <v>n.r.</v>
      </c>
      <c r="EB47" s="8" t="str">
        <f ca="1">OFFSET(Database!$F47,0,COLUMN(Database!DY47)*2-12)</f>
        <v>n.r.</v>
      </c>
      <c r="EC47" s="8" t="str">
        <f ca="1">OFFSET(Database!$F47,0,COLUMN(Database!DZ47)*2-12)</f>
        <v>n.r.</v>
      </c>
      <c r="ED47" s="8" t="str">
        <f ca="1">OFFSET(Database!$F47,0,COLUMN(Database!EA47)*2-12)</f>
        <v>n.r.</v>
      </c>
      <c r="EE47" s="8" t="str">
        <f ca="1">OFFSET(Database!$F47,0,COLUMN(Database!EB47)*2-12)</f>
        <v>n.r.</v>
      </c>
      <c r="EF47" s="8" t="str">
        <f ca="1">OFFSET(Database!$F47,0,COLUMN(Database!EC47)*2-12)</f>
        <v>n.r.</v>
      </c>
      <c r="EG47" s="8" t="str">
        <f ca="1">OFFSET(Database!$F47,0,COLUMN(Database!ED47)*2-12)</f>
        <v>n.r.</v>
      </c>
      <c r="EH47" s="8" t="str">
        <f ca="1">OFFSET(Database!$F47,0,COLUMN(Database!EE47)*2-12)</f>
        <v>n.r.</v>
      </c>
      <c r="EI47" s="8" t="str">
        <f ca="1">OFFSET(Database!$F47,0,COLUMN(Database!EF47)*2-12)</f>
        <v>n.r.</v>
      </c>
      <c r="EJ47" s="8" t="str">
        <f ca="1">OFFSET(Database!$F47,0,COLUMN(Database!EG47)*2-12)</f>
        <v>n.r.</v>
      </c>
      <c r="EK47" s="8" t="str">
        <f ca="1">OFFSET(Database!$F47,0,COLUMN(Database!EH47)*2-12)</f>
        <v>n.r.</v>
      </c>
      <c r="EL47" s="8" t="str">
        <f ca="1">OFFSET(Database!$F47,0,COLUMN(Database!EI47)*2-12)</f>
        <v>n.r.</v>
      </c>
      <c r="EM47" s="8" t="str">
        <f ca="1">OFFSET(Database!$F47,0,COLUMN(Database!EJ47)*2-12)</f>
        <v>n.r.</v>
      </c>
      <c r="EN47" s="8" t="str">
        <f ca="1">OFFSET(Database!$F47,0,COLUMN(Database!EK47)*2-12)</f>
        <v>n.r.</v>
      </c>
      <c r="EO47" s="8" t="str">
        <f ca="1">OFFSET(Database!$F47,0,COLUMN(Database!EL47)*2-12)</f>
        <v>n.r.</v>
      </c>
      <c r="EP47" s="8" t="str">
        <f ca="1">OFFSET(Database!$F47,0,COLUMN(Database!EM47)*2-12)</f>
        <v>n.r.</v>
      </c>
      <c r="EQ47" s="8" t="str">
        <f ca="1">OFFSET(Database!$F47,0,COLUMN(Database!EN47)*2-12)</f>
        <v>n.r.</v>
      </c>
      <c r="ER47" s="8" t="str">
        <f ca="1">OFFSET(Database!$F47,0,COLUMN(Database!EO47)*2-12)</f>
        <v>n.r.</v>
      </c>
      <c r="ES47" s="8" t="str">
        <f ca="1">OFFSET(Database!$F47,0,COLUMN(Database!EP47)*2-12)</f>
        <v>n.r.</v>
      </c>
      <c r="ET47" s="8" t="str">
        <f ca="1">OFFSET(Database!$F47,0,COLUMN(Database!EQ47)*2-12)</f>
        <v>n.r.</v>
      </c>
      <c r="EU47" s="8" t="str">
        <f ca="1">OFFSET(Database!$F47,0,COLUMN(Database!ER47)*2-12)</f>
        <v>n.r.</v>
      </c>
      <c r="EV47" s="8" t="str">
        <f ca="1">OFFSET(Database!$F47,0,COLUMN(Database!ES47)*2-12)</f>
        <v>n.r.</v>
      </c>
      <c r="EW47" s="8" t="str">
        <f ca="1">OFFSET(Database!$F47,0,COLUMN(Database!ET47)*2-12)</f>
        <v>n.r.</v>
      </c>
      <c r="EX47" s="8" t="str">
        <f ca="1">OFFSET(Database!$F47,0,COLUMN(Database!EU47)*2-12)</f>
        <v>n.r.</v>
      </c>
      <c r="EY47" s="8" t="str">
        <f ca="1">OFFSET(Database!$F47,0,COLUMN(Database!EV47)*2-12)</f>
        <v>n.r.</v>
      </c>
      <c r="EZ47" s="8" t="str">
        <f ca="1">OFFSET(Database!$F47,0,COLUMN(Database!EW47)*2-12)</f>
        <v>n.r.</v>
      </c>
      <c r="FA47" s="8" t="str">
        <f ca="1">OFFSET(Database!$F47,0,COLUMN(Database!EX47)*2-12)</f>
        <v>n.r.</v>
      </c>
      <c r="FB47" s="8" t="str">
        <f ca="1">OFFSET(Database!$F47,0,COLUMN(Database!EY47)*2-12)</f>
        <v>n.r.</v>
      </c>
      <c r="FC47" s="8" t="str">
        <f ca="1">OFFSET(Database!$F47,0,COLUMN(Database!EZ47)*2-12)</f>
        <v>n.r.</v>
      </c>
      <c r="FD47" s="8" t="str">
        <f ca="1">OFFSET(Database!$F47,0,COLUMN(Database!FA47)*2-12)</f>
        <v>n.r.</v>
      </c>
      <c r="FE47" s="8" t="str">
        <f ca="1">OFFSET(Database!$F47,0,COLUMN(Database!FB47)*2-12)</f>
        <v>n.r.</v>
      </c>
      <c r="FF47" s="8" t="str">
        <f ca="1">OFFSET(Database!$F47,0,COLUMN(Database!FC47)*2-12)</f>
        <v>n.r.</v>
      </c>
      <c r="FG47" s="8" t="str">
        <f ca="1">OFFSET(Database!$F47,0,COLUMN(Database!FD47)*2-12)</f>
        <v>n.s.</v>
      </c>
      <c r="FH47" s="8" t="str">
        <f ca="1">OFFSET(Database!$F47,0,COLUMN(Database!FE47)*2-12)</f>
        <v>n.r.</v>
      </c>
      <c r="FI47" s="8" t="str">
        <f ca="1">OFFSET(Database!$F47,0,COLUMN(Database!FF47)*2-12)</f>
        <v>n.r.</v>
      </c>
      <c r="FJ47" s="8" t="str">
        <f ca="1">OFFSET(Database!$F47,0,COLUMN(Database!FG47)*2-12)</f>
        <v>n.r.</v>
      </c>
      <c r="FK47" s="8" t="str">
        <f ca="1">OFFSET(Database!$F47,0,COLUMN(Database!FH47)*2-12)</f>
        <v>n.s.</v>
      </c>
      <c r="FL47" s="8" t="str">
        <f ca="1">OFFSET(Database!$F47,0,COLUMN(Database!FI47)*2-12)</f>
        <v>n.s.</v>
      </c>
      <c r="FM47" s="8" t="str">
        <f ca="1">OFFSET(Database!$F47,0,COLUMN(Database!FJ47)*2-12)</f>
        <v>n.s.</v>
      </c>
      <c r="FN47" s="8" t="str">
        <f ca="1">OFFSET(Database!$F47,0,COLUMN(Database!FK47)*2-12)</f>
        <v>n.s.</v>
      </c>
      <c r="FO47" s="8" t="str">
        <f ca="1">OFFSET(Database!$F47,0,COLUMN(Database!FL47)*2-12)</f>
        <v>n.s.</v>
      </c>
      <c r="FP47" s="8" t="str">
        <f ca="1">OFFSET(Database!$F47,0,COLUMN(Database!FM47)*2-12)</f>
        <v>n.s.</v>
      </c>
      <c r="FQ47" s="8" t="str">
        <f ca="1">OFFSET(Database!$F47,0,COLUMN(Database!FN47)*2-12)</f>
        <v>n.r.</v>
      </c>
      <c r="FR47" s="8" t="str">
        <f ca="1">OFFSET(Database!$F47,0,COLUMN(Database!FO47)*2-12)</f>
        <v>n.r.</v>
      </c>
      <c r="FS47" s="8" t="str">
        <f ca="1">OFFSET(Database!$F47,0,COLUMN(Database!FP47)*2-12)</f>
        <v>n.r.</v>
      </c>
      <c r="FT47" s="8" t="str">
        <f ca="1">OFFSET(Database!$F47,0,COLUMN(Database!FQ47)*2-12)</f>
        <v>n.r.</v>
      </c>
      <c r="FU47" s="8" t="str">
        <f ca="1">OFFSET(Database!$F47,0,COLUMN(Database!FR47)*2-12)</f>
        <v>n.r.</v>
      </c>
      <c r="FV47" s="8" t="str">
        <f ca="1">OFFSET(Database!$F47,0,COLUMN(Database!FS47)*2-12)</f>
        <v>n.r.</v>
      </c>
      <c r="FW47" s="8" t="str">
        <f ca="1">OFFSET(Database!$F47,0,COLUMN(Database!FT47)*2-12)</f>
        <v>n.r.</v>
      </c>
      <c r="FX47" s="8" t="str">
        <f ca="1">OFFSET(Database!$F47,0,COLUMN(Database!FU47)*2-12)</f>
        <v>n.r.</v>
      </c>
      <c r="FY47" s="8" t="str">
        <f ca="1">OFFSET(Database!$F47,0,COLUMN(Database!FV47)*2-12)</f>
        <v>n.r.</v>
      </c>
      <c r="FZ47" s="8" t="str">
        <f ca="1">OFFSET(Database!$F47,0,COLUMN(Database!FW47)*2-12)</f>
        <v>n.r.</v>
      </c>
      <c r="GA47" s="8" t="str">
        <f ca="1">OFFSET(Database!$F47,0,COLUMN(Database!FX47)*2-12)</f>
        <v>n.r.</v>
      </c>
      <c r="GB47" s="8" t="str">
        <f ca="1">OFFSET(Database!$F47,0,COLUMN(Database!FY47)*2-12)</f>
        <v>n.r.</v>
      </c>
      <c r="GC47" s="8" t="str">
        <f ca="1">OFFSET(Database!$F47,0,COLUMN(Database!FZ47)*2-12)</f>
        <v>n.r.</v>
      </c>
      <c r="GD47" s="8" t="str">
        <f ca="1">OFFSET(Database!$F47,0,COLUMN(Database!GA47)*2-12)</f>
        <v>n.r.</v>
      </c>
      <c r="GE47" s="8" t="str">
        <f ca="1">OFFSET(Database!$F47,0,COLUMN(Database!GB47)*2-12)</f>
        <v>n.r.</v>
      </c>
      <c r="GF47" s="8" t="str">
        <f ca="1">OFFSET(Database!$F47,0,COLUMN(Database!GC47)*2-12)</f>
        <v>n.r.</v>
      </c>
      <c r="GG47" s="8">
        <f ca="1">OFFSET(Database!$F47,0,COLUMN(Database!GD47)*2-12)</f>
        <v>3156.2216167120796</v>
      </c>
      <c r="GH47" s="8">
        <f ca="1">OFFSET(Database!$F47,0,COLUMN(Database!GE47)*2-12)</f>
        <v>3557.3720859824402</v>
      </c>
      <c r="GI47" s="8">
        <f ca="1">OFFSET(Database!$F47,0,COLUMN(Database!GF47)*2-12)</f>
        <v>4934.9076597032999</v>
      </c>
      <c r="GJ47" s="8">
        <f ca="1">OFFSET(Database!$F47,0,COLUMN(Database!GG47)*2-12)</f>
        <v>5108.9918256130786</v>
      </c>
      <c r="GK47" s="8">
        <f ca="1">OFFSET(Database!$F47,0,COLUMN(Database!GH47)*2-12)</f>
        <v>26415.379957614288</v>
      </c>
      <c r="GL47" s="8">
        <f ca="1">OFFSET(Database!$F47,0,COLUMN(Database!GI47)*2-12)</f>
        <v>20814.411141386616</v>
      </c>
      <c r="GM47" s="8" t="str">
        <f ca="1">OFFSET(Database!$F47,0,COLUMN(Database!GJ47)*2-12)</f>
        <v>n.r.</v>
      </c>
      <c r="GN47" s="8">
        <f ca="1">OFFSET(Database!$F47,0,COLUMN(Database!GK47)*2-12)</f>
        <v>43142.597638510444</v>
      </c>
      <c r="GO47" s="8" t="str">
        <f ca="1">OFFSET(Database!$F47,0,COLUMN(Database!GL47)*2-12)</f>
        <v>n.r.</v>
      </c>
      <c r="GP47" s="8" t="str">
        <f ca="1">OFFSET(Database!$F47,0,COLUMN(Database!GM47)*2-12)</f>
        <v>n.r.</v>
      </c>
    </row>
    <row r="48" spans="1:198" x14ac:dyDescent="0.2">
      <c r="A48" s="50" t="str">
        <f>Database!A48</f>
        <v>D-valine</v>
      </c>
      <c r="B48" s="1" t="s">
        <v>869</v>
      </c>
      <c r="C48" s="4" t="str">
        <f>Database!B48</f>
        <v>ɑ</v>
      </c>
      <c r="D48" s="4" t="str">
        <f>Database!C48</f>
        <v>D</v>
      </c>
      <c r="E48" s="74">
        <f>Database!D48</f>
        <v>60</v>
      </c>
      <c r="F48" s="34" t="s">
        <v>926</v>
      </c>
      <c r="G48" s="1">
        <v>71563</v>
      </c>
      <c r="H48" s="1">
        <f>Database!E48</f>
        <v>117.15</v>
      </c>
      <c r="I48" s="8" t="str">
        <f ca="1">OFFSET(Database!$F48,0,COLUMN(Database!F48)*2-12)</f>
        <v>b.b.</v>
      </c>
      <c r="J48" s="8" t="str">
        <f ca="1">OFFSET(Database!$F48,0,COLUMN(Database!G48)*2-12)</f>
        <v>b.b.</v>
      </c>
      <c r="K48" s="8" t="str">
        <f ca="1">OFFSET(Database!$F48,0,COLUMN(Database!H48)*2-12)</f>
        <v>tr</v>
      </c>
      <c r="L48" s="8" t="str">
        <f ca="1">OFFSET(Database!$F48,0,COLUMN(Database!I48)*2-12)</f>
        <v>b.b.</v>
      </c>
      <c r="M48" s="8" t="str">
        <f ca="1">OFFSET(Database!$F48,0,COLUMN(Database!J48)*2-12)</f>
        <v>tr</v>
      </c>
      <c r="N48" s="8">
        <f ca="1">OFFSET(Database!$F48,0,COLUMN(Database!K48)*2-12)</f>
        <v>6.8288518992744338E-2</v>
      </c>
      <c r="O48" s="8">
        <f ca="1">OFFSET(Database!$F48,0,COLUMN(Database!L48)*2-12)</f>
        <v>0.05</v>
      </c>
      <c r="P48" s="8">
        <f ca="1">OFFSET(Database!$F48,0,COLUMN(Database!M48)*2-12)</f>
        <v>0.06</v>
      </c>
      <c r="Q48" s="8">
        <f ca="1">OFFSET(Database!$F48,0,COLUMN(Database!N48)*2-12)</f>
        <v>13.6</v>
      </c>
      <c r="R48" s="8">
        <f ca="1">OFFSET(Database!$F48,0,COLUMN(Database!O48)*2-12)</f>
        <v>49</v>
      </c>
      <c r="S48" s="8">
        <f ca="1">OFFSET(Database!$F48,0,COLUMN(Database!P48)*2-12)</f>
        <v>31.284677763551002</v>
      </c>
      <c r="T48" s="8">
        <f ca="1">OFFSET(Database!$F48,0,COLUMN(Database!Q48)*2-12)</f>
        <v>61.6</v>
      </c>
      <c r="U48" s="8">
        <f ca="1">OFFSET(Database!$F48,0,COLUMN(Database!R48)*2-12)</f>
        <v>29.4</v>
      </c>
      <c r="V48" s="8" t="str">
        <f ca="1">OFFSET(Database!$F48,0,COLUMN(Database!S48)*2-12)</f>
        <v>&lt;0.003</v>
      </c>
      <c r="W48" s="8">
        <f ca="1">OFFSET(Database!$F48,0,COLUMN(Database!T48)*2-12)</f>
        <v>2.219376867264191E-2</v>
      </c>
      <c r="X48" s="8">
        <f ca="1">OFFSET(Database!$F48,0,COLUMN(Database!U48)*2-12)</f>
        <v>1.3657703798548868</v>
      </c>
      <c r="Y48" s="8">
        <f ca="1">OFFSET(Database!$F48,0,COLUMN(Database!V48)*2-12)</f>
        <v>0.55000000000000004</v>
      </c>
      <c r="Z48" s="8">
        <f ca="1">OFFSET(Database!$F48,0,COLUMN(Database!W48)*2-12)</f>
        <v>0.62</v>
      </c>
      <c r="AA48" s="8">
        <f ca="1">OFFSET(Database!$F48,0,COLUMN(Database!X48)*2-12)</f>
        <v>2</v>
      </c>
      <c r="AB48" s="8">
        <f ca="1">OFFSET(Database!$F48,0,COLUMN(Database!Y48)*2-12)</f>
        <v>0.49509176269739646</v>
      </c>
      <c r="AC48" s="8">
        <f ca="1">OFFSET(Database!$F48,0,COLUMN(Database!Z48)*2-12)</f>
        <v>0.89628681177976943</v>
      </c>
      <c r="AD48" s="8">
        <f ca="1">OFFSET(Database!$F48,0,COLUMN(Database!AA48)*2-12)</f>
        <v>0.40973111395646605</v>
      </c>
      <c r="AE48" s="8">
        <f ca="1">OFFSET(Database!$F48,0,COLUMN(Database!AB48)*2-12)</f>
        <v>3.0473751600512164</v>
      </c>
      <c r="AF48" s="8">
        <f ca="1">OFFSET(Database!$F48,0,COLUMN(Database!AC48)*2-12)</f>
        <v>5.6</v>
      </c>
      <c r="AG48" s="8" t="str">
        <f ca="1">OFFSET(Database!$F48,0,COLUMN(Database!AD48)*2-12)</f>
        <v>&lt;0.01</v>
      </c>
      <c r="AH48" s="8" t="str">
        <f ca="1">OFFSET(Database!$F48,0,COLUMN(Database!AE48)*2-12)</f>
        <v>n.r.</v>
      </c>
      <c r="AI48" s="8" t="str">
        <f ca="1">OFFSET(Database!$F48,0,COLUMN(Database!AF48)*2-12)</f>
        <v>&lt;0.1</v>
      </c>
      <c r="AJ48" s="8">
        <f ca="1">OFFSET(Database!$F48,0,COLUMN(Database!AG48)*2-12)</f>
        <v>0.14000000000000001</v>
      </c>
      <c r="AK48" s="8">
        <f ca="1">OFFSET(Database!$F48,0,COLUMN(Database!AH48)*2-12)</f>
        <v>0.38</v>
      </c>
      <c r="AL48" s="8">
        <f ca="1">OFFSET(Database!$F48,0,COLUMN(Database!AI48)*2-12)</f>
        <v>4.9000000000000004</v>
      </c>
      <c r="AM48" s="8">
        <f ca="1">OFFSET(Database!$F48,0,COLUMN(Database!AJ48)*2-12)</f>
        <v>0.92</v>
      </c>
      <c r="AN48" s="8">
        <f ca="1">OFFSET(Database!$F48,0,COLUMN(Database!AK48)*2-12)</f>
        <v>0.92</v>
      </c>
      <c r="AO48" s="8">
        <f ca="1">OFFSET(Database!$F48,0,COLUMN(Database!AL48)*2-12)</f>
        <v>0.18779342723004694</v>
      </c>
      <c r="AP48" s="8">
        <f ca="1">OFFSET(Database!$F48,0,COLUMN(Database!AM48)*2-12)</f>
        <v>0.05</v>
      </c>
      <c r="AQ48" s="8" t="str">
        <f ca="1">OFFSET(Database!$F48,0,COLUMN(Database!AN48)*2-12)</f>
        <v>&lt;0.01</v>
      </c>
      <c r="AR48" s="8" t="str">
        <f ca="1">OFFSET(Database!$F48,0,COLUMN(Database!AO48)*2-12)</f>
        <v>&lt;0.01</v>
      </c>
      <c r="AS48" s="8">
        <f ca="1">OFFSET(Database!$F48,0,COLUMN(Database!AP48)*2-12)</f>
        <v>2.3047375160051217E-2</v>
      </c>
      <c r="AT48" s="8" t="str">
        <f ca="1">OFFSET(Database!$F48,0,COLUMN(Database!AQ48)*2-12)</f>
        <v>&lt;0.0009</v>
      </c>
      <c r="AU48" s="8" t="str">
        <f ca="1">OFFSET(Database!$F48,0,COLUMN(Database!AR48)*2-12)</f>
        <v>&lt;0.0009</v>
      </c>
      <c r="AV48" s="8" t="str">
        <f ca="1">OFFSET(Database!$F48,0,COLUMN(Database!AS48)*2-12)</f>
        <v>&lt;0.0009</v>
      </c>
      <c r="AW48" s="8" t="str">
        <f ca="1">OFFSET(Database!$F48,0,COLUMN(Database!AT48)*2-12)</f>
        <v>&lt;0.0009</v>
      </c>
      <c r="AX48" s="8">
        <f ca="1">OFFSET(Database!$F48,0,COLUMN(Database!AU48)*2-12)</f>
        <v>4.2680324370465211E-3</v>
      </c>
      <c r="AY48" s="8">
        <f ca="1">OFFSET(Database!$F48,0,COLUMN(Database!AV48)*2-12)</f>
        <v>1.7072129748186087E-3</v>
      </c>
      <c r="AZ48" s="8">
        <f ca="1">OFFSET(Database!$F48,0,COLUMN(Database!AW48)*2-12)</f>
        <v>7.6824583866837385E-3</v>
      </c>
      <c r="BA48" s="8">
        <f ca="1">OFFSET(Database!$F48,0,COLUMN(Database!AX48)*2-12)</f>
        <v>1.5364916773367477E-2</v>
      </c>
      <c r="BB48" s="8" t="str">
        <f ca="1">OFFSET(Database!$F48,0,COLUMN(Database!AY48)*2-12)</f>
        <v>&lt;0.0009</v>
      </c>
      <c r="BC48" s="8">
        <f ca="1">OFFSET(Database!$F48,0,COLUMN(Database!AZ48)*2-12)</f>
        <v>2.6461801109688432E-2</v>
      </c>
      <c r="BD48" s="8">
        <f ca="1">OFFSET(Database!$F48,0,COLUMN(Database!BA48)*2-12)</f>
        <v>0.25608194622279129</v>
      </c>
      <c r="BE48" s="8">
        <f ca="1">OFFSET(Database!$F48,0,COLUMN(Database!BB48)*2-12)</f>
        <v>5.1216389244558257E-3</v>
      </c>
      <c r="BF48" s="8">
        <f ca="1">OFFSET(Database!$F48,0,COLUMN(Database!BC48)*2-12)</f>
        <v>1.7072129748186087E-3</v>
      </c>
      <c r="BG48" s="8">
        <f ca="1">OFFSET(Database!$F48,0,COLUMN(Database!BD48)*2-12)</f>
        <v>3.4144259496372174E-3</v>
      </c>
      <c r="BH48" s="8">
        <f ca="1">OFFSET(Database!$F48,0,COLUMN(Database!BE48)*2-12)</f>
        <v>2.5608194622279128E-2</v>
      </c>
      <c r="BI48" s="8">
        <f ca="1">OFFSET(Database!$F48,0,COLUMN(Database!BF48)*2-12)</f>
        <v>0.27571489543320526</v>
      </c>
      <c r="BJ48" s="8">
        <f ca="1">OFFSET(Database!$F48,0,COLUMN(Database!BG48)*2-12)</f>
        <v>1.2291933418693981</v>
      </c>
      <c r="BK48" s="8">
        <f ca="1">OFFSET(Database!$F48,0,COLUMN(Database!BH48)*2-12)</f>
        <v>0.33290653008962867</v>
      </c>
      <c r="BL48" s="8">
        <f ca="1">OFFSET(Database!$F48,0,COLUMN(Database!BI48)*2-12)</f>
        <v>0.26461801109688432</v>
      </c>
      <c r="BM48" s="8">
        <f ca="1">OFFSET(Database!$F48,0,COLUMN(Database!BJ48)*2-12)</f>
        <v>4.2680324370465211E-3</v>
      </c>
      <c r="BN48" s="8">
        <f ca="1">OFFSET(Database!$F48,0,COLUMN(Database!BK48)*2-12)</f>
        <v>1.2804097311139564E-2</v>
      </c>
      <c r="BO48" s="8">
        <f ca="1">OFFSET(Database!$F48,0,COLUMN(Database!BL48)*2-12)</f>
        <v>2.4754588134869825E-2</v>
      </c>
      <c r="BP48" s="8">
        <f ca="1">OFFSET(Database!$F48,0,COLUMN(Database!BM48)*2-12)</f>
        <v>1.8779342723004695E-2</v>
      </c>
      <c r="BQ48" s="8" t="str">
        <f ca="1">OFFSET(Database!$F48,0,COLUMN(Database!BN48)*2-12)</f>
        <v>&lt;0.0009</v>
      </c>
      <c r="BR48" s="8" t="str">
        <f ca="1">OFFSET(Database!$F48,0,COLUMN(Database!BO48)*2-12)</f>
        <v>&lt;0.0009</v>
      </c>
      <c r="BS48" s="8" t="str">
        <f ca="1">OFFSET(Database!$F48,0,COLUMN(Database!BP48)*2-12)</f>
        <v>&lt;0.001</v>
      </c>
      <c r="BT48" s="8" t="str">
        <f ca="1">OFFSET(Database!$F48,0,COLUMN(Database!BQ48)*2-12)</f>
        <v>&lt;0.001</v>
      </c>
      <c r="BU48" s="8" t="str">
        <f ca="1">OFFSET(Database!$F48,0,COLUMN(Database!BR48)*2-12)</f>
        <v>&lt;0.001</v>
      </c>
      <c r="BV48" s="8" t="str">
        <f ca="1">OFFSET(Database!$F48,0,COLUMN(Database!BS48)*2-12)</f>
        <v>&lt;0.001</v>
      </c>
      <c r="BW48" s="8" t="str">
        <f ca="1">OFFSET(Database!$F48,0,COLUMN(Database!BT48)*2-12)</f>
        <v>&lt;0.0001</v>
      </c>
      <c r="BX48" s="8" t="str">
        <f ca="1">OFFSET(Database!$F48,0,COLUMN(Database!BU48)*2-12)</f>
        <v>&lt;0.0001</v>
      </c>
      <c r="BY48" s="8" t="str">
        <f ca="1">OFFSET(Database!$F48,0,COLUMN(Database!BV48)*2-12)</f>
        <v>&lt;0.0001</v>
      </c>
      <c r="BZ48" s="8">
        <f ca="1">OFFSET(Database!$F48,0,COLUMN(Database!BW48)*2-12)</f>
        <v>0.45582586427656846</v>
      </c>
      <c r="CA48" s="8">
        <f ca="1">OFFSET(Database!$F48,0,COLUMN(Database!BX48)*2-12)</f>
        <v>0.65215535638070854</v>
      </c>
      <c r="CB48" s="8" t="str">
        <f ca="1">OFFSET(Database!$F48,0,COLUMN(Database!BY48)*2-12)</f>
        <v>&lt;0.0085</v>
      </c>
      <c r="CC48" s="8" t="str">
        <f ca="1">OFFSET(Database!$F48,0,COLUMN(Database!BZ48)*2-12)</f>
        <v>&lt;0.0171</v>
      </c>
      <c r="CD48" s="8" t="str">
        <f ca="1">OFFSET(Database!$F48,0,COLUMN(Database!CA48)*2-12)</f>
        <v>&lt;0.0085</v>
      </c>
      <c r="CE48" s="8" t="str">
        <f ca="1">OFFSET(Database!$F48,0,COLUMN(Database!CB48)*2-12)</f>
        <v>&lt;0.0085</v>
      </c>
      <c r="CF48" s="8" t="str">
        <f ca="1">OFFSET(Database!$F48,0,COLUMN(Database!CC48)*2-12)</f>
        <v>&lt;0.0009</v>
      </c>
      <c r="CG48" s="8" t="str">
        <f ca="1">OFFSET(Database!$F48,0,COLUMN(Database!CD48)*2-12)</f>
        <v>&lt;0.0085</v>
      </c>
      <c r="CH48" s="8" t="str">
        <f ca="1">OFFSET(Database!$F48,0,COLUMN(Database!CE48)*2-12)</f>
        <v>&lt;0.0085</v>
      </c>
      <c r="CI48" s="8" t="str">
        <f ca="1">OFFSET(Database!$F48,0,COLUMN(Database!CF48)*2-12)</f>
        <v>&lt;0.0085</v>
      </c>
      <c r="CJ48" s="8" t="str">
        <f ca="1">OFFSET(Database!$F48,0,COLUMN(Database!CG48)*2-12)</f>
        <v>&lt;0.0085</v>
      </c>
      <c r="CK48" s="8" t="str">
        <f ca="1">OFFSET(Database!$F48,0,COLUMN(Database!CH48)*2-12)</f>
        <v>&lt;0.0085</v>
      </c>
      <c r="CL48" s="8" t="str">
        <f ca="1">OFFSET(Database!$F48,0,COLUMN(Database!CI48)*2-12)</f>
        <v>&lt;0.0085</v>
      </c>
      <c r="CM48" s="8" t="str">
        <f ca="1">OFFSET(Database!$F48,0,COLUMN(Database!CJ48)*2-12)</f>
        <v>&lt;0.0085</v>
      </c>
      <c r="CN48" s="8" t="str">
        <f ca="1">OFFSET(Database!$F48,0,COLUMN(Database!CK48)*2-12)</f>
        <v>&lt;0.0085</v>
      </c>
      <c r="CO48" s="8" t="str">
        <f ca="1">OFFSET(Database!$F48,0,COLUMN(Database!CL48)*2-12)</f>
        <v>&lt;0.0068</v>
      </c>
      <c r="CP48" s="8" t="str">
        <f ca="1">OFFSET(Database!$F48,0,COLUMN(Database!CM48)*2-12)</f>
        <v>&lt;0.1</v>
      </c>
      <c r="CQ48" s="8" t="str">
        <f ca="1">OFFSET(Database!$F48,0,COLUMN(Database!CN48)*2-12)</f>
        <v>&lt;0.1</v>
      </c>
      <c r="CR48" s="8">
        <f ca="1">OFFSET(Database!$F48,0,COLUMN(Database!CO48)*2-12)</f>
        <v>0.86</v>
      </c>
      <c r="CS48" s="8" t="str">
        <f ca="1">OFFSET(Database!$F48,0,COLUMN(Database!CP48)*2-12)</f>
        <v>&lt;0.1</v>
      </c>
      <c r="CT48" s="8" t="str">
        <f ca="1">OFFSET(Database!$F48,0,COLUMN(Database!CQ48)*2-12)</f>
        <v>&lt;0.1</v>
      </c>
      <c r="CU48" s="8" t="str">
        <f ca="1">OFFSET(Database!$F48,0,COLUMN(Database!CR48)*2-12)</f>
        <v>&lt;0.1</v>
      </c>
      <c r="CV48" s="8" t="str">
        <f ca="1">OFFSET(Database!$F48,0,COLUMN(Database!CS48)*2-12)</f>
        <v>&lt;0.1</v>
      </c>
      <c r="CW48" s="8" t="str">
        <f ca="1">OFFSET(Database!$F48,0,COLUMN(Database!CT48)*2-12)</f>
        <v>&lt;0.1</v>
      </c>
      <c r="CX48" s="8" t="str">
        <f ca="1">OFFSET(Database!$F48,0,COLUMN(Database!CU48)*2-12)</f>
        <v>&lt;0.1</v>
      </c>
      <c r="CY48" s="8" t="str">
        <f ca="1">OFFSET(Database!$F48,0,COLUMN(Database!CV48)*2-12)</f>
        <v>&lt;0.1</v>
      </c>
      <c r="CZ48" s="8" t="str">
        <f ca="1">OFFSET(Database!$F48,0,COLUMN(Database!CW48)*2-12)</f>
        <v>&lt;0.1</v>
      </c>
      <c r="DA48" s="8" t="str">
        <f ca="1">OFFSET(Database!$F48,0,COLUMN(Database!CX48)*2-12)</f>
        <v>&lt;0.1</v>
      </c>
      <c r="DB48" s="8" t="str">
        <f ca="1">OFFSET(Database!$F48,0,COLUMN(Database!CY48)*2-12)</f>
        <v>&lt;0.07</v>
      </c>
      <c r="DC48" s="8" t="str">
        <f ca="1">OFFSET(Database!$F48,0,COLUMN(Database!CZ48)*2-12)</f>
        <v>&lt;0.07</v>
      </c>
      <c r="DD48" s="8">
        <f ca="1">OFFSET(Database!$F48,0,COLUMN(Database!DA48)*2-12)</f>
        <v>0.16</v>
      </c>
      <c r="DE48" s="8" t="str">
        <f ca="1">OFFSET(Database!$F48,0,COLUMN(Database!DB48)*2-12)</f>
        <v>&lt;0.0085</v>
      </c>
      <c r="DF48" s="8" t="str">
        <f ca="1">OFFSET(Database!$F48,0,COLUMN(Database!DC48)*2-12)</f>
        <v>n.r.</v>
      </c>
      <c r="DG48" s="8" t="str">
        <f ca="1">OFFSET(Database!$F48,0,COLUMN(Database!DD48)*2-12)</f>
        <v>n.r.</v>
      </c>
      <c r="DH48" s="8" t="str">
        <f ca="1">OFFSET(Database!$F48,0,COLUMN(Database!DE48)*2-12)</f>
        <v>n.r.</v>
      </c>
      <c r="DI48" s="8" t="str">
        <f ca="1">OFFSET(Database!$F48,0,COLUMN(Database!DF48)*2-12)</f>
        <v>n.r.</v>
      </c>
      <c r="DJ48" s="8" t="str">
        <f ca="1">OFFSET(Database!$F48,0,COLUMN(Database!DG48)*2-12)</f>
        <v>n.r.</v>
      </c>
      <c r="DK48" s="8" t="str">
        <f ca="1">OFFSET(Database!$F48,0,COLUMN(Database!DH48)*2-12)</f>
        <v>n.r.</v>
      </c>
      <c r="DL48" s="8" t="str">
        <f ca="1">OFFSET(Database!$F48,0,COLUMN(Database!DI48)*2-12)</f>
        <v>n.r.</v>
      </c>
      <c r="DM48" s="8" t="str">
        <f ca="1">OFFSET(Database!$F48,0,COLUMN(Database!DJ48)*2-12)</f>
        <v>n.r.</v>
      </c>
      <c r="DN48" s="8">
        <f ca="1">OFFSET(Database!$F48,0,COLUMN(Database!DK48)*2-12)</f>
        <v>8.1999999999999993</v>
      </c>
      <c r="DO48" s="8">
        <f ca="1">OFFSET(Database!$F48,0,COLUMN(Database!DL48)*2-12)</f>
        <v>8</v>
      </c>
      <c r="DP48" s="8">
        <f ca="1">OFFSET(Database!$F48,0,COLUMN(Database!DM48)*2-12)</f>
        <v>1.47</v>
      </c>
      <c r="DQ48" s="8">
        <f ca="1">OFFSET(Database!$F48,0,COLUMN(Database!DN48)*2-12)</f>
        <v>0.75</v>
      </c>
      <c r="DR48" s="8" t="str">
        <f ca="1">OFFSET(Database!$F48,0,COLUMN(Database!DO48)*2-12)</f>
        <v>l.o.q.</v>
      </c>
      <c r="DS48" s="8">
        <f ca="1">OFFSET(Database!$F48,0,COLUMN(Database!DP48)*2-12)</f>
        <v>3.23</v>
      </c>
      <c r="DT48" s="8">
        <f ca="1">OFFSET(Database!$F48,0,COLUMN(Database!DQ48)*2-12)</f>
        <v>0.97</v>
      </c>
      <c r="DU48" s="8">
        <f ca="1">OFFSET(Database!$F48,0,COLUMN(Database!DR48)*2-12)</f>
        <v>3.9600000000000003E-2</v>
      </c>
      <c r="DV48" s="8" t="str">
        <f ca="1">OFFSET(Database!$F48,0,COLUMN(Database!DS48)*2-12)</f>
        <v>n.dt.</v>
      </c>
      <c r="DW48" s="8" t="str">
        <f ca="1">OFFSET(Database!$F48,0,COLUMN(Database!DT48)*2-12)</f>
        <v>n.r.</v>
      </c>
      <c r="DX48" s="8" t="str">
        <f ca="1">OFFSET(Database!$F48,0,COLUMN(Database!DU48)*2-12)</f>
        <v>n.r.</v>
      </c>
      <c r="DY48" s="8" t="str">
        <f ca="1">OFFSET(Database!$F48,0,COLUMN(Database!DV48)*2-12)</f>
        <v>n.r.</v>
      </c>
      <c r="DZ48" s="8" t="str">
        <f ca="1">OFFSET(Database!$F48,0,COLUMN(Database!DW48)*2-12)</f>
        <v>n.r.</v>
      </c>
      <c r="EA48" s="8" t="str">
        <f ca="1">OFFSET(Database!$F48,0,COLUMN(Database!DX48)*2-12)</f>
        <v>n.r.</v>
      </c>
      <c r="EB48" s="8" t="str">
        <f ca="1">OFFSET(Database!$F48,0,COLUMN(Database!DY48)*2-12)</f>
        <v>n.r.</v>
      </c>
      <c r="EC48" s="8" t="str">
        <f ca="1">OFFSET(Database!$F48,0,COLUMN(Database!DZ48)*2-12)</f>
        <v>&lt;0.1</v>
      </c>
      <c r="ED48" s="8" t="str">
        <f ca="1">OFFSET(Database!$F48,0,COLUMN(Database!EA48)*2-12)</f>
        <v>n.r.</v>
      </c>
      <c r="EE48" s="8" t="str">
        <f ca="1">OFFSET(Database!$F48,0,COLUMN(Database!EB48)*2-12)</f>
        <v>n.r.</v>
      </c>
      <c r="EF48" s="8" t="str">
        <f ca="1">OFFSET(Database!$F48,0,COLUMN(Database!EC48)*2-12)</f>
        <v>n.r.</v>
      </c>
      <c r="EG48" s="8" t="str">
        <f ca="1">OFFSET(Database!$F48,0,COLUMN(Database!ED48)*2-12)</f>
        <v>n.r.</v>
      </c>
      <c r="EH48" s="8" t="str">
        <f ca="1">OFFSET(Database!$F48,0,COLUMN(Database!EE48)*2-12)</f>
        <v>n.r.</v>
      </c>
      <c r="EI48" s="8" t="str">
        <f ca="1">OFFSET(Database!$F48,0,COLUMN(Database!EF48)*2-12)</f>
        <v>n.r.</v>
      </c>
      <c r="EJ48" s="8" t="str">
        <f ca="1">OFFSET(Database!$F48,0,COLUMN(Database!EG48)*2-12)</f>
        <v>n.r.</v>
      </c>
      <c r="EK48" s="8" t="str">
        <f ca="1">OFFSET(Database!$F48,0,COLUMN(Database!EH48)*2-12)</f>
        <v>n.r.</v>
      </c>
      <c r="EL48" s="8" t="str">
        <f ca="1">OFFSET(Database!$F48,0,COLUMN(Database!EI48)*2-12)</f>
        <v>n.r.</v>
      </c>
      <c r="EM48" s="8" t="str">
        <f ca="1">OFFSET(Database!$F48,0,COLUMN(Database!EJ48)*2-12)</f>
        <v>n.r.</v>
      </c>
      <c r="EN48" s="8" t="str">
        <f ca="1">OFFSET(Database!$F48,0,COLUMN(Database!EK48)*2-12)</f>
        <v>n.r.</v>
      </c>
      <c r="EO48" s="8" t="str">
        <f ca="1">OFFSET(Database!$F48,0,COLUMN(Database!EL48)*2-12)</f>
        <v>n.r.</v>
      </c>
      <c r="EP48" s="8" t="str">
        <f ca="1">OFFSET(Database!$F48,0,COLUMN(Database!EM48)*2-12)</f>
        <v>n.r.</v>
      </c>
      <c r="EQ48" s="8" t="str">
        <f ca="1">OFFSET(Database!$F48,0,COLUMN(Database!EN48)*2-12)</f>
        <v>n.r.</v>
      </c>
      <c r="ER48" s="8">
        <f ca="1">OFFSET(Database!$F48,0,COLUMN(Database!EO48)*2-12)</f>
        <v>7.9209243572251955</v>
      </c>
      <c r="ES48" s="8">
        <f ca="1">OFFSET(Database!$F48,0,COLUMN(Database!EP48)*2-12)</f>
        <v>21.004136666761436</v>
      </c>
      <c r="ET48" s="8">
        <f ca="1">OFFSET(Database!$F48,0,COLUMN(Database!EQ48)*2-12)</f>
        <v>23.344651759861723</v>
      </c>
      <c r="EU48" s="8">
        <f ca="1">OFFSET(Database!$F48,0,COLUMN(Database!ER48)*2-12)</f>
        <v>69.916647626091574</v>
      </c>
      <c r="EV48" s="8">
        <f ca="1">OFFSET(Database!$F48,0,COLUMN(Database!ES48)*2-12)</f>
        <v>13.945751649549495</v>
      </c>
      <c r="EW48" s="8" t="str">
        <f ca="1">OFFSET(Database!$F48,0,COLUMN(Database!ET48)*2-12)</f>
        <v>n.r.</v>
      </c>
      <c r="EX48" s="8" t="str">
        <f ca="1">OFFSET(Database!$F48,0,COLUMN(Database!EU48)*2-12)</f>
        <v>n.r.</v>
      </c>
      <c r="EY48" s="8" t="str">
        <f ca="1">OFFSET(Database!$F48,0,COLUMN(Database!EV48)*2-12)</f>
        <v>n.r.</v>
      </c>
      <c r="EZ48" s="8" t="str">
        <f ca="1">OFFSET(Database!$F48,0,COLUMN(Database!EW48)*2-12)</f>
        <v>n.r.</v>
      </c>
      <c r="FA48" s="8" t="str">
        <f ca="1">OFFSET(Database!$F48,0,COLUMN(Database!EX48)*2-12)</f>
        <v>n.r.</v>
      </c>
      <c r="FB48" s="8" t="str">
        <f ca="1">OFFSET(Database!$F48,0,COLUMN(Database!EY48)*2-12)</f>
        <v>n.r.</v>
      </c>
      <c r="FC48" s="8" t="str">
        <f ca="1">OFFSET(Database!$F48,0,COLUMN(Database!EZ48)*2-12)</f>
        <v>n.r.</v>
      </c>
      <c r="FD48" s="8" t="str">
        <f ca="1">OFFSET(Database!$F48,0,COLUMN(Database!FA48)*2-12)</f>
        <v>n.d.</v>
      </c>
      <c r="FE48" s="8" t="str">
        <f ca="1">OFFSET(Database!$F48,0,COLUMN(Database!FB48)*2-12)</f>
        <v>n.d.</v>
      </c>
      <c r="FF48" s="8" t="str">
        <f ca="1">OFFSET(Database!$F48,0,COLUMN(Database!FC48)*2-12)</f>
        <v>n.d.</v>
      </c>
      <c r="FG48" s="8" t="str">
        <f ca="1">OFFSET(Database!$F48,0,COLUMN(Database!FD48)*2-12)</f>
        <v>n.r.</v>
      </c>
      <c r="FH48" s="8" t="str">
        <f ca="1">OFFSET(Database!$F48,0,COLUMN(Database!FE48)*2-12)</f>
        <v>n.r.</v>
      </c>
      <c r="FI48" s="8" t="str">
        <f ca="1">OFFSET(Database!$F48,0,COLUMN(Database!FF48)*2-12)</f>
        <v>n.r.</v>
      </c>
      <c r="FJ48" s="8" t="str">
        <f ca="1">OFFSET(Database!$F48,0,COLUMN(Database!FG48)*2-12)</f>
        <v>n.r.</v>
      </c>
      <c r="FK48" s="8" t="str">
        <f ca="1">OFFSET(Database!$F48,0,COLUMN(Database!FH48)*2-12)</f>
        <v>n.r.</v>
      </c>
      <c r="FL48" s="8" t="str">
        <f ca="1">OFFSET(Database!$F48,0,COLUMN(Database!FI48)*2-12)</f>
        <v>n.r.</v>
      </c>
      <c r="FM48" s="8" t="str">
        <f ca="1">OFFSET(Database!$F48,0,COLUMN(Database!FJ48)*2-12)</f>
        <v>n.r.</v>
      </c>
      <c r="FN48" s="8" t="str">
        <f ca="1">OFFSET(Database!$F48,0,COLUMN(Database!FK48)*2-12)</f>
        <v>n.r.</v>
      </c>
      <c r="FO48" s="8" t="str">
        <f ca="1">OFFSET(Database!$F48,0,COLUMN(Database!FL48)*2-12)</f>
        <v>n.r.</v>
      </c>
      <c r="FP48" s="8" t="str">
        <f ca="1">OFFSET(Database!$F48,0,COLUMN(Database!FM48)*2-12)</f>
        <v>n.r.</v>
      </c>
      <c r="FQ48" s="8" t="str">
        <f ca="1">OFFSET(Database!$F48,0,COLUMN(Database!FN48)*2-12)</f>
        <v>n.r.</v>
      </c>
      <c r="FR48" s="8" t="str">
        <f ca="1">OFFSET(Database!$F48,0,COLUMN(Database!FO48)*2-12)</f>
        <v>n.r.</v>
      </c>
      <c r="FS48" s="8" t="str">
        <f ca="1">OFFSET(Database!$F48,0,COLUMN(Database!FP48)*2-12)</f>
        <v>n.r.</v>
      </c>
      <c r="FT48" s="8" t="str">
        <f ca="1">OFFSET(Database!$F48,0,COLUMN(Database!FQ48)*2-12)</f>
        <v>n.r.</v>
      </c>
      <c r="FU48" s="8" t="str">
        <f ca="1">OFFSET(Database!$F48,0,COLUMN(Database!FR48)*2-12)</f>
        <v>n.r.</v>
      </c>
      <c r="FV48" s="8" t="str">
        <f ca="1">OFFSET(Database!$F48,0,COLUMN(Database!FS48)*2-12)</f>
        <v>n.r.</v>
      </c>
      <c r="FW48" s="8" t="str">
        <f ca="1">OFFSET(Database!$F48,0,COLUMN(Database!FT48)*2-12)</f>
        <v>n.r.</v>
      </c>
      <c r="FX48" s="8" t="str">
        <f ca="1">OFFSET(Database!$F48,0,COLUMN(Database!FU48)*2-12)</f>
        <v>n.r.</v>
      </c>
      <c r="FY48" s="8" t="str">
        <f ca="1">OFFSET(Database!$F48,0,COLUMN(Database!FV48)*2-12)</f>
        <v>n.r.</v>
      </c>
      <c r="FZ48" s="8" t="str">
        <f ca="1">OFFSET(Database!$F48,0,COLUMN(Database!FW48)*2-12)</f>
        <v>n.r.</v>
      </c>
      <c r="GA48" s="8" t="str">
        <f ca="1">OFFSET(Database!$F48,0,COLUMN(Database!FX48)*2-12)</f>
        <v>n.r.</v>
      </c>
      <c r="GB48" s="8" t="str">
        <f ca="1">OFFSET(Database!$F48,0,COLUMN(Database!FY48)*2-12)</f>
        <v>n.r.</v>
      </c>
      <c r="GC48" s="8" t="str">
        <f ca="1">OFFSET(Database!$F48,0,COLUMN(Database!FZ48)*2-12)</f>
        <v>n.r.</v>
      </c>
      <c r="GD48" s="8" t="str">
        <f ca="1">OFFSET(Database!$F48,0,COLUMN(Database!GA48)*2-12)</f>
        <v>n.r.</v>
      </c>
      <c r="GE48" s="8" t="str">
        <f ca="1">OFFSET(Database!$F48,0,COLUMN(Database!GB48)*2-12)</f>
        <v>n.r.</v>
      </c>
      <c r="GF48" s="8" t="str">
        <f ca="1">OFFSET(Database!$F48,0,COLUMN(Database!GC48)*2-12)</f>
        <v>n.r.</v>
      </c>
      <c r="GG48" s="8" t="str">
        <f ca="1">OFFSET(Database!$F48,0,COLUMN(Database!GD48)*2-12)</f>
        <v>n.r.</v>
      </c>
      <c r="GH48" s="8" t="str">
        <f ca="1">OFFSET(Database!$F48,0,COLUMN(Database!GE48)*2-12)</f>
        <v>n.r.</v>
      </c>
      <c r="GI48" s="8" t="str">
        <f ca="1">OFFSET(Database!$F48,0,COLUMN(Database!GF48)*2-12)</f>
        <v>n.r.</v>
      </c>
      <c r="GJ48" s="8" t="str">
        <f ca="1">OFFSET(Database!$F48,0,COLUMN(Database!GG48)*2-12)</f>
        <v>n.r.</v>
      </c>
      <c r="GK48" s="8" t="str">
        <f ca="1">OFFSET(Database!$F48,0,COLUMN(Database!GH48)*2-12)</f>
        <v>n.r.</v>
      </c>
      <c r="GL48" s="8" t="str">
        <f ca="1">OFFSET(Database!$F48,0,COLUMN(Database!GI48)*2-12)</f>
        <v>n.r.</v>
      </c>
      <c r="GM48" s="8" t="str">
        <f ca="1">OFFSET(Database!$F48,0,COLUMN(Database!GJ48)*2-12)</f>
        <v>n.r.</v>
      </c>
      <c r="GN48" s="8" t="str">
        <f ca="1">OFFSET(Database!$F48,0,COLUMN(Database!GK48)*2-12)</f>
        <v>n.r.</v>
      </c>
      <c r="GO48" s="8" t="str">
        <f ca="1">OFFSET(Database!$F48,0,COLUMN(Database!GL48)*2-12)</f>
        <v>n.d.</v>
      </c>
      <c r="GP48" s="8" t="str">
        <f ca="1">OFFSET(Database!$F48,0,COLUMN(Database!GM48)*2-12)</f>
        <v>n.d.</v>
      </c>
    </row>
    <row r="49" spans="1:198" x14ac:dyDescent="0.2">
      <c r="A49" s="50" t="str">
        <f>Database!A49</f>
        <v>L-valine</v>
      </c>
      <c r="B49" s="1" t="s">
        <v>869</v>
      </c>
      <c r="C49" s="4" t="str">
        <f>Database!B49</f>
        <v>ɑ</v>
      </c>
      <c r="D49" s="4" t="str">
        <f>Database!C49</f>
        <v>L</v>
      </c>
      <c r="E49" s="74">
        <f>Database!D49</f>
        <v>102</v>
      </c>
      <c r="F49" s="1" t="s">
        <v>927</v>
      </c>
      <c r="G49" s="1">
        <v>6287</v>
      </c>
      <c r="H49" s="1">
        <f>Database!E49</f>
        <v>117.15</v>
      </c>
      <c r="I49" s="8" t="str">
        <f ca="1">OFFSET(Database!$F49,0,COLUMN(Database!F49)*2-12)</f>
        <v>tr</v>
      </c>
      <c r="J49" s="8">
        <f ca="1">OFFSET(Database!$F49,0,COLUMN(Database!G49)*2-12)</f>
        <v>5.1999999999999998E-3</v>
      </c>
      <c r="K49" s="8">
        <f ca="1">OFFSET(Database!$F49,0,COLUMN(Database!H49)*2-12)</f>
        <v>1.61E-2</v>
      </c>
      <c r="L49" s="8" t="str">
        <f ca="1">OFFSET(Database!$F49,0,COLUMN(Database!I49)*2-12)</f>
        <v>tr</v>
      </c>
      <c r="M49" s="8" t="str">
        <f ca="1">OFFSET(Database!$F49,0,COLUMN(Database!J49)*2-12)</f>
        <v>tr</v>
      </c>
      <c r="N49" s="8">
        <f ca="1">OFFSET(Database!$F49,0,COLUMN(Database!K49)*2-12)</f>
        <v>0.11096884336320956</v>
      </c>
      <c r="O49" s="8">
        <f ca="1">OFFSET(Database!$F49,0,COLUMN(Database!L49)*2-12)</f>
        <v>0.1</v>
      </c>
      <c r="P49" s="8">
        <f ca="1">OFFSET(Database!$F49,0,COLUMN(Database!M49)*2-12)</f>
        <v>0.14000000000000001</v>
      </c>
      <c r="Q49" s="8">
        <f ca="1">OFFSET(Database!$F49,0,COLUMN(Database!N49)*2-12)</f>
        <v>17.899999999999999</v>
      </c>
      <c r="R49" s="8">
        <f ca="1">OFFSET(Database!$F49,0,COLUMN(Database!O49)*2-12)</f>
        <v>51.7</v>
      </c>
      <c r="S49" s="8">
        <f ca="1">OFFSET(Database!$F49,0,COLUMN(Database!P49)*2-12)</f>
        <v>31.00298762270593</v>
      </c>
      <c r="T49" s="8">
        <f ca="1">OFFSET(Database!$F49,0,COLUMN(Database!Q49)*2-12)</f>
        <v>65.3</v>
      </c>
      <c r="U49" s="8">
        <f ca="1">OFFSET(Database!$F49,0,COLUMN(Database!R49)*2-12)</f>
        <v>33</v>
      </c>
      <c r="V49" s="8" t="str">
        <f ca="1">OFFSET(Database!$F49,0,COLUMN(Database!S49)*2-12)</f>
        <v>n.s.</v>
      </c>
      <c r="W49" s="8" t="str">
        <f ca="1">OFFSET(Database!$F49,0,COLUMN(Database!T49)*2-12)</f>
        <v>n.s.</v>
      </c>
      <c r="X49" s="8" t="str">
        <f ca="1">OFFSET(Database!$F49,0,COLUMN(Database!U49)*2-12)</f>
        <v>n.s.</v>
      </c>
      <c r="Y49" s="8">
        <f ca="1">OFFSET(Database!$F49,0,COLUMN(Database!V49)*2-12)</f>
        <v>2.8</v>
      </c>
      <c r="Z49" s="8">
        <f ca="1">OFFSET(Database!$F49,0,COLUMN(Database!W49)*2-12)</f>
        <v>0.93</v>
      </c>
      <c r="AA49" s="8">
        <f ca="1">OFFSET(Database!$F49,0,COLUMN(Database!X49)*2-12)</f>
        <v>3.9</v>
      </c>
      <c r="AB49" s="8">
        <f ca="1">OFFSET(Database!$F49,0,COLUMN(Database!Y49)*2-12)</f>
        <v>1.1011523687580025</v>
      </c>
      <c r="AC49" s="8">
        <f ca="1">OFFSET(Database!$F49,0,COLUMN(Database!Z49)*2-12)</f>
        <v>0.94750320102432772</v>
      </c>
      <c r="AD49" s="8">
        <f ca="1">OFFSET(Database!$F49,0,COLUMN(Database!AA49)*2-12)</f>
        <v>0.46948356807511737</v>
      </c>
      <c r="AE49" s="8">
        <f ca="1">OFFSET(Database!$F49,0,COLUMN(Database!AB49)*2-12)</f>
        <v>4.0973111395646606</v>
      </c>
      <c r="AF49" s="8">
        <f ca="1">OFFSET(Database!$F49,0,COLUMN(Database!AC49)*2-12)</f>
        <v>6.8</v>
      </c>
      <c r="AG49" s="8" t="str">
        <f ca="1">OFFSET(Database!$F49,0,COLUMN(Database!AD49)*2-12)</f>
        <v>&lt;0.01</v>
      </c>
      <c r="AH49" s="8" t="str">
        <f ca="1">OFFSET(Database!$F49,0,COLUMN(Database!AE49)*2-12)</f>
        <v>n.r.</v>
      </c>
      <c r="AI49" s="8">
        <f ca="1">OFFSET(Database!$F49,0,COLUMN(Database!AF49)*2-12)</f>
        <v>0.32</v>
      </c>
      <c r="AJ49" s="8">
        <f ca="1">OFFSET(Database!$F49,0,COLUMN(Database!AG49)*2-12)</f>
        <v>0.9</v>
      </c>
      <c r="AK49" s="8">
        <f ca="1">OFFSET(Database!$F49,0,COLUMN(Database!AH49)*2-12)</f>
        <v>7.1</v>
      </c>
      <c r="AL49" s="8">
        <f ca="1">OFFSET(Database!$F49,0,COLUMN(Database!AI49)*2-12)</f>
        <v>5.2</v>
      </c>
      <c r="AM49" s="8">
        <f ca="1">OFFSET(Database!$F49,0,COLUMN(Database!AJ49)*2-12)</f>
        <v>20.100000000000001</v>
      </c>
      <c r="AN49" s="8">
        <f ca="1">OFFSET(Database!$F49,0,COLUMN(Database!AK49)*2-12)</f>
        <v>27</v>
      </c>
      <c r="AO49" s="8">
        <f ca="1">OFFSET(Database!$F49,0,COLUMN(Database!AL49)*2-12)</f>
        <v>0.4780196329492104</v>
      </c>
      <c r="AP49" s="8">
        <f ca="1">OFFSET(Database!$F49,0,COLUMN(Database!AM49)*2-12)</f>
        <v>0.06</v>
      </c>
      <c r="AQ49" s="8">
        <f ca="1">OFFSET(Database!$F49,0,COLUMN(Database!AN49)*2-12)</f>
        <v>0.14000000000000001</v>
      </c>
      <c r="AR49" s="8">
        <f ca="1">OFFSET(Database!$F49,0,COLUMN(Database!AO49)*2-12)</f>
        <v>0.02</v>
      </c>
      <c r="AS49" s="8">
        <f ca="1">OFFSET(Database!$F49,0,COLUMN(Database!AP49)*2-12)</f>
        <v>0.24754588134869823</v>
      </c>
      <c r="AT49" s="8">
        <f ca="1">OFFSET(Database!$F49,0,COLUMN(Database!AQ49)*2-12)</f>
        <v>0.7767819035424669</v>
      </c>
      <c r="AU49" s="8">
        <f ca="1">OFFSET(Database!$F49,0,COLUMN(Database!AR49)*2-12)</f>
        <v>5.1216389244558257E-3</v>
      </c>
      <c r="AV49" s="8" t="str">
        <f ca="1">OFFSET(Database!$F49,0,COLUMN(Database!AS49)*2-12)</f>
        <v>&lt;0.0009</v>
      </c>
      <c r="AW49" s="8">
        <f ca="1">OFFSET(Database!$F49,0,COLUMN(Database!AT49)*2-12)</f>
        <v>2.8169014084507039E-2</v>
      </c>
      <c r="AX49" s="8">
        <f ca="1">OFFSET(Database!$F49,0,COLUMN(Database!AU49)*2-12)</f>
        <v>1.1096884336320955E-2</v>
      </c>
      <c r="AY49" s="8">
        <f ca="1">OFFSET(Database!$F49,0,COLUMN(Database!AV49)*2-12)</f>
        <v>1.7072129748186084E-2</v>
      </c>
      <c r="AZ49" s="8">
        <f ca="1">OFFSET(Database!$F49,0,COLUMN(Database!AW49)*2-12)</f>
        <v>2.0486555697823303E-2</v>
      </c>
      <c r="BA49" s="8">
        <f ca="1">OFFSET(Database!$F49,0,COLUMN(Database!AX49)*2-12)</f>
        <v>4.438753734528382E-2</v>
      </c>
      <c r="BB49" s="8">
        <f ca="1">OFFSET(Database!$F49,0,COLUMN(Database!AY49)*2-12)</f>
        <v>1.7925736235595392E-2</v>
      </c>
      <c r="BC49" s="8">
        <f ca="1">OFFSET(Database!$F49,0,COLUMN(Database!AZ49)*2-12)</f>
        <v>4.9509176269739649E-2</v>
      </c>
      <c r="BD49" s="8">
        <f ca="1">OFFSET(Database!$F49,0,COLUMN(Database!BA49)*2-12)</f>
        <v>3.1583440034144257</v>
      </c>
      <c r="BE49" s="8">
        <f ca="1">OFFSET(Database!$F49,0,COLUMN(Database!BB49)*2-12)</f>
        <v>5.1216389244558257E-2</v>
      </c>
      <c r="BF49" s="8">
        <f ca="1">OFFSET(Database!$F49,0,COLUMN(Database!BC49)*2-12)</f>
        <v>3.9265898420827991E-2</v>
      </c>
      <c r="BG49" s="8">
        <f ca="1">OFFSET(Database!$F49,0,COLUMN(Database!BD49)*2-12)</f>
        <v>1.7925736235595392E-2</v>
      </c>
      <c r="BH49" s="8">
        <f ca="1">OFFSET(Database!$F49,0,COLUMN(Database!BE49)*2-12)</f>
        <v>0.20145113102859583</v>
      </c>
      <c r="BI49" s="8">
        <f ca="1">OFFSET(Database!$F49,0,COLUMN(Database!BF49)*2-12)</f>
        <v>0.73922321809645741</v>
      </c>
      <c r="BJ49" s="8">
        <f ca="1">OFFSET(Database!$F49,0,COLUMN(Database!BG49)*2-12)</f>
        <v>2.8510456679470764</v>
      </c>
      <c r="BK49" s="8">
        <f ca="1">OFFSET(Database!$F49,0,COLUMN(Database!BH49)*2-12)</f>
        <v>1.0243277848911652</v>
      </c>
      <c r="BL49" s="8">
        <f ca="1">OFFSET(Database!$F49,0,COLUMN(Database!BI49)*2-12)</f>
        <v>0.7767819035424669</v>
      </c>
      <c r="BM49" s="8">
        <f ca="1">OFFSET(Database!$F49,0,COLUMN(Database!BJ49)*2-12)</f>
        <v>7.6824583866837381E-2</v>
      </c>
      <c r="BN49" s="8">
        <f ca="1">OFFSET(Database!$F49,0,COLUMN(Database!BK49)*2-12)</f>
        <v>0.19632949210413997</v>
      </c>
      <c r="BO49" s="8">
        <f ca="1">OFFSET(Database!$F49,0,COLUMN(Database!BL49)*2-12)</f>
        <v>6.1459667093469908E-2</v>
      </c>
      <c r="BP49" s="8">
        <f ca="1">OFFSET(Database!$F49,0,COLUMN(Database!BM49)*2-12)</f>
        <v>0.48655569782330343</v>
      </c>
      <c r="BQ49" s="8" t="str">
        <f ca="1">OFFSET(Database!$F49,0,COLUMN(Database!BN49)*2-12)</f>
        <v>&lt;0.42</v>
      </c>
      <c r="BR49" s="8" t="str">
        <f ca="1">OFFSET(Database!$F49,0,COLUMN(Database!BO49)*2-12)</f>
        <v>&lt;0.026</v>
      </c>
      <c r="BS49" s="8" t="str">
        <f ca="1">OFFSET(Database!$F49,0,COLUMN(Database!BP49)*2-12)</f>
        <v>&lt;0.07</v>
      </c>
      <c r="BT49" s="8">
        <f ca="1">OFFSET(Database!$F49,0,COLUMN(Database!BQ49)*2-12)</f>
        <v>2.3047375160051217E-2</v>
      </c>
      <c r="BU49" s="8">
        <f ca="1">OFFSET(Database!$F49,0,COLUMN(Database!BR49)*2-12)</f>
        <v>8.5360648740930422E-3</v>
      </c>
      <c r="BV49" s="8">
        <f ca="1">OFFSET(Database!$F49,0,COLUMN(Database!BS49)*2-12)</f>
        <v>1.9632949210413995E-2</v>
      </c>
      <c r="BW49" s="8" t="str">
        <f ca="1">OFFSET(Database!$F49,0,COLUMN(Database!BT49)*2-12)</f>
        <v>&lt;0.0001</v>
      </c>
      <c r="BX49" s="8" t="str">
        <f ca="1">OFFSET(Database!$F49,0,COLUMN(Database!BU49)*2-12)</f>
        <v>&lt;0.0001</v>
      </c>
      <c r="BY49" s="8" t="str">
        <f ca="1">OFFSET(Database!$F49,0,COLUMN(Database!BV49)*2-12)</f>
        <v>&lt;0.0001</v>
      </c>
      <c r="BZ49" s="8">
        <f ca="1">OFFSET(Database!$F49,0,COLUMN(Database!BW49)*2-12)</f>
        <v>1.3179684165599659</v>
      </c>
      <c r="CA49" s="8">
        <f ca="1">OFFSET(Database!$F49,0,COLUMN(Database!BX49)*2-12)</f>
        <v>0.99445155783183947</v>
      </c>
      <c r="CB49" s="8" t="str">
        <f ca="1">OFFSET(Database!$F49,0,COLUMN(Database!BY49)*2-12)</f>
        <v>&lt;0.0427</v>
      </c>
      <c r="CC49" s="8" t="str">
        <f ca="1">OFFSET(Database!$F49,0,COLUMN(Database!BZ49)*2-12)</f>
        <v>&lt;0.0171</v>
      </c>
      <c r="CD49" s="8">
        <f ca="1">OFFSET(Database!$F49,0,COLUMN(Database!CA49)*2-12)</f>
        <v>0.2987622705932565</v>
      </c>
      <c r="CE49" s="8">
        <f ca="1">OFFSET(Database!$F49,0,COLUMN(Database!CB49)*2-12)</f>
        <v>0.23047375160051214</v>
      </c>
      <c r="CF49" s="8">
        <f ca="1">OFFSET(Database!$F49,0,COLUMN(Database!CC49)*2-12)</f>
        <v>0.13657703798548868</v>
      </c>
      <c r="CG49" s="8">
        <f ca="1">OFFSET(Database!$F49,0,COLUMN(Database!CD49)*2-12)</f>
        <v>1.7072129748186084E-2</v>
      </c>
      <c r="CH49" s="8" t="str">
        <f ca="1">OFFSET(Database!$F49,0,COLUMN(Database!CE49)*2-12)</f>
        <v>&lt;0.0085</v>
      </c>
      <c r="CI49" s="8">
        <f ca="1">OFFSET(Database!$F49,0,COLUMN(Database!CF49)*2-12)</f>
        <v>0.26461801109688432</v>
      </c>
      <c r="CJ49" s="8">
        <f ca="1">OFFSET(Database!$F49,0,COLUMN(Database!CG49)*2-12)</f>
        <v>0.17925736235595391</v>
      </c>
      <c r="CK49" s="8">
        <f ca="1">OFFSET(Database!$F49,0,COLUMN(Database!CH49)*2-12)</f>
        <v>0.1195049082373026</v>
      </c>
      <c r="CL49" s="8">
        <f ca="1">OFFSET(Database!$F49,0,COLUMN(Database!CI49)*2-12)</f>
        <v>0.2390098164746052</v>
      </c>
      <c r="CM49" s="8">
        <f ca="1">OFFSET(Database!$F49,0,COLUMN(Database!CJ49)*2-12)</f>
        <v>0.30729833546734953</v>
      </c>
      <c r="CN49" s="8">
        <f ca="1">OFFSET(Database!$F49,0,COLUMN(Database!CK49)*2-12)</f>
        <v>0.19632949210413997</v>
      </c>
      <c r="CO49" s="8">
        <f ca="1">OFFSET(Database!$F49,0,COLUMN(Database!CL49)*2-12)</f>
        <v>0.14511310285958173</v>
      </c>
      <c r="CP49" s="8">
        <f ca="1">OFFSET(Database!$F49,0,COLUMN(Database!CM49)*2-12)</f>
        <v>1.33</v>
      </c>
      <c r="CQ49" s="8">
        <f ca="1">OFFSET(Database!$F49,0,COLUMN(Database!CN49)*2-12)</f>
        <v>0.12</v>
      </c>
      <c r="CR49" s="8">
        <f ca="1">OFFSET(Database!$F49,0,COLUMN(Database!CO49)*2-12)</f>
        <v>0.61</v>
      </c>
      <c r="CS49" s="8">
        <f ca="1">OFFSET(Database!$F49,0,COLUMN(Database!CP49)*2-12)</f>
        <v>0.31</v>
      </c>
      <c r="CT49" s="8" t="str">
        <f ca="1">OFFSET(Database!$F49,0,COLUMN(Database!CQ49)*2-12)</f>
        <v>&lt;0.1</v>
      </c>
      <c r="CU49" s="8" t="str">
        <f ca="1">OFFSET(Database!$F49,0,COLUMN(Database!CR49)*2-12)</f>
        <v>&lt;0.1</v>
      </c>
      <c r="CV49" s="8" t="str">
        <f ca="1">OFFSET(Database!$F49,0,COLUMN(Database!CS49)*2-12)</f>
        <v>&lt;0.1</v>
      </c>
      <c r="CW49" s="8" t="str">
        <f ca="1">OFFSET(Database!$F49,0,COLUMN(Database!CT49)*2-12)</f>
        <v>&lt;0.1</v>
      </c>
      <c r="CX49" s="8">
        <f ca="1">OFFSET(Database!$F49,0,COLUMN(Database!CU49)*2-12)</f>
        <v>2.76</v>
      </c>
      <c r="CY49" s="8" t="str">
        <f ca="1">OFFSET(Database!$F49,0,COLUMN(Database!CV49)*2-12)</f>
        <v>&lt;0.1</v>
      </c>
      <c r="CZ49" s="8" t="str">
        <f ca="1">OFFSET(Database!$F49,0,COLUMN(Database!CW49)*2-12)</f>
        <v>&lt;0.1</v>
      </c>
      <c r="DA49" s="8">
        <f ca="1">OFFSET(Database!$F49,0,COLUMN(Database!CX49)*2-12)</f>
        <v>0.73</v>
      </c>
      <c r="DB49" s="8" t="str">
        <f ca="1">OFFSET(Database!$F49,0,COLUMN(Database!CY49)*2-12)</f>
        <v>&lt;0.06</v>
      </c>
      <c r="DC49" s="8" t="str">
        <f ca="1">OFFSET(Database!$F49,0,COLUMN(Database!CZ49)*2-12)</f>
        <v>&lt;0.06</v>
      </c>
      <c r="DD49" s="8">
        <f ca="1">OFFSET(Database!$F49,0,COLUMN(Database!DA49)*2-12)</f>
        <v>0.32</v>
      </c>
      <c r="DE49" s="8" t="str">
        <f ca="1">OFFSET(Database!$F49,0,COLUMN(Database!DB49)*2-12)</f>
        <v>&lt;0.0085</v>
      </c>
      <c r="DF49" s="8">
        <f ca="1">OFFSET(Database!$F49,0,COLUMN(Database!DC49)*2-12)</f>
        <v>3.5567000000000002</v>
      </c>
      <c r="DG49" s="8">
        <f ca="1">OFFSET(Database!$F49,0,COLUMN(Database!DD49)*2-12)</f>
        <v>25.334299999999999</v>
      </c>
      <c r="DH49" s="8">
        <f ca="1">OFFSET(Database!$F49,0,COLUMN(Database!DE49)*2-12)</f>
        <v>28.0825</v>
      </c>
      <c r="DI49" s="8">
        <f ca="1">OFFSET(Database!$F49,0,COLUMN(Database!DF49)*2-12)</f>
        <v>12.5779</v>
      </c>
      <c r="DJ49" s="8">
        <f ca="1">OFFSET(Database!$F49,0,COLUMN(Database!DG49)*2-12)</f>
        <v>21.574200000000001</v>
      </c>
      <c r="DK49" s="8">
        <f ca="1">OFFSET(Database!$F49,0,COLUMN(Database!DH49)*2-12)</f>
        <v>54.862299999999998</v>
      </c>
      <c r="DL49" s="8">
        <f ca="1">OFFSET(Database!$F49,0,COLUMN(Database!DI49)*2-12)</f>
        <v>1.9426000000000001</v>
      </c>
      <c r="DM49" s="8">
        <f ca="1">OFFSET(Database!$F49,0,COLUMN(Database!DJ49)*2-12)</f>
        <v>27.549299999999999</v>
      </c>
      <c r="DN49" s="8">
        <f ca="1">OFFSET(Database!$F49,0,COLUMN(Database!DK49)*2-12)</f>
        <v>310</v>
      </c>
      <c r="DO49" s="8">
        <f ca="1">OFFSET(Database!$F49,0,COLUMN(Database!DL49)*2-12)</f>
        <v>290</v>
      </c>
      <c r="DP49" s="8">
        <f ca="1">OFFSET(Database!$F49,0,COLUMN(Database!DM49)*2-12)</f>
        <v>51</v>
      </c>
      <c r="DQ49" s="8">
        <f ca="1">OFFSET(Database!$F49,0,COLUMN(Database!DN49)*2-12)</f>
        <v>30.7</v>
      </c>
      <c r="DR49" s="8">
        <f ca="1">OFFSET(Database!$F49,0,COLUMN(Database!DO49)*2-12)</f>
        <v>5.65</v>
      </c>
      <c r="DS49" s="8">
        <f ca="1">OFFSET(Database!$F49,0,COLUMN(Database!DP49)*2-12)</f>
        <v>179</v>
      </c>
      <c r="DT49" s="8">
        <f ca="1">OFFSET(Database!$F49,0,COLUMN(Database!DQ49)*2-12)</f>
        <v>39</v>
      </c>
      <c r="DU49" s="8">
        <f ca="1">OFFSET(Database!$F49,0,COLUMN(Database!DR49)*2-12)</f>
        <v>2.9622000000000002</v>
      </c>
      <c r="DV49" s="8" t="str">
        <f ca="1">OFFSET(Database!$F49,0,COLUMN(Database!DS49)*2-12)</f>
        <v>b.b.</v>
      </c>
      <c r="DW49" s="8" t="str">
        <f ca="1">OFFSET(Database!$F49,0,COLUMN(Database!DT49)*2-12)</f>
        <v>n.r.</v>
      </c>
      <c r="DX49" s="8" t="str">
        <f ca="1">OFFSET(Database!$F49,0,COLUMN(Database!DU49)*2-12)</f>
        <v>n.r.</v>
      </c>
      <c r="DY49" s="8" t="str">
        <f ca="1">OFFSET(Database!$F49,0,COLUMN(Database!DV49)*2-12)</f>
        <v>n.r.</v>
      </c>
      <c r="DZ49" s="8" t="str">
        <f ca="1">OFFSET(Database!$F49,0,COLUMN(Database!DW49)*2-12)</f>
        <v>n.r.</v>
      </c>
      <c r="EA49" s="8" t="str">
        <f ca="1">OFFSET(Database!$F49,0,COLUMN(Database!DX49)*2-12)</f>
        <v>n.r.</v>
      </c>
      <c r="EB49" s="8" t="str">
        <f ca="1">OFFSET(Database!$F49,0,COLUMN(Database!DY49)*2-12)</f>
        <v>n.r.</v>
      </c>
      <c r="EC49" s="8">
        <f ca="1">OFFSET(Database!$F49,0,COLUMN(Database!DZ49)*2-12)</f>
        <v>1.5</v>
      </c>
      <c r="ED49" s="8" t="str">
        <f ca="1">OFFSET(Database!$F49,0,COLUMN(Database!EA49)*2-12)</f>
        <v>n.r.</v>
      </c>
      <c r="EE49" s="8" t="str">
        <f ca="1">OFFSET(Database!$F49,0,COLUMN(Database!EB49)*2-12)</f>
        <v>n.r.</v>
      </c>
      <c r="EF49" s="8" t="str">
        <f ca="1">OFFSET(Database!$F49,0,COLUMN(Database!EC49)*2-12)</f>
        <v>n.r.</v>
      </c>
      <c r="EG49" s="8" t="str">
        <f ca="1">OFFSET(Database!$F49,0,COLUMN(Database!ED49)*2-12)</f>
        <v>n.r.</v>
      </c>
      <c r="EH49" s="8" t="str">
        <f ca="1">OFFSET(Database!$F49,0,COLUMN(Database!EE49)*2-12)</f>
        <v>n.r.</v>
      </c>
      <c r="EI49" s="8" t="str">
        <f ca="1">OFFSET(Database!$F49,0,COLUMN(Database!EF49)*2-12)</f>
        <v>n.r.</v>
      </c>
      <c r="EJ49" s="8" t="str">
        <f ca="1">OFFSET(Database!$F49,0,COLUMN(Database!EG49)*2-12)</f>
        <v>n.r.</v>
      </c>
      <c r="EK49" s="8" t="str">
        <f ca="1">OFFSET(Database!$F49,0,COLUMN(Database!EH49)*2-12)</f>
        <v>n.r.</v>
      </c>
      <c r="EL49" s="8" t="str">
        <f ca="1">OFFSET(Database!$F49,0,COLUMN(Database!EI49)*2-12)</f>
        <v>n.r.</v>
      </c>
      <c r="EM49" s="8" t="str">
        <f ca="1">OFFSET(Database!$F49,0,COLUMN(Database!EJ49)*2-12)</f>
        <v>n.r.</v>
      </c>
      <c r="EN49" s="8" t="str">
        <f ca="1">OFFSET(Database!$F49,0,COLUMN(Database!EK49)*2-12)</f>
        <v>n.r.</v>
      </c>
      <c r="EO49" s="8" t="str">
        <f ca="1">OFFSET(Database!$F49,0,COLUMN(Database!EL49)*2-12)</f>
        <v>n.r.</v>
      </c>
      <c r="EP49" s="8" t="str">
        <f ca="1">OFFSET(Database!$F49,0,COLUMN(Database!EM49)*2-12)</f>
        <v>n.r.</v>
      </c>
      <c r="EQ49" s="8" t="str">
        <f ca="1">OFFSET(Database!$F49,0,COLUMN(Database!EN49)*2-12)</f>
        <v>n.r.</v>
      </c>
      <c r="ER49" s="8">
        <f ca="1">OFFSET(Database!$F49,0,COLUMN(Database!EO49)*2-12)</f>
        <v>8026.693811216056</v>
      </c>
      <c r="ES49" s="8">
        <f ca="1">OFFSET(Database!$F49,0,COLUMN(Database!EP49)*2-12)</f>
        <v>8522.7221390025916</v>
      </c>
      <c r="ET49" s="8">
        <f ca="1">OFFSET(Database!$F49,0,COLUMN(Database!EQ49)*2-12)</f>
        <v>6248.5863651053869</v>
      </c>
      <c r="EU49" s="8">
        <f ca="1">OFFSET(Database!$F49,0,COLUMN(Database!ER49)*2-12)</f>
        <v>7339.5810000848551</v>
      </c>
      <c r="EV49" s="8">
        <f ca="1">OFFSET(Database!$F49,0,COLUMN(Database!ES49)*2-12)</f>
        <v>7552.8697796569868</v>
      </c>
      <c r="EW49" s="8" t="str">
        <f ca="1">OFFSET(Database!$F49,0,COLUMN(Database!ET49)*2-12)</f>
        <v>n.r.</v>
      </c>
      <c r="EX49" s="8" t="str">
        <f ca="1">OFFSET(Database!$F49,0,COLUMN(Database!EU49)*2-12)</f>
        <v>n.r.</v>
      </c>
      <c r="EY49" s="8" t="str">
        <f ca="1">OFFSET(Database!$F49,0,COLUMN(Database!EV49)*2-12)</f>
        <v>n.r.</v>
      </c>
      <c r="EZ49" s="8" t="str">
        <f ca="1">OFFSET(Database!$F49,0,COLUMN(Database!EW49)*2-12)</f>
        <v>n.r.</v>
      </c>
      <c r="FA49" s="8" t="str">
        <f ca="1">OFFSET(Database!$F49,0,COLUMN(Database!EX49)*2-12)</f>
        <v>n.r.</v>
      </c>
      <c r="FB49" s="8" t="str">
        <f ca="1">OFFSET(Database!$F49,0,COLUMN(Database!EY49)*2-12)</f>
        <v>n.r.</v>
      </c>
      <c r="FC49" s="8" t="str">
        <f ca="1">OFFSET(Database!$F49,0,COLUMN(Database!EZ49)*2-12)</f>
        <v>n.r.</v>
      </c>
      <c r="FD49" s="8">
        <f ca="1">OFFSET(Database!$F49,0,COLUMN(Database!FA49)*2-12)</f>
        <v>906</v>
      </c>
      <c r="FE49" s="8">
        <f ca="1">OFFSET(Database!$F49,0,COLUMN(Database!FB49)*2-12)</f>
        <v>1845.6</v>
      </c>
      <c r="FF49" s="8">
        <f ca="1">OFFSET(Database!$F49,0,COLUMN(Database!FC49)*2-12)</f>
        <v>1644</v>
      </c>
      <c r="FG49" s="8" t="str">
        <f ca="1">OFFSET(Database!$F49,0,COLUMN(Database!FD49)*2-12)</f>
        <v>n.s.</v>
      </c>
      <c r="FH49" s="8">
        <f ca="1">OFFSET(Database!$F49,0,COLUMN(Database!FE49)*2-12)</f>
        <v>1000</v>
      </c>
      <c r="FI49" s="8">
        <f ca="1">OFFSET(Database!$F49,0,COLUMN(Database!FF49)*2-12)</f>
        <v>110</v>
      </c>
      <c r="FJ49" s="8">
        <f ca="1">OFFSET(Database!$F49,0,COLUMN(Database!FG49)*2-12)</f>
        <v>400</v>
      </c>
      <c r="FK49" s="8" t="str">
        <f ca="1">OFFSET(Database!$F49,0,COLUMN(Database!FH49)*2-12)</f>
        <v>n.s.</v>
      </c>
      <c r="FL49" s="8" t="str">
        <f ca="1">OFFSET(Database!$F49,0,COLUMN(Database!FI49)*2-12)</f>
        <v>n.s.</v>
      </c>
      <c r="FM49" s="8" t="str">
        <f ca="1">OFFSET(Database!$F49,0,COLUMN(Database!FJ49)*2-12)</f>
        <v>n.s.</v>
      </c>
      <c r="FN49" s="8" t="str">
        <f ca="1">OFFSET(Database!$F49,0,COLUMN(Database!FK49)*2-12)</f>
        <v>n.s.</v>
      </c>
      <c r="FO49" s="8" t="str">
        <f ca="1">OFFSET(Database!$F49,0,COLUMN(Database!FL49)*2-12)</f>
        <v>n.s.</v>
      </c>
      <c r="FP49" s="8" t="str">
        <f ca="1">OFFSET(Database!$F49,0,COLUMN(Database!FM49)*2-12)</f>
        <v>n.s.</v>
      </c>
      <c r="FQ49" s="8" t="str">
        <f ca="1">OFFSET(Database!$F49,0,COLUMN(Database!FN49)*2-12)</f>
        <v>n.s.</v>
      </c>
      <c r="FR49" s="8" t="str">
        <f ca="1">OFFSET(Database!$F49,0,COLUMN(Database!FO49)*2-12)</f>
        <v>n.s.</v>
      </c>
      <c r="FS49" s="8" t="str">
        <f ca="1">OFFSET(Database!$F49,0,COLUMN(Database!FP49)*2-12)</f>
        <v>n.s.</v>
      </c>
      <c r="FT49" s="8" t="str">
        <f ca="1">OFFSET(Database!$F49,0,COLUMN(Database!FQ49)*2-12)</f>
        <v>n.s.</v>
      </c>
      <c r="FU49" s="8" t="str">
        <f ca="1">OFFSET(Database!$F49,0,COLUMN(Database!FR49)*2-12)</f>
        <v>n.s.</v>
      </c>
      <c r="FV49" s="8" t="str">
        <f ca="1">OFFSET(Database!$F49,0,COLUMN(Database!FS49)*2-12)</f>
        <v>n.s.</v>
      </c>
      <c r="FW49" s="8" t="str">
        <f ca="1">OFFSET(Database!$F49,0,COLUMN(Database!FT49)*2-12)</f>
        <v>n.s.</v>
      </c>
      <c r="FX49" s="8" t="str">
        <f ca="1">OFFSET(Database!$F49,0,COLUMN(Database!FU49)*2-12)</f>
        <v>n.s.</v>
      </c>
      <c r="FY49" s="8" t="str">
        <f ca="1">OFFSET(Database!$F49,0,COLUMN(Database!FV49)*2-12)</f>
        <v>n.s.</v>
      </c>
      <c r="FZ49" s="8" t="str">
        <f ca="1">OFFSET(Database!$F49,0,COLUMN(Database!FW49)*2-12)</f>
        <v>n.s.</v>
      </c>
      <c r="GA49" s="8" t="str">
        <f ca="1">OFFSET(Database!$F49,0,COLUMN(Database!FX49)*2-12)</f>
        <v>n.s.</v>
      </c>
      <c r="GB49" s="8" t="str">
        <f ca="1">OFFSET(Database!$F49,0,COLUMN(Database!FY49)*2-12)</f>
        <v>n.s.</v>
      </c>
      <c r="GC49" s="8" t="str">
        <f ca="1">OFFSET(Database!$F49,0,COLUMN(Database!FZ49)*2-12)</f>
        <v>n.s.</v>
      </c>
      <c r="GD49" s="8" t="str">
        <f ca="1">OFFSET(Database!$F49,0,COLUMN(Database!GA49)*2-12)</f>
        <v>n.s.</v>
      </c>
      <c r="GE49" s="8" t="str">
        <f ca="1">OFFSET(Database!$F49,0,COLUMN(Database!GB49)*2-12)</f>
        <v>n.s.</v>
      </c>
      <c r="GF49" s="8" t="str">
        <f ca="1">OFFSET(Database!$F49,0,COLUMN(Database!GC49)*2-12)</f>
        <v>n.s.</v>
      </c>
      <c r="GG49" s="8" t="str">
        <f ca="1">OFFSET(Database!$F49,0,COLUMN(Database!GD49)*2-12)</f>
        <v>n.s.</v>
      </c>
      <c r="GH49" s="8" t="str">
        <f ca="1">OFFSET(Database!$F49,0,COLUMN(Database!GE49)*2-12)</f>
        <v>n.s.</v>
      </c>
      <c r="GI49" s="8" t="str">
        <f ca="1">OFFSET(Database!$F49,0,COLUMN(Database!GF49)*2-12)</f>
        <v>n.s.</v>
      </c>
      <c r="GJ49" s="8" t="str">
        <f ca="1">OFFSET(Database!$F49,0,COLUMN(Database!GG49)*2-12)</f>
        <v>n.s.</v>
      </c>
      <c r="GK49" s="8" t="str">
        <f ca="1">OFFSET(Database!$F49,0,COLUMN(Database!GH49)*2-12)</f>
        <v>n.s.</v>
      </c>
      <c r="GL49" s="8" t="str">
        <f ca="1">OFFSET(Database!$F49,0,COLUMN(Database!GI49)*2-12)</f>
        <v>n.s.</v>
      </c>
      <c r="GM49" s="8" t="str">
        <f ca="1">OFFSET(Database!$F49,0,COLUMN(Database!GJ49)*2-12)</f>
        <v>n.s.</v>
      </c>
      <c r="GN49" s="8" t="str">
        <f ca="1">OFFSET(Database!$F49,0,COLUMN(Database!GK49)*2-12)</f>
        <v>n.s.</v>
      </c>
      <c r="GO49" s="8" t="str">
        <f ca="1">OFFSET(Database!$F49,0,COLUMN(Database!GL49)*2-12)</f>
        <v>n.d.</v>
      </c>
      <c r="GP49" s="8" t="str">
        <f ca="1">OFFSET(Database!$F49,0,COLUMN(Database!GM49)*2-12)</f>
        <v>n.d.</v>
      </c>
    </row>
    <row r="50" spans="1:198" x14ac:dyDescent="0.2">
      <c r="A50" s="50" t="str">
        <f>Database!A50</f>
        <v>valine</v>
      </c>
      <c r="B50" s="1" t="s">
        <v>869</v>
      </c>
      <c r="C50" s="4" t="str">
        <f>Database!B50</f>
        <v>ɑ</v>
      </c>
      <c r="D50" s="4" t="str">
        <f>Database!C50</f>
        <v>Both</v>
      </c>
      <c r="E50" s="74">
        <f>Database!D50</f>
        <v>62</v>
      </c>
      <c r="F50" s="1" t="s">
        <v>1024</v>
      </c>
      <c r="G50" s="4" t="s">
        <v>1130</v>
      </c>
      <c r="H50" s="1">
        <f>Database!E50</f>
        <v>117.15</v>
      </c>
      <c r="I50" s="8" t="str">
        <f ca="1">OFFSET(Database!$F50,0,COLUMN(Database!F50)*2-12)</f>
        <v>n.r.</v>
      </c>
      <c r="J50" s="8" t="str">
        <f ca="1">OFFSET(Database!$F50,0,COLUMN(Database!G50)*2-12)</f>
        <v>n.r.</v>
      </c>
      <c r="K50" s="8" t="str">
        <f ca="1">OFFSET(Database!$F50,0,COLUMN(Database!H50)*2-12)</f>
        <v>n.r.</v>
      </c>
      <c r="L50" s="8" t="str">
        <f ca="1">OFFSET(Database!$F50,0,COLUMN(Database!I50)*2-12)</f>
        <v>n.r.</v>
      </c>
      <c r="M50" s="8" t="str">
        <f ca="1">OFFSET(Database!$F50,0,COLUMN(Database!J50)*2-12)</f>
        <v>n.r.</v>
      </c>
      <c r="N50" s="8" t="str">
        <f ca="1">OFFSET(Database!$F50,0,COLUMN(Database!K50)*2-12)</f>
        <v>n.r.</v>
      </c>
      <c r="O50" s="8" t="str">
        <f ca="1">OFFSET(Database!$F50,0,COLUMN(Database!L50)*2-12)</f>
        <v>n.r.</v>
      </c>
      <c r="P50" s="8" t="str">
        <f ca="1">OFFSET(Database!$F50,0,COLUMN(Database!M50)*2-12)</f>
        <v>n.r.</v>
      </c>
      <c r="Q50" s="8" t="str">
        <f ca="1">OFFSET(Database!$F50,0,COLUMN(Database!N50)*2-12)</f>
        <v>n.r.</v>
      </c>
      <c r="R50" s="8" t="str">
        <f ca="1">OFFSET(Database!$F50,0,COLUMN(Database!O50)*2-12)</f>
        <v>n.r.</v>
      </c>
      <c r="S50" s="8" t="str">
        <f ca="1">OFFSET(Database!$F50,0,COLUMN(Database!P50)*2-12)</f>
        <v>n.r.</v>
      </c>
      <c r="T50" s="8" t="str">
        <f ca="1">OFFSET(Database!$F50,0,COLUMN(Database!Q50)*2-12)</f>
        <v>n.r.</v>
      </c>
      <c r="U50" s="8" t="str">
        <f ca="1">OFFSET(Database!$F50,0,COLUMN(Database!R50)*2-12)</f>
        <v>n.r.</v>
      </c>
      <c r="V50" s="8" t="str">
        <f ca="1">OFFSET(Database!$F50,0,COLUMN(Database!S50)*2-12)</f>
        <v>n.r.</v>
      </c>
      <c r="W50" s="8" t="str">
        <f ca="1">OFFSET(Database!$F50,0,COLUMN(Database!T50)*2-12)</f>
        <v>n.r.</v>
      </c>
      <c r="X50" s="8" t="str">
        <f ca="1">OFFSET(Database!$F50,0,COLUMN(Database!U50)*2-12)</f>
        <v>n.r.</v>
      </c>
      <c r="Y50" s="8" t="str">
        <f ca="1">OFFSET(Database!$F50,0,COLUMN(Database!V50)*2-12)</f>
        <v>n.r.</v>
      </c>
      <c r="Z50" s="8" t="str">
        <f ca="1">OFFSET(Database!$F50,0,COLUMN(Database!W50)*2-12)</f>
        <v>n.r.</v>
      </c>
      <c r="AA50" s="8" t="str">
        <f ca="1">OFFSET(Database!$F50,0,COLUMN(Database!X50)*2-12)</f>
        <v>n.r.</v>
      </c>
      <c r="AB50" s="8" t="str">
        <f ca="1">OFFSET(Database!$F50,0,COLUMN(Database!Y50)*2-12)</f>
        <v>n.r.</v>
      </c>
      <c r="AC50" s="8" t="str">
        <f ca="1">OFFSET(Database!$F50,0,COLUMN(Database!Z50)*2-12)</f>
        <v>n.r.</v>
      </c>
      <c r="AD50" s="8" t="str">
        <f ca="1">OFFSET(Database!$F50,0,COLUMN(Database!AA50)*2-12)</f>
        <v>n.r.</v>
      </c>
      <c r="AE50" s="8" t="str">
        <f ca="1">OFFSET(Database!$F50,0,COLUMN(Database!AB50)*2-12)</f>
        <v>n.r.</v>
      </c>
      <c r="AF50" s="8" t="str">
        <f ca="1">OFFSET(Database!$F50,0,COLUMN(Database!AC50)*2-12)</f>
        <v>n.r.</v>
      </c>
      <c r="AG50" s="8" t="str">
        <f ca="1">OFFSET(Database!$F50,0,COLUMN(Database!AD50)*2-12)</f>
        <v>n.r.</v>
      </c>
      <c r="AH50" s="8">
        <f ca="1">OFFSET(Database!$F50,0,COLUMN(Database!AE50)*2-12)</f>
        <v>2.5</v>
      </c>
      <c r="AI50" s="8" t="str">
        <f ca="1">OFFSET(Database!$F50,0,COLUMN(Database!AF50)*2-12)</f>
        <v>n.r.</v>
      </c>
      <c r="AJ50" s="8" t="str">
        <f ca="1">OFFSET(Database!$F50,0,COLUMN(Database!AG50)*2-12)</f>
        <v>n.r.</v>
      </c>
      <c r="AK50" s="8" t="str">
        <f ca="1">OFFSET(Database!$F50,0,COLUMN(Database!AH50)*2-12)</f>
        <v>n.r.</v>
      </c>
      <c r="AL50" s="8" t="str">
        <f ca="1">OFFSET(Database!$F50,0,COLUMN(Database!AI50)*2-12)</f>
        <v>n.r.</v>
      </c>
      <c r="AM50" s="8" t="str">
        <f ca="1">OFFSET(Database!$F50,0,COLUMN(Database!AJ50)*2-12)</f>
        <v>n.r.</v>
      </c>
      <c r="AN50" s="8" t="str">
        <f ca="1">OFFSET(Database!$F50,0,COLUMN(Database!AK50)*2-12)</f>
        <v>n.r.</v>
      </c>
      <c r="AO50" s="8" t="str">
        <f ca="1">OFFSET(Database!$F50,0,COLUMN(Database!AL50)*2-12)</f>
        <v>n.r.</v>
      </c>
      <c r="AP50" s="8" t="str">
        <f ca="1">OFFSET(Database!$F50,0,COLUMN(Database!AM50)*2-12)</f>
        <v>n.r.</v>
      </c>
      <c r="AQ50" s="8" t="str">
        <f ca="1">OFFSET(Database!$F50,0,COLUMN(Database!AN50)*2-12)</f>
        <v>n.r.</v>
      </c>
      <c r="AR50" s="8" t="str">
        <f ca="1">OFFSET(Database!$F50,0,COLUMN(Database!AO50)*2-12)</f>
        <v>n.r.</v>
      </c>
      <c r="AS50" s="8" t="str">
        <f ca="1">OFFSET(Database!$F50,0,COLUMN(Database!AP50)*2-12)</f>
        <v>n.r.</v>
      </c>
      <c r="AT50" s="8" t="str">
        <f ca="1">OFFSET(Database!$F50,0,COLUMN(Database!AQ50)*2-12)</f>
        <v>n.r.</v>
      </c>
      <c r="AU50" s="8" t="str">
        <f ca="1">OFFSET(Database!$F50,0,COLUMN(Database!AR50)*2-12)</f>
        <v>n.r.</v>
      </c>
      <c r="AV50" s="8" t="str">
        <f ca="1">OFFSET(Database!$F50,0,COLUMN(Database!AS50)*2-12)</f>
        <v>n.r.</v>
      </c>
      <c r="AW50" s="8" t="str">
        <f ca="1">OFFSET(Database!$F50,0,COLUMN(Database!AT50)*2-12)</f>
        <v>n.r.</v>
      </c>
      <c r="AX50" s="8" t="str">
        <f ca="1">OFFSET(Database!$F50,0,COLUMN(Database!AU50)*2-12)</f>
        <v>n.r.</v>
      </c>
      <c r="AY50" s="8" t="str">
        <f ca="1">OFFSET(Database!$F50,0,COLUMN(Database!AV50)*2-12)</f>
        <v>n.r.</v>
      </c>
      <c r="AZ50" s="8" t="str">
        <f ca="1">OFFSET(Database!$F50,0,COLUMN(Database!AW50)*2-12)</f>
        <v>n.r.</v>
      </c>
      <c r="BA50" s="8" t="str">
        <f ca="1">OFFSET(Database!$F50,0,COLUMN(Database!AX50)*2-12)</f>
        <v>n.r.</v>
      </c>
      <c r="BB50" s="8" t="str">
        <f ca="1">OFFSET(Database!$F50,0,COLUMN(Database!AY50)*2-12)</f>
        <v>n.r.</v>
      </c>
      <c r="BC50" s="8" t="str">
        <f ca="1">OFFSET(Database!$F50,0,COLUMN(Database!AZ50)*2-12)</f>
        <v>n.r.</v>
      </c>
      <c r="BD50" s="8" t="str">
        <f ca="1">OFFSET(Database!$F50,0,COLUMN(Database!BA50)*2-12)</f>
        <v>n.r.</v>
      </c>
      <c r="BE50" s="8" t="str">
        <f ca="1">OFFSET(Database!$F50,0,COLUMN(Database!BB50)*2-12)</f>
        <v>n.r.</v>
      </c>
      <c r="BF50" s="8" t="str">
        <f ca="1">OFFSET(Database!$F50,0,COLUMN(Database!BC50)*2-12)</f>
        <v>n.r.</v>
      </c>
      <c r="BG50" s="8" t="str">
        <f ca="1">OFFSET(Database!$F50,0,COLUMN(Database!BD50)*2-12)</f>
        <v>n.r.</v>
      </c>
      <c r="BH50" s="8" t="str">
        <f ca="1">OFFSET(Database!$F50,0,COLUMN(Database!BE50)*2-12)</f>
        <v>n.r.</v>
      </c>
      <c r="BI50" s="8" t="str">
        <f ca="1">OFFSET(Database!$F50,0,COLUMN(Database!BF50)*2-12)</f>
        <v>n.r.</v>
      </c>
      <c r="BJ50" s="8" t="str">
        <f ca="1">OFFSET(Database!$F50,0,COLUMN(Database!BG50)*2-12)</f>
        <v>n.r.</v>
      </c>
      <c r="BK50" s="8" t="str">
        <f ca="1">OFFSET(Database!$F50,0,COLUMN(Database!BH50)*2-12)</f>
        <v>n.r.</v>
      </c>
      <c r="BL50" s="8" t="str">
        <f ca="1">OFFSET(Database!$F50,0,COLUMN(Database!BI50)*2-12)</f>
        <v>n.r.</v>
      </c>
      <c r="BM50" s="8" t="str">
        <f ca="1">OFFSET(Database!$F50,0,COLUMN(Database!BJ50)*2-12)</f>
        <v>n.r.</v>
      </c>
      <c r="BN50" s="8" t="str">
        <f ca="1">OFFSET(Database!$F50,0,COLUMN(Database!BK50)*2-12)</f>
        <v>n.r.</v>
      </c>
      <c r="BO50" s="8" t="str">
        <f ca="1">OFFSET(Database!$F50,0,COLUMN(Database!BL50)*2-12)</f>
        <v>n.r.</v>
      </c>
      <c r="BP50" s="8" t="str">
        <f ca="1">OFFSET(Database!$F50,0,COLUMN(Database!BM50)*2-12)</f>
        <v>n.r.</v>
      </c>
      <c r="BQ50" s="8" t="str">
        <f ca="1">OFFSET(Database!$F50,0,COLUMN(Database!BN50)*2-12)</f>
        <v>n.r.</v>
      </c>
      <c r="BR50" s="8" t="str">
        <f ca="1">OFFSET(Database!$F50,0,COLUMN(Database!BO50)*2-12)</f>
        <v>n.r.</v>
      </c>
      <c r="BS50" s="8" t="str">
        <f ca="1">OFFSET(Database!$F50,0,COLUMN(Database!BP50)*2-12)</f>
        <v>n.r.</v>
      </c>
      <c r="BT50" s="8" t="str">
        <f ca="1">OFFSET(Database!$F50,0,COLUMN(Database!BQ50)*2-12)</f>
        <v>n.r.</v>
      </c>
      <c r="BU50" s="8" t="str">
        <f ca="1">OFFSET(Database!$F50,0,COLUMN(Database!BR50)*2-12)</f>
        <v>n.r.</v>
      </c>
      <c r="BV50" s="8" t="str">
        <f ca="1">OFFSET(Database!$F50,0,COLUMN(Database!BS50)*2-12)</f>
        <v>n.r.</v>
      </c>
      <c r="BW50" s="8" t="str">
        <f ca="1">OFFSET(Database!$F50,0,COLUMN(Database!BT50)*2-12)</f>
        <v>n.r.</v>
      </c>
      <c r="BX50" s="8" t="str">
        <f ca="1">OFFSET(Database!$F50,0,COLUMN(Database!BU50)*2-12)</f>
        <v>n.r.</v>
      </c>
      <c r="BY50" s="8" t="str">
        <f ca="1">OFFSET(Database!$F50,0,COLUMN(Database!BV50)*2-12)</f>
        <v>n.r.</v>
      </c>
      <c r="BZ50" s="8" t="str">
        <f ca="1">OFFSET(Database!$F50,0,COLUMN(Database!BW50)*2-12)</f>
        <v>n.r.</v>
      </c>
      <c r="CA50" s="8" t="str">
        <f ca="1">OFFSET(Database!$F50,0,COLUMN(Database!BX50)*2-12)</f>
        <v>n.r.</v>
      </c>
      <c r="CB50" s="8" t="str">
        <f ca="1">OFFSET(Database!$F50,0,COLUMN(Database!BY50)*2-12)</f>
        <v>n.r.</v>
      </c>
      <c r="CC50" s="8" t="str">
        <f ca="1">OFFSET(Database!$F50,0,COLUMN(Database!BZ50)*2-12)</f>
        <v>n.r.</v>
      </c>
      <c r="CD50" s="8" t="str">
        <f ca="1">OFFSET(Database!$F50,0,COLUMN(Database!CA50)*2-12)</f>
        <v>n.r.</v>
      </c>
      <c r="CE50" s="8" t="str">
        <f ca="1">OFFSET(Database!$F50,0,COLUMN(Database!CB50)*2-12)</f>
        <v>n.r.</v>
      </c>
      <c r="CF50" s="8" t="str">
        <f ca="1">OFFSET(Database!$F50,0,COLUMN(Database!CC50)*2-12)</f>
        <v>n.r.</v>
      </c>
      <c r="CG50" s="8" t="str">
        <f ca="1">OFFSET(Database!$F50,0,COLUMN(Database!CD50)*2-12)</f>
        <v>n.r.</v>
      </c>
      <c r="CH50" s="8" t="str">
        <f ca="1">OFFSET(Database!$F50,0,COLUMN(Database!CE50)*2-12)</f>
        <v>n.r.</v>
      </c>
      <c r="CI50" s="8" t="str">
        <f ca="1">OFFSET(Database!$F50,0,COLUMN(Database!CF50)*2-12)</f>
        <v>n.r.</v>
      </c>
      <c r="CJ50" s="8" t="str">
        <f ca="1">OFFSET(Database!$F50,0,COLUMN(Database!CG50)*2-12)</f>
        <v>n.r.</v>
      </c>
      <c r="CK50" s="8" t="str">
        <f ca="1">OFFSET(Database!$F50,0,COLUMN(Database!CH50)*2-12)</f>
        <v>n.r.</v>
      </c>
      <c r="CL50" s="8" t="str">
        <f ca="1">OFFSET(Database!$F50,0,COLUMN(Database!CI50)*2-12)</f>
        <v>n.r.</v>
      </c>
      <c r="CM50" s="8" t="str">
        <f ca="1">OFFSET(Database!$F50,0,COLUMN(Database!CJ50)*2-12)</f>
        <v>n.r.</v>
      </c>
      <c r="CN50" s="8" t="str">
        <f ca="1">OFFSET(Database!$F50,0,COLUMN(Database!CK50)*2-12)</f>
        <v>n.r.</v>
      </c>
      <c r="CO50" s="8" t="str">
        <f ca="1">OFFSET(Database!$F50,0,COLUMN(Database!CL50)*2-12)</f>
        <v>n.r.</v>
      </c>
      <c r="CP50" s="8" t="str">
        <f ca="1">OFFSET(Database!$F50,0,COLUMN(Database!CM50)*2-12)</f>
        <v>n.r.</v>
      </c>
      <c r="CQ50" s="8" t="str">
        <f ca="1">OFFSET(Database!$F50,0,COLUMN(Database!CN50)*2-12)</f>
        <v>n.r.</v>
      </c>
      <c r="CR50" s="8" t="str">
        <f ca="1">OFFSET(Database!$F50,0,COLUMN(Database!CO50)*2-12)</f>
        <v>n.r.</v>
      </c>
      <c r="CS50" s="8" t="str">
        <f ca="1">OFFSET(Database!$F50,0,COLUMN(Database!CP50)*2-12)</f>
        <v>n.r.</v>
      </c>
      <c r="CT50" s="8" t="str">
        <f ca="1">OFFSET(Database!$F50,0,COLUMN(Database!CQ50)*2-12)</f>
        <v>n.r.</v>
      </c>
      <c r="CU50" s="8" t="str">
        <f ca="1">OFFSET(Database!$F50,0,COLUMN(Database!CR50)*2-12)</f>
        <v>n.r.</v>
      </c>
      <c r="CV50" s="8" t="str">
        <f ca="1">OFFSET(Database!$F50,0,COLUMN(Database!CS50)*2-12)</f>
        <v>n.r.</v>
      </c>
      <c r="CW50" s="8" t="str">
        <f ca="1">OFFSET(Database!$F50,0,COLUMN(Database!CT50)*2-12)</f>
        <v>n.r.</v>
      </c>
      <c r="CX50" s="8" t="str">
        <f ca="1">OFFSET(Database!$F50,0,COLUMN(Database!CU50)*2-12)</f>
        <v>n.r.</v>
      </c>
      <c r="CY50" s="8" t="str">
        <f ca="1">OFFSET(Database!$F50,0,COLUMN(Database!CV50)*2-12)</f>
        <v>n.r.</v>
      </c>
      <c r="CZ50" s="8" t="str">
        <f ca="1">OFFSET(Database!$F50,0,COLUMN(Database!CW50)*2-12)</f>
        <v>n.r.</v>
      </c>
      <c r="DA50" s="8" t="str">
        <f ca="1">OFFSET(Database!$F50,0,COLUMN(Database!CX50)*2-12)</f>
        <v>n.r.</v>
      </c>
      <c r="DB50" s="8" t="str">
        <f ca="1">OFFSET(Database!$F50,0,COLUMN(Database!CY50)*2-12)</f>
        <v>n.r.</v>
      </c>
      <c r="DC50" s="8" t="str">
        <f ca="1">OFFSET(Database!$F50,0,COLUMN(Database!CZ50)*2-12)</f>
        <v>n.r.</v>
      </c>
      <c r="DD50" s="8" t="str">
        <f ca="1">OFFSET(Database!$F50,0,COLUMN(Database!DA50)*2-12)</f>
        <v>n.r.</v>
      </c>
      <c r="DE50" s="8" t="str">
        <f ca="1">OFFSET(Database!$F50,0,COLUMN(Database!DB50)*2-12)</f>
        <v>n.r.</v>
      </c>
      <c r="DF50" s="8" t="str">
        <f ca="1">OFFSET(Database!$F50,0,COLUMN(Database!DC50)*2-12)</f>
        <v>n.r.</v>
      </c>
      <c r="DG50" s="8" t="str">
        <f ca="1">OFFSET(Database!$F50,0,COLUMN(Database!DD50)*2-12)</f>
        <v>n.r.</v>
      </c>
      <c r="DH50" s="8" t="str">
        <f ca="1">OFFSET(Database!$F50,0,COLUMN(Database!DE50)*2-12)</f>
        <v>n.r.</v>
      </c>
      <c r="DI50" s="8" t="str">
        <f ca="1">OFFSET(Database!$F50,0,COLUMN(Database!DF50)*2-12)</f>
        <v>n.r.</v>
      </c>
      <c r="DJ50" s="8" t="str">
        <f ca="1">OFFSET(Database!$F50,0,COLUMN(Database!DG50)*2-12)</f>
        <v>n.r.</v>
      </c>
      <c r="DK50" s="8" t="str">
        <f ca="1">OFFSET(Database!$F50,0,COLUMN(Database!DH50)*2-12)</f>
        <v>n.r.</v>
      </c>
      <c r="DL50" s="8" t="str">
        <f ca="1">OFFSET(Database!$F50,0,COLUMN(Database!DI50)*2-12)</f>
        <v>n.r.</v>
      </c>
      <c r="DM50" s="8" t="str">
        <f ca="1">OFFSET(Database!$F50,0,COLUMN(Database!DJ50)*2-12)</f>
        <v>n.r.</v>
      </c>
      <c r="DN50" s="8" t="str">
        <f ca="1">OFFSET(Database!$F50,0,COLUMN(Database!DK50)*2-12)</f>
        <v>n.r.</v>
      </c>
      <c r="DO50" s="8" t="str">
        <f ca="1">OFFSET(Database!$F50,0,COLUMN(Database!DL50)*2-12)</f>
        <v>n.r.</v>
      </c>
      <c r="DP50" s="8" t="str">
        <f ca="1">OFFSET(Database!$F50,0,COLUMN(Database!DM50)*2-12)</f>
        <v>n.r.</v>
      </c>
      <c r="DQ50" s="8" t="str">
        <f ca="1">OFFSET(Database!$F50,0,COLUMN(Database!DN50)*2-12)</f>
        <v>n.r.</v>
      </c>
      <c r="DR50" s="8" t="str">
        <f ca="1">OFFSET(Database!$F50,0,COLUMN(Database!DO50)*2-12)</f>
        <v>n.r.</v>
      </c>
      <c r="DS50" s="8" t="str">
        <f ca="1">OFFSET(Database!$F50,0,COLUMN(Database!DP50)*2-12)</f>
        <v>n.r.</v>
      </c>
      <c r="DT50" s="8" t="str">
        <f ca="1">OFFSET(Database!$F50,0,COLUMN(Database!DQ50)*2-12)</f>
        <v>n.r.</v>
      </c>
      <c r="DU50" s="8" t="str">
        <f ca="1">OFFSET(Database!$F50,0,COLUMN(Database!DR50)*2-12)</f>
        <v>n.r.</v>
      </c>
      <c r="DV50" s="8" t="str">
        <f ca="1">OFFSET(Database!$F50,0,COLUMN(Database!DS50)*2-12)</f>
        <v>n.r.</v>
      </c>
      <c r="DW50" s="8">
        <f ca="1">OFFSET(Database!$F50,0,COLUMN(Database!DT50)*2-12)</f>
        <v>4.0999999999999996</v>
      </c>
      <c r="DX50" s="8">
        <f ca="1">OFFSET(Database!$F50,0,COLUMN(Database!DU50)*2-12)</f>
        <v>3.8</v>
      </c>
      <c r="DY50" s="8">
        <f ca="1">OFFSET(Database!$F50,0,COLUMN(Database!DV50)*2-12)</f>
        <v>2</v>
      </c>
      <c r="DZ50" s="8">
        <f ca="1">OFFSET(Database!$F50,0,COLUMN(Database!DW50)*2-12)</f>
        <v>3.8</v>
      </c>
      <c r="EA50" s="8">
        <f ca="1">OFFSET(Database!$F50,0,COLUMN(Database!DX50)*2-12)</f>
        <v>143</v>
      </c>
      <c r="EB50" s="8">
        <f ca="1">OFFSET(Database!$F50,0,COLUMN(Database!DY50)*2-12)</f>
        <v>3.65</v>
      </c>
      <c r="EC50" s="8" t="str">
        <f ca="1">OFFSET(Database!$F50,0,COLUMN(Database!DZ50)*2-12)</f>
        <v>&lt;0.1</v>
      </c>
      <c r="ED50" s="8">
        <f ca="1">OFFSET(Database!$F50,0,COLUMN(Database!EA50)*2-12)</f>
        <v>10.75</v>
      </c>
      <c r="EE50" s="8">
        <f ca="1">OFFSET(Database!$F50,0,COLUMN(Database!EB50)*2-12)</f>
        <v>1770</v>
      </c>
      <c r="EF50" s="8">
        <f ca="1">OFFSET(Database!$F50,0,COLUMN(Database!EC50)*2-12)</f>
        <v>370</v>
      </c>
      <c r="EG50" s="8">
        <f ca="1">OFFSET(Database!$F50,0,COLUMN(Database!ED50)*2-12)</f>
        <v>880</v>
      </c>
      <c r="EH50" s="8">
        <f ca="1">OFFSET(Database!$F50,0,COLUMN(Database!EE50)*2-12)</f>
        <v>280</v>
      </c>
      <c r="EI50" s="8">
        <f ca="1">OFFSET(Database!$F50,0,COLUMN(Database!EF50)*2-12)</f>
        <v>0.125</v>
      </c>
      <c r="EJ50" s="8">
        <f ca="1">OFFSET(Database!$F50,0,COLUMN(Database!EG50)*2-12)</f>
        <v>0.11700000000000001</v>
      </c>
      <c r="EK50" s="8">
        <f ca="1">OFFSET(Database!$F50,0,COLUMN(Database!EH50)*2-12)</f>
        <v>0.16800000000000001</v>
      </c>
      <c r="EL50" s="8">
        <f ca="1">OFFSET(Database!$F50,0,COLUMN(Database!EI50)*2-12)</f>
        <v>0.59499999999999997</v>
      </c>
      <c r="EM50" s="8">
        <f ca="1">OFFSET(Database!$F50,0,COLUMN(Database!EJ50)*2-12)</f>
        <v>0.443</v>
      </c>
      <c r="EN50" s="8">
        <f ca="1">OFFSET(Database!$F50,0,COLUMN(Database!EK50)*2-12)</f>
        <v>0.35599999999999998</v>
      </c>
      <c r="EO50" s="8">
        <f ca="1">OFFSET(Database!$F50,0,COLUMN(Database!EL50)*2-12)</f>
        <v>0.51500000000000001</v>
      </c>
      <c r="EP50" s="8">
        <f ca="1">OFFSET(Database!$F50,0,COLUMN(Database!EM50)*2-12)</f>
        <v>0.42699999999999999</v>
      </c>
      <c r="EQ50" s="8">
        <f ca="1">OFFSET(Database!$F50,0,COLUMN(Database!EN50)*2-12)</f>
        <v>31.24</v>
      </c>
      <c r="ER50" s="8">
        <f ca="1">OFFSET(Database!$F50,0,COLUMN(Database!EO50)*2-12)</f>
        <v>7.9209243572251955</v>
      </c>
      <c r="ES50" s="8">
        <f ca="1">OFFSET(Database!$F50,0,COLUMN(Database!EP50)*2-12)</f>
        <v>21.004136666761436</v>
      </c>
      <c r="ET50" s="8">
        <f ca="1">OFFSET(Database!$F50,0,COLUMN(Database!EQ50)*2-12)</f>
        <v>23.344651759861723</v>
      </c>
      <c r="EU50" s="8">
        <f ca="1">OFFSET(Database!$F50,0,COLUMN(Database!ER50)*2-12)</f>
        <v>69.916647626091574</v>
      </c>
      <c r="EV50" s="8">
        <f ca="1">OFFSET(Database!$F50,0,COLUMN(Database!ES50)*2-12)</f>
        <v>13.945751649549495</v>
      </c>
      <c r="EW50" s="8">
        <f ca="1">OFFSET(Database!$F50,0,COLUMN(Database!ET50)*2-12)</f>
        <v>91900</v>
      </c>
      <c r="EX50" s="8">
        <f ca="1">OFFSET(Database!$F50,0,COLUMN(Database!EU50)*2-12)</f>
        <v>720700</v>
      </c>
      <c r="EY50" s="8">
        <f ca="1">OFFSET(Database!$F50,0,COLUMN(Database!EV50)*2-12)</f>
        <v>64500</v>
      </c>
      <c r="EZ50" s="8">
        <f ca="1">OFFSET(Database!$F50,0,COLUMN(Database!EW50)*2-12)</f>
        <v>157800</v>
      </c>
      <c r="FA50" s="8">
        <f ca="1">OFFSET(Database!$F50,0,COLUMN(Database!EX50)*2-12)</f>
        <v>392700</v>
      </c>
      <c r="FB50" s="8" t="str">
        <f ca="1">OFFSET(Database!$F50,0,COLUMN(Database!EY50)*2-12)</f>
        <v>n.r.</v>
      </c>
      <c r="FC50" s="8" t="str">
        <f ca="1">OFFSET(Database!$F50,0,COLUMN(Database!EZ50)*2-12)</f>
        <v>n.r.</v>
      </c>
      <c r="FD50" s="8" t="str">
        <f ca="1">OFFSET(Database!$F50,0,COLUMN(Database!FA50)*2-12)</f>
        <v>n.d.</v>
      </c>
      <c r="FE50" s="8" t="str">
        <f ca="1">OFFSET(Database!$F50,0,COLUMN(Database!FB50)*2-12)</f>
        <v>n.d.</v>
      </c>
      <c r="FF50" s="8" t="str">
        <f ca="1">OFFSET(Database!$F50,0,COLUMN(Database!FC50)*2-12)</f>
        <v>n.d.</v>
      </c>
      <c r="FG50" s="8">
        <f ca="1">OFFSET(Database!$F50,0,COLUMN(Database!FD50)*2-12)</f>
        <v>204865.55697823301</v>
      </c>
      <c r="FH50" s="8" t="str">
        <f ca="1">OFFSET(Database!$F50,0,COLUMN(Database!FE50)*2-12)</f>
        <v>n.r.</v>
      </c>
      <c r="FI50" s="8" t="str">
        <f ca="1">OFFSET(Database!$F50,0,COLUMN(Database!FF50)*2-12)</f>
        <v>n.r.</v>
      </c>
      <c r="FJ50" s="8" t="str">
        <f ca="1">OFFSET(Database!$F50,0,COLUMN(Database!FG50)*2-12)</f>
        <v>n.r.</v>
      </c>
      <c r="FK50" s="8">
        <f ca="1">OFFSET(Database!$F50,0,COLUMN(Database!FH50)*2-12)</f>
        <v>370465.21553563804</v>
      </c>
      <c r="FL50" s="8">
        <f ca="1">OFFSET(Database!$F50,0,COLUMN(Database!FI50)*2-12)</f>
        <v>272300.46948356804</v>
      </c>
      <c r="FM50" s="8">
        <f ca="1">OFFSET(Database!$F50,0,COLUMN(Database!FJ50)*2-12)</f>
        <v>47801.96329492105</v>
      </c>
      <c r="FN50" s="8">
        <f ca="1">OFFSET(Database!$F50,0,COLUMN(Database!FK50)*2-12)</f>
        <v>192915.06615450277</v>
      </c>
      <c r="FO50" s="8">
        <f ca="1">OFFSET(Database!$F50,0,COLUMN(Database!FL50)*2-12)</f>
        <v>736662.39863422955</v>
      </c>
      <c r="FP50" s="8">
        <f ca="1">OFFSET(Database!$F50,0,COLUMN(Database!FM50)*2-12)</f>
        <v>593256.50874946651</v>
      </c>
      <c r="FQ50" s="8">
        <f ca="1">OFFSET(Database!$F50,0,COLUMN(Database!FN50)*2-12)</f>
        <v>9560.3926589842085</v>
      </c>
      <c r="FR50" s="8">
        <f ca="1">OFFSET(Database!$F50,0,COLUMN(Database!FO50)*2-12)</f>
        <v>10243.277848911652</v>
      </c>
      <c r="FS50" s="8">
        <f ca="1">OFFSET(Database!$F50,0,COLUMN(Database!FP50)*2-12)</f>
        <v>10328.638497652582</v>
      </c>
      <c r="FT50" s="8">
        <f ca="1">OFFSET(Database!$F50,0,COLUMN(Database!FQ50)*2-12)</f>
        <v>10584.720443875372</v>
      </c>
      <c r="FU50" s="8">
        <f ca="1">OFFSET(Database!$F50,0,COLUMN(Database!FR50)*2-12)</f>
        <v>7966</v>
      </c>
      <c r="FV50" s="8">
        <f ca="1">OFFSET(Database!$F50,0,COLUMN(Database!FS50)*2-12)</f>
        <v>6989</v>
      </c>
      <c r="FW50" s="8">
        <f ca="1">OFFSET(Database!$F50,0,COLUMN(Database!FT50)*2-12)</f>
        <v>6191</v>
      </c>
      <c r="FX50" s="8">
        <f ca="1">OFFSET(Database!$F50,0,COLUMN(Database!FU50)*2-12)</f>
        <v>5641</v>
      </c>
      <c r="FY50" s="8">
        <f ca="1">OFFSET(Database!$F50,0,COLUMN(Database!FV50)*2-12)</f>
        <v>7546</v>
      </c>
      <c r="FZ50" s="8">
        <f ca="1">OFFSET(Database!$F50,0,COLUMN(Database!FW50)*2-12)</f>
        <v>7414</v>
      </c>
      <c r="GA50" s="8">
        <f ca="1">OFFSET(Database!$F50,0,COLUMN(Database!FX50)*2-12)</f>
        <v>8146</v>
      </c>
      <c r="GB50" s="8">
        <f ca="1">OFFSET(Database!$F50,0,COLUMN(Database!FY50)*2-12)</f>
        <v>7678</v>
      </c>
      <c r="GC50" s="8">
        <f ca="1">OFFSET(Database!$F50,0,COLUMN(Database!FZ50)*2-12)</f>
        <v>7842</v>
      </c>
      <c r="GD50" s="8">
        <f ca="1">OFFSET(Database!$F50,0,COLUMN(Database!GA50)*2-12)</f>
        <v>6837</v>
      </c>
      <c r="GE50" s="8">
        <f ca="1">OFFSET(Database!$F50,0,COLUMN(Database!GB50)*2-12)</f>
        <v>6647</v>
      </c>
      <c r="GF50" s="8">
        <f ca="1">OFFSET(Database!$F50,0,COLUMN(Database!GC50)*2-12)</f>
        <v>7268</v>
      </c>
      <c r="GG50" s="8">
        <f ca="1">OFFSET(Database!$F50,0,COLUMN(Database!GD50)*2-12)</f>
        <v>990.18352539479292</v>
      </c>
      <c r="GH50" s="8">
        <f ca="1">OFFSET(Database!$F50,0,COLUMN(Database!GE50)*2-12)</f>
        <v>3243.7046521553561</v>
      </c>
      <c r="GI50" s="8">
        <f ca="1">OFFSET(Database!$F50,0,COLUMN(Database!GF50)*2-12)</f>
        <v>2134.0162185232607</v>
      </c>
      <c r="GJ50" s="8">
        <f ca="1">OFFSET(Database!$F50,0,COLUMN(Database!GG50)*2-12)</f>
        <v>7597.0977379428077</v>
      </c>
      <c r="GK50" s="8">
        <f ca="1">OFFSET(Database!$F50,0,COLUMN(Database!GH50)*2-12)</f>
        <v>85360.648740930425</v>
      </c>
      <c r="GL50" s="8">
        <f ca="1">OFFSET(Database!$F50,0,COLUMN(Database!GI50)*2-12)</f>
        <v>887.75074690567646</v>
      </c>
      <c r="GM50" s="8">
        <f ca="1">OFFSET(Database!$F50,0,COLUMN(Database!GJ50)*2-12)</f>
        <v>68.288518992744343</v>
      </c>
      <c r="GN50" s="8">
        <f ca="1">OFFSET(Database!$F50,0,COLUMN(Database!GK50)*2-12)</f>
        <v>347417.84037558682</v>
      </c>
      <c r="GO50" s="8" t="str">
        <f ca="1">OFFSET(Database!$F50,0,COLUMN(Database!GL50)*2-12)</f>
        <v>n.r.</v>
      </c>
      <c r="GP50" s="8" t="str">
        <f ca="1">OFFSET(Database!$F50,0,COLUMN(Database!GM50)*2-12)</f>
        <v>n.r.</v>
      </c>
    </row>
    <row r="51" spans="1:198" x14ac:dyDescent="0.2">
      <c r="A51" s="50" t="str">
        <f>Database!A51</f>
        <v>D-isovaline</v>
      </c>
      <c r="B51" s="1" t="s">
        <v>870</v>
      </c>
      <c r="C51" s="4" t="str">
        <f>Database!B51</f>
        <v>ɑ</v>
      </c>
      <c r="D51" s="4" t="str">
        <f>Database!C51</f>
        <v>D</v>
      </c>
      <c r="E51" s="74">
        <f>Database!D51</f>
        <v>29</v>
      </c>
      <c r="F51" s="32" t="s">
        <v>928</v>
      </c>
      <c r="G51" s="1">
        <v>94744</v>
      </c>
      <c r="H51" s="1">
        <f>Database!E51</f>
        <v>117.15</v>
      </c>
      <c r="I51" s="8" t="str">
        <f ca="1">OFFSET(Database!$F51,0,COLUMN(Database!F51)*2-12)</f>
        <v>b.b.</v>
      </c>
      <c r="J51" s="8" t="str">
        <f ca="1">OFFSET(Database!$F51,0,COLUMN(Database!G51)*2-12)</f>
        <v>tr</v>
      </c>
      <c r="K51" s="8" t="str">
        <f ca="1">OFFSET(Database!$F51,0,COLUMN(Database!H51)*2-12)</f>
        <v>n.d.</v>
      </c>
      <c r="L51" s="8" t="str">
        <f ca="1">OFFSET(Database!$F51,0,COLUMN(Database!I51)*2-12)</f>
        <v>b.b.</v>
      </c>
      <c r="M51" s="8" t="str">
        <f ca="1">OFFSET(Database!$F51,0,COLUMN(Database!J51)*2-12)</f>
        <v>b.b.</v>
      </c>
      <c r="N51" s="8" t="str">
        <f ca="1">OFFSET(Database!$F51,0,COLUMN(Database!K51)*2-12)</f>
        <v>n.r.</v>
      </c>
      <c r="O51" s="8">
        <f ca="1">OFFSET(Database!$F51,0,COLUMN(Database!L51)*2-12)</f>
        <v>0.12</v>
      </c>
      <c r="P51" s="8">
        <f ca="1">OFFSET(Database!$F51,0,COLUMN(Database!M51)*2-12)</f>
        <v>0.36</v>
      </c>
      <c r="Q51" s="8">
        <f ca="1">OFFSET(Database!$F51,0,COLUMN(Database!N51)*2-12)</f>
        <v>9.6300000000000008</v>
      </c>
      <c r="R51" s="8" t="str">
        <f ca="1">OFFSET(Database!$F51,0,COLUMN(Database!O51)*2-12)</f>
        <v>n.r.</v>
      </c>
      <c r="S51" s="8" t="str">
        <f ca="1">OFFSET(Database!$F51,0,COLUMN(Database!P51)*2-12)</f>
        <v>n.r.</v>
      </c>
      <c r="T51" s="8">
        <f ca="1">OFFSET(Database!$F51,0,COLUMN(Database!Q51)*2-12)</f>
        <v>123</v>
      </c>
      <c r="U51" s="8">
        <f ca="1">OFFSET(Database!$F51,0,COLUMN(Database!R51)*2-12)</f>
        <v>47.2</v>
      </c>
      <c r="V51" s="8" t="str">
        <f ca="1">OFFSET(Database!$F51,0,COLUMN(Database!S51)*2-12)</f>
        <v>&lt;0.003</v>
      </c>
      <c r="W51" s="8">
        <f ca="1">OFFSET(Database!$F51,0,COLUMN(Database!T51)*2-12)</f>
        <v>2.8169014084507039E-2</v>
      </c>
      <c r="X51" s="8">
        <f ca="1">OFFSET(Database!$F51,0,COLUMN(Database!U51)*2-12)</f>
        <v>10.781049935979514</v>
      </c>
      <c r="Y51" s="8">
        <f ca="1">OFFSET(Database!$F51,0,COLUMN(Database!V51)*2-12)</f>
        <v>10</v>
      </c>
      <c r="Z51" s="8">
        <f ca="1">OFFSET(Database!$F51,0,COLUMN(Database!W51)*2-12)</f>
        <v>9.5</v>
      </c>
      <c r="AA51" s="8">
        <f ca="1">OFFSET(Database!$F51,0,COLUMN(Database!X51)*2-12)</f>
        <v>30.8</v>
      </c>
      <c r="AB51" s="8" t="str">
        <f ca="1">OFFSET(Database!$F51,0,COLUMN(Database!Y51)*2-12)</f>
        <v>n.r.</v>
      </c>
      <c r="AC51" s="8">
        <f ca="1">OFFSET(Database!$F51,0,COLUMN(Database!Z51)*2-12)</f>
        <v>8.4763124199743913</v>
      </c>
      <c r="AD51" s="8">
        <f ca="1">OFFSET(Database!$F51,0,COLUMN(Database!AA51)*2-12)</f>
        <v>5.5655142979086643</v>
      </c>
      <c r="AE51" s="8">
        <f ca="1">OFFSET(Database!$F51,0,COLUMN(Database!AB51)*2-12)</f>
        <v>2.8339735381988902</v>
      </c>
      <c r="AF51" s="8">
        <f ca="1">OFFSET(Database!$F51,0,COLUMN(Database!AC51)*2-12)</f>
        <v>4.2</v>
      </c>
      <c r="AG51" s="8" t="str">
        <f ca="1">OFFSET(Database!$F51,0,COLUMN(Database!AD51)*2-12)</f>
        <v>&lt;0.01</v>
      </c>
      <c r="AH51" s="8" t="str">
        <f ca="1">OFFSET(Database!$F51,0,COLUMN(Database!AE51)*2-12)</f>
        <v>n.r.</v>
      </c>
      <c r="AI51" s="8" t="str">
        <f ca="1">OFFSET(Database!$F51,0,COLUMN(Database!AF51)*2-12)</f>
        <v>&lt;0.07</v>
      </c>
      <c r="AJ51" s="8" t="str">
        <f ca="1">OFFSET(Database!$F51,0,COLUMN(Database!AG51)*2-12)</f>
        <v>&lt;0.03</v>
      </c>
      <c r="AK51" s="8" t="str">
        <f ca="1">OFFSET(Database!$F51,0,COLUMN(Database!AH51)*2-12)</f>
        <v>&lt;0.03</v>
      </c>
      <c r="AL51" s="8">
        <f ca="1">OFFSET(Database!$F51,0,COLUMN(Database!AI51)*2-12)</f>
        <v>1.9</v>
      </c>
      <c r="AM51" s="8">
        <f ca="1">OFFSET(Database!$F51,0,COLUMN(Database!AJ51)*2-12)</f>
        <v>4</v>
      </c>
      <c r="AN51" s="8">
        <f ca="1">OFFSET(Database!$F51,0,COLUMN(Database!AK51)*2-12)</f>
        <v>2.9</v>
      </c>
      <c r="AO51" s="8">
        <f ca="1">OFFSET(Database!$F51,0,COLUMN(Database!AL51)*2-12)</f>
        <v>0.30729833546734953</v>
      </c>
      <c r="AP51" s="8">
        <f ca="1">OFFSET(Database!$F51,0,COLUMN(Database!AM51)*2-12)</f>
        <v>0.19</v>
      </c>
      <c r="AQ51" s="8" t="str">
        <f ca="1">OFFSET(Database!$F51,0,COLUMN(Database!AN51)*2-12)</f>
        <v>&lt;0.01</v>
      </c>
      <c r="AR51" s="8" t="str">
        <f ca="1">OFFSET(Database!$F51,0,COLUMN(Database!AO51)*2-12)</f>
        <v>&lt;0.01</v>
      </c>
      <c r="AS51" s="8" t="str">
        <f ca="1">OFFSET(Database!$F51,0,COLUMN(Database!AP51)*2-12)</f>
        <v>&lt;0.0017</v>
      </c>
      <c r="AT51" s="8" t="str">
        <f ca="1">OFFSET(Database!$F51,0,COLUMN(Database!AQ51)*2-12)</f>
        <v>&lt;0.0009</v>
      </c>
      <c r="AU51" s="8">
        <f ca="1">OFFSET(Database!$F51,0,COLUMN(Database!AR51)*2-12)</f>
        <v>2.5608194622279128E-3</v>
      </c>
      <c r="AV51" s="8" t="str">
        <f ca="1">OFFSET(Database!$F51,0,COLUMN(Database!AS51)*2-12)</f>
        <v>&lt;0.0009</v>
      </c>
      <c r="AW51" s="8" t="str">
        <f ca="1">OFFSET(Database!$F51,0,COLUMN(Database!AT51)*2-12)</f>
        <v>&lt;0.0009</v>
      </c>
      <c r="AX51" s="8">
        <f ca="1">OFFSET(Database!$F51,0,COLUMN(Database!AU51)*2-12)</f>
        <v>1.1096884336320955E-2</v>
      </c>
      <c r="AY51" s="8" t="str">
        <f ca="1">OFFSET(Database!$F51,0,COLUMN(Database!AV51)*2-12)</f>
        <v>&lt;0.0009</v>
      </c>
      <c r="AZ51" s="8" t="str">
        <f ca="1">OFFSET(Database!$F51,0,COLUMN(Database!AW51)*2-12)</f>
        <v>&lt;0.0009</v>
      </c>
      <c r="BA51" s="8" t="str">
        <f ca="1">OFFSET(Database!$F51,0,COLUMN(Database!AX51)*2-12)</f>
        <v>&lt;0.0009</v>
      </c>
      <c r="BB51" s="8" t="str">
        <f ca="1">OFFSET(Database!$F51,0,COLUMN(Database!AY51)*2-12)</f>
        <v>&lt;0.0009</v>
      </c>
      <c r="BC51" s="8" t="str">
        <f ca="1">OFFSET(Database!$F51,0,COLUMN(Database!AZ51)*2-12)</f>
        <v>&lt;0.0009</v>
      </c>
      <c r="BD51" s="8" t="str">
        <f ca="1">OFFSET(Database!$F51,0,COLUMN(Database!BA51)*2-12)</f>
        <v>&lt;0.0009</v>
      </c>
      <c r="BE51" s="8" t="str">
        <f ca="1">OFFSET(Database!$F51,0,COLUMN(Database!BB51)*2-12)</f>
        <v>&lt;0.0009</v>
      </c>
      <c r="BF51" s="8" t="str">
        <f ca="1">OFFSET(Database!$F51,0,COLUMN(Database!BC51)*2-12)</f>
        <v>&lt;0.0009</v>
      </c>
      <c r="BG51" s="8">
        <f ca="1">OFFSET(Database!$F51,0,COLUMN(Database!BD51)*2-12)</f>
        <v>1.2804097311139564E-2</v>
      </c>
      <c r="BH51" s="8" t="str">
        <f ca="1">OFFSET(Database!$F51,0,COLUMN(Database!BE51)*2-12)</f>
        <v>n.r.</v>
      </c>
      <c r="BI51" s="8" t="str">
        <f ca="1">OFFSET(Database!$F51,0,COLUMN(Database!BF51)*2-12)</f>
        <v>n.r.</v>
      </c>
      <c r="BJ51" s="8">
        <f ca="1">OFFSET(Database!$F51,0,COLUMN(Database!BG51)*2-12)</f>
        <v>0.21340162185232606</v>
      </c>
      <c r="BK51" s="8">
        <f ca="1">OFFSET(Database!$F51,0,COLUMN(Database!BH51)*2-12)</f>
        <v>0.3414425949637217</v>
      </c>
      <c r="BL51" s="8">
        <f ca="1">OFFSET(Database!$F51,0,COLUMN(Database!BI51)*2-12)</f>
        <v>0.40973111395646605</v>
      </c>
      <c r="BM51" s="8" t="str">
        <f ca="1">OFFSET(Database!$F51,0,COLUMN(Database!BJ51)*2-12)</f>
        <v>&lt;0.0009</v>
      </c>
      <c r="BN51" s="8">
        <f ca="1">OFFSET(Database!$F51,0,COLUMN(Database!BK51)*2-12)</f>
        <v>0.14511310285958173</v>
      </c>
      <c r="BO51" s="8">
        <f ca="1">OFFSET(Database!$F51,0,COLUMN(Database!BL51)*2-12)</f>
        <v>1.7925736235595392E-2</v>
      </c>
      <c r="BP51" s="8" t="str">
        <f ca="1">OFFSET(Database!$F51,0,COLUMN(Database!BM51)*2-12)</f>
        <v>&lt;0.0009</v>
      </c>
      <c r="BQ51" s="8" t="str">
        <f ca="1">OFFSET(Database!$F51,0,COLUMN(Database!BN51)*2-12)</f>
        <v>&lt;0.0009</v>
      </c>
      <c r="BR51" s="8" t="str">
        <f ca="1">OFFSET(Database!$F51,0,COLUMN(Database!BO51)*2-12)</f>
        <v>&lt;0.0009</v>
      </c>
      <c r="BS51" s="8" t="str">
        <f ca="1">OFFSET(Database!$F51,0,COLUMN(Database!BP51)*2-12)</f>
        <v>&lt;0.001</v>
      </c>
      <c r="BT51" s="8" t="str">
        <f ca="1">OFFSET(Database!$F51,0,COLUMN(Database!BQ51)*2-12)</f>
        <v>&lt;0.001</v>
      </c>
      <c r="BU51" s="8" t="str">
        <f ca="1">OFFSET(Database!$F51,0,COLUMN(Database!BR51)*2-12)</f>
        <v>&lt;0.001</v>
      </c>
      <c r="BV51" s="8" t="str">
        <f ca="1">OFFSET(Database!$F51,0,COLUMN(Database!BS51)*2-12)</f>
        <v>&lt;0.001</v>
      </c>
      <c r="BW51" s="8" t="str">
        <f ca="1">OFFSET(Database!$F51,0,COLUMN(Database!BT51)*2-12)</f>
        <v>&lt;0.0001</v>
      </c>
      <c r="BX51" s="8" t="str">
        <f ca="1">OFFSET(Database!$F51,0,COLUMN(Database!BU51)*2-12)</f>
        <v>&lt;0.0001</v>
      </c>
      <c r="BY51" s="8" t="str">
        <f ca="1">OFFSET(Database!$F51,0,COLUMN(Database!BV51)*2-12)</f>
        <v>&lt;0.0001</v>
      </c>
      <c r="BZ51" s="8" t="str">
        <f ca="1">OFFSET(Database!$F51,0,COLUMN(Database!BW51)*2-12)</f>
        <v>n.r.</v>
      </c>
      <c r="CA51" s="8" t="str">
        <f ca="1">OFFSET(Database!$F51,0,COLUMN(Database!BX51)*2-12)</f>
        <v>n.r.</v>
      </c>
      <c r="CB51" s="8" t="str">
        <f ca="1">OFFSET(Database!$F51,0,COLUMN(Database!BY51)*2-12)</f>
        <v>n.r.</v>
      </c>
      <c r="CC51" s="8" t="str">
        <f ca="1">OFFSET(Database!$F51,0,COLUMN(Database!BZ51)*2-12)</f>
        <v>n.r.</v>
      </c>
      <c r="CD51" s="8" t="str">
        <f ca="1">OFFSET(Database!$F51,0,COLUMN(Database!CA51)*2-12)</f>
        <v>n.r.</v>
      </c>
      <c r="CE51" s="8" t="str">
        <f ca="1">OFFSET(Database!$F51,0,COLUMN(Database!CB51)*2-12)</f>
        <v>n.r.</v>
      </c>
      <c r="CF51" s="8" t="str">
        <f ca="1">OFFSET(Database!$F51,0,COLUMN(Database!CC51)*2-12)</f>
        <v>n.r.</v>
      </c>
      <c r="CG51" s="8" t="str">
        <f ca="1">OFFSET(Database!$F51,0,COLUMN(Database!CD51)*2-12)</f>
        <v>n.r.</v>
      </c>
      <c r="CH51" s="8" t="str">
        <f ca="1">OFFSET(Database!$F51,0,COLUMN(Database!CE51)*2-12)</f>
        <v>n.r.</v>
      </c>
      <c r="CI51" s="8" t="str">
        <f ca="1">OFFSET(Database!$F51,0,COLUMN(Database!CF51)*2-12)</f>
        <v>n.r.</v>
      </c>
      <c r="CJ51" s="8" t="str">
        <f ca="1">OFFSET(Database!$F51,0,COLUMN(Database!CG51)*2-12)</f>
        <v>n.r.</v>
      </c>
      <c r="CK51" s="8" t="str">
        <f ca="1">OFFSET(Database!$F51,0,COLUMN(Database!CH51)*2-12)</f>
        <v>n.r.</v>
      </c>
      <c r="CL51" s="8" t="str">
        <f ca="1">OFFSET(Database!$F51,0,COLUMN(Database!CI51)*2-12)</f>
        <v>n.r.</v>
      </c>
      <c r="CM51" s="8" t="str">
        <f ca="1">OFFSET(Database!$F51,0,COLUMN(Database!CJ51)*2-12)</f>
        <v>n.r.</v>
      </c>
      <c r="CN51" s="8" t="str">
        <f ca="1">OFFSET(Database!$F51,0,COLUMN(Database!CK51)*2-12)</f>
        <v>n.r.</v>
      </c>
      <c r="CO51" s="8" t="str">
        <f ca="1">OFFSET(Database!$F51,0,COLUMN(Database!CL51)*2-12)</f>
        <v>n.r.</v>
      </c>
      <c r="CP51" s="8" t="str">
        <f ca="1">OFFSET(Database!$F51,0,COLUMN(Database!CM51)*2-12)</f>
        <v>&lt;0.1</v>
      </c>
      <c r="CQ51" s="8" t="str">
        <f ca="1">OFFSET(Database!$F51,0,COLUMN(Database!CN51)*2-12)</f>
        <v>&lt;0.1</v>
      </c>
      <c r="CR51" s="8" t="str">
        <f ca="1">OFFSET(Database!$F51,0,COLUMN(Database!CO51)*2-12)</f>
        <v>&lt;0.1</v>
      </c>
      <c r="CS51" s="8" t="str">
        <f ca="1">OFFSET(Database!$F51,0,COLUMN(Database!CP51)*2-12)</f>
        <v>&lt;0.1</v>
      </c>
      <c r="CT51" s="8" t="str">
        <f ca="1">OFFSET(Database!$F51,0,COLUMN(Database!CQ51)*2-12)</f>
        <v>&lt;0.1</v>
      </c>
      <c r="CU51" s="8" t="str">
        <f ca="1">OFFSET(Database!$F51,0,COLUMN(Database!CR51)*2-12)</f>
        <v>&lt;0.1</v>
      </c>
      <c r="CV51" s="8" t="str">
        <f ca="1">OFFSET(Database!$F51,0,COLUMN(Database!CS51)*2-12)</f>
        <v>&lt;0.1</v>
      </c>
      <c r="CW51" s="8" t="str">
        <f ca="1">OFFSET(Database!$F51,0,COLUMN(Database!CT51)*2-12)</f>
        <v>&lt;0.1</v>
      </c>
      <c r="CX51" s="8" t="str">
        <f ca="1">OFFSET(Database!$F51,0,COLUMN(Database!CU51)*2-12)</f>
        <v>&lt;0.1</v>
      </c>
      <c r="CY51" s="8" t="str">
        <f ca="1">OFFSET(Database!$F51,0,COLUMN(Database!CV51)*2-12)</f>
        <v>&lt;0.1</v>
      </c>
      <c r="CZ51" s="8" t="str">
        <f ca="1">OFFSET(Database!$F51,0,COLUMN(Database!CW51)*2-12)</f>
        <v>&lt;0.1</v>
      </c>
      <c r="DA51" s="8" t="str">
        <f ca="1">OFFSET(Database!$F51,0,COLUMN(Database!CX51)*2-12)</f>
        <v>&lt;0.1</v>
      </c>
      <c r="DB51" s="8" t="str">
        <f ca="1">OFFSET(Database!$F51,0,COLUMN(Database!CY51)*2-12)</f>
        <v>&lt;0.05</v>
      </c>
      <c r="DC51" s="8" t="str">
        <f ca="1">OFFSET(Database!$F51,0,COLUMN(Database!CZ51)*2-12)</f>
        <v>&lt;0.05</v>
      </c>
      <c r="DD51" s="8">
        <f ca="1">OFFSET(Database!$F51,0,COLUMN(Database!DA51)*2-12)</f>
        <v>0.08</v>
      </c>
      <c r="DE51" s="8" t="str">
        <f ca="1">OFFSET(Database!$F51,0,COLUMN(Database!DB51)*2-12)</f>
        <v>n.r.</v>
      </c>
      <c r="DF51" s="8" t="str">
        <f ca="1">OFFSET(Database!$F51,0,COLUMN(Database!DC51)*2-12)</f>
        <v>n.r.</v>
      </c>
      <c r="DG51" s="8" t="str">
        <f ca="1">OFFSET(Database!$F51,0,COLUMN(Database!DD51)*2-12)</f>
        <v>n.r.</v>
      </c>
      <c r="DH51" s="8" t="str">
        <f ca="1">OFFSET(Database!$F51,0,COLUMN(Database!DE51)*2-12)</f>
        <v>n.r.</v>
      </c>
      <c r="DI51" s="8" t="str">
        <f ca="1">OFFSET(Database!$F51,0,COLUMN(Database!DF51)*2-12)</f>
        <v>n.r.</v>
      </c>
      <c r="DJ51" s="8" t="str">
        <f ca="1">OFFSET(Database!$F51,0,COLUMN(Database!DG51)*2-12)</f>
        <v>n.r.</v>
      </c>
      <c r="DK51" s="8" t="str">
        <f ca="1">OFFSET(Database!$F51,0,COLUMN(Database!DH51)*2-12)</f>
        <v>n.r.</v>
      </c>
      <c r="DL51" s="8" t="str">
        <f ca="1">OFFSET(Database!$F51,0,COLUMN(Database!DI51)*2-12)</f>
        <v>n.r.</v>
      </c>
      <c r="DM51" s="8" t="str">
        <f ca="1">OFFSET(Database!$F51,0,COLUMN(Database!DJ51)*2-12)</f>
        <v>n.r.</v>
      </c>
      <c r="DN51" s="8" t="str">
        <f ca="1">OFFSET(Database!$F51,0,COLUMN(Database!DK51)*2-12)</f>
        <v>n.r.</v>
      </c>
      <c r="DO51" s="8" t="str">
        <f ca="1">OFFSET(Database!$F51,0,COLUMN(Database!DL51)*2-12)</f>
        <v>n.r.</v>
      </c>
      <c r="DP51" s="8" t="str">
        <f ca="1">OFFSET(Database!$F51,0,COLUMN(Database!DM51)*2-12)</f>
        <v>n.r.</v>
      </c>
      <c r="DQ51" s="8" t="str">
        <f ca="1">OFFSET(Database!$F51,0,COLUMN(Database!DN51)*2-12)</f>
        <v>n.r.</v>
      </c>
      <c r="DR51" s="8" t="str">
        <f ca="1">OFFSET(Database!$F51,0,COLUMN(Database!DO51)*2-12)</f>
        <v>n.r.</v>
      </c>
      <c r="DS51" s="8" t="str">
        <f ca="1">OFFSET(Database!$F51,0,COLUMN(Database!DP51)*2-12)</f>
        <v>n.r.</v>
      </c>
      <c r="DT51" s="8" t="str">
        <f ca="1">OFFSET(Database!$F51,0,COLUMN(Database!DQ51)*2-12)</f>
        <v>n.r.</v>
      </c>
      <c r="DU51" s="8">
        <f ca="1">OFFSET(Database!$F51,0,COLUMN(Database!DR51)*2-12)</f>
        <v>1.8100000000000002E-2</v>
      </c>
      <c r="DV51" s="8" t="str">
        <f ca="1">OFFSET(Database!$F51,0,COLUMN(Database!DS51)*2-12)</f>
        <v>n.dt.</v>
      </c>
      <c r="DW51" s="8" t="str">
        <f ca="1">OFFSET(Database!$F51,0,COLUMN(Database!DT51)*2-12)</f>
        <v>n.r.</v>
      </c>
      <c r="DX51" s="8" t="str">
        <f ca="1">OFFSET(Database!$F51,0,COLUMN(Database!DU51)*2-12)</f>
        <v>n.r.</v>
      </c>
      <c r="DY51" s="8" t="str">
        <f ca="1">OFFSET(Database!$F51,0,COLUMN(Database!DV51)*2-12)</f>
        <v>n.r.</v>
      </c>
      <c r="DZ51" s="8" t="str">
        <f ca="1">OFFSET(Database!$F51,0,COLUMN(Database!DW51)*2-12)</f>
        <v>n.r.</v>
      </c>
      <c r="EA51" s="8" t="str">
        <f ca="1">OFFSET(Database!$F51,0,COLUMN(Database!DX51)*2-12)</f>
        <v>n.r.</v>
      </c>
      <c r="EB51" s="8" t="str">
        <f ca="1">OFFSET(Database!$F51,0,COLUMN(Database!DY51)*2-12)</f>
        <v>n.r.</v>
      </c>
      <c r="EC51" s="8" t="str">
        <f ca="1">OFFSET(Database!$F51,0,COLUMN(Database!DZ51)*2-12)</f>
        <v>&lt;0.3</v>
      </c>
      <c r="ED51" s="8" t="str">
        <f ca="1">OFFSET(Database!$F51,0,COLUMN(Database!EA51)*2-12)</f>
        <v>n.r</v>
      </c>
      <c r="EE51" s="8" t="str">
        <f ca="1">OFFSET(Database!$F51,0,COLUMN(Database!EB51)*2-12)</f>
        <v>n.r.</v>
      </c>
      <c r="EF51" s="8" t="str">
        <f ca="1">OFFSET(Database!$F51,0,COLUMN(Database!EC51)*2-12)</f>
        <v>n.r.</v>
      </c>
      <c r="EG51" s="8" t="str">
        <f ca="1">OFFSET(Database!$F51,0,COLUMN(Database!ED51)*2-12)</f>
        <v>n.r.</v>
      </c>
      <c r="EH51" s="8" t="str">
        <f ca="1">OFFSET(Database!$F51,0,COLUMN(Database!EE51)*2-12)</f>
        <v>n.r.</v>
      </c>
      <c r="EI51" s="8" t="str">
        <f ca="1">OFFSET(Database!$F51,0,COLUMN(Database!EF51)*2-12)</f>
        <v>n.r.</v>
      </c>
      <c r="EJ51" s="8" t="str">
        <f ca="1">OFFSET(Database!$F51,0,COLUMN(Database!EG51)*2-12)</f>
        <v>n.r.</v>
      </c>
      <c r="EK51" s="8" t="str">
        <f ca="1">OFFSET(Database!$F51,0,COLUMN(Database!EH51)*2-12)</f>
        <v>n.r.</v>
      </c>
      <c r="EL51" s="8" t="str">
        <f ca="1">OFFSET(Database!$F51,0,COLUMN(Database!EI51)*2-12)</f>
        <v>n.r.</v>
      </c>
      <c r="EM51" s="8" t="str">
        <f ca="1">OFFSET(Database!$F51,0,COLUMN(Database!EJ51)*2-12)</f>
        <v>n.r.</v>
      </c>
      <c r="EN51" s="8" t="str">
        <f ca="1">OFFSET(Database!$F51,0,COLUMN(Database!EK51)*2-12)</f>
        <v>n.r.</v>
      </c>
      <c r="EO51" s="8" t="str">
        <f ca="1">OFFSET(Database!$F51,0,COLUMN(Database!EL51)*2-12)</f>
        <v>n.r.</v>
      </c>
      <c r="EP51" s="8" t="str">
        <f ca="1">OFFSET(Database!$F51,0,COLUMN(Database!EM51)*2-12)</f>
        <v>n.r.</v>
      </c>
      <c r="EQ51" s="8" t="str">
        <f ca="1">OFFSET(Database!$F51,0,COLUMN(Database!EN51)*2-12)</f>
        <v>n.r.</v>
      </c>
      <c r="ER51" s="8" t="str">
        <f ca="1">OFFSET(Database!$F51,0,COLUMN(Database!EO51)*2-12)</f>
        <v>n.r.</v>
      </c>
      <c r="ES51" s="8" t="str">
        <f ca="1">OFFSET(Database!$F51,0,COLUMN(Database!EP51)*2-12)</f>
        <v>n.r.</v>
      </c>
      <c r="ET51" s="8" t="str">
        <f ca="1">OFFSET(Database!$F51,0,COLUMN(Database!EQ51)*2-12)</f>
        <v>n.r.</v>
      </c>
      <c r="EU51" s="8" t="str">
        <f ca="1">OFFSET(Database!$F51,0,COLUMN(Database!ER51)*2-12)</f>
        <v>n.r.</v>
      </c>
      <c r="EV51" s="8" t="str">
        <f ca="1">OFFSET(Database!$F51,0,COLUMN(Database!ES51)*2-12)</f>
        <v>n.r.</v>
      </c>
      <c r="EW51" s="8" t="str">
        <f ca="1">OFFSET(Database!$F51,0,COLUMN(Database!ET51)*2-12)</f>
        <v>n.r.</v>
      </c>
      <c r="EX51" s="8" t="str">
        <f ca="1">OFFSET(Database!$F51,0,COLUMN(Database!EU51)*2-12)</f>
        <v>n.r.</v>
      </c>
      <c r="EY51" s="8" t="str">
        <f ca="1">OFFSET(Database!$F51,0,COLUMN(Database!EV51)*2-12)</f>
        <v>n.r.</v>
      </c>
      <c r="EZ51" s="8" t="str">
        <f ca="1">OFFSET(Database!$F51,0,COLUMN(Database!EW51)*2-12)</f>
        <v>n.r.</v>
      </c>
      <c r="FA51" s="8" t="str">
        <f ca="1">OFFSET(Database!$F51,0,COLUMN(Database!EX51)*2-12)</f>
        <v>n.r.</v>
      </c>
      <c r="FB51" s="8" t="str">
        <f ca="1">OFFSET(Database!$F51,0,COLUMN(Database!EY51)*2-12)</f>
        <v>n.r.</v>
      </c>
      <c r="FC51" s="8" t="str">
        <f ca="1">OFFSET(Database!$F51,0,COLUMN(Database!EZ51)*2-12)</f>
        <v>n.r.</v>
      </c>
      <c r="FD51" s="8" t="str">
        <f ca="1">OFFSET(Database!$F51,0,COLUMN(Database!FA51)*2-12)</f>
        <v>n.r.</v>
      </c>
      <c r="FE51" s="8" t="str">
        <f ca="1">OFFSET(Database!$F51,0,COLUMN(Database!FB51)*2-12)</f>
        <v>n.r.</v>
      </c>
      <c r="FF51" s="8" t="str">
        <f ca="1">OFFSET(Database!$F51,0,COLUMN(Database!FC51)*2-12)</f>
        <v>n.r.</v>
      </c>
      <c r="FG51" s="8" t="str">
        <f ca="1">OFFSET(Database!$F51,0,COLUMN(Database!FD51)*2-12)</f>
        <v>n.r.</v>
      </c>
      <c r="FH51" s="8" t="str">
        <f ca="1">OFFSET(Database!$F51,0,COLUMN(Database!FE51)*2-12)</f>
        <v>n.r.</v>
      </c>
      <c r="FI51" s="8" t="str">
        <f ca="1">OFFSET(Database!$F51,0,COLUMN(Database!FF51)*2-12)</f>
        <v>n.r.</v>
      </c>
      <c r="FJ51" s="8" t="str">
        <f ca="1">OFFSET(Database!$F51,0,COLUMN(Database!FG51)*2-12)</f>
        <v>n.r.</v>
      </c>
      <c r="FK51" s="8" t="str">
        <f ca="1">OFFSET(Database!$F51,0,COLUMN(Database!FH51)*2-12)</f>
        <v>n.r.</v>
      </c>
      <c r="FL51" s="8" t="str">
        <f ca="1">OFFSET(Database!$F51,0,COLUMN(Database!FI51)*2-12)</f>
        <v>n.r.</v>
      </c>
      <c r="FM51" s="8" t="str">
        <f ca="1">OFFSET(Database!$F51,0,COLUMN(Database!FJ51)*2-12)</f>
        <v>n.r.</v>
      </c>
      <c r="FN51" s="8" t="str">
        <f ca="1">OFFSET(Database!$F51,0,COLUMN(Database!FK51)*2-12)</f>
        <v>n.r.</v>
      </c>
      <c r="FO51" s="8" t="str">
        <f ca="1">OFFSET(Database!$F51,0,COLUMN(Database!FL51)*2-12)</f>
        <v>n.r.</v>
      </c>
      <c r="FP51" s="8" t="str">
        <f ca="1">OFFSET(Database!$F51,0,COLUMN(Database!FM51)*2-12)</f>
        <v>n.r.</v>
      </c>
      <c r="FQ51" s="8" t="str">
        <f ca="1">OFFSET(Database!$F51,0,COLUMN(Database!FN51)*2-12)</f>
        <v>n.r.</v>
      </c>
      <c r="FR51" s="8" t="str">
        <f ca="1">OFFSET(Database!$F51,0,COLUMN(Database!FO51)*2-12)</f>
        <v>n.r.</v>
      </c>
      <c r="FS51" s="8" t="str">
        <f ca="1">OFFSET(Database!$F51,0,COLUMN(Database!FP51)*2-12)</f>
        <v>n.r.</v>
      </c>
      <c r="FT51" s="8" t="str">
        <f ca="1">OFFSET(Database!$F51,0,COLUMN(Database!FQ51)*2-12)</f>
        <v>n.r.</v>
      </c>
      <c r="FU51" s="8" t="str">
        <f ca="1">OFFSET(Database!$F51,0,COLUMN(Database!FR51)*2-12)</f>
        <v>n.r.</v>
      </c>
      <c r="FV51" s="8" t="str">
        <f ca="1">OFFSET(Database!$F51,0,COLUMN(Database!FS51)*2-12)</f>
        <v>n.r.</v>
      </c>
      <c r="FW51" s="8" t="str">
        <f ca="1">OFFSET(Database!$F51,0,COLUMN(Database!FT51)*2-12)</f>
        <v>n.r.</v>
      </c>
      <c r="FX51" s="8" t="str">
        <f ca="1">OFFSET(Database!$F51,0,COLUMN(Database!FU51)*2-12)</f>
        <v>n.r.</v>
      </c>
      <c r="FY51" s="8" t="str">
        <f ca="1">OFFSET(Database!$F51,0,COLUMN(Database!FV51)*2-12)</f>
        <v>n.r.</v>
      </c>
      <c r="FZ51" s="8" t="str">
        <f ca="1">OFFSET(Database!$F51,0,COLUMN(Database!FW51)*2-12)</f>
        <v>n.r.</v>
      </c>
      <c r="GA51" s="8" t="str">
        <f ca="1">OFFSET(Database!$F51,0,COLUMN(Database!FX51)*2-12)</f>
        <v>n.r.</v>
      </c>
      <c r="GB51" s="8" t="str">
        <f ca="1">OFFSET(Database!$F51,0,COLUMN(Database!FY51)*2-12)</f>
        <v>n.r.</v>
      </c>
      <c r="GC51" s="8" t="str">
        <f ca="1">OFFSET(Database!$F51,0,COLUMN(Database!FZ51)*2-12)</f>
        <v>n.r.</v>
      </c>
      <c r="GD51" s="8" t="str">
        <f ca="1">OFFSET(Database!$F51,0,COLUMN(Database!GA51)*2-12)</f>
        <v>n.r.</v>
      </c>
      <c r="GE51" s="8" t="str">
        <f ca="1">OFFSET(Database!$F51,0,COLUMN(Database!GB51)*2-12)</f>
        <v>n.r.</v>
      </c>
      <c r="GF51" s="8" t="str">
        <f ca="1">OFFSET(Database!$F51,0,COLUMN(Database!GC51)*2-12)</f>
        <v>n.r.</v>
      </c>
      <c r="GG51" s="8" t="str">
        <f ca="1">OFFSET(Database!$F51,0,COLUMN(Database!GD51)*2-12)</f>
        <v>n.r.</v>
      </c>
      <c r="GH51" s="8" t="str">
        <f ca="1">OFFSET(Database!$F51,0,COLUMN(Database!GE51)*2-12)</f>
        <v>n.r.</v>
      </c>
      <c r="GI51" s="8" t="str">
        <f ca="1">OFFSET(Database!$F51,0,COLUMN(Database!GF51)*2-12)</f>
        <v>n.r.</v>
      </c>
      <c r="GJ51" s="8" t="str">
        <f ca="1">OFFSET(Database!$F51,0,COLUMN(Database!GG51)*2-12)</f>
        <v>n.r.</v>
      </c>
      <c r="GK51" s="8" t="str">
        <f ca="1">OFFSET(Database!$F51,0,COLUMN(Database!GH51)*2-12)</f>
        <v>n.r.</v>
      </c>
      <c r="GL51" s="8" t="str">
        <f ca="1">OFFSET(Database!$F51,0,COLUMN(Database!GI51)*2-12)</f>
        <v>n.r.</v>
      </c>
      <c r="GM51" s="8" t="str">
        <f ca="1">OFFSET(Database!$F51,0,COLUMN(Database!GJ51)*2-12)</f>
        <v>n.r.</v>
      </c>
      <c r="GN51" s="8" t="str">
        <f ca="1">OFFSET(Database!$F51,0,COLUMN(Database!GK51)*2-12)</f>
        <v>n.r.</v>
      </c>
      <c r="GO51" s="8" t="str">
        <f ca="1">OFFSET(Database!$F51,0,COLUMN(Database!GL51)*2-12)</f>
        <v>n.d.</v>
      </c>
      <c r="GP51" s="8" t="str">
        <f ca="1">OFFSET(Database!$F51,0,COLUMN(Database!GM51)*2-12)</f>
        <v>n.d.</v>
      </c>
    </row>
    <row r="52" spans="1:198" x14ac:dyDescent="0.2">
      <c r="A52" s="50" t="str">
        <f>Database!A52</f>
        <v>L-isovaline</v>
      </c>
      <c r="B52" s="1" t="s">
        <v>870</v>
      </c>
      <c r="C52" s="4" t="str">
        <f>Database!B52</f>
        <v>ɑ</v>
      </c>
      <c r="D52" s="4" t="str">
        <f>Database!C52</f>
        <v>L</v>
      </c>
      <c r="E52" s="74">
        <f>Database!D52</f>
        <v>26</v>
      </c>
      <c r="F52" s="32" t="s">
        <v>929</v>
      </c>
      <c r="G52" s="1">
        <v>6971276</v>
      </c>
      <c r="H52" s="1">
        <f>Database!E52</f>
        <v>117.15</v>
      </c>
      <c r="I52" s="8" t="str">
        <f ca="1">OFFSET(Database!$F52,0,COLUMN(Database!F52)*2-12)</f>
        <v>b.b.</v>
      </c>
      <c r="J52" s="8" t="str">
        <f ca="1">OFFSET(Database!$F52,0,COLUMN(Database!G52)*2-12)</f>
        <v>b.b.</v>
      </c>
      <c r="K52" s="8" t="str">
        <f ca="1">OFFSET(Database!$F52,0,COLUMN(Database!H52)*2-12)</f>
        <v>tr</v>
      </c>
      <c r="L52" s="8" t="str">
        <f ca="1">OFFSET(Database!$F52,0,COLUMN(Database!I52)*2-12)</f>
        <v>b.b.</v>
      </c>
      <c r="M52" s="8" t="str">
        <f ca="1">OFFSET(Database!$F52,0,COLUMN(Database!J52)*2-12)</f>
        <v>tr</v>
      </c>
      <c r="N52" s="8" t="str">
        <f ca="1">OFFSET(Database!$F52,0,COLUMN(Database!K52)*2-12)</f>
        <v>n.r.</v>
      </c>
      <c r="O52" s="8">
        <f ca="1">OFFSET(Database!$F52,0,COLUMN(Database!L52)*2-12)</f>
        <v>0.16</v>
      </c>
      <c r="P52" s="8">
        <f ca="1">OFFSET(Database!$F52,0,COLUMN(Database!M52)*2-12)</f>
        <v>0.44</v>
      </c>
      <c r="Q52" s="8" t="str">
        <f ca="1">OFFSET(Database!$F52,0,COLUMN(Database!N52)*2-12)</f>
        <v>n.s.</v>
      </c>
      <c r="R52" s="8" t="str">
        <f ca="1">OFFSET(Database!$F52,0,COLUMN(Database!O52)*2-12)</f>
        <v>n.r.</v>
      </c>
      <c r="S52" s="8" t="str">
        <f ca="1">OFFSET(Database!$F52,0,COLUMN(Database!P52)*2-12)</f>
        <v>n.r.</v>
      </c>
      <c r="T52" s="8">
        <f ca="1">OFFSET(Database!$F52,0,COLUMN(Database!Q52)*2-12)</f>
        <v>121</v>
      </c>
      <c r="U52" s="8">
        <f ca="1">OFFSET(Database!$F52,0,COLUMN(Database!R52)*2-12)</f>
        <v>47.5</v>
      </c>
      <c r="V52" s="8" t="str">
        <f ca="1">OFFSET(Database!$F52,0,COLUMN(Database!S52)*2-12)</f>
        <v>&lt;0.004</v>
      </c>
      <c r="W52" s="8">
        <f ca="1">OFFSET(Database!$F52,0,COLUMN(Database!T52)*2-12)</f>
        <v>3.9265898420827991E-2</v>
      </c>
      <c r="X52" s="8">
        <f ca="1">OFFSET(Database!$F52,0,COLUMN(Database!U52)*2-12)</f>
        <v>17.567221510883481</v>
      </c>
      <c r="Y52" s="8">
        <f ca="1">OFFSET(Database!$F52,0,COLUMN(Database!V52)*2-12)</f>
        <v>11.8</v>
      </c>
      <c r="Z52" s="8">
        <f ca="1">OFFSET(Database!$F52,0,COLUMN(Database!W52)*2-12)</f>
        <v>11.5</v>
      </c>
      <c r="AA52" s="8">
        <f ca="1">OFFSET(Database!$F52,0,COLUMN(Database!X52)*2-12)</f>
        <v>35.6</v>
      </c>
      <c r="AB52" s="8" t="str">
        <f ca="1">OFFSET(Database!$F52,0,COLUMN(Database!Y52)*2-12)</f>
        <v>n.r.</v>
      </c>
      <c r="AC52" s="8">
        <f ca="1">OFFSET(Database!$F52,0,COLUMN(Database!Z52)*2-12)</f>
        <v>12.326077678190353</v>
      </c>
      <c r="AD52" s="8">
        <f ca="1">OFFSET(Database!$F52,0,COLUMN(Database!AA52)*2-12)</f>
        <v>5.9411011523687574</v>
      </c>
      <c r="AE52" s="8">
        <f ca="1">OFFSET(Database!$F52,0,COLUMN(Database!AB52)*2-12)</f>
        <v>2.9705505761843787</v>
      </c>
      <c r="AF52" s="8">
        <f ca="1">OFFSET(Database!$F52,0,COLUMN(Database!AC52)*2-12)</f>
        <v>4</v>
      </c>
      <c r="AG52" s="8" t="str">
        <f ca="1">OFFSET(Database!$F52,0,COLUMN(Database!AD52)*2-12)</f>
        <v>&lt;0.01</v>
      </c>
      <c r="AH52" s="8" t="str">
        <f ca="1">OFFSET(Database!$F52,0,COLUMN(Database!AE52)*2-12)</f>
        <v>n.r.</v>
      </c>
      <c r="AI52" s="8" t="str">
        <f ca="1">OFFSET(Database!$F52,0,COLUMN(Database!AF52)*2-12)</f>
        <v>&lt;0.05</v>
      </c>
      <c r="AJ52" s="8" t="str">
        <f ca="1">OFFSET(Database!$F52,0,COLUMN(Database!AG52)*2-12)</f>
        <v>&lt;0.03</v>
      </c>
      <c r="AK52" s="8" t="str">
        <f ca="1">OFFSET(Database!$F52,0,COLUMN(Database!AH52)*2-12)</f>
        <v>&lt;0.04</v>
      </c>
      <c r="AL52" s="8">
        <f ca="1">OFFSET(Database!$F52,0,COLUMN(Database!AI52)*2-12)</f>
        <v>1.9</v>
      </c>
      <c r="AM52" s="8">
        <f ca="1">OFFSET(Database!$F52,0,COLUMN(Database!AJ52)*2-12)</f>
        <v>5</v>
      </c>
      <c r="AN52" s="8">
        <f ca="1">OFFSET(Database!$F52,0,COLUMN(Database!AK52)*2-12)</f>
        <v>3.9</v>
      </c>
      <c r="AO52" s="8">
        <f ca="1">OFFSET(Database!$F52,0,COLUMN(Database!AL52)*2-12)</f>
        <v>0.41826717883055908</v>
      </c>
      <c r="AP52" s="8">
        <f ca="1">OFFSET(Database!$F52,0,COLUMN(Database!AM52)*2-12)</f>
        <v>0.22</v>
      </c>
      <c r="AQ52" s="8" t="str">
        <f ca="1">OFFSET(Database!$F52,0,COLUMN(Database!AN52)*2-12)</f>
        <v>&lt;0.01</v>
      </c>
      <c r="AR52" s="8" t="str">
        <f ca="1">OFFSET(Database!$F52,0,COLUMN(Database!AO52)*2-12)</f>
        <v>&lt;0.01</v>
      </c>
      <c r="AS52" s="8" t="str">
        <f ca="1">OFFSET(Database!$F52,0,COLUMN(Database!AP52)*2-12)</f>
        <v>&lt;0.0025</v>
      </c>
      <c r="AT52" s="8" t="str">
        <f ca="1">OFFSET(Database!$F52,0,COLUMN(Database!AQ52)*2-12)</f>
        <v>&lt;0.0009</v>
      </c>
      <c r="AU52" s="8" t="str">
        <f ca="1">OFFSET(Database!$F52,0,COLUMN(Database!AR52)*2-12)</f>
        <v>&lt;0.0009</v>
      </c>
      <c r="AV52" s="8" t="str">
        <f ca="1">OFFSET(Database!$F52,0,COLUMN(Database!AS52)*2-12)</f>
        <v>&lt;0.0009</v>
      </c>
      <c r="AW52" s="8" t="str">
        <f ca="1">OFFSET(Database!$F52,0,COLUMN(Database!AT52)*2-12)</f>
        <v>&lt;0.0009</v>
      </c>
      <c r="AX52" s="8">
        <f ca="1">OFFSET(Database!$F52,0,COLUMN(Database!AU52)*2-12)</f>
        <v>1.1950490823730259E-2</v>
      </c>
      <c r="AY52" s="8" t="str">
        <f ca="1">OFFSET(Database!$F52,0,COLUMN(Database!AV52)*2-12)</f>
        <v>&lt;0.0009</v>
      </c>
      <c r="AZ52" s="8" t="str">
        <f ca="1">OFFSET(Database!$F52,0,COLUMN(Database!AW52)*2-12)</f>
        <v>&lt;0.0009</v>
      </c>
      <c r="BA52" s="8" t="str">
        <f ca="1">OFFSET(Database!$F52,0,COLUMN(Database!AX52)*2-12)</f>
        <v>&lt;0.0009</v>
      </c>
      <c r="BB52" s="8" t="str">
        <f ca="1">OFFSET(Database!$F52,0,COLUMN(Database!AY52)*2-12)</f>
        <v>&lt;0.0009</v>
      </c>
      <c r="BC52" s="8" t="str">
        <f ca="1">OFFSET(Database!$F52,0,COLUMN(Database!AZ52)*2-12)</f>
        <v>&lt;0.0009</v>
      </c>
      <c r="BD52" s="8" t="str">
        <f ca="1">OFFSET(Database!$F52,0,COLUMN(Database!BA52)*2-12)</f>
        <v>&lt;0.0009</v>
      </c>
      <c r="BE52" s="8" t="str">
        <f ca="1">OFFSET(Database!$F52,0,COLUMN(Database!BB52)*2-12)</f>
        <v>&lt;0.0009</v>
      </c>
      <c r="BF52" s="8" t="str">
        <f ca="1">OFFSET(Database!$F52,0,COLUMN(Database!BC52)*2-12)</f>
        <v>&lt;0.0009</v>
      </c>
      <c r="BG52" s="8">
        <f ca="1">OFFSET(Database!$F52,0,COLUMN(Database!BD52)*2-12)</f>
        <v>4.2680324370465211E-3</v>
      </c>
      <c r="BH52" s="8" t="str">
        <f ca="1">OFFSET(Database!$F52,0,COLUMN(Database!BE52)*2-12)</f>
        <v>n.r.</v>
      </c>
      <c r="BI52" s="8" t="str">
        <f ca="1">OFFSET(Database!$F52,0,COLUMN(Database!BF52)*2-12)</f>
        <v>n.r.</v>
      </c>
      <c r="BJ52" s="8">
        <f ca="1">OFFSET(Database!$F52,0,COLUMN(Database!BG52)*2-12)</f>
        <v>0.45241143832693126</v>
      </c>
      <c r="BK52" s="8">
        <f ca="1">OFFSET(Database!$F52,0,COLUMN(Database!BH52)*2-12)</f>
        <v>0.44387537345283823</v>
      </c>
      <c r="BL52" s="8">
        <f ca="1">OFFSET(Database!$F52,0,COLUMN(Database!BI52)*2-12)</f>
        <v>0.45241143832693126</v>
      </c>
      <c r="BM52" s="8" t="str">
        <f ca="1">OFFSET(Database!$F52,0,COLUMN(Database!BJ52)*2-12)</f>
        <v>&lt;0.0009</v>
      </c>
      <c r="BN52" s="8">
        <f ca="1">OFFSET(Database!$F52,0,COLUMN(Database!BK52)*2-12)</f>
        <v>0.17072129748186085</v>
      </c>
      <c r="BO52" s="8">
        <f ca="1">OFFSET(Database!$F52,0,COLUMN(Database!BL52)*2-12)</f>
        <v>2.5608194622279128E-2</v>
      </c>
      <c r="BP52" s="8" t="str">
        <f ca="1">OFFSET(Database!$F52,0,COLUMN(Database!BM52)*2-12)</f>
        <v>&lt;0.0009</v>
      </c>
      <c r="BQ52" s="8" t="str">
        <f ca="1">OFFSET(Database!$F52,0,COLUMN(Database!BN52)*2-12)</f>
        <v>&lt;0.0009</v>
      </c>
      <c r="BR52" s="8" t="str">
        <f ca="1">OFFSET(Database!$F52,0,COLUMN(Database!BO52)*2-12)</f>
        <v>&lt;0.0009</v>
      </c>
      <c r="BS52" s="8" t="str">
        <f ca="1">OFFSET(Database!$F52,0,COLUMN(Database!BP52)*2-12)</f>
        <v>&lt;0.001</v>
      </c>
      <c r="BT52" s="8" t="str">
        <f ca="1">OFFSET(Database!$F52,0,COLUMN(Database!BQ52)*2-12)</f>
        <v>&lt;0.001</v>
      </c>
      <c r="BU52" s="8" t="str">
        <f ca="1">OFFSET(Database!$F52,0,COLUMN(Database!BR52)*2-12)</f>
        <v>&lt;0.001</v>
      </c>
      <c r="BV52" s="8" t="str">
        <f ca="1">OFFSET(Database!$F52,0,COLUMN(Database!BS52)*2-12)</f>
        <v>&lt;0.001</v>
      </c>
      <c r="BW52" s="8" t="str">
        <f ca="1">OFFSET(Database!$F52,0,COLUMN(Database!BT52)*2-12)</f>
        <v>&lt;0.0001</v>
      </c>
      <c r="BX52" s="8" t="str">
        <f ca="1">OFFSET(Database!$F52,0,COLUMN(Database!BU52)*2-12)</f>
        <v>&lt;0.0001</v>
      </c>
      <c r="BY52" s="8" t="str">
        <f ca="1">OFFSET(Database!$F52,0,COLUMN(Database!BV52)*2-12)</f>
        <v>&lt;0.0001</v>
      </c>
      <c r="BZ52" s="8" t="str">
        <f ca="1">OFFSET(Database!$F52,0,COLUMN(Database!BW52)*2-12)</f>
        <v>n.r.</v>
      </c>
      <c r="CA52" s="8" t="str">
        <f ca="1">OFFSET(Database!$F52,0,COLUMN(Database!BX52)*2-12)</f>
        <v>n.r.</v>
      </c>
      <c r="CB52" s="8" t="str">
        <f ca="1">OFFSET(Database!$F52,0,COLUMN(Database!BY52)*2-12)</f>
        <v>n.r.</v>
      </c>
      <c r="CC52" s="8" t="str">
        <f ca="1">OFFSET(Database!$F52,0,COLUMN(Database!BZ52)*2-12)</f>
        <v>n.r.</v>
      </c>
      <c r="CD52" s="8" t="str">
        <f ca="1">OFFSET(Database!$F52,0,COLUMN(Database!CA52)*2-12)</f>
        <v>n.r.</v>
      </c>
      <c r="CE52" s="8" t="str">
        <f ca="1">OFFSET(Database!$F52,0,COLUMN(Database!CB52)*2-12)</f>
        <v>n.r.</v>
      </c>
      <c r="CF52" s="8" t="str">
        <f ca="1">OFFSET(Database!$F52,0,COLUMN(Database!CC52)*2-12)</f>
        <v>n.r.</v>
      </c>
      <c r="CG52" s="8" t="str">
        <f ca="1">OFFSET(Database!$F52,0,COLUMN(Database!CD52)*2-12)</f>
        <v>n.r.</v>
      </c>
      <c r="CH52" s="8" t="str">
        <f ca="1">OFFSET(Database!$F52,0,COLUMN(Database!CE52)*2-12)</f>
        <v>n.r.</v>
      </c>
      <c r="CI52" s="8" t="str">
        <f ca="1">OFFSET(Database!$F52,0,COLUMN(Database!CF52)*2-12)</f>
        <v>n.r.</v>
      </c>
      <c r="CJ52" s="8" t="str">
        <f ca="1">OFFSET(Database!$F52,0,COLUMN(Database!CG52)*2-12)</f>
        <v>n.r.</v>
      </c>
      <c r="CK52" s="8" t="str">
        <f ca="1">OFFSET(Database!$F52,0,COLUMN(Database!CH52)*2-12)</f>
        <v>n.r.</v>
      </c>
      <c r="CL52" s="8" t="str">
        <f ca="1">OFFSET(Database!$F52,0,COLUMN(Database!CI52)*2-12)</f>
        <v>n.r.</v>
      </c>
      <c r="CM52" s="8" t="str">
        <f ca="1">OFFSET(Database!$F52,0,COLUMN(Database!CJ52)*2-12)</f>
        <v>n.r.</v>
      </c>
      <c r="CN52" s="8" t="str">
        <f ca="1">OFFSET(Database!$F52,0,COLUMN(Database!CK52)*2-12)</f>
        <v>n.r.</v>
      </c>
      <c r="CO52" s="8" t="str">
        <f ca="1">OFFSET(Database!$F52,0,COLUMN(Database!CL52)*2-12)</f>
        <v>n.r.</v>
      </c>
      <c r="CP52" s="8" t="str">
        <f ca="1">OFFSET(Database!$F52,0,COLUMN(Database!CM52)*2-12)</f>
        <v>&lt;0.1</v>
      </c>
      <c r="CQ52" s="8" t="str">
        <f ca="1">OFFSET(Database!$F52,0,COLUMN(Database!CN52)*2-12)</f>
        <v>&lt;0.1</v>
      </c>
      <c r="CR52" s="8" t="str">
        <f ca="1">OFFSET(Database!$F52,0,COLUMN(Database!CO52)*2-12)</f>
        <v>&lt;0.1</v>
      </c>
      <c r="CS52" s="8" t="str">
        <f ca="1">OFFSET(Database!$F52,0,COLUMN(Database!CP52)*2-12)</f>
        <v>&lt;0.1</v>
      </c>
      <c r="CT52" s="8" t="str">
        <f ca="1">OFFSET(Database!$F52,0,COLUMN(Database!CQ52)*2-12)</f>
        <v>&lt;0.1</v>
      </c>
      <c r="CU52" s="8" t="str">
        <f ca="1">OFFSET(Database!$F52,0,COLUMN(Database!CR52)*2-12)</f>
        <v>&lt;0.1</v>
      </c>
      <c r="CV52" s="8" t="str">
        <f ca="1">OFFSET(Database!$F52,0,COLUMN(Database!CS52)*2-12)</f>
        <v>&lt;0.1</v>
      </c>
      <c r="CW52" s="8" t="str">
        <f ca="1">OFFSET(Database!$F52,0,COLUMN(Database!CT52)*2-12)</f>
        <v>&lt;0.1</v>
      </c>
      <c r="CX52" s="8" t="str">
        <f ca="1">OFFSET(Database!$F52,0,COLUMN(Database!CU52)*2-12)</f>
        <v>&lt;0.1</v>
      </c>
      <c r="CY52" s="8" t="str">
        <f ca="1">OFFSET(Database!$F52,0,COLUMN(Database!CV52)*2-12)</f>
        <v>&lt;0.1</v>
      </c>
      <c r="CZ52" s="8" t="str">
        <f ca="1">OFFSET(Database!$F52,0,COLUMN(Database!CW52)*2-12)</f>
        <v>&lt;0.1</v>
      </c>
      <c r="DA52" s="8" t="str">
        <f ca="1">OFFSET(Database!$F52,0,COLUMN(Database!CX52)*2-12)</f>
        <v>&lt;0.1</v>
      </c>
      <c r="DB52" s="8" t="str">
        <f ca="1">OFFSET(Database!$F52,0,COLUMN(Database!CY52)*2-12)</f>
        <v>&lt;0.05</v>
      </c>
      <c r="DC52" s="8" t="str">
        <f ca="1">OFFSET(Database!$F52,0,COLUMN(Database!CZ52)*2-12)</f>
        <v>&lt;0.05</v>
      </c>
      <c r="DD52" s="8">
        <f ca="1">OFFSET(Database!$F52,0,COLUMN(Database!DA52)*2-12)</f>
        <v>7.3999999999999996E-2</v>
      </c>
      <c r="DE52" s="8" t="str">
        <f ca="1">OFFSET(Database!$F52,0,COLUMN(Database!DB52)*2-12)</f>
        <v>n.r.</v>
      </c>
      <c r="DF52" s="8" t="str">
        <f ca="1">OFFSET(Database!$F52,0,COLUMN(Database!DC52)*2-12)</f>
        <v>n.r.</v>
      </c>
      <c r="DG52" s="8" t="str">
        <f ca="1">OFFSET(Database!$F52,0,COLUMN(Database!DD52)*2-12)</f>
        <v>n.r.</v>
      </c>
      <c r="DH52" s="8" t="str">
        <f ca="1">OFFSET(Database!$F52,0,COLUMN(Database!DE52)*2-12)</f>
        <v>n.r.</v>
      </c>
      <c r="DI52" s="8" t="str">
        <f ca="1">OFFSET(Database!$F52,0,COLUMN(Database!DF52)*2-12)</f>
        <v>n.r.</v>
      </c>
      <c r="DJ52" s="8" t="str">
        <f ca="1">OFFSET(Database!$F52,0,COLUMN(Database!DG52)*2-12)</f>
        <v>n.r.</v>
      </c>
      <c r="DK52" s="8" t="str">
        <f ca="1">OFFSET(Database!$F52,0,COLUMN(Database!DH52)*2-12)</f>
        <v>n.r.</v>
      </c>
      <c r="DL52" s="8" t="str">
        <f ca="1">OFFSET(Database!$F52,0,COLUMN(Database!DI52)*2-12)</f>
        <v>n.r.</v>
      </c>
      <c r="DM52" s="8" t="str">
        <f ca="1">OFFSET(Database!$F52,0,COLUMN(Database!DJ52)*2-12)</f>
        <v>n.r.</v>
      </c>
      <c r="DN52" s="8" t="str">
        <f ca="1">OFFSET(Database!$F52,0,COLUMN(Database!DK52)*2-12)</f>
        <v>n.r.</v>
      </c>
      <c r="DO52" s="8" t="str">
        <f ca="1">OFFSET(Database!$F52,0,COLUMN(Database!DL52)*2-12)</f>
        <v>n.r.</v>
      </c>
      <c r="DP52" s="8" t="str">
        <f ca="1">OFFSET(Database!$F52,0,COLUMN(Database!DM52)*2-12)</f>
        <v>n.r.</v>
      </c>
      <c r="DQ52" s="8" t="str">
        <f ca="1">OFFSET(Database!$F52,0,COLUMN(Database!DN52)*2-12)</f>
        <v>n.r.</v>
      </c>
      <c r="DR52" s="8" t="str">
        <f ca="1">OFFSET(Database!$F52,0,COLUMN(Database!DO52)*2-12)</f>
        <v>n.r.</v>
      </c>
      <c r="DS52" s="8" t="str">
        <f ca="1">OFFSET(Database!$F52,0,COLUMN(Database!DP52)*2-12)</f>
        <v>n.r.</v>
      </c>
      <c r="DT52" s="8" t="str">
        <f ca="1">OFFSET(Database!$F52,0,COLUMN(Database!DQ52)*2-12)</f>
        <v>n.r.</v>
      </c>
      <c r="DU52" s="8" t="str">
        <f ca="1">OFFSET(Database!$F52,0,COLUMN(Database!DR52)*2-12)</f>
        <v>b.b.</v>
      </c>
      <c r="DV52" s="8" t="str">
        <f ca="1">OFFSET(Database!$F52,0,COLUMN(Database!DS52)*2-12)</f>
        <v>n.dt.</v>
      </c>
      <c r="DW52" s="8" t="str">
        <f ca="1">OFFSET(Database!$F52,0,COLUMN(Database!DT52)*2-12)</f>
        <v>n.r.</v>
      </c>
      <c r="DX52" s="8" t="str">
        <f ca="1">OFFSET(Database!$F52,0,COLUMN(Database!DU52)*2-12)</f>
        <v>n.r.</v>
      </c>
      <c r="DY52" s="8" t="str">
        <f ca="1">OFFSET(Database!$F52,0,COLUMN(Database!DV52)*2-12)</f>
        <v>n.r.</v>
      </c>
      <c r="DZ52" s="8" t="str">
        <f ca="1">OFFSET(Database!$F52,0,COLUMN(Database!DW52)*2-12)</f>
        <v>n.r.</v>
      </c>
      <c r="EA52" s="8" t="str">
        <f ca="1">OFFSET(Database!$F52,0,COLUMN(Database!DX52)*2-12)</f>
        <v>n.r.</v>
      </c>
      <c r="EB52" s="8" t="str">
        <f ca="1">OFFSET(Database!$F52,0,COLUMN(Database!DY52)*2-12)</f>
        <v>n.r.</v>
      </c>
      <c r="EC52" s="8" t="str">
        <f ca="1">OFFSET(Database!$F52,0,COLUMN(Database!DZ52)*2-12)</f>
        <v>&lt;0.5</v>
      </c>
      <c r="ED52" s="8" t="str">
        <f ca="1">OFFSET(Database!$F52,0,COLUMN(Database!EA52)*2-12)</f>
        <v>n.r</v>
      </c>
      <c r="EE52" s="8" t="str">
        <f ca="1">OFFSET(Database!$F52,0,COLUMN(Database!EB52)*2-12)</f>
        <v>n.r.</v>
      </c>
      <c r="EF52" s="8" t="str">
        <f ca="1">OFFSET(Database!$F52,0,COLUMN(Database!EC52)*2-12)</f>
        <v>n.r.</v>
      </c>
      <c r="EG52" s="8" t="str">
        <f ca="1">OFFSET(Database!$F52,0,COLUMN(Database!ED52)*2-12)</f>
        <v>n.r.</v>
      </c>
      <c r="EH52" s="8" t="str">
        <f ca="1">OFFSET(Database!$F52,0,COLUMN(Database!EE52)*2-12)</f>
        <v>n.r.</v>
      </c>
      <c r="EI52" s="8" t="str">
        <f ca="1">OFFSET(Database!$F52,0,COLUMN(Database!EF52)*2-12)</f>
        <v>n.r.</v>
      </c>
      <c r="EJ52" s="8" t="str">
        <f ca="1">OFFSET(Database!$F52,0,COLUMN(Database!EG52)*2-12)</f>
        <v>n.r.</v>
      </c>
      <c r="EK52" s="8" t="str">
        <f ca="1">OFFSET(Database!$F52,0,COLUMN(Database!EH52)*2-12)</f>
        <v>n.r.</v>
      </c>
      <c r="EL52" s="8" t="str">
        <f ca="1">OFFSET(Database!$F52,0,COLUMN(Database!EI52)*2-12)</f>
        <v>n.r.</v>
      </c>
      <c r="EM52" s="8" t="str">
        <f ca="1">OFFSET(Database!$F52,0,COLUMN(Database!EJ52)*2-12)</f>
        <v>n.r.</v>
      </c>
      <c r="EN52" s="8" t="str">
        <f ca="1">OFFSET(Database!$F52,0,COLUMN(Database!EK52)*2-12)</f>
        <v>n.r.</v>
      </c>
      <c r="EO52" s="8" t="str">
        <f ca="1">OFFSET(Database!$F52,0,COLUMN(Database!EL52)*2-12)</f>
        <v>n.r.</v>
      </c>
      <c r="EP52" s="8" t="str">
        <f ca="1">OFFSET(Database!$F52,0,COLUMN(Database!EM52)*2-12)</f>
        <v>n.r.</v>
      </c>
      <c r="EQ52" s="8" t="str">
        <f ca="1">OFFSET(Database!$F52,0,COLUMN(Database!EN52)*2-12)</f>
        <v>n.r.</v>
      </c>
      <c r="ER52" s="8" t="str">
        <f ca="1">OFFSET(Database!$F52,0,COLUMN(Database!EO52)*2-12)</f>
        <v>n.r.</v>
      </c>
      <c r="ES52" s="8" t="str">
        <f ca="1">OFFSET(Database!$F52,0,COLUMN(Database!EP52)*2-12)</f>
        <v>n.r.</v>
      </c>
      <c r="ET52" s="8" t="str">
        <f ca="1">OFFSET(Database!$F52,0,COLUMN(Database!EQ52)*2-12)</f>
        <v>n.r.</v>
      </c>
      <c r="EU52" s="8" t="str">
        <f ca="1">OFFSET(Database!$F52,0,COLUMN(Database!ER52)*2-12)</f>
        <v>n.r.</v>
      </c>
      <c r="EV52" s="8" t="str">
        <f ca="1">OFFSET(Database!$F52,0,COLUMN(Database!ES52)*2-12)</f>
        <v>n.r.</v>
      </c>
      <c r="EW52" s="8" t="str">
        <f ca="1">OFFSET(Database!$F52,0,COLUMN(Database!ET52)*2-12)</f>
        <v>n.r.</v>
      </c>
      <c r="EX52" s="8" t="str">
        <f ca="1">OFFSET(Database!$F52,0,COLUMN(Database!EU52)*2-12)</f>
        <v>n.r.</v>
      </c>
      <c r="EY52" s="8" t="str">
        <f ca="1">OFFSET(Database!$F52,0,COLUMN(Database!EV52)*2-12)</f>
        <v>n.r.</v>
      </c>
      <c r="EZ52" s="8" t="str">
        <f ca="1">OFFSET(Database!$F52,0,COLUMN(Database!EW52)*2-12)</f>
        <v>n.r.</v>
      </c>
      <c r="FA52" s="8" t="str">
        <f ca="1">OFFSET(Database!$F52,0,COLUMN(Database!EX52)*2-12)</f>
        <v>n.r.</v>
      </c>
      <c r="FB52" s="8" t="str">
        <f ca="1">OFFSET(Database!$F52,0,COLUMN(Database!EY52)*2-12)</f>
        <v>n.r.</v>
      </c>
      <c r="FC52" s="8" t="str">
        <f ca="1">OFFSET(Database!$F52,0,COLUMN(Database!EZ52)*2-12)</f>
        <v>n.r.</v>
      </c>
      <c r="FD52" s="8" t="str">
        <f ca="1">OFFSET(Database!$F52,0,COLUMN(Database!FA52)*2-12)</f>
        <v>n.r.</v>
      </c>
      <c r="FE52" s="8" t="str">
        <f ca="1">OFFSET(Database!$F52,0,COLUMN(Database!FB52)*2-12)</f>
        <v>n.r.</v>
      </c>
      <c r="FF52" s="8" t="str">
        <f ca="1">OFFSET(Database!$F52,0,COLUMN(Database!FC52)*2-12)</f>
        <v>n.r.</v>
      </c>
      <c r="FG52" s="8" t="str">
        <f ca="1">OFFSET(Database!$F52,0,COLUMN(Database!FD52)*2-12)</f>
        <v>n.r.</v>
      </c>
      <c r="FH52" s="8" t="str">
        <f ca="1">OFFSET(Database!$F52,0,COLUMN(Database!FE52)*2-12)</f>
        <v>n.r.</v>
      </c>
      <c r="FI52" s="8" t="str">
        <f ca="1">OFFSET(Database!$F52,0,COLUMN(Database!FF52)*2-12)</f>
        <v>n.r.</v>
      </c>
      <c r="FJ52" s="8" t="str">
        <f ca="1">OFFSET(Database!$F52,0,COLUMN(Database!FG52)*2-12)</f>
        <v>n.r.</v>
      </c>
      <c r="FK52" s="8" t="str">
        <f ca="1">OFFSET(Database!$F52,0,COLUMN(Database!FH52)*2-12)</f>
        <v>n.r.</v>
      </c>
      <c r="FL52" s="8" t="str">
        <f ca="1">OFFSET(Database!$F52,0,COLUMN(Database!FI52)*2-12)</f>
        <v>n.r.</v>
      </c>
      <c r="FM52" s="8" t="str">
        <f ca="1">OFFSET(Database!$F52,0,COLUMN(Database!FJ52)*2-12)</f>
        <v>n.r.</v>
      </c>
      <c r="FN52" s="8" t="str">
        <f ca="1">OFFSET(Database!$F52,0,COLUMN(Database!FK52)*2-12)</f>
        <v>n.r.</v>
      </c>
      <c r="FO52" s="8" t="str">
        <f ca="1">OFFSET(Database!$F52,0,COLUMN(Database!FL52)*2-12)</f>
        <v>n.r.</v>
      </c>
      <c r="FP52" s="8" t="str">
        <f ca="1">OFFSET(Database!$F52,0,COLUMN(Database!FM52)*2-12)</f>
        <v>n.r.</v>
      </c>
      <c r="FQ52" s="8" t="str">
        <f ca="1">OFFSET(Database!$F52,0,COLUMN(Database!FN52)*2-12)</f>
        <v>n.r.</v>
      </c>
      <c r="FR52" s="8" t="str">
        <f ca="1">OFFSET(Database!$F52,0,COLUMN(Database!FO52)*2-12)</f>
        <v>n.r.</v>
      </c>
      <c r="FS52" s="8" t="str">
        <f ca="1">OFFSET(Database!$F52,0,COLUMN(Database!FP52)*2-12)</f>
        <v>n.r.</v>
      </c>
      <c r="FT52" s="8" t="str">
        <f ca="1">OFFSET(Database!$F52,0,COLUMN(Database!FQ52)*2-12)</f>
        <v>n.r.</v>
      </c>
      <c r="FU52" s="8" t="str">
        <f ca="1">OFFSET(Database!$F52,0,COLUMN(Database!FR52)*2-12)</f>
        <v>n.r.</v>
      </c>
      <c r="FV52" s="8" t="str">
        <f ca="1">OFFSET(Database!$F52,0,COLUMN(Database!FS52)*2-12)</f>
        <v>n.r.</v>
      </c>
      <c r="FW52" s="8" t="str">
        <f ca="1">OFFSET(Database!$F52,0,COLUMN(Database!FT52)*2-12)</f>
        <v>n.r.</v>
      </c>
      <c r="FX52" s="8" t="str">
        <f ca="1">OFFSET(Database!$F52,0,COLUMN(Database!FU52)*2-12)</f>
        <v>n.r.</v>
      </c>
      <c r="FY52" s="8" t="str">
        <f ca="1">OFFSET(Database!$F52,0,COLUMN(Database!FV52)*2-12)</f>
        <v>n.r.</v>
      </c>
      <c r="FZ52" s="8" t="str">
        <f ca="1">OFFSET(Database!$F52,0,COLUMN(Database!FW52)*2-12)</f>
        <v>n.r.</v>
      </c>
      <c r="GA52" s="8" t="str">
        <f ca="1">OFFSET(Database!$F52,0,COLUMN(Database!FX52)*2-12)</f>
        <v>n.r.</v>
      </c>
      <c r="GB52" s="8" t="str">
        <f ca="1">OFFSET(Database!$F52,0,COLUMN(Database!FY52)*2-12)</f>
        <v>n.r.</v>
      </c>
      <c r="GC52" s="8" t="str">
        <f ca="1">OFFSET(Database!$F52,0,COLUMN(Database!FZ52)*2-12)</f>
        <v>n.r.</v>
      </c>
      <c r="GD52" s="8" t="str">
        <f ca="1">OFFSET(Database!$F52,0,COLUMN(Database!GA52)*2-12)</f>
        <v>n.r.</v>
      </c>
      <c r="GE52" s="8" t="str">
        <f ca="1">OFFSET(Database!$F52,0,COLUMN(Database!GB52)*2-12)</f>
        <v>n.r.</v>
      </c>
      <c r="GF52" s="8" t="str">
        <f ca="1">OFFSET(Database!$F52,0,COLUMN(Database!GC52)*2-12)</f>
        <v>n.r.</v>
      </c>
      <c r="GG52" s="8" t="str">
        <f ca="1">OFFSET(Database!$F52,0,COLUMN(Database!GD52)*2-12)</f>
        <v>n.r.</v>
      </c>
      <c r="GH52" s="8" t="str">
        <f ca="1">OFFSET(Database!$F52,0,COLUMN(Database!GE52)*2-12)</f>
        <v>n.r.</v>
      </c>
      <c r="GI52" s="8" t="str">
        <f ca="1">OFFSET(Database!$F52,0,COLUMN(Database!GF52)*2-12)</f>
        <v>n.r.</v>
      </c>
      <c r="GJ52" s="8" t="str">
        <f ca="1">OFFSET(Database!$F52,0,COLUMN(Database!GG52)*2-12)</f>
        <v>n.r.</v>
      </c>
      <c r="GK52" s="8" t="str">
        <f ca="1">OFFSET(Database!$F52,0,COLUMN(Database!GH52)*2-12)</f>
        <v>n.r.</v>
      </c>
      <c r="GL52" s="8" t="str">
        <f ca="1">OFFSET(Database!$F52,0,COLUMN(Database!GI52)*2-12)</f>
        <v>n.r.</v>
      </c>
      <c r="GM52" s="8" t="str">
        <f ca="1">OFFSET(Database!$F52,0,COLUMN(Database!GJ52)*2-12)</f>
        <v>n.r.</v>
      </c>
      <c r="GN52" s="8" t="str">
        <f ca="1">OFFSET(Database!$F52,0,COLUMN(Database!GK52)*2-12)</f>
        <v>n.r.</v>
      </c>
      <c r="GO52" s="8" t="str">
        <f ca="1">OFFSET(Database!$F52,0,COLUMN(Database!GL52)*2-12)</f>
        <v>n.d.</v>
      </c>
      <c r="GP52" s="8" t="str">
        <f ca="1">OFFSET(Database!$F52,0,COLUMN(Database!GM52)*2-12)</f>
        <v>n.d.</v>
      </c>
    </row>
    <row r="53" spans="1:198" x14ac:dyDescent="0.2">
      <c r="A53" s="50" t="str">
        <f>Database!A53</f>
        <v>isovaline</v>
      </c>
      <c r="B53" s="1" t="s">
        <v>870</v>
      </c>
      <c r="C53" s="4" t="str">
        <f>Database!B53</f>
        <v>ɑ</v>
      </c>
      <c r="D53" s="4" t="str">
        <f>Database!C53</f>
        <v>Both</v>
      </c>
      <c r="E53" s="74">
        <f>Database!D53</f>
        <v>2</v>
      </c>
      <c r="F53" s="32" t="s">
        <v>1061</v>
      </c>
      <c r="G53" s="1" t="s">
        <v>1129</v>
      </c>
      <c r="H53" s="1">
        <f>Database!E53</f>
        <v>117.15</v>
      </c>
      <c r="I53" s="8" t="str">
        <f ca="1">OFFSET(Database!$F53,0,COLUMN(Database!F53)*2-12)</f>
        <v>n.r.</v>
      </c>
      <c r="J53" s="8" t="str">
        <f ca="1">OFFSET(Database!$F53,0,COLUMN(Database!G53)*2-12)</f>
        <v>n.r.</v>
      </c>
      <c r="K53" s="8" t="str">
        <f ca="1">OFFSET(Database!$F53,0,COLUMN(Database!H53)*2-12)</f>
        <v>n.r.</v>
      </c>
      <c r="L53" s="8" t="str">
        <f ca="1">OFFSET(Database!$F53,0,COLUMN(Database!I53)*2-12)</f>
        <v>n.r.</v>
      </c>
      <c r="M53" s="8" t="str">
        <f ca="1">OFFSET(Database!$F53,0,COLUMN(Database!J53)*2-12)</f>
        <v>n.r.</v>
      </c>
      <c r="N53" s="8" t="str">
        <f ca="1">OFFSET(Database!$F53,0,COLUMN(Database!K53)*2-12)</f>
        <v>n.s.</v>
      </c>
      <c r="O53" s="8" t="str">
        <f ca="1">OFFSET(Database!$F53,0,COLUMN(Database!L53)*2-12)</f>
        <v>n.r.</v>
      </c>
      <c r="P53" s="8" t="str">
        <f ca="1">OFFSET(Database!$F53,0,COLUMN(Database!M53)*2-12)</f>
        <v>n.r.</v>
      </c>
      <c r="Q53" s="8" t="str">
        <f ca="1">OFFSET(Database!$F53,0,COLUMN(Database!N53)*2-12)</f>
        <v>n.r.</v>
      </c>
      <c r="R53" s="8" t="str">
        <f ca="1">OFFSET(Database!$F53,0,COLUMN(Database!O53)*2-12)</f>
        <v>n.s.</v>
      </c>
      <c r="S53" s="8" t="str">
        <f ca="1">OFFSET(Database!$F53,0,COLUMN(Database!P53)*2-12)</f>
        <v>n.s.</v>
      </c>
      <c r="T53" s="8" t="str">
        <f ca="1">OFFSET(Database!$F53,0,COLUMN(Database!Q53)*2-12)</f>
        <v>n.r.</v>
      </c>
      <c r="U53" s="8" t="str">
        <f ca="1">OFFSET(Database!$F53,0,COLUMN(Database!R53)*2-12)</f>
        <v>n.r.</v>
      </c>
      <c r="V53" s="8" t="str">
        <f ca="1">OFFSET(Database!$F53,0,COLUMN(Database!S53)*2-12)</f>
        <v>n.r.</v>
      </c>
      <c r="W53" s="8" t="str">
        <f ca="1">OFFSET(Database!$F53,0,COLUMN(Database!T53)*2-12)</f>
        <v>n.r.</v>
      </c>
      <c r="X53" s="8" t="str">
        <f ca="1">OFFSET(Database!$F53,0,COLUMN(Database!U53)*2-12)</f>
        <v>n.r.</v>
      </c>
      <c r="Y53" s="8" t="str">
        <f ca="1">OFFSET(Database!$F53,0,COLUMN(Database!V53)*2-12)</f>
        <v>n.r.</v>
      </c>
      <c r="Z53" s="8" t="str">
        <f ca="1">OFFSET(Database!$F53,0,COLUMN(Database!W53)*2-12)</f>
        <v>n.r.</v>
      </c>
      <c r="AA53" s="8" t="str">
        <f ca="1">OFFSET(Database!$F53,0,COLUMN(Database!X53)*2-12)</f>
        <v>n.r.</v>
      </c>
      <c r="AB53" s="8">
        <f ca="1">OFFSET(Database!$F53,0,COLUMN(Database!Y53)*2-12)</f>
        <v>12.104139991463935</v>
      </c>
      <c r="AC53" s="8" t="str">
        <f ca="1">OFFSET(Database!$F53,0,COLUMN(Database!Z53)*2-12)</f>
        <v>n.r.</v>
      </c>
      <c r="AD53" s="8" t="str">
        <f ca="1">OFFSET(Database!$F53,0,COLUMN(Database!AA53)*2-12)</f>
        <v>n.r.</v>
      </c>
      <c r="AE53" s="8" t="str">
        <f ca="1">OFFSET(Database!$F53,0,COLUMN(Database!AB53)*2-12)</f>
        <v>n.r.</v>
      </c>
      <c r="AF53" s="8" t="str">
        <f ca="1">OFFSET(Database!$F53,0,COLUMN(Database!AC53)*2-12)</f>
        <v>n.r.</v>
      </c>
      <c r="AG53" s="8" t="str">
        <f ca="1">OFFSET(Database!$F53,0,COLUMN(Database!AD53)*2-12)</f>
        <v>n.r.</v>
      </c>
      <c r="AH53" s="8">
        <f ca="1">OFFSET(Database!$F53,0,COLUMN(Database!AE53)*2-12)</f>
        <v>0.6</v>
      </c>
      <c r="AI53" s="8" t="str">
        <f ca="1">OFFSET(Database!$F53,0,COLUMN(Database!AF53)*2-12)</f>
        <v>n.r.</v>
      </c>
      <c r="AJ53" s="8" t="str">
        <f ca="1">OFFSET(Database!$F53,0,COLUMN(Database!AG53)*2-12)</f>
        <v>n.r.</v>
      </c>
      <c r="AK53" s="8" t="str">
        <f ca="1">OFFSET(Database!$F53,0,COLUMN(Database!AH53)*2-12)</f>
        <v>n.r.</v>
      </c>
      <c r="AL53" s="8" t="str">
        <f ca="1">OFFSET(Database!$F53,0,COLUMN(Database!AI53)*2-12)</f>
        <v>n.r.</v>
      </c>
      <c r="AM53" s="8" t="str">
        <f ca="1">OFFSET(Database!$F53,0,COLUMN(Database!AJ53)*2-12)</f>
        <v>n.r.</v>
      </c>
      <c r="AN53" s="8" t="str">
        <f ca="1">OFFSET(Database!$F53,0,COLUMN(Database!AK53)*2-12)</f>
        <v>n.r.</v>
      </c>
      <c r="AO53" s="8" t="str">
        <f ca="1">OFFSET(Database!$F53,0,COLUMN(Database!AL53)*2-12)</f>
        <v>n.r.</v>
      </c>
      <c r="AP53" s="8" t="str">
        <f ca="1">OFFSET(Database!$F53,0,COLUMN(Database!AM53)*2-12)</f>
        <v>n.r.</v>
      </c>
      <c r="AQ53" s="8" t="str">
        <f ca="1">OFFSET(Database!$F53,0,COLUMN(Database!AN53)*2-12)</f>
        <v>n.r.</v>
      </c>
      <c r="AR53" s="8" t="str">
        <f ca="1">OFFSET(Database!$F53,0,COLUMN(Database!AO53)*2-12)</f>
        <v>n.r.</v>
      </c>
      <c r="AS53" s="8" t="str">
        <f ca="1">OFFSET(Database!$F53,0,COLUMN(Database!AP53)*2-12)</f>
        <v>n.r.</v>
      </c>
      <c r="AT53" s="8" t="str">
        <f ca="1">OFFSET(Database!$F53,0,COLUMN(Database!AQ53)*2-12)</f>
        <v>n.r.</v>
      </c>
      <c r="AU53" s="8" t="str">
        <f ca="1">OFFSET(Database!$F53,0,COLUMN(Database!AR53)*2-12)</f>
        <v>n.r.</v>
      </c>
      <c r="AV53" s="8" t="str">
        <f ca="1">OFFSET(Database!$F53,0,COLUMN(Database!AS53)*2-12)</f>
        <v>n.r.</v>
      </c>
      <c r="AW53" s="8" t="str">
        <f ca="1">OFFSET(Database!$F53,0,COLUMN(Database!AT53)*2-12)</f>
        <v>n.r.</v>
      </c>
      <c r="AX53" s="8" t="str">
        <f ca="1">OFFSET(Database!$F53,0,COLUMN(Database!AU53)*2-12)</f>
        <v>n.r.</v>
      </c>
      <c r="AY53" s="8" t="str">
        <f ca="1">OFFSET(Database!$F53,0,COLUMN(Database!AV53)*2-12)</f>
        <v>n.r.</v>
      </c>
      <c r="AZ53" s="8" t="str">
        <f ca="1">OFFSET(Database!$F53,0,COLUMN(Database!AW53)*2-12)</f>
        <v>n.r.</v>
      </c>
      <c r="BA53" s="8" t="str">
        <f ca="1">OFFSET(Database!$F53,0,COLUMN(Database!AX53)*2-12)</f>
        <v>n.r.</v>
      </c>
      <c r="BB53" s="8" t="str">
        <f ca="1">OFFSET(Database!$F53,0,COLUMN(Database!AY53)*2-12)</f>
        <v>n.r.</v>
      </c>
      <c r="BC53" s="8" t="str">
        <f ca="1">OFFSET(Database!$F53,0,COLUMN(Database!AZ53)*2-12)</f>
        <v>n.r.</v>
      </c>
      <c r="BD53" s="8" t="str">
        <f ca="1">OFFSET(Database!$F53,0,COLUMN(Database!BA53)*2-12)</f>
        <v>n.r.</v>
      </c>
      <c r="BE53" s="8" t="str">
        <f ca="1">OFFSET(Database!$F53,0,COLUMN(Database!BB53)*2-12)</f>
        <v>n.r.</v>
      </c>
      <c r="BF53" s="8" t="str">
        <f ca="1">OFFSET(Database!$F53,0,COLUMN(Database!BC53)*2-12)</f>
        <v>n.r.</v>
      </c>
      <c r="BG53" s="8" t="str">
        <f ca="1">OFFSET(Database!$F53,0,COLUMN(Database!BD53)*2-12)</f>
        <v>n.r.</v>
      </c>
      <c r="BH53" s="8" t="str">
        <f ca="1">OFFSET(Database!$F53,0,COLUMN(Database!BE53)*2-12)</f>
        <v>n.r.</v>
      </c>
      <c r="BI53" s="8" t="str">
        <f ca="1">OFFSET(Database!$F53,0,COLUMN(Database!BF53)*2-12)</f>
        <v>n.r.</v>
      </c>
      <c r="BJ53" s="8" t="str">
        <f ca="1">OFFSET(Database!$F53,0,COLUMN(Database!BG53)*2-12)</f>
        <v>n.r.</v>
      </c>
      <c r="BK53" s="8" t="str">
        <f ca="1">OFFSET(Database!$F53,0,COLUMN(Database!BH53)*2-12)</f>
        <v>n.r.</v>
      </c>
      <c r="BL53" s="8" t="str">
        <f ca="1">OFFSET(Database!$F53,0,COLUMN(Database!BI53)*2-12)</f>
        <v>n.r.</v>
      </c>
      <c r="BM53" s="8" t="str">
        <f ca="1">OFFSET(Database!$F53,0,COLUMN(Database!BJ53)*2-12)</f>
        <v>n.r.</v>
      </c>
      <c r="BN53" s="8" t="str">
        <f ca="1">OFFSET(Database!$F53,0,COLUMN(Database!BK53)*2-12)</f>
        <v>n.r.</v>
      </c>
      <c r="BO53" s="8" t="str">
        <f ca="1">OFFSET(Database!$F53,0,COLUMN(Database!BL53)*2-12)</f>
        <v>n.r.</v>
      </c>
      <c r="BP53" s="8" t="str">
        <f ca="1">OFFSET(Database!$F53,0,COLUMN(Database!BM53)*2-12)</f>
        <v>n.r.</v>
      </c>
      <c r="BQ53" s="8" t="str">
        <f ca="1">OFFSET(Database!$F53,0,COLUMN(Database!BN53)*2-12)</f>
        <v>n.r.</v>
      </c>
      <c r="BR53" s="8" t="str">
        <f ca="1">OFFSET(Database!$F53,0,COLUMN(Database!BO53)*2-12)</f>
        <v>n.r.</v>
      </c>
      <c r="BS53" s="8" t="str">
        <f ca="1">OFFSET(Database!$F53,0,COLUMN(Database!BP53)*2-12)</f>
        <v>n.r.</v>
      </c>
      <c r="BT53" s="8" t="str">
        <f ca="1">OFFSET(Database!$F53,0,COLUMN(Database!BQ53)*2-12)</f>
        <v>n.r.</v>
      </c>
      <c r="BU53" s="8" t="str">
        <f ca="1">OFFSET(Database!$F53,0,COLUMN(Database!BR53)*2-12)</f>
        <v>n.r.</v>
      </c>
      <c r="BV53" s="8" t="str">
        <f ca="1">OFFSET(Database!$F53,0,COLUMN(Database!BS53)*2-12)</f>
        <v>n.r.</v>
      </c>
      <c r="BW53" s="8" t="str">
        <f ca="1">OFFSET(Database!$F53,0,COLUMN(Database!BT53)*2-12)</f>
        <v>n.r.</v>
      </c>
      <c r="BX53" s="8" t="str">
        <f ca="1">OFFSET(Database!$F53,0,COLUMN(Database!BU53)*2-12)</f>
        <v>n.r.</v>
      </c>
      <c r="BY53" s="8" t="str">
        <f ca="1">OFFSET(Database!$F53,0,COLUMN(Database!BV53)*2-12)</f>
        <v>n.r.</v>
      </c>
      <c r="BZ53" s="8" t="str">
        <f ca="1">OFFSET(Database!$F53,0,COLUMN(Database!BW53)*2-12)</f>
        <v>n.r.</v>
      </c>
      <c r="CA53" s="8" t="str">
        <f ca="1">OFFSET(Database!$F53,0,COLUMN(Database!BX53)*2-12)</f>
        <v>n.r.</v>
      </c>
      <c r="CB53" s="8" t="str">
        <f ca="1">OFFSET(Database!$F53,0,COLUMN(Database!BY53)*2-12)</f>
        <v>&lt;0.0171</v>
      </c>
      <c r="CC53" s="8" t="str">
        <f ca="1">OFFSET(Database!$F53,0,COLUMN(Database!BZ53)*2-12)</f>
        <v>&lt;0.0171</v>
      </c>
      <c r="CD53" s="8" t="str">
        <f ca="1">OFFSET(Database!$F53,0,COLUMN(Database!CA53)*2-12)</f>
        <v>&lt;0.0171</v>
      </c>
      <c r="CE53" s="8" t="str">
        <f ca="1">OFFSET(Database!$F53,0,COLUMN(Database!CB53)*2-12)</f>
        <v>&lt;0.0171</v>
      </c>
      <c r="CF53" s="8" t="str">
        <f ca="1">OFFSET(Database!$F53,0,COLUMN(Database!CC53)*2-12)</f>
        <v>&lt;0.0171</v>
      </c>
      <c r="CG53" s="8" t="str">
        <f ca="1">OFFSET(Database!$F53,0,COLUMN(Database!CD53)*2-12)</f>
        <v>&lt;0.0085</v>
      </c>
      <c r="CH53" s="8" t="str">
        <f ca="1">OFFSET(Database!$F53,0,COLUMN(Database!CE53)*2-12)</f>
        <v>&lt;0.0085</v>
      </c>
      <c r="CI53" s="8" t="str">
        <f ca="1">OFFSET(Database!$F53,0,COLUMN(Database!CF53)*2-12)</f>
        <v>&lt;0.0085</v>
      </c>
      <c r="CJ53" s="8" t="str">
        <f ca="1">OFFSET(Database!$F53,0,COLUMN(Database!CG53)*2-12)</f>
        <v>&lt;0.0085</v>
      </c>
      <c r="CK53" s="8" t="str">
        <f ca="1">OFFSET(Database!$F53,0,COLUMN(Database!CH53)*2-12)</f>
        <v>&lt;0.0085</v>
      </c>
      <c r="CL53" s="8" t="str">
        <f ca="1">OFFSET(Database!$F53,0,COLUMN(Database!CI53)*2-12)</f>
        <v>&lt;0.0085</v>
      </c>
      <c r="CM53" s="8" t="str">
        <f ca="1">OFFSET(Database!$F53,0,COLUMN(Database!CJ53)*2-12)</f>
        <v>&lt;0.0085</v>
      </c>
      <c r="CN53" s="8" t="str">
        <f ca="1">OFFSET(Database!$F53,0,COLUMN(Database!CK53)*2-12)</f>
        <v>&lt;0.0085</v>
      </c>
      <c r="CO53" s="8" t="str">
        <f ca="1">OFFSET(Database!$F53,0,COLUMN(Database!CL53)*2-12)</f>
        <v>&lt;0.0085</v>
      </c>
      <c r="CP53" s="8" t="str">
        <f ca="1">OFFSET(Database!$F53,0,COLUMN(Database!CM53)*2-12)</f>
        <v>n.r.</v>
      </c>
      <c r="CQ53" s="8" t="str">
        <f ca="1">OFFSET(Database!$F53,0,COLUMN(Database!CN53)*2-12)</f>
        <v>n.r.</v>
      </c>
      <c r="CR53" s="8" t="str">
        <f ca="1">OFFSET(Database!$F53,0,COLUMN(Database!CO53)*2-12)</f>
        <v>n.r.</v>
      </c>
      <c r="CS53" s="8" t="str">
        <f ca="1">OFFSET(Database!$F53,0,COLUMN(Database!CP53)*2-12)</f>
        <v>n.r.</v>
      </c>
      <c r="CT53" s="8" t="str">
        <f ca="1">OFFSET(Database!$F53,0,COLUMN(Database!CQ53)*2-12)</f>
        <v>n.r.</v>
      </c>
      <c r="CU53" s="8" t="str">
        <f ca="1">OFFSET(Database!$F53,0,COLUMN(Database!CR53)*2-12)</f>
        <v>n.r.</v>
      </c>
      <c r="CV53" s="8" t="str">
        <f ca="1">OFFSET(Database!$F53,0,COLUMN(Database!CS53)*2-12)</f>
        <v>n.r.</v>
      </c>
      <c r="CW53" s="8" t="str">
        <f ca="1">OFFSET(Database!$F53,0,COLUMN(Database!CT53)*2-12)</f>
        <v>n.r.</v>
      </c>
      <c r="CX53" s="8" t="str">
        <f ca="1">OFFSET(Database!$F53,0,COLUMN(Database!CU53)*2-12)</f>
        <v>n.r.</v>
      </c>
      <c r="CY53" s="8" t="str">
        <f ca="1">OFFSET(Database!$F53,0,COLUMN(Database!CV53)*2-12)</f>
        <v>n.r.</v>
      </c>
      <c r="CZ53" s="8" t="str">
        <f ca="1">OFFSET(Database!$F53,0,COLUMN(Database!CW53)*2-12)</f>
        <v>n.r.</v>
      </c>
      <c r="DA53" s="8" t="str">
        <f ca="1">OFFSET(Database!$F53,0,COLUMN(Database!CX53)*2-12)</f>
        <v>n.r.</v>
      </c>
      <c r="DB53" s="8" t="str">
        <f ca="1">OFFSET(Database!$F53,0,COLUMN(Database!CY53)*2-12)</f>
        <v>n.r.</v>
      </c>
      <c r="DC53" s="8" t="str">
        <f ca="1">OFFSET(Database!$F53,0,COLUMN(Database!CZ53)*2-12)</f>
        <v>n.r.</v>
      </c>
      <c r="DD53" s="8" t="str">
        <f ca="1">OFFSET(Database!$F53,0,COLUMN(Database!DA53)*2-12)</f>
        <v>n.r.</v>
      </c>
      <c r="DE53" s="8" t="str">
        <f ca="1">OFFSET(Database!$F53,0,COLUMN(Database!DB53)*2-12)</f>
        <v>&lt;0.0683</v>
      </c>
      <c r="DF53" s="8" t="str">
        <f ca="1">OFFSET(Database!$F53,0,COLUMN(Database!DC53)*2-12)</f>
        <v>n.r.</v>
      </c>
      <c r="DG53" s="8" t="str">
        <f ca="1">OFFSET(Database!$F53,0,COLUMN(Database!DD53)*2-12)</f>
        <v>n.r.</v>
      </c>
      <c r="DH53" s="8" t="str">
        <f ca="1">OFFSET(Database!$F53,0,COLUMN(Database!DE53)*2-12)</f>
        <v>n.r.</v>
      </c>
      <c r="DI53" s="8" t="str">
        <f ca="1">OFFSET(Database!$F53,0,COLUMN(Database!DF53)*2-12)</f>
        <v>n.r.</v>
      </c>
      <c r="DJ53" s="8" t="str">
        <f ca="1">OFFSET(Database!$F53,0,COLUMN(Database!DG53)*2-12)</f>
        <v>n.r.</v>
      </c>
      <c r="DK53" s="8" t="str">
        <f ca="1">OFFSET(Database!$F53,0,COLUMN(Database!DH53)*2-12)</f>
        <v>n.r.</v>
      </c>
      <c r="DL53" s="8" t="str">
        <f ca="1">OFFSET(Database!$F53,0,COLUMN(Database!DI53)*2-12)</f>
        <v>n.r.</v>
      </c>
      <c r="DM53" s="8" t="str">
        <f ca="1">OFFSET(Database!$F53,0,COLUMN(Database!DJ53)*2-12)</f>
        <v>n.r.</v>
      </c>
      <c r="DN53" s="8" t="str">
        <f ca="1">OFFSET(Database!$F53,0,COLUMN(Database!DK53)*2-12)</f>
        <v>n.r.</v>
      </c>
      <c r="DO53" s="8" t="str">
        <f ca="1">OFFSET(Database!$F53,0,COLUMN(Database!DL53)*2-12)</f>
        <v>n.r.</v>
      </c>
      <c r="DP53" s="8" t="str">
        <f ca="1">OFFSET(Database!$F53,0,COLUMN(Database!DM53)*2-12)</f>
        <v>n.r.</v>
      </c>
      <c r="DQ53" s="8" t="str">
        <f ca="1">OFFSET(Database!$F53,0,COLUMN(Database!DN53)*2-12)</f>
        <v>n.r.</v>
      </c>
      <c r="DR53" s="8" t="str">
        <f ca="1">OFFSET(Database!$F53,0,COLUMN(Database!DO53)*2-12)</f>
        <v>n.r.</v>
      </c>
      <c r="DS53" s="8" t="str">
        <f ca="1">OFFSET(Database!$F53,0,COLUMN(Database!DP53)*2-12)</f>
        <v>n.r.</v>
      </c>
      <c r="DT53" s="8" t="str">
        <f ca="1">OFFSET(Database!$F53,0,COLUMN(Database!DQ53)*2-12)</f>
        <v>n.r.</v>
      </c>
      <c r="DU53" s="8" t="str">
        <f ca="1">OFFSET(Database!$F53,0,COLUMN(Database!DR53)*2-12)</f>
        <v>n.r.</v>
      </c>
      <c r="DV53" s="8" t="str">
        <f ca="1">OFFSET(Database!$F53,0,COLUMN(Database!DS53)*2-12)</f>
        <v>n.r.</v>
      </c>
      <c r="DW53" s="8" t="str">
        <f ca="1">OFFSET(Database!$F53,0,COLUMN(Database!DT53)*2-12)</f>
        <v>n.r.</v>
      </c>
      <c r="DX53" s="8" t="str">
        <f ca="1">OFFSET(Database!$F53,0,COLUMN(Database!DU53)*2-12)</f>
        <v>n.r.</v>
      </c>
      <c r="DY53" s="8" t="str">
        <f ca="1">OFFSET(Database!$F53,0,COLUMN(Database!DV53)*2-12)</f>
        <v>n.r.</v>
      </c>
      <c r="DZ53" s="8" t="str">
        <f ca="1">OFFSET(Database!$F53,0,COLUMN(Database!DW53)*2-12)</f>
        <v>n.r.</v>
      </c>
      <c r="EA53" s="8" t="str">
        <f ca="1">OFFSET(Database!$F53,0,COLUMN(Database!DX53)*2-12)</f>
        <v>n.r.</v>
      </c>
      <c r="EB53" s="8" t="str">
        <f ca="1">OFFSET(Database!$F53,0,COLUMN(Database!DY53)*2-12)</f>
        <v>n.r.</v>
      </c>
      <c r="EC53" s="8" t="str">
        <f ca="1">OFFSET(Database!$F53,0,COLUMN(Database!DZ53)*2-12)</f>
        <v>n.r.</v>
      </c>
      <c r="ED53" s="8" t="str">
        <f ca="1">OFFSET(Database!$F53,0,COLUMN(Database!EA53)*2-12)</f>
        <v>n.r.</v>
      </c>
      <c r="EE53" s="8" t="str">
        <f ca="1">OFFSET(Database!$F53,0,COLUMN(Database!EB53)*2-12)</f>
        <v>n.r.</v>
      </c>
      <c r="EF53" s="8" t="str">
        <f ca="1">OFFSET(Database!$F53,0,COLUMN(Database!EC53)*2-12)</f>
        <v>n.r.</v>
      </c>
      <c r="EG53" s="8" t="str">
        <f ca="1">OFFSET(Database!$F53,0,COLUMN(Database!ED53)*2-12)</f>
        <v>n.r.</v>
      </c>
      <c r="EH53" s="8" t="str">
        <f ca="1">OFFSET(Database!$F53,0,COLUMN(Database!EE53)*2-12)</f>
        <v>n.r.</v>
      </c>
      <c r="EI53" s="8" t="str">
        <f ca="1">OFFSET(Database!$F53,0,COLUMN(Database!EF53)*2-12)</f>
        <v>n.r.</v>
      </c>
      <c r="EJ53" s="8" t="str">
        <f ca="1">OFFSET(Database!$F53,0,COLUMN(Database!EG53)*2-12)</f>
        <v>n.r.</v>
      </c>
      <c r="EK53" s="8" t="str">
        <f ca="1">OFFSET(Database!$F53,0,COLUMN(Database!EH53)*2-12)</f>
        <v>n.r.</v>
      </c>
      <c r="EL53" s="8" t="str">
        <f ca="1">OFFSET(Database!$F53,0,COLUMN(Database!EI53)*2-12)</f>
        <v>n.r.</v>
      </c>
      <c r="EM53" s="8" t="str">
        <f ca="1">OFFSET(Database!$F53,0,COLUMN(Database!EJ53)*2-12)</f>
        <v>n.r.</v>
      </c>
      <c r="EN53" s="8" t="str">
        <f ca="1">OFFSET(Database!$F53,0,COLUMN(Database!EK53)*2-12)</f>
        <v>n.r.</v>
      </c>
      <c r="EO53" s="8" t="str">
        <f ca="1">OFFSET(Database!$F53,0,COLUMN(Database!EL53)*2-12)</f>
        <v>n.r.</v>
      </c>
      <c r="EP53" s="8" t="str">
        <f ca="1">OFFSET(Database!$F53,0,COLUMN(Database!EM53)*2-12)</f>
        <v>n.r.</v>
      </c>
      <c r="EQ53" s="8" t="str">
        <f ca="1">OFFSET(Database!$F53,0,COLUMN(Database!EN53)*2-12)</f>
        <v>n.r.</v>
      </c>
      <c r="ER53" s="8" t="str">
        <f ca="1">OFFSET(Database!$F53,0,COLUMN(Database!EO53)*2-12)</f>
        <v>n.r.</v>
      </c>
      <c r="ES53" s="8" t="str">
        <f ca="1">OFFSET(Database!$F53,0,COLUMN(Database!EP53)*2-12)</f>
        <v>n.r.</v>
      </c>
      <c r="ET53" s="8" t="str">
        <f ca="1">OFFSET(Database!$F53,0,COLUMN(Database!EQ53)*2-12)</f>
        <v>n.r.</v>
      </c>
      <c r="EU53" s="8" t="str">
        <f ca="1">OFFSET(Database!$F53,0,COLUMN(Database!ER53)*2-12)</f>
        <v>n.r.</v>
      </c>
      <c r="EV53" s="8" t="str">
        <f ca="1">OFFSET(Database!$F53,0,COLUMN(Database!ES53)*2-12)</f>
        <v>n.r.</v>
      </c>
      <c r="EW53" s="8" t="str">
        <f ca="1">OFFSET(Database!$F53,0,COLUMN(Database!ET53)*2-12)</f>
        <v>n.r.</v>
      </c>
      <c r="EX53" s="8" t="str">
        <f ca="1">OFFSET(Database!$F53,0,COLUMN(Database!EU53)*2-12)</f>
        <v>n.r.</v>
      </c>
      <c r="EY53" s="8" t="str">
        <f ca="1">OFFSET(Database!$F53,0,COLUMN(Database!EV53)*2-12)</f>
        <v>n.r.</v>
      </c>
      <c r="EZ53" s="8" t="str">
        <f ca="1">OFFSET(Database!$F53,0,COLUMN(Database!EW53)*2-12)</f>
        <v>n.r.</v>
      </c>
      <c r="FA53" s="8" t="str">
        <f ca="1">OFFSET(Database!$F53,0,COLUMN(Database!EX53)*2-12)</f>
        <v>n.r.</v>
      </c>
      <c r="FB53" s="8" t="str">
        <f ca="1">OFFSET(Database!$F53,0,COLUMN(Database!EY53)*2-12)</f>
        <v>n.r.</v>
      </c>
      <c r="FC53" s="8" t="str">
        <f ca="1">OFFSET(Database!$F53,0,COLUMN(Database!EZ53)*2-12)</f>
        <v>n.r.</v>
      </c>
      <c r="FD53" s="8" t="str">
        <f ca="1">OFFSET(Database!$F53,0,COLUMN(Database!FA53)*2-12)</f>
        <v>n.r.</v>
      </c>
      <c r="FE53" s="8" t="str">
        <f ca="1">OFFSET(Database!$F53,0,COLUMN(Database!FB53)*2-12)</f>
        <v>n.r.</v>
      </c>
      <c r="FF53" s="8" t="str">
        <f ca="1">OFFSET(Database!$F53,0,COLUMN(Database!FC53)*2-12)</f>
        <v>n.r.</v>
      </c>
      <c r="FG53" s="8" t="str">
        <f ca="1">OFFSET(Database!$F53,0,COLUMN(Database!FD53)*2-12)</f>
        <v>n.r.</v>
      </c>
      <c r="FH53" s="8" t="str">
        <f ca="1">OFFSET(Database!$F53,0,COLUMN(Database!FE53)*2-12)</f>
        <v>n.r.</v>
      </c>
      <c r="FI53" s="8" t="str">
        <f ca="1">OFFSET(Database!$F53,0,COLUMN(Database!FF53)*2-12)</f>
        <v>n.r.</v>
      </c>
      <c r="FJ53" s="8" t="str">
        <f ca="1">OFFSET(Database!$F53,0,COLUMN(Database!FG53)*2-12)</f>
        <v>n.r.</v>
      </c>
      <c r="FK53" s="8" t="str">
        <f ca="1">OFFSET(Database!$F53,0,COLUMN(Database!FH53)*2-12)</f>
        <v>n.r.</v>
      </c>
      <c r="FL53" s="8" t="str">
        <f ca="1">OFFSET(Database!$F53,0,COLUMN(Database!FI53)*2-12)</f>
        <v>n.r.</v>
      </c>
      <c r="FM53" s="8" t="str">
        <f ca="1">OFFSET(Database!$F53,0,COLUMN(Database!FJ53)*2-12)</f>
        <v>n.r.</v>
      </c>
      <c r="FN53" s="8" t="str">
        <f ca="1">OFFSET(Database!$F53,0,COLUMN(Database!FK53)*2-12)</f>
        <v>n.r.</v>
      </c>
      <c r="FO53" s="8" t="str">
        <f ca="1">OFFSET(Database!$F53,0,COLUMN(Database!FL53)*2-12)</f>
        <v>n.r.</v>
      </c>
      <c r="FP53" s="8" t="str">
        <f ca="1">OFFSET(Database!$F53,0,COLUMN(Database!FM53)*2-12)</f>
        <v>n.r.</v>
      </c>
      <c r="FQ53" s="8" t="str">
        <f ca="1">OFFSET(Database!$F53,0,COLUMN(Database!FN53)*2-12)</f>
        <v>n.r.</v>
      </c>
      <c r="FR53" s="8" t="str">
        <f ca="1">OFFSET(Database!$F53,0,COLUMN(Database!FO53)*2-12)</f>
        <v>n.r.</v>
      </c>
      <c r="FS53" s="8" t="str">
        <f ca="1">OFFSET(Database!$F53,0,COLUMN(Database!FP53)*2-12)</f>
        <v>n.r.</v>
      </c>
      <c r="FT53" s="8" t="str">
        <f ca="1">OFFSET(Database!$F53,0,COLUMN(Database!FQ53)*2-12)</f>
        <v>n.r.</v>
      </c>
      <c r="FU53" s="8" t="str">
        <f ca="1">OFFSET(Database!$F53,0,COLUMN(Database!FR53)*2-12)</f>
        <v>n.r.</v>
      </c>
      <c r="FV53" s="8" t="str">
        <f ca="1">OFFSET(Database!$F53,0,COLUMN(Database!FS53)*2-12)</f>
        <v>n.r.</v>
      </c>
      <c r="FW53" s="8" t="str">
        <f ca="1">OFFSET(Database!$F53,0,COLUMN(Database!FT53)*2-12)</f>
        <v>n.r.</v>
      </c>
      <c r="FX53" s="8" t="str">
        <f ca="1">OFFSET(Database!$F53,0,COLUMN(Database!FU53)*2-12)</f>
        <v>n.r.</v>
      </c>
      <c r="FY53" s="8" t="str">
        <f ca="1">OFFSET(Database!$F53,0,COLUMN(Database!FV53)*2-12)</f>
        <v>n.r.</v>
      </c>
      <c r="FZ53" s="8" t="str">
        <f ca="1">OFFSET(Database!$F53,0,COLUMN(Database!FW53)*2-12)</f>
        <v>n.r.</v>
      </c>
      <c r="GA53" s="8" t="str">
        <f ca="1">OFFSET(Database!$F53,0,COLUMN(Database!FX53)*2-12)</f>
        <v>n.r.</v>
      </c>
      <c r="GB53" s="8" t="str">
        <f ca="1">OFFSET(Database!$F53,0,COLUMN(Database!FY53)*2-12)</f>
        <v>n.r.</v>
      </c>
      <c r="GC53" s="8" t="str">
        <f ca="1">OFFSET(Database!$F53,0,COLUMN(Database!FZ53)*2-12)</f>
        <v>n.r.</v>
      </c>
      <c r="GD53" s="8" t="str">
        <f ca="1">OFFSET(Database!$F53,0,COLUMN(Database!GA53)*2-12)</f>
        <v>n.r.</v>
      </c>
      <c r="GE53" s="8" t="str">
        <f ca="1">OFFSET(Database!$F53,0,COLUMN(Database!GB53)*2-12)</f>
        <v>n.r.</v>
      </c>
      <c r="GF53" s="8" t="str">
        <f ca="1">OFFSET(Database!$F53,0,COLUMN(Database!GC53)*2-12)</f>
        <v>n.r.</v>
      </c>
      <c r="GG53" s="8" t="str">
        <f ca="1">OFFSET(Database!$F53,0,COLUMN(Database!GD53)*2-12)</f>
        <v>n.r.</v>
      </c>
      <c r="GH53" s="8" t="str">
        <f ca="1">OFFSET(Database!$F53,0,COLUMN(Database!GE53)*2-12)</f>
        <v>n.r.</v>
      </c>
      <c r="GI53" s="8" t="str">
        <f ca="1">OFFSET(Database!$F53,0,COLUMN(Database!GF53)*2-12)</f>
        <v>n.r.</v>
      </c>
      <c r="GJ53" s="8" t="str">
        <f ca="1">OFFSET(Database!$F53,0,COLUMN(Database!GG53)*2-12)</f>
        <v>n.r.</v>
      </c>
      <c r="GK53" s="8" t="str">
        <f ca="1">OFFSET(Database!$F53,0,COLUMN(Database!GH53)*2-12)</f>
        <v>n.r.</v>
      </c>
      <c r="GL53" s="8" t="str">
        <f ca="1">OFFSET(Database!$F53,0,COLUMN(Database!GI53)*2-12)</f>
        <v>n.r.</v>
      </c>
      <c r="GM53" s="8" t="str">
        <f ca="1">OFFSET(Database!$F53,0,COLUMN(Database!GJ53)*2-12)</f>
        <v>n.r.</v>
      </c>
      <c r="GN53" s="8" t="str">
        <f ca="1">OFFSET(Database!$F53,0,COLUMN(Database!GK53)*2-12)</f>
        <v>n.r.</v>
      </c>
      <c r="GO53" s="8" t="str">
        <f ca="1">OFFSET(Database!$F53,0,COLUMN(Database!GL53)*2-12)</f>
        <v>n.r.</v>
      </c>
      <c r="GP53" s="8" t="str">
        <f ca="1">OFFSET(Database!$F53,0,COLUMN(Database!GM53)*2-12)</f>
        <v>n.r.</v>
      </c>
    </row>
    <row r="54" spans="1:198" x14ac:dyDescent="0.2">
      <c r="A54" s="50" t="str">
        <f>Database!A54</f>
        <v>D-norvaline</v>
      </c>
      <c r="B54" s="1" t="s">
        <v>871</v>
      </c>
      <c r="C54" s="4" t="str">
        <f>Database!B54</f>
        <v>ɑ</v>
      </c>
      <c r="D54" s="4" t="str">
        <f>Database!C54</f>
        <v>D</v>
      </c>
      <c r="E54" s="74">
        <f>Database!D54</f>
        <v>19</v>
      </c>
      <c r="F54" s="32" t="s">
        <v>930</v>
      </c>
      <c r="G54" s="1">
        <v>439575</v>
      </c>
      <c r="H54" s="1">
        <f>Database!E54</f>
        <v>117.15</v>
      </c>
      <c r="I54" s="8" t="str">
        <f ca="1">OFFSET(Database!$F54,0,COLUMN(Database!F54)*2-12)</f>
        <v>tr</v>
      </c>
      <c r="J54" s="8" t="str">
        <f ca="1">OFFSET(Database!$F54,0,COLUMN(Database!G54)*2-12)</f>
        <v>tr</v>
      </c>
      <c r="K54" s="8" t="str">
        <f ca="1">OFFSET(Database!$F54,0,COLUMN(Database!H54)*2-12)</f>
        <v>tr</v>
      </c>
      <c r="L54" s="8" t="str">
        <f ca="1">OFFSET(Database!$F54,0,COLUMN(Database!I54)*2-12)</f>
        <v>tr</v>
      </c>
      <c r="M54" s="8">
        <f ca="1">OFFSET(Database!$F54,0,COLUMN(Database!J54)*2-12)</f>
        <v>2.5000000000000001E-3</v>
      </c>
      <c r="N54" s="8" t="str">
        <f ca="1">OFFSET(Database!$F54,0,COLUMN(Database!K54)*2-12)</f>
        <v>n.r.</v>
      </c>
      <c r="O54" s="8">
        <f ca="1">OFFSET(Database!$F54,0,COLUMN(Database!L54)*2-12)</f>
        <v>1.8700000000000001E-2</v>
      </c>
      <c r="P54" s="8" t="str">
        <f ca="1">OFFSET(Database!$F54,0,COLUMN(Database!M54)*2-12)</f>
        <v>n.r.</v>
      </c>
      <c r="Q54" s="8" t="str">
        <f ca="1">OFFSET(Database!$F54,0,COLUMN(Database!N54)*2-12)</f>
        <v>n.r.</v>
      </c>
      <c r="R54" s="8" t="str">
        <f ca="1">OFFSET(Database!$F54,0,COLUMN(Database!O54)*2-12)</f>
        <v>n.r.</v>
      </c>
      <c r="S54" s="8" t="str">
        <f ca="1">OFFSET(Database!$F54,0,COLUMN(Database!P54)*2-12)</f>
        <v>n.r.</v>
      </c>
      <c r="T54" s="8">
        <f ca="1">OFFSET(Database!$F54,0,COLUMN(Database!Q54)*2-12)</f>
        <v>27.96</v>
      </c>
      <c r="U54" s="8">
        <f ca="1">OFFSET(Database!$F54,0,COLUMN(Database!R54)*2-12)</f>
        <v>8.19</v>
      </c>
      <c r="V54" s="8" t="str">
        <f ca="1">OFFSET(Database!$F54,0,COLUMN(Database!S54)*2-12)</f>
        <v>&lt;0.002</v>
      </c>
      <c r="W54" s="8">
        <f ca="1">OFFSET(Database!$F54,0,COLUMN(Database!T54)*2-12)</f>
        <v>5.1216389244558257E-3</v>
      </c>
      <c r="X54" s="8">
        <f ca="1">OFFSET(Database!$F54,0,COLUMN(Database!U54)*2-12)</f>
        <v>0.50362782757148949</v>
      </c>
      <c r="Y54" s="8">
        <f ca="1">OFFSET(Database!$F54,0,COLUMN(Database!V54)*2-12)</f>
        <v>0.1</v>
      </c>
      <c r="Z54" s="8">
        <f ca="1">OFFSET(Database!$F54,0,COLUMN(Database!W54)*2-12)</f>
        <v>0.25</v>
      </c>
      <c r="AA54" s="8" t="str">
        <f ca="1">OFFSET(Database!$F54,0,COLUMN(Database!X54)*2-12)</f>
        <v>n.r.</v>
      </c>
      <c r="AB54" s="8">
        <f ca="1">OFFSET(Database!$F54,0,COLUMN(Database!Y54)*2-12)</f>
        <v>0.6402048655569782</v>
      </c>
      <c r="AC54" s="8">
        <f ca="1">OFFSET(Database!$F54,0,COLUMN(Database!Z54)*2-12)</f>
        <v>0.15364916773367476</v>
      </c>
      <c r="AD54" s="8">
        <f ca="1">OFFSET(Database!$F54,0,COLUMN(Database!AA54)*2-12)</f>
        <v>7.6824583866837381E-2</v>
      </c>
      <c r="AE54" s="8">
        <f ca="1">OFFSET(Database!$F54,0,COLUMN(Database!AB54)*2-12)</f>
        <v>2.2108408023900981</v>
      </c>
      <c r="AF54" s="8">
        <f ca="1">OFFSET(Database!$F54,0,COLUMN(Database!AC54)*2-12)</f>
        <v>2.7</v>
      </c>
      <c r="AG54" s="8" t="str">
        <f ca="1">OFFSET(Database!$F54,0,COLUMN(Database!AD54)*2-12)</f>
        <v>&lt;0.01</v>
      </c>
      <c r="AH54" s="8" t="str">
        <f ca="1">OFFSET(Database!$F54,0,COLUMN(Database!AE54)*2-12)</f>
        <v>n.r.</v>
      </c>
      <c r="AI54" s="8" t="str">
        <f ca="1">OFFSET(Database!$F54,0,COLUMN(Database!AF54)*2-12)</f>
        <v>n.r.</v>
      </c>
      <c r="AJ54" s="8" t="str">
        <f ca="1">OFFSET(Database!$F54,0,COLUMN(Database!AG54)*2-12)</f>
        <v>n.r.</v>
      </c>
      <c r="AK54" s="8" t="str">
        <f ca="1">OFFSET(Database!$F54,0,COLUMN(Database!AH54)*2-12)</f>
        <v>n.r.</v>
      </c>
      <c r="AL54" s="8">
        <f ca="1">OFFSET(Database!$F54,0,COLUMN(Database!AI54)*2-12)</f>
        <v>1.32</v>
      </c>
      <c r="AM54" s="8">
        <f ca="1">OFFSET(Database!$F54,0,COLUMN(Database!AJ54)*2-12)</f>
        <v>0.45</v>
      </c>
      <c r="AN54" s="8">
        <f ca="1">OFFSET(Database!$F54,0,COLUMN(Database!AK54)*2-12)</f>
        <v>0.15</v>
      </c>
      <c r="AO54" s="8">
        <f ca="1">OFFSET(Database!$F54,0,COLUMN(Database!AL54)*2-12)</f>
        <v>0.11096884336320956</v>
      </c>
      <c r="AP54" s="8" t="str">
        <f ca="1">OFFSET(Database!$F54,0,COLUMN(Database!AM54)*2-12)</f>
        <v>n.r.</v>
      </c>
      <c r="AQ54" s="8" t="str">
        <f ca="1">OFFSET(Database!$F54,0,COLUMN(Database!AN54)*2-12)</f>
        <v>n.r.</v>
      </c>
      <c r="AR54" s="8" t="str">
        <f ca="1">OFFSET(Database!$F54,0,COLUMN(Database!AO54)*2-12)</f>
        <v>&lt;0.01</v>
      </c>
      <c r="AS54" s="8" t="str">
        <f ca="1">OFFSET(Database!$F54,0,COLUMN(Database!AP54)*2-12)</f>
        <v>&lt;0.0009</v>
      </c>
      <c r="AT54" s="8" t="str">
        <f ca="1">OFFSET(Database!$F54,0,COLUMN(Database!AQ54)*2-12)</f>
        <v>&lt;0.0009</v>
      </c>
      <c r="AU54" s="8" t="str">
        <f ca="1">OFFSET(Database!$F54,0,COLUMN(Database!AR54)*2-12)</f>
        <v>&lt;0.0009</v>
      </c>
      <c r="AV54" s="8" t="str">
        <f ca="1">OFFSET(Database!$F54,0,COLUMN(Database!AS54)*2-12)</f>
        <v>&lt;0.0009</v>
      </c>
      <c r="AW54" s="8" t="str">
        <f ca="1">OFFSET(Database!$F54,0,COLUMN(Database!AT54)*2-12)</f>
        <v>&lt;0.0009</v>
      </c>
      <c r="AX54" s="8">
        <f ca="1">OFFSET(Database!$F54,0,COLUMN(Database!AU54)*2-12)</f>
        <v>5.9752454118651294E-3</v>
      </c>
      <c r="AY54" s="8" t="str">
        <f ca="1">OFFSET(Database!$F54,0,COLUMN(Database!AV54)*2-12)</f>
        <v>&lt;0.0009</v>
      </c>
      <c r="AZ54" s="8" t="str">
        <f ca="1">OFFSET(Database!$F54,0,COLUMN(Database!AW54)*2-12)</f>
        <v>&lt;0.0009</v>
      </c>
      <c r="BA54" s="8" t="str">
        <f ca="1">OFFSET(Database!$F54,0,COLUMN(Database!AX54)*2-12)</f>
        <v>&lt;0.0009</v>
      </c>
      <c r="BB54" s="8" t="str">
        <f ca="1">OFFSET(Database!$F54,0,COLUMN(Database!AY54)*2-12)</f>
        <v>&lt;0.0009</v>
      </c>
      <c r="BC54" s="8" t="str">
        <f ca="1">OFFSET(Database!$F54,0,COLUMN(Database!AZ54)*2-12)</f>
        <v>&lt;0.0009</v>
      </c>
      <c r="BD54" s="8" t="str">
        <f ca="1">OFFSET(Database!$F54,0,COLUMN(Database!BA54)*2-12)</f>
        <v>&lt;0.0009</v>
      </c>
      <c r="BE54" s="8" t="str">
        <f ca="1">OFFSET(Database!$F54,0,COLUMN(Database!BB54)*2-12)</f>
        <v>&lt;0.0009</v>
      </c>
      <c r="BF54" s="8" t="str">
        <f ca="1">OFFSET(Database!$F54,0,COLUMN(Database!BC54)*2-12)</f>
        <v>&lt;0.0009</v>
      </c>
      <c r="BG54" s="8" t="str">
        <f ca="1">OFFSET(Database!$F54,0,COLUMN(Database!BD54)*2-12)</f>
        <v>&lt;0.0009</v>
      </c>
      <c r="BH54" s="8" t="str">
        <f ca="1">OFFSET(Database!$F54,0,COLUMN(Database!BE54)*2-12)</f>
        <v>n.r.</v>
      </c>
      <c r="BI54" s="8" t="str">
        <f ca="1">OFFSET(Database!$F54,0,COLUMN(Database!BF54)*2-12)</f>
        <v>n.r.</v>
      </c>
      <c r="BJ54" s="8" t="str">
        <f ca="1">OFFSET(Database!$F54,0,COLUMN(Database!BG54)*2-12)</f>
        <v>n.r.</v>
      </c>
      <c r="BK54" s="8" t="str">
        <f ca="1">OFFSET(Database!$F54,0,COLUMN(Database!BH54)*2-12)</f>
        <v>n.r.</v>
      </c>
      <c r="BL54" s="8" t="str">
        <f ca="1">OFFSET(Database!$F54,0,COLUMN(Database!BI54)*2-12)</f>
        <v>n.r.</v>
      </c>
      <c r="BM54" s="8" t="str">
        <f ca="1">OFFSET(Database!$F54,0,COLUMN(Database!BJ54)*2-12)</f>
        <v>n.r.</v>
      </c>
      <c r="BN54" s="8" t="str">
        <f ca="1">OFFSET(Database!$F54,0,COLUMN(Database!BK54)*2-12)</f>
        <v>n.r.</v>
      </c>
      <c r="BO54" s="8" t="str">
        <f ca="1">OFFSET(Database!$F54,0,COLUMN(Database!BL54)*2-12)</f>
        <v>n.r.</v>
      </c>
      <c r="BP54" s="8" t="str">
        <f ca="1">OFFSET(Database!$F54,0,COLUMN(Database!BM54)*2-12)</f>
        <v>n.r.</v>
      </c>
      <c r="BQ54" s="8" t="str">
        <f ca="1">OFFSET(Database!$F54,0,COLUMN(Database!BN54)*2-12)</f>
        <v>n.r.</v>
      </c>
      <c r="BR54" s="8" t="str">
        <f ca="1">OFFSET(Database!$F54,0,COLUMN(Database!BO54)*2-12)</f>
        <v>n.r.</v>
      </c>
      <c r="BS54" s="8" t="str">
        <f ca="1">OFFSET(Database!$F54,0,COLUMN(Database!BP54)*2-12)</f>
        <v>n.r.</v>
      </c>
      <c r="BT54" s="8" t="str">
        <f ca="1">OFFSET(Database!$F54,0,COLUMN(Database!BQ54)*2-12)</f>
        <v>n.r.</v>
      </c>
      <c r="BU54" s="8" t="str">
        <f ca="1">OFFSET(Database!$F54,0,COLUMN(Database!BR54)*2-12)</f>
        <v>n.r.</v>
      </c>
      <c r="BV54" s="8" t="str">
        <f ca="1">OFFSET(Database!$F54,0,COLUMN(Database!BS54)*2-12)</f>
        <v>n.r.</v>
      </c>
      <c r="BW54" s="8" t="str">
        <f ca="1">OFFSET(Database!$F54,0,COLUMN(Database!BT54)*2-12)</f>
        <v>&lt;0.0001</v>
      </c>
      <c r="BX54" s="8" t="str">
        <f ca="1">OFFSET(Database!$F54,0,COLUMN(Database!BU54)*2-12)</f>
        <v>&lt;0.0001</v>
      </c>
      <c r="BY54" s="8" t="str">
        <f ca="1">OFFSET(Database!$F54,0,COLUMN(Database!BV54)*2-12)</f>
        <v>&lt;0.0001</v>
      </c>
      <c r="BZ54" s="8" t="str">
        <f ca="1">OFFSET(Database!$F54,0,COLUMN(Database!BW54)*2-12)</f>
        <v>n.r.</v>
      </c>
      <c r="CA54" s="8" t="str">
        <f ca="1">OFFSET(Database!$F54,0,COLUMN(Database!BX54)*2-12)</f>
        <v>n.r.</v>
      </c>
      <c r="CB54" s="8" t="str">
        <f ca="1">OFFSET(Database!$F54,0,COLUMN(Database!BY54)*2-12)</f>
        <v>n.r.</v>
      </c>
      <c r="CC54" s="8" t="str">
        <f ca="1">OFFSET(Database!$F54,0,COLUMN(Database!BZ54)*2-12)</f>
        <v>n.r.</v>
      </c>
      <c r="CD54" s="8" t="str">
        <f ca="1">OFFSET(Database!$F54,0,COLUMN(Database!CA54)*2-12)</f>
        <v>n.r.</v>
      </c>
      <c r="CE54" s="8" t="str">
        <f ca="1">OFFSET(Database!$F54,0,COLUMN(Database!CB54)*2-12)</f>
        <v>n.r.</v>
      </c>
      <c r="CF54" s="8" t="str">
        <f ca="1">OFFSET(Database!$F54,0,COLUMN(Database!CC54)*2-12)</f>
        <v>n.r.</v>
      </c>
      <c r="CG54" s="8" t="str">
        <f ca="1">OFFSET(Database!$F54,0,COLUMN(Database!CD54)*2-12)</f>
        <v>n.r.</v>
      </c>
      <c r="CH54" s="8" t="str">
        <f ca="1">OFFSET(Database!$F54,0,COLUMN(Database!CE54)*2-12)</f>
        <v>n.r.</v>
      </c>
      <c r="CI54" s="8" t="str">
        <f ca="1">OFFSET(Database!$F54,0,COLUMN(Database!CF54)*2-12)</f>
        <v>n.r.</v>
      </c>
      <c r="CJ54" s="8" t="str">
        <f ca="1">OFFSET(Database!$F54,0,COLUMN(Database!CG54)*2-12)</f>
        <v>n.r.</v>
      </c>
      <c r="CK54" s="8" t="str">
        <f ca="1">OFFSET(Database!$F54,0,COLUMN(Database!CH54)*2-12)</f>
        <v>n.r.</v>
      </c>
      <c r="CL54" s="8" t="str">
        <f ca="1">OFFSET(Database!$F54,0,COLUMN(Database!CI54)*2-12)</f>
        <v>n.r.</v>
      </c>
      <c r="CM54" s="8" t="str">
        <f ca="1">OFFSET(Database!$F54,0,COLUMN(Database!CJ54)*2-12)</f>
        <v>n.r.</v>
      </c>
      <c r="CN54" s="8" t="str">
        <f ca="1">OFFSET(Database!$F54,0,COLUMN(Database!CK54)*2-12)</f>
        <v>n.r.</v>
      </c>
      <c r="CO54" s="8" t="str">
        <f ca="1">OFFSET(Database!$F54,0,COLUMN(Database!CL54)*2-12)</f>
        <v>n.r.</v>
      </c>
      <c r="CP54" s="8" t="str">
        <f ca="1">OFFSET(Database!$F54,0,COLUMN(Database!CM54)*2-12)</f>
        <v>&lt;0.1</v>
      </c>
      <c r="CQ54" s="8" t="str">
        <f ca="1">OFFSET(Database!$F54,0,COLUMN(Database!CN54)*2-12)</f>
        <v>&lt;0.1</v>
      </c>
      <c r="CR54" s="8" t="str">
        <f ca="1">OFFSET(Database!$F54,0,COLUMN(Database!CO54)*2-12)</f>
        <v>&lt;0.1</v>
      </c>
      <c r="CS54" s="8" t="str">
        <f ca="1">OFFSET(Database!$F54,0,COLUMN(Database!CP54)*2-12)</f>
        <v>&lt;0.1</v>
      </c>
      <c r="CT54" s="8" t="str">
        <f ca="1">OFFSET(Database!$F54,0,COLUMN(Database!CQ54)*2-12)</f>
        <v>&lt;0.1</v>
      </c>
      <c r="CU54" s="8" t="str">
        <f ca="1">OFFSET(Database!$F54,0,COLUMN(Database!CR54)*2-12)</f>
        <v>&lt;0.1</v>
      </c>
      <c r="CV54" s="8" t="str">
        <f ca="1">OFFSET(Database!$F54,0,COLUMN(Database!CS54)*2-12)</f>
        <v>&lt;0.1</v>
      </c>
      <c r="CW54" s="8" t="str">
        <f ca="1">OFFSET(Database!$F54,0,COLUMN(Database!CT54)*2-12)</f>
        <v>&lt;0.1</v>
      </c>
      <c r="CX54" s="8" t="str">
        <f ca="1">OFFSET(Database!$F54,0,COLUMN(Database!CU54)*2-12)</f>
        <v>&lt;0.1</v>
      </c>
      <c r="CY54" s="8" t="str">
        <f ca="1">OFFSET(Database!$F54,0,COLUMN(Database!CV54)*2-12)</f>
        <v>&lt;0.1</v>
      </c>
      <c r="CZ54" s="8" t="str">
        <f ca="1">OFFSET(Database!$F54,0,COLUMN(Database!CW54)*2-12)</f>
        <v>&lt;0.1</v>
      </c>
      <c r="DA54" s="8" t="str">
        <f ca="1">OFFSET(Database!$F54,0,COLUMN(Database!CX54)*2-12)</f>
        <v>&lt;0.1</v>
      </c>
      <c r="DB54" s="8" t="str">
        <f ca="1">OFFSET(Database!$F54,0,COLUMN(Database!CY54)*2-12)</f>
        <v>&lt;0.04</v>
      </c>
      <c r="DC54" s="8" t="str">
        <f ca="1">OFFSET(Database!$F54,0,COLUMN(Database!CZ54)*2-12)</f>
        <v>&lt;0.04</v>
      </c>
      <c r="DD54" s="8">
        <f ca="1">OFFSET(Database!$F54,0,COLUMN(Database!DA54)*2-12)</f>
        <v>5.1999999999999998E-2</v>
      </c>
      <c r="DE54" s="8" t="str">
        <f ca="1">OFFSET(Database!$F54,0,COLUMN(Database!DB54)*2-12)</f>
        <v>n.r.</v>
      </c>
      <c r="DF54" s="8" t="str">
        <f ca="1">OFFSET(Database!$F54,0,COLUMN(Database!DC54)*2-12)</f>
        <v>n.r.</v>
      </c>
      <c r="DG54" s="8" t="str">
        <f ca="1">OFFSET(Database!$F54,0,COLUMN(Database!DD54)*2-12)</f>
        <v>n.r.</v>
      </c>
      <c r="DH54" s="8" t="str">
        <f ca="1">OFFSET(Database!$F54,0,COLUMN(Database!DE54)*2-12)</f>
        <v>n.r.</v>
      </c>
      <c r="DI54" s="8" t="str">
        <f ca="1">OFFSET(Database!$F54,0,COLUMN(Database!DF54)*2-12)</f>
        <v>n.r.</v>
      </c>
      <c r="DJ54" s="8" t="str">
        <f ca="1">OFFSET(Database!$F54,0,COLUMN(Database!DG54)*2-12)</f>
        <v>n.r.</v>
      </c>
      <c r="DK54" s="8" t="str">
        <f ca="1">OFFSET(Database!$F54,0,COLUMN(Database!DH54)*2-12)</f>
        <v>n.r.</v>
      </c>
      <c r="DL54" s="8" t="str">
        <f ca="1">OFFSET(Database!$F54,0,COLUMN(Database!DI54)*2-12)</f>
        <v>n.r.</v>
      </c>
      <c r="DM54" s="8" t="str">
        <f ca="1">OFFSET(Database!$F54,0,COLUMN(Database!DJ54)*2-12)</f>
        <v>n.r.</v>
      </c>
      <c r="DN54" s="8" t="str">
        <f ca="1">OFFSET(Database!$F54,0,COLUMN(Database!DK54)*2-12)</f>
        <v>n.r.</v>
      </c>
      <c r="DO54" s="8" t="str">
        <f ca="1">OFFSET(Database!$F54,0,COLUMN(Database!DL54)*2-12)</f>
        <v>n.r.</v>
      </c>
      <c r="DP54" s="8" t="str">
        <f ca="1">OFFSET(Database!$F54,0,COLUMN(Database!DM54)*2-12)</f>
        <v>n.r.</v>
      </c>
      <c r="DQ54" s="8" t="str">
        <f ca="1">OFFSET(Database!$F54,0,COLUMN(Database!DN54)*2-12)</f>
        <v>n.r.</v>
      </c>
      <c r="DR54" s="8" t="str">
        <f ca="1">OFFSET(Database!$F54,0,COLUMN(Database!DO54)*2-12)</f>
        <v>n.r.</v>
      </c>
      <c r="DS54" s="8" t="str">
        <f ca="1">OFFSET(Database!$F54,0,COLUMN(Database!DP54)*2-12)</f>
        <v>n.r.</v>
      </c>
      <c r="DT54" s="8" t="str">
        <f ca="1">OFFSET(Database!$F54,0,COLUMN(Database!DQ54)*2-12)</f>
        <v>n.r.</v>
      </c>
      <c r="DU54" s="8" t="str">
        <f ca="1">OFFSET(Database!$F54,0,COLUMN(Database!DR54)*2-12)</f>
        <v>n.dt.</v>
      </c>
      <c r="DV54" s="8" t="str">
        <f ca="1">OFFSET(Database!$F54,0,COLUMN(Database!DS54)*2-12)</f>
        <v>n.dt.</v>
      </c>
      <c r="DW54" s="8" t="str">
        <f ca="1">OFFSET(Database!$F54,0,COLUMN(Database!DT54)*2-12)</f>
        <v>n.r.</v>
      </c>
      <c r="DX54" s="8" t="str">
        <f ca="1">OFFSET(Database!$F54,0,COLUMN(Database!DU54)*2-12)</f>
        <v>n.r.</v>
      </c>
      <c r="DY54" s="8" t="str">
        <f ca="1">OFFSET(Database!$F54,0,COLUMN(Database!DV54)*2-12)</f>
        <v>n.r.</v>
      </c>
      <c r="DZ54" s="8" t="str">
        <f ca="1">OFFSET(Database!$F54,0,COLUMN(Database!DW54)*2-12)</f>
        <v>n.r.</v>
      </c>
      <c r="EA54" s="8" t="str">
        <f ca="1">OFFSET(Database!$F54,0,COLUMN(Database!DX54)*2-12)</f>
        <v>n.r.</v>
      </c>
      <c r="EB54" s="8" t="str">
        <f ca="1">OFFSET(Database!$F54,0,COLUMN(Database!DY54)*2-12)</f>
        <v>n.r.</v>
      </c>
      <c r="EC54" s="8" t="str">
        <f ca="1">OFFSET(Database!$F54,0,COLUMN(Database!DZ54)*2-12)</f>
        <v>n.r.</v>
      </c>
      <c r="ED54" s="8" t="str">
        <f ca="1">OFFSET(Database!$F54,0,COLUMN(Database!EA54)*2-12)</f>
        <v>n.r</v>
      </c>
      <c r="EE54" s="8" t="str">
        <f ca="1">OFFSET(Database!$F54,0,COLUMN(Database!EB54)*2-12)</f>
        <v>n.r.</v>
      </c>
      <c r="EF54" s="8" t="str">
        <f ca="1">OFFSET(Database!$F54,0,COLUMN(Database!EC54)*2-12)</f>
        <v>n.r.</v>
      </c>
      <c r="EG54" s="8" t="str">
        <f ca="1">OFFSET(Database!$F54,0,COLUMN(Database!ED54)*2-12)</f>
        <v>n.r.</v>
      </c>
      <c r="EH54" s="8" t="str">
        <f ca="1">OFFSET(Database!$F54,0,COLUMN(Database!EE54)*2-12)</f>
        <v>n.r.</v>
      </c>
      <c r="EI54" s="8" t="str">
        <f ca="1">OFFSET(Database!$F54,0,COLUMN(Database!EF54)*2-12)</f>
        <v>n.r.</v>
      </c>
      <c r="EJ54" s="8" t="str">
        <f ca="1">OFFSET(Database!$F54,0,COLUMN(Database!EG54)*2-12)</f>
        <v>n.r.</v>
      </c>
      <c r="EK54" s="8" t="str">
        <f ca="1">OFFSET(Database!$F54,0,COLUMN(Database!EH54)*2-12)</f>
        <v>n.r.</v>
      </c>
      <c r="EL54" s="8" t="str">
        <f ca="1">OFFSET(Database!$F54,0,COLUMN(Database!EI54)*2-12)</f>
        <v>n.r.</v>
      </c>
      <c r="EM54" s="8" t="str">
        <f ca="1">OFFSET(Database!$F54,0,COLUMN(Database!EJ54)*2-12)</f>
        <v>n.r.</v>
      </c>
      <c r="EN54" s="8" t="str">
        <f ca="1">OFFSET(Database!$F54,0,COLUMN(Database!EK54)*2-12)</f>
        <v>n.r.</v>
      </c>
      <c r="EO54" s="8" t="str">
        <f ca="1">OFFSET(Database!$F54,0,COLUMN(Database!EL54)*2-12)</f>
        <v>n.r.</v>
      </c>
      <c r="EP54" s="8" t="str">
        <f ca="1">OFFSET(Database!$F54,0,COLUMN(Database!EM54)*2-12)</f>
        <v>n.r.</v>
      </c>
      <c r="EQ54" s="8" t="str">
        <f ca="1">OFFSET(Database!$F54,0,COLUMN(Database!EN54)*2-12)</f>
        <v>n.r.</v>
      </c>
      <c r="ER54" s="8" t="str">
        <f ca="1">OFFSET(Database!$F54,0,COLUMN(Database!EO54)*2-12)</f>
        <v>n.r.</v>
      </c>
      <c r="ES54" s="8" t="str">
        <f ca="1">OFFSET(Database!$F54,0,COLUMN(Database!EP54)*2-12)</f>
        <v>n.r.</v>
      </c>
      <c r="ET54" s="8" t="str">
        <f ca="1">OFFSET(Database!$F54,0,COLUMN(Database!EQ54)*2-12)</f>
        <v>n.r.</v>
      </c>
      <c r="EU54" s="8" t="str">
        <f ca="1">OFFSET(Database!$F54,0,COLUMN(Database!ER54)*2-12)</f>
        <v>n.r.</v>
      </c>
      <c r="EV54" s="8" t="str">
        <f ca="1">OFFSET(Database!$F54,0,COLUMN(Database!ES54)*2-12)</f>
        <v>n.r.</v>
      </c>
      <c r="EW54" s="8" t="str">
        <f ca="1">OFFSET(Database!$F54,0,COLUMN(Database!ET54)*2-12)</f>
        <v>n.r.</v>
      </c>
      <c r="EX54" s="8" t="str">
        <f ca="1">OFFSET(Database!$F54,0,COLUMN(Database!EU54)*2-12)</f>
        <v>n.r.</v>
      </c>
      <c r="EY54" s="8" t="str">
        <f ca="1">OFFSET(Database!$F54,0,COLUMN(Database!EV54)*2-12)</f>
        <v>n.r.</v>
      </c>
      <c r="EZ54" s="8" t="str">
        <f ca="1">OFFSET(Database!$F54,0,COLUMN(Database!EW54)*2-12)</f>
        <v>n.r.</v>
      </c>
      <c r="FA54" s="8" t="str">
        <f ca="1">OFFSET(Database!$F54,0,COLUMN(Database!EX54)*2-12)</f>
        <v>n.r.</v>
      </c>
      <c r="FB54" s="8" t="str">
        <f ca="1">OFFSET(Database!$F54,0,COLUMN(Database!EY54)*2-12)</f>
        <v>n.r.</v>
      </c>
      <c r="FC54" s="8" t="str">
        <f ca="1">OFFSET(Database!$F54,0,COLUMN(Database!EZ54)*2-12)</f>
        <v>n.r.</v>
      </c>
      <c r="FD54" s="8" t="str">
        <f ca="1">OFFSET(Database!$F54,0,COLUMN(Database!FA54)*2-12)</f>
        <v>n.r.</v>
      </c>
      <c r="FE54" s="8" t="str">
        <f ca="1">OFFSET(Database!$F54,0,COLUMN(Database!FB54)*2-12)</f>
        <v>n.r.</v>
      </c>
      <c r="FF54" s="8" t="str">
        <f ca="1">OFFSET(Database!$F54,0,COLUMN(Database!FC54)*2-12)</f>
        <v>n.r.</v>
      </c>
      <c r="FG54" s="8" t="str">
        <f ca="1">OFFSET(Database!$F54,0,COLUMN(Database!FD54)*2-12)</f>
        <v>n.r.</v>
      </c>
      <c r="FH54" s="8" t="str">
        <f ca="1">OFFSET(Database!$F54,0,COLUMN(Database!FE54)*2-12)</f>
        <v>n.r.</v>
      </c>
      <c r="FI54" s="8" t="str">
        <f ca="1">OFFSET(Database!$F54,0,COLUMN(Database!FF54)*2-12)</f>
        <v>n.r.</v>
      </c>
      <c r="FJ54" s="8" t="str">
        <f ca="1">OFFSET(Database!$F54,0,COLUMN(Database!FG54)*2-12)</f>
        <v>n.r.</v>
      </c>
      <c r="FK54" s="8" t="str">
        <f ca="1">OFFSET(Database!$F54,0,COLUMN(Database!FH54)*2-12)</f>
        <v>n.r.</v>
      </c>
      <c r="FL54" s="8" t="str">
        <f ca="1">OFFSET(Database!$F54,0,COLUMN(Database!FI54)*2-12)</f>
        <v>n.r.</v>
      </c>
      <c r="FM54" s="8" t="str">
        <f ca="1">OFFSET(Database!$F54,0,COLUMN(Database!FJ54)*2-12)</f>
        <v>n.r.</v>
      </c>
      <c r="FN54" s="8" t="str">
        <f ca="1">OFFSET(Database!$F54,0,COLUMN(Database!FK54)*2-12)</f>
        <v>n.r.</v>
      </c>
      <c r="FO54" s="8" t="str">
        <f ca="1">OFFSET(Database!$F54,0,COLUMN(Database!FL54)*2-12)</f>
        <v>n.r.</v>
      </c>
      <c r="FP54" s="8" t="str">
        <f ca="1">OFFSET(Database!$F54,0,COLUMN(Database!FM54)*2-12)</f>
        <v>n.r.</v>
      </c>
      <c r="FQ54" s="8" t="str">
        <f ca="1">OFFSET(Database!$F54,0,COLUMN(Database!FN54)*2-12)</f>
        <v>n.r.</v>
      </c>
      <c r="FR54" s="8" t="str">
        <f ca="1">OFFSET(Database!$F54,0,COLUMN(Database!FO54)*2-12)</f>
        <v>n.r.</v>
      </c>
      <c r="FS54" s="8" t="str">
        <f ca="1">OFFSET(Database!$F54,0,COLUMN(Database!FP54)*2-12)</f>
        <v>n.r.</v>
      </c>
      <c r="FT54" s="8" t="str">
        <f ca="1">OFFSET(Database!$F54,0,COLUMN(Database!FQ54)*2-12)</f>
        <v>n.r.</v>
      </c>
      <c r="FU54" s="8" t="str">
        <f ca="1">OFFSET(Database!$F54,0,COLUMN(Database!FR54)*2-12)</f>
        <v>n.r.</v>
      </c>
      <c r="FV54" s="8" t="str">
        <f ca="1">OFFSET(Database!$F54,0,COLUMN(Database!FS54)*2-12)</f>
        <v>n.r.</v>
      </c>
      <c r="FW54" s="8" t="str">
        <f ca="1">OFFSET(Database!$F54,0,COLUMN(Database!FT54)*2-12)</f>
        <v>n.r.</v>
      </c>
      <c r="FX54" s="8" t="str">
        <f ca="1">OFFSET(Database!$F54,0,COLUMN(Database!FU54)*2-12)</f>
        <v>n.r.</v>
      </c>
      <c r="FY54" s="8" t="str">
        <f ca="1">OFFSET(Database!$F54,0,COLUMN(Database!FV54)*2-12)</f>
        <v>n.r.</v>
      </c>
      <c r="FZ54" s="8" t="str">
        <f ca="1">OFFSET(Database!$F54,0,COLUMN(Database!FW54)*2-12)</f>
        <v>n.r.</v>
      </c>
      <c r="GA54" s="8" t="str">
        <f ca="1">OFFSET(Database!$F54,0,COLUMN(Database!FX54)*2-12)</f>
        <v>n.r.</v>
      </c>
      <c r="GB54" s="8" t="str">
        <f ca="1">OFFSET(Database!$F54,0,COLUMN(Database!FY54)*2-12)</f>
        <v>n.r.</v>
      </c>
      <c r="GC54" s="8" t="str">
        <f ca="1">OFFSET(Database!$F54,0,COLUMN(Database!FZ54)*2-12)</f>
        <v>n.r.</v>
      </c>
      <c r="GD54" s="8" t="str">
        <f ca="1">OFFSET(Database!$F54,0,COLUMN(Database!GA54)*2-12)</f>
        <v>n.r.</v>
      </c>
      <c r="GE54" s="8" t="str">
        <f ca="1">OFFSET(Database!$F54,0,COLUMN(Database!GB54)*2-12)</f>
        <v>n.r.</v>
      </c>
      <c r="GF54" s="8" t="str">
        <f ca="1">OFFSET(Database!$F54,0,COLUMN(Database!GC54)*2-12)</f>
        <v>n.r.</v>
      </c>
      <c r="GG54" s="8" t="str">
        <f ca="1">OFFSET(Database!$F54,0,COLUMN(Database!GD54)*2-12)</f>
        <v>n.r.</v>
      </c>
      <c r="GH54" s="8" t="str">
        <f ca="1">OFFSET(Database!$F54,0,COLUMN(Database!GE54)*2-12)</f>
        <v>n.r.</v>
      </c>
      <c r="GI54" s="8" t="str">
        <f ca="1">OFFSET(Database!$F54,0,COLUMN(Database!GF54)*2-12)</f>
        <v>n.r.</v>
      </c>
      <c r="GJ54" s="8" t="str">
        <f ca="1">OFFSET(Database!$F54,0,COLUMN(Database!GG54)*2-12)</f>
        <v>n.r.</v>
      </c>
      <c r="GK54" s="8" t="str">
        <f ca="1">OFFSET(Database!$F54,0,COLUMN(Database!GH54)*2-12)</f>
        <v>n.r.</v>
      </c>
      <c r="GL54" s="8" t="str">
        <f ca="1">OFFSET(Database!$F54,0,COLUMN(Database!GI54)*2-12)</f>
        <v>n.r.</v>
      </c>
      <c r="GM54" s="8" t="str">
        <f ca="1">OFFSET(Database!$F54,0,COLUMN(Database!GJ54)*2-12)</f>
        <v>n.r.</v>
      </c>
      <c r="GN54" s="8" t="str">
        <f ca="1">OFFSET(Database!$F54,0,COLUMN(Database!GK54)*2-12)</f>
        <v>n.r.</v>
      </c>
      <c r="GO54" s="8" t="str">
        <f ca="1">OFFSET(Database!$F54,0,COLUMN(Database!GL54)*2-12)</f>
        <v>n.d.</v>
      </c>
      <c r="GP54" s="8" t="str">
        <f ca="1">OFFSET(Database!$F54,0,COLUMN(Database!GM54)*2-12)</f>
        <v>n.d.</v>
      </c>
    </row>
    <row r="55" spans="1:198" x14ac:dyDescent="0.2">
      <c r="A55" s="50" t="str">
        <f>Database!A55</f>
        <v>L-norvaline</v>
      </c>
      <c r="B55" s="1" t="s">
        <v>871</v>
      </c>
      <c r="C55" s="4" t="str">
        <f>Database!B55</f>
        <v>ɑ</v>
      </c>
      <c r="D55" s="4" t="str">
        <f>Database!C55</f>
        <v>L</v>
      </c>
      <c r="E55" s="74">
        <f>Database!D55</f>
        <v>21</v>
      </c>
      <c r="F55" s="32" t="s">
        <v>1004</v>
      </c>
      <c r="G55" s="1">
        <v>65098</v>
      </c>
      <c r="H55" s="1">
        <f>Database!E55</f>
        <v>117.15</v>
      </c>
      <c r="I55" s="8" t="str">
        <f ca="1">OFFSET(Database!$F55,0,COLUMN(Database!F55)*2-12)</f>
        <v>tr</v>
      </c>
      <c r="J55" s="8" t="str">
        <f ca="1">OFFSET(Database!$F55,0,COLUMN(Database!G55)*2-12)</f>
        <v>tr</v>
      </c>
      <c r="K55" s="8" t="str">
        <f ca="1">OFFSET(Database!$F55,0,COLUMN(Database!H55)*2-12)</f>
        <v>tr</v>
      </c>
      <c r="L55" s="8" t="str">
        <f ca="1">OFFSET(Database!$F55,0,COLUMN(Database!I55)*2-12)</f>
        <v>tr</v>
      </c>
      <c r="M55" s="8">
        <f ca="1">OFFSET(Database!$F55,0,COLUMN(Database!J55)*2-12)</f>
        <v>2.5999999999999999E-3</v>
      </c>
      <c r="N55" s="8" t="str">
        <f ca="1">OFFSET(Database!$F55,0,COLUMN(Database!K55)*2-12)</f>
        <v>n.r.</v>
      </c>
      <c r="O55" s="8">
        <f ca="1">OFFSET(Database!$F55,0,COLUMN(Database!L55)*2-12)</f>
        <v>1.54E-2</v>
      </c>
      <c r="P55" s="8" t="str">
        <f ca="1">OFFSET(Database!$F55,0,COLUMN(Database!M55)*2-12)</f>
        <v>n.r.</v>
      </c>
      <c r="Q55" s="8" t="str">
        <f ca="1">OFFSET(Database!$F55,0,COLUMN(Database!N55)*2-12)</f>
        <v>n.r.</v>
      </c>
      <c r="R55" s="8" t="str">
        <f ca="1">OFFSET(Database!$F55,0,COLUMN(Database!O55)*2-12)</f>
        <v>n.r.</v>
      </c>
      <c r="S55" s="8" t="str">
        <f ca="1">OFFSET(Database!$F55,0,COLUMN(Database!P55)*2-12)</f>
        <v>n.r.</v>
      </c>
      <c r="T55" s="8">
        <f ca="1">OFFSET(Database!$F55,0,COLUMN(Database!Q55)*2-12)</f>
        <v>27.58</v>
      </c>
      <c r="U55" s="8">
        <f ca="1">OFFSET(Database!$F55,0,COLUMN(Database!R55)*2-12)</f>
        <v>8.25</v>
      </c>
      <c r="V55" s="8" t="str">
        <f ca="1">OFFSET(Database!$F55,0,COLUMN(Database!S55)*2-12)</f>
        <v>&lt;0.002</v>
      </c>
      <c r="W55" s="8">
        <f ca="1">OFFSET(Database!$F55,0,COLUMN(Database!T55)*2-12)</f>
        <v>6.8288518992744348E-3</v>
      </c>
      <c r="X55" s="8">
        <f ca="1">OFFSET(Database!$F55,0,COLUMN(Database!U55)*2-12)</f>
        <v>0.50362782757148949</v>
      </c>
      <c r="Y55" s="8">
        <f ca="1">OFFSET(Database!$F55,0,COLUMN(Database!V55)*2-12)</f>
        <v>0.1</v>
      </c>
      <c r="Z55" s="8">
        <f ca="1">OFFSET(Database!$F55,0,COLUMN(Database!W55)*2-12)</f>
        <v>0.25</v>
      </c>
      <c r="AA55" s="8" t="str">
        <f ca="1">OFFSET(Database!$F55,0,COLUMN(Database!X55)*2-12)</f>
        <v>n.r.</v>
      </c>
      <c r="AB55" s="8">
        <f ca="1">OFFSET(Database!$F55,0,COLUMN(Database!Y55)*2-12)</f>
        <v>0.57191634656423385</v>
      </c>
      <c r="AC55" s="8">
        <f ca="1">OFFSET(Database!$F55,0,COLUMN(Database!Z55)*2-12)</f>
        <v>0.16218523260776782</v>
      </c>
      <c r="AD55" s="8">
        <f ca="1">OFFSET(Database!$F55,0,COLUMN(Database!AA55)*2-12)</f>
        <v>7.6824583866837381E-2</v>
      </c>
      <c r="AE55" s="8">
        <f ca="1">OFFSET(Database!$F55,0,COLUMN(Database!AB55)*2-12)</f>
        <v>2.2449850618864704</v>
      </c>
      <c r="AF55" s="8">
        <f ca="1">OFFSET(Database!$F55,0,COLUMN(Database!AC55)*2-12)</f>
        <v>2.5</v>
      </c>
      <c r="AG55" s="8" t="str">
        <f ca="1">OFFSET(Database!$F55,0,COLUMN(Database!AD55)*2-12)</f>
        <v>&lt;0.01</v>
      </c>
      <c r="AH55" s="8" t="str">
        <f ca="1">OFFSET(Database!$F55,0,COLUMN(Database!AE55)*2-12)</f>
        <v>n.r.</v>
      </c>
      <c r="AI55" s="8" t="str">
        <f ca="1">OFFSET(Database!$F55,0,COLUMN(Database!AF55)*2-12)</f>
        <v>n.r.</v>
      </c>
      <c r="AJ55" s="8" t="str">
        <f ca="1">OFFSET(Database!$F55,0,COLUMN(Database!AG55)*2-12)</f>
        <v>n.r.</v>
      </c>
      <c r="AK55" s="8" t="str">
        <f ca="1">OFFSET(Database!$F55,0,COLUMN(Database!AH55)*2-12)</f>
        <v>n.r.</v>
      </c>
      <c r="AL55" s="8">
        <f ca="1">OFFSET(Database!$F55,0,COLUMN(Database!AI55)*2-12)</f>
        <v>1.52</v>
      </c>
      <c r="AM55" s="8">
        <f ca="1">OFFSET(Database!$F55,0,COLUMN(Database!AJ55)*2-12)</f>
        <v>0.56000000000000005</v>
      </c>
      <c r="AN55" s="8">
        <f ca="1">OFFSET(Database!$F55,0,COLUMN(Database!AK55)*2-12)</f>
        <v>0.16</v>
      </c>
      <c r="AO55" s="8">
        <f ca="1">OFFSET(Database!$F55,0,COLUMN(Database!AL55)*2-12)</f>
        <v>0.1195049082373026</v>
      </c>
      <c r="AP55" s="8" t="str">
        <f ca="1">OFFSET(Database!$F55,0,COLUMN(Database!AM55)*2-12)</f>
        <v>n.r.</v>
      </c>
      <c r="AQ55" s="8" t="str">
        <f ca="1">OFFSET(Database!$F55,0,COLUMN(Database!AN55)*2-12)</f>
        <v>n.r.</v>
      </c>
      <c r="AR55" s="8" t="str">
        <f ca="1">OFFSET(Database!$F55,0,COLUMN(Database!AO55)*2-12)</f>
        <v>&lt;0.01</v>
      </c>
      <c r="AS55" s="8" t="str">
        <f ca="1">OFFSET(Database!$F55,0,COLUMN(Database!AP55)*2-12)</f>
        <v>&lt;0.0009</v>
      </c>
      <c r="AT55" s="8" t="str">
        <f ca="1">OFFSET(Database!$F55,0,COLUMN(Database!AQ55)*2-12)</f>
        <v>&lt;0.0009</v>
      </c>
      <c r="AU55" s="8" t="str">
        <f ca="1">OFFSET(Database!$F55,0,COLUMN(Database!AR55)*2-12)</f>
        <v>&lt;0.0009</v>
      </c>
      <c r="AV55" s="8" t="str">
        <f ca="1">OFFSET(Database!$F55,0,COLUMN(Database!AS55)*2-12)</f>
        <v>&lt;0.0009</v>
      </c>
      <c r="AW55" s="8" t="str">
        <f ca="1">OFFSET(Database!$F55,0,COLUMN(Database!AT55)*2-12)</f>
        <v>&lt;0.0009</v>
      </c>
      <c r="AX55" s="8">
        <f ca="1">OFFSET(Database!$F55,0,COLUMN(Database!AU55)*2-12)</f>
        <v>5.9752454118651294E-3</v>
      </c>
      <c r="AY55" s="8" t="str">
        <f ca="1">OFFSET(Database!$F55,0,COLUMN(Database!AV55)*2-12)</f>
        <v>&lt;0.0009</v>
      </c>
      <c r="AZ55" s="8" t="str">
        <f ca="1">OFFSET(Database!$F55,0,COLUMN(Database!AW55)*2-12)</f>
        <v>&lt;0.0009</v>
      </c>
      <c r="BA55" s="8" t="str">
        <f ca="1">OFFSET(Database!$F55,0,COLUMN(Database!AX55)*2-12)</f>
        <v>&lt;0.0009</v>
      </c>
      <c r="BB55" s="8" t="str">
        <f ca="1">OFFSET(Database!$F55,0,COLUMN(Database!AY55)*2-12)</f>
        <v>&lt;0.0009</v>
      </c>
      <c r="BC55" s="8" t="str">
        <f ca="1">OFFSET(Database!$F55,0,COLUMN(Database!AZ55)*2-12)</f>
        <v>&lt;0.0009</v>
      </c>
      <c r="BD55" s="8">
        <f ca="1">OFFSET(Database!$F55,0,COLUMN(Database!BA55)*2-12)</f>
        <v>1.1096884336320955E-2</v>
      </c>
      <c r="BE55" s="8" t="str">
        <f ca="1">OFFSET(Database!$F55,0,COLUMN(Database!BB55)*2-12)</f>
        <v>&lt;0.0009</v>
      </c>
      <c r="BF55" s="8" t="str">
        <f ca="1">OFFSET(Database!$F55,0,COLUMN(Database!BC55)*2-12)</f>
        <v>&lt;0.0009</v>
      </c>
      <c r="BG55" s="8" t="str">
        <f ca="1">OFFSET(Database!$F55,0,COLUMN(Database!BD55)*2-12)</f>
        <v>&lt;0.0009</v>
      </c>
      <c r="BH55" s="8" t="str">
        <f ca="1">OFFSET(Database!$F55,0,COLUMN(Database!BE55)*2-12)</f>
        <v>n.r.</v>
      </c>
      <c r="BI55" s="8" t="str">
        <f ca="1">OFFSET(Database!$F55,0,COLUMN(Database!BF55)*2-12)</f>
        <v>n.r.</v>
      </c>
      <c r="BJ55" s="8" t="str">
        <f ca="1">OFFSET(Database!$F55,0,COLUMN(Database!BG55)*2-12)</f>
        <v>n.r.</v>
      </c>
      <c r="BK55" s="8" t="str">
        <f ca="1">OFFSET(Database!$F55,0,COLUMN(Database!BH55)*2-12)</f>
        <v>n.r.</v>
      </c>
      <c r="BL55" s="8" t="str">
        <f ca="1">OFFSET(Database!$F55,0,COLUMN(Database!BI55)*2-12)</f>
        <v>n.r.</v>
      </c>
      <c r="BM55" s="8" t="str">
        <f ca="1">OFFSET(Database!$F55,0,COLUMN(Database!BJ55)*2-12)</f>
        <v>n.r.</v>
      </c>
      <c r="BN55" s="8" t="str">
        <f ca="1">OFFSET(Database!$F55,0,COLUMN(Database!BK55)*2-12)</f>
        <v>n.r.</v>
      </c>
      <c r="BO55" s="8" t="str">
        <f ca="1">OFFSET(Database!$F55,0,COLUMN(Database!BL55)*2-12)</f>
        <v>n.r.</v>
      </c>
      <c r="BP55" s="8" t="str">
        <f ca="1">OFFSET(Database!$F55,0,COLUMN(Database!BM55)*2-12)</f>
        <v>n.r.</v>
      </c>
      <c r="BQ55" s="8" t="str">
        <f ca="1">OFFSET(Database!$F55,0,COLUMN(Database!BN55)*2-12)</f>
        <v>n.r.</v>
      </c>
      <c r="BR55" s="8" t="str">
        <f ca="1">OFFSET(Database!$F55,0,COLUMN(Database!BO55)*2-12)</f>
        <v>n.r.</v>
      </c>
      <c r="BS55" s="8" t="str">
        <f ca="1">OFFSET(Database!$F55,0,COLUMN(Database!BP55)*2-12)</f>
        <v>n.r.</v>
      </c>
      <c r="BT55" s="8" t="str">
        <f ca="1">OFFSET(Database!$F55,0,COLUMN(Database!BQ55)*2-12)</f>
        <v>n.r.</v>
      </c>
      <c r="BU55" s="8" t="str">
        <f ca="1">OFFSET(Database!$F55,0,COLUMN(Database!BR55)*2-12)</f>
        <v>n.r.</v>
      </c>
      <c r="BV55" s="8" t="str">
        <f ca="1">OFFSET(Database!$F55,0,COLUMN(Database!BS55)*2-12)</f>
        <v>n.r.</v>
      </c>
      <c r="BW55" s="8" t="str">
        <f ca="1">OFFSET(Database!$F55,0,COLUMN(Database!BT55)*2-12)</f>
        <v>&lt;0.0001</v>
      </c>
      <c r="BX55" s="8" t="str">
        <f ca="1">OFFSET(Database!$F55,0,COLUMN(Database!BU55)*2-12)</f>
        <v>&lt;0.0001</v>
      </c>
      <c r="BY55" s="8" t="str">
        <f ca="1">OFFSET(Database!$F55,0,COLUMN(Database!BV55)*2-12)</f>
        <v>&lt;0.0001</v>
      </c>
      <c r="BZ55" s="8" t="str">
        <f ca="1">OFFSET(Database!$F55,0,COLUMN(Database!BW55)*2-12)</f>
        <v>n.r.</v>
      </c>
      <c r="CA55" s="8" t="str">
        <f ca="1">OFFSET(Database!$F55,0,COLUMN(Database!BX55)*2-12)</f>
        <v>n.r.</v>
      </c>
      <c r="CB55" s="8" t="str">
        <f ca="1">OFFSET(Database!$F55,0,COLUMN(Database!BY55)*2-12)</f>
        <v>n.r.</v>
      </c>
      <c r="CC55" s="8" t="str">
        <f ca="1">OFFSET(Database!$F55,0,COLUMN(Database!BZ55)*2-12)</f>
        <v>n.r.</v>
      </c>
      <c r="CD55" s="8" t="str">
        <f ca="1">OFFSET(Database!$F55,0,COLUMN(Database!CA55)*2-12)</f>
        <v>n.r.</v>
      </c>
      <c r="CE55" s="8" t="str">
        <f ca="1">OFFSET(Database!$F55,0,COLUMN(Database!CB55)*2-12)</f>
        <v>n.r.</v>
      </c>
      <c r="CF55" s="8" t="str">
        <f ca="1">OFFSET(Database!$F55,0,COLUMN(Database!CC55)*2-12)</f>
        <v>n.r.</v>
      </c>
      <c r="CG55" s="8" t="str">
        <f ca="1">OFFSET(Database!$F55,0,COLUMN(Database!CD55)*2-12)</f>
        <v>n.r.</v>
      </c>
      <c r="CH55" s="8" t="str">
        <f ca="1">OFFSET(Database!$F55,0,COLUMN(Database!CE55)*2-12)</f>
        <v>n.r.</v>
      </c>
      <c r="CI55" s="8" t="str">
        <f ca="1">OFFSET(Database!$F55,0,COLUMN(Database!CF55)*2-12)</f>
        <v>n.r.</v>
      </c>
      <c r="CJ55" s="8" t="str">
        <f ca="1">OFFSET(Database!$F55,0,COLUMN(Database!CG55)*2-12)</f>
        <v>n.r.</v>
      </c>
      <c r="CK55" s="8" t="str">
        <f ca="1">OFFSET(Database!$F55,0,COLUMN(Database!CH55)*2-12)</f>
        <v>n.r.</v>
      </c>
      <c r="CL55" s="8" t="str">
        <f ca="1">OFFSET(Database!$F55,0,COLUMN(Database!CI55)*2-12)</f>
        <v>n.r.</v>
      </c>
      <c r="CM55" s="8" t="str">
        <f ca="1">OFFSET(Database!$F55,0,COLUMN(Database!CJ55)*2-12)</f>
        <v>n.r.</v>
      </c>
      <c r="CN55" s="8" t="str">
        <f ca="1">OFFSET(Database!$F55,0,COLUMN(Database!CK55)*2-12)</f>
        <v>n.r.</v>
      </c>
      <c r="CO55" s="8" t="str">
        <f ca="1">OFFSET(Database!$F55,0,COLUMN(Database!CL55)*2-12)</f>
        <v>n.r.</v>
      </c>
      <c r="CP55" s="8" t="str">
        <f ca="1">OFFSET(Database!$F55,0,COLUMN(Database!CM55)*2-12)</f>
        <v>&lt;0.1</v>
      </c>
      <c r="CQ55" s="8" t="str">
        <f ca="1">OFFSET(Database!$F55,0,COLUMN(Database!CN55)*2-12)</f>
        <v>&lt;0.1</v>
      </c>
      <c r="CR55" s="8" t="str">
        <f ca="1">OFFSET(Database!$F55,0,COLUMN(Database!CO55)*2-12)</f>
        <v>&lt;0.1</v>
      </c>
      <c r="CS55" s="8" t="str">
        <f ca="1">OFFSET(Database!$F55,0,COLUMN(Database!CP55)*2-12)</f>
        <v>&lt;0.1</v>
      </c>
      <c r="CT55" s="8" t="str">
        <f ca="1">OFFSET(Database!$F55,0,COLUMN(Database!CQ55)*2-12)</f>
        <v>&lt;0.1</v>
      </c>
      <c r="CU55" s="8" t="str">
        <f ca="1">OFFSET(Database!$F55,0,COLUMN(Database!CR55)*2-12)</f>
        <v>&lt;0.1</v>
      </c>
      <c r="CV55" s="8" t="str">
        <f ca="1">OFFSET(Database!$F55,0,COLUMN(Database!CS55)*2-12)</f>
        <v>&lt;0.1</v>
      </c>
      <c r="CW55" s="8" t="str">
        <f ca="1">OFFSET(Database!$F55,0,COLUMN(Database!CT55)*2-12)</f>
        <v>&lt;0.1</v>
      </c>
      <c r="CX55" s="8" t="str">
        <f ca="1">OFFSET(Database!$F55,0,COLUMN(Database!CU55)*2-12)</f>
        <v>&lt;0.1</v>
      </c>
      <c r="CY55" s="8" t="str">
        <f ca="1">OFFSET(Database!$F55,0,COLUMN(Database!CV55)*2-12)</f>
        <v>&lt;0.1</v>
      </c>
      <c r="CZ55" s="8" t="str">
        <f ca="1">OFFSET(Database!$F55,0,COLUMN(Database!CW55)*2-12)</f>
        <v>&lt;0.1</v>
      </c>
      <c r="DA55" s="8" t="str">
        <f ca="1">OFFSET(Database!$F55,0,COLUMN(Database!CX55)*2-12)</f>
        <v>&lt;0.1</v>
      </c>
      <c r="DB55" s="8" t="str">
        <f ca="1">OFFSET(Database!$F55,0,COLUMN(Database!CY55)*2-12)</f>
        <v>&lt;0.04</v>
      </c>
      <c r="DC55" s="8" t="str">
        <f ca="1">OFFSET(Database!$F55,0,COLUMN(Database!CZ55)*2-12)</f>
        <v>&lt;0.04</v>
      </c>
      <c r="DD55" s="8">
        <f ca="1">OFFSET(Database!$F55,0,COLUMN(Database!DA55)*2-12)</f>
        <v>5.0999999999999997E-2</v>
      </c>
      <c r="DE55" s="8" t="str">
        <f ca="1">OFFSET(Database!$F55,0,COLUMN(Database!DB55)*2-12)</f>
        <v>n.r.</v>
      </c>
      <c r="DF55" s="8" t="str">
        <f ca="1">OFFSET(Database!$F55,0,COLUMN(Database!DC55)*2-12)</f>
        <v>n.r.</v>
      </c>
      <c r="DG55" s="8" t="str">
        <f ca="1">OFFSET(Database!$F55,0,COLUMN(Database!DD55)*2-12)</f>
        <v>n.r.</v>
      </c>
      <c r="DH55" s="8" t="str">
        <f ca="1">OFFSET(Database!$F55,0,COLUMN(Database!DE55)*2-12)</f>
        <v>n.r.</v>
      </c>
      <c r="DI55" s="8" t="str">
        <f ca="1">OFFSET(Database!$F55,0,COLUMN(Database!DF55)*2-12)</f>
        <v>n.r.</v>
      </c>
      <c r="DJ55" s="8" t="str">
        <f ca="1">OFFSET(Database!$F55,0,COLUMN(Database!DG55)*2-12)</f>
        <v>n.r.</v>
      </c>
      <c r="DK55" s="8" t="str">
        <f ca="1">OFFSET(Database!$F55,0,COLUMN(Database!DH55)*2-12)</f>
        <v>n.r.</v>
      </c>
      <c r="DL55" s="8" t="str">
        <f ca="1">OFFSET(Database!$F55,0,COLUMN(Database!DI55)*2-12)</f>
        <v>n.r.</v>
      </c>
      <c r="DM55" s="8" t="str">
        <f ca="1">OFFSET(Database!$F55,0,COLUMN(Database!DJ55)*2-12)</f>
        <v>n.r.</v>
      </c>
      <c r="DN55" s="8" t="str">
        <f ca="1">OFFSET(Database!$F55,0,COLUMN(Database!DK55)*2-12)</f>
        <v>n.r.</v>
      </c>
      <c r="DO55" s="8" t="str">
        <f ca="1">OFFSET(Database!$F55,0,COLUMN(Database!DL55)*2-12)</f>
        <v>n.r.</v>
      </c>
      <c r="DP55" s="8" t="str">
        <f ca="1">OFFSET(Database!$F55,0,COLUMN(Database!DM55)*2-12)</f>
        <v>n.r.</v>
      </c>
      <c r="DQ55" s="8" t="str">
        <f ca="1">OFFSET(Database!$F55,0,COLUMN(Database!DN55)*2-12)</f>
        <v>n.r.</v>
      </c>
      <c r="DR55" s="8" t="str">
        <f ca="1">OFFSET(Database!$F55,0,COLUMN(Database!DO55)*2-12)</f>
        <v>n.r.</v>
      </c>
      <c r="DS55" s="8" t="str">
        <f ca="1">OFFSET(Database!$F55,0,COLUMN(Database!DP55)*2-12)</f>
        <v>n.r.</v>
      </c>
      <c r="DT55" s="8" t="str">
        <f ca="1">OFFSET(Database!$F55,0,COLUMN(Database!DQ55)*2-12)</f>
        <v>n.r.</v>
      </c>
      <c r="DU55" s="8">
        <f ca="1">OFFSET(Database!$F55,0,COLUMN(Database!DR55)*2-12)</f>
        <v>0.1062</v>
      </c>
      <c r="DV55" s="8" t="str">
        <f ca="1">OFFSET(Database!$F55,0,COLUMN(Database!DS55)*2-12)</f>
        <v>n.dt.</v>
      </c>
      <c r="DW55" s="8" t="str">
        <f ca="1">OFFSET(Database!$F55,0,COLUMN(Database!DT55)*2-12)</f>
        <v>n.r.</v>
      </c>
      <c r="DX55" s="8" t="str">
        <f ca="1">OFFSET(Database!$F55,0,COLUMN(Database!DU55)*2-12)</f>
        <v>n.r.</v>
      </c>
      <c r="DY55" s="8" t="str">
        <f ca="1">OFFSET(Database!$F55,0,COLUMN(Database!DV55)*2-12)</f>
        <v>n.r.</v>
      </c>
      <c r="DZ55" s="8" t="str">
        <f ca="1">OFFSET(Database!$F55,0,COLUMN(Database!DW55)*2-12)</f>
        <v>n.r.</v>
      </c>
      <c r="EA55" s="8" t="str">
        <f ca="1">OFFSET(Database!$F55,0,COLUMN(Database!DX55)*2-12)</f>
        <v>n.r.</v>
      </c>
      <c r="EB55" s="8" t="str">
        <f ca="1">OFFSET(Database!$F55,0,COLUMN(Database!DY55)*2-12)</f>
        <v>n.r.</v>
      </c>
      <c r="EC55" s="8" t="str">
        <f ca="1">OFFSET(Database!$F55,0,COLUMN(Database!DZ55)*2-12)</f>
        <v>n.r.</v>
      </c>
      <c r="ED55" s="8" t="str">
        <f ca="1">OFFSET(Database!$F55,0,COLUMN(Database!EA55)*2-12)</f>
        <v>n.r</v>
      </c>
      <c r="EE55" s="8" t="str">
        <f ca="1">OFFSET(Database!$F55,0,COLUMN(Database!EB55)*2-12)</f>
        <v>n.r.</v>
      </c>
      <c r="EF55" s="8" t="str">
        <f ca="1">OFFSET(Database!$F55,0,COLUMN(Database!EC55)*2-12)</f>
        <v>n.r.</v>
      </c>
      <c r="EG55" s="8" t="str">
        <f ca="1">OFFSET(Database!$F55,0,COLUMN(Database!ED55)*2-12)</f>
        <v>n.r.</v>
      </c>
      <c r="EH55" s="8" t="str">
        <f ca="1">OFFSET(Database!$F55,0,COLUMN(Database!EE55)*2-12)</f>
        <v>n.r.</v>
      </c>
      <c r="EI55" s="8" t="str">
        <f ca="1">OFFSET(Database!$F55,0,COLUMN(Database!EF55)*2-12)</f>
        <v>n.r.</v>
      </c>
      <c r="EJ55" s="8" t="str">
        <f ca="1">OFFSET(Database!$F55,0,COLUMN(Database!EG55)*2-12)</f>
        <v>n.r.</v>
      </c>
      <c r="EK55" s="8" t="str">
        <f ca="1">OFFSET(Database!$F55,0,COLUMN(Database!EH55)*2-12)</f>
        <v>n.r.</v>
      </c>
      <c r="EL55" s="8" t="str">
        <f ca="1">OFFSET(Database!$F55,0,COLUMN(Database!EI55)*2-12)</f>
        <v>n.r.</v>
      </c>
      <c r="EM55" s="8" t="str">
        <f ca="1">OFFSET(Database!$F55,0,COLUMN(Database!EJ55)*2-12)</f>
        <v>n.r.</v>
      </c>
      <c r="EN55" s="8" t="str">
        <f ca="1">OFFSET(Database!$F55,0,COLUMN(Database!EK55)*2-12)</f>
        <v>n.r.</v>
      </c>
      <c r="EO55" s="8" t="str">
        <f ca="1">OFFSET(Database!$F55,0,COLUMN(Database!EL55)*2-12)</f>
        <v>n.r.</v>
      </c>
      <c r="EP55" s="8" t="str">
        <f ca="1">OFFSET(Database!$F55,0,COLUMN(Database!EM55)*2-12)</f>
        <v>n.r.</v>
      </c>
      <c r="EQ55" s="8" t="str">
        <f ca="1">OFFSET(Database!$F55,0,COLUMN(Database!EN55)*2-12)</f>
        <v>n.r.</v>
      </c>
      <c r="ER55" s="8" t="str">
        <f ca="1">OFFSET(Database!$F55,0,COLUMN(Database!EO55)*2-12)</f>
        <v>n.r.</v>
      </c>
      <c r="ES55" s="8" t="str">
        <f ca="1">OFFSET(Database!$F55,0,COLUMN(Database!EP55)*2-12)</f>
        <v>n.r.</v>
      </c>
      <c r="ET55" s="8" t="str">
        <f ca="1">OFFSET(Database!$F55,0,COLUMN(Database!EQ55)*2-12)</f>
        <v>n.r.</v>
      </c>
      <c r="EU55" s="8" t="str">
        <f ca="1">OFFSET(Database!$F55,0,COLUMN(Database!ER55)*2-12)</f>
        <v>n.r.</v>
      </c>
      <c r="EV55" s="8" t="str">
        <f ca="1">OFFSET(Database!$F55,0,COLUMN(Database!ES55)*2-12)</f>
        <v>n.r.</v>
      </c>
      <c r="EW55" s="8" t="str">
        <f ca="1">OFFSET(Database!$F55,0,COLUMN(Database!ET55)*2-12)</f>
        <v>n.r.</v>
      </c>
      <c r="EX55" s="8" t="str">
        <f ca="1">OFFSET(Database!$F55,0,COLUMN(Database!EU55)*2-12)</f>
        <v>n.r.</v>
      </c>
      <c r="EY55" s="8" t="str">
        <f ca="1">OFFSET(Database!$F55,0,COLUMN(Database!EV55)*2-12)</f>
        <v>n.r.</v>
      </c>
      <c r="EZ55" s="8" t="str">
        <f ca="1">OFFSET(Database!$F55,0,COLUMN(Database!EW55)*2-12)</f>
        <v>n.r.</v>
      </c>
      <c r="FA55" s="8" t="str">
        <f ca="1">OFFSET(Database!$F55,0,COLUMN(Database!EX55)*2-12)</f>
        <v>n.r.</v>
      </c>
      <c r="FB55" s="8" t="str">
        <f ca="1">OFFSET(Database!$F55,0,COLUMN(Database!EY55)*2-12)</f>
        <v>n.r.</v>
      </c>
      <c r="FC55" s="8" t="str">
        <f ca="1">OFFSET(Database!$F55,0,COLUMN(Database!EZ55)*2-12)</f>
        <v>n.r.</v>
      </c>
      <c r="FD55" s="8" t="str">
        <f ca="1">OFFSET(Database!$F55,0,COLUMN(Database!FA55)*2-12)</f>
        <v>n.r.</v>
      </c>
      <c r="FE55" s="8" t="str">
        <f ca="1">OFFSET(Database!$F55,0,COLUMN(Database!FB55)*2-12)</f>
        <v>n.r.</v>
      </c>
      <c r="FF55" s="8" t="str">
        <f ca="1">OFFSET(Database!$F55,0,COLUMN(Database!FC55)*2-12)</f>
        <v>n.r.</v>
      </c>
      <c r="FG55" s="8" t="str">
        <f ca="1">OFFSET(Database!$F55,0,COLUMN(Database!FD55)*2-12)</f>
        <v>n.r.</v>
      </c>
      <c r="FH55" s="8" t="str">
        <f ca="1">OFFSET(Database!$F55,0,COLUMN(Database!FE55)*2-12)</f>
        <v>n.r.</v>
      </c>
      <c r="FI55" s="8" t="str">
        <f ca="1">OFFSET(Database!$F55,0,COLUMN(Database!FF55)*2-12)</f>
        <v>n.r.</v>
      </c>
      <c r="FJ55" s="8" t="str">
        <f ca="1">OFFSET(Database!$F55,0,COLUMN(Database!FG55)*2-12)</f>
        <v>n.r.</v>
      </c>
      <c r="FK55" s="8" t="str">
        <f ca="1">OFFSET(Database!$F55,0,COLUMN(Database!FH55)*2-12)</f>
        <v>n.r.</v>
      </c>
      <c r="FL55" s="8" t="str">
        <f ca="1">OFFSET(Database!$F55,0,COLUMN(Database!FI55)*2-12)</f>
        <v>n.r.</v>
      </c>
      <c r="FM55" s="8" t="str">
        <f ca="1">OFFSET(Database!$F55,0,COLUMN(Database!FJ55)*2-12)</f>
        <v>n.r.</v>
      </c>
      <c r="FN55" s="8" t="str">
        <f ca="1">OFFSET(Database!$F55,0,COLUMN(Database!FK55)*2-12)</f>
        <v>n.r.</v>
      </c>
      <c r="FO55" s="8" t="str">
        <f ca="1">OFFSET(Database!$F55,0,COLUMN(Database!FL55)*2-12)</f>
        <v>n.r.</v>
      </c>
      <c r="FP55" s="8" t="str">
        <f ca="1">OFFSET(Database!$F55,0,COLUMN(Database!FM55)*2-12)</f>
        <v>n.r.</v>
      </c>
      <c r="FQ55" s="8" t="str">
        <f ca="1">OFFSET(Database!$F55,0,COLUMN(Database!FN55)*2-12)</f>
        <v>n.r.</v>
      </c>
      <c r="FR55" s="8" t="str">
        <f ca="1">OFFSET(Database!$F55,0,COLUMN(Database!FO55)*2-12)</f>
        <v>n.r.</v>
      </c>
      <c r="FS55" s="8" t="str">
        <f ca="1">OFFSET(Database!$F55,0,COLUMN(Database!FP55)*2-12)</f>
        <v>n.r.</v>
      </c>
      <c r="FT55" s="8" t="str">
        <f ca="1">OFFSET(Database!$F55,0,COLUMN(Database!FQ55)*2-12)</f>
        <v>n.r.</v>
      </c>
      <c r="FU55" s="8" t="str">
        <f ca="1">OFFSET(Database!$F55,0,COLUMN(Database!FR55)*2-12)</f>
        <v>n.r.</v>
      </c>
      <c r="FV55" s="8" t="str">
        <f ca="1">OFFSET(Database!$F55,0,COLUMN(Database!FS55)*2-12)</f>
        <v>n.r.</v>
      </c>
      <c r="FW55" s="8" t="str">
        <f ca="1">OFFSET(Database!$F55,0,COLUMN(Database!FT55)*2-12)</f>
        <v>n.r.</v>
      </c>
      <c r="FX55" s="8" t="str">
        <f ca="1">OFFSET(Database!$F55,0,COLUMN(Database!FU55)*2-12)</f>
        <v>n.r.</v>
      </c>
      <c r="FY55" s="8" t="str">
        <f ca="1">OFFSET(Database!$F55,0,COLUMN(Database!FV55)*2-12)</f>
        <v>n.r.</v>
      </c>
      <c r="FZ55" s="8" t="str">
        <f ca="1">OFFSET(Database!$F55,0,COLUMN(Database!FW55)*2-12)</f>
        <v>n.r.</v>
      </c>
      <c r="GA55" s="8" t="str">
        <f ca="1">OFFSET(Database!$F55,0,COLUMN(Database!FX55)*2-12)</f>
        <v>n.r.</v>
      </c>
      <c r="GB55" s="8" t="str">
        <f ca="1">OFFSET(Database!$F55,0,COLUMN(Database!FY55)*2-12)</f>
        <v>n.r.</v>
      </c>
      <c r="GC55" s="8" t="str">
        <f ca="1">OFFSET(Database!$F55,0,COLUMN(Database!FZ55)*2-12)</f>
        <v>n.r.</v>
      </c>
      <c r="GD55" s="8" t="str">
        <f ca="1">OFFSET(Database!$F55,0,COLUMN(Database!GA55)*2-12)</f>
        <v>n.r.</v>
      </c>
      <c r="GE55" s="8" t="str">
        <f ca="1">OFFSET(Database!$F55,0,COLUMN(Database!GB55)*2-12)</f>
        <v>n.r.</v>
      </c>
      <c r="GF55" s="8" t="str">
        <f ca="1">OFFSET(Database!$F55,0,COLUMN(Database!GC55)*2-12)</f>
        <v>n.r.</v>
      </c>
      <c r="GG55" s="8" t="str">
        <f ca="1">OFFSET(Database!$F55,0,COLUMN(Database!GD55)*2-12)</f>
        <v>n.r.</v>
      </c>
      <c r="GH55" s="8" t="str">
        <f ca="1">OFFSET(Database!$F55,0,COLUMN(Database!GE55)*2-12)</f>
        <v>n.r.</v>
      </c>
      <c r="GI55" s="8" t="str">
        <f ca="1">OFFSET(Database!$F55,0,COLUMN(Database!GF55)*2-12)</f>
        <v>n.r.</v>
      </c>
      <c r="GJ55" s="8" t="str">
        <f ca="1">OFFSET(Database!$F55,0,COLUMN(Database!GG55)*2-12)</f>
        <v>n.r.</v>
      </c>
      <c r="GK55" s="8" t="str">
        <f ca="1">OFFSET(Database!$F55,0,COLUMN(Database!GH55)*2-12)</f>
        <v>n.r.</v>
      </c>
      <c r="GL55" s="8" t="str">
        <f ca="1">OFFSET(Database!$F55,0,COLUMN(Database!GI55)*2-12)</f>
        <v>n.r.</v>
      </c>
      <c r="GM55" s="8" t="str">
        <f ca="1">OFFSET(Database!$F55,0,COLUMN(Database!GJ55)*2-12)</f>
        <v>n.r.</v>
      </c>
      <c r="GN55" s="8" t="str">
        <f ca="1">OFFSET(Database!$F55,0,COLUMN(Database!GK55)*2-12)</f>
        <v>n.r.</v>
      </c>
      <c r="GO55" s="8" t="str">
        <f ca="1">OFFSET(Database!$F55,0,COLUMN(Database!GL55)*2-12)</f>
        <v>n.d.</v>
      </c>
      <c r="GP55" s="8" t="str">
        <f ca="1">OFFSET(Database!$F55,0,COLUMN(Database!GM55)*2-12)</f>
        <v>n.d.</v>
      </c>
    </row>
    <row r="56" spans="1:198" x14ac:dyDescent="0.2">
      <c r="A56" s="50" t="str">
        <f>Database!A56</f>
        <v>norvaline</v>
      </c>
      <c r="B56" s="1" t="s">
        <v>871</v>
      </c>
      <c r="C56" s="4" t="str">
        <f>Database!B56</f>
        <v>ɑ</v>
      </c>
      <c r="D56" s="4" t="str">
        <f>Database!C56</f>
        <v>Both</v>
      </c>
      <c r="E56" s="74">
        <f>Database!D56</f>
        <v>9</v>
      </c>
      <c r="F56" s="32" t="s">
        <v>1062</v>
      </c>
      <c r="G56" s="1" t="s">
        <v>1128</v>
      </c>
      <c r="H56" s="1">
        <f>Database!E56</f>
        <v>117.15</v>
      </c>
      <c r="I56" s="8" t="str">
        <f ca="1">OFFSET(Database!$F56,0,COLUMN(Database!F56)*2-12)</f>
        <v>n.r.</v>
      </c>
      <c r="J56" s="8" t="str">
        <f ca="1">OFFSET(Database!$F56,0,COLUMN(Database!G56)*2-12)</f>
        <v>n.r.</v>
      </c>
      <c r="K56" s="8" t="str">
        <f ca="1">OFFSET(Database!$F56,0,COLUMN(Database!H56)*2-12)</f>
        <v>n.r.</v>
      </c>
      <c r="L56" s="8" t="str">
        <f ca="1">OFFSET(Database!$F56,0,COLUMN(Database!I56)*2-12)</f>
        <v>n.r.</v>
      </c>
      <c r="M56" s="8" t="str">
        <f ca="1">OFFSET(Database!$F56,0,COLUMN(Database!J56)*2-12)</f>
        <v>n.r.</v>
      </c>
      <c r="N56" s="8" t="str">
        <f ca="1">OFFSET(Database!$F56,0,COLUMN(Database!K56)*2-12)</f>
        <v>n.r.</v>
      </c>
      <c r="O56" s="8" t="str">
        <f ca="1">OFFSET(Database!$F56,0,COLUMN(Database!L56)*2-12)</f>
        <v>n.r.</v>
      </c>
      <c r="P56" s="8">
        <f ca="1">OFFSET(Database!$F56,0,COLUMN(Database!M56)*2-12)</f>
        <v>0.09</v>
      </c>
      <c r="Q56" s="8">
        <f ca="1">OFFSET(Database!$F56,0,COLUMN(Database!N56)*2-12)</f>
        <v>8.02</v>
      </c>
      <c r="R56" s="8" t="str">
        <f ca="1">OFFSET(Database!$F56,0,COLUMN(Database!O56)*2-12)</f>
        <v>n.r.</v>
      </c>
      <c r="S56" s="8" t="str">
        <f ca="1">OFFSET(Database!$F56,0,COLUMN(Database!P56)*2-12)</f>
        <v>n.r.</v>
      </c>
      <c r="T56" s="8" t="str">
        <f ca="1">OFFSET(Database!$F56,0,COLUMN(Database!Q56)*2-12)</f>
        <v>n.r.</v>
      </c>
      <c r="U56" s="8" t="str">
        <f ca="1">OFFSET(Database!$F56,0,COLUMN(Database!R56)*2-12)</f>
        <v>n.r.</v>
      </c>
      <c r="V56" s="8" t="str">
        <f ca="1">OFFSET(Database!$F56,0,COLUMN(Database!S56)*2-12)</f>
        <v>n.r.</v>
      </c>
      <c r="W56" s="8" t="str">
        <f ca="1">OFFSET(Database!$F56,0,COLUMN(Database!T56)*2-12)</f>
        <v>n.r.</v>
      </c>
      <c r="X56" s="8" t="str">
        <f ca="1">OFFSET(Database!$F56,0,COLUMN(Database!U56)*2-12)</f>
        <v>n.r.</v>
      </c>
      <c r="Y56" s="8" t="str">
        <f ca="1">OFFSET(Database!$F56,0,COLUMN(Database!V56)*2-12)</f>
        <v>n.r.</v>
      </c>
      <c r="Z56" s="8" t="str">
        <f ca="1">OFFSET(Database!$F56,0,COLUMN(Database!W56)*2-12)</f>
        <v>n.r.</v>
      </c>
      <c r="AA56" s="8" t="str">
        <f ca="1">OFFSET(Database!$F56,0,COLUMN(Database!X56)*2-12)</f>
        <v>n.r.</v>
      </c>
      <c r="AB56" s="8" t="str">
        <f ca="1">OFFSET(Database!$F56,0,COLUMN(Database!Y56)*2-12)</f>
        <v>n.r.</v>
      </c>
      <c r="AC56" s="8" t="str">
        <f ca="1">OFFSET(Database!$F56,0,COLUMN(Database!Z56)*2-12)</f>
        <v>n.r.</v>
      </c>
      <c r="AD56" s="8" t="str">
        <f ca="1">OFFSET(Database!$F56,0,COLUMN(Database!AA56)*2-12)</f>
        <v>n.r.</v>
      </c>
      <c r="AE56" s="8" t="str">
        <f ca="1">OFFSET(Database!$F56,0,COLUMN(Database!AB56)*2-12)</f>
        <v>n.r.</v>
      </c>
      <c r="AF56" s="8" t="str">
        <f ca="1">OFFSET(Database!$F56,0,COLUMN(Database!AC56)*2-12)</f>
        <v>n.r.</v>
      </c>
      <c r="AG56" s="8" t="str">
        <f ca="1">OFFSET(Database!$F56,0,COLUMN(Database!AD56)*2-12)</f>
        <v>n.r.</v>
      </c>
      <c r="AH56" s="8">
        <f ca="1">OFFSET(Database!$F56,0,COLUMN(Database!AE56)*2-12)</f>
        <v>1</v>
      </c>
      <c r="AI56" s="8" t="str">
        <f ca="1">OFFSET(Database!$F56,0,COLUMN(Database!AF56)*2-12)</f>
        <v>n.r.</v>
      </c>
      <c r="AJ56" s="8" t="str">
        <f ca="1">OFFSET(Database!$F56,0,COLUMN(Database!AG56)*2-12)</f>
        <v>n.r.</v>
      </c>
      <c r="AK56" s="8" t="str">
        <f ca="1">OFFSET(Database!$F56,0,COLUMN(Database!AH56)*2-12)</f>
        <v>n.r.</v>
      </c>
      <c r="AL56" s="8" t="str">
        <f ca="1">OFFSET(Database!$F56,0,COLUMN(Database!AI56)*2-12)</f>
        <v>n.r.</v>
      </c>
      <c r="AM56" s="8" t="str">
        <f ca="1">OFFSET(Database!$F56,0,COLUMN(Database!AJ56)*2-12)</f>
        <v>n.r.</v>
      </c>
      <c r="AN56" s="8" t="str">
        <f ca="1">OFFSET(Database!$F56,0,COLUMN(Database!AK56)*2-12)</f>
        <v>n.r.</v>
      </c>
      <c r="AO56" s="8" t="str">
        <f ca="1">OFFSET(Database!$F56,0,COLUMN(Database!AL56)*2-12)</f>
        <v>n.r.</v>
      </c>
      <c r="AP56" s="8">
        <f ca="1">OFFSET(Database!$F56,0,COLUMN(Database!AM56)*2-12)</f>
        <v>0.06</v>
      </c>
      <c r="AQ56" s="8" t="str">
        <f ca="1">OFFSET(Database!$F56,0,COLUMN(Database!AN56)*2-12)</f>
        <v>&lt;0.01</v>
      </c>
      <c r="AR56" s="8" t="str">
        <f ca="1">OFFSET(Database!$F56,0,COLUMN(Database!AO56)*2-12)</f>
        <v>n.r.</v>
      </c>
      <c r="AS56" s="8" t="str">
        <f ca="1">OFFSET(Database!$F56,0,COLUMN(Database!AP56)*2-12)</f>
        <v>n.r.</v>
      </c>
      <c r="AT56" s="8" t="str">
        <f ca="1">OFFSET(Database!$F56,0,COLUMN(Database!AQ56)*2-12)</f>
        <v>n.r.</v>
      </c>
      <c r="AU56" s="8" t="str">
        <f ca="1">OFFSET(Database!$F56,0,COLUMN(Database!AR56)*2-12)</f>
        <v>n.r.</v>
      </c>
      <c r="AV56" s="8" t="str">
        <f ca="1">OFFSET(Database!$F56,0,COLUMN(Database!AS56)*2-12)</f>
        <v>n.r.</v>
      </c>
      <c r="AW56" s="8" t="str">
        <f ca="1">OFFSET(Database!$F56,0,COLUMN(Database!AT56)*2-12)</f>
        <v>n.r.</v>
      </c>
      <c r="AX56" s="8" t="str">
        <f ca="1">OFFSET(Database!$F56,0,COLUMN(Database!AU56)*2-12)</f>
        <v>n.r.</v>
      </c>
      <c r="AY56" s="8" t="str">
        <f ca="1">OFFSET(Database!$F56,0,COLUMN(Database!AV56)*2-12)</f>
        <v>n.r.</v>
      </c>
      <c r="AZ56" s="8" t="str">
        <f ca="1">OFFSET(Database!$F56,0,COLUMN(Database!AW56)*2-12)</f>
        <v>n.r.</v>
      </c>
      <c r="BA56" s="8" t="str">
        <f ca="1">OFFSET(Database!$F56,0,COLUMN(Database!AX56)*2-12)</f>
        <v>n.r.</v>
      </c>
      <c r="BB56" s="8" t="str">
        <f ca="1">OFFSET(Database!$F56,0,COLUMN(Database!AY56)*2-12)</f>
        <v>n.r.</v>
      </c>
      <c r="BC56" s="8" t="str">
        <f ca="1">OFFSET(Database!$F56,0,COLUMN(Database!AZ56)*2-12)</f>
        <v>n.r.</v>
      </c>
      <c r="BD56" s="8" t="str">
        <f ca="1">OFFSET(Database!$F56,0,COLUMN(Database!BA56)*2-12)</f>
        <v>n.r.</v>
      </c>
      <c r="BE56" s="8" t="str">
        <f ca="1">OFFSET(Database!$F56,0,COLUMN(Database!BB56)*2-12)</f>
        <v>n.r.</v>
      </c>
      <c r="BF56" s="8" t="str">
        <f ca="1">OFFSET(Database!$F56,0,COLUMN(Database!BC56)*2-12)</f>
        <v>n.r.</v>
      </c>
      <c r="BG56" s="8" t="str">
        <f ca="1">OFFSET(Database!$F56,0,COLUMN(Database!BD56)*2-12)</f>
        <v>n.r.</v>
      </c>
      <c r="BH56" s="8" t="str">
        <f ca="1">OFFSET(Database!$F56,0,COLUMN(Database!BE56)*2-12)</f>
        <v>n.r.</v>
      </c>
      <c r="BI56" s="8" t="str">
        <f ca="1">OFFSET(Database!$F56,0,COLUMN(Database!BF56)*2-12)</f>
        <v>n.r.</v>
      </c>
      <c r="BJ56" s="8">
        <f ca="1">OFFSET(Database!$F56,0,COLUMN(Database!BG56)*2-12)</f>
        <v>0.6402048655569782</v>
      </c>
      <c r="BK56" s="8">
        <f ca="1">OFFSET(Database!$F56,0,COLUMN(Database!BH56)*2-12)</f>
        <v>0.20486555697823303</v>
      </c>
      <c r="BL56" s="8">
        <f ca="1">OFFSET(Database!$F56,0,COLUMN(Database!BI56)*2-12)</f>
        <v>0.17925736235595391</v>
      </c>
      <c r="BM56" s="8" t="str">
        <f ca="1">OFFSET(Database!$F56,0,COLUMN(Database!BJ56)*2-12)</f>
        <v>&lt;0.0009</v>
      </c>
      <c r="BN56" s="8">
        <f ca="1">OFFSET(Database!$F56,0,COLUMN(Database!BK56)*2-12)</f>
        <v>3.4144259496372169E-2</v>
      </c>
      <c r="BO56" s="8">
        <f ca="1">OFFSET(Database!$F56,0,COLUMN(Database!BL56)*2-12)</f>
        <v>7.6824583866837385E-3</v>
      </c>
      <c r="BP56" s="8" t="str">
        <f ca="1">OFFSET(Database!$F56,0,COLUMN(Database!BM56)*2-12)</f>
        <v>&lt;0.0009</v>
      </c>
      <c r="BQ56" s="8" t="str">
        <f ca="1">OFFSET(Database!$F56,0,COLUMN(Database!BN56)*2-12)</f>
        <v>&lt;0.0009</v>
      </c>
      <c r="BR56" s="8" t="str">
        <f ca="1">OFFSET(Database!$F56,0,COLUMN(Database!BO56)*2-12)</f>
        <v>&lt;0.0009</v>
      </c>
      <c r="BS56" s="8" t="str">
        <f ca="1">OFFSET(Database!$F56,0,COLUMN(Database!BP56)*2-12)</f>
        <v>&lt;0.001</v>
      </c>
      <c r="BT56" s="8" t="str">
        <f ca="1">OFFSET(Database!$F56,0,COLUMN(Database!BQ56)*2-12)</f>
        <v>&lt;0.001</v>
      </c>
      <c r="BU56" s="8" t="str">
        <f ca="1">OFFSET(Database!$F56,0,COLUMN(Database!BR56)*2-12)</f>
        <v>&lt;0.001</v>
      </c>
      <c r="BV56" s="8" t="str">
        <f ca="1">OFFSET(Database!$F56,0,COLUMN(Database!BS56)*2-12)</f>
        <v>&lt;0.001</v>
      </c>
      <c r="BW56" s="8" t="str">
        <f ca="1">OFFSET(Database!$F56,0,COLUMN(Database!BT56)*2-12)</f>
        <v>n.r.</v>
      </c>
      <c r="BX56" s="8" t="str">
        <f ca="1">OFFSET(Database!$F56,0,COLUMN(Database!BU56)*2-12)</f>
        <v>n.r.</v>
      </c>
      <c r="BY56" s="8" t="str">
        <f ca="1">OFFSET(Database!$F56,0,COLUMN(Database!BV56)*2-12)</f>
        <v>n.r.</v>
      </c>
      <c r="BZ56" s="8" t="str">
        <f ca="1">OFFSET(Database!$F56,0,COLUMN(Database!BW56)*2-12)</f>
        <v>n.r.</v>
      </c>
      <c r="CA56" s="8" t="str">
        <f ca="1">OFFSET(Database!$F56,0,COLUMN(Database!BX56)*2-12)</f>
        <v>n.r.</v>
      </c>
      <c r="CB56" s="8" t="str">
        <f ca="1">OFFSET(Database!$F56,0,COLUMN(Database!BY56)*2-12)</f>
        <v>n.r.</v>
      </c>
      <c r="CC56" s="8" t="str">
        <f ca="1">OFFSET(Database!$F56,0,COLUMN(Database!BZ56)*2-12)</f>
        <v>n.r.</v>
      </c>
      <c r="CD56" s="8" t="str">
        <f ca="1">OFFSET(Database!$F56,0,COLUMN(Database!CA56)*2-12)</f>
        <v>n.r.</v>
      </c>
      <c r="CE56" s="8" t="str">
        <f ca="1">OFFSET(Database!$F56,0,COLUMN(Database!CB56)*2-12)</f>
        <v>n.r.</v>
      </c>
      <c r="CF56" s="8" t="str">
        <f ca="1">OFFSET(Database!$F56,0,COLUMN(Database!CC56)*2-12)</f>
        <v>n.r.</v>
      </c>
      <c r="CG56" s="8" t="str">
        <f ca="1">OFFSET(Database!$F56,0,COLUMN(Database!CD56)*2-12)</f>
        <v>n.r.</v>
      </c>
      <c r="CH56" s="8" t="str">
        <f ca="1">OFFSET(Database!$F56,0,COLUMN(Database!CE56)*2-12)</f>
        <v>n.r.</v>
      </c>
      <c r="CI56" s="8" t="str">
        <f ca="1">OFFSET(Database!$F56,0,COLUMN(Database!CF56)*2-12)</f>
        <v>n.r.</v>
      </c>
      <c r="CJ56" s="8" t="str">
        <f ca="1">OFFSET(Database!$F56,0,COLUMN(Database!CG56)*2-12)</f>
        <v>n.r.</v>
      </c>
      <c r="CK56" s="8" t="str">
        <f ca="1">OFFSET(Database!$F56,0,COLUMN(Database!CH56)*2-12)</f>
        <v>n.r.</v>
      </c>
      <c r="CL56" s="8" t="str">
        <f ca="1">OFFSET(Database!$F56,0,COLUMN(Database!CI56)*2-12)</f>
        <v>n.r.</v>
      </c>
      <c r="CM56" s="8" t="str">
        <f ca="1">OFFSET(Database!$F56,0,COLUMN(Database!CJ56)*2-12)</f>
        <v>n.r.</v>
      </c>
      <c r="CN56" s="8" t="str">
        <f ca="1">OFFSET(Database!$F56,0,COLUMN(Database!CK56)*2-12)</f>
        <v>n.r.</v>
      </c>
      <c r="CO56" s="8" t="str">
        <f ca="1">OFFSET(Database!$F56,0,COLUMN(Database!CL56)*2-12)</f>
        <v>n.r.</v>
      </c>
      <c r="CP56" s="8" t="str">
        <f ca="1">OFFSET(Database!$F56,0,COLUMN(Database!CM56)*2-12)</f>
        <v>n.r.</v>
      </c>
      <c r="CQ56" s="8" t="str">
        <f ca="1">OFFSET(Database!$F56,0,COLUMN(Database!CN56)*2-12)</f>
        <v>n.r.</v>
      </c>
      <c r="CR56" s="8" t="str">
        <f ca="1">OFFSET(Database!$F56,0,COLUMN(Database!CO56)*2-12)</f>
        <v>n.r.</v>
      </c>
      <c r="CS56" s="8" t="str">
        <f ca="1">OFFSET(Database!$F56,0,COLUMN(Database!CP56)*2-12)</f>
        <v>n.r.</v>
      </c>
      <c r="CT56" s="8" t="str">
        <f ca="1">OFFSET(Database!$F56,0,COLUMN(Database!CQ56)*2-12)</f>
        <v>n.r.</v>
      </c>
      <c r="CU56" s="8" t="str">
        <f ca="1">OFFSET(Database!$F56,0,COLUMN(Database!CR56)*2-12)</f>
        <v>n.r.</v>
      </c>
      <c r="CV56" s="8" t="str">
        <f ca="1">OFFSET(Database!$F56,0,COLUMN(Database!CS56)*2-12)</f>
        <v>n.r.</v>
      </c>
      <c r="CW56" s="8" t="str">
        <f ca="1">OFFSET(Database!$F56,0,COLUMN(Database!CT56)*2-12)</f>
        <v>n.r.</v>
      </c>
      <c r="CX56" s="8" t="str">
        <f ca="1">OFFSET(Database!$F56,0,COLUMN(Database!CU56)*2-12)</f>
        <v>n.r.</v>
      </c>
      <c r="CY56" s="8" t="str">
        <f ca="1">OFFSET(Database!$F56,0,COLUMN(Database!CV56)*2-12)</f>
        <v>n.r.</v>
      </c>
      <c r="CZ56" s="8" t="str">
        <f ca="1">OFFSET(Database!$F56,0,COLUMN(Database!CW56)*2-12)</f>
        <v>n.r.</v>
      </c>
      <c r="DA56" s="8" t="str">
        <f ca="1">OFFSET(Database!$F56,0,COLUMN(Database!CX56)*2-12)</f>
        <v>n.r.</v>
      </c>
      <c r="DB56" s="8" t="str">
        <f ca="1">OFFSET(Database!$F56,0,COLUMN(Database!CY56)*2-12)</f>
        <v>n.r.</v>
      </c>
      <c r="DC56" s="8" t="str">
        <f ca="1">OFFSET(Database!$F56,0,COLUMN(Database!CZ56)*2-12)</f>
        <v>n.r.</v>
      </c>
      <c r="DD56" s="8" t="str">
        <f ca="1">OFFSET(Database!$F56,0,COLUMN(Database!DA56)*2-12)</f>
        <v>n.r.</v>
      </c>
      <c r="DE56" s="8" t="str">
        <f ca="1">OFFSET(Database!$F56,0,COLUMN(Database!DB56)*2-12)</f>
        <v>n.r.</v>
      </c>
      <c r="DF56" s="8" t="str">
        <f ca="1">OFFSET(Database!$F56,0,COLUMN(Database!DC56)*2-12)</f>
        <v>n.r.</v>
      </c>
      <c r="DG56" s="8" t="str">
        <f ca="1">OFFSET(Database!$F56,0,COLUMN(Database!DD56)*2-12)</f>
        <v>n.r.</v>
      </c>
      <c r="DH56" s="8" t="str">
        <f ca="1">OFFSET(Database!$F56,0,COLUMN(Database!DE56)*2-12)</f>
        <v>n.r.</v>
      </c>
      <c r="DI56" s="8" t="str">
        <f ca="1">OFFSET(Database!$F56,0,COLUMN(Database!DF56)*2-12)</f>
        <v>n.r.</v>
      </c>
      <c r="DJ56" s="8" t="str">
        <f ca="1">OFFSET(Database!$F56,0,COLUMN(Database!DG56)*2-12)</f>
        <v>n.r.</v>
      </c>
      <c r="DK56" s="8" t="str">
        <f ca="1">OFFSET(Database!$F56,0,COLUMN(Database!DH56)*2-12)</f>
        <v>n.r.</v>
      </c>
      <c r="DL56" s="8" t="str">
        <f ca="1">OFFSET(Database!$F56,0,COLUMN(Database!DI56)*2-12)</f>
        <v>n.r.</v>
      </c>
      <c r="DM56" s="8" t="str">
        <f ca="1">OFFSET(Database!$F56,0,COLUMN(Database!DJ56)*2-12)</f>
        <v>n.r.</v>
      </c>
      <c r="DN56" s="8" t="str">
        <f ca="1">OFFSET(Database!$F56,0,COLUMN(Database!DK56)*2-12)</f>
        <v>n.r.</v>
      </c>
      <c r="DO56" s="8" t="str">
        <f ca="1">OFFSET(Database!$F56,0,COLUMN(Database!DL56)*2-12)</f>
        <v>n.r.</v>
      </c>
      <c r="DP56" s="8" t="str">
        <f ca="1">OFFSET(Database!$F56,0,COLUMN(Database!DM56)*2-12)</f>
        <v>n.r.</v>
      </c>
      <c r="DQ56" s="8" t="str">
        <f ca="1">OFFSET(Database!$F56,0,COLUMN(Database!DN56)*2-12)</f>
        <v>n.r.</v>
      </c>
      <c r="DR56" s="8" t="str">
        <f ca="1">OFFSET(Database!$F56,0,COLUMN(Database!DO56)*2-12)</f>
        <v>n.r.</v>
      </c>
      <c r="DS56" s="8" t="str">
        <f ca="1">OFFSET(Database!$F56,0,COLUMN(Database!DP56)*2-12)</f>
        <v>n.r.</v>
      </c>
      <c r="DT56" s="8" t="str">
        <f ca="1">OFFSET(Database!$F56,0,COLUMN(Database!DQ56)*2-12)</f>
        <v>n.r.</v>
      </c>
      <c r="DU56" s="8" t="str">
        <f ca="1">OFFSET(Database!$F56,0,COLUMN(Database!DR56)*2-12)</f>
        <v>n.r.</v>
      </c>
      <c r="DV56" s="8" t="str">
        <f ca="1">OFFSET(Database!$F56,0,COLUMN(Database!DS56)*2-12)</f>
        <v>n.r.</v>
      </c>
      <c r="DW56" s="8" t="str">
        <f ca="1">OFFSET(Database!$F56,0,COLUMN(Database!DT56)*2-12)</f>
        <v>n.r.</v>
      </c>
      <c r="DX56" s="8" t="str">
        <f ca="1">OFFSET(Database!$F56,0,COLUMN(Database!DU56)*2-12)</f>
        <v>n.r.</v>
      </c>
      <c r="DY56" s="8" t="str">
        <f ca="1">OFFSET(Database!$F56,0,COLUMN(Database!DV56)*2-12)</f>
        <v>n.r.</v>
      </c>
      <c r="DZ56" s="8" t="str">
        <f ca="1">OFFSET(Database!$F56,0,COLUMN(Database!DW56)*2-12)</f>
        <v>n.r.</v>
      </c>
      <c r="EA56" s="8" t="str">
        <f ca="1">OFFSET(Database!$F56,0,COLUMN(Database!DX56)*2-12)</f>
        <v>n.r.</v>
      </c>
      <c r="EB56" s="8" t="str">
        <f ca="1">OFFSET(Database!$F56,0,COLUMN(Database!DY56)*2-12)</f>
        <v>n.r.</v>
      </c>
      <c r="EC56" s="8" t="str">
        <f ca="1">OFFSET(Database!$F56,0,COLUMN(Database!DZ56)*2-12)</f>
        <v>n.r.</v>
      </c>
      <c r="ED56" s="8" t="str">
        <f ca="1">OFFSET(Database!$F56,0,COLUMN(Database!EA56)*2-12)</f>
        <v>n.r.</v>
      </c>
      <c r="EE56" s="8" t="str">
        <f ca="1">OFFSET(Database!$F56,0,COLUMN(Database!EB56)*2-12)</f>
        <v>n.r.</v>
      </c>
      <c r="EF56" s="8" t="str">
        <f ca="1">OFFSET(Database!$F56,0,COLUMN(Database!EC56)*2-12)</f>
        <v>n.r.</v>
      </c>
      <c r="EG56" s="8" t="str">
        <f ca="1">OFFSET(Database!$F56,0,COLUMN(Database!ED56)*2-12)</f>
        <v>n.r.</v>
      </c>
      <c r="EH56" s="8" t="str">
        <f ca="1">OFFSET(Database!$F56,0,COLUMN(Database!EE56)*2-12)</f>
        <v>n.r.</v>
      </c>
      <c r="EI56" s="8" t="str">
        <f ca="1">OFFSET(Database!$F56,0,COLUMN(Database!EF56)*2-12)</f>
        <v>n.r.</v>
      </c>
      <c r="EJ56" s="8" t="str">
        <f ca="1">OFFSET(Database!$F56,0,COLUMN(Database!EG56)*2-12)</f>
        <v>n.r.</v>
      </c>
      <c r="EK56" s="8" t="str">
        <f ca="1">OFFSET(Database!$F56,0,COLUMN(Database!EH56)*2-12)</f>
        <v>n.r.</v>
      </c>
      <c r="EL56" s="8" t="str">
        <f ca="1">OFFSET(Database!$F56,0,COLUMN(Database!EI56)*2-12)</f>
        <v>n.r.</v>
      </c>
      <c r="EM56" s="8" t="str">
        <f ca="1">OFFSET(Database!$F56,0,COLUMN(Database!EJ56)*2-12)</f>
        <v>n.r.</v>
      </c>
      <c r="EN56" s="8" t="str">
        <f ca="1">OFFSET(Database!$F56,0,COLUMN(Database!EK56)*2-12)</f>
        <v>n.r.</v>
      </c>
      <c r="EO56" s="8" t="str">
        <f ca="1">OFFSET(Database!$F56,0,COLUMN(Database!EL56)*2-12)</f>
        <v>n.r.</v>
      </c>
      <c r="EP56" s="8" t="str">
        <f ca="1">OFFSET(Database!$F56,0,COLUMN(Database!EM56)*2-12)</f>
        <v>n.r.</v>
      </c>
      <c r="EQ56" s="8" t="str">
        <f ca="1">OFFSET(Database!$F56,0,COLUMN(Database!EN56)*2-12)</f>
        <v>n.r.</v>
      </c>
      <c r="ER56" s="8" t="str">
        <f ca="1">OFFSET(Database!$F56,0,COLUMN(Database!EO56)*2-12)</f>
        <v>n.r.</v>
      </c>
      <c r="ES56" s="8" t="str">
        <f ca="1">OFFSET(Database!$F56,0,COLUMN(Database!EP56)*2-12)</f>
        <v>n.r.</v>
      </c>
      <c r="ET56" s="8" t="str">
        <f ca="1">OFFSET(Database!$F56,0,COLUMN(Database!EQ56)*2-12)</f>
        <v>n.r.</v>
      </c>
      <c r="EU56" s="8" t="str">
        <f ca="1">OFFSET(Database!$F56,0,COLUMN(Database!ER56)*2-12)</f>
        <v>n.r.</v>
      </c>
      <c r="EV56" s="8" t="str">
        <f ca="1">OFFSET(Database!$F56,0,COLUMN(Database!ES56)*2-12)</f>
        <v>n.r.</v>
      </c>
      <c r="EW56" s="8" t="str">
        <f ca="1">OFFSET(Database!$F56,0,COLUMN(Database!ET56)*2-12)</f>
        <v>n.r.</v>
      </c>
      <c r="EX56" s="8" t="str">
        <f ca="1">OFFSET(Database!$F56,0,COLUMN(Database!EU56)*2-12)</f>
        <v>n.r.</v>
      </c>
      <c r="EY56" s="8" t="str">
        <f ca="1">OFFSET(Database!$F56,0,COLUMN(Database!EV56)*2-12)</f>
        <v>n.r.</v>
      </c>
      <c r="EZ56" s="8" t="str">
        <f ca="1">OFFSET(Database!$F56,0,COLUMN(Database!EW56)*2-12)</f>
        <v>n.r.</v>
      </c>
      <c r="FA56" s="8" t="str">
        <f ca="1">OFFSET(Database!$F56,0,COLUMN(Database!EX56)*2-12)</f>
        <v>n.r.</v>
      </c>
      <c r="FB56" s="8" t="str">
        <f ca="1">OFFSET(Database!$F56,0,COLUMN(Database!EY56)*2-12)</f>
        <v>n.r.</v>
      </c>
      <c r="FC56" s="8" t="str">
        <f ca="1">OFFSET(Database!$F56,0,COLUMN(Database!EZ56)*2-12)</f>
        <v>n.r.</v>
      </c>
      <c r="FD56" s="8" t="str">
        <f ca="1">OFFSET(Database!$F56,0,COLUMN(Database!FA56)*2-12)</f>
        <v>n.r.</v>
      </c>
      <c r="FE56" s="8" t="str">
        <f ca="1">OFFSET(Database!$F56,0,COLUMN(Database!FB56)*2-12)</f>
        <v>n.r.</v>
      </c>
      <c r="FF56" s="8" t="str">
        <f ca="1">OFFSET(Database!$F56,0,COLUMN(Database!FC56)*2-12)</f>
        <v>n.r.</v>
      </c>
      <c r="FG56" s="8" t="str">
        <f ca="1">OFFSET(Database!$F56,0,COLUMN(Database!FD56)*2-12)</f>
        <v>n.r.</v>
      </c>
      <c r="FH56" s="8" t="str">
        <f ca="1">OFFSET(Database!$F56,0,COLUMN(Database!FE56)*2-12)</f>
        <v>n.r.</v>
      </c>
      <c r="FI56" s="8" t="str">
        <f ca="1">OFFSET(Database!$F56,0,COLUMN(Database!FF56)*2-12)</f>
        <v>n.r.</v>
      </c>
      <c r="FJ56" s="8" t="str">
        <f ca="1">OFFSET(Database!$F56,0,COLUMN(Database!FG56)*2-12)</f>
        <v>n.r.</v>
      </c>
      <c r="FK56" s="8" t="str">
        <f ca="1">OFFSET(Database!$F56,0,COLUMN(Database!FH56)*2-12)</f>
        <v>n.r.</v>
      </c>
      <c r="FL56" s="8" t="str">
        <f ca="1">OFFSET(Database!$F56,0,COLUMN(Database!FI56)*2-12)</f>
        <v>n.r.</v>
      </c>
      <c r="FM56" s="8" t="str">
        <f ca="1">OFFSET(Database!$F56,0,COLUMN(Database!FJ56)*2-12)</f>
        <v>n.r.</v>
      </c>
      <c r="FN56" s="8" t="str">
        <f ca="1">OFFSET(Database!$F56,0,COLUMN(Database!FK56)*2-12)</f>
        <v>n.r.</v>
      </c>
      <c r="FO56" s="8" t="str">
        <f ca="1">OFFSET(Database!$F56,0,COLUMN(Database!FL56)*2-12)</f>
        <v>n.r.</v>
      </c>
      <c r="FP56" s="8" t="str">
        <f ca="1">OFFSET(Database!$F56,0,COLUMN(Database!FM56)*2-12)</f>
        <v>n.r.</v>
      </c>
      <c r="FQ56" s="8" t="str">
        <f ca="1">OFFSET(Database!$F56,0,COLUMN(Database!FN56)*2-12)</f>
        <v>n.r.</v>
      </c>
      <c r="FR56" s="8" t="str">
        <f ca="1">OFFSET(Database!$F56,0,COLUMN(Database!FO56)*2-12)</f>
        <v>n.r.</v>
      </c>
      <c r="FS56" s="8" t="str">
        <f ca="1">OFFSET(Database!$F56,0,COLUMN(Database!FP56)*2-12)</f>
        <v>n.r.</v>
      </c>
      <c r="FT56" s="8" t="str">
        <f ca="1">OFFSET(Database!$F56,0,COLUMN(Database!FQ56)*2-12)</f>
        <v>n.r.</v>
      </c>
      <c r="FU56" s="8" t="str">
        <f ca="1">OFFSET(Database!$F56,0,COLUMN(Database!FR56)*2-12)</f>
        <v>n.r.</v>
      </c>
      <c r="FV56" s="8" t="str">
        <f ca="1">OFFSET(Database!$F56,0,COLUMN(Database!FS56)*2-12)</f>
        <v>n.r.</v>
      </c>
      <c r="FW56" s="8" t="str">
        <f ca="1">OFFSET(Database!$F56,0,COLUMN(Database!FT56)*2-12)</f>
        <v>n.r.</v>
      </c>
      <c r="FX56" s="8" t="str">
        <f ca="1">OFFSET(Database!$F56,0,COLUMN(Database!FU56)*2-12)</f>
        <v>n.r.</v>
      </c>
      <c r="FY56" s="8" t="str">
        <f ca="1">OFFSET(Database!$F56,0,COLUMN(Database!FV56)*2-12)</f>
        <v>n.r.</v>
      </c>
      <c r="FZ56" s="8" t="str">
        <f ca="1">OFFSET(Database!$F56,0,COLUMN(Database!FW56)*2-12)</f>
        <v>n.r.</v>
      </c>
      <c r="GA56" s="8" t="str">
        <f ca="1">OFFSET(Database!$F56,0,COLUMN(Database!FX56)*2-12)</f>
        <v>n.r.</v>
      </c>
      <c r="GB56" s="8" t="str">
        <f ca="1">OFFSET(Database!$F56,0,COLUMN(Database!FY56)*2-12)</f>
        <v>n.r.</v>
      </c>
      <c r="GC56" s="8" t="str">
        <f ca="1">OFFSET(Database!$F56,0,COLUMN(Database!FZ56)*2-12)</f>
        <v>n.r.</v>
      </c>
      <c r="GD56" s="8" t="str">
        <f ca="1">OFFSET(Database!$F56,0,COLUMN(Database!GA56)*2-12)</f>
        <v>n.r.</v>
      </c>
      <c r="GE56" s="8" t="str">
        <f ca="1">OFFSET(Database!$F56,0,COLUMN(Database!GB56)*2-12)</f>
        <v>n.r.</v>
      </c>
      <c r="GF56" s="8" t="str">
        <f ca="1">OFFSET(Database!$F56,0,COLUMN(Database!GC56)*2-12)</f>
        <v>n.r.</v>
      </c>
      <c r="GG56" s="8" t="str">
        <f ca="1">OFFSET(Database!$F56,0,COLUMN(Database!GD56)*2-12)</f>
        <v>n.r.</v>
      </c>
      <c r="GH56" s="8" t="str">
        <f ca="1">OFFSET(Database!$F56,0,COLUMN(Database!GE56)*2-12)</f>
        <v>n.r.</v>
      </c>
      <c r="GI56" s="8" t="str">
        <f ca="1">OFFSET(Database!$F56,0,COLUMN(Database!GF56)*2-12)</f>
        <v>n.r.</v>
      </c>
      <c r="GJ56" s="8" t="str">
        <f ca="1">OFFSET(Database!$F56,0,COLUMN(Database!GG56)*2-12)</f>
        <v>n.r.</v>
      </c>
      <c r="GK56" s="8" t="str">
        <f ca="1">OFFSET(Database!$F56,0,COLUMN(Database!GH56)*2-12)</f>
        <v>n.r.</v>
      </c>
      <c r="GL56" s="8" t="str">
        <f ca="1">OFFSET(Database!$F56,0,COLUMN(Database!GI56)*2-12)</f>
        <v>n.r.</v>
      </c>
      <c r="GM56" s="8" t="str">
        <f ca="1">OFFSET(Database!$F56,0,COLUMN(Database!GJ56)*2-12)</f>
        <v>n.r.</v>
      </c>
      <c r="GN56" s="8" t="str">
        <f ca="1">OFFSET(Database!$F56,0,COLUMN(Database!GK56)*2-12)</f>
        <v>n.r.</v>
      </c>
      <c r="GO56" s="8" t="str">
        <f ca="1">OFFSET(Database!$F56,0,COLUMN(Database!GL56)*2-12)</f>
        <v>n.r.</v>
      </c>
      <c r="GP56" s="8" t="str">
        <f ca="1">OFFSET(Database!$F56,0,COLUMN(Database!GM56)*2-12)</f>
        <v>n.r.</v>
      </c>
    </row>
    <row r="57" spans="1:198" x14ac:dyDescent="0.2">
      <c r="A57" s="50" t="str">
        <f>Database!A57</f>
        <v>D-3-amino-n-pentanoic acid</v>
      </c>
      <c r="B57" s="32" t="s">
        <v>1007</v>
      </c>
      <c r="C57" s="4" t="str">
        <f>Database!B57</f>
        <v>β</v>
      </c>
      <c r="D57" s="4" t="str">
        <f>Database!C57</f>
        <v>D</v>
      </c>
      <c r="E57" s="74">
        <f>Database!D57</f>
        <v>6</v>
      </c>
      <c r="F57" s="32" t="s">
        <v>937</v>
      </c>
      <c r="G57" s="4">
        <v>14731979</v>
      </c>
      <c r="H57" s="1">
        <f>Database!E57</f>
        <v>117.15</v>
      </c>
      <c r="I57" s="8" t="str">
        <f ca="1">OFFSET(Database!$F57,0,COLUMN(Database!F57)*2-12)</f>
        <v>n.r.</v>
      </c>
      <c r="J57" s="8" t="str">
        <f ca="1">OFFSET(Database!$F57,0,COLUMN(Database!G57)*2-12)</f>
        <v>n.r.</v>
      </c>
      <c r="K57" s="8" t="str">
        <f ca="1">OFFSET(Database!$F57,0,COLUMN(Database!H57)*2-12)</f>
        <v>n.r.</v>
      </c>
      <c r="L57" s="8" t="str">
        <f ca="1">OFFSET(Database!$F57,0,COLUMN(Database!I57)*2-12)</f>
        <v>n.r.</v>
      </c>
      <c r="M57" s="8" t="str">
        <f ca="1">OFFSET(Database!$F57,0,COLUMN(Database!J57)*2-12)</f>
        <v>n.r.</v>
      </c>
      <c r="N57" s="8" t="str">
        <f ca="1">OFFSET(Database!$F57,0,COLUMN(Database!K57)*2-12)</f>
        <v>n.r.</v>
      </c>
      <c r="O57" s="8" t="str">
        <f ca="1">OFFSET(Database!$F57,0,COLUMN(Database!L57)*2-12)</f>
        <v>n.r.</v>
      </c>
      <c r="P57" s="8" t="str">
        <f ca="1">OFFSET(Database!$F57,0,COLUMN(Database!M57)*2-12)</f>
        <v>n.r.</v>
      </c>
      <c r="Q57" s="8" t="str">
        <f ca="1">OFFSET(Database!$F57,0,COLUMN(Database!N57)*2-12)</f>
        <v>n.r.</v>
      </c>
      <c r="R57" s="8" t="str">
        <f ca="1">OFFSET(Database!$F57,0,COLUMN(Database!O57)*2-12)</f>
        <v>n.r.</v>
      </c>
      <c r="S57" s="8" t="str">
        <f ca="1">OFFSET(Database!$F57,0,COLUMN(Database!P57)*2-12)</f>
        <v>n.r.</v>
      </c>
      <c r="T57" s="8" t="str">
        <f ca="1">OFFSET(Database!$F57,0,COLUMN(Database!Q57)*2-12)</f>
        <v>n.r.</v>
      </c>
      <c r="U57" s="8" t="str">
        <f ca="1">OFFSET(Database!$F57,0,COLUMN(Database!R57)*2-12)</f>
        <v>n.r.</v>
      </c>
      <c r="V57" s="8" t="str">
        <f ca="1">OFFSET(Database!$F57,0,COLUMN(Database!S57)*2-12)</f>
        <v>n.r.</v>
      </c>
      <c r="W57" s="8" t="str">
        <f ca="1">OFFSET(Database!$F57,0,COLUMN(Database!T57)*2-12)</f>
        <v>n.r.</v>
      </c>
      <c r="X57" s="8" t="str">
        <f ca="1">OFFSET(Database!$F57,0,COLUMN(Database!U57)*2-12)</f>
        <v>n.r.</v>
      </c>
      <c r="Y57" s="8" t="str">
        <f ca="1">OFFSET(Database!$F57,0,COLUMN(Database!V57)*2-12)</f>
        <v>n.r.</v>
      </c>
      <c r="Z57" s="8" t="str">
        <f ca="1">OFFSET(Database!$F57,0,COLUMN(Database!W57)*2-12)</f>
        <v>n.r.</v>
      </c>
      <c r="AA57" s="8" t="str">
        <f ca="1">OFFSET(Database!$F57,0,COLUMN(Database!X57)*2-12)</f>
        <v>n.r.</v>
      </c>
      <c r="AB57" s="8" t="str">
        <f ca="1">OFFSET(Database!$F57,0,COLUMN(Database!Y57)*2-12)</f>
        <v>n.r.</v>
      </c>
      <c r="AC57" s="8" t="str">
        <f ca="1">OFFSET(Database!$F57,0,COLUMN(Database!Z57)*2-12)</f>
        <v>n.r.</v>
      </c>
      <c r="AD57" s="8" t="str">
        <f ca="1">OFFSET(Database!$F57,0,COLUMN(Database!AA57)*2-12)</f>
        <v>n.r.</v>
      </c>
      <c r="AE57" s="8" t="str">
        <f ca="1">OFFSET(Database!$F57,0,COLUMN(Database!AB57)*2-12)</f>
        <v>n.r.</v>
      </c>
      <c r="AF57" s="8" t="str">
        <f ca="1">OFFSET(Database!$F57,0,COLUMN(Database!AC57)*2-12)</f>
        <v>n.r.</v>
      </c>
      <c r="AG57" s="8" t="str">
        <f ca="1">OFFSET(Database!$F57,0,COLUMN(Database!AD57)*2-12)</f>
        <v>n.r.</v>
      </c>
      <c r="AH57" s="8" t="str">
        <f ca="1">OFFSET(Database!$F57,0,COLUMN(Database!AE57)*2-12)</f>
        <v>n.r.</v>
      </c>
      <c r="AI57" s="8" t="str">
        <f ca="1">OFFSET(Database!$F57,0,COLUMN(Database!AF57)*2-12)</f>
        <v>n.r.</v>
      </c>
      <c r="AJ57" s="8" t="str">
        <f ca="1">OFFSET(Database!$F57,0,COLUMN(Database!AG57)*2-12)</f>
        <v>n.r.</v>
      </c>
      <c r="AK57" s="8" t="str">
        <f ca="1">OFFSET(Database!$F57,0,COLUMN(Database!AH57)*2-12)</f>
        <v>n.r.</v>
      </c>
      <c r="AL57" s="8" t="str">
        <f ca="1">OFFSET(Database!$F57,0,COLUMN(Database!AI57)*2-12)</f>
        <v>n.r.</v>
      </c>
      <c r="AM57" s="8" t="str">
        <f ca="1">OFFSET(Database!$F57,0,COLUMN(Database!AJ57)*2-12)</f>
        <v>n.r.</v>
      </c>
      <c r="AN57" s="8" t="str">
        <f ca="1">OFFSET(Database!$F57,0,COLUMN(Database!AK57)*2-12)</f>
        <v>n.r.</v>
      </c>
      <c r="AO57" s="8" t="str">
        <f ca="1">OFFSET(Database!$F57,0,COLUMN(Database!AL57)*2-12)</f>
        <v>n.r.</v>
      </c>
      <c r="AP57" s="8" t="str">
        <f ca="1">OFFSET(Database!$F57,0,COLUMN(Database!AM57)*2-12)</f>
        <v>n.r.</v>
      </c>
      <c r="AQ57" s="8" t="str">
        <f ca="1">OFFSET(Database!$F57,0,COLUMN(Database!AN57)*2-12)</f>
        <v>n.r.</v>
      </c>
      <c r="AR57" s="8" t="str">
        <f ca="1">OFFSET(Database!$F57,0,COLUMN(Database!AO57)*2-12)</f>
        <v>n.r.</v>
      </c>
      <c r="AS57" s="8" t="str">
        <f ca="1">OFFSET(Database!$F57,0,COLUMN(Database!AP57)*2-12)</f>
        <v>n.r.</v>
      </c>
      <c r="AT57" s="8" t="str">
        <f ca="1">OFFSET(Database!$F57,0,COLUMN(Database!AQ57)*2-12)</f>
        <v>n.r.</v>
      </c>
      <c r="AU57" s="8" t="str">
        <f ca="1">OFFSET(Database!$F57,0,COLUMN(Database!AR57)*2-12)</f>
        <v>n.r.</v>
      </c>
      <c r="AV57" s="8" t="str">
        <f ca="1">OFFSET(Database!$F57,0,COLUMN(Database!AS57)*2-12)</f>
        <v>n.r.</v>
      </c>
      <c r="AW57" s="8" t="str">
        <f ca="1">OFFSET(Database!$F57,0,COLUMN(Database!AT57)*2-12)</f>
        <v>n.r.</v>
      </c>
      <c r="AX57" s="8" t="str">
        <f ca="1">OFFSET(Database!$F57,0,COLUMN(Database!AU57)*2-12)</f>
        <v>n.r.</v>
      </c>
      <c r="AY57" s="8" t="str">
        <f ca="1">OFFSET(Database!$F57,0,COLUMN(Database!AV57)*2-12)</f>
        <v>n.r.</v>
      </c>
      <c r="AZ57" s="8" t="str">
        <f ca="1">OFFSET(Database!$F57,0,COLUMN(Database!AW57)*2-12)</f>
        <v>n.r.</v>
      </c>
      <c r="BA57" s="8" t="str">
        <f ca="1">OFFSET(Database!$F57,0,COLUMN(Database!AX57)*2-12)</f>
        <v>n.r.</v>
      </c>
      <c r="BB57" s="8" t="str">
        <f ca="1">OFFSET(Database!$F57,0,COLUMN(Database!AY57)*2-12)</f>
        <v>n.r.</v>
      </c>
      <c r="BC57" s="8" t="str">
        <f ca="1">OFFSET(Database!$F57,0,COLUMN(Database!AZ57)*2-12)</f>
        <v>n.r.</v>
      </c>
      <c r="BD57" s="8" t="str">
        <f ca="1">OFFSET(Database!$F57,0,COLUMN(Database!BA57)*2-12)</f>
        <v>n.r.</v>
      </c>
      <c r="BE57" s="8" t="str">
        <f ca="1">OFFSET(Database!$F57,0,COLUMN(Database!BB57)*2-12)</f>
        <v>n.r.</v>
      </c>
      <c r="BF57" s="8" t="str">
        <f ca="1">OFFSET(Database!$F57,0,COLUMN(Database!BC57)*2-12)</f>
        <v>n.r.</v>
      </c>
      <c r="BG57" s="8" t="str">
        <f ca="1">OFFSET(Database!$F57,0,COLUMN(Database!BD57)*2-12)</f>
        <v>n.r.</v>
      </c>
      <c r="BH57" s="8" t="str">
        <f ca="1">OFFSET(Database!$F57,0,COLUMN(Database!BE57)*2-12)</f>
        <v>n.r.</v>
      </c>
      <c r="BI57" s="8" t="str">
        <f ca="1">OFFSET(Database!$F57,0,COLUMN(Database!BF57)*2-12)</f>
        <v>n.r.</v>
      </c>
      <c r="BJ57" s="8">
        <f ca="1">OFFSET(Database!$F57,0,COLUMN(Database!BG57)*2-12)</f>
        <v>0.30729833546734953</v>
      </c>
      <c r="BK57" s="8">
        <f ca="1">OFFSET(Database!$F57,0,COLUMN(Database!BH57)*2-12)</f>
        <v>0.4353393085787452</v>
      </c>
      <c r="BL57" s="8">
        <f ca="1">OFFSET(Database!$F57,0,COLUMN(Database!BI57)*2-12)</f>
        <v>0.40973111395646605</v>
      </c>
      <c r="BM57" s="8" t="str">
        <f ca="1">OFFSET(Database!$F57,0,COLUMN(Database!BJ57)*2-12)</f>
        <v>&lt;0.0009</v>
      </c>
      <c r="BN57" s="8">
        <f ca="1">OFFSET(Database!$F57,0,COLUMN(Database!BK57)*2-12)</f>
        <v>4.2680324370465213E-2</v>
      </c>
      <c r="BO57" s="8">
        <f ca="1">OFFSET(Database!$F57,0,COLUMN(Database!BL57)*2-12)</f>
        <v>6.8288518992744348E-3</v>
      </c>
      <c r="BP57" s="8" t="str">
        <f ca="1">OFFSET(Database!$F57,0,COLUMN(Database!BM57)*2-12)</f>
        <v>n.r.</v>
      </c>
      <c r="BQ57" s="8" t="str">
        <f ca="1">OFFSET(Database!$F57,0,COLUMN(Database!BN57)*2-12)</f>
        <v>n.r.</v>
      </c>
      <c r="BR57" s="8" t="str">
        <f ca="1">OFFSET(Database!$F57,0,COLUMN(Database!BO57)*2-12)</f>
        <v>n.r.</v>
      </c>
      <c r="BS57" s="8" t="str">
        <f ca="1">OFFSET(Database!$F57,0,COLUMN(Database!BP57)*2-12)</f>
        <v>n.r.</v>
      </c>
      <c r="BT57" s="8" t="str">
        <f ca="1">OFFSET(Database!$F57,0,COLUMN(Database!BQ57)*2-12)</f>
        <v>n.r.</v>
      </c>
      <c r="BU57" s="8" t="str">
        <f ca="1">OFFSET(Database!$F57,0,COLUMN(Database!BR57)*2-12)</f>
        <v>n.r.</v>
      </c>
      <c r="BV57" s="8" t="str">
        <f ca="1">OFFSET(Database!$F57,0,COLUMN(Database!BS57)*2-12)</f>
        <v>n.r.</v>
      </c>
      <c r="BW57" s="8" t="str">
        <f ca="1">OFFSET(Database!$F57,0,COLUMN(Database!BT57)*2-12)</f>
        <v>n.r.</v>
      </c>
      <c r="BX57" s="8" t="str">
        <f ca="1">OFFSET(Database!$F57,0,COLUMN(Database!BU57)*2-12)</f>
        <v>n.r.</v>
      </c>
      <c r="BY57" s="8" t="str">
        <f ca="1">OFFSET(Database!$F57,0,COLUMN(Database!BV57)*2-12)</f>
        <v>n.r.</v>
      </c>
      <c r="BZ57" s="8" t="str">
        <f ca="1">OFFSET(Database!$F57,0,COLUMN(Database!BW57)*2-12)</f>
        <v>n.r.</v>
      </c>
      <c r="CA57" s="8" t="str">
        <f ca="1">OFFSET(Database!$F57,0,COLUMN(Database!BX57)*2-12)</f>
        <v>n.r.</v>
      </c>
      <c r="CB57" s="8" t="str">
        <f ca="1">OFFSET(Database!$F57,0,COLUMN(Database!BY57)*2-12)</f>
        <v>n.r.</v>
      </c>
      <c r="CC57" s="8" t="str">
        <f ca="1">OFFSET(Database!$F57,0,COLUMN(Database!BZ57)*2-12)</f>
        <v>n.r.</v>
      </c>
      <c r="CD57" s="8" t="str">
        <f ca="1">OFFSET(Database!$F57,0,COLUMN(Database!CA57)*2-12)</f>
        <v>n.r.</v>
      </c>
      <c r="CE57" s="8" t="str">
        <f ca="1">OFFSET(Database!$F57,0,COLUMN(Database!CB57)*2-12)</f>
        <v>n.r.</v>
      </c>
      <c r="CF57" s="8" t="str">
        <f ca="1">OFFSET(Database!$F57,0,COLUMN(Database!CC57)*2-12)</f>
        <v>n.r.</v>
      </c>
      <c r="CG57" s="8" t="str">
        <f ca="1">OFFSET(Database!$F57,0,COLUMN(Database!CD57)*2-12)</f>
        <v>n.r.</v>
      </c>
      <c r="CH57" s="8" t="str">
        <f ca="1">OFFSET(Database!$F57,0,COLUMN(Database!CE57)*2-12)</f>
        <v>n.r.</v>
      </c>
      <c r="CI57" s="8" t="str">
        <f ca="1">OFFSET(Database!$F57,0,COLUMN(Database!CF57)*2-12)</f>
        <v>n.r.</v>
      </c>
      <c r="CJ57" s="8" t="str">
        <f ca="1">OFFSET(Database!$F57,0,COLUMN(Database!CG57)*2-12)</f>
        <v>n.r.</v>
      </c>
      <c r="CK57" s="8" t="str">
        <f ca="1">OFFSET(Database!$F57,0,COLUMN(Database!CH57)*2-12)</f>
        <v>n.r.</v>
      </c>
      <c r="CL57" s="8" t="str">
        <f ca="1">OFFSET(Database!$F57,0,COLUMN(Database!CI57)*2-12)</f>
        <v>n.r.</v>
      </c>
      <c r="CM57" s="8" t="str">
        <f ca="1">OFFSET(Database!$F57,0,COLUMN(Database!CJ57)*2-12)</f>
        <v>n.r.</v>
      </c>
      <c r="CN57" s="8" t="str">
        <f ca="1">OFFSET(Database!$F57,0,COLUMN(Database!CK57)*2-12)</f>
        <v>n.r.</v>
      </c>
      <c r="CO57" s="8" t="str">
        <f ca="1">OFFSET(Database!$F57,0,COLUMN(Database!CL57)*2-12)</f>
        <v>n.r.</v>
      </c>
      <c r="CP57" s="8" t="str">
        <f ca="1">OFFSET(Database!$F57,0,COLUMN(Database!CM57)*2-12)</f>
        <v>n.r.</v>
      </c>
      <c r="CQ57" s="8" t="str">
        <f ca="1">OFFSET(Database!$F57,0,COLUMN(Database!CN57)*2-12)</f>
        <v>n.r.</v>
      </c>
      <c r="CR57" s="8" t="str">
        <f ca="1">OFFSET(Database!$F57,0,COLUMN(Database!CO57)*2-12)</f>
        <v>n.r.</v>
      </c>
      <c r="CS57" s="8" t="str">
        <f ca="1">OFFSET(Database!$F57,0,COLUMN(Database!CP57)*2-12)</f>
        <v>n.r.</v>
      </c>
      <c r="CT57" s="8" t="str">
        <f ca="1">OFFSET(Database!$F57,0,COLUMN(Database!CQ57)*2-12)</f>
        <v>n.r.</v>
      </c>
      <c r="CU57" s="8" t="str">
        <f ca="1">OFFSET(Database!$F57,0,COLUMN(Database!CR57)*2-12)</f>
        <v>n.r.</v>
      </c>
      <c r="CV57" s="8" t="str">
        <f ca="1">OFFSET(Database!$F57,0,COLUMN(Database!CS57)*2-12)</f>
        <v>n.r.</v>
      </c>
      <c r="CW57" s="8" t="str">
        <f ca="1">OFFSET(Database!$F57,0,COLUMN(Database!CT57)*2-12)</f>
        <v>n.r.</v>
      </c>
      <c r="CX57" s="8" t="str">
        <f ca="1">OFFSET(Database!$F57,0,COLUMN(Database!CU57)*2-12)</f>
        <v>n.r.</v>
      </c>
      <c r="CY57" s="8" t="str">
        <f ca="1">OFFSET(Database!$F57,0,COLUMN(Database!CV57)*2-12)</f>
        <v>n.r.</v>
      </c>
      <c r="CZ57" s="8" t="str">
        <f ca="1">OFFSET(Database!$F57,0,COLUMN(Database!CW57)*2-12)</f>
        <v>n.r.</v>
      </c>
      <c r="DA57" s="8" t="str">
        <f ca="1">OFFSET(Database!$F57,0,COLUMN(Database!CX57)*2-12)</f>
        <v>n.r.</v>
      </c>
      <c r="DB57" s="8" t="str">
        <f ca="1">OFFSET(Database!$F57,0,COLUMN(Database!CY57)*2-12)</f>
        <v>&lt;0.06</v>
      </c>
      <c r="DC57" s="8" t="str">
        <f ca="1">OFFSET(Database!$F57,0,COLUMN(Database!CZ57)*2-12)</f>
        <v xml:space="preserve">&lt;0.06 </v>
      </c>
      <c r="DD57" s="8">
        <f ca="1">OFFSET(Database!$F57,0,COLUMN(Database!DA57)*2-12)</f>
        <v>7.3999999999999996E-2</v>
      </c>
      <c r="DE57" s="8" t="str">
        <f ca="1">OFFSET(Database!$F57,0,COLUMN(Database!DB57)*2-12)</f>
        <v>n.r.</v>
      </c>
      <c r="DF57" s="8" t="str">
        <f ca="1">OFFSET(Database!$F57,0,COLUMN(Database!DC57)*2-12)</f>
        <v>n.r.</v>
      </c>
      <c r="DG57" s="8" t="str">
        <f ca="1">OFFSET(Database!$F57,0,COLUMN(Database!DD57)*2-12)</f>
        <v>n.r.</v>
      </c>
      <c r="DH57" s="8" t="str">
        <f ca="1">OFFSET(Database!$F57,0,COLUMN(Database!DE57)*2-12)</f>
        <v>n.r.</v>
      </c>
      <c r="DI57" s="8" t="str">
        <f ca="1">OFFSET(Database!$F57,0,COLUMN(Database!DF57)*2-12)</f>
        <v>n.r.</v>
      </c>
      <c r="DJ57" s="8" t="str">
        <f ca="1">OFFSET(Database!$F57,0,COLUMN(Database!DG57)*2-12)</f>
        <v>n.r.</v>
      </c>
      <c r="DK57" s="8" t="str">
        <f ca="1">OFFSET(Database!$F57,0,COLUMN(Database!DH57)*2-12)</f>
        <v>n.r.</v>
      </c>
      <c r="DL57" s="8" t="str">
        <f ca="1">OFFSET(Database!$F57,0,COLUMN(Database!DI57)*2-12)</f>
        <v>n.r.</v>
      </c>
      <c r="DM57" s="8" t="str">
        <f ca="1">OFFSET(Database!$F57,0,COLUMN(Database!DJ57)*2-12)</f>
        <v>n.r.</v>
      </c>
      <c r="DN57" s="8" t="str">
        <f ca="1">OFFSET(Database!$F57,0,COLUMN(Database!DK57)*2-12)</f>
        <v>n.r.</v>
      </c>
      <c r="DO57" s="8" t="str">
        <f ca="1">OFFSET(Database!$F57,0,COLUMN(Database!DL57)*2-12)</f>
        <v>n.r.</v>
      </c>
      <c r="DP57" s="8" t="str">
        <f ca="1">OFFSET(Database!$F57,0,COLUMN(Database!DM57)*2-12)</f>
        <v>n.r.</v>
      </c>
      <c r="DQ57" s="8" t="str">
        <f ca="1">OFFSET(Database!$F57,0,COLUMN(Database!DN57)*2-12)</f>
        <v>n.r.</v>
      </c>
      <c r="DR57" s="8" t="str">
        <f ca="1">OFFSET(Database!$F57,0,COLUMN(Database!DO57)*2-12)</f>
        <v>n.r.</v>
      </c>
      <c r="DS57" s="8" t="str">
        <f ca="1">OFFSET(Database!$F57,0,COLUMN(Database!DP57)*2-12)</f>
        <v>n.r.</v>
      </c>
      <c r="DT57" s="8" t="str">
        <f ca="1">OFFSET(Database!$F57,0,COLUMN(Database!DQ57)*2-12)</f>
        <v>n.r.</v>
      </c>
      <c r="DU57" s="8" t="str">
        <f ca="1">OFFSET(Database!$F57,0,COLUMN(Database!DR57)*2-12)</f>
        <v>n.r.</v>
      </c>
      <c r="DV57" s="8" t="str">
        <f ca="1">OFFSET(Database!$F57,0,COLUMN(Database!DS57)*2-12)</f>
        <v>n.r.</v>
      </c>
      <c r="DW57" s="8" t="str">
        <f ca="1">OFFSET(Database!$F57,0,COLUMN(Database!DT57)*2-12)</f>
        <v>n.r.</v>
      </c>
      <c r="DX57" s="8" t="str">
        <f ca="1">OFFSET(Database!$F57,0,COLUMN(Database!DU57)*2-12)</f>
        <v>n.r.</v>
      </c>
      <c r="DY57" s="8" t="str">
        <f ca="1">OFFSET(Database!$F57,0,COLUMN(Database!DV57)*2-12)</f>
        <v>n.r.</v>
      </c>
      <c r="DZ57" s="8" t="str">
        <f ca="1">OFFSET(Database!$F57,0,COLUMN(Database!DW57)*2-12)</f>
        <v>n.r.</v>
      </c>
      <c r="EA57" s="8" t="str">
        <f ca="1">OFFSET(Database!$F57,0,COLUMN(Database!DX57)*2-12)</f>
        <v>n.r.</v>
      </c>
      <c r="EB57" s="8" t="str">
        <f ca="1">OFFSET(Database!$F57,0,COLUMN(Database!DY57)*2-12)</f>
        <v>n.r.</v>
      </c>
      <c r="EC57" s="8" t="str">
        <f ca="1">OFFSET(Database!$F57,0,COLUMN(Database!DZ57)*2-12)</f>
        <v>n.r.</v>
      </c>
      <c r="ED57" s="8" t="str">
        <f ca="1">OFFSET(Database!$F57,0,COLUMN(Database!EA57)*2-12)</f>
        <v>n.r</v>
      </c>
      <c r="EE57" s="8" t="str">
        <f ca="1">OFFSET(Database!$F57,0,COLUMN(Database!EB57)*2-12)</f>
        <v>n.r.</v>
      </c>
      <c r="EF57" s="8" t="str">
        <f ca="1">OFFSET(Database!$F57,0,COLUMN(Database!EC57)*2-12)</f>
        <v>n.r.</v>
      </c>
      <c r="EG57" s="8" t="str">
        <f ca="1">OFFSET(Database!$F57,0,COLUMN(Database!ED57)*2-12)</f>
        <v>n.r.</v>
      </c>
      <c r="EH57" s="8" t="str">
        <f ca="1">OFFSET(Database!$F57,0,COLUMN(Database!EE57)*2-12)</f>
        <v>n.r.</v>
      </c>
      <c r="EI57" s="8" t="str">
        <f ca="1">OFFSET(Database!$F57,0,COLUMN(Database!EF57)*2-12)</f>
        <v>n.r.</v>
      </c>
      <c r="EJ57" s="8" t="str">
        <f ca="1">OFFSET(Database!$F57,0,COLUMN(Database!EG57)*2-12)</f>
        <v>n.r.</v>
      </c>
      <c r="EK57" s="8" t="str">
        <f ca="1">OFFSET(Database!$F57,0,COLUMN(Database!EH57)*2-12)</f>
        <v>n.r.</v>
      </c>
      <c r="EL57" s="8" t="str">
        <f ca="1">OFFSET(Database!$F57,0,COLUMN(Database!EI57)*2-12)</f>
        <v>n.r.</v>
      </c>
      <c r="EM57" s="8" t="str">
        <f ca="1">OFFSET(Database!$F57,0,COLUMN(Database!EJ57)*2-12)</f>
        <v>n.r.</v>
      </c>
      <c r="EN57" s="8" t="str">
        <f ca="1">OFFSET(Database!$F57,0,COLUMN(Database!EK57)*2-12)</f>
        <v>n.r.</v>
      </c>
      <c r="EO57" s="8" t="str">
        <f ca="1">OFFSET(Database!$F57,0,COLUMN(Database!EL57)*2-12)</f>
        <v>n.r.</v>
      </c>
      <c r="EP57" s="8" t="str">
        <f ca="1">OFFSET(Database!$F57,0,COLUMN(Database!EM57)*2-12)</f>
        <v>n.r.</v>
      </c>
      <c r="EQ57" s="8" t="str">
        <f ca="1">OFFSET(Database!$F57,0,COLUMN(Database!EN57)*2-12)</f>
        <v>n.r.</v>
      </c>
      <c r="ER57" s="8" t="str">
        <f ca="1">OFFSET(Database!$F57,0,COLUMN(Database!EO57)*2-12)</f>
        <v>n.r.</v>
      </c>
      <c r="ES57" s="8" t="str">
        <f ca="1">OFFSET(Database!$F57,0,COLUMN(Database!EP57)*2-12)</f>
        <v>n.r.</v>
      </c>
      <c r="ET57" s="8" t="str">
        <f ca="1">OFFSET(Database!$F57,0,COLUMN(Database!EQ57)*2-12)</f>
        <v>n.r.</v>
      </c>
      <c r="EU57" s="8" t="str">
        <f ca="1">OFFSET(Database!$F57,0,COLUMN(Database!ER57)*2-12)</f>
        <v>n.r.</v>
      </c>
      <c r="EV57" s="8" t="str">
        <f ca="1">OFFSET(Database!$F57,0,COLUMN(Database!ES57)*2-12)</f>
        <v>n.r.</v>
      </c>
      <c r="EW57" s="8" t="str">
        <f ca="1">OFFSET(Database!$F57,0,COLUMN(Database!ET57)*2-12)</f>
        <v>n.r.</v>
      </c>
      <c r="EX57" s="8" t="str">
        <f ca="1">OFFSET(Database!$F57,0,COLUMN(Database!EU57)*2-12)</f>
        <v>n.r.</v>
      </c>
      <c r="EY57" s="8" t="str">
        <f ca="1">OFFSET(Database!$F57,0,COLUMN(Database!EV57)*2-12)</f>
        <v>n.r.</v>
      </c>
      <c r="EZ57" s="8" t="str">
        <f ca="1">OFFSET(Database!$F57,0,COLUMN(Database!EW57)*2-12)</f>
        <v>n.r.</v>
      </c>
      <c r="FA57" s="8" t="str">
        <f ca="1">OFFSET(Database!$F57,0,COLUMN(Database!EX57)*2-12)</f>
        <v>n.r.</v>
      </c>
      <c r="FB57" s="8" t="str">
        <f ca="1">OFFSET(Database!$F57,0,COLUMN(Database!EY57)*2-12)</f>
        <v>n.r.</v>
      </c>
      <c r="FC57" s="8" t="str">
        <f ca="1">OFFSET(Database!$F57,0,COLUMN(Database!EZ57)*2-12)</f>
        <v>n.r.</v>
      </c>
      <c r="FD57" s="8" t="str">
        <f ca="1">OFFSET(Database!$F57,0,COLUMN(Database!FA57)*2-12)</f>
        <v>n.r.</v>
      </c>
      <c r="FE57" s="8" t="str">
        <f ca="1">OFFSET(Database!$F57,0,COLUMN(Database!FB57)*2-12)</f>
        <v>n.r.</v>
      </c>
      <c r="FF57" s="8" t="str">
        <f ca="1">OFFSET(Database!$F57,0,COLUMN(Database!FC57)*2-12)</f>
        <v>n.r.</v>
      </c>
      <c r="FG57" s="8" t="str">
        <f ca="1">OFFSET(Database!$F57,0,COLUMN(Database!FD57)*2-12)</f>
        <v>n.r.</v>
      </c>
      <c r="FH57" s="8" t="str">
        <f ca="1">OFFSET(Database!$F57,0,COLUMN(Database!FE57)*2-12)</f>
        <v>n.r.</v>
      </c>
      <c r="FI57" s="8" t="str">
        <f ca="1">OFFSET(Database!$F57,0,COLUMN(Database!FF57)*2-12)</f>
        <v>n.r.</v>
      </c>
      <c r="FJ57" s="8" t="str">
        <f ca="1">OFFSET(Database!$F57,0,COLUMN(Database!FG57)*2-12)</f>
        <v>n.r.</v>
      </c>
      <c r="FK57" s="8" t="str">
        <f ca="1">OFFSET(Database!$F57,0,COLUMN(Database!FH57)*2-12)</f>
        <v>n.r.</v>
      </c>
      <c r="FL57" s="8" t="str">
        <f ca="1">OFFSET(Database!$F57,0,COLUMN(Database!FI57)*2-12)</f>
        <v>n.r.</v>
      </c>
      <c r="FM57" s="8" t="str">
        <f ca="1">OFFSET(Database!$F57,0,COLUMN(Database!FJ57)*2-12)</f>
        <v>n.r.</v>
      </c>
      <c r="FN57" s="8" t="str">
        <f ca="1">OFFSET(Database!$F57,0,COLUMN(Database!FK57)*2-12)</f>
        <v>n.r.</v>
      </c>
      <c r="FO57" s="8" t="str">
        <f ca="1">OFFSET(Database!$F57,0,COLUMN(Database!FL57)*2-12)</f>
        <v>n.r.</v>
      </c>
      <c r="FP57" s="8" t="str">
        <f ca="1">OFFSET(Database!$F57,0,COLUMN(Database!FM57)*2-12)</f>
        <v>n.r.</v>
      </c>
      <c r="FQ57" s="8" t="str">
        <f ca="1">OFFSET(Database!$F57,0,COLUMN(Database!FN57)*2-12)</f>
        <v>n.r.</v>
      </c>
      <c r="FR57" s="8" t="str">
        <f ca="1">OFFSET(Database!$F57,0,COLUMN(Database!FO57)*2-12)</f>
        <v>n.r.</v>
      </c>
      <c r="FS57" s="8" t="str">
        <f ca="1">OFFSET(Database!$F57,0,COLUMN(Database!FP57)*2-12)</f>
        <v>n.r.</v>
      </c>
      <c r="FT57" s="8" t="str">
        <f ca="1">OFFSET(Database!$F57,0,COLUMN(Database!FQ57)*2-12)</f>
        <v>n.r.</v>
      </c>
      <c r="FU57" s="8" t="str">
        <f ca="1">OFFSET(Database!$F57,0,COLUMN(Database!FR57)*2-12)</f>
        <v>n.r.</v>
      </c>
      <c r="FV57" s="8" t="str">
        <f ca="1">OFFSET(Database!$F57,0,COLUMN(Database!FS57)*2-12)</f>
        <v>n.r.</v>
      </c>
      <c r="FW57" s="8" t="str">
        <f ca="1">OFFSET(Database!$F57,0,COLUMN(Database!FT57)*2-12)</f>
        <v>n.r.</v>
      </c>
      <c r="FX57" s="8" t="str">
        <f ca="1">OFFSET(Database!$F57,0,COLUMN(Database!FU57)*2-12)</f>
        <v>n.r.</v>
      </c>
      <c r="FY57" s="8" t="str">
        <f ca="1">OFFSET(Database!$F57,0,COLUMN(Database!FV57)*2-12)</f>
        <v>n.r.</v>
      </c>
      <c r="FZ57" s="8" t="str">
        <f ca="1">OFFSET(Database!$F57,0,COLUMN(Database!FW57)*2-12)</f>
        <v>n.r.</v>
      </c>
      <c r="GA57" s="8" t="str">
        <f ca="1">OFFSET(Database!$F57,0,COLUMN(Database!FX57)*2-12)</f>
        <v>n.r.</v>
      </c>
      <c r="GB57" s="8" t="str">
        <f ca="1">OFFSET(Database!$F57,0,COLUMN(Database!FY57)*2-12)</f>
        <v>n.r.</v>
      </c>
      <c r="GC57" s="8" t="str">
        <f ca="1">OFFSET(Database!$F57,0,COLUMN(Database!FZ57)*2-12)</f>
        <v>n.r.</v>
      </c>
      <c r="GD57" s="8" t="str">
        <f ca="1">OFFSET(Database!$F57,0,COLUMN(Database!GA57)*2-12)</f>
        <v>n.r.</v>
      </c>
      <c r="GE57" s="8" t="str">
        <f ca="1">OFFSET(Database!$F57,0,COLUMN(Database!GB57)*2-12)</f>
        <v>n.r.</v>
      </c>
      <c r="GF57" s="8" t="str">
        <f ca="1">OFFSET(Database!$F57,0,COLUMN(Database!GC57)*2-12)</f>
        <v>n.r.</v>
      </c>
      <c r="GG57" s="8" t="str">
        <f ca="1">OFFSET(Database!$F57,0,COLUMN(Database!GD57)*2-12)</f>
        <v>n.r.</v>
      </c>
      <c r="GH57" s="8" t="str">
        <f ca="1">OFFSET(Database!$F57,0,COLUMN(Database!GE57)*2-12)</f>
        <v>n.r.</v>
      </c>
      <c r="GI57" s="8" t="str">
        <f ca="1">OFFSET(Database!$F57,0,COLUMN(Database!GF57)*2-12)</f>
        <v>n.r.</v>
      </c>
      <c r="GJ57" s="8" t="str">
        <f ca="1">OFFSET(Database!$F57,0,COLUMN(Database!GG57)*2-12)</f>
        <v>n.r.</v>
      </c>
      <c r="GK57" s="8" t="str">
        <f ca="1">OFFSET(Database!$F57,0,COLUMN(Database!GH57)*2-12)</f>
        <v>n.r.</v>
      </c>
      <c r="GL57" s="8" t="str">
        <f ca="1">OFFSET(Database!$F57,0,COLUMN(Database!GI57)*2-12)</f>
        <v>n.r.</v>
      </c>
      <c r="GM57" s="8" t="str">
        <f ca="1">OFFSET(Database!$F57,0,COLUMN(Database!GJ57)*2-12)</f>
        <v>n.r.</v>
      </c>
      <c r="GN57" s="8" t="str">
        <f ca="1">OFFSET(Database!$F57,0,COLUMN(Database!GK57)*2-12)</f>
        <v>n.r.</v>
      </c>
      <c r="GO57" s="8" t="str">
        <f ca="1">OFFSET(Database!$F57,0,COLUMN(Database!GL57)*2-12)</f>
        <v>n.r.</v>
      </c>
      <c r="GP57" s="8" t="str">
        <f ca="1">OFFSET(Database!$F57,0,COLUMN(Database!GM57)*2-12)</f>
        <v>n.r.</v>
      </c>
    </row>
    <row r="58" spans="1:198" x14ac:dyDescent="0.2">
      <c r="A58" s="50" t="str">
        <f>Database!A58</f>
        <v>L-3-amino-n-pentanoic acid</v>
      </c>
      <c r="B58" s="32" t="s">
        <v>1007</v>
      </c>
      <c r="C58" s="4" t="str">
        <f>Database!B58</f>
        <v>β</v>
      </c>
      <c r="D58" s="4" t="str">
        <f>Database!C58</f>
        <v>L</v>
      </c>
      <c r="E58" s="74">
        <f>Database!D58</f>
        <v>6</v>
      </c>
      <c r="F58" s="32" t="s">
        <v>936</v>
      </c>
      <c r="G58" s="4">
        <v>11320932</v>
      </c>
      <c r="H58" s="1">
        <f>Database!E58</f>
        <v>117.15</v>
      </c>
      <c r="I58" s="8" t="str">
        <f ca="1">OFFSET(Database!$F58,0,COLUMN(Database!F58)*2-12)</f>
        <v>n.r.</v>
      </c>
      <c r="J58" s="8" t="str">
        <f ca="1">OFFSET(Database!$F58,0,COLUMN(Database!G58)*2-12)</f>
        <v>n.r.</v>
      </c>
      <c r="K58" s="8" t="str">
        <f ca="1">OFFSET(Database!$F58,0,COLUMN(Database!H58)*2-12)</f>
        <v>n.r.</v>
      </c>
      <c r="L58" s="8" t="str">
        <f ca="1">OFFSET(Database!$F58,0,COLUMN(Database!I58)*2-12)</f>
        <v>n.r.</v>
      </c>
      <c r="M58" s="8" t="str">
        <f ca="1">OFFSET(Database!$F58,0,COLUMN(Database!J58)*2-12)</f>
        <v>n.r.</v>
      </c>
      <c r="N58" s="8" t="str">
        <f ca="1">OFFSET(Database!$F58,0,COLUMN(Database!K58)*2-12)</f>
        <v>n.r.</v>
      </c>
      <c r="O58" s="8" t="str">
        <f ca="1">OFFSET(Database!$F58,0,COLUMN(Database!L58)*2-12)</f>
        <v>n.r.</v>
      </c>
      <c r="P58" s="8" t="str">
        <f ca="1">OFFSET(Database!$F58,0,COLUMN(Database!M58)*2-12)</f>
        <v>n.r.</v>
      </c>
      <c r="Q58" s="8" t="str">
        <f ca="1">OFFSET(Database!$F58,0,COLUMN(Database!N58)*2-12)</f>
        <v>n.r.</v>
      </c>
      <c r="R58" s="8" t="str">
        <f ca="1">OFFSET(Database!$F58,0,COLUMN(Database!O58)*2-12)</f>
        <v>n.r.</v>
      </c>
      <c r="S58" s="8" t="str">
        <f ca="1">OFFSET(Database!$F58,0,COLUMN(Database!P58)*2-12)</f>
        <v>n.r.</v>
      </c>
      <c r="T58" s="8" t="str">
        <f ca="1">OFFSET(Database!$F58,0,COLUMN(Database!Q58)*2-12)</f>
        <v>n.r.</v>
      </c>
      <c r="U58" s="8" t="str">
        <f ca="1">OFFSET(Database!$F58,0,COLUMN(Database!R58)*2-12)</f>
        <v>n.r.</v>
      </c>
      <c r="V58" s="8" t="str">
        <f ca="1">OFFSET(Database!$F58,0,COLUMN(Database!S58)*2-12)</f>
        <v>n.r.</v>
      </c>
      <c r="W58" s="8" t="str">
        <f ca="1">OFFSET(Database!$F58,0,COLUMN(Database!T58)*2-12)</f>
        <v>n.r.</v>
      </c>
      <c r="X58" s="8" t="str">
        <f ca="1">OFFSET(Database!$F58,0,COLUMN(Database!U58)*2-12)</f>
        <v>n.r.</v>
      </c>
      <c r="Y58" s="8" t="str">
        <f ca="1">OFFSET(Database!$F58,0,COLUMN(Database!V58)*2-12)</f>
        <v>n.r.</v>
      </c>
      <c r="Z58" s="8" t="str">
        <f ca="1">OFFSET(Database!$F58,0,COLUMN(Database!W58)*2-12)</f>
        <v>n.r.</v>
      </c>
      <c r="AA58" s="8" t="str">
        <f ca="1">OFFSET(Database!$F58,0,COLUMN(Database!X58)*2-12)</f>
        <v>n.r.</v>
      </c>
      <c r="AB58" s="8" t="str">
        <f ca="1">OFFSET(Database!$F58,0,COLUMN(Database!Y58)*2-12)</f>
        <v>n.r.</v>
      </c>
      <c r="AC58" s="8" t="str">
        <f ca="1">OFFSET(Database!$F58,0,COLUMN(Database!Z58)*2-12)</f>
        <v>n.r.</v>
      </c>
      <c r="AD58" s="8" t="str">
        <f ca="1">OFFSET(Database!$F58,0,COLUMN(Database!AA58)*2-12)</f>
        <v>n.r.</v>
      </c>
      <c r="AE58" s="8" t="str">
        <f ca="1">OFFSET(Database!$F58,0,COLUMN(Database!AB58)*2-12)</f>
        <v>n.r.</v>
      </c>
      <c r="AF58" s="8" t="str">
        <f ca="1">OFFSET(Database!$F58,0,COLUMN(Database!AC58)*2-12)</f>
        <v>n.r.</v>
      </c>
      <c r="AG58" s="8" t="str">
        <f ca="1">OFFSET(Database!$F58,0,COLUMN(Database!AD58)*2-12)</f>
        <v>n.r.</v>
      </c>
      <c r="AH58" s="8" t="str">
        <f ca="1">OFFSET(Database!$F58,0,COLUMN(Database!AE58)*2-12)</f>
        <v>n.r.</v>
      </c>
      <c r="AI58" s="8" t="str">
        <f ca="1">OFFSET(Database!$F58,0,COLUMN(Database!AF58)*2-12)</f>
        <v>n.r.</v>
      </c>
      <c r="AJ58" s="8" t="str">
        <f ca="1">OFFSET(Database!$F58,0,COLUMN(Database!AG58)*2-12)</f>
        <v>n.r.</v>
      </c>
      <c r="AK58" s="8" t="str">
        <f ca="1">OFFSET(Database!$F58,0,COLUMN(Database!AH58)*2-12)</f>
        <v>n.r.</v>
      </c>
      <c r="AL58" s="8" t="str">
        <f ca="1">OFFSET(Database!$F58,0,COLUMN(Database!AI58)*2-12)</f>
        <v>n.r.</v>
      </c>
      <c r="AM58" s="8" t="str">
        <f ca="1">OFFSET(Database!$F58,0,COLUMN(Database!AJ58)*2-12)</f>
        <v>n.r.</v>
      </c>
      <c r="AN58" s="8" t="str">
        <f ca="1">OFFSET(Database!$F58,0,COLUMN(Database!AK58)*2-12)</f>
        <v>n.r.</v>
      </c>
      <c r="AO58" s="8" t="str">
        <f ca="1">OFFSET(Database!$F58,0,COLUMN(Database!AL58)*2-12)</f>
        <v>n.r.</v>
      </c>
      <c r="AP58" s="8" t="str">
        <f ca="1">OFFSET(Database!$F58,0,COLUMN(Database!AM58)*2-12)</f>
        <v>n.r.</v>
      </c>
      <c r="AQ58" s="8" t="str">
        <f ca="1">OFFSET(Database!$F58,0,COLUMN(Database!AN58)*2-12)</f>
        <v>n.r.</v>
      </c>
      <c r="AR58" s="8" t="str">
        <f ca="1">OFFSET(Database!$F58,0,COLUMN(Database!AO58)*2-12)</f>
        <v>n.r.</v>
      </c>
      <c r="AS58" s="8" t="str">
        <f ca="1">OFFSET(Database!$F58,0,COLUMN(Database!AP58)*2-12)</f>
        <v>n.r.</v>
      </c>
      <c r="AT58" s="8" t="str">
        <f ca="1">OFFSET(Database!$F58,0,COLUMN(Database!AQ58)*2-12)</f>
        <v>n.r.</v>
      </c>
      <c r="AU58" s="8" t="str">
        <f ca="1">OFFSET(Database!$F58,0,COLUMN(Database!AR58)*2-12)</f>
        <v>n.r.</v>
      </c>
      <c r="AV58" s="8" t="str">
        <f ca="1">OFFSET(Database!$F58,0,COLUMN(Database!AS58)*2-12)</f>
        <v>n.r.</v>
      </c>
      <c r="AW58" s="8" t="str">
        <f ca="1">OFFSET(Database!$F58,0,COLUMN(Database!AT58)*2-12)</f>
        <v>n.r.</v>
      </c>
      <c r="AX58" s="8" t="str">
        <f ca="1">OFFSET(Database!$F58,0,COLUMN(Database!AU58)*2-12)</f>
        <v>n.r.</v>
      </c>
      <c r="AY58" s="8" t="str">
        <f ca="1">OFFSET(Database!$F58,0,COLUMN(Database!AV58)*2-12)</f>
        <v>n.r.</v>
      </c>
      <c r="AZ58" s="8" t="str">
        <f ca="1">OFFSET(Database!$F58,0,COLUMN(Database!AW58)*2-12)</f>
        <v>n.r.</v>
      </c>
      <c r="BA58" s="8" t="str">
        <f ca="1">OFFSET(Database!$F58,0,COLUMN(Database!AX58)*2-12)</f>
        <v>n.r.</v>
      </c>
      <c r="BB58" s="8" t="str">
        <f ca="1">OFFSET(Database!$F58,0,COLUMN(Database!AY58)*2-12)</f>
        <v>n.r.</v>
      </c>
      <c r="BC58" s="8" t="str">
        <f ca="1">OFFSET(Database!$F58,0,COLUMN(Database!AZ58)*2-12)</f>
        <v>n.r.</v>
      </c>
      <c r="BD58" s="8" t="str">
        <f ca="1">OFFSET(Database!$F58,0,COLUMN(Database!BA58)*2-12)</f>
        <v>n.r.</v>
      </c>
      <c r="BE58" s="8" t="str">
        <f ca="1">OFFSET(Database!$F58,0,COLUMN(Database!BB58)*2-12)</f>
        <v>n.r.</v>
      </c>
      <c r="BF58" s="8" t="str">
        <f ca="1">OFFSET(Database!$F58,0,COLUMN(Database!BC58)*2-12)</f>
        <v>n.r.</v>
      </c>
      <c r="BG58" s="8" t="str">
        <f ca="1">OFFSET(Database!$F58,0,COLUMN(Database!BD58)*2-12)</f>
        <v>n.r.</v>
      </c>
      <c r="BH58" s="8" t="str">
        <f ca="1">OFFSET(Database!$F58,0,COLUMN(Database!BE58)*2-12)</f>
        <v>n.r.</v>
      </c>
      <c r="BI58" s="8" t="str">
        <f ca="1">OFFSET(Database!$F58,0,COLUMN(Database!BF58)*2-12)</f>
        <v>n.r.</v>
      </c>
      <c r="BJ58" s="8">
        <f ca="1">OFFSET(Database!$F58,0,COLUMN(Database!BG58)*2-12)</f>
        <v>0.72556551429790861</v>
      </c>
      <c r="BK58" s="8">
        <f ca="1">OFFSET(Database!$F58,0,COLUMN(Database!BH58)*2-12)</f>
        <v>0.3414425949637217</v>
      </c>
      <c r="BL58" s="8">
        <f ca="1">OFFSET(Database!$F58,0,COLUMN(Database!BI58)*2-12)</f>
        <v>0.25608194622279129</v>
      </c>
      <c r="BM58" s="8" t="str">
        <f ca="1">OFFSET(Database!$F58,0,COLUMN(Database!BJ58)*2-12)</f>
        <v>&lt;0.0009</v>
      </c>
      <c r="BN58" s="8">
        <f ca="1">OFFSET(Database!$F58,0,COLUMN(Database!BK58)*2-12)</f>
        <v>4.2680324370465213E-2</v>
      </c>
      <c r="BO58" s="8">
        <f ca="1">OFFSET(Database!$F58,0,COLUMN(Database!BL58)*2-12)</f>
        <v>5.1216389244558257E-3</v>
      </c>
      <c r="BP58" s="8" t="str">
        <f ca="1">OFFSET(Database!$F58,0,COLUMN(Database!BM58)*2-12)</f>
        <v>n.r.</v>
      </c>
      <c r="BQ58" s="8" t="str">
        <f ca="1">OFFSET(Database!$F58,0,COLUMN(Database!BN58)*2-12)</f>
        <v>n.r.</v>
      </c>
      <c r="BR58" s="8" t="str">
        <f ca="1">OFFSET(Database!$F58,0,COLUMN(Database!BO58)*2-12)</f>
        <v>n.r.</v>
      </c>
      <c r="BS58" s="8" t="str">
        <f ca="1">OFFSET(Database!$F58,0,COLUMN(Database!BP58)*2-12)</f>
        <v>n.r.</v>
      </c>
      <c r="BT58" s="8" t="str">
        <f ca="1">OFFSET(Database!$F58,0,COLUMN(Database!BQ58)*2-12)</f>
        <v>n.r.</v>
      </c>
      <c r="BU58" s="8" t="str">
        <f ca="1">OFFSET(Database!$F58,0,COLUMN(Database!BR58)*2-12)</f>
        <v>n.r.</v>
      </c>
      <c r="BV58" s="8" t="str">
        <f ca="1">OFFSET(Database!$F58,0,COLUMN(Database!BS58)*2-12)</f>
        <v>n.r.</v>
      </c>
      <c r="BW58" s="8" t="str">
        <f ca="1">OFFSET(Database!$F58,0,COLUMN(Database!BT58)*2-12)</f>
        <v>n.r.</v>
      </c>
      <c r="BX58" s="8" t="str">
        <f ca="1">OFFSET(Database!$F58,0,COLUMN(Database!BU58)*2-12)</f>
        <v>n.r.</v>
      </c>
      <c r="BY58" s="8" t="str">
        <f ca="1">OFFSET(Database!$F58,0,COLUMN(Database!BV58)*2-12)</f>
        <v>n.r.</v>
      </c>
      <c r="BZ58" s="8" t="str">
        <f ca="1">OFFSET(Database!$F58,0,COLUMN(Database!BW58)*2-12)</f>
        <v>n.r.</v>
      </c>
      <c r="CA58" s="8" t="str">
        <f ca="1">OFFSET(Database!$F58,0,COLUMN(Database!BX58)*2-12)</f>
        <v>n.r.</v>
      </c>
      <c r="CB58" s="8" t="str">
        <f ca="1">OFFSET(Database!$F58,0,COLUMN(Database!BY58)*2-12)</f>
        <v>n.r.</v>
      </c>
      <c r="CC58" s="8" t="str">
        <f ca="1">OFFSET(Database!$F58,0,COLUMN(Database!BZ58)*2-12)</f>
        <v>n.r.</v>
      </c>
      <c r="CD58" s="8" t="str">
        <f ca="1">OFFSET(Database!$F58,0,COLUMN(Database!CA58)*2-12)</f>
        <v>n.r.</v>
      </c>
      <c r="CE58" s="8" t="str">
        <f ca="1">OFFSET(Database!$F58,0,COLUMN(Database!CB58)*2-12)</f>
        <v>n.r.</v>
      </c>
      <c r="CF58" s="8" t="str">
        <f ca="1">OFFSET(Database!$F58,0,COLUMN(Database!CC58)*2-12)</f>
        <v>n.r.</v>
      </c>
      <c r="CG58" s="8" t="str">
        <f ca="1">OFFSET(Database!$F58,0,COLUMN(Database!CD58)*2-12)</f>
        <v>n.r.</v>
      </c>
      <c r="CH58" s="8" t="str">
        <f ca="1">OFFSET(Database!$F58,0,COLUMN(Database!CE58)*2-12)</f>
        <v>n.r.</v>
      </c>
      <c r="CI58" s="8" t="str">
        <f ca="1">OFFSET(Database!$F58,0,COLUMN(Database!CF58)*2-12)</f>
        <v>n.r.</v>
      </c>
      <c r="CJ58" s="8" t="str">
        <f ca="1">OFFSET(Database!$F58,0,COLUMN(Database!CG58)*2-12)</f>
        <v>n.r.</v>
      </c>
      <c r="CK58" s="8" t="str">
        <f ca="1">OFFSET(Database!$F58,0,COLUMN(Database!CH58)*2-12)</f>
        <v>n.r.</v>
      </c>
      <c r="CL58" s="8" t="str">
        <f ca="1">OFFSET(Database!$F58,0,COLUMN(Database!CI58)*2-12)</f>
        <v>n.r.</v>
      </c>
      <c r="CM58" s="8" t="str">
        <f ca="1">OFFSET(Database!$F58,0,COLUMN(Database!CJ58)*2-12)</f>
        <v>n.r.</v>
      </c>
      <c r="CN58" s="8" t="str">
        <f ca="1">OFFSET(Database!$F58,0,COLUMN(Database!CK58)*2-12)</f>
        <v>n.r.</v>
      </c>
      <c r="CO58" s="8" t="str">
        <f ca="1">OFFSET(Database!$F58,0,COLUMN(Database!CL58)*2-12)</f>
        <v>n.r.</v>
      </c>
      <c r="CP58" s="8" t="str">
        <f ca="1">OFFSET(Database!$F58,0,COLUMN(Database!CM58)*2-12)</f>
        <v>n.r.</v>
      </c>
      <c r="CQ58" s="8" t="str">
        <f ca="1">OFFSET(Database!$F58,0,COLUMN(Database!CN58)*2-12)</f>
        <v>n.r.</v>
      </c>
      <c r="CR58" s="8" t="str">
        <f ca="1">OFFSET(Database!$F58,0,COLUMN(Database!CO58)*2-12)</f>
        <v>n.r.</v>
      </c>
      <c r="CS58" s="8" t="str">
        <f ca="1">OFFSET(Database!$F58,0,COLUMN(Database!CP58)*2-12)</f>
        <v>n.r.</v>
      </c>
      <c r="CT58" s="8" t="str">
        <f ca="1">OFFSET(Database!$F58,0,COLUMN(Database!CQ58)*2-12)</f>
        <v>n.r.</v>
      </c>
      <c r="CU58" s="8" t="str">
        <f ca="1">OFFSET(Database!$F58,0,COLUMN(Database!CR58)*2-12)</f>
        <v>n.r.</v>
      </c>
      <c r="CV58" s="8" t="str">
        <f ca="1">OFFSET(Database!$F58,0,COLUMN(Database!CS58)*2-12)</f>
        <v>n.r.</v>
      </c>
      <c r="CW58" s="8" t="str">
        <f ca="1">OFFSET(Database!$F58,0,COLUMN(Database!CT58)*2-12)</f>
        <v>n.r.</v>
      </c>
      <c r="CX58" s="8" t="str">
        <f ca="1">OFFSET(Database!$F58,0,COLUMN(Database!CU58)*2-12)</f>
        <v>n.r.</v>
      </c>
      <c r="CY58" s="8" t="str">
        <f ca="1">OFFSET(Database!$F58,0,COLUMN(Database!CV58)*2-12)</f>
        <v>n.r.</v>
      </c>
      <c r="CZ58" s="8" t="str">
        <f ca="1">OFFSET(Database!$F58,0,COLUMN(Database!CW58)*2-12)</f>
        <v>n.r.</v>
      </c>
      <c r="DA58" s="8" t="str">
        <f ca="1">OFFSET(Database!$F58,0,COLUMN(Database!CX58)*2-12)</f>
        <v>n.r.</v>
      </c>
      <c r="DB58" s="8" t="str">
        <f ca="1">OFFSET(Database!$F58,0,COLUMN(Database!CY58)*2-12)</f>
        <v>&lt;0.08</v>
      </c>
      <c r="DC58" s="8" t="str">
        <f ca="1">OFFSET(Database!$F58,0,COLUMN(Database!CZ58)*2-12)</f>
        <v>&lt;0.08</v>
      </c>
      <c r="DD58" s="8">
        <f ca="1">OFFSET(Database!$F58,0,COLUMN(Database!DA58)*2-12)</f>
        <v>7.1999999999999995E-2</v>
      </c>
      <c r="DE58" s="8" t="str">
        <f ca="1">OFFSET(Database!$F58,0,COLUMN(Database!DB58)*2-12)</f>
        <v>n.r.</v>
      </c>
      <c r="DF58" s="8" t="str">
        <f ca="1">OFFSET(Database!$F58,0,COLUMN(Database!DC58)*2-12)</f>
        <v>n.r.</v>
      </c>
      <c r="DG58" s="8" t="str">
        <f ca="1">OFFSET(Database!$F58,0,COLUMN(Database!DD58)*2-12)</f>
        <v>n.r.</v>
      </c>
      <c r="DH58" s="8" t="str">
        <f ca="1">OFFSET(Database!$F58,0,COLUMN(Database!DE58)*2-12)</f>
        <v>n.r.</v>
      </c>
      <c r="DI58" s="8" t="str">
        <f ca="1">OFFSET(Database!$F58,0,COLUMN(Database!DF58)*2-12)</f>
        <v>n.r.</v>
      </c>
      <c r="DJ58" s="8" t="str">
        <f ca="1">OFFSET(Database!$F58,0,COLUMN(Database!DG58)*2-12)</f>
        <v>n.r.</v>
      </c>
      <c r="DK58" s="8" t="str">
        <f ca="1">OFFSET(Database!$F58,0,COLUMN(Database!DH58)*2-12)</f>
        <v>n.r.</v>
      </c>
      <c r="DL58" s="8" t="str">
        <f ca="1">OFFSET(Database!$F58,0,COLUMN(Database!DI58)*2-12)</f>
        <v>n.r.</v>
      </c>
      <c r="DM58" s="8" t="str">
        <f ca="1">OFFSET(Database!$F58,0,COLUMN(Database!DJ58)*2-12)</f>
        <v>n.r.</v>
      </c>
      <c r="DN58" s="8" t="str">
        <f ca="1">OFFSET(Database!$F58,0,COLUMN(Database!DK58)*2-12)</f>
        <v>n.r.</v>
      </c>
      <c r="DO58" s="8" t="str">
        <f ca="1">OFFSET(Database!$F58,0,COLUMN(Database!DL58)*2-12)</f>
        <v>n.r.</v>
      </c>
      <c r="DP58" s="8" t="str">
        <f ca="1">OFFSET(Database!$F58,0,COLUMN(Database!DM58)*2-12)</f>
        <v>n.r.</v>
      </c>
      <c r="DQ58" s="8" t="str">
        <f ca="1">OFFSET(Database!$F58,0,COLUMN(Database!DN58)*2-12)</f>
        <v>n.r.</v>
      </c>
      <c r="DR58" s="8" t="str">
        <f ca="1">OFFSET(Database!$F58,0,COLUMN(Database!DO58)*2-12)</f>
        <v>n.r.</v>
      </c>
      <c r="DS58" s="8" t="str">
        <f ca="1">OFFSET(Database!$F58,0,COLUMN(Database!DP58)*2-12)</f>
        <v>n.r.</v>
      </c>
      <c r="DT58" s="8" t="str">
        <f ca="1">OFFSET(Database!$F58,0,COLUMN(Database!DQ58)*2-12)</f>
        <v>n.r.</v>
      </c>
      <c r="DU58" s="8" t="str">
        <f ca="1">OFFSET(Database!$F58,0,COLUMN(Database!DR58)*2-12)</f>
        <v>n.r.</v>
      </c>
      <c r="DV58" s="8" t="str">
        <f ca="1">OFFSET(Database!$F58,0,COLUMN(Database!DS58)*2-12)</f>
        <v>n.r.</v>
      </c>
      <c r="DW58" s="8" t="str">
        <f ca="1">OFFSET(Database!$F58,0,COLUMN(Database!DT58)*2-12)</f>
        <v>n.r.</v>
      </c>
      <c r="DX58" s="8" t="str">
        <f ca="1">OFFSET(Database!$F58,0,COLUMN(Database!DU58)*2-12)</f>
        <v>n.r.</v>
      </c>
      <c r="DY58" s="8" t="str">
        <f ca="1">OFFSET(Database!$F58,0,COLUMN(Database!DV58)*2-12)</f>
        <v>n.r.</v>
      </c>
      <c r="DZ58" s="8" t="str">
        <f ca="1">OFFSET(Database!$F58,0,COLUMN(Database!DW58)*2-12)</f>
        <v>n.r.</v>
      </c>
      <c r="EA58" s="8" t="str">
        <f ca="1">OFFSET(Database!$F58,0,COLUMN(Database!DX58)*2-12)</f>
        <v>n.r.</v>
      </c>
      <c r="EB58" s="8" t="str">
        <f ca="1">OFFSET(Database!$F58,0,COLUMN(Database!DY58)*2-12)</f>
        <v>n.r.</v>
      </c>
      <c r="EC58" s="8" t="str">
        <f ca="1">OFFSET(Database!$F58,0,COLUMN(Database!DZ58)*2-12)</f>
        <v>n.r.</v>
      </c>
      <c r="ED58" s="8" t="str">
        <f ca="1">OFFSET(Database!$F58,0,COLUMN(Database!EA58)*2-12)</f>
        <v>n.r</v>
      </c>
      <c r="EE58" s="8" t="str">
        <f ca="1">OFFSET(Database!$F58,0,COLUMN(Database!EB58)*2-12)</f>
        <v>n.r.</v>
      </c>
      <c r="EF58" s="8" t="str">
        <f ca="1">OFFSET(Database!$F58,0,COLUMN(Database!EC58)*2-12)</f>
        <v>n.r.</v>
      </c>
      <c r="EG58" s="8" t="str">
        <f ca="1">OFFSET(Database!$F58,0,COLUMN(Database!ED58)*2-12)</f>
        <v>n.r.</v>
      </c>
      <c r="EH58" s="8" t="str">
        <f ca="1">OFFSET(Database!$F58,0,COLUMN(Database!EE58)*2-12)</f>
        <v>n.r.</v>
      </c>
      <c r="EI58" s="8" t="str">
        <f ca="1">OFFSET(Database!$F58,0,COLUMN(Database!EF58)*2-12)</f>
        <v>n.r.</v>
      </c>
      <c r="EJ58" s="8" t="str">
        <f ca="1">OFFSET(Database!$F58,0,COLUMN(Database!EG58)*2-12)</f>
        <v>n.r.</v>
      </c>
      <c r="EK58" s="8" t="str">
        <f ca="1">OFFSET(Database!$F58,0,COLUMN(Database!EH58)*2-12)</f>
        <v>n.r.</v>
      </c>
      <c r="EL58" s="8" t="str">
        <f ca="1">OFFSET(Database!$F58,0,COLUMN(Database!EI58)*2-12)</f>
        <v>n.r.</v>
      </c>
      <c r="EM58" s="8" t="str">
        <f ca="1">OFFSET(Database!$F58,0,COLUMN(Database!EJ58)*2-12)</f>
        <v>n.r.</v>
      </c>
      <c r="EN58" s="8" t="str">
        <f ca="1">OFFSET(Database!$F58,0,COLUMN(Database!EK58)*2-12)</f>
        <v>n.r.</v>
      </c>
      <c r="EO58" s="8" t="str">
        <f ca="1">OFFSET(Database!$F58,0,COLUMN(Database!EL58)*2-12)</f>
        <v>n.r.</v>
      </c>
      <c r="EP58" s="8" t="str">
        <f ca="1">OFFSET(Database!$F58,0,COLUMN(Database!EM58)*2-12)</f>
        <v>n.r.</v>
      </c>
      <c r="EQ58" s="8" t="str">
        <f ca="1">OFFSET(Database!$F58,0,COLUMN(Database!EN58)*2-12)</f>
        <v>n.r.</v>
      </c>
      <c r="ER58" s="8" t="str">
        <f ca="1">OFFSET(Database!$F58,0,COLUMN(Database!EO58)*2-12)</f>
        <v>n.r.</v>
      </c>
      <c r="ES58" s="8" t="str">
        <f ca="1">OFFSET(Database!$F58,0,COLUMN(Database!EP58)*2-12)</f>
        <v>n.r.</v>
      </c>
      <c r="ET58" s="8" t="str">
        <f ca="1">OFFSET(Database!$F58,0,COLUMN(Database!EQ58)*2-12)</f>
        <v>n.r.</v>
      </c>
      <c r="EU58" s="8" t="str">
        <f ca="1">OFFSET(Database!$F58,0,COLUMN(Database!ER58)*2-12)</f>
        <v>n.r.</v>
      </c>
      <c r="EV58" s="8" t="str">
        <f ca="1">OFFSET(Database!$F58,0,COLUMN(Database!ES58)*2-12)</f>
        <v>n.r.</v>
      </c>
      <c r="EW58" s="8" t="str">
        <f ca="1">OFFSET(Database!$F58,0,COLUMN(Database!ET58)*2-12)</f>
        <v>n.r.</v>
      </c>
      <c r="EX58" s="8" t="str">
        <f ca="1">OFFSET(Database!$F58,0,COLUMN(Database!EU58)*2-12)</f>
        <v>n.r.</v>
      </c>
      <c r="EY58" s="8" t="str">
        <f ca="1">OFFSET(Database!$F58,0,COLUMN(Database!EV58)*2-12)</f>
        <v>n.r.</v>
      </c>
      <c r="EZ58" s="8" t="str">
        <f ca="1">OFFSET(Database!$F58,0,COLUMN(Database!EW58)*2-12)</f>
        <v>n.r.</v>
      </c>
      <c r="FA58" s="8" t="str">
        <f ca="1">OFFSET(Database!$F58,0,COLUMN(Database!EX58)*2-12)</f>
        <v>n.r.</v>
      </c>
      <c r="FB58" s="8" t="str">
        <f ca="1">OFFSET(Database!$F58,0,COLUMN(Database!EY58)*2-12)</f>
        <v>n.r.</v>
      </c>
      <c r="FC58" s="8" t="str">
        <f ca="1">OFFSET(Database!$F58,0,COLUMN(Database!EZ58)*2-12)</f>
        <v>n.r.</v>
      </c>
      <c r="FD58" s="8" t="str">
        <f ca="1">OFFSET(Database!$F58,0,COLUMN(Database!FA58)*2-12)</f>
        <v>n.r.</v>
      </c>
      <c r="FE58" s="8" t="str">
        <f ca="1">OFFSET(Database!$F58,0,COLUMN(Database!FB58)*2-12)</f>
        <v>n.r.</v>
      </c>
      <c r="FF58" s="8" t="str">
        <f ca="1">OFFSET(Database!$F58,0,COLUMN(Database!FC58)*2-12)</f>
        <v>n.r.</v>
      </c>
      <c r="FG58" s="8" t="str">
        <f ca="1">OFFSET(Database!$F58,0,COLUMN(Database!FD58)*2-12)</f>
        <v>n.r.</v>
      </c>
      <c r="FH58" s="8" t="str">
        <f ca="1">OFFSET(Database!$F58,0,COLUMN(Database!FE58)*2-12)</f>
        <v>n.r.</v>
      </c>
      <c r="FI58" s="8" t="str">
        <f ca="1">OFFSET(Database!$F58,0,COLUMN(Database!FF58)*2-12)</f>
        <v>n.r.</v>
      </c>
      <c r="FJ58" s="8" t="str">
        <f ca="1">OFFSET(Database!$F58,0,COLUMN(Database!FG58)*2-12)</f>
        <v>n.r.</v>
      </c>
      <c r="FK58" s="8" t="str">
        <f ca="1">OFFSET(Database!$F58,0,COLUMN(Database!FH58)*2-12)</f>
        <v>n.r.</v>
      </c>
      <c r="FL58" s="8" t="str">
        <f ca="1">OFFSET(Database!$F58,0,COLUMN(Database!FI58)*2-12)</f>
        <v>n.r.</v>
      </c>
      <c r="FM58" s="8" t="str">
        <f ca="1">OFFSET(Database!$F58,0,COLUMN(Database!FJ58)*2-12)</f>
        <v>n.r.</v>
      </c>
      <c r="FN58" s="8" t="str">
        <f ca="1">OFFSET(Database!$F58,0,COLUMN(Database!FK58)*2-12)</f>
        <v>n.r.</v>
      </c>
      <c r="FO58" s="8" t="str">
        <f ca="1">OFFSET(Database!$F58,0,COLUMN(Database!FL58)*2-12)</f>
        <v>n.r.</v>
      </c>
      <c r="FP58" s="8" t="str">
        <f ca="1">OFFSET(Database!$F58,0,COLUMN(Database!FM58)*2-12)</f>
        <v>n.r.</v>
      </c>
      <c r="FQ58" s="8" t="str">
        <f ca="1">OFFSET(Database!$F58,0,COLUMN(Database!FN58)*2-12)</f>
        <v>n.r.</v>
      </c>
      <c r="FR58" s="8" t="str">
        <f ca="1">OFFSET(Database!$F58,0,COLUMN(Database!FO58)*2-12)</f>
        <v>n.r.</v>
      </c>
      <c r="FS58" s="8" t="str">
        <f ca="1">OFFSET(Database!$F58,0,COLUMN(Database!FP58)*2-12)</f>
        <v>n.r.</v>
      </c>
      <c r="FT58" s="8" t="str">
        <f ca="1">OFFSET(Database!$F58,0,COLUMN(Database!FQ58)*2-12)</f>
        <v>n.r.</v>
      </c>
      <c r="FU58" s="8" t="str">
        <f ca="1">OFFSET(Database!$F58,0,COLUMN(Database!FR58)*2-12)</f>
        <v>n.r.</v>
      </c>
      <c r="FV58" s="8" t="str">
        <f ca="1">OFFSET(Database!$F58,0,COLUMN(Database!FS58)*2-12)</f>
        <v>n.r.</v>
      </c>
      <c r="FW58" s="8" t="str">
        <f ca="1">OFFSET(Database!$F58,0,COLUMN(Database!FT58)*2-12)</f>
        <v>n.r.</v>
      </c>
      <c r="FX58" s="8" t="str">
        <f ca="1">OFFSET(Database!$F58,0,COLUMN(Database!FU58)*2-12)</f>
        <v>n.r.</v>
      </c>
      <c r="FY58" s="8" t="str">
        <f ca="1">OFFSET(Database!$F58,0,COLUMN(Database!FV58)*2-12)</f>
        <v>n.r.</v>
      </c>
      <c r="FZ58" s="8" t="str">
        <f ca="1">OFFSET(Database!$F58,0,COLUMN(Database!FW58)*2-12)</f>
        <v>n.r.</v>
      </c>
      <c r="GA58" s="8" t="str">
        <f ca="1">OFFSET(Database!$F58,0,COLUMN(Database!FX58)*2-12)</f>
        <v>n.r.</v>
      </c>
      <c r="GB58" s="8" t="str">
        <f ca="1">OFFSET(Database!$F58,0,COLUMN(Database!FY58)*2-12)</f>
        <v>n.r.</v>
      </c>
      <c r="GC58" s="8" t="str">
        <f ca="1">OFFSET(Database!$F58,0,COLUMN(Database!FZ58)*2-12)</f>
        <v>n.r.</v>
      </c>
      <c r="GD58" s="8" t="str">
        <f ca="1">OFFSET(Database!$F58,0,COLUMN(Database!GA58)*2-12)</f>
        <v>n.r.</v>
      </c>
      <c r="GE58" s="8" t="str">
        <f ca="1">OFFSET(Database!$F58,0,COLUMN(Database!GB58)*2-12)</f>
        <v>n.r.</v>
      </c>
      <c r="GF58" s="8" t="str">
        <f ca="1">OFFSET(Database!$F58,0,COLUMN(Database!GC58)*2-12)</f>
        <v>n.r.</v>
      </c>
      <c r="GG58" s="8" t="str">
        <f ca="1">OFFSET(Database!$F58,0,COLUMN(Database!GD58)*2-12)</f>
        <v>n.r.</v>
      </c>
      <c r="GH58" s="8" t="str">
        <f ca="1">OFFSET(Database!$F58,0,COLUMN(Database!GE58)*2-12)</f>
        <v>n.r.</v>
      </c>
      <c r="GI58" s="8" t="str">
        <f ca="1">OFFSET(Database!$F58,0,COLUMN(Database!GF58)*2-12)</f>
        <v>n.r.</v>
      </c>
      <c r="GJ58" s="8" t="str">
        <f ca="1">OFFSET(Database!$F58,0,COLUMN(Database!GG58)*2-12)</f>
        <v>n.r.</v>
      </c>
      <c r="GK58" s="8" t="str">
        <f ca="1">OFFSET(Database!$F58,0,COLUMN(Database!GH58)*2-12)</f>
        <v>n.r.</v>
      </c>
      <c r="GL58" s="8" t="str">
        <f ca="1">OFFSET(Database!$F58,0,COLUMN(Database!GI58)*2-12)</f>
        <v>n.r.</v>
      </c>
      <c r="GM58" s="8" t="str">
        <f ca="1">OFFSET(Database!$F58,0,COLUMN(Database!GJ58)*2-12)</f>
        <v>n.r.</v>
      </c>
      <c r="GN58" s="8" t="str">
        <f ca="1">OFFSET(Database!$F58,0,COLUMN(Database!GK58)*2-12)</f>
        <v>n.r.</v>
      </c>
      <c r="GO58" s="8" t="str">
        <f ca="1">OFFSET(Database!$F58,0,COLUMN(Database!GL58)*2-12)</f>
        <v>n.r.</v>
      </c>
      <c r="GP58" s="8" t="str">
        <f ca="1">OFFSET(Database!$F58,0,COLUMN(Database!GM58)*2-12)</f>
        <v>n.r.</v>
      </c>
    </row>
    <row r="59" spans="1:198" x14ac:dyDescent="0.2">
      <c r="A59" s="50" t="str">
        <f>Database!A59</f>
        <v>3-amino-n-pentanoic acid</v>
      </c>
      <c r="B59" s="32" t="s">
        <v>1007</v>
      </c>
      <c r="C59" s="4" t="str">
        <f>Database!B59</f>
        <v>β</v>
      </c>
      <c r="D59" s="4" t="str">
        <f>Database!C59</f>
        <v>Both</v>
      </c>
      <c r="E59" s="74">
        <f>Database!D59</f>
        <v>28</v>
      </c>
      <c r="F59" s="32" t="s">
        <v>1063</v>
      </c>
      <c r="G59" s="1" t="s">
        <v>1127</v>
      </c>
      <c r="H59" s="1">
        <f>Database!E59</f>
        <v>117.15</v>
      </c>
      <c r="I59" s="8">
        <f ca="1">OFFSET(Database!$F59,0,COLUMN(Database!F59)*2-12)</f>
        <v>8.9999999999999998E-4</v>
      </c>
      <c r="J59" s="8">
        <f ca="1">OFFSET(Database!$F59,0,COLUMN(Database!G59)*2-12)</f>
        <v>8.9999999999999998E-4</v>
      </c>
      <c r="K59" s="8">
        <f ca="1">OFFSET(Database!$F59,0,COLUMN(Database!H59)*2-12)</f>
        <v>4.5999999999999999E-3</v>
      </c>
      <c r="L59" s="8">
        <f ca="1">OFFSET(Database!$F59,0,COLUMN(Database!I59)*2-12)</f>
        <v>1.4E-3</v>
      </c>
      <c r="M59" s="8">
        <f ca="1">OFFSET(Database!$F59,0,COLUMN(Database!J59)*2-12)</f>
        <v>7.6E-3</v>
      </c>
      <c r="N59" s="8" t="str">
        <f ca="1">OFFSET(Database!$F59,0,COLUMN(Database!K59)*2-12)</f>
        <v>n.r.</v>
      </c>
      <c r="O59" s="8">
        <f ca="1">OFFSET(Database!$F59,0,COLUMN(Database!L59)*2-12)</f>
        <v>0.35</v>
      </c>
      <c r="P59" s="8">
        <f ca="1">OFFSET(Database!$F59,0,COLUMN(Database!M59)*2-12)</f>
        <v>0.37</v>
      </c>
      <c r="Q59" s="8">
        <f ca="1">OFFSET(Database!$F59,0,COLUMN(Database!N59)*2-12)</f>
        <v>1.5</v>
      </c>
      <c r="R59" s="8" t="str">
        <f ca="1">OFFSET(Database!$F59,0,COLUMN(Database!O59)*2-12)</f>
        <v>n.r.</v>
      </c>
      <c r="S59" s="8" t="str">
        <f ca="1">OFFSET(Database!$F59,0,COLUMN(Database!P59)*2-12)</f>
        <v>n.r.</v>
      </c>
      <c r="T59" s="8">
        <f ca="1">OFFSET(Database!$F59,0,COLUMN(Database!Q59)*2-12)</f>
        <v>17.7</v>
      </c>
      <c r="U59" s="8">
        <f ca="1">OFFSET(Database!$F59,0,COLUMN(Database!R59)*2-12)</f>
        <v>6.86</v>
      </c>
      <c r="V59" s="8">
        <f ca="1">OFFSET(Database!$F59,0,COLUMN(Database!S59)*2-12)</f>
        <v>5.0362782757148956E-2</v>
      </c>
      <c r="W59" s="8">
        <f ca="1">OFFSET(Database!$F59,0,COLUMN(Database!T59)*2-12)</f>
        <v>8.5360648740930425E-2</v>
      </c>
      <c r="X59" s="8">
        <f ca="1">OFFSET(Database!$F59,0,COLUMN(Database!U59)*2-12)</f>
        <v>1.3486982501067006</v>
      </c>
      <c r="Y59" s="8">
        <f ca="1">OFFSET(Database!$F59,0,COLUMN(Database!V59)*2-12)</f>
        <v>2.7</v>
      </c>
      <c r="Z59" s="8">
        <f ca="1">OFFSET(Database!$F59,0,COLUMN(Database!W59)*2-12)</f>
        <v>2.5</v>
      </c>
      <c r="AA59" s="8" t="str">
        <f ca="1">OFFSET(Database!$F59,0,COLUMN(Database!X59)*2-12)</f>
        <v>n.r.</v>
      </c>
      <c r="AB59" s="8" t="str">
        <f ca="1">OFFSET(Database!$F59,0,COLUMN(Database!Y59)*2-12)</f>
        <v>n.r.</v>
      </c>
      <c r="AC59" s="8">
        <f ca="1">OFFSET(Database!$F59,0,COLUMN(Database!Z59)*2-12)</f>
        <v>0.31583440034144256</v>
      </c>
      <c r="AD59" s="8">
        <f ca="1">OFFSET(Database!$F59,0,COLUMN(Database!AA59)*2-12)</f>
        <v>0.30729833546734953</v>
      </c>
      <c r="AE59" s="8">
        <f ca="1">OFFSET(Database!$F59,0,COLUMN(Database!AB59)*2-12)</f>
        <v>1.5194195475885617</v>
      </c>
      <c r="AF59" s="8">
        <f ca="1">OFFSET(Database!$F59,0,COLUMN(Database!AC59)*2-12)</f>
        <v>1.8</v>
      </c>
      <c r="AG59" s="8" t="str">
        <f ca="1">OFFSET(Database!$F59,0,COLUMN(Database!AD59)*2-12)</f>
        <v>n.d.</v>
      </c>
      <c r="AH59" s="8" t="str">
        <f ca="1">OFFSET(Database!$F59,0,COLUMN(Database!AE59)*2-12)</f>
        <v>n.r.</v>
      </c>
      <c r="AI59" s="8" t="str">
        <f ca="1">OFFSET(Database!$F59,0,COLUMN(Database!AF59)*2-12)</f>
        <v>n.r.</v>
      </c>
      <c r="AJ59" s="8" t="str">
        <f ca="1">OFFSET(Database!$F59,0,COLUMN(Database!AG59)*2-12)</f>
        <v>n.r.</v>
      </c>
      <c r="AK59" s="8" t="str">
        <f ca="1">OFFSET(Database!$F59,0,COLUMN(Database!AH59)*2-12)</f>
        <v>n.r.</v>
      </c>
      <c r="AL59" s="8" t="str">
        <f ca="1">OFFSET(Database!$F59,0,COLUMN(Database!AI59)*2-12)</f>
        <v>n.r.</v>
      </c>
      <c r="AM59" s="8">
        <f ca="1">OFFSET(Database!$F59,0,COLUMN(Database!AJ59)*2-12)</f>
        <v>0.27</v>
      </c>
      <c r="AN59" s="8">
        <f ca="1">OFFSET(Database!$F59,0,COLUMN(Database!AK59)*2-12)</f>
        <v>0.9</v>
      </c>
      <c r="AO59" s="8">
        <f ca="1">OFFSET(Database!$F59,0,COLUMN(Database!AL59)*2-12)</f>
        <v>1.5450277422108407</v>
      </c>
      <c r="AP59" s="8">
        <f ca="1">OFFSET(Database!$F59,0,COLUMN(Database!AM59)*2-12)</f>
        <v>0.37</v>
      </c>
      <c r="AQ59" s="8" t="str">
        <f ca="1">OFFSET(Database!$F59,0,COLUMN(Database!AN59)*2-12)</f>
        <v>&lt;0.01</v>
      </c>
      <c r="AR59" s="8" t="str">
        <f ca="1">OFFSET(Database!$F59,0,COLUMN(Database!AO59)*2-12)</f>
        <v>&lt;0.01</v>
      </c>
      <c r="AS59" s="8">
        <f ca="1">OFFSET(Database!$F59,0,COLUMN(Database!AP59)*2-12)</f>
        <v>3.0729833546734954E-2</v>
      </c>
      <c r="AT59" s="8" t="str">
        <f ca="1">OFFSET(Database!$F59,0,COLUMN(Database!AQ59)*2-12)</f>
        <v>&lt;0.008</v>
      </c>
      <c r="AU59" s="8" t="str">
        <f ca="1">OFFSET(Database!$F59,0,COLUMN(Database!AR59)*2-12)</f>
        <v>&lt;0.0009</v>
      </c>
      <c r="AV59" s="8" t="str">
        <f ca="1">OFFSET(Database!$F59,0,COLUMN(Database!AS59)*2-12)</f>
        <v>&lt;0.0009</v>
      </c>
      <c r="AW59" s="8">
        <f ca="1">OFFSET(Database!$F59,0,COLUMN(Database!AT59)*2-12)</f>
        <v>1.1096884336320955E-2</v>
      </c>
      <c r="AX59" s="8">
        <f ca="1">OFFSET(Database!$F59,0,COLUMN(Database!AU59)*2-12)</f>
        <v>9.3896713615023476E-3</v>
      </c>
      <c r="AY59" s="8" t="str">
        <f ca="1">OFFSET(Database!$F59,0,COLUMN(Database!AV59)*2-12)</f>
        <v>&lt;0.0009</v>
      </c>
      <c r="AZ59" s="8" t="str">
        <f ca="1">OFFSET(Database!$F59,0,COLUMN(Database!AW59)*2-12)</f>
        <v>&lt;0.0009</v>
      </c>
      <c r="BA59" s="8">
        <f ca="1">OFFSET(Database!$F59,0,COLUMN(Database!AX59)*2-12)</f>
        <v>1.5364916773367477E-2</v>
      </c>
      <c r="BB59" s="8" t="str">
        <f ca="1">OFFSET(Database!$F59,0,COLUMN(Database!AY59)*2-12)</f>
        <v>&lt;0.0009</v>
      </c>
      <c r="BC59" s="8" t="str">
        <f ca="1">OFFSET(Database!$F59,0,COLUMN(Database!AZ59)*2-12)</f>
        <v>&lt;0.0009</v>
      </c>
      <c r="BD59" s="8">
        <f ca="1">OFFSET(Database!$F59,0,COLUMN(Database!BA59)*2-12)</f>
        <v>4.2680324370465211E-3</v>
      </c>
      <c r="BE59" s="8" t="str">
        <f ca="1">OFFSET(Database!$F59,0,COLUMN(Database!BB59)*2-12)</f>
        <v>&lt;0.0009</v>
      </c>
      <c r="BF59" s="8" t="str">
        <f ca="1">OFFSET(Database!$F59,0,COLUMN(Database!BC59)*2-12)</f>
        <v>&lt;0.0009</v>
      </c>
      <c r="BG59" s="8" t="str">
        <f ca="1">OFFSET(Database!$F59,0,COLUMN(Database!BD59)*2-12)</f>
        <v>&lt;0.0009</v>
      </c>
      <c r="BH59" s="8" t="str">
        <f ca="1">OFFSET(Database!$F59,0,COLUMN(Database!BE59)*2-12)</f>
        <v>n.r.</v>
      </c>
      <c r="BI59" s="8" t="str">
        <f ca="1">OFFSET(Database!$F59,0,COLUMN(Database!BF59)*2-12)</f>
        <v>n.r.</v>
      </c>
      <c r="BJ59" s="8" t="str">
        <f ca="1">OFFSET(Database!$F59,0,COLUMN(Database!BG59)*2-12)</f>
        <v>n.r.</v>
      </c>
      <c r="BK59" s="8" t="str">
        <f ca="1">OFFSET(Database!$F59,0,COLUMN(Database!BH59)*2-12)</f>
        <v>n.r.</v>
      </c>
      <c r="BL59" s="8" t="str">
        <f ca="1">OFFSET(Database!$F59,0,COLUMN(Database!BI59)*2-12)</f>
        <v>n.r.</v>
      </c>
      <c r="BM59" s="8" t="str">
        <f ca="1">OFFSET(Database!$F59,0,COLUMN(Database!BJ59)*2-12)</f>
        <v>n.r.</v>
      </c>
      <c r="BN59" s="8" t="str">
        <f ca="1">OFFSET(Database!$F59,0,COLUMN(Database!BK59)*2-12)</f>
        <v>n.r.</v>
      </c>
      <c r="BO59" s="8" t="str">
        <f ca="1">OFFSET(Database!$F59,0,COLUMN(Database!BL59)*2-12)</f>
        <v>n.r.</v>
      </c>
      <c r="BP59" s="8" t="str">
        <f ca="1">OFFSET(Database!$F59,0,COLUMN(Database!BM59)*2-12)</f>
        <v>n.r.</v>
      </c>
      <c r="BQ59" s="8" t="str">
        <f ca="1">OFFSET(Database!$F59,0,COLUMN(Database!BN59)*2-12)</f>
        <v>&lt;0.0009</v>
      </c>
      <c r="BR59" s="8" t="str">
        <f ca="1">OFFSET(Database!$F59,0,COLUMN(Database!BO59)*2-12)</f>
        <v>&lt;0.0009</v>
      </c>
      <c r="BS59" s="8" t="str">
        <f ca="1">OFFSET(Database!$F59,0,COLUMN(Database!BP59)*2-12)</f>
        <v>&lt;0.001</v>
      </c>
      <c r="BT59" s="8" t="str">
        <f ca="1">OFFSET(Database!$F59,0,COLUMN(Database!BQ59)*2-12)</f>
        <v>&lt;0.001</v>
      </c>
      <c r="BU59" s="8" t="str">
        <f ca="1">OFFSET(Database!$F59,0,COLUMN(Database!BR59)*2-12)</f>
        <v>&lt;0.001</v>
      </c>
      <c r="BV59" s="8" t="str">
        <f ca="1">OFFSET(Database!$F59,0,COLUMN(Database!BS59)*2-12)</f>
        <v>&lt;0.001</v>
      </c>
      <c r="BW59" s="8" t="str">
        <f ca="1">OFFSET(Database!$F59,0,COLUMN(Database!BT59)*2-12)</f>
        <v>&lt;0.0001</v>
      </c>
      <c r="BX59" s="8" t="str">
        <f ca="1">OFFSET(Database!$F59,0,COLUMN(Database!BU59)*2-12)</f>
        <v>&lt;0.0001</v>
      </c>
      <c r="BY59" s="8" t="str">
        <f ca="1">OFFSET(Database!$F59,0,COLUMN(Database!BV59)*2-12)</f>
        <v>&lt;0.0001</v>
      </c>
      <c r="BZ59" s="8" t="str">
        <f ca="1">OFFSET(Database!$F59,0,COLUMN(Database!BW59)*2-12)</f>
        <v>n.r.</v>
      </c>
      <c r="CA59" s="8" t="str">
        <f ca="1">OFFSET(Database!$F59,0,COLUMN(Database!BX59)*2-12)</f>
        <v>n.r.</v>
      </c>
      <c r="CB59" s="8" t="str">
        <f ca="1">OFFSET(Database!$F59,0,COLUMN(Database!BY59)*2-12)</f>
        <v>n.r.</v>
      </c>
      <c r="CC59" s="8" t="str">
        <f ca="1">OFFSET(Database!$F59,0,COLUMN(Database!BZ59)*2-12)</f>
        <v>n.r.</v>
      </c>
      <c r="CD59" s="8" t="str">
        <f ca="1">OFFSET(Database!$F59,0,COLUMN(Database!CA59)*2-12)</f>
        <v>n.r.</v>
      </c>
      <c r="CE59" s="8" t="str">
        <f ca="1">OFFSET(Database!$F59,0,COLUMN(Database!CB59)*2-12)</f>
        <v>n.r.</v>
      </c>
      <c r="CF59" s="8" t="str">
        <f ca="1">OFFSET(Database!$F59,0,COLUMN(Database!CC59)*2-12)</f>
        <v>n.r.</v>
      </c>
      <c r="CG59" s="8" t="str">
        <f ca="1">OFFSET(Database!$F59,0,COLUMN(Database!CD59)*2-12)</f>
        <v>n.r.</v>
      </c>
      <c r="CH59" s="8" t="str">
        <f ca="1">OFFSET(Database!$F59,0,COLUMN(Database!CE59)*2-12)</f>
        <v>n.r.</v>
      </c>
      <c r="CI59" s="8" t="str">
        <f ca="1">OFFSET(Database!$F59,0,COLUMN(Database!CF59)*2-12)</f>
        <v>n.r.</v>
      </c>
      <c r="CJ59" s="8" t="str">
        <f ca="1">OFFSET(Database!$F59,0,COLUMN(Database!CG59)*2-12)</f>
        <v>n.r.</v>
      </c>
      <c r="CK59" s="8" t="str">
        <f ca="1">OFFSET(Database!$F59,0,COLUMN(Database!CH59)*2-12)</f>
        <v>n.r.</v>
      </c>
      <c r="CL59" s="8" t="str">
        <f ca="1">OFFSET(Database!$F59,0,COLUMN(Database!CI59)*2-12)</f>
        <v>n.r.</v>
      </c>
      <c r="CM59" s="8" t="str">
        <f ca="1">OFFSET(Database!$F59,0,COLUMN(Database!CJ59)*2-12)</f>
        <v>n.r.</v>
      </c>
      <c r="CN59" s="8" t="str">
        <f ca="1">OFFSET(Database!$F59,0,COLUMN(Database!CK59)*2-12)</f>
        <v>n.r.</v>
      </c>
      <c r="CO59" s="8" t="str">
        <f ca="1">OFFSET(Database!$F59,0,COLUMN(Database!CL59)*2-12)</f>
        <v>n.r.</v>
      </c>
      <c r="CP59" s="8" t="str">
        <f ca="1">OFFSET(Database!$F59,0,COLUMN(Database!CM59)*2-12)</f>
        <v>n.r.</v>
      </c>
      <c r="CQ59" s="8" t="str">
        <f ca="1">OFFSET(Database!$F59,0,COLUMN(Database!CN59)*2-12)</f>
        <v>n.r.</v>
      </c>
      <c r="CR59" s="8" t="str">
        <f ca="1">OFFSET(Database!$F59,0,COLUMN(Database!CO59)*2-12)</f>
        <v>n.r.</v>
      </c>
      <c r="CS59" s="8" t="str">
        <f ca="1">OFFSET(Database!$F59,0,COLUMN(Database!CP59)*2-12)</f>
        <v>n.r.</v>
      </c>
      <c r="CT59" s="8" t="str">
        <f ca="1">OFFSET(Database!$F59,0,COLUMN(Database!CQ59)*2-12)</f>
        <v>n.r.</v>
      </c>
      <c r="CU59" s="8" t="str">
        <f ca="1">OFFSET(Database!$F59,0,COLUMN(Database!CR59)*2-12)</f>
        <v>n.r.</v>
      </c>
      <c r="CV59" s="8" t="str">
        <f ca="1">OFFSET(Database!$F59,0,COLUMN(Database!CS59)*2-12)</f>
        <v>n.r.</v>
      </c>
      <c r="CW59" s="8" t="str">
        <f ca="1">OFFSET(Database!$F59,0,COLUMN(Database!CT59)*2-12)</f>
        <v>n.r.</v>
      </c>
      <c r="CX59" s="8" t="str">
        <f ca="1">OFFSET(Database!$F59,0,COLUMN(Database!CU59)*2-12)</f>
        <v>n.r.</v>
      </c>
      <c r="CY59" s="8" t="str">
        <f ca="1">OFFSET(Database!$F59,0,COLUMN(Database!CV59)*2-12)</f>
        <v>n.r.</v>
      </c>
      <c r="CZ59" s="8" t="str">
        <f ca="1">OFFSET(Database!$F59,0,COLUMN(Database!CW59)*2-12)</f>
        <v>n.r.</v>
      </c>
      <c r="DA59" s="8" t="str">
        <f ca="1">OFFSET(Database!$F59,0,COLUMN(Database!CX59)*2-12)</f>
        <v>n.r.</v>
      </c>
      <c r="DB59" s="8" t="str">
        <f ca="1">OFFSET(Database!$F59,0,COLUMN(Database!CY59)*2-12)</f>
        <v>&lt;0.06</v>
      </c>
      <c r="DC59" s="8" t="str">
        <f ca="1">OFFSET(Database!$F59,0,COLUMN(Database!CZ59)*2-12)</f>
        <v xml:space="preserve">&lt;0.06 </v>
      </c>
      <c r="DD59" s="8" t="str">
        <f ca="1">OFFSET(Database!$F59,0,COLUMN(Database!DA59)*2-12)</f>
        <v>n.r.</v>
      </c>
      <c r="DE59" s="8" t="str">
        <f ca="1">OFFSET(Database!$F59,0,COLUMN(Database!DB59)*2-12)</f>
        <v>n.r.</v>
      </c>
      <c r="DF59" s="8" t="str">
        <f ca="1">OFFSET(Database!$F59,0,COLUMN(Database!DC59)*2-12)</f>
        <v>n.r.</v>
      </c>
      <c r="DG59" s="8" t="str">
        <f ca="1">OFFSET(Database!$F59,0,COLUMN(Database!DD59)*2-12)</f>
        <v>n.r.</v>
      </c>
      <c r="DH59" s="8" t="str">
        <f ca="1">OFFSET(Database!$F59,0,COLUMN(Database!DE59)*2-12)</f>
        <v>n.r.</v>
      </c>
      <c r="DI59" s="8" t="str">
        <f ca="1">OFFSET(Database!$F59,0,COLUMN(Database!DF59)*2-12)</f>
        <v>n.r.</v>
      </c>
      <c r="DJ59" s="8" t="str">
        <f ca="1">OFFSET(Database!$F59,0,COLUMN(Database!DG59)*2-12)</f>
        <v>n.r.</v>
      </c>
      <c r="DK59" s="8" t="str">
        <f ca="1">OFFSET(Database!$F59,0,COLUMN(Database!DH59)*2-12)</f>
        <v>n.r.</v>
      </c>
      <c r="DL59" s="8" t="str">
        <f ca="1">OFFSET(Database!$F59,0,COLUMN(Database!DI59)*2-12)</f>
        <v>n.r.</v>
      </c>
      <c r="DM59" s="8" t="str">
        <f ca="1">OFFSET(Database!$F59,0,COLUMN(Database!DJ59)*2-12)</f>
        <v>n.r.</v>
      </c>
      <c r="DN59" s="8" t="str">
        <f ca="1">OFFSET(Database!$F59,0,COLUMN(Database!DK59)*2-12)</f>
        <v>n.r.</v>
      </c>
      <c r="DO59" s="8" t="str">
        <f ca="1">OFFSET(Database!$F59,0,COLUMN(Database!DL59)*2-12)</f>
        <v>n.r.</v>
      </c>
      <c r="DP59" s="8" t="str">
        <f ca="1">OFFSET(Database!$F59,0,COLUMN(Database!DM59)*2-12)</f>
        <v>n.r.</v>
      </c>
      <c r="DQ59" s="8" t="str">
        <f ca="1">OFFSET(Database!$F59,0,COLUMN(Database!DN59)*2-12)</f>
        <v>n.r.</v>
      </c>
      <c r="DR59" s="8" t="str">
        <f ca="1">OFFSET(Database!$F59,0,COLUMN(Database!DO59)*2-12)</f>
        <v>n.r.</v>
      </c>
      <c r="DS59" s="8" t="str">
        <f ca="1">OFFSET(Database!$F59,0,COLUMN(Database!DP59)*2-12)</f>
        <v>n.r.</v>
      </c>
      <c r="DT59" s="8" t="str">
        <f ca="1">OFFSET(Database!$F59,0,COLUMN(Database!DQ59)*2-12)</f>
        <v>n.r.</v>
      </c>
      <c r="DU59" s="8" t="str">
        <f ca="1">OFFSET(Database!$F59,0,COLUMN(Database!DR59)*2-12)</f>
        <v>n.r.</v>
      </c>
      <c r="DV59" s="8" t="str">
        <f ca="1">OFFSET(Database!$F59,0,COLUMN(Database!DS59)*2-12)</f>
        <v>n.r.</v>
      </c>
      <c r="DW59" s="8" t="str">
        <f ca="1">OFFSET(Database!$F59,0,COLUMN(Database!DT59)*2-12)</f>
        <v>n.r.</v>
      </c>
      <c r="DX59" s="8" t="str">
        <f ca="1">OFFSET(Database!$F59,0,COLUMN(Database!DU59)*2-12)</f>
        <v>n.r.</v>
      </c>
      <c r="DY59" s="8" t="str">
        <f ca="1">OFFSET(Database!$F59,0,COLUMN(Database!DV59)*2-12)</f>
        <v>n.r.</v>
      </c>
      <c r="DZ59" s="8" t="str">
        <f ca="1">OFFSET(Database!$F59,0,COLUMN(Database!DW59)*2-12)</f>
        <v>n.r.</v>
      </c>
      <c r="EA59" s="8" t="str">
        <f ca="1">OFFSET(Database!$F59,0,COLUMN(Database!DX59)*2-12)</f>
        <v>n.r.</v>
      </c>
      <c r="EB59" s="8" t="str">
        <f ca="1">OFFSET(Database!$F59,0,COLUMN(Database!DY59)*2-12)</f>
        <v>n.r.</v>
      </c>
      <c r="EC59" s="8" t="str">
        <f ca="1">OFFSET(Database!$F59,0,COLUMN(Database!DZ59)*2-12)</f>
        <v>n.r.</v>
      </c>
      <c r="ED59" s="8" t="str">
        <f ca="1">OFFSET(Database!$F59,0,COLUMN(Database!EA59)*2-12)</f>
        <v>n.r.</v>
      </c>
      <c r="EE59" s="8" t="str">
        <f ca="1">OFFSET(Database!$F59,0,COLUMN(Database!EB59)*2-12)</f>
        <v>n.r.</v>
      </c>
      <c r="EF59" s="8" t="str">
        <f ca="1">OFFSET(Database!$F59,0,COLUMN(Database!EC59)*2-12)</f>
        <v>n.r.</v>
      </c>
      <c r="EG59" s="8" t="str">
        <f ca="1">OFFSET(Database!$F59,0,COLUMN(Database!ED59)*2-12)</f>
        <v>n.r.</v>
      </c>
      <c r="EH59" s="8" t="str">
        <f ca="1">OFFSET(Database!$F59,0,COLUMN(Database!EE59)*2-12)</f>
        <v>n.r.</v>
      </c>
      <c r="EI59" s="8" t="str">
        <f ca="1">OFFSET(Database!$F59,0,COLUMN(Database!EF59)*2-12)</f>
        <v>n.r.</v>
      </c>
      <c r="EJ59" s="8" t="str">
        <f ca="1">OFFSET(Database!$F59,0,COLUMN(Database!EG59)*2-12)</f>
        <v>n.r.</v>
      </c>
      <c r="EK59" s="8" t="str">
        <f ca="1">OFFSET(Database!$F59,0,COLUMN(Database!EH59)*2-12)</f>
        <v>n.r.</v>
      </c>
      <c r="EL59" s="8" t="str">
        <f ca="1">OFFSET(Database!$F59,0,COLUMN(Database!EI59)*2-12)</f>
        <v>n.r.</v>
      </c>
      <c r="EM59" s="8" t="str">
        <f ca="1">OFFSET(Database!$F59,0,COLUMN(Database!EJ59)*2-12)</f>
        <v>n.r.</v>
      </c>
      <c r="EN59" s="8" t="str">
        <f ca="1">OFFSET(Database!$F59,0,COLUMN(Database!EK59)*2-12)</f>
        <v>n.r.</v>
      </c>
      <c r="EO59" s="8" t="str">
        <f ca="1">OFFSET(Database!$F59,0,COLUMN(Database!EL59)*2-12)</f>
        <v>n.r.</v>
      </c>
      <c r="EP59" s="8" t="str">
        <f ca="1">OFFSET(Database!$F59,0,COLUMN(Database!EM59)*2-12)</f>
        <v>n.r.</v>
      </c>
      <c r="EQ59" s="8" t="str">
        <f ca="1">OFFSET(Database!$F59,0,COLUMN(Database!EN59)*2-12)</f>
        <v>n.r.</v>
      </c>
      <c r="ER59" s="8" t="str">
        <f ca="1">OFFSET(Database!$F59,0,COLUMN(Database!EO59)*2-12)</f>
        <v>n.r.</v>
      </c>
      <c r="ES59" s="8" t="str">
        <f ca="1">OFFSET(Database!$F59,0,COLUMN(Database!EP59)*2-12)</f>
        <v>n.r.</v>
      </c>
      <c r="ET59" s="8" t="str">
        <f ca="1">OFFSET(Database!$F59,0,COLUMN(Database!EQ59)*2-12)</f>
        <v>n.r.</v>
      </c>
      <c r="EU59" s="8" t="str">
        <f ca="1">OFFSET(Database!$F59,0,COLUMN(Database!ER59)*2-12)</f>
        <v>n.r.</v>
      </c>
      <c r="EV59" s="8" t="str">
        <f ca="1">OFFSET(Database!$F59,0,COLUMN(Database!ES59)*2-12)</f>
        <v>n.r.</v>
      </c>
      <c r="EW59" s="8" t="str">
        <f ca="1">OFFSET(Database!$F59,0,COLUMN(Database!ET59)*2-12)</f>
        <v>n.r.</v>
      </c>
      <c r="EX59" s="8" t="str">
        <f ca="1">OFFSET(Database!$F59,0,COLUMN(Database!EU59)*2-12)</f>
        <v>n.r.</v>
      </c>
      <c r="EY59" s="8" t="str">
        <f ca="1">OFFSET(Database!$F59,0,COLUMN(Database!EV59)*2-12)</f>
        <v>n.r.</v>
      </c>
      <c r="EZ59" s="8" t="str">
        <f ca="1">OFFSET(Database!$F59,0,COLUMN(Database!EW59)*2-12)</f>
        <v>n.r.</v>
      </c>
      <c r="FA59" s="8" t="str">
        <f ca="1">OFFSET(Database!$F59,0,COLUMN(Database!EX59)*2-12)</f>
        <v>n.r.</v>
      </c>
      <c r="FB59" s="8" t="str">
        <f ca="1">OFFSET(Database!$F59,0,COLUMN(Database!EY59)*2-12)</f>
        <v>n.r.</v>
      </c>
      <c r="FC59" s="8" t="str">
        <f ca="1">OFFSET(Database!$F59,0,COLUMN(Database!EZ59)*2-12)</f>
        <v>n.r.</v>
      </c>
      <c r="FD59" s="8" t="str">
        <f ca="1">OFFSET(Database!$F59,0,COLUMN(Database!FA59)*2-12)</f>
        <v>n.r.</v>
      </c>
      <c r="FE59" s="8" t="str">
        <f ca="1">OFFSET(Database!$F59,0,COLUMN(Database!FB59)*2-12)</f>
        <v>n.r.</v>
      </c>
      <c r="FF59" s="8" t="str">
        <f ca="1">OFFSET(Database!$F59,0,COLUMN(Database!FC59)*2-12)</f>
        <v>n.r.</v>
      </c>
      <c r="FG59" s="8" t="str">
        <f ca="1">OFFSET(Database!$F59,0,COLUMN(Database!FD59)*2-12)</f>
        <v>n.r.</v>
      </c>
      <c r="FH59" s="8" t="str">
        <f ca="1">OFFSET(Database!$F59,0,COLUMN(Database!FE59)*2-12)</f>
        <v>n.r.</v>
      </c>
      <c r="FI59" s="8" t="str">
        <f ca="1">OFFSET(Database!$F59,0,COLUMN(Database!FF59)*2-12)</f>
        <v>n.r.</v>
      </c>
      <c r="FJ59" s="8" t="str">
        <f ca="1">OFFSET(Database!$F59,0,COLUMN(Database!FG59)*2-12)</f>
        <v>n.r.</v>
      </c>
      <c r="FK59" s="8" t="str">
        <f ca="1">OFFSET(Database!$F59,0,COLUMN(Database!FH59)*2-12)</f>
        <v>n.r.</v>
      </c>
      <c r="FL59" s="8" t="str">
        <f ca="1">OFFSET(Database!$F59,0,COLUMN(Database!FI59)*2-12)</f>
        <v>n.r.</v>
      </c>
      <c r="FM59" s="8" t="str">
        <f ca="1">OFFSET(Database!$F59,0,COLUMN(Database!FJ59)*2-12)</f>
        <v>n.r.</v>
      </c>
      <c r="FN59" s="8" t="str">
        <f ca="1">OFFSET(Database!$F59,0,COLUMN(Database!FK59)*2-12)</f>
        <v>n.r.</v>
      </c>
      <c r="FO59" s="8" t="str">
        <f ca="1">OFFSET(Database!$F59,0,COLUMN(Database!FL59)*2-12)</f>
        <v>n.r.</v>
      </c>
      <c r="FP59" s="8" t="str">
        <f ca="1">OFFSET(Database!$F59,0,COLUMN(Database!FM59)*2-12)</f>
        <v>n.r.</v>
      </c>
      <c r="FQ59" s="8" t="str">
        <f ca="1">OFFSET(Database!$F59,0,COLUMN(Database!FN59)*2-12)</f>
        <v>n.r.</v>
      </c>
      <c r="FR59" s="8" t="str">
        <f ca="1">OFFSET(Database!$F59,0,COLUMN(Database!FO59)*2-12)</f>
        <v>n.r.</v>
      </c>
      <c r="FS59" s="8" t="str">
        <f ca="1">OFFSET(Database!$F59,0,COLUMN(Database!FP59)*2-12)</f>
        <v>n.r.</v>
      </c>
      <c r="FT59" s="8" t="str">
        <f ca="1">OFFSET(Database!$F59,0,COLUMN(Database!FQ59)*2-12)</f>
        <v>n.r.</v>
      </c>
      <c r="FU59" s="8" t="str">
        <f ca="1">OFFSET(Database!$F59,0,COLUMN(Database!FR59)*2-12)</f>
        <v>n.r.</v>
      </c>
      <c r="FV59" s="8" t="str">
        <f ca="1">OFFSET(Database!$F59,0,COLUMN(Database!FS59)*2-12)</f>
        <v>n.r.</v>
      </c>
      <c r="FW59" s="8" t="str">
        <f ca="1">OFFSET(Database!$F59,0,COLUMN(Database!FT59)*2-12)</f>
        <v>n.r.</v>
      </c>
      <c r="FX59" s="8" t="str">
        <f ca="1">OFFSET(Database!$F59,0,COLUMN(Database!FU59)*2-12)</f>
        <v>n.r.</v>
      </c>
      <c r="FY59" s="8" t="str">
        <f ca="1">OFFSET(Database!$F59,0,COLUMN(Database!FV59)*2-12)</f>
        <v>n.r.</v>
      </c>
      <c r="FZ59" s="8" t="str">
        <f ca="1">OFFSET(Database!$F59,0,COLUMN(Database!FW59)*2-12)</f>
        <v>n.r.</v>
      </c>
      <c r="GA59" s="8" t="str">
        <f ca="1">OFFSET(Database!$F59,0,COLUMN(Database!FX59)*2-12)</f>
        <v>n.r.</v>
      </c>
      <c r="GB59" s="8" t="str">
        <f ca="1">OFFSET(Database!$F59,0,COLUMN(Database!FY59)*2-12)</f>
        <v>n.r.</v>
      </c>
      <c r="GC59" s="8" t="str">
        <f ca="1">OFFSET(Database!$F59,0,COLUMN(Database!FZ59)*2-12)</f>
        <v>n.r.</v>
      </c>
      <c r="GD59" s="8" t="str">
        <f ca="1">OFFSET(Database!$F59,0,COLUMN(Database!GA59)*2-12)</f>
        <v>n.r.</v>
      </c>
      <c r="GE59" s="8" t="str">
        <f ca="1">OFFSET(Database!$F59,0,COLUMN(Database!GB59)*2-12)</f>
        <v>n.r.</v>
      </c>
      <c r="GF59" s="8" t="str">
        <f ca="1">OFFSET(Database!$F59,0,COLUMN(Database!GC59)*2-12)</f>
        <v>n.r.</v>
      </c>
      <c r="GG59" s="8" t="str">
        <f ca="1">OFFSET(Database!$F59,0,COLUMN(Database!GD59)*2-12)</f>
        <v>n.r.</v>
      </c>
      <c r="GH59" s="8" t="str">
        <f ca="1">OFFSET(Database!$F59,0,COLUMN(Database!GE59)*2-12)</f>
        <v>n.r.</v>
      </c>
      <c r="GI59" s="8" t="str">
        <f ca="1">OFFSET(Database!$F59,0,COLUMN(Database!GF59)*2-12)</f>
        <v>n.r.</v>
      </c>
      <c r="GJ59" s="8" t="str">
        <f ca="1">OFFSET(Database!$F59,0,COLUMN(Database!GG59)*2-12)</f>
        <v>n.r.</v>
      </c>
      <c r="GK59" s="8" t="str">
        <f ca="1">OFFSET(Database!$F59,0,COLUMN(Database!GH59)*2-12)</f>
        <v>n.r.</v>
      </c>
      <c r="GL59" s="8" t="str">
        <f ca="1">OFFSET(Database!$F59,0,COLUMN(Database!GI59)*2-12)</f>
        <v>n.r.</v>
      </c>
      <c r="GM59" s="8" t="str">
        <f ca="1">OFFSET(Database!$F59,0,COLUMN(Database!GJ59)*2-12)</f>
        <v>n.r.</v>
      </c>
      <c r="GN59" s="8" t="str">
        <f ca="1">OFFSET(Database!$F59,0,COLUMN(Database!GK59)*2-12)</f>
        <v>n.r.</v>
      </c>
      <c r="GO59" s="8" t="str">
        <f ca="1">OFFSET(Database!$F59,0,COLUMN(Database!GL59)*2-12)</f>
        <v>n.r.</v>
      </c>
      <c r="GP59" s="8" t="str">
        <f ca="1">OFFSET(Database!$F59,0,COLUMN(Database!GM59)*2-12)</f>
        <v>n.r.</v>
      </c>
    </row>
    <row r="60" spans="1:198" x14ac:dyDescent="0.2">
      <c r="A60" s="50" t="str">
        <f>Database!A60</f>
        <v>3-amino-3-methyl butyric acid</v>
      </c>
      <c r="B60" s="32" t="s">
        <v>1109</v>
      </c>
      <c r="C60" s="4" t="str">
        <f>Database!B60</f>
        <v>β</v>
      </c>
      <c r="D60" s="4" t="str">
        <f>Database!C60</f>
        <v>Both</v>
      </c>
      <c r="E60" s="74">
        <f>Database!D60</f>
        <v>6</v>
      </c>
      <c r="F60" s="32" t="s">
        <v>932</v>
      </c>
      <c r="G60" s="1">
        <v>2760933</v>
      </c>
      <c r="H60" s="1">
        <f>Database!E60</f>
        <v>117.15</v>
      </c>
      <c r="I60" s="8" t="str">
        <f ca="1">OFFSET(Database!$F60,0,COLUMN(Database!F60)*2-12)</f>
        <v>tr</v>
      </c>
      <c r="J60" s="8" t="str">
        <f ca="1">OFFSET(Database!$F60,0,COLUMN(Database!G60)*2-12)</f>
        <v>tr</v>
      </c>
      <c r="K60" s="8" t="str">
        <f ca="1">OFFSET(Database!$F60,0,COLUMN(Database!H60)*2-12)</f>
        <v>tr</v>
      </c>
      <c r="L60" s="8" t="str">
        <f ca="1">OFFSET(Database!$F60,0,COLUMN(Database!I60)*2-12)</f>
        <v>tr</v>
      </c>
      <c r="M60" s="8" t="str">
        <f ca="1">OFFSET(Database!$F60,0,COLUMN(Database!J60)*2-12)</f>
        <v>tr</v>
      </c>
      <c r="N60" s="8" t="str">
        <f ca="1">OFFSET(Database!$F60,0,COLUMN(Database!K60)*2-12)</f>
        <v>n.r.</v>
      </c>
      <c r="O60" s="8" t="str">
        <f ca="1">OFFSET(Database!$F60,0,COLUMN(Database!L60)*2-12)</f>
        <v>&lt;0.03</v>
      </c>
      <c r="P60" s="8" t="str">
        <f ca="1">OFFSET(Database!$F60,0,COLUMN(Database!M60)*2-12)</f>
        <v>&lt;0.01</v>
      </c>
      <c r="Q60" s="8" t="str">
        <f ca="1">OFFSET(Database!$F60,0,COLUMN(Database!N60)*2-12)</f>
        <v>&lt;3.15</v>
      </c>
      <c r="R60" s="8" t="str">
        <f ca="1">OFFSET(Database!$F60,0,COLUMN(Database!O60)*2-12)</f>
        <v>n.r.</v>
      </c>
      <c r="S60" s="8" t="str">
        <f ca="1">OFFSET(Database!$F60,0,COLUMN(Database!P60)*2-12)</f>
        <v>n.r.</v>
      </c>
      <c r="T60" s="8" t="str">
        <f ca="1">OFFSET(Database!$F60,0,COLUMN(Database!Q60)*2-12)</f>
        <v>&lt;2.44</v>
      </c>
      <c r="U60" s="8" t="str">
        <f ca="1">OFFSET(Database!$F60,0,COLUMN(Database!R60)*2-12)</f>
        <v>&lt;2.13</v>
      </c>
      <c r="V60" s="8" t="str">
        <f ca="1">OFFSET(Database!$F60,0,COLUMN(Database!S60)*2-12)</f>
        <v>&lt;0.03</v>
      </c>
      <c r="W60" s="8" t="str">
        <f ca="1">OFFSET(Database!$F60,0,COLUMN(Database!T60)*2-12)</f>
        <v>&lt;0.03</v>
      </c>
      <c r="X60" s="8" t="str">
        <f ca="1">OFFSET(Database!$F60,0,COLUMN(Database!U60)*2-12)</f>
        <v>&lt;0.6</v>
      </c>
      <c r="Y60" s="8">
        <f ca="1">OFFSET(Database!$F60,0,COLUMN(Database!V60)*2-12)</f>
        <v>4.76</v>
      </c>
      <c r="Z60" s="8">
        <f ca="1">OFFSET(Database!$F60,0,COLUMN(Database!W60)*2-12)</f>
        <v>5.2</v>
      </c>
      <c r="AA60" s="8" t="str">
        <f ca="1">OFFSET(Database!$F60,0,COLUMN(Database!X60)*2-12)</f>
        <v>n.r.</v>
      </c>
      <c r="AB60" s="8" t="str">
        <f ca="1">OFFSET(Database!$F60,0,COLUMN(Database!Y60)*2-12)</f>
        <v>n.r.</v>
      </c>
      <c r="AC60" s="8" t="str">
        <f ca="1">OFFSET(Database!$F60,0,COLUMN(Database!Z60)*2-12)</f>
        <v>&lt;0.12</v>
      </c>
      <c r="AD60" s="8" t="str">
        <f ca="1">OFFSET(Database!$F60,0,COLUMN(Database!AA60)*2-12)</f>
        <v>&lt;0.12</v>
      </c>
      <c r="AE60" s="8" t="str">
        <f ca="1">OFFSET(Database!$F60,0,COLUMN(Database!AB60)*2-12)</f>
        <v>&lt;1.28</v>
      </c>
      <c r="AF60" s="8">
        <f ca="1">OFFSET(Database!$F60,0,COLUMN(Database!AC60)*2-12)</f>
        <v>0.8</v>
      </c>
      <c r="AG60" s="8" t="str">
        <f ca="1">OFFSET(Database!$F60,0,COLUMN(Database!AD60)*2-12)</f>
        <v>n.d.</v>
      </c>
      <c r="AH60" s="8" t="str">
        <f ca="1">OFFSET(Database!$F60,0,COLUMN(Database!AE60)*2-12)</f>
        <v>n.r.</v>
      </c>
      <c r="AI60" s="8" t="str">
        <f ca="1">OFFSET(Database!$F60,0,COLUMN(Database!AF60)*2-12)</f>
        <v>n.r.</v>
      </c>
      <c r="AJ60" s="8" t="str">
        <f ca="1">OFFSET(Database!$F60,0,COLUMN(Database!AG60)*2-12)</f>
        <v>n.r.</v>
      </c>
      <c r="AK60" s="8" t="str">
        <f ca="1">OFFSET(Database!$F60,0,COLUMN(Database!AH60)*2-12)</f>
        <v>n.r.</v>
      </c>
      <c r="AL60" s="8" t="str">
        <f ca="1">OFFSET(Database!$F60,0,COLUMN(Database!AI60)*2-12)</f>
        <v>n.r.</v>
      </c>
      <c r="AM60" s="8">
        <f ca="1">OFFSET(Database!$F60,0,COLUMN(Database!AJ60)*2-12)</f>
        <v>1.3</v>
      </c>
      <c r="AN60" s="8">
        <f ca="1">OFFSET(Database!$F60,0,COLUMN(Database!AK60)*2-12)</f>
        <v>1</v>
      </c>
      <c r="AO60" s="8" t="str">
        <f ca="1">OFFSET(Database!$F60,0,COLUMN(Database!AL60)*2-12)</f>
        <v>&lt;0.26</v>
      </c>
      <c r="AP60" s="8" t="str">
        <f ca="1">OFFSET(Database!$F60,0,COLUMN(Database!AM60)*2-12)</f>
        <v>&lt;0.68</v>
      </c>
      <c r="AQ60" s="8" t="str">
        <f ca="1">OFFSET(Database!$F60,0,COLUMN(Database!AN60)*2-12)</f>
        <v>&lt;0.01</v>
      </c>
      <c r="AR60" s="8" t="str">
        <f ca="1">OFFSET(Database!$F60,0,COLUMN(Database!AO60)*2-12)</f>
        <v>&lt;0.01</v>
      </c>
      <c r="AS60" s="8" t="str">
        <f ca="1">OFFSET(Database!$F60,0,COLUMN(Database!AP60)*2-12)</f>
        <v>n.r.</v>
      </c>
      <c r="AT60" s="8" t="str">
        <f ca="1">OFFSET(Database!$F60,0,COLUMN(Database!AQ60)*2-12)</f>
        <v>n.r.</v>
      </c>
      <c r="AU60" s="8" t="str">
        <f ca="1">OFFSET(Database!$F60,0,COLUMN(Database!AR60)*2-12)</f>
        <v>n.r.</v>
      </c>
      <c r="AV60" s="8" t="str">
        <f ca="1">OFFSET(Database!$F60,0,COLUMN(Database!AS60)*2-12)</f>
        <v>n.r.</v>
      </c>
      <c r="AW60" s="8" t="str">
        <f ca="1">OFFSET(Database!$F60,0,COLUMN(Database!AT60)*2-12)</f>
        <v>n.r.</v>
      </c>
      <c r="AX60" s="8" t="str">
        <f ca="1">OFFSET(Database!$F60,0,COLUMN(Database!AU60)*2-12)</f>
        <v>&lt;0.0256</v>
      </c>
      <c r="AY60" s="8" t="str">
        <f ca="1">OFFSET(Database!$F60,0,COLUMN(Database!AV60)*2-12)</f>
        <v>n.r.</v>
      </c>
      <c r="AZ60" s="8" t="str">
        <f ca="1">OFFSET(Database!$F60,0,COLUMN(Database!AW60)*2-12)</f>
        <v>n.r.</v>
      </c>
      <c r="BA60" s="8" t="str">
        <f ca="1">OFFSET(Database!$F60,0,COLUMN(Database!AX60)*2-12)</f>
        <v>n.r.</v>
      </c>
      <c r="BB60" s="8" t="str">
        <f ca="1">OFFSET(Database!$F60,0,COLUMN(Database!AY60)*2-12)</f>
        <v>n.r.</v>
      </c>
      <c r="BC60" s="8" t="str">
        <f ca="1">OFFSET(Database!$F60,0,COLUMN(Database!AZ60)*2-12)</f>
        <v>n.r.</v>
      </c>
      <c r="BD60" s="8" t="str">
        <f ca="1">OFFSET(Database!$F60,0,COLUMN(Database!BA60)*2-12)</f>
        <v>n.r.</v>
      </c>
      <c r="BE60" s="8" t="str">
        <f ca="1">OFFSET(Database!$F60,0,COLUMN(Database!BB60)*2-12)</f>
        <v>n.r.</v>
      </c>
      <c r="BF60" s="8" t="str">
        <f ca="1">OFFSET(Database!$F60,0,COLUMN(Database!BC60)*2-12)</f>
        <v>n.r.</v>
      </c>
      <c r="BG60" s="8" t="str">
        <f ca="1">OFFSET(Database!$F60,0,COLUMN(Database!BD60)*2-12)</f>
        <v>n.r.</v>
      </c>
      <c r="BH60" s="8" t="str">
        <f ca="1">OFFSET(Database!$F60,0,COLUMN(Database!BE60)*2-12)</f>
        <v>n.r.</v>
      </c>
      <c r="BI60" s="8" t="str">
        <f ca="1">OFFSET(Database!$F60,0,COLUMN(Database!BF60)*2-12)</f>
        <v>n.r.</v>
      </c>
      <c r="BJ60" s="8" t="str">
        <f ca="1">OFFSET(Database!$F60,0,COLUMN(Database!BG60)*2-12)</f>
        <v>n.r.</v>
      </c>
      <c r="BK60" s="8" t="str">
        <f ca="1">OFFSET(Database!$F60,0,COLUMN(Database!BH60)*2-12)</f>
        <v>n.r.</v>
      </c>
      <c r="BL60" s="8" t="str">
        <f ca="1">OFFSET(Database!$F60,0,COLUMN(Database!BI60)*2-12)</f>
        <v>n.r.</v>
      </c>
      <c r="BM60" s="8" t="str">
        <f ca="1">OFFSET(Database!$F60,0,COLUMN(Database!BJ60)*2-12)</f>
        <v>n.r.</v>
      </c>
      <c r="BN60" s="8" t="str">
        <f ca="1">OFFSET(Database!$F60,0,COLUMN(Database!BK60)*2-12)</f>
        <v>n.r.</v>
      </c>
      <c r="BO60" s="8" t="str">
        <f ca="1">OFFSET(Database!$F60,0,COLUMN(Database!BL60)*2-12)</f>
        <v>n.r.</v>
      </c>
      <c r="BP60" s="8" t="str">
        <f ca="1">OFFSET(Database!$F60,0,COLUMN(Database!BM60)*2-12)</f>
        <v>&lt;0.0009</v>
      </c>
      <c r="BQ60" s="8" t="str">
        <f ca="1">OFFSET(Database!$F60,0,COLUMN(Database!BN60)*2-12)</f>
        <v>&lt;0.0009</v>
      </c>
      <c r="BR60" s="8" t="str">
        <f ca="1">OFFSET(Database!$F60,0,COLUMN(Database!BO60)*2-12)</f>
        <v>&lt;0.0009</v>
      </c>
      <c r="BS60" s="8" t="str">
        <f ca="1">OFFSET(Database!$F60,0,COLUMN(Database!BP60)*2-12)</f>
        <v>&lt;0.001</v>
      </c>
      <c r="BT60" s="8" t="str">
        <f ca="1">OFFSET(Database!$F60,0,COLUMN(Database!BQ60)*2-12)</f>
        <v>&lt;0.001</v>
      </c>
      <c r="BU60" s="8" t="str">
        <f ca="1">OFFSET(Database!$F60,0,COLUMN(Database!BR60)*2-12)</f>
        <v>&lt;0.001</v>
      </c>
      <c r="BV60" s="8" t="str">
        <f ca="1">OFFSET(Database!$F60,0,COLUMN(Database!BS60)*2-12)</f>
        <v>&lt;0.001</v>
      </c>
      <c r="BW60" s="8" t="str">
        <f ca="1">OFFSET(Database!$F60,0,COLUMN(Database!BT60)*2-12)</f>
        <v>&lt;0.0001</v>
      </c>
      <c r="BX60" s="8" t="str">
        <f ca="1">OFFSET(Database!$F60,0,COLUMN(Database!BU60)*2-12)</f>
        <v>&lt;0.0001</v>
      </c>
      <c r="BY60" s="8" t="str">
        <f ca="1">OFFSET(Database!$F60,0,COLUMN(Database!BV60)*2-12)</f>
        <v>&lt;0.0001</v>
      </c>
      <c r="BZ60" s="8" t="str">
        <f ca="1">OFFSET(Database!$F60,0,COLUMN(Database!BW60)*2-12)</f>
        <v>n.r.</v>
      </c>
      <c r="CA60" s="8" t="str">
        <f ca="1">OFFSET(Database!$F60,0,COLUMN(Database!BX60)*2-12)</f>
        <v>n.r.</v>
      </c>
      <c r="CB60" s="8" t="str">
        <f ca="1">OFFSET(Database!$F60,0,COLUMN(Database!BY60)*2-12)</f>
        <v>n.r.</v>
      </c>
      <c r="CC60" s="8" t="str">
        <f ca="1">OFFSET(Database!$F60,0,COLUMN(Database!BZ60)*2-12)</f>
        <v>n.r.</v>
      </c>
      <c r="CD60" s="8" t="str">
        <f ca="1">OFFSET(Database!$F60,0,COLUMN(Database!CA60)*2-12)</f>
        <v>n.r.</v>
      </c>
      <c r="CE60" s="8" t="str">
        <f ca="1">OFFSET(Database!$F60,0,COLUMN(Database!CB60)*2-12)</f>
        <v>n.r.</v>
      </c>
      <c r="CF60" s="8" t="str">
        <f ca="1">OFFSET(Database!$F60,0,COLUMN(Database!CC60)*2-12)</f>
        <v>n.r.</v>
      </c>
      <c r="CG60" s="8" t="str">
        <f ca="1">OFFSET(Database!$F60,0,COLUMN(Database!CD60)*2-12)</f>
        <v>n.r.</v>
      </c>
      <c r="CH60" s="8" t="str">
        <f ca="1">OFFSET(Database!$F60,0,COLUMN(Database!CE60)*2-12)</f>
        <v>n.r.</v>
      </c>
      <c r="CI60" s="8" t="str">
        <f ca="1">OFFSET(Database!$F60,0,COLUMN(Database!CF60)*2-12)</f>
        <v>n.r.</v>
      </c>
      <c r="CJ60" s="8" t="str">
        <f ca="1">OFFSET(Database!$F60,0,COLUMN(Database!CG60)*2-12)</f>
        <v>n.r.</v>
      </c>
      <c r="CK60" s="8" t="str">
        <f ca="1">OFFSET(Database!$F60,0,COLUMN(Database!CH60)*2-12)</f>
        <v>n.r.</v>
      </c>
      <c r="CL60" s="8" t="str">
        <f ca="1">OFFSET(Database!$F60,0,COLUMN(Database!CI60)*2-12)</f>
        <v>n.r.</v>
      </c>
      <c r="CM60" s="8" t="str">
        <f ca="1">OFFSET(Database!$F60,0,COLUMN(Database!CJ60)*2-12)</f>
        <v>n.r.</v>
      </c>
      <c r="CN60" s="8" t="str">
        <f ca="1">OFFSET(Database!$F60,0,COLUMN(Database!CK60)*2-12)</f>
        <v>n.r.</v>
      </c>
      <c r="CO60" s="8" t="str">
        <f ca="1">OFFSET(Database!$F60,0,COLUMN(Database!CL60)*2-12)</f>
        <v>n.r.</v>
      </c>
      <c r="CP60" s="8" t="str">
        <f ca="1">OFFSET(Database!$F60,0,COLUMN(Database!CM60)*2-12)</f>
        <v>n.r.</v>
      </c>
      <c r="CQ60" s="8" t="str">
        <f ca="1">OFFSET(Database!$F60,0,COLUMN(Database!CN60)*2-12)</f>
        <v>n.r.</v>
      </c>
      <c r="CR60" s="8" t="str">
        <f ca="1">OFFSET(Database!$F60,0,COLUMN(Database!CO60)*2-12)</f>
        <v>n.r.</v>
      </c>
      <c r="CS60" s="8" t="str">
        <f ca="1">OFFSET(Database!$F60,0,COLUMN(Database!CP60)*2-12)</f>
        <v>n.r.</v>
      </c>
      <c r="CT60" s="8" t="str">
        <f ca="1">OFFSET(Database!$F60,0,COLUMN(Database!CQ60)*2-12)</f>
        <v>n.r.</v>
      </c>
      <c r="CU60" s="8" t="str">
        <f ca="1">OFFSET(Database!$F60,0,COLUMN(Database!CR60)*2-12)</f>
        <v>n.r.</v>
      </c>
      <c r="CV60" s="8" t="str">
        <f ca="1">OFFSET(Database!$F60,0,COLUMN(Database!CS60)*2-12)</f>
        <v>n.r.</v>
      </c>
      <c r="CW60" s="8" t="str">
        <f ca="1">OFFSET(Database!$F60,0,COLUMN(Database!CT60)*2-12)</f>
        <v>n.r.</v>
      </c>
      <c r="CX60" s="8" t="str">
        <f ca="1">OFFSET(Database!$F60,0,COLUMN(Database!CU60)*2-12)</f>
        <v>n.r.</v>
      </c>
      <c r="CY60" s="8" t="str">
        <f ca="1">OFFSET(Database!$F60,0,COLUMN(Database!CV60)*2-12)</f>
        <v>n.r.</v>
      </c>
      <c r="CZ60" s="8" t="str">
        <f ca="1">OFFSET(Database!$F60,0,COLUMN(Database!CW60)*2-12)</f>
        <v>n.r.</v>
      </c>
      <c r="DA60" s="8" t="str">
        <f ca="1">OFFSET(Database!$F60,0,COLUMN(Database!CX60)*2-12)</f>
        <v>n.r.</v>
      </c>
      <c r="DB60" s="8" t="str">
        <f ca="1">OFFSET(Database!$F60,0,COLUMN(Database!CY60)*2-12)</f>
        <v>n.s.</v>
      </c>
      <c r="DC60" s="8" t="str">
        <f ca="1">OFFSET(Database!$F60,0,COLUMN(Database!CZ60)*2-12)</f>
        <v>n.s.</v>
      </c>
      <c r="DD60" s="8">
        <f ca="1">OFFSET(Database!$F60,0,COLUMN(Database!DA60)*2-12)</f>
        <v>0.1</v>
      </c>
      <c r="DE60" s="8" t="str">
        <f ca="1">OFFSET(Database!$F60,0,COLUMN(Database!DB60)*2-12)</f>
        <v>n.r.</v>
      </c>
      <c r="DF60" s="8" t="str">
        <f ca="1">OFFSET(Database!$F60,0,COLUMN(Database!DC60)*2-12)</f>
        <v>n.r.</v>
      </c>
      <c r="DG60" s="8" t="str">
        <f ca="1">OFFSET(Database!$F60,0,COLUMN(Database!DD60)*2-12)</f>
        <v>n.r.</v>
      </c>
      <c r="DH60" s="8" t="str">
        <f ca="1">OFFSET(Database!$F60,0,COLUMN(Database!DE60)*2-12)</f>
        <v>n.r.</v>
      </c>
      <c r="DI60" s="8" t="str">
        <f ca="1">OFFSET(Database!$F60,0,COLUMN(Database!DF60)*2-12)</f>
        <v>n.r.</v>
      </c>
      <c r="DJ60" s="8" t="str">
        <f ca="1">OFFSET(Database!$F60,0,COLUMN(Database!DG60)*2-12)</f>
        <v>n.r.</v>
      </c>
      <c r="DK60" s="8" t="str">
        <f ca="1">OFFSET(Database!$F60,0,COLUMN(Database!DH60)*2-12)</f>
        <v>n.r.</v>
      </c>
      <c r="DL60" s="8" t="str">
        <f ca="1">OFFSET(Database!$F60,0,COLUMN(Database!DI60)*2-12)</f>
        <v>n.r.</v>
      </c>
      <c r="DM60" s="8" t="str">
        <f ca="1">OFFSET(Database!$F60,0,COLUMN(Database!DJ60)*2-12)</f>
        <v>n.r.</v>
      </c>
      <c r="DN60" s="8" t="str">
        <f ca="1">OFFSET(Database!$F60,0,COLUMN(Database!DK60)*2-12)</f>
        <v>n.r.</v>
      </c>
      <c r="DO60" s="8" t="str">
        <f ca="1">OFFSET(Database!$F60,0,COLUMN(Database!DL60)*2-12)</f>
        <v>n.r.</v>
      </c>
      <c r="DP60" s="8" t="str">
        <f ca="1">OFFSET(Database!$F60,0,COLUMN(Database!DM60)*2-12)</f>
        <v>n.r.</v>
      </c>
      <c r="DQ60" s="8" t="str">
        <f ca="1">OFFSET(Database!$F60,0,COLUMN(Database!DN60)*2-12)</f>
        <v>n.r.</v>
      </c>
      <c r="DR60" s="8" t="str">
        <f ca="1">OFFSET(Database!$F60,0,COLUMN(Database!DO60)*2-12)</f>
        <v>n.r.</v>
      </c>
      <c r="DS60" s="8" t="str">
        <f ca="1">OFFSET(Database!$F60,0,COLUMN(Database!DP60)*2-12)</f>
        <v>n.r.</v>
      </c>
      <c r="DT60" s="8" t="str">
        <f ca="1">OFFSET(Database!$F60,0,COLUMN(Database!DQ60)*2-12)</f>
        <v>n.r.</v>
      </c>
      <c r="DU60" s="8" t="str">
        <f ca="1">OFFSET(Database!$F60,0,COLUMN(Database!DR60)*2-12)</f>
        <v>n.r.</v>
      </c>
      <c r="DV60" s="8" t="str">
        <f ca="1">OFFSET(Database!$F60,0,COLUMN(Database!DS60)*2-12)</f>
        <v>n.r.</v>
      </c>
      <c r="DW60" s="8" t="str">
        <f ca="1">OFFSET(Database!$F60,0,COLUMN(Database!DT60)*2-12)</f>
        <v>n.r.</v>
      </c>
      <c r="DX60" s="8" t="str">
        <f ca="1">OFFSET(Database!$F60,0,COLUMN(Database!DU60)*2-12)</f>
        <v>n.r.</v>
      </c>
      <c r="DY60" s="8" t="str">
        <f ca="1">OFFSET(Database!$F60,0,COLUMN(Database!DV60)*2-12)</f>
        <v>n.r.</v>
      </c>
      <c r="DZ60" s="8" t="str">
        <f ca="1">OFFSET(Database!$F60,0,COLUMN(Database!DW60)*2-12)</f>
        <v>n.r.</v>
      </c>
      <c r="EA60" s="8" t="str">
        <f ca="1">OFFSET(Database!$F60,0,COLUMN(Database!DX60)*2-12)</f>
        <v>n.r.</v>
      </c>
      <c r="EB60" s="8" t="str">
        <f ca="1">OFFSET(Database!$F60,0,COLUMN(Database!DY60)*2-12)</f>
        <v>n.r.</v>
      </c>
      <c r="EC60" s="8" t="str">
        <f ca="1">OFFSET(Database!$F60,0,COLUMN(Database!DZ60)*2-12)</f>
        <v>n.r.</v>
      </c>
      <c r="ED60" s="8" t="str">
        <f ca="1">OFFSET(Database!$F60,0,COLUMN(Database!EA60)*2-12)</f>
        <v>n.r</v>
      </c>
      <c r="EE60" s="8" t="str">
        <f ca="1">OFFSET(Database!$F60,0,COLUMN(Database!EB60)*2-12)</f>
        <v>n.r.</v>
      </c>
      <c r="EF60" s="8" t="str">
        <f ca="1">OFFSET(Database!$F60,0,COLUMN(Database!EC60)*2-12)</f>
        <v>n.r.</v>
      </c>
      <c r="EG60" s="8" t="str">
        <f ca="1">OFFSET(Database!$F60,0,COLUMN(Database!ED60)*2-12)</f>
        <v>n.r.</v>
      </c>
      <c r="EH60" s="8" t="str">
        <f ca="1">OFFSET(Database!$F60,0,COLUMN(Database!EE60)*2-12)</f>
        <v>n.r.</v>
      </c>
      <c r="EI60" s="8" t="str">
        <f ca="1">OFFSET(Database!$F60,0,COLUMN(Database!EF60)*2-12)</f>
        <v>n.r.</v>
      </c>
      <c r="EJ60" s="8" t="str">
        <f ca="1">OFFSET(Database!$F60,0,COLUMN(Database!EG60)*2-12)</f>
        <v>n.r.</v>
      </c>
      <c r="EK60" s="8" t="str">
        <f ca="1">OFFSET(Database!$F60,0,COLUMN(Database!EH60)*2-12)</f>
        <v>n.r.</v>
      </c>
      <c r="EL60" s="8" t="str">
        <f ca="1">OFFSET(Database!$F60,0,COLUMN(Database!EI60)*2-12)</f>
        <v>n.r.</v>
      </c>
      <c r="EM60" s="8" t="str">
        <f ca="1">OFFSET(Database!$F60,0,COLUMN(Database!EJ60)*2-12)</f>
        <v>n.r.</v>
      </c>
      <c r="EN60" s="8" t="str">
        <f ca="1">OFFSET(Database!$F60,0,COLUMN(Database!EK60)*2-12)</f>
        <v>n.r.</v>
      </c>
      <c r="EO60" s="8" t="str">
        <f ca="1">OFFSET(Database!$F60,0,COLUMN(Database!EL60)*2-12)</f>
        <v>n.r.</v>
      </c>
      <c r="EP60" s="8" t="str">
        <f ca="1">OFFSET(Database!$F60,0,COLUMN(Database!EM60)*2-12)</f>
        <v>n.r.</v>
      </c>
      <c r="EQ60" s="8" t="str">
        <f ca="1">OFFSET(Database!$F60,0,COLUMN(Database!EN60)*2-12)</f>
        <v>n.r.</v>
      </c>
      <c r="ER60" s="8" t="str">
        <f ca="1">OFFSET(Database!$F60,0,COLUMN(Database!EO60)*2-12)</f>
        <v>n.r.</v>
      </c>
      <c r="ES60" s="8" t="str">
        <f ca="1">OFFSET(Database!$F60,0,COLUMN(Database!EP60)*2-12)</f>
        <v>n.r.</v>
      </c>
      <c r="ET60" s="8" t="str">
        <f ca="1">OFFSET(Database!$F60,0,COLUMN(Database!EQ60)*2-12)</f>
        <v>n.r.</v>
      </c>
      <c r="EU60" s="8" t="str">
        <f ca="1">OFFSET(Database!$F60,0,COLUMN(Database!ER60)*2-12)</f>
        <v>n.r.</v>
      </c>
      <c r="EV60" s="8" t="str">
        <f ca="1">OFFSET(Database!$F60,0,COLUMN(Database!ES60)*2-12)</f>
        <v>n.r.</v>
      </c>
      <c r="EW60" s="8" t="str">
        <f ca="1">OFFSET(Database!$F60,0,COLUMN(Database!ET60)*2-12)</f>
        <v>n.r.</v>
      </c>
      <c r="EX60" s="8" t="str">
        <f ca="1">OFFSET(Database!$F60,0,COLUMN(Database!EU60)*2-12)</f>
        <v>n.r.</v>
      </c>
      <c r="EY60" s="8" t="str">
        <f ca="1">OFFSET(Database!$F60,0,COLUMN(Database!EV60)*2-12)</f>
        <v>n.r.</v>
      </c>
      <c r="EZ60" s="8" t="str">
        <f ca="1">OFFSET(Database!$F60,0,COLUMN(Database!EW60)*2-12)</f>
        <v>n.r.</v>
      </c>
      <c r="FA60" s="8" t="str">
        <f ca="1">OFFSET(Database!$F60,0,COLUMN(Database!EX60)*2-12)</f>
        <v>n.r.</v>
      </c>
      <c r="FB60" s="8" t="str">
        <f ca="1">OFFSET(Database!$F60,0,COLUMN(Database!EY60)*2-12)</f>
        <v>n.r.</v>
      </c>
      <c r="FC60" s="8" t="str">
        <f ca="1">OFFSET(Database!$F60,0,COLUMN(Database!EZ60)*2-12)</f>
        <v>n.r.</v>
      </c>
      <c r="FD60" s="8" t="str">
        <f ca="1">OFFSET(Database!$F60,0,COLUMN(Database!FA60)*2-12)</f>
        <v>n.r.</v>
      </c>
      <c r="FE60" s="8" t="str">
        <f ca="1">OFFSET(Database!$F60,0,COLUMN(Database!FB60)*2-12)</f>
        <v>n.r.</v>
      </c>
      <c r="FF60" s="8" t="str">
        <f ca="1">OFFSET(Database!$F60,0,COLUMN(Database!FC60)*2-12)</f>
        <v>n.r.</v>
      </c>
      <c r="FG60" s="8" t="str">
        <f ca="1">OFFSET(Database!$F60,0,COLUMN(Database!FD60)*2-12)</f>
        <v>n.r.</v>
      </c>
      <c r="FH60" s="8" t="str">
        <f ca="1">OFFSET(Database!$F60,0,COLUMN(Database!FE60)*2-12)</f>
        <v>n.r.</v>
      </c>
      <c r="FI60" s="8" t="str">
        <f ca="1">OFFSET(Database!$F60,0,COLUMN(Database!FF60)*2-12)</f>
        <v>n.r.</v>
      </c>
      <c r="FJ60" s="8" t="str">
        <f ca="1">OFFSET(Database!$F60,0,COLUMN(Database!FG60)*2-12)</f>
        <v>n.r.</v>
      </c>
      <c r="FK60" s="8" t="str">
        <f ca="1">OFFSET(Database!$F60,0,COLUMN(Database!FH60)*2-12)</f>
        <v>n.r.</v>
      </c>
      <c r="FL60" s="8" t="str">
        <f ca="1">OFFSET(Database!$F60,0,COLUMN(Database!FI60)*2-12)</f>
        <v>n.r.</v>
      </c>
      <c r="FM60" s="8" t="str">
        <f ca="1">OFFSET(Database!$F60,0,COLUMN(Database!FJ60)*2-12)</f>
        <v>n.r.</v>
      </c>
      <c r="FN60" s="8" t="str">
        <f ca="1">OFFSET(Database!$F60,0,COLUMN(Database!FK60)*2-12)</f>
        <v>n.r.</v>
      </c>
      <c r="FO60" s="8" t="str">
        <f ca="1">OFFSET(Database!$F60,0,COLUMN(Database!FL60)*2-12)</f>
        <v>n.r.</v>
      </c>
      <c r="FP60" s="8" t="str">
        <f ca="1">OFFSET(Database!$F60,0,COLUMN(Database!FM60)*2-12)</f>
        <v>n.r.</v>
      </c>
      <c r="FQ60" s="8" t="str">
        <f ca="1">OFFSET(Database!$F60,0,COLUMN(Database!FN60)*2-12)</f>
        <v>n.r.</v>
      </c>
      <c r="FR60" s="8" t="str">
        <f ca="1">OFFSET(Database!$F60,0,COLUMN(Database!FO60)*2-12)</f>
        <v>n.r.</v>
      </c>
      <c r="FS60" s="8" t="str">
        <f ca="1">OFFSET(Database!$F60,0,COLUMN(Database!FP60)*2-12)</f>
        <v>n.r.</v>
      </c>
      <c r="FT60" s="8" t="str">
        <f ca="1">OFFSET(Database!$F60,0,COLUMN(Database!FQ60)*2-12)</f>
        <v>n.r.</v>
      </c>
      <c r="FU60" s="8" t="str">
        <f ca="1">OFFSET(Database!$F60,0,COLUMN(Database!FR60)*2-12)</f>
        <v>n.r.</v>
      </c>
      <c r="FV60" s="8" t="str">
        <f ca="1">OFFSET(Database!$F60,0,COLUMN(Database!FS60)*2-12)</f>
        <v>n.r.</v>
      </c>
      <c r="FW60" s="8" t="str">
        <f ca="1">OFFSET(Database!$F60,0,COLUMN(Database!FT60)*2-12)</f>
        <v>n.r.</v>
      </c>
      <c r="FX60" s="8" t="str">
        <f ca="1">OFFSET(Database!$F60,0,COLUMN(Database!FU60)*2-12)</f>
        <v>n.r.</v>
      </c>
      <c r="FY60" s="8" t="str">
        <f ca="1">OFFSET(Database!$F60,0,COLUMN(Database!FV60)*2-12)</f>
        <v>n.r.</v>
      </c>
      <c r="FZ60" s="8" t="str">
        <f ca="1">OFFSET(Database!$F60,0,COLUMN(Database!FW60)*2-12)</f>
        <v>n.r.</v>
      </c>
      <c r="GA60" s="8" t="str">
        <f ca="1">OFFSET(Database!$F60,0,COLUMN(Database!FX60)*2-12)</f>
        <v>n.r.</v>
      </c>
      <c r="GB60" s="8" t="str">
        <f ca="1">OFFSET(Database!$F60,0,COLUMN(Database!FY60)*2-12)</f>
        <v>n.r.</v>
      </c>
      <c r="GC60" s="8" t="str">
        <f ca="1">OFFSET(Database!$F60,0,COLUMN(Database!FZ60)*2-12)</f>
        <v>n.r.</v>
      </c>
      <c r="GD60" s="8" t="str">
        <f ca="1">OFFSET(Database!$F60,0,COLUMN(Database!GA60)*2-12)</f>
        <v>n.r.</v>
      </c>
      <c r="GE60" s="8" t="str">
        <f ca="1">OFFSET(Database!$F60,0,COLUMN(Database!GB60)*2-12)</f>
        <v>n.r.</v>
      </c>
      <c r="GF60" s="8" t="str">
        <f ca="1">OFFSET(Database!$F60,0,COLUMN(Database!GC60)*2-12)</f>
        <v>n.r.</v>
      </c>
      <c r="GG60" s="8" t="str">
        <f ca="1">OFFSET(Database!$F60,0,COLUMN(Database!GD60)*2-12)</f>
        <v>n.r.</v>
      </c>
      <c r="GH60" s="8" t="str">
        <f ca="1">OFFSET(Database!$F60,0,COLUMN(Database!GE60)*2-12)</f>
        <v>n.r.</v>
      </c>
      <c r="GI60" s="8" t="str">
        <f ca="1">OFFSET(Database!$F60,0,COLUMN(Database!GF60)*2-12)</f>
        <v>n.r.</v>
      </c>
      <c r="GJ60" s="8" t="str">
        <f ca="1">OFFSET(Database!$F60,0,COLUMN(Database!GG60)*2-12)</f>
        <v>n.r.</v>
      </c>
      <c r="GK60" s="8" t="str">
        <f ca="1">OFFSET(Database!$F60,0,COLUMN(Database!GH60)*2-12)</f>
        <v>n.r.</v>
      </c>
      <c r="GL60" s="8" t="str">
        <f ca="1">OFFSET(Database!$F60,0,COLUMN(Database!GI60)*2-12)</f>
        <v>n.r.</v>
      </c>
      <c r="GM60" s="8" t="str">
        <f ca="1">OFFSET(Database!$F60,0,COLUMN(Database!GJ60)*2-12)</f>
        <v>n.r.</v>
      </c>
      <c r="GN60" s="8" t="str">
        <f ca="1">OFFSET(Database!$F60,0,COLUMN(Database!GK60)*2-12)</f>
        <v>n.r.</v>
      </c>
      <c r="GO60" s="8" t="str">
        <f ca="1">OFFSET(Database!$F60,0,COLUMN(Database!GL60)*2-12)</f>
        <v>n.r.</v>
      </c>
      <c r="GP60" s="8" t="str">
        <f ca="1">OFFSET(Database!$F60,0,COLUMN(Database!GM60)*2-12)</f>
        <v>n.r.</v>
      </c>
    </row>
    <row r="61" spans="1:198" x14ac:dyDescent="0.2">
      <c r="A61" s="50" t="str">
        <f>Database!A61</f>
        <v>3-amino-2,2-dimethyl propanoic acid</v>
      </c>
      <c r="B61" s="32" t="s">
        <v>1008</v>
      </c>
      <c r="C61" s="4" t="str">
        <f>Database!B61</f>
        <v>β</v>
      </c>
      <c r="D61" s="4" t="str">
        <f>Database!C61</f>
        <v>Both</v>
      </c>
      <c r="E61" s="74">
        <f>Database!D61</f>
        <v>37</v>
      </c>
      <c r="F61" s="32" t="s">
        <v>935</v>
      </c>
      <c r="G61" s="1">
        <v>95739</v>
      </c>
      <c r="H61" s="1">
        <f>Database!E61</f>
        <v>117.15</v>
      </c>
      <c r="I61" s="8" t="str">
        <f ca="1">OFFSET(Database!$F61,0,COLUMN(Database!F61)*2-12)</f>
        <v>b.b.</v>
      </c>
      <c r="J61" s="8" t="str">
        <f ca="1">OFFSET(Database!$F61,0,COLUMN(Database!G61)*2-12)</f>
        <v>tr</v>
      </c>
      <c r="K61" s="8" t="str">
        <f ca="1">OFFSET(Database!$F61,0,COLUMN(Database!H61)*2-12)</f>
        <v>b.b.</v>
      </c>
      <c r="L61" s="8" t="str">
        <f ca="1">OFFSET(Database!$F61,0,COLUMN(Database!I61)*2-12)</f>
        <v>tr</v>
      </c>
      <c r="M61" s="8" t="str">
        <f ca="1">OFFSET(Database!$F61,0,COLUMN(Database!J61)*2-12)</f>
        <v>b.b.</v>
      </c>
      <c r="N61" s="8" t="str">
        <f ca="1">OFFSET(Database!$F61,0,COLUMN(Database!K61)*2-12)</f>
        <v>n.r.</v>
      </c>
      <c r="O61" s="8">
        <f ca="1">OFFSET(Database!$F61,0,COLUMN(Database!L61)*2-12)</f>
        <v>0.11</v>
      </c>
      <c r="P61" s="8">
        <f ca="1">OFFSET(Database!$F61,0,COLUMN(Database!M61)*2-12)</f>
        <v>0.19</v>
      </c>
      <c r="Q61" s="8">
        <f ca="1">OFFSET(Database!$F61,0,COLUMN(Database!N61)*2-12)</f>
        <v>0.82</v>
      </c>
      <c r="R61" s="8" t="str">
        <f ca="1">OFFSET(Database!$F61,0,COLUMN(Database!O61)*2-12)</f>
        <v>n.r.</v>
      </c>
      <c r="S61" s="8" t="str">
        <f ca="1">OFFSET(Database!$F61,0,COLUMN(Database!P61)*2-12)</f>
        <v>n.r.</v>
      </c>
      <c r="T61" s="8">
        <f ca="1">OFFSET(Database!$F61,0,COLUMN(Database!Q61)*2-12)</f>
        <v>4.5999999999999996</v>
      </c>
      <c r="U61" s="8">
        <f ca="1">OFFSET(Database!$F61,0,COLUMN(Database!R61)*2-12)</f>
        <v>2.69</v>
      </c>
      <c r="V61" s="8">
        <f ca="1">OFFSET(Database!$F61,0,COLUMN(Database!S61)*2-12)</f>
        <v>4.8655569782330342E-2</v>
      </c>
      <c r="W61" s="8">
        <f ca="1">OFFSET(Database!$F61,0,COLUMN(Database!T61)*2-12)</f>
        <v>0.19632949210413997</v>
      </c>
      <c r="X61" s="8">
        <f ca="1">OFFSET(Database!$F61,0,COLUMN(Database!U61)*2-12)</f>
        <v>1.6645326504481432</v>
      </c>
      <c r="Y61" s="8">
        <f ca="1">OFFSET(Database!$F61,0,COLUMN(Database!V61)*2-12)</f>
        <v>1.9</v>
      </c>
      <c r="Z61" s="8">
        <f ca="1">OFFSET(Database!$F61,0,COLUMN(Database!W61)*2-12)</f>
        <v>1.73</v>
      </c>
      <c r="AA61" s="8" t="str">
        <f ca="1">OFFSET(Database!$F61,0,COLUMN(Database!X61)*2-12)</f>
        <v>n.r.</v>
      </c>
      <c r="AB61" s="8" t="str">
        <f ca="1">OFFSET(Database!$F61,0,COLUMN(Database!Y61)*2-12)</f>
        <v>n.r.</v>
      </c>
      <c r="AC61" s="8">
        <f ca="1">OFFSET(Database!$F61,0,COLUMN(Database!Z61)*2-12)</f>
        <v>0.30729833546734953</v>
      </c>
      <c r="AD61" s="8">
        <f ca="1">OFFSET(Database!$F61,0,COLUMN(Database!AA61)*2-12)</f>
        <v>0.17925736235595391</v>
      </c>
      <c r="AE61" s="8">
        <f ca="1">OFFSET(Database!$F61,0,COLUMN(Database!AB61)*2-12)</f>
        <v>2.7315407597097736</v>
      </c>
      <c r="AF61" s="8">
        <f ca="1">OFFSET(Database!$F61,0,COLUMN(Database!AC61)*2-12)</f>
        <v>2.48</v>
      </c>
      <c r="AG61" s="8" t="str">
        <f ca="1">OFFSET(Database!$F61,0,COLUMN(Database!AD61)*2-12)</f>
        <v>n.d.</v>
      </c>
      <c r="AH61" s="8" t="str">
        <f ca="1">OFFSET(Database!$F61,0,COLUMN(Database!AE61)*2-12)</f>
        <v>n.r.</v>
      </c>
      <c r="AI61" s="8" t="str">
        <f ca="1">OFFSET(Database!$F61,0,COLUMN(Database!AF61)*2-12)</f>
        <v>&lt;0.02</v>
      </c>
      <c r="AJ61" s="8" t="str">
        <f ca="1">OFFSET(Database!$F61,0,COLUMN(Database!AG61)*2-12)</f>
        <v>&lt;0.02</v>
      </c>
      <c r="AK61" s="8" t="str">
        <f ca="1">OFFSET(Database!$F61,0,COLUMN(Database!AH61)*2-12)</f>
        <v>&lt;0.03</v>
      </c>
      <c r="AL61" s="8" t="str">
        <f ca="1">OFFSET(Database!$F61,0,COLUMN(Database!AI61)*2-12)</f>
        <v>n.r.</v>
      </c>
      <c r="AM61" s="8">
        <f ca="1">OFFSET(Database!$F61,0,COLUMN(Database!AJ61)*2-12)</f>
        <v>0.47</v>
      </c>
      <c r="AN61" s="8">
        <f ca="1">OFFSET(Database!$F61,0,COLUMN(Database!AK61)*2-12)</f>
        <v>0.17</v>
      </c>
      <c r="AO61" s="8">
        <f ca="1">OFFSET(Database!$F61,0,COLUMN(Database!AL61)*2-12)</f>
        <v>0.58898847631241991</v>
      </c>
      <c r="AP61" s="8">
        <f ca="1">OFFSET(Database!$F61,0,COLUMN(Database!AM61)*2-12)</f>
        <v>0.27</v>
      </c>
      <c r="AQ61" s="8" t="str">
        <f ca="1">OFFSET(Database!$F61,0,COLUMN(Database!AN61)*2-12)</f>
        <v>&lt;0.01</v>
      </c>
      <c r="AR61" s="8">
        <f ca="1">OFFSET(Database!$F61,0,COLUMN(Database!AO61)*2-12)</f>
        <v>0.01</v>
      </c>
      <c r="AS61" s="8">
        <f ca="1">OFFSET(Database!$F61,0,COLUMN(Database!AP61)*2-12)</f>
        <v>2.6461801109688432E-2</v>
      </c>
      <c r="AT61" s="8" t="str">
        <f ca="1">OFFSET(Database!$F61,0,COLUMN(Database!AQ61)*2-12)</f>
        <v>&lt;0.0009</v>
      </c>
      <c r="AU61" s="8">
        <f ca="1">OFFSET(Database!$F61,0,COLUMN(Database!AR61)*2-12)</f>
        <v>8.5360648740930435E-4</v>
      </c>
      <c r="AV61" s="8">
        <f ca="1">OFFSET(Database!$F61,0,COLUMN(Database!AS61)*2-12)</f>
        <v>5.1216389244558257E-3</v>
      </c>
      <c r="AW61" s="8">
        <f ca="1">OFFSET(Database!$F61,0,COLUMN(Database!AT61)*2-12)</f>
        <v>5.9752454118651294E-3</v>
      </c>
      <c r="AX61" s="8">
        <f ca="1">OFFSET(Database!$F61,0,COLUMN(Database!AU61)*2-12)</f>
        <v>1.5364916773367477E-2</v>
      </c>
      <c r="AY61" s="8" t="str">
        <f ca="1">OFFSET(Database!$F61,0,COLUMN(Database!AV61)*2-12)</f>
        <v>&lt;0.002</v>
      </c>
      <c r="AZ61" s="8">
        <f ca="1">OFFSET(Database!$F61,0,COLUMN(Database!AW61)*2-12)</f>
        <v>1.1950490823730259E-2</v>
      </c>
      <c r="BA61" s="8" t="str">
        <f ca="1">OFFSET(Database!$F61,0,COLUMN(Database!AX61)*2-12)</f>
        <v>&lt;0.005</v>
      </c>
      <c r="BB61" s="8" t="str">
        <f ca="1">OFFSET(Database!$F61,0,COLUMN(Database!AY61)*2-12)</f>
        <v>&lt;0.0009</v>
      </c>
      <c r="BC61" s="8" t="str">
        <f ca="1">OFFSET(Database!$F61,0,COLUMN(Database!AZ61)*2-12)</f>
        <v>&lt;0.0009</v>
      </c>
      <c r="BD61" s="8">
        <f ca="1">OFFSET(Database!$F61,0,COLUMN(Database!BA61)*2-12)</f>
        <v>8.5360648740930422E-3</v>
      </c>
      <c r="BE61" s="8" t="str">
        <f ca="1">OFFSET(Database!$F61,0,COLUMN(Database!BB61)*2-12)</f>
        <v>&lt;0.0025</v>
      </c>
      <c r="BF61" s="8">
        <f ca="1">OFFSET(Database!$F61,0,COLUMN(Database!BC61)*2-12)</f>
        <v>2.5608194622279128E-3</v>
      </c>
      <c r="BG61" s="8">
        <f ca="1">OFFSET(Database!$F61,0,COLUMN(Database!BD61)*2-12)</f>
        <v>2.5608194622279128E-3</v>
      </c>
      <c r="BH61" s="8" t="str">
        <f ca="1">OFFSET(Database!$F61,0,COLUMN(Database!BE61)*2-12)</f>
        <v>n.r.</v>
      </c>
      <c r="BI61" s="8" t="str">
        <f ca="1">OFFSET(Database!$F61,0,COLUMN(Database!BF61)*2-12)</f>
        <v>n.r.</v>
      </c>
      <c r="BJ61" s="8">
        <f ca="1">OFFSET(Database!$F61,0,COLUMN(Database!BG61)*2-12)</f>
        <v>0.32437046521553564</v>
      </c>
      <c r="BK61" s="8">
        <f ca="1">OFFSET(Database!$F61,0,COLUMN(Database!BH61)*2-12)</f>
        <v>0.5463081519419547</v>
      </c>
      <c r="BL61" s="8">
        <f ca="1">OFFSET(Database!$F61,0,COLUMN(Database!BI61)*2-12)</f>
        <v>0.72556551429790861</v>
      </c>
      <c r="BM61" s="8" t="str">
        <f ca="1">OFFSET(Database!$F61,0,COLUMN(Database!BJ61)*2-12)</f>
        <v>&lt;0.0009</v>
      </c>
      <c r="BN61" s="8">
        <f ca="1">OFFSET(Database!$F61,0,COLUMN(Database!BK61)*2-12)</f>
        <v>0.18779342723004694</v>
      </c>
      <c r="BO61" s="8">
        <f ca="1">OFFSET(Database!$F61,0,COLUMN(Database!BL61)*2-12)</f>
        <v>1.1950490823730259E-2</v>
      </c>
      <c r="BP61" s="8">
        <f ca="1">OFFSET(Database!$F61,0,COLUMN(Database!BM61)*2-12)</f>
        <v>4.3533930857874513E-2</v>
      </c>
      <c r="BQ61" s="8" t="str">
        <f ca="1">OFFSET(Database!$F61,0,COLUMN(Database!BN61)*2-12)</f>
        <v>&lt;0.0009</v>
      </c>
      <c r="BR61" s="8" t="str">
        <f ca="1">OFFSET(Database!$F61,0,COLUMN(Database!BO61)*2-12)</f>
        <v>&lt;0.0009</v>
      </c>
      <c r="BS61" s="8" t="str">
        <f ca="1">OFFSET(Database!$F61,0,COLUMN(Database!BP61)*2-12)</f>
        <v>&lt;0.001</v>
      </c>
      <c r="BT61" s="8" t="str">
        <f ca="1">OFFSET(Database!$F61,0,COLUMN(Database!BQ61)*2-12)</f>
        <v>&lt;0.001</v>
      </c>
      <c r="BU61" s="8" t="str">
        <f ca="1">OFFSET(Database!$F61,0,COLUMN(Database!BR61)*2-12)</f>
        <v>&lt;0.001</v>
      </c>
      <c r="BV61" s="8" t="str">
        <f ca="1">OFFSET(Database!$F61,0,COLUMN(Database!BS61)*2-12)</f>
        <v>&lt;0.001</v>
      </c>
      <c r="BW61" s="8" t="str">
        <f ca="1">OFFSET(Database!$F61,0,COLUMN(Database!BT61)*2-12)</f>
        <v>&lt;0.0001</v>
      </c>
      <c r="BX61" s="8" t="str">
        <f ca="1">OFFSET(Database!$F61,0,COLUMN(Database!BU61)*2-12)</f>
        <v>&lt;0.0001</v>
      </c>
      <c r="BY61" s="8" t="str">
        <f ca="1">OFFSET(Database!$F61,0,COLUMN(Database!BV61)*2-12)</f>
        <v>&lt;0.0001</v>
      </c>
      <c r="BZ61" s="8" t="str">
        <f ca="1">OFFSET(Database!$F61,0,COLUMN(Database!BW61)*2-12)</f>
        <v>n.r.</v>
      </c>
      <c r="CA61" s="8" t="str">
        <f ca="1">OFFSET(Database!$F61,0,COLUMN(Database!BX61)*2-12)</f>
        <v>n.r.</v>
      </c>
      <c r="CB61" s="8" t="str">
        <f ca="1">OFFSET(Database!$F61,0,COLUMN(Database!BY61)*2-12)</f>
        <v>n.r.</v>
      </c>
      <c r="CC61" s="8" t="str">
        <f ca="1">OFFSET(Database!$F61,0,COLUMN(Database!BZ61)*2-12)</f>
        <v>n.r.</v>
      </c>
      <c r="CD61" s="8" t="str">
        <f ca="1">OFFSET(Database!$F61,0,COLUMN(Database!CA61)*2-12)</f>
        <v>n.r.</v>
      </c>
      <c r="CE61" s="8" t="str">
        <f ca="1">OFFSET(Database!$F61,0,COLUMN(Database!CB61)*2-12)</f>
        <v>n.r.</v>
      </c>
      <c r="CF61" s="8" t="str">
        <f ca="1">OFFSET(Database!$F61,0,COLUMN(Database!CC61)*2-12)</f>
        <v>n.r.</v>
      </c>
      <c r="CG61" s="8" t="str">
        <f ca="1">OFFSET(Database!$F61,0,COLUMN(Database!CD61)*2-12)</f>
        <v>n.r.</v>
      </c>
      <c r="CH61" s="8" t="str">
        <f ca="1">OFFSET(Database!$F61,0,COLUMN(Database!CE61)*2-12)</f>
        <v>n.r.</v>
      </c>
      <c r="CI61" s="8" t="str">
        <f ca="1">OFFSET(Database!$F61,0,COLUMN(Database!CF61)*2-12)</f>
        <v>n.r.</v>
      </c>
      <c r="CJ61" s="8" t="str">
        <f ca="1">OFFSET(Database!$F61,0,COLUMN(Database!CG61)*2-12)</f>
        <v>n.r.</v>
      </c>
      <c r="CK61" s="8" t="str">
        <f ca="1">OFFSET(Database!$F61,0,COLUMN(Database!CH61)*2-12)</f>
        <v>n.r.</v>
      </c>
      <c r="CL61" s="8" t="str">
        <f ca="1">OFFSET(Database!$F61,0,COLUMN(Database!CI61)*2-12)</f>
        <v>n.r.</v>
      </c>
      <c r="CM61" s="8" t="str">
        <f ca="1">OFFSET(Database!$F61,0,COLUMN(Database!CJ61)*2-12)</f>
        <v>n.r.</v>
      </c>
      <c r="CN61" s="8" t="str">
        <f ca="1">OFFSET(Database!$F61,0,COLUMN(Database!CK61)*2-12)</f>
        <v>n.r.</v>
      </c>
      <c r="CO61" s="8" t="str">
        <f ca="1">OFFSET(Database!$F61,0,COLUMN(Database!CL61)*2-12)</f>
        <v>n.r.</v>
      </c>
      <c r="CP61" s="8" t="str">
        <f ca="1">OFFSET(Database!$F61,0,COLUMN(Database!CM61)*2-12)</f>
        <v>n.r.</v>
      </c>
      <c r="CQ61" s="8" t="str">
        <f ca="1">OFFSET(Database!$F61,0,COLUMN(Database!CN61)*2-12)</f>
        <v>n.r.</v>
      </c>
      <c r="CR61" s="8" t="str">
        <f ca="1">OFFSET(Database!$F61,0,COLUMN(Database!CO61)*2-12)</f>
        <v>n.r.</v>
      </c>
      <c r="CS61" s="8" t="str">
        <f ca="1">OFFSET(Database!$F61,0,COLUMN(Database!CP61)*2-12)</f>
        <v>n.r.</v>
      </c>
      <c r="CT61" s="8" t="str">
        <f ca="1">OFFSET(Database!$F61,0,COLUMN(Database!CQ61)*2-12)</f>
        <v>n.r.</v>
      </c>
      <c r="CU61" s="8" t="str">
        <f ca="1">OFFSET(Database!$F61,0,COLUMN(Database!CR61)*2-12)</f>
        <v>n.r.</v>
      </c>
      <c r="CV61" s="8" t="str">
        <f ca="1">OFFSET(Database!$F61,0,COLUMN(Database!CS61)*2-12)</f>
        <v>n.r.</v>
      </c>
      <c r="CW61" s="8" t="str">
        <f ca="1">OFFSET(Database!$F61,0,COLUMN(Database!CT61)*2-12)</f>
        <v>n.r.</v>
      </c>
      <c r="CX61" s="8" t="str">
        <f ca="1">OFFSET(Database!$F61,0,COLUMN(Database!CU61)*2-12)</f>
        <v>n.r.</v>
      </c>
      <c r="CY61" s="8" t="str">
        <f ca="1">OFFSET(Database!$F61,0,COLUMN(Database!CV61)*2-12)</f>
        <v>n.r.</v>
      </c>
      <c r="CZ61" s="8" t="str">
        <f ca="1">OFFSET(Database!$F61,0,COLUMN(Database!CW61)*2-12)</f>
        <v>n.r.</v>
      </c>
      <c r="DA61" s="8" t="str">
        <f ca="1">OFFSET(Database!$F61,0,COLUMN(Database!CX61)*2-12)</f>
        <v>n.r.</v>
      </c>
      <c r="DB61" s="8">
        <f ca="1">OFFSET(Database!$F61,0,COLUMN(Database!CY61)*2-12)</f>
        <v>6.6000000000000003E-2</v>
      </c>
      <c r="DC61" s="8">
        <f ca="1">OFFSET(Database!$F61,0,COLUMN(Database!CZ61)*2-12)</f>
        <v>5.0999999999999997E-2</v>
      </c>
      <c r="DD61" s="8">
        <f ca="1">OFFSET(Database!$F61,0,COLUMN(Database!DA61)*2-12)</f>
        <v>0.125</v>
      </c>
      <c r="DE61" s="8" t="str">
        <f ca="1">OFFSET(Database!$F61,0,COLUMN(Database!DB61)*2-12)</f>
        <v>&lt;0.0085</v>
      </c>
      <c r="DF61" s="8" t="str">
        <f ca="1">OFFSET(Database!$F61,0,COLUMN(Database!DC61)*2-12)</f>
        <v>n.r.</v>
      </c>
      <c r="DG61" s="8" t="str">
        <f ca="1">OFFSET(Database!$F61,0,COLUMN(Database!DD61)*2-12)</f>
        <v>n.r.</v>
      </c>
      <c r="DH61" s="8" t="str">
        <f ca="1">OFFSET(Database!$F61,0,COLUMN(Database!DE61)*2-12)</f>
        <v>n.r.</v>
      </c>
      <c r="DI61" s="8" t="str">
        <f ca="1">OFFSET(Database!$F61,0,COLUMN(Database!DF61)*2-12)</f>
        <v>n.r.</v>
      </c>
      <c r="DJ61" s="8" t="str">
        <f ca="1">OFFSET(Database!$F61,0,COLUMN(Database!DG61)*2-12)</f>
        <v>n.r.</v>
      </c>
      <c r="DK61" s="8" t="str">
        <f ca="1">OFFSET(Database!$F61,0,COLUMN(Database!DH61)*2-12)</f>
        <v>n.r.</v>
      </c>
      <c r="DL61" s="8" t="str">
        <f ca="1">OFFSET(Database!$F61,0,COLUMN(Database!DI61)*2-12)</f>
        <v>n.r.</v>
      </c>
      <c r="DM61" s="8" t="str">
        <f ca="1">OFFSET(Database!$F61,0,COLUMN(Database!DJ61)*2-12)</f>
        <v>n.r.</v>
      </c>
      <c r="DN61" s="8" t="str">
        <f ca="1">OFFSET(Database!$F61,0,COLUMN(Database!DK61)*2-12)</f>
        <v>n.r.</v>
      </c>
      <c r="DO61" s="8" t="str">
        <f ca="1">OFFSET(Database!$F61,0,COLUMN(Database!DL61)*2-12)</f>
        <v>n.r.</v>
      </c>
      <c r="DP61" s="8" t="str">
        <f ca="1">OFFSET(Database!$F61,0,COLUMN(Database!DM61)*2-12)</f>
        <v>n.r.</v>
      </c>
      <c r="DQ61" s="8" t="str">
        <f ca="1">OFFSET(Database!$F61,0,COLUMN(Database!DN61)*2-12)</f>
        <v>n.r.</v>
      </c>
      <c r="DR61" s="8" t="str">
        <f ca="1">OFFSET(Database!$F61,0,COLUMN(Database!DO61)*2-12)</f>
        <v>n.r.</v>
      </c>
      <c r="DS61" s="8" t="str">
        <f ca="1">OFFSET(Database!$F61,0,COLUMN(Database!DP61)*2-12)</f>
        <v>n.r.</v>
      </c>
      <c r="DT61" s="8" t="str">
        <f ca="1">OFFSET(Database!$F61,0,COLUMN(Database!DQ61)*2-12)</f>
        <v>n.r.</v>
      </c>
      <c r="DU61" s="8" t="str">
        <f ca="1">OFFSET(Database!$F61,0,COLUMN(Database!DR61)*2-12)</f>
        <v>n.r.</v>
      </c>
      <c r="DV61" s="8" t="str">
        <f ca="1">OFFSET(Database!$F61,0,COLUMN(Database!DS61)*2-12)</f>
        <v>n.r.</v>
      </c>
      <c r="DW61" s="8" t="str">
        <f ca="1">OFFSET(Database!$F61,0,COLUMN(Database!DT61)*2-12)</f>
        <v>n.r.</v>
      </c>
      <c r="DX61" s="8" t="str">
        <f ca="1">OFFSET(Database!$F61,0,COLUMN(Database!DU61)*2-12)</f>
        <v>n.r.</v>
      </c>
      <c r="DY61" s="8" t="str">
        <f ca="1">OFFSET(Database!$F61,0,COLUMN(Database!DV61)*2-12)</f>
        <v>n.r.</v>
      </c>
      <c r="DZ61" s="8" t="str">
        <f ca="1">OFFSET(Database!$F61,0,COLUMN(Database!DW61)*2-12)</f>
        <v>n.r.</v>
      </c>
      <c r="EA61" s="8" t="str">
        <f ca="1">OFFSET(Database!$F61,0,COLUMN(Database!DX61)*2-12)</f>
        <v>n.r.</v>
      </c>
      <c r="EB61" s="8" t="str">
        <f ca="1">OFFSET(Database!$F61,0,COLUMN(Database!DY61)*2-12)</f>
        <v>n.r.</v>
      </c>
      <c r="EC61" s="8" t="str">
        <f ca="1">OFFSET(Database!$F61,0,COLUMN(Database!DZ61)*2-12)</f>
        <v>n.r.</v>
      </c>
      <c r="ED61" s="8" t="str">
        <f ca="1">OFFSET(Database!$F61,0,COLUMN(Database!EA61)*2-12)</f>
        <v>n.r</v>
      </c>
      <c r="EE61" s="8" t="str">
        <f ca="1">OFFSET(Database!$F61,0,COLUMN(Database!EB61)*2-12)</f>
        <v>n.r.</v>
      </c>
      <c r="EF61" s="8" t="str">
        <f ca="1">OFFSET(Database!$F61,0,COLUMN(Database!EC61)*2-12)</f>
        <v>n.r.</v>
      </c>
      <c r="EG61" s="8" t="str">
        <f ca="1">OFFSET(Database!$F61,0,COLUMN(Database!ED61)*2-12)</f>
        <v>n.r.</v>
      </c>
      <c r="EH61" s="8" t="str">
        <f ca="1">OFFSET(Database!$F61,0,COLUMN(Database!EE61)*2-12)</f>
        <v>n.r.</v>
      </c>
      <c r="EI61" s="8" t="str">
        <f ca="1">OFFSET(Database!$F61,0,COLUMN(Database!EF61)*2-12)</f>
        <v>n.r.</v>
      </c>
      <c r="EJ61" s="8" t="str">
        <f ca="1">OFFSET(Database!$F61,0,COLUMN(Database!EG61)*2-12)</f>
        <v>n.r.</v>
      </c>
      <c r="EK61" s="8" t="str">
        <f ca="1">OFFSET(Database!$F61,0,COLUMN(Database!EH61)*2-12)</f>
        <v>n.r.</v>
      </c>
      <c r="EL61" s="8" t="str">
        <f ca="1">OFFSET(Database!$F61,0,COLUMN(Database!EI61)*2-12)</f>
        <v>n.r.</v>
      </c>
      <c r="EM61" s="8" t="str">
        <f ca="1">OFFSET(Database!$F61,0,COLUMN(Database!EJ61)*2-12)</f>
        <v>n.r.</v>
      </c>
      <c r="EN61" s="8" t="str">
        <f ca="1">OFFSET(Database!$F61,0,COLUMN(Database!EK61)*2-12)</f>
        <v>n.r.</v>
      </c>
      <c r="EO61" s="8" t="str">
        <f ca="1">OFFSET(Database!$F61,0,COLUMN(Database!EL61)*2-12)</f>
        <v>n.r.</v>
      </c>
      <c r="EP61" s="8" t="str">
        <f ca="1">OFFSET(Database!$F61,0,COLUMN(Database!EM61)*2-12)</f>
        <v>n.r.</v>
      </c>
      <c r="EQ61" s="8" t="str">
        <f ca="1">OFFSET(Database!$F61,0,COLUMN(Database!EN61)*2-12)</f>
        <v>n.r.</v>
      </c>
      <c r="ER61" s="8" t="str">
        <f ca="1">OFFSET(Database!$F61,0,COLUMN(Database!EO61)*2-12)</f>
        <v>n.r.</v>
      </c>
      <c r="ES61" s="8" t="str">
        <f ca="1">OFFSET(Database!$F61,0,COLUMN(Database!EP61)*2-12)</f>
        <v>n.r.</v>
      </c>
      <c r="ET61" s="8" t="str">
        <f ca="1">OFFSET(Database!$F61,0,COLUMN(Database!EQ61)*2-12)</f>
        <v>n.r.</v>
      </c>
      <c r="EU61" s="8" t="str">
        <f ca="1">OFFSET(Database!$F61,0,COLUMN(Database!ER61)*2-12)</f>
        <v>n.r.</v>
      </c>
      <c r="EV61" s="8" t="str">
        <f ca="1">OFFSET(Database!$F61,0,COLUMN(Database!ES61)*2-12)</f>
        <v>n.r.</v>
      </c>
      <c r="EW61" s="8" t="str">
        <f ca="1">OFFSET(Database!$F61,0,COLUMN(Database!ET61)*2-12)</f>
        <v>n.r.</v>
      </c>
      <c r="EX61" s="8" t="str">
        <f ca="1">OFFSET(Database!$F61,0,COLUMN(Database!EU61)*2-12)</f>
        <v>n.r.</v>
      </c>
      <c r="EY61" s="8" t="str">
        <f ca="1">OFFSET(Database!$F61,0,COLUMN(Database!EV61)*2-12)</f>
        <v>n.r.</v>
      </c>
      <c r="EZ61" s="8" t="str">
        <f ca="1">OFFSET(Database!$F61,0,COLUMN(Database!EW61)*2-12)</f>
        <v>n.r.</v>
      </c>
      <c r="FA61" s="8" t="str">
        <f ca="1">OFFSET(Database!$F61,0,COLUMN(Database!EX61)*2-12)</f>
        <v>n.r.</v>
      </c>
      <c r="FB61" s="8" t="str">
        <f ca="1">OFFSET(Database!$F61,0,COLUMN(Database!EY61)*2-12)</f>
        <v>n.r.</v>
      </c>
      <c r="FC61" s="8" t="str">
        <f ca="1">OFFSET(Database!$F61,0,COLUMN(Database!EZ61)*2-12)</f>
        <v>n.r.</v>
      </c>
      <c r="FD61" s="8" t="str">
        <f ca="1">OFFSET(Database!$F61,0,COLUMN(Database!FA61)*2-12)</f>
        <v>n.r.</v>
      </c>
      <c r="FE61" s="8" t="str">
        <f ca="1">OFFSET(Database!$F61,0,COLUMN(Database!FB61)*2-12)</f>
        <v>n.r.</v>
      </c>
      <c r="FF61" s="8" t="str">
        <f ca="1">OFFSET(Database!$F61,0,COLUMN(Database!FC61)*2-12)</f>
        <v>n.r.</v>
      </c>
      <c r="FG61" s="8" t="str">
        <f ca="1">OFFSET(Database!$F61,0,COLUMN(Database!FD61)*2-12)</f>
        <v>n.r.</v>
      </c>
      <c r="FH61" s="8" t="str">
        <f ca="1">OFFSET(Database!$F61,0,COLUMN(Database!FE61)*2-12)</f>
        <v>n.r.</v>
      </c>
      <c r="FI61" s="8" t="str">
        <f ca="1">OFFSET(Database!$F61,0,COLUMN(Database!FF61)*2-12)</f>
        <v>n.r.</v>
      </c>
      <c r="FJ61" s="8" t="str">
        <f ca="1">OFFSET(Database!$F61,0,COLUMN(Database!FG61)*2-12)</f>
        <v>n.r.</v>
      </c>
      <c r="FK61" s="8" t="str">
        <f ca="1">OFFSET(Database!$F61,0,COLUMN(Database!FH61)*2-12)</f>
        <v>n.r.</v>
      </c>
      <c r="FL61" s="8" t="str">
        <f ca="1">OFFSET(Database!$F61,0,COLUMN(Database!FI61)*2-12)</f>
        <v>n.r.</v>
      </c>
      <c r="FM61" s="8" t="str">
        <f ca="1">OFFSET(Database!$F61,0,COLUMN(Database!FJ61)*2-12)</f>
        <v>n.r.</v>
      </c>
      <c r="FN61" s="8" t="str">
        <f ca="1">OFFSET(Database!$F61,0,COLUMN(Database!FK61)*2-12)</f>
        <v>n.r.</v>
      </c>
      <c r="FO61" s="8" t="str">
        <f ca="1">OFFSET(Database!$F61,0,COLUMN(Database!FL61)*2-12)</f>
        <v>n.r.</v>
      </c>
      <c r="FP61" s="8" t="str">
        <f ca="1">OFFSET(Database!$F61,0,COLUMN(Database!FM61)*2-12)</f>
        <v>n.r.</v>
      </c>
      <c r="FQ61" s="8" t="str">
        <f ca="1">OFFSET(Database!$F61,0,COLUMN(Database!FN61)*2-12)</f>
        <v>n.r.</v>
      </c>
      <c r="FR61" s="8" t="str">
        <f ca="1">OFFSET(Database!$F61,0,COLUMN(Database!FO61)*2-12)</f>
        <v>n.r.</v>
      </c>
      <c r="FS61" s="8" t="str">
        <f ca="1">OFFSET(Database!$F61,0,COLUMN(Database!FP61)*2-12)</f>
        <v>n.r.</v>
      </c>
      <c r="FT61" s="8" t="str">
        <f ca="1">OFFSET(Database!$F61,0,COLUMN(Database!FQ61)*2-12)</f>
        <v>n.r.</v>
      </c>
      <c r="FU61" s="8" t="str">
        <f ca="1">OFFSET(Database!$F61,0,COLUMN(Database!FR61)*2-12)</f>
        <v>n.r.</v>
      </c>
      <c r="FV61" s="8" t="str">
        <f ca="1">OFFSET(Database!$F61,0,COLUMN(Database!FS61)*2-12)</f>
        <v>n.r.</v>
      </c>
      <c r="FW61" s="8" t="str">
        <f ca="1">OFFSET(Database!$F61,0,COLUMN(Database!FT61)*2-12)</f>
        <v>n.r.</v>
      </c>
      <c r="FX61" s="8" t="str">
        <f ca="1">OFFSET(Database!$F61,0,COLUMN(Database!FU61)*2-12)</f>
        <v>n.r.</v>
      </c>
      <c r="FY61" s="8" t="str">
        <f ca="1">OFFSET(Database!$F61,0,COLUMN(Database!FV61)*2-12)</f>
        <v>n.r.</v>
      </c>
      <c r="FZ61" s="8" t="str">
        <f ca="1">OFFSET(Database!$F61,0,COLUMN(Database!FW61)*2-12)</f>
        <v>n.r.</v>
      </c>
      <c r="GA61" s="8" t="str">
        <f ca="1">OFFSET(Database!$F61,0,COLUMN(Database!FX61)*2-12)</f>
        <v>n.r.</v>
      </c>
      <c r="GB61" s="8" t="str">
        <f ca="1">OFFSET(Database!$F61,0,COLUMN(Database!FY61)*2-12)</f>
        <v>n.r.</v>
      </c>
      <c r="GC61" s="8" t="str">
        <f ca="1">OFFSET(Database!$F61,0,COLUMN(Database!FZ61)*2-12)</f>
        <v>n.r.</v>
      </c>
      <c r="GD61" s="8" t="str">
        <f ca="1">OFFSET(Database!$F61,0,COLUMN(Database!GA61)*2-12)</f>
        <v>n.r.</v>
      </c>
      <c r="GE61" s="8" t="str">
        <f ca="1">OFFSET(Database!$F61,0,COLUMN(Database!GB61)*2-12)</f>
        <v>n.r.</v>
      </c>
      <c r="GF61" s="8" t="str">
        <f ca="1">OFFSET(Database!$F61,0,COLUMN(Database!GC61)*2-12)</f>
        <v>n.r.</v>
      </c>
      <c r="GG61" s="8" t="str">
        <f ca="1">OFFSET(Database!$F61,0,COLUMN(Database!GD61)*2-12)</f>
        <v>n.r.</v>
      </c>
      <c r="GH61" s="8" t="str">
        <f ca="1">OFFSET(Database!$F61,0,COLUMN(Database!GE61)*2-12)</f>
        <v>n.r.</v>
      </c>
      <c r="GI61" s="8" t="str">
        <f ca="1">OFFSET(Database!$F61,0,COLUMN(Database!GF61)*2-12)</f>
        <v>n.r.</v>
      </c>
      <c r="GJ61" s="8" t="str">
        <f ca="1">OFFSET(Database!$F61,0,COLUMN(Database!GG61)*2-12)</f>
        <v>n.r.</v>
      </c>
      <c r="GK61" s="8" t="str">
        <f ca="1">OFFSET(Database!$F61,0,COLUMN(Database!GH61)*2-12)</f>
        <v>n.r.</v>
      </c>
      <c r="GL61" s="8" t="str">
        <f ca="1">OFFSET(Database!$F61,0,COLUMN(Database!GI61)*2-12)</f>
        <v>n.r.</v>
      </c>
      <c r="GM61" s="8" t="str">
        <f ca="1">OFFSET(Database!$F61,0,COLUMN(Database!GJ61)*2-12)</f>
        <v>n.r.</v>
      </c>
      <c r="GN61" s="8" t="str">
        <f ca="1">OFFSET(Database!$F61,0,COLUMN(Database!GK61)*2-12)</f>
        <v>n.r.</v>
      </c>
      <c r="GO61" s="8" t="str">
        <f ca="1">OFFSET(Database!$F61,0,COLUMN(Database!GL61)*2-12)</f>
        <v>n.r.</v>
      </c>
      <c r="GP61" s="8" t="str">
        <f ca="1">OFFSET(Database!$F61,0,COLUMN(Database!GM61)*2-12)</f>
        <v>n.r.</v>
      </c>
    </row>
    <row r="62" spans="1:198" x14ac:dyDescent="0.2">
      <c r="A62" s="50" t="str">
        <f>Database!A62</f>
        <v>DL-3-amino-2-ethyl propanoic acid</v>
      </c>
      <c r="B62" s="32" t="s">
        <v>1009</v>
      </c>
      <c r="C62" s="4" t="str">
        <f>Database!B62</f>
        <v>β</v>
      </c>
      <c r="D62" s="4" t="str">
        <f>Database!C62</f>
        <v>Both</v>
      </c>
      <c r="E62" s="74">
        <f>Database!D62</f>
        <v>20</v>
      </c>
      <c r="F62" s="32" t="s">
        <v>942</v>
      </c>
      <c r="G62" s="4">
        <v>444457</v>
      </c>
      <c r="H62" s="1">
        <f>Database!E62</f>
        <v>117.15</v>
      </c>
      <c r="I62" s="8" t="str">
        <f ca="1">OFFSET(Database!$F62,0,COLUMN(Database!F62)*2-12)</f>
        <v>tr</v>
      </c>
      <c r="J62" s="8" t="str">
        <f ca="1">OFFSET(Database!$F62,0,COLUMN(Database!G62)*2-12)</f>
        <v>tr</v>
      </c>
      <c r="K62" s="8" t="str">
        <f ca="1">OFFSET(Database!$F62,0,COLUMN(Database!H62)*2-12)</f>
        <v>tr</v>
      </c>
      <c r="L62" s="8" t="str">
        <f ca="1">OFFSET(Database!$F62,0,COLUMN(Database!I62)*2-12)</f>
        <v>tr</v>
      </c>
      <c r="M62" s="8">
        <f ca="1">OFFSET(Database!$F62,0,COLUMN(Database!J62)*2-12)</f>
        <v>8.9999999999999998E-4</v>
      </c>
      <c r="N62" s="8" t="str">
        <f ca="1">OFFSET(Database!$F62,0,COLUMN(Database!K62)*2-12)</f>
        <v>n.r.</v>
      </c>
      <c r="O62" s="8">
        <f ca="1">OFFSET(Database!$F62,0,COLUMN(Database!L62)*2-12)</f>
        <v>0.75</v>
      </c>
      <c r="P62" s="8">
        <f ca="1">OFFSET(Database!$F62,0,COLUMN(Database!M62)*2-12)</f>
        <v>0.19</v>
      </c>
      <c r="Q62" s="8">
        <f ca="1">OFFSET(Database!$F62,0,COLUMN(Database!N62)*2-12)</f>
        <v>0.69</v>
      </c>
      <c r="R62" s="8" t="str">
        <f ca="1">OFFSET(Database!$F62,0,COLUMN(Database!O62)*2-12)</f>
        <v>n.r.</v>
      </c>
      <c r="S62" s="8" t="str">
        <f ca="1">OFFSET(Database!$F62,0,COLUMN(Database!P62)*2-12)</f>
        <v>n.r.</v>
      </c>
      <c r="T62" s="8">
        <f ca="1">OFFSET(Database!$F62,0,COLUMN(Database!Q62)*2-12)</f>
        <v>11.9</v>
      </c>
      <c r="U62" s="8">
        <f ca="1">OFFSET(Database!$F62,0,COLUMN(Database!R62)*2-12)</f>
        <v>6.61</v>
      </c>
      <c r="V62" s="8">
        <f ca="1">OFFSET(Database!$F62,0,COLUMN(Database!S62)*2-12)</f>
        <v>9.3896713615023469E-2</v>
      </c>
      <c r="W62" s="8">
        <f ca="1">OFFSET(Database!$F62,0,COLUMN(Database!T62)*2-12)</f>
        <v>0.21340162185232606</v>
      </c>
      <c r="X62" s="8">
        <f ca="1">OFFSET(Database!$F62,0,COLUMN(Database!U62)*2-12)</f>
        <v>4.0119504908237298</v>
      </c>
      <c r="Y62" s="8" t="str">
        <f ca="1">OFFSET(Database!$F62,0,COLUMN(Database!V62)*2-12)</f>
        <v>p.c.r.</v>
      </c>
      <c r="Z62" s="8" t="str">
        <f ca="1">OFFSET(Database!$F62,0,COLUMN(Database!W62)*2-12)</f>
        <v>&lt;0.3</v>
      </c>
      <c r="AA62" s="8" t="str">
        <f ca="1">OFFSET(Database!$F62,0,COLUMN(Database!X62)*2-12)</f>
        <v>n.r.</v>
      </c>
      <c r="AB62" s="8" t="str">
        <f ca="1">OFFSET(Database!$F62,0,COLUMN(Database!Y62)*2-12)</f>
        <v>n.r.</v>
      </c>
      <c r="AC62" s="8">
        <f ca="1">OFFSET(Database!$F62,0,COLUMN(Database!Z62)*2-12)</f>
        <v>0.31583440034144256</v>
      </c>
      <c r="AD62" s="8">
        <f ca="1">OFFSET(Database!$F62,0,COLUMN(Database!AA62)*2-12)</f>
        <v>0.20486555697823303</v>
      </c>
      <c r="AE62" s="8">
        <f ca="1">OFFSET(Database!$F62,0,COLUMN(Database!AB62)*2-12)</f>
        <v>4.5582586427656846</v>
      </c>
      <c r="AF62" s="8" t="str">
        <f ca="1">OFFSET(Database!$F62,0,COLUMN(Database!AC62)*2-12)</f>
        <v>p.c.r.</v>
      </c>
      <c r="AG62" s="8" t="str">
        <f ca="1">OFFSET(Database!$F62,0,COLUMN(Database!AD62)*2-12)</f>
        <v>n.d.</v>
      </c>
      <c r="AH62" s="8" t="str">
        <f ca="1">OFFSET(Database!$F62,0,COLUMN(Database!AE62)*2-12)</f>
        <v>n.r.</v>
      </c>
      <c r="AI62" s="8" t="str">
        <f ca="1">OFFSET(Database!$F62,0,COLUMN(Database!AF62)*2-12)</f>
        <v>n.r.</v>
      </c>
      <c r="AJ62" s="8" t="str">
        <f ca="1">OFFSET(Database!$F62,0,COLUMN(Database!AG62)*2-12)</f>
        <v>n.r.</v>
      </c>
      <c r="AK62" s="8" t="str">
        <f ca="1">OFFSET(Database!$F62,0,COLUMN(Database!AH62)*2-12)</f>
        <v>n.r.</v>
      </c>
      <c r="AL62" s="8" t="str">
        <f ca="1">OFFSET(Database!$F62,0,COLUMN(Database!AI62)*2-12)</f>
        <v>n.r.</v>
      </c>
      <c r="AM62" s="8" t="str">
        <f ca="1">OFFSET(Database!$F62,0,COLUMN(Database!AJ62)*2-12)</f>
        <v>&lt;0.1</v>
      </c>
      <c r="AN62" s="8" t="str">
        <f ca="1">OFFSET(Database!$F62,0,COLUMN(Database!AK62)*2-12)</f>
        <v>&lt;0.1</v>
      </c>
      <c r="AO62" s="8">
        <f ca="1">OFFSET(Database!$F62,0,COLUMN(Database!AL62)*2-12)</f>
        <v>1.4596670934699103</v>
      </c>
      <c r="AP62" s="8">
        <f ca="1">OFFSET(Database!$F62,0,COLUMN(Database!AM62)*2-12)</f>
        <v>0.05</v>
      </c>
      <c r="AQ62" s="8" t="str">
        <f ca="1">OFFSET(Database!$F62,0,COLUMN(Database!AN62)*2-12)</f>
        <v>&lt;0.01</v>
      </c>
      <c r="AR62" s="8" t="str">
        <f ca="1">OFFSET(Database!$F62,0,COLUMN(Database!AO62)*2-12)</f>
        <v>&lt;0.01</v>
      </c>
      <c r="AS62" s="8" t="str">
        <f ca="1">OFFSET(Database!$F62,0,COLUMN(Database!AP62)*2-12)</f>
        <v>&lt;0.0009</v>
      </c>
      <c r="AT62" s="8" t="str">
        <f ca="1">OFFSET(Database!$F62,0,COLUMN(Database!AQ62)*2-12)</f>
        <v>&lt;0.0009</v>
      </c>
      <c r="AU62" s="8" t="str">
        <f ca="1">OFFSET(Database!$F62,0,COLUMN(Database!AR62)*2-12)</f>
        <v>&lt;0.0009</v>
      </c>
      <c r="AV62" s="8" t="str">
        <f ca="1">OFFSET(Database!$F62,0,COLUMN(Database!AS62)*2-12)</f>
        <v>&lt;0.0009</v>
      </c>
      <c r="AW62" s="8" t="str">
        <f ca="1">OFFSET(Database!$F62,0,COLUMN(Database!AT62)*2-12)</f>
        <v>&lt;0.0009</v>
      </c>
      <c r="AX62" s="8" t="str">
        <f ca="1">OFFSET(Database!$F62,0,COLUMN(Database!AU62)*2-12)</f>
        <v>&lt;0.0171</v>
      </c>
      <c r="AY62" s="8" t="str">
        <f ca="1">OFFSET(Database!$F62,0,COLUMN(Database!AV62)*2-12)</f>
        <v>&lt;0.0009</v>
      </c>
      <c r="AZ62" s="8" t="str">
        <f ca="1">OFFSET(Database!$F62,0,COLUMN(Database!AW62)*2-12)</f>
        <v>&lt;0.0009</v>
      </c>
      <c r="BA62" s="8" t="str">
        <f ca="1">OFFSET(Database!$F62,0,COLUMN(Database!AX62)*2-12)</f>
        <v>&lt;0.0009</v>
      </c>
      <c r="BB62" s="8" t="str">
        <f ca="1">OFFSET(Database!$F62,0,COLUMN(Database!AY62)*2-12)</f>
        <v>&lt;0.0009</v>
      </c>
      <c r="BC62" s="8" t="str">
        <f ca="1">OFFSET(Database!$F62,0,COLUMN(Database!AZ62)*2-12)</f>
        <v>&lt;0.0009</v>
      </c>
      <c r="BD62" s="8" t="str">
        <f ca="1">OFFSET(Database!$F62,0,COLUMN(Database!BA62)*2-12)</f>
        <v>&lt;0.0009</v>
      </c>
      <c r="BE62" s="8" t="str">
        <f ca="1">OFFSET(Database!$F62,0,COLUMN(Database!BB62)*2-12)</f>
        <v>&lt;0.0009</v>
      </c>
      <c r="BF62" s="8" t="str">
        <f ca="1">OFFSET(Database!$F62,0,COLUMN(Database!BC62)*2-12)</f>
        <v>&lt;0.0009</v>
      </c>
      <c r="BG62" s="8" t="str">
        <f ca="1">OFFSET(Database!$F62,0,COLUMN(Database!BD62)*2-12)</f>
        <v>&lt;0.0009</v>
      </c>
      <c r="BH62" s="8" t="str">
        <f ca="1">OFFSET(Database!$F62,0,COLUMN(Database!BE62)*2-12)</f>
        <v>n.r.</v>
      </c>
      <c r="BI62" s="8" t="str">
        <f ca="1">OFFSET(Database!$F62,0,COLUMN(Database!BF62)*2-12)</f>
        <v>n.r.</v>
      </c>
      <c r="BJ62" s="8">
        <f ca="1">OFFSET(Database!$F62,0,COLUMN(Database!BG62)*2-12)</f>
        <v>0.3414425949637217</v>
      </c>
      <c r="BK62" s="8">
        <f ca="1">OFFSET(Database!$F62,0,COLUMN(Database!BH62)*2-12)</f>
        <v>0.79385403329065296</v>
      </c>
      <c r="BL62" s="8">
        <f ca="1">OFFSET(Database!$F62,0,COLUMN(Database!BI62)*2-12)</f>
        <v>0.61459667093469905</v>
      </c>
      <c r="BM62" s="8" t="str">
        <f ca="1">OFFSET(Database!$F62,0,COLUMN(Database!BJ62)*2-12)</f>
        <v>&lt;0.0009</v>
      </c>
      <c r="BN62" s="8">
        <f ca="1">OFFSET(Database!$F62,0,COLUMN(Database!BK62)*2-12)</f>
        <v>0.13657703798548868</v>
      </c>
      <c r="BO62" s="8">
        <f ca="1">OFFSET(Database!$F62,0,COLUMN(Database!BL62)*2-12)</f>
        <v>2.1340162185232606E-2</v>
      </c>
      <c r="BP62" s="8" t="str">
        <f ca="1">OFFSET(Database!$F62,0,COLUMN(Database!BM62)*2-12)</f>
        <v>&lt;0.0009</v>
      </c>
      <c r="BQ62" s="8" t="str">
        <f ca="1">OFFSET(Database!$F62,0,COLUMN(Database!BN62)*2-12)</f>
        <v>&lt;0.0009</v>
      </c>
      <c r="BR62" s="8" t="str">
        <f ca="1">OFFSET(Database!$F62,0,COLUMN(Database!BO62)*2-12)</f>
        <v>&lt;0.0009</v>
      </c>
      <c r="BS62" s="8" t="str">
        <f ca="1">OFFSET(Database!$F62,0,COLUMN(Database!BP62)*2-12)</f>
        <v>&lt;0.001</v>
      </c>
      <c r="BT62" s="8" t="str">
        <f ca="1">OFFSET(Database!$F62,0,COLUMN(Database!BQ62)*2-12)</f>
        <v>&lt;0.001</v>
      </c>
      <c r="BU62" s="8" t="str">
        <f ca="1">OFFSET(Database!$F62,0,COLUMN(Database!BR62)*2-12)</f>
        <v>&lt;0.001</v>
      </c>
      <c r="BV62" s="8" t="str">
        <f ca="1">OFFSET(Database!$F62,0,COLUMN(Database!BS62)*2-12)</f>
        <v>&lt;0.001</v>
      </c>
      <c r="BW62" s="8" t="str">
        <f ca="1">OFFSET(Database!$F62,0,COLUMN(Database!BT62)*2-12)</f>
        <v>&lt;0.0001</v>
      </c>
      <c r="BX62" s="8" t="str">
        <f ca="1">OFFSET(Database!$F62,0,COLUMN(Database!BU62)*2-12)</f>
        <v>&lt;0.0001</v>
      </c>
      <c r="BY62" s="8" t="str">
        <f ca="1">OFFSET(Database!$F62,0,COLUMN(Database!BV62)*2-12)</f>
        <v>&lt;0.0001</v>
      </c>
      <c r="BZ62" s="8" t="str">
        <f ca="1">OFFSET(Database!$F62,0,COLUMN(Database!BW62)*2-12)</f>
        <v>n.r.</v>
      </c>
      <c r="CA62" s="8" t="str">
        <f ca="1">OFFSET(Database!$F62,0,COLUMN(Database!BX62)*2-12)</f>
        <v>n.r.</v>
      </c>
      <c r="CB62" s="8" t="str">
        <f ca="1">OFFSET(Database!$F62,0,COLUMN(Database!BY62)*2-12)</f>
        <v>n.r.</v>
      </c>
      <c r="CC62" s="8" t="str">
        <f ca="1">OFFSET(Database!$F62,0,COLUMN(Database!BZ62)*2-12)</f>
        <v>n.r.</v>
      </c>
      <c r="CD62" s="8" t="str">
        <f ca="1">OFFSET(Database!$F62,0,COLUMN(Database!CA62)*2-12)</f>
        <v>n.r.</v>
      </c>
      <c r="CE62" s="8" t="str">
        <f ca="1">OFFSET(Database!$F62,0,COLUMN(Database!CB62)*2-12)</f>
        <v>n.r.</v>
      </c>
      <c r="CF62" s="8" t="str">
        <f ca="1">OFFSET(Database!$F62,0,COLUMN(Database!CC62)*2-12)</f>
        <v>n.r.</v>
      </c>
      <c r="CG62" s="8" t="str">
        <f ca="1">OFFSET(Database!$F62,0,COLUMN(Database!CD62)*2-12)</f>
        <v>n.r.</v>
      </c>
      <c r="CH62" s="8" t="str">
        <f ca="1">OFFSET(Database!$F62,0,COLUMN(Database!CE62)*2-12)</f>
        <v>n.r.</v>
      </c>
      <c r="CI62" s="8" t="str">
        <f ca="1">OFFSET(Database!$F62,0,COLUMN(Database!CF62)*2-12)</f>
        <v>n.r.</v>
      </c>
      <c r="CJ62" s="8" t="str">
        <f ca="1">OFFSET(Database!$F62,0,COLUMN(Database!CG62)*2-12)</f>
        <v>n.r.</v>
      </c>
      <c r="CK62" s="8" t="str">
        <f ca="1">OFFSET(Database!$F62,0,COLUMN(Database!CH62)*2-12)</f>
        <v>n.r.</v>
      </c>
      <c r="CL62" s="8" t="str">
        <f ca="1">OFFSET(Database!$F62,0,COLUMN(Database!CI62)*2-12)</f>
        <v>n.r.</v>
      </c>
      <c r="CM62" s="8" t="str">
        <f ca="1">OFFSET(Database!$F62,0,COLUMN(Database!CJ62)*2-12)</f>
        <v>n.r.</v>
      </c>
      <c r="CN62" s="8" t="str">
        <f ca="1">OFFSET(Database!$F62,0,COLUMN(Database!CK62)*2-12)</f>
        <v>n.r.</v>
      </c>
      <c r="CO62" s="8" t="str">
        <f ca="1">OFFSET(Database!$F62,0,COLUMN(Database!CL62)*2-12)</f>
        <v>n.r.</v>
      </c>
      <c r="CP62" s="8" t="str">
        <f ca="1">OFFSET(Database!$F62,0,COLUMN(Database!CM62)*2-12)</f>
        <v>n.r.</v>
      </c>
      <c r="CQ62" s="8" t="str">
        <f ca="1">OFFSET(Database!$F62,0,COLUMN(Database!CN62)*2-12)</f>
        <v>n.r.</v>
      </c>
      <c r="CR62" s="8" t="str">
        <f ca="1">OFFSET(Database!$F62,0,COLUMN(Database!CO62)*2-12)</f>
        <v>n.r.</v>
      </c>
      <c r="CS62" s="8" t="str">
        <f ca="1">OFFSET(Database!$F62,0,COLUMN(Database!CP62)*2-12)</f>
        <v>n.r.</v>
      </c>
      <c r="CT62" s="8" t="str">
        <f ca="1">OFFSET(Database!$F62,0,COLUMN(Database!CQ62)*2-12)</f>
        <v>n.r.</v>
      </c>
      <c r="CU62" s="8" t="str">
        <f ca="1">OFFSET(Database!$F62,0,COLUMN(Database!CR62)*2-12)</f>
        <v>n.r.</v>
      </c>
      <c r="CV62" s="8" t="str">
        <f ca="1">OFFSET(Database!$F62,0,COLUMN(Database!CS62)*2-12)</f>
        <v>n.r.</v>
      </c>
      <c r="CW62" s="8" t="str">
        <f ca="1">OFFSET(Database!$F62,0,COLUMN(Database!CT62)*2-12)</f>
        <v>n.r.</v>
      </c>
      <c r="CX62" s="8" t="str">
        <f ca="1">OFFSET(Database!$F62,0,COLUMN(Database!CU62)*2-12)</f>
        <v>n.r.</v>
      </c>
      <c r="CY62" s="8" t="str">
        <f ca="1">OFFSET(Database!$F62,0,COLUMN(Database!CV62)*2-12)</f>
        <v>n.r.</v>
      </c>
      <c r="CZ62" s="8" t="str">
        <f ca="1">OFFSET(Database!$F62,0,COLUMN(Database!CW62)*2-12)</f>
        <v>n.r.</v>
      </c>
      <c r="DA62" s="8" t="str">
        <f ca="1">OFFSET(Database!$F62,0,COLUMN(Database!CX62)*2-12)</f>
        <v>n.r.</v>
      </c>
      <c r="DB62" s="8" t="str">
        <f ca="1">OFFSET(Database!$F62,0,COLUMN(Database!CY62)*2-12)</f>
        <v>n.s.</v>
      </c>
      <c r="DC62" s="8" t="str">
        <f ca="1">OFFSET(Database!$F62,0,COLUMN(Database!CZ62)*2-12)</f>
        <v>n.s.</v>
      </c>
      <c r="DD62" s="8">
        <f ca="1">OFFSET(Database!$F62,0,COLUMN(Database!DA62)*2-12)</f>
        <v>0.121</v>
      </c>
      <c r="DE62" s="8" t="str">
        <f ca="1">OFFSET(Database!$F62,0,COLUMN(Database!DB62)*2-12)</f>
        <v>n.r.</v>
      </c>
      <c r="DF62" s="8" t="str">
        <f ca="1">OFFSET(Database!$F62,0,COLUMN(Database!DC62)*2-12)</f>
        <v>n.r.</v>
      </c>
      <c r="DG62" s="8" t="str">
        <f ca="1">OFFSET(Database!$F62,0,COLUMN(Database!DD62)*2-12)</f>
        <v>n.r.</v>
      </c>
      <c r="DH62" s="8" t="str">
        <f ca="1">OFFSET(Database!$F62,0,COLUMN(Database!DE62)*2-12)</f>
        <v>n.r.</v>
      </c>
      <c r="DI62" s="8" t="str">
        <f ca="1">OFFSET(Database!$F62,0,COLUMN(Database!DF62)*2-12)</f>
        <v>n.r.</v>
      </c>
      <c r="DJ62" s="8" t="str">
        <f ca="1">OFFSET(Database!$F62,0,COLUMN(Database!DG62)*2-12)</f>
        <v>n.r.</v>
      </c>
      <c r="DK62" s="8" t="str">
        <f ca="1">OFFSET(Database!$F62,0,COLUMN(Database!DH62)*2-12)</f>
        <v>n.r.</v>
      </c>
      <c r="DL62" s="8" t="str">
        <f ca="1">OFFSET(Database!$F62,0,COLUMN(Database!DI62)*2-12)</f>
        <v>n.r.</v>
      </c>
      <c r="DM62" s="8" t="str">
        <f ca="1">OFFSET(Database!$F62,0,COLUMN(Database!DJ62)*2-12)</f>
        <v>n.r.</v>
      </c>
      <c r="DN62" s="8" t="str">
        <f ca="1">OFFSET(Database!$F62,0,COLUMN(Database!DK62)*2-12)</f>
        <v>n.r.</v>
      </c>
      <c r="DO62" s="8" t="str">
        <f ca="1">OFFSET(Database!$F62,0,COLUMN(Database!DL62)*2-12)</f>
        <v>n.r.</v>
      </c>
      <c r="DP62" s="8" t="str">
        <f ca="1">OFFSET(Database!$F62,0,COLUMN(Database!DM62)*2-12)</f>
        <v>n.r.</v>
      </c>
      <c r="DQ62" s="8" t="str">
        <f ca="1">OFFSET(Database!$F62,0,COLUMN(Database!DN62)*2-12)</f>
        <v>n.r.</v>
      </c>
      <c r="DR62" s="8" t="str">
        <f ca="1">OFFSET(Database!$F62,0,COLUMN(Database!DO62)*2-12)</f>
        <v>n.r.</v>
      </c>
      <c r="DS62" s="8" t="str">
        <f ca="1">OFFSET(Database!$F62,0,COLUMN(Database!DP62)*2-12)</f>
        <v>n.r.</v>
      </c>
      <c r="DT62" s="8" t="str">
        <f ca="1">OFFSET(Database!$F62,0,COLUMN(Database!DQ62)*2-12)</f>
        <v>n.r.</v>
      </c>
      <c r="DU62" s="8" t="str">
        <f ca="1">OFFSET(Database!$F62,0,COLUMN(Database!DR62)*2-12)</f>
        <v>n.r.</v>
      </c>
      <c r="DV62" s="8" t="str">
        <f ca="1">OFFSET(Database!$F62,0,COLUMN(Database!DS62)*2-12)</f>
        <v>n.r.</v>
      </c>
      <c r="DW62" s="8" t="str">
        <f ca="1">OFFSET(Database!$F62,0,COLUMN(Database!DT62)*2-12)</f>
        <v>n.r.</v>
      </c>
      <c r="DX62" s="8" t="str">
        <f ca="1">OFFSET(Database!$F62,0,COLUMN(Database!DU62)*2-12)</f>
        <v>n.r.</v>
      </c>
      <c r="DY62" s="8" t="str">
        <f ca="1">OFFSET(Database!$F62,0,COLUMN(Database!DV62)*2-12)</f>
        <v>n.r.</v>
      </c>
      <c r="DZ62" s="8" t="str">
        <f ca="1">OFFSET(Database!$F62,0,COLUMN(Database!DW62)*2-12)</f>
        <v>n.r.</v>
      </c>
      <c r="EA62" s="8" t="str">
        <f ca="1">OFFSET(Database!$F62,0,COLUMN(Database!DX62)*2-12)</f>
        <v>n.r.</v>
      </c>
      <c r="EB62" s="8" t="str">
        <f ca="1">OFFSET(Database!$F62,0,COLUMN(Database!DY62)*2-12)</f>
        <v>n.r.</v>
      </c>
      <c r="EC62" s="8" t="str">
        <f ca="1">OFFSET(Database!$F62,0,COLUMN(Database!DZ62)*2-12)</f>
        <v>n.r.</v>
      </c>
      <c r="ED62" s="8" t="str">
        <f ca="1">OFFSET(Database!$F62,0,COLUMN(Database!EA62)*2-12)</f>
        <v>n.r</v>
      </c>
      <c r="EE62" s="8" t="str">
        <f ca="1">OFFSET(Database!$F62,0,COLUMN(Database!EB62)*2-12)</f>
        <v>n.r.</v>
      </c>
      <c r="EF62" s="8" t="str">
        <f ca="1">OFFSET(Database!$F62,0,COLUMN(Database!EC62)*2-12)</f>
        <v>n.r.</v>
      </c>
      <c r="EG62" s="8" t="str">
        <f ca="1">OFFSET(Database!$F62,0,COLUMN(Database!ED62)*2-12)</f>
        <v>n.r.</v>
      </c>
      <c r="EH62" s="8" t="str">
        <f ca="1">OFFSET(Database!$F62,0,COLUMN(Database!EE62)*2-12)</f>
        <v>n.r.</v>
      </c>
      <c r="EI62" s="8" t="str">
        <f ca="1">OFFSET(Database!$F62,0,COLUMN(Database!EF62)*2-12)</f>
        <v>n.r.</v>
      </c>
      <c r="EJ62" s="8" t="str">
        <f ca="1">OFFSET(Database!$F62,0,COLUMN(Database!EG62)*2-12)</f>
        <v>n.r.</v>
      </c>
      <c r="EK62" s="8" t="str">
        <f ca="1">OFFSET(Database!$F62,0,COLUMN(Database!EH62)*2-12)</f>
        <v>n.r.</v>
      </c>
      <c r="EL62" s="8" t="str">
        <f ca="1">OFFSET(Database!$F62,0,COLUMN(Database!EI62)*2-12)</f>
        <v>n.r.</v>
      </c>
      <c r="EM62" s="8" t="str">
        <f ca="1">OFFSET(Database!$F62,0,COLUMN(Database!EJ62)*2-12)</f>
        <v>n.r.</v>
      </c>
      <c r="EN62" s="8" t="str">
        <f ca="1">OFFSET(Database!$F62,0,COLUMN(Database!EK62)*2-12)</f>
        <v>n.r.</v>
      </c>
      <c r="EO62" s="8" t="str">
        <f ca="1">OFFSET(Database!$F62,0,COLUMN(Database!EL62)*2-12)</f>
        <v>n.r.</v>
      </c>
      <c r="EP62" s="8" t="str">
        <f ca="1">OFFSET(Database!$F62,0,COLUMN(Database!EM62)*2-12)</f>
        <v>n.r.</v>
      </c>
      <c r="EQ62" s="8" t="str">
        <f ca="1">OFFSET(Database!$F62,0,COLUMN(Database!EN62)*2-12)</f>
        <v>n.r.</v>
      </c>
      <c r="ER62" s="8" t="str">
        <f ca="1">OFFSET(Database!$F62,0,COLUMN(Database!EO62)*2-12)</f>
        <v>n.r.</v>
      </c>
      <c r="ES62" s="8" t="str">
        <f ca="1">OFFSET(Database!$F62,0,COLUMN(Database!EP62)*2-12)</f>
        <v>n.r.</v>
      </c>
      <c r="ET62" s="8" t="str">
        <f ca="1">OFFSET(Database!$F62,0,COLUMN(Database!EQ62)*2-12)</f>
        <v>n.r.</v>
      </c>
      <c r="EU62" s="8" t="str">
        <f ca="1">OFFSET(Database!$F62,0,COLUMN(Database!ER62)*2-12)</f>
        <v>n.r.</v>
      </c>
      <c r="EV62" s="8" t="str">
        <f ca="1">OFFSET(Database!$F62,0,COLUMN(Database!ES62)*2-12)</f>
        <v>n.r.</v>
      </c>
      <c r="EW62" s="8" t="str">
        <f ca="1">OFFSET(Database!$F62,0,COLUMN(Database!ET62)*2-12)</f>
        <v>n.r.</v>
      </c>
      <c r="EX62" s="8" t="str">
        <f ca="1">OFFSET(Database!$F62,0,COLUMN(Database!EU62)*2-12)</f>
        <v>n.r.</v>
      </c>
      <c r="EY62" s="8" t="str">
        <f ca="1">OFFSET(Database!$F62,0,COLUMN(Database!EV62)*2-12)</f>
        <v>n.r.</v>
      </c>
      <c r="EZ62" s="8" t="str">
        <f ca="1">OFFSET(Database!$F62,0,COLUMN(Database!EW62)*2-12)</f>
        <v>n.r.</v>
      </c>
      <c r="FA62" s="8" t="str">
        <f ca="1">OFFSET(Database!$F62,0,COLUMN(Database!EX62)*2-12)</f>
        <v>n.r.</v>
      </c>
      <c r="FB62" s="8" t="str">
        <f ca="1">OFFSET(Database!$F62,0,COLUMN(Database!EY62)*2-12)</f>
        <v>n.r.</v>
      </c>
      <c r="FC62" s="8" t="str">
        <f ca="1">OFFSET(Database!$F62,0,COLUMN(Database!EZ62)*2-12)</f>
        <v>n.r.</v>
      </c>
      <c r="FD62" s="8" t="str">
        <f ca="1">OFFSET(Database!$F62,0,COLUMN(Database!FA62)*2-12)</f>
        <v>n.r.</v>
      </c>
      <c r="FE62" s="8" t="str">
        <f ca="1">OFFSET(Database!$F62,0,COLUMN(Database!FB62)*2-12)</f>
        <v>n.r.</v>
      </c>
      <c r="FF62" s="8" t="str">
        <f ca="1">OFFSET(Database!$F62,0,COLUMN(Database!FC62)*2-12)</f>
        <v>n.r.</v>
      </c>
      <c r="FG62" s="8" t="str">
        <f ca="1">OFFSET(Database!$F62,0,COLUMN(Database!FD62)*2-12)</f>
        <v>n.r.</v>
      </c>
      <c r="FH62" s="8" t="str">
        <f ca="1">OFFSET(Database!$F62,0,COLUMN(Database!FE62)*2-12)</f>
        <v>n.r.</v>
      </c>
      <c r="FI62" s="8" t="str">
        <f ca="1">OFFSET(Database!$F62,0,COLUMN(Database!FF62)*2-12)</f>
        <v>n.r.</v>
      </c>
      <c r="FJ62" s="8" t="str">
        <f ca="1">OFFSET(Database!$F62,0,COLUMN(Database!FG62)*2-12)</f>
        <v>n.r.</v>
      </c>
      <c r="FK62" s="8" t="str">
        <f ca="1">OFFSET(Database!$F62,0,COLUMN(Database!FH62)*2-12)</f>
        <v>n.r.</v>
      </c>
      <c r="FL62" s="8" t="str">
        <f ca="1">OFFSET(Database!$F62,0,COLUMN(Database!FI62)*2-12)</f>
        <v>n.r.</v>
      </c>
      <c r="FM62" s="8" t="str">
        <f ca="1">OFFSET(Database!$F62,0,COLUMN(Database!FJ62)*2-12)</f>
        <v>n.r.</v>
      </c>
      <c r="FN62" s="8" t="str">
        <f ca="1">OFFSET(Database!$F62,0,COLUMN(Database!FK62)*2-12)</f>
        <v>n.r.</v>
      </c>
      <c r="FO62" s="8" t="str">
        <f ca="1">OFFSET(Database!$F62,0,COLUMN(Database!FL62)*2-12)</f>
        <v>n.r.</v>
      </c>
      <c r="FP62" s="8" t="str">
        <f ca="1">OFFSET(Database!$F62,0,COLUMN(Database!FM62)*2-12)</f>
        <v>n.r.</v>
      </c>
      <c r="FQ62" s="8" t="str">
        <f ca="1">OFFSET(Database!$F62,0,COLUMN(Database!FN62)*2-12)</f>
        <v>n.r.</v>
      </c>
      <c r="FR62" s="8" t="str">
        <f ca="1">OFFSET(Database!$F62,0,COLUMN(Database!FO62)*2-12)</f>
        <v>n.r.</v>
      </c>
      <c r="FS62" s="8" t="str">
        <f ca="1">OFFSET(Database!$F62,0,COLUMN(Database!FP62)*2-12)</f>
        <v>n.r.</v>
      </c>
      <c r="FT62" s="8" t="str">
        <f ca="1">OFFSET(Database!$F62,0,COLUMN(Database!FQ62)*2-12)</f>
        <v>n.r.</v>
      </c>
      <c r="FU62" s="8" t="str">
        <f ca="1">OFFSET(Database!$F62,0,COLUMN(Database!FR62)*2-12)</f>
        <v>n.r.</v>
      </c>
      <c r="FV62" s="8" t="str">
        <f ca="1">OFFSET(Database!$F62,0,COLUMN(Database!FS62)*2-12)</f>
        <v>n.r.</v>
      </c>
      <c r="FW62" s="8" t="str">
        <f ca="1">OFFSET(Database!$F62,0,COLUMN(Database!FT62)*2-12)</f>
        <v>n.r.</v>
      </c>
      <c r="FX62" s="8" t="str">
        <f ca="1">OFFSET(Database!$F62,0,COLUMN(Database!FU62)*2-12)</f>
        <v>n.r.</v>
      </c>
      <c r="FY62" s="8" t="str">
        <f ca="1">OFFSET(Database!$F62,0,COLUMN(Database!FV62)*2-12)</f>
        <v>n.r.</v>
      </c>
      <c r="FZ62" s="8" t="str">
        <f ca="1">OFFSET(Database!$F62,0,COLUMN(Database!FW62)*2-12)</f>
        <v>n.r.</v>
      </c>
      <c r="GA62" s="8" t="str">
        <f ca="1">OFFSET(Database!$F62,0,COLUMN(Database!FX62)*2-12)</f>
        <v>n.r.</v>
      </c>
      <c r="GB62" s="8" t="str">
        <f ca="1">OFFSET(Database!$F62,0,COLUMN(Database!FY62)*2-12)</f>
        <v>n.r.</v>
      </c>
      <c r="GC62" s="8" t="str">
        <f ca="1">OFFSET(Database!$F62,0,COLUMN(Database!FZ62)*2-12)</f>
        <v>n.r.</v>
      </c>
      <c r="GD62" s="8" t="str">
        <f ca="1">OFFSET(Database!$F62,0,COLUMN(Database!GA62)*2-12)</f>
        <v>n.r.</v>
      </c>
      <c r="GE62" s="8" t="str">
        <f ca="1">OFFSET(Database!$F62,0,COLUMN(Database!GB62)*2-12)</f>
        <v>n.r.</v>
      </c>
      <c r="GF62" s="8" t="str">
        <f ca="1">OFFSET(Database!$F62,0,COLUMN(Database!GC62)*2-12)</f>
        <v>n.r.</v>
      </c>
      <c r="GG62" s="8" t="str">
        <f ca="1">OFFSET(Database!$F62,0,COLUMN(Database!GD62)*2-12)</f>
        <v>n.r.</v>
      </c>
      <c r="GH62" s="8" t="str">
        <f ca="1">OFFSET(Database!$F62,0,COLUMN(Database!GE62)*2-12)</f>
        <v>n.r.</v>
      </c>
      <c r="GI62" s="8" t="str">
        <f ca="1">OFFSET(Database!$F62,0,COLUMN(Database!GF62)*2-12)</f>
        <v>n.r.</v>
      </c>
      <c r="GJ62" s="8" t="str">
        <f ca="1">OFFSET(Database!$F62,0,COLUMN(Database!GG62)*2-12)</f>
        <v>n.r.</v>
      </c>
      <c r="GK62" s="8" t="str">
        <f ca="1">OFFSET(Database!$F62,0,COLUMN(Database!GH62)*2-12)</f>
        <v>n.r.</v>
      </c>
      <c r="GL62" s="8" t="str">
        <f ca="1">OFFSET(Database!$F62,0,COLUMN(Database!GI62)*2-12)</f>
        <v>n.r.</v>
      </c>
      <c r="GM62" s="8" t="str">
        <f ca="1">OFFSET(Database!$F62,0,COLUMN(Database!GJ62)*2-12)</f>
        <v>n.r.</v>
      </c>
      <c r="GN62" s="8" t="str">
        <f ca="1">OFFSET(Database!$F62,0,COLUMN(Database!GK62)*2-12)</f>
        <v>n.r.</v>
      </c>
      <c r="GO62" s="8" t="str">
        <f ca="1">OFFSET(Database!$F62,0,COLUMN(Database!GL62)*2-12)</f>
        <v>n.r.</v>
      </c>
      <c r="GP62" s="8" t="str">
        <f ca="1">OFFSET(Database!$F62,0,COLUMN(Database!GM62)*2-12)</f>
        <v>n.r.</v>
      </c>
    </row>
    <row r="63" spans="1:198" x14ac:dyDescent="0.2">
      <c r="A63" s="50" t="str">
        <f>Database!A63</f>
        <v>D-4-amino-n-pentanoic acid</v>
      </c>
      <c r="B63" s="32" t="s">
        <v>1010</v>
      </c>
      <c r="C63" s="4" t="str">
        <f>Database!B63</f>
        <v>ɣ</v>
      </c>
      <c r="D63" s="4" t="str">
        <f>Database!C63</f>
        <v>D</v>
      </c>
      <c r="E63" s="74">
        <f>Database!D63</f>
        <v>5</v>
      </c>
      <c r="F63" s="32" t="s">
        <v>933</v>
      </c>
      <c r="G63" s="4">
        <v>444458</v>
      </c>
      <c r="H63" s="1">
        <f>Database!E63</f>
        <v>117.15</v>
      </c>
      <c r="I63" s="8" t="str">
        <f ca="1">OFFSET(Database!$F63,0,COLUMN(Database!F63)*2-12)</f>
        <v>n.r.</v>
      </c>
      <c r="J63" s="8" t="str">
        <f ca="1">OFFSET(Database!$F63,0,COLUMN(Database!G63)*2-12)</f>
        <v>n.r.</v>
      </c>
      <c r="K63" s="8" t="str">
        <f ca="1">OFFSET(Database!$F63,0,COLUMN(Database!H63)*2-12)</f>
        <v>n.r.</v>
      </c>
      <c r="L63" s="8" t="str">
        <f ca="1">OFFSET(Database!$F63,0,COLUMN(Database!I63)*2-12)</f>
        <v>n.r.</v>
      </c>
      <c r="M63" s="8" t="str">
        <f ca="1">OFFSET(Database!$F63,0,COLUMN(Database!J63)*2-12)</f>
        <v>n.r.</v>
      </c>
      <c r="N63" s="8" t="str">
        <f ca="1">OFFSET(Database!$F63,0,COLUMN(Database!K63)*2-12)</f>
        <v>n.r.</v>
      </c>
      <c r="O63" s="8" t="str">
        <f ca="1">OFFSET(Database!$F63,0,COLUMN(Database!L63)*2-12)</f>
        <v>n.r.</v>
      </c>
      <c r="P63" s="8" t="str">
        <f ca="1">OFFSET(Database!$F63,0,COLUMN(Database!M63)*2-12)</f>
        <v>n.r.</v>
      </c>
      <c r="Q63" s="8" t="str">
        <f ca="1">OFFSET(Database!$F63,0,COLUMN(Database!N63)*2-12)</f>
        <v>n.r.</v>
      </c>
      <c r="R63" s="8" t="str">
        <f ca="1">OFFSET(Database!$F63,0,COLUMN(Database!O63)*2-12)</f>
        <v>n.r.</v>
      </c>
      <c r="S63" s="8" t="str">
        <f ca="1">OFFSET(Database!$F63,0,COLUMN(Database!P63)*2-12)</f>
        <v>n.r.</v>
      </c>
      <c r="T63" s="8" t="str">
        <f ca="1">OFFSET(Database!$F63,0,COLUMN(Database!Q63)*2-12)</f>
        <v>n.r.</v>
      </c>
      <c r="U63" s="8" t="str">
        <f ca="1">OFFSET(Database!$F63,0,COLUMN(Database!R63)*2-12)</f>
        <v>n.r.</v>
      </c>
      <c r="V63" s="8" t="str">
        <f ca="1">OFFSET(Database!$F63,0,COLUMN(Database!S63)*2-12)</f>
        <v>n.r.</v>
      </c>
      <c r="W63" s="8" t="str">
        <f ca="1">OFFSET(Database!$F63,0,COLUMN(Database!T63)*2-12)</f>
        <v>n.r.</v>
      </c>
      <c r="X63" s="8" t="str">
        <f ca="1">OFFSET(Database!$F63,0,COLUMN(Database!U63)*2-12)</f>
        <v>n.r.</v>
      </c>
      <c r="Y63" s="8" t="str">
        <f ca="1">OFFSET(Database!$F63,0,COLUMN(Database!V63)*2-12)</f>
        <v>n.r.</v>
      </c>
      <c r="Z63" s="8" t="str">
        <f ca="1">OFFSET(Database!$F63,0,COLUMN(Database!W63)*2-12)</f>
        <v>n.r.</v>
      </c>
      <c r="AA63" s="8" t="str">
        <f ca="1">OFFSET(Database!$F63,0,COLUMN(Database!X63)*2-12)</f>
        <v>n.r.</v>
      </c>
      <c r="AB63" s="8" t="str">
        <f ca="1">OFFSET(Database!$F63,0,COLUMN(Database!Y63)*2-12)</f>
        <v>n.r.</v>
      </c>
      <c r="AC63" s="8" t="str">
        <f ca="1">OFFSET(Database!$F63,0,COLUMN(Database!Z63)*2-12)</f>
        <v>n.r.</v>
      </c>
      <c r="AD63" s="8" t="str">
        <f ca="1">OFFSET(Database!$F63,0,COLUMN(Database!AA63)*2-12)</f>
        <v>n.r.</v>
      </c>
      <c r="AE63" s="8" t="str">
        <f ca="1">OFFSET(Database!$F63,0,COLUMN(Database!AB63)*2-12)</f>
        <v>n.r.</v>
      </c>
      <c r="AF63" s="8" t="str">
        <f ca="1">OFFSET(Database!$F63,0,COLUMN(Database!AC63)*2-12)</f>
        <v>n.r.</v>
      </c>
      <c r="AG63" s="8" t="str">
        <f ca="1">OFFSET(Database!$F63,0,COLUMN(Database!AD63)*2-12)</f>
        <v>n.r.</v>
      </c>
      <c r="AH63" s="8" t="str">
        <f ca="1">OFFSET(Database!$F63,0,COLUMN(Database!AE63)*2-12)</f>
        <v>n.r.</v>
      </c>
      <c r="AI63" s="8" t="str">
        <f ca="1">OFFSET(Database!$F63,0,COLUMN(Database!AF63)*2-12)</f>
        <v>n.r.</v>
      </c>
      <c r="AJ63" s="8" t="str">
        <f ca="1">OFFSET(Database!$F63,0,COLUMN(Database!AG63)*2-12)</f>
        <v>n.r.</v>
      </c>
      <c r="AK63" s="8" t="str">
        <f ca="1">OFFSET(Database!$F63,0,COLUMN(Database!AH63)*2-12)</f>
        <v>n.r.</v>
      </c>
      <c r="AL63" s="8" t="str">
        <f ca="1">OFFSET(Database!$F63,0,COLUMN(Database!AI63)*2-12)</f>
        <v>n.r.</v>
      </c>
      <c r="AM63" s="8" t="str">
        <f ca="1">OFFSET(Database!$F63,0,COLUMN(Database!AJ63)*2-12)</f>
        <v>n.r.</v>
      </c>
      <c r="AN63" s="8" t="str">
        <f ca="1">OFFSET(Database!$F63,0,COLUMN(Database!AK63)*2-12)</f>
        <v>n.r.</v>
      </c>
      <c r="AO63" s="8" t="str">
        <f ca="1">OFFSET(Database!$F63,0,COLUMN(Database!AL63)*2-12)</f>
        <v>n.r.</v>
      </c>
      <c r="AP63" s="8" t="str">
        <f ca="1">OFFSET(Database!$F63,0,COLUMN(Database!AM63)*2-12)</f>
        <v>n.r.</v>
      </c>
      <c r="AQ63" s="8" t="str">
        <f ca="1">OFFSET(Database!$F63,0,COLUMN(Database!AN63)*2-12)</f>
        <v>n.r.</v>
      </c>
      <c r="AR63" s="8" t="str">
        <f ca="1">OFFSET(Database!$F63,0,COLUMN(Database!AO63)*2-12)</f>
        <v>n.r.</v>
      </c>
      <c r="AS63" s="8" t="str">
        <f ca="1">OFFSET(Database!$F63,0,COLUMN(Database!AP63)*2-12)</f>
        <v>n.r.</v>
      </c>
      <c r="AT63" s="8" t="str">
        <f ca="1">OFFSET(Database!$F63,0,COLUMN(Database!AQ63)*2-12)</f>
        <v>n.r.</v>
      </c>
      <c r="AU63" s="8" t="str">
        <f ca="1">OFFSET(Database!$F63,0,COLUMN(Database!AR63)*2-12)</f>
        <v>n.r.</v>
      </c>
      <c r="AV63" s="8" t="str">
        <f ca="1">OFFSET(Database!$F63,0,COLUMN(Database!AS63)*2-12)</f>
        <v>n.r.</v>
      </c>
      <c r="AW63" s="8" t="str">
        <f ca="1">OFFSET(Database!$F63,0,COLUMN(Database!AT63)*2-12)</f>
        <v>n.r.</v>
      </c>
      <c r="AX63" s="8" t="str">
        <f ca="1">OFFSET(Database!$F63,0,COLUMN(Database!AU63)*2-12)</f>
        <v>n.r.</v>
      </c>
      <c r="AY63" s="8" t="str">
        <f ca="1">OFFSET(Database!$F63,0,COLUMN(Database!AV63)*2-12)</f>
        <v>n.r.</v>
      </c>
      <c r="AZ63" s="8" t="str">
        <f ca="1">OFFSET(Database!$F63,0,COLUMN(Database!AW63)*2-12)</f>
        <v>n.r.</v>
      </c>
      <c r="BA63" s="8" t="str">
        <f ca="1">OFFSET(Database!$F63,0,COLUMN(Database!AX63)*2-12)</f>
        <v>n.r.</v>
      </c>
      <c r="BB63" s="8" t="str">
        <f ca="1">OFFSET(Database!$F63,0,COLUMN(Database!AY63)*2-12)</f>
        <v>n.r.</v>
      </c>
      <c r="BC63" s="8" t="str">
        <f ca="1">OFFSET(Database!$F63,0,COLUMN(Database!AZ63)*2-12)</f>
        <v>n.r.</v>
      </c>
      <c r="BD63" s="8" t="str">
        <f ca="1">OFFSET(Database!$F63,0,COLUMN(Database!BA63)*2-12)</f>
        <v>n.r.</v>
      </c>
      <c r="BE63" s="8" t="str">
        <f ca="1">OFFSET(Database!$F63,0,COLUMN(Database!BB63)*2-12)</f>
        <v>n.r.</v>
      </c>
      <c r="BF63" s="8" t="str">
        <f ca="1">OFFSET(Database!$F63,0,COLUMN(Database!BC63)*2-12)</f>
        <v>n.r.</v>
      </c>
      <c r="BG63" s="8" t="str">
        <f ca="1">OFFSET(Database!$F63,0,COLUMN(Database!BD63)*2-12)</f>
        <v>n.r.</v>
      </c>
      <c r="BH63" s="8" t="str">
        <f ca="1">OFFSET(Database!$F63,0,COLUMN(Database!BE63)*2-12)</f>
        <v>n.r.</v>
      </c>
      <c r="BI63" s="8" t="str">
        <f ca="1">OFFSET(Database!$F63,0,COLUMN(Database!BF63)*2-12)</f>
        <v>n.r.</v>
      </c>
      <c r="BJ63" s="8">
        <f ca="1">OFFSET(Database!$F63,0,COLUMN(Database!BG63)*2-12)</f>
        <v>1.3657703798548868</v>
      </c>
      <c r="BK63" s="8">
        <f ca="1">OFFSET(Database!$F63,0,COLUMN(Database!BH63)*2-12)</f>
        <v>0.34997865983781473</v>
      </c>
      <c r="BL63" s="8">
        <f ca="1">OFFSET(Database!$F63,0,COLUMN(Database!BI63)*2-12)</f>
        <v>0.28169014084507044</v>
      </c>
      <c r="BM63" s="8" t="str">
        <f ca="1">OFFSET(Database!$F63,0,COLUMN(Database!BJ63)*2-12)</f>
        <v>&lt;0.0009</v>
      </c>
      <c r="BN63" s="8">
        <f ca="1">OFFSET(Database!$F63,0,COLUMN(Database!BK63)*2-12)</f>
        <v>0.13657703798548868</v>
      </c>
      <c r="BO63" s="8">
        <f ca="1">OFFSET(Database!$F63,0,COLUMN(Database!BL63)*2-12)</f>
        <v>1.1950490823730259E-2</v>
      </c>
      <c r="BP63" s="8" t="str">
        <f ca="1">OFFSET(Database!$F63,0,COLUMN(Database!BM63)*2-12)</f>
        <v>n.r.</v>
      </c>
      <c r="BQ63" s="8" t="str">
        <f ca="1">OFFSET(Database!$F63,0,COLUMN(Database!BN63)*2-12)</f>
        <v>n.r.</v>
      </c>
      <c r="BR63" s="8" t="str">
        <f ca="1">OFFSET(Database!$F63,0,COLUMN(Database!BO63)*2-12)</f>
        <v>n.r.</v>
      </c>
      <c r="BS63" s="8" t="str">
        <f ca="1">OFFSET(Database!$F63,0,COLUMN(Database!BP63)*2-12)</f>
        <v>n.r.</v>
      </c>
      <c r="BT63" s="8" t="str">
        <f ca="1">OFFSET(Database!$F63,0,COLUMN(Database!BQ63)*2-12)</f>
        <v>n.r.</v>
      </c>
      <c r="BU63" s="8" t="str">
        <f ca="1">OFFSET(Database!$F63,0,COLUMN(Database!BR63)*2-12)</f>
        <v>n.r.</v>
      </c>
      <c r="BV63" s="8" t="str">
        <f ca="1">OFFSET(Database!$F63,0,COLUMN(Database!BS63)*2-12)</f>
        <v>n.r.</v>
      </c>
      <c r="BW63" s="8" t="str">
        <f ca="1">OFFSET(Database!$F63,0,COLUMN(Database!BT63)*2-12)</f>
        <v>n.r.</v>
      </c>
      <c r="BX63" s="8" t="str">
        <f ca="1">OFFSET(Database!$F63,0,COLUMN(Database!BU63)*2-12)</f>
        <v>n.r.</v>
      </c>
      <c r="BY63" s="8" t="str">
        <f ca="1">OFFSET(Database!$F63,0,COLUMN(Database!BV63)*2-12)</f>
        <v>n.r.</v>
      </c>
      <c r="BZ63" s="8" t="str">
        <f ca="1">OFFSET(Database!$F63,0,COLUMN(Database!BW63)*2-12)</f>
        <v>n.r.</v>
      </c>
      <c r="CA63" s="8" t="str">
        <f ca="1">OFFSET(Database!$F63,0,COLUMN(Database!BX63)*2-12)</f>
        <v>n.r.</v>
      </c>
      <c r="CB63" s="8" t="str">
        <f ca="1">OFFSET(Database!$F63,0,COLUMN(Database!BY63)*2-12)</f>
        <v>n.r.</v>
      </c>
      <c r="CC63" s="8" t="str">
        <f ca="1">OFFSET(Database!$F63,0,COLUMN(Database!BZ63)*2-12)</f>
        <v>n.r.</v>
      </c>
      <c r="CD63" s="8" t="str">
        <f ca="1">OFFSET(Database!$F63,0,COLUMN(Database!CA63)*2-12)</f>
        <v>n.r.</v>
      </c>
      <c r="CE63" s="8" t="str">
        <f ca="1">OFFSET(Database!$F63,0,COLUMN(Database!CB63)*2-12)</f>
        <v>n.r.</v>
      </c>
      <c r="CF63" s="8" t="str">
        <f ca="1">OFFSET(Database!$F63,0,COLUMN(Database!CC63)*2-12)</f>
        <v>n.r.</v>
      </c>
      <c r="CG63" s="8" t="str">
        <f ca="1">OFFSET(Database!$F63,0,COLUMN(Database!CD63)*2-12)</f>
        <v>n.r.</v>
      </c>
      <c r="CH63" s="8" t="str">
        <f ca="1">OFFSET(Database!$F63,0,COLUMN(Database!CE63)*2-12)</f>
        <v>n.r.</v>
      </c>
      <c r="CI63" s="8" t="str">
        <f ca="1">OFFSET(Database!$F63,0,COLUMN(Database!CF63)*2-12)</f>
        <v>n.r.</v>
      </c>
      <c r="CJ63" s="8" t="str">
        <f ca="1">OFFSET(Database!$F63,0,COLUMN(Database!CG63)*2-12)</f>
        <v>n.r.</v>
      </c>
      <c r="CK63" s="8" t="str">
        <f ca="1">OFFSET(Database!$F63,0,COLUMN(Database!CH63)*2-12)</f>
        <v>n.r.</v>
      </c>
      <c r="CL63" s="8" t="str">
        <f ca="1">OFFSET(Database!$F63,0,COLUMN(Database!CI63)*2-12)</f>
        <v>n.r.</v>
      </c>
      <c r="CM63" s="8" t="str">
        <f ca="1">OFFSET(Database!$F63,0,COLUMN(Database!CJ63)*2-12)</f>
        <v>n.r.</v>
      </c>
      <c r="CN63" s="8" t="str">
        <f ca="1">OFFSET(Database!$F63,0,COLUMN(Database!CK63)*2-12)</f>
        <v>n.r.</v>
      </c>
      <c r="CO63" s="8" t="str">
        <f ca="1">OFFSET(Database!$F63,0,COLUMN(Database!CL63)*2-12)</f>
        <v>n.r.</v>
      </c>
      <c r="CP63" s="8" t="str">
        <f ca="1">OFFSET(Database!$F63,0,COLUMN(Database!CM63)*2-12)</f>
        <v>n.r.</v>
      </c>
      <c r="CQ63" s="8" t="str">
        <f ca="1">OFFSET(Database!$F63,0,COLUMN(Database!CN63)*2-12)</f>
        <v>n.r.</v>
      </c>
      <c r="CR63" s="8" t="str">
        <f ca="1">OFFSET(Database!$F63,0,COLUMN(Database!CO63)*2-12)</f>
        <v>n.r.</v>
      </c>
      <c r="CS63" s="8" t="str">
        <f ca="1">OFFSET(Database!$F63,0,COLUMN(Database!CP63)*2-12)</f>
        <v>n.r.</v>
      </c>
      <c r="CT63" s="8" t="str">
        <f ca="1">OFFSET(Database!$F63,0,COLUMN(Database!CQ63)*2-12)</f>
        <v>n.r.</v>
      </c>
      <c r="CU63" s="8" t="str">
        <f ca="1">OFFSET(Database!$F63,0,COLUMN(Database!CR63)*2-12)</f>
        <v>n.r.</v>
      </c>
      <c r="CV63" s="8" t="str">
        <f ca="1">OFFSET(Database!$F63,0,COLUMN(Database!CS63)*2-12)</f>
        <v>n.r.</v>
      </c>
      <c r="CW63" s="8" t="str">
        <f ca="1">OFFSET(Database!$F63,0,COLUMN(Database!CT63)*2-12)</f>
        <v>n.r.</v>
      </c>
      <c r="CX63" s="8" t="str">
        <f ca="1">OFFSET(Database!$F63,0,COLUMN(Database!CU63)*2-12)</f>
        <v>n.r.</v>
      </c>
      <c r="CY63" s="8" t="str">
        <f ca="1">OFFSET(Database!$F63,0,COLUMN(Database!CV63)*2-12)</f>
        <v>n.r.</v>
      </c>
      <c r="CZ63" s="8" t="str">
        <f ca="1">OFFSET(Database!$F63,0,COLUMN(Database!CW63)*2-12)</f>
        <v>n.r.</v>
      </c>
      <c r="DA63" s="8" t="str">
        <f ca="1">OFFSET(Database!$F63,0,COLUMN(Database!CX63)*2-12)</f>
        <v>n.r.</v>
      </c>
      <c r="DB63" s="8" t="str">
        <f ca="1">OFFSET(Database!$F63,0,COLUMN(Database!CY63)*2-12)</f>
        <v>n.s.</v>
      </c>
      <c r="DC63" s="8" t="str">
        <f ca="1">OFFSET(Database!$F63,0,COLUMN(Database!CZ63)*2-12)</f>
        <v>n.s.</v>
      </c>
      <c r="DD63" s="8" t="str">
        <f ca="1">OFFSET(Database!$F63,0,COLUMN(Database!DA63)*2-12)</f>
        <v>n.r.</v>
      </c>
      <c r="DE63" s="8" t="str">
        <f ca="1">OFFSET(Database!$F63,0,COLUMN(Database!DB63)*2-12)</f>
        <v>n.r.</v>
      </c>
      <c r="DF63" s="8" t="str">
        <f ca="1">OFFSET(Database!$F63,0,COLUMN(Database!DC63)*2-12)</f>
        <v>n.r.</v>
      </c>
      <c r="DG63" s="8" t="str">
        <f ca="1">OFFSET(Database!$F63,0,COLUMN(Database!DD63)*2-12)</f>
        <v>n.r.</v>
      </c>
      <c r="DH63" s="8" t="str">
        <f ca="1">OFFSET(Database!$F63,0,COLUMN(Database!DE63)*2-12)</f>
        <v>n.r.</v>
      </c>
      <c r="DI63" s="8" t="str">
        <f ca="1">OFFSET(Database!$F63,0,COLUMN(Database!DF63)*2-12)</f>
        <v>n.r.</v>
      </c>
      <c r="DJ63" s="8" t="str">
        <f ca="1">OFFSET(Database!$F63,0,COLUMN(Database!DG63)*2-12)</f>
        <v>n.r.</v>
      </c>
      <c r="DK63" s="8" t="str">
        <f ca="1">OFFSET(Database!$F63,0,COLUMN(Database!DH63)*2-12)</f>
        <v>n.r.</v>
      </c>
      <c r="DL63" s="8" t="str">
        <f ca="1">OFFSET(Database!$F63,0,COLUMN(Database!DI63)*2-12)</f>
        <v>n.r.</v>
      </c>
      <c r="DM63" s="8" t="str">
        <f ca="1">OFFSET(Database!$F63,0,COLUMN(Database!DJ63)*2-12)</f>
        <v>n.r.</v>
      </c>
      <c r="DN63" s="8" t="str">
        <f ca="1">OFFSET(Database!$F63,0,COLUMN(Database!DK63)*2-12)</f>
        <v>n.r.</v>
      </c>
      <c r="DO63" s="8" t="str">
        <f ca="1">OFFSET(Database!$F63,0,COLUMN(Database!DL63)*2-12)</f>
        <v>n.r.</v>
      </c>
      <c r="DP63" s="8" t="str">
        <f ca="1">OFFSET(Database!$F63,0,COLUMN(Database!DM63)*2-12)</f>
        <v>n.r.</v>
      </c>
      <c r="DQ63" s="8" t="str">
        <f ca="1">OFFSET(Database!$F63,0,COLUMN(Database!DN63)*2-12)</f>
        <v>n.r.</v>
      </c>
      <c r="DR63" s="8" t="str">
        <f ca="1">OFFSET(Database!$F63,0,COLUMN(Database!DO63)*2-12)</f>
        <v>n.r.</v>
      </c>
      <c r="DS63" s="8" t="str">
        <f ca="1">OFFSET(Database!$F63,0,COLUMN(Database!DP63)*2-12)</f>
        <v>n.r.</v>
      </c>
      <c r="DT63" s="8" t="str">
        <f ca="1">OFFSET(Database!$F63,0,COLUMN(Database!DQ63)*2-12)</f>
        <v>n.r.</v>
      </c>
      <c r="DU63" s="8" t="str">
        <f ca="1">OFFSET(Database!$F63,0,COLUMN(Database!DR63)*2-12)</f>
        <v>n.r.</v>
      </c>
      <c r="DV63" s="8" t="str">
        <f ca="1">OFFSET(Database!$F63,0,COLUMN(Database!DS63)*2-12)</f>
        <v>n.r.</v>
      </c>
      <c r="DW63" s="8" t="str">
        <f ca="1">OFFSET(Database!$F63,0,COLUMN(Database!DT63)*2-12)</f>
        <v>n.r.</v>
      </c>
      <c r="DX63" s="8" t="str">
        <f ca="1">OFFSET(Database!$F63,0,COLUMN(Database!DU63)*2-12)</f>
        <v>n.r.</v>
      </c>
      <c r="DY63" s="8" t="str">
        <f ca="1">OFFSET(Database!$F63,0,COLUMN(Database!DV63)*2-12)</f>
        <v>n.r.</v>
      </c>
      <c r="DZ63" s="8" t="str">
        <f ca="1">OFFSET(Database!$F63,0,COLUMN(Database!DW63)*2-12)</f>
        <v>n.r.</v>
      </c>
      <c r="EA63" s="8" t="str">
        <f ca="1">OFFSET(Database!$F63,0,COLUMN(Database!DX63)*2-12)</f>
        <v>n.r.</v>
      </c>
      <c r="EB63" s="8" t="str">
        <f ca="1">OFFSET(Database!$F63,0,COLUMN(Database!DY63)*2-12)</f>
        <v>n.r.</v>
      </c>
      <c r="EC63" s="8" t="str">
        <f ca="1">OFFSET(Database!$F63,0,COLUMN(Database!DZ63)*2-12)</f>
        <v>n.r.</v>
      </c>
      <c r="ED63" s="8" t="str">
        <f ca="1">OFFSET(Database!$F63,0,COLUMN(Database!EA63)*2-12)</f>
        <v>n.r</v>
      </c>
      <c r="EE63" s="8" t="str">
        <f ca="1">OFFSET(Database!$F63,0,COLUMN(Database!EB63)*2-12)</f>
        <v>n.r.</v>
      </c>
      <c r="EF63" s="8" t="str">
        <f ca="1">OFFSET(Database!$F63,0,COLUMN(Database!EC63)*2-12)</f>
        <v>n.r.</v>
      </c>
      <c r="EG63" s="8" t="str">
        <f ca="1">OFFSET(Database!$F63,0,COLUMN(Database!ED63)*2-12)</f>
        <v>n.r.</v>
      </c>
      <c r="EH63" s="8" t="str">
        <f ca="1">OFFSET(Database!$F63,0,COLUMN(Database!EE63)*2-12)</f>
        <v>n.r.</v>
      </c>
      <c r="EI63" s="8" t="str">
        <f ca="1">OFFSET(Database!$F63,0,COLUMN(Database!EF63)*2-12)</f>
        <v>n.r.</v>
      </c>
      <c r="EJ63" s="8" t="str">
        <f ca="1">OFFSET(Database!$F63,0,COLUMN(Database!EG63)*2-12)</f>
        <v>n.r.</v>
      </c>
      <c r="EK63" s="8" t="str">
        <f ca="1">OFFSET(Database!$F63,0,COLUMN(Database!EH63)*2-12)</f>
        <v>n.r.</v>
      </c>
      <c r="EL63" s="8" t="str">
        <f ca="1">OFFSET(Database!$F63,0,COLUMN(Database!EI63)*2-12)</f>
        <v>n.r.</v>
      </c>
      <c r="EM63" s="8" t="str">
        <f ca="1">OFFSET(Database!$F63,0,COLUMN(Database!EJ63)*2-12)</f>
        <v>n.r.</v>
      </c>
      <c r="EN63" s="8" t="str">
        <f ca="1">OFFSET(Database!$F63,0,COLUMN(Database!EK63)*2-12)</f>
        <v>n.r.</v>
      </c>
      <c r="EO63" s="8" t="str">
        <f ca="1">OFFSET(Database!$F63,0,COLUMN(Database!EL63)*2-12)</f>
        <v>n.r.</v>
      </c>
      <c r="EP63" s="8" t="str">
        <f ca="1">OFFSET(Database!$F63,0,COLUMN(Database!EM63)*2-12)</f>
        <v>n.r.</v>
      </c>
      <c r="EQ63" s="8" t="str">
        <f ca="1">OFFSET(Database!$F63,0,COLUMN(Database!EN63)*2-12)</f>
        <v>n.r.</v>
      </c>
      <c r="ER63" s="8" t="str">
        <f ca="1">OFFSET(Database!$F63,0,COLUMN(Database!EO63)*2-12)</f>
        <v>n.r.</v>
      </c>
      <c r="ES63" s="8" t="str">
        <f ca="1">OFFSET(Database!$F63,0,COLUMN(Database!EP63)*2-12)</f>
        <v>n.r.</v>
      </c>
      <c r="ET63" s="8" t="str">
        <f ca="1">OFFSET(Database!$F63,0,COLUMN(Database!EQ63)*2-12)</f>
        <v>n.r.</v>
      </c>
      <c r="EU63" s="8" t="str">
        <f ca="1">OFFSET(Database!$F63,0,COLUMN(Database!ER63)*2-12)</f>
        <v>n.r.</v>
      </c>
      <c r="EV63" s="8" t="str">
        <f ca="1">OFFSET(Database!$F63,0,COLUMN(Database!ES63)*2-12)</f>
        <v>n.r.</v>
      </c>
      <c r="EW63" s="8" t="str">
        <f ca="1">OFFSET(Database!$F63,0,COLUMN(Database!ET63)*2-12)</f>
        <v>n.r.</v>
      </c>
      <c r="EX63" s="8" t="str">
        <f ca="1">OFFSET(Database!$F63,0,COLUMN(Database!EU63)*2-12)</f>
        <v>n.r.</v>
      </c>
      <c r="EY63" s="8" t="str">
        <f ca="1">OFFSET(Database!$F63,0,COLUMN(Database!EV63)*2-12)</f>
        <v>n.r.</v>
      </c>
      <c r="EZ63" s="8" t="str">
        <f ca="1">OFFSET(Database!$F63,0,COLUMN(Database!EW63)*2-12)</f>
        <v>n.r.</v>
      </c>
      <c r="FA63" s="8" t="str">
        <f ca="1">OFFSET(Database!$F63,0,COLUMN(Database!EX63)*2-12)</f>
        <v>n.r.</v>
      </c>
      <c r="FB63" s="8" t="str">
        <f ca="1">OFFSET(Database!$F63,0,COLUMN(Database!EY63)*2-12)</f>
        <v>n.r.</v>
      </c>
      <c r="FC63" s="8" t="str">
        <f ca="1">OFFSET(Database!$F63,0,COLUMN(Database!EZ63)*2-12)</f>
        <v>n.r.</v>
      </c>
      <c r="FD63" s="8" t="str">
        <f ca="1">OFFSET(Database!$F63,0,COLUMN(Database!FA63)*2-12)</f>
        <v>n.r.</v>
      </c>
      <c r="FE63" s="8" t="str">
        <f ca="1">OFFSET(Database!$F63,0,COLUMN(Database!FB63)*2-12)</f>
        <v>n.r.</v>
      </c>
      <c r="FF63" s="8" t="str">
        <f ca="1">OFFSET(Database!$F63,0,COLUMN(Database!FC63)*2-12)</f>
        <v>n.r.</v>
      </c>
      <c r="FG63" s="8" t="str">
        <f ca="1">OFFSET(Database!$F63,0,COLUMN(Database!FD63)*2-12)</f>
        <v>n.r.</v>
      </c>
      <c r="FH63" s="8" t="str">
        <f ca="1">OFFSET(Database!$F63,0,COLUMN(Database!FE63)*2-12)</f>
        <v>n.r.</v>
      </c>
      <c r="FI63" s="8" t="str">
        <f ca="1">OFFSET(Database!$F63,0,COLUMN(Database!FF63)*2-12)</f>
        <v>n.r.</v>
      </c>
      <c r="FJ63" s="8" t="str">
        <f ca="1">OFFSET(Database!$F63,0,COLUMN(Database!FG63)*2-12)</f>
        <v>n.r.</v>
      </c>
      <c r="FK63" s="8" t="str">
        <f ca="1">OFFSET(Database!$F63,0,COLUMN(Database!FH63)*2-12)</f>
        <v>n.r.</v>
      </c>
      <c r="FL63" s="8" t="str">
        <f ca="1">OFFSET(Database!$F63,0,COLUMN(Database!FI63)*2-12)</f>
        <v>n.r.</v>
      </c>
      <c r="FM63" s="8" t="str">
        <f ca="1">OFFSET(Database!$F63,0,COLUMN(Database!FJ63)*2-12)</f>
        <v>n.r.</v>
      </c>
      <c r="FN63" s="8" t="str">
        <f ca="1">OFFSET(Database!$F63,0,COLUMN(Database!FK63)*2-12)</f>
        <v>n.r.</v>
      </c>
      <c r="FO63" s="8" t="str">
        <f ca="1">OFFSET(Database!$F63,0,COLUMN(Database!FL63)*2-12)</f>
        <v>n.r.</v>
      </c>
      <c r="FP63" s="8" t="str">
        <f ca="1">OFFSET(Database!$F63,0,COLUMN(Database!FM63)*2-12)</f>
        <v>n.r.</v>
      </c>
      <c r="FQ63" s="8" t="str">
        <f ca="1">OFFSET(Database!$F63,0,COLUMN(Database!FN63)*2-12)</f>
        <v>n.r.</v>
      </c>
      <c r="FR63" s="8" t="str">
        <f ca="1">OFFSET(Database!$F63,0,COLUMN(Database!FO63)*2-12)</f>
        <v>n.r.</v>
      </c>
      <c r="FS63" s="8" t="str">
        <f ca="1">OFFSET(Database!$F63,0,COLUMN(Database!FP63)*2-12)</f>
        <v>n.r.</v>
      </c>
      <c r="FT63" s="8" t="str">
        <f ca="1">OFFSET(Database!$F63,0,COLUMN(Database!FQ63)*2-12)</f>
        <v>n.r.</v>
      </c>
      <c r="FU63" s="8" t="str">
        <f ca="1">OFFSET(Database!$F63,0,COLUMN(Database!FR63)*2-12)</f>
        <v>n.r.</v>
      </c>
      <c r="FV63" s="8" t="str">
        <f ca="1">OFFSET(Database!$F63,0,COLUMN(Database!FS63)*2-12)</f>
        <v>n.r.</v>
      </c>
      <c r="FW63" s="8" t="str">
        <f ca="1">OFFSET(Database!$F63,0,COLUMN(Database!FT63)*2-12)</f>
        <v>n.r.</v>
      </c>
      <c r="FX63" s="8" t="str">
        <f ca="1">OFFSET(Database!$F63,0,COLUMN(Database!FU63)*2-12)</f>
        <v>n.r.</v>
      </c>
      <c r="FY63" s="8" t="str">
        <f ca="1">OFFSET(Database!$F63,0,COLUMN(Database!FV63)*2-12)</f>
        <v>n.r.</v>
      </c>
      <c r="FZ63" s="8" t="str">
        <f ca="1">OFFSET(Database!$F63,0,COLUMN(Database!FW63)*2-12)</f>
        <v>n.r.</v>
      </c>
      <c r="GA63" s="8" t="str">
        <f ca="1">OFFSET(Database!$F63,0,COLUMN(Database!FX63)*2-12)</f>
        <v>n.r.</v>
      </c>
      <c r="GB63" s="8" t="str">
        <f ca="1">OFFSET(Database!$F63,0,COLUMN(Database!FY63)*2-12)</f>
        <v>n.r.</v>
      </c>
      <c r="GC63" s="8" t="str">
        <f ca="1">OFFSET(Database!$F63,0,COLUMN(Database!FZ63)*2-12)</f>
        <v>n.r.</v>
      </c>
      <c r="GD63" s="8" t="str">
        <f ca="1">OFFSET(Database!$F63,0,COLUMN(Database!GA63)*2-12)</f>
        <v>n.r.</v>
      </c>
      <c r="GE63" s="8" t="str">
        <f ca="1">OFFSET(Database!$F63,0,COLUMN(Database!GB63)*2-12)</f>
        <v>n.r.</v>
      </c>
      <c r="GF63" s="8" t="str">
        <f ca="1">OFFSET(Database!$F63,0,COLUMN(Database!GC63)*2-12)</f>
        <v>n.r.</v>
      </c>
      <c r="GG63" s="8" t="str">
        <f ca="1">OFFSET(Database!$F63,0,COLUMN(Database!GD63)*2-12)</f>
        <v>n.r.</v>
      </c>
      <c r="GH63" s="8" t="str">
        <f ca="1">OFFSET(Database!$F63,0,COLUMN(Database!GE63)*2-12)</f>
        <v>n.r.</v>
      </c>
      <c r="GI63" s="8" t="str">
        <f ca="1">OFFSET(Database!$F63,0,COLUMN(Database!GF63)*2-12)</f>
        <v>n.r.</v>
      </c>
      <c r="GJ63" s="8" t="str">
        <f ca="1">OFFSET(Database!$F63,0,COLUMN(Database!GG63)*2-12)</f>
        <v>n.r.</v>
      </c>
      <c r="GK63" s="8" t="str">
        <f ca="1">OFFSET(Database!$F63,0,COLUMN(Database!GH63)*2-12)</f>
        <v>n.r.</v>
      </c>
      <c r="GL63" s="8" t="str">
        <f ca="1">OFFSET(Database!$F63,0,COLUMN(Database!GI63)*2-12)</f>
        <v>n.r.</v>
      </c>
      <c r="GM63" s="8" t="str">
        <f ca="1">OFFSET(Database!$F63,0,COLUMN(Database!GJ63)*2-12)</f>
        <v>n.r.</v>
      </c>
      <c r="GN63" s="8" t="str">
        <f ca="1">OFFSET(Database!$F63,0,COLUMN(Database!GK63)*2-12)</f>
        <v>n.r.</v>
      </c>
      <c r="GO63" s="8" t="str">
        <f ca="1">OFFSET(Database!$F63,0,COLUMN(Database!GL63)*2-12)</f>
        <v>n.r.</v>
      </c>
      <c r="GP63" s="8" t="str">
        <f ca="1">OFFSET(Database!$F63,0,COLUMN(Database!GM63)*2-12)</f>
        <v>n.r.</v>
      </c>
    </row>
    <row r="64" spans="1:198" x14ac:dyDescent="0.2">
      <c r="A64" s="50" t="str">
        <f>Database!A64</f>
        <v>L-4-amino-n-pentanoic acid</v>
      </c>
      <c r="B64" s="32" t="s">
        <v>1010</v>
      </c>
      <c r="C64" s="4" t="str">
        <f>Database!B64</f>
        <v>ɣ</v>
      </c>
      <c r="D64" s="4" t="str">
        <f>Database!C64</f>
        <v>L</v>
      </c>
      <c r="E64" s="74">
        <f>Database!D64</f>
        <v>5</v>
      </c>
      <c r="F64" s="32" t="s">
        <v>934</v>
      </c>
      <c r="G64" s="4">
        <v>5312968</v>
      </c>
      <c r="H64" s="1">
        <f>Database!E64</f>
        <v>117.15</v>
      </c>
      <c r="I64" s="8" t="str">
        <f ca="1">OFFSET(Database!$F64,0,COLUMN(Database!F64)*2-12)</f>
        <v>n.r.</v>
      </c>
      <c r="J64" s="8" t="str">
        <f ca="1">OFFSET(Database!$F64,0,COLUMN(Database!G64)*2-12)</f>
        <v>n.r.</v>
      </c>
      <c r="K64" s="8" t="str">
        <f ca="1">OFFSET(Database!$F64,0,COLUMN(Database!H64)*2-12)</f>
        <v>n.r.</v>
      </c>
      <c r="L64" s="8" t="str">
        <f ca="1">OFFSET(Database!$F64,0,COLUMN(Database!I64)*2-12)</f>
        <v>n.r.</v>
      </c>
      <c r="M64" s="8" t="str">
        <f ca="1">OFFSET(Database!$F64,0,COLUMN(Database!J64)*2-12)</f>
        <v>n.r.</v>
      </c>
      <c r="N64" s="8" t="str">
        <f ca="1">OFFSET(Database!$F64,0,COLUMN(Database!K64)*2-12)</f>
        <v>n.r.</v>
      </c>
      <c r="O64" s="8" t="str">
        <f ca="1">OFFSET(Database!$F64,0,COLUMN(Database!L64)*2-12)</f>
        <v>n.r.</v>
      </c>
      <c r="P64" s="8" t="str">
        <f ca="1">OFFSET(Database!$F64,0,COLUMN(Database!M64)*2-12)</f>
        <v>n.r.</v>
      </c>
      <c r="Q64" s="8" t="str">
        <f ca="1">OFFSET(Database!$F64,0,COLUMN(Database!N64)*2-12)</f>
        <v>n.r.</v>
      </c>
      <c r="R64" s="8" t="str">
        <f ca="1">OFFSET(Database!$F64,0,COLUMN(Database!O64)*2-12)</f>
        <v>n.r.</v>
      </c>
      <c r="S64" s="8" t="str">
        <f ca="1">OFFSET(Database!$F64,0,COLUMN(Database!P64)*2-12)</f>
        <v>n.r.</v>
      </c>
      <c r="T64" s="8" t="str">
        <f ca="1">OFFSET(Database!$F64,0,COLUMN(Database!Q64)*2-12)</f>
        <v>n.r.</v>
      </c>
      <c r="U64" s="8" t="str">
        <f ca="1">OFFSET(Database!$F64,0,COLUMN(Database!R64)*2-12)</f>
        <v>n.r.</v>
      </c>
      <c r="V64" s="8" t="str">
        <f ca="1">OFFSET(Database!$F64,0,COLUMN(Database!S64)*2-12)</f>
        <v>n.r.</v>
      </c>
      <c r="W64" s="8" t="str">
        <f ca="1">OFFSET(Database!$F64,0,COLUMN(Database!T64)*2-12)</f>
        <v>n.r.</v>
      </c>
      <c r="X64" s="8" t="str">
        <f ca="1">OFFSET(Database!$F64,0,COLUMN(Database!U64)*2-12)</f>
        <v>n.r.</v>
      </c>
      <c r="Y64" s="8" t="str">
        <f ca="1">OFFSET(Database!$F64,0,COLUMN(Database!V64)*2-12)</f>
        <v>n.r.</v>
      </c>
      <c r="Z64" s="8" t="str">
        <f ca="1">OFFSET(Database!$F64,0,COLUMN(Database!W64)*2-12)</f>
        <v>n.r.</v>
      </c>
      <c r="AA64" s="8" t="str">
        <f ca="1">OFFSET(Database!$F64,0,COLUMN(Database!X64)*2-12)</f>
        <v>n.r.</v>
      </c>
      <c r="AB64" s="8" t="str">
        <f ca="1">OFFSET(Database!$F64,0,COLUMN(Database!Y64)*2-12)</f>
        <v>n.r.</v>
      </c>
      <c r="AC64" s="8" t="str">
        <f ca="1">OFFSET(Database!$F64,0,COLUMN(Database!Z64)*2-12)</f>
        <v>n.r.</v>
      </c>
      <c r="AD64" s="8" t="str">
        <f ca="1">OFFSET(Database!$F64,0,COLUMN(Database!AA64)*2-12)</f>
        <v>n.r.</v>
      </c>
      <c r="AE64" s="8" t="str">
        <f ca="1">OFFSET(Database!$F64,0,COLUMN(Database!AB64)*2-12)</f>
        <v>n.r.</v>
      </c>
      <c r="AF64" s="8" t="str">
        <f ca="1">OFFSET(Database!$F64,0,COLUMN(Database!AC64)*2-12)</f>
        <v>n.r.</v>
      </c>
      <c r="AG64" s="8" t="str">
        <f ca="1">OFFSET(Database!$F64,0,COLUMN(Database!AD64)*2-12)</f>
        <v>n.r.</v>
      </c>
      <c r="AH64" s="8" t="str">
        <f ca="1">OFFSET(Database!$F64,0,COLUMN(Database!AE64)*2-12)</f>
        <v>n.r.</v>
      </c>
      <c r="AI64" s="8" t="str">
        <f ca="1">OFFSET(Database!$F64,0,COLUMN(Database!AF64)*2-12)</f>
        <v>n.r.</v>
      </c>
      <c r="AJ64" s="8" t="str">
        <f ca="1">OFFSET(Database!$F64,0,COLUMN(Database!AG64)*2-12)</f>
        <v>n.r.</v>
      </c>
      <c r="AK64" s="8" t="str">
        <f ca="1">OFFSET(Database!$F64,0,COLUMN(Database!AH64)*2-12)</f>
        <v>n.r.</v>
      </c>
      <c r="AL64" s="8" t="str">
        <f ca="1">OFFSET(Database!$F64,0,COLUMN(Database!AI64)*2-12)</f>
        <v>n.r.</v>
      </c>
      <c r="AM64" s="8" t="str">
        <f ca="1">OFFSET(Database!$F64,0,COLUMN(Database!AJ64)*2-12)</f>
        <v>n.r.</v>
      </c>
      <c r="AN64" s="8" t="str">
        <f ca="1">OFFSET(Database!$F64,0,COLUMN(Database!AK64)*2-12)</f>
        <v>n.r.</v>
      </c>
      <c r="AO64" s="8" t="str">
        <f ca="1">OFFSET(Database!$F64,0,COLUMN(Database!AL64)*2-12)</f>
        <v>n.r.</v>
      </c>
      <c r="AP64" s="8" t="str">
        <f ca="1">OFFSET(Database!$F64,0,COLUMN(Database!AM64)*2-12)</f>
        <v>n.r.</v>
      </c>
      <c r="AQ64" s="8" t="str">
        <f ca="1">OFFSET(Database!$F64,0,COLUMN(Database!AN64)*2-12)</f>
        <v>n.r.</v>
      </c>
      <c r="AR64" s="8" t="str">
        <f ca="1">OFFSET(Database!$F64,0,COLUMN(Database!AO64)*2-12)</f>
        <v>n.r.</v>
      </c>
      <c r="AS64" s="8" t="str">
        <f ca="1">OFFSET(Database!$F64,0,COLUMN(Database!AP64)*2-12)</f>
        <v>n.r.</v>
      </c>
      <c r="AT64" s="8" t="str">
        <f ca="1">OFFSET(Database!$F64,0,COLUMN(Database!AQ64)*2-12)</f>
        <v>n.r.</v>
      </c>
      <c r="AU64" s="8" t="str">
        <f ca="1">OFFSET(Database!$F64,0,COLUMN(Database!AR64)*2-12)</f>
        <v>n.r.</v>
      </c>
      <c r="AV64" s="8" t="str">
        <f ca="1">OFFSET(Database!$F64,0,COLUMN(Database!AS64)*2-12)</f>
        <v>n.r.</v>
      </c>
      <c r="AW64" s="8" t="str">
        <f ca="1">OFFSET(Database!$F64,0,COLUMN(Database!AT64)*2-12)</f>
        <v>n.r.</v>
      </c>
      <c r="AX64" s="8" t="str">
        <f ca="1">OFFSET(Database!$F64,0,COLUMN(Database!AU64)*2-12)</f>
        <v>n.r.</v>
      </c>
      <c r="AY64" s="8" t="str">
        <f ca="1">OFFSET(Database!$F64,0,COLUMN(Database!AV64)*2-12)</f>
        <v>n.r.</v>
      </c>
      <c r="AZ64" s="8" t="str">
        <f ca="1">OFFSET(Database!$F64,0,COLUMN(Database!AW64)*2-12)</f>
        <v>n.r.</v>
      </c>
      <c r="BA64" s="8" t="str">
        <f ca="1">OFFSET(Database!$F64,0,COLUMN(Database!AX64)*2-12)</f>
        <v>n.r.</v>
      </c>
      <c r="BB64" s="8" t="str">
        <f ca="1">OFFSET(Database!$F64,0,COLUMN(Database!AY64)*2-12)</f>
        <v>n.r.</v>
      </c>
      <c r="BC64" s="8" t="str">
        <f ca="1">OFFSET(Database!$F64,0,COLUMN(Database!AZ64)*2-12)</f>
        <v>n.r.</v>
      </c>
      <c r="BD64" s="8" t="str">
        <f ca="1">OFFSET(Database!$F64,0,COLUMN(Database!BA64)*2-12)</f>
        <v>n.r.</v>
      </c>
      <c r="BE64" s="8" t="str">
        <f ca="1">OFFSET(Database!$F64,0,COLUMN(Database!BB64)*2-12)</f>
        <v>n.r.</v>
      </c>
      <c r="BF64" s="8" t="str">
        <f ca="1">OFFSET(Database!$F64,0,COLUMN(Database!BC64)*2-12)</f>
        <v>n.r.</v>
      </c>
      <c r="BG64" s="8" t="str">
        <f ca="1">OFFSET(Database!$F64,0,COLUMN(Database!BD64)*2-12)</f>
        <v>n.r.</v>
      </c>
      <c r="BH64" s="8" t="str">
        <f ca="1">OFFSET(Database!$F64,0,COLUMN(Database!BE64)*2-12)</f>
        <v>n.r.</v>
      </c>
      <c r="BI64" s="8" t="str">
        <f ca="1">OFFSET(Database!$F64,0,COLUMN(Database!BF64)*2-12)</f>
        <v>n.r.</v>
      </c>
      <c r="BJ64" s="8">
        <f ca="1">OFFSET(Database!$F64,0,COLUMN(Database!BG64)*2-12)</f>
        <v>0.72556551429790861</v>
      </c>
      <c r="BK64" s="8">
        <f ca="1">OFFSET(Database!$F64,0,COLUMN(Database!BH64)*2-12)</f>
        <v>0.3414425949637217</v>
      </c>
      <c r="BL64" s="8">
        <f ca="1">OFFSET(Database!$F64,0,COLUMN(Database!BI64)*2-12)</f>
        <v>0.25608194622279129</v>
      </c>
      <c r="BM64" s="8" t="str">
        <f ca="1">OFFSET(Database!$F64,0,COLUMN(Database!BJ64)*2-12)</f>
        <v>&lt;0.0009</v>
      </c>
      <c r="BN64" s="8">
        <f ca="1">OFFSET(Database!$F64,0,COLUMN(Database!BK64)*2-12)</f>
        <v>0.1195049082373026</v>
      </c>
      <c r="BO64" s="8">
        <f ca="1">OFFSET(Database!$F64,0,COLUMN(Database!BL64)*2-12)</f>
        <v>1.7925736235595392E-2</v>
      </c>
      <c r="BP64" s="8" t="str">
        <f ca="1">OFFSET(Database!$F64,0,COLUMN(Database!BM64)*2-12)</f>
        <v>n.r.</v>
      </c>
      <c r="BQ64" s="8" t="str">
        <f ca="1">OFFSET(Database!$F64,0,COLUMN(Database!BN64)*2-12)</f>
        <v>n.r.</v>
      </c>
      <c r="BR64" s="8" t="str">
        <f ca="1">OFFSET(Database!$F64,0,COLUMN(Database!BO64)*2-12)</f>
        <v>n.r.</v>
      </c>
      <c r="BS64" s="8" t="str">
        <f ca="1">OFFSET(Database!$F64,0,COLUMN(Database!BP64)*2-12)</f>
        <v>n.r.</v>
      </c>
      <c r="BT64" s="8" t="str">
        <f ca="1">OFFSET(Database!$F64,0,COLUMN(Database!BQ64)*2-12)</f>
        <v>n.r.</v>
      </c>
      <c r="BU64" s="8" t="str">
        <f ca="1">OFFSET(Database!$F64,0,COLUMN(Database!BR64)*2-12)</f>
        <v>n.r.</v>
      </c>
      <c r="BV64" s="8" t="str">
        <f ca="1">OFFSET(Database!$F64,0,COLUMN(Database!BS64)*2-12)</f>
        <v>n.r.</v>
      </c>
      <c r="BW64" s="8" t="str">
        <f ca="1">OFFSET(Database!$F64,0,COLUMN(Database!BT64)*2-12)</f>
        <v>n.r.</v>
      </c>
      <c r="BX64" s="8" t="str">
        <f ca="1">OFFSET(Database!$F64,0,COLUMN(Database!BU64)*2-12)</f>
        <v>n.r.</v>
      </c>
      <c r="BY64" s="8" t="str">
        <f ca="1">OFFSET(Database!$F64,0,COLUMN(Database!BV64)*2-12)</f>
        <v>n.r.</v>
      </c>
      <c r="BZ64" s="8" t="str">
        <f ca="1">OFFSET(Database!$F64,0,COLUMN(Database!BW64)*2-12)</f>
        <v>n.r.</v>
      </c>
      <c r="CA64" s="8" t="str">
        <f ca="1">OFFSET(Database!$F64,0,COLUMN(Database!BX64)*2-12)</f>
        <v>n.r.</v>
      </c>
      <c r="CB64" s="8" t="str">
        <f ca="1">OFFSET(Database!$F64,0,COLUMN(Database!BY64)*2-12)</f>
        <v>n.r.</v>
      </c>
      <c r="CC64" s="8" t="str">
        <f ca="1">OFFSET(Database!$F64,0,COLUMN(Database!BZ64)*2-12)</f>
        <v>n.r.</v>
      </c>
      <c r="CD64" s="8" t="str">
        <f ca="1">OFFSET(Database!$F64,0,COLUMN(Database!CA64)*2-12)</f>
        <v>n.r.</v>
      </c>
      <c r="CE64" s="8" t="str">
        <f ca="1">OFFSET(Database!$F64,0,COLUMN(Database!CB64)*2-12)</f>
        <v>n.r.</v>
      </c>
      <c r="CF64" s="8" t="str">
        <f ca="1">OFFSET(Database!$F64,0,COLUMN(Database!CC64)*2-12)</f>
        <v>n.r.</v>
      </c>
      <c r="CG64" s="8" t="str">
        <f ca="1">OFFSET(Database!$F64,0,COLUMN(Database!CD64)*2-12)</f>
        <v>n.r.</v>
      </c>
      <c r="CH64" s="8" t="str">
        <f ca="1">OFFSET(Database!$F64,0,COLUMN(Database!CE64)*2-12)</f>
        <v>n.r.</v>
      </c>
      <c r="CI64" s="8" t="str">
        <f ca="1">OFFSET(Database!$F64,0,COLUMN(Database!CF64)*2-12)</f>
        <v>n.r.</v>
      </c>
      <c r="CJ64" s="8" t="str">
        <f ca="1">OFFSET(Database!$F64,0,COLUMN(Database!CG64)*2-12)</f>
        <v>n.r.</v>
      </c>
      <c r="CK64" s="8" t="str">
        <f ca="1">OFFSET(Database!$F64,0,COLUMN(Database!CH64)*2-12)</f>
        <v>n.r.</v>
      </c>
      <c r="CL64" s="8" t="str">
        <f ca="1">OFFSET(Database!$F64,0,COLUMN(Database!CI64)*2-12)</f>
        <v>n.r.</v>
      </c>
      <c r="CM64" s="8" t="str">
        <f ca="1">OFFSET(Database!$F64,0,COLUMN(Database!CJ64)*2-12)</f>
        <v>n.r.</v>
      </c>
      <c r="CN64" s="8" t="str">
        <f ca="1">OFFSET(Database!$F64,0,COLUMN(Database!CK64)*2-12)</f>
        <v>n.r.</v>
      </c>
      <c r="CO64" s="8" t="str">
        <f ca="1">OFFSET(Database!$F64,0,COLUMN(Database!CL64)*2-12)</f>
        <v>n.r.</v>
      </c>
      <c r="CP64" s="8" t="str">
        <f ca="1">OFFSET(Database!$F64,0,COLUMN(Database!CM64)*2-12)</f>
        <v>n.r.</v>
      </c>
      <c r="CQ64" s="8" t="str">
        <f ca="1">OFFSET(Database!$F64,0,COLUMN(Database!CN64)*2-12)</f>
        <v>n.r.</v>
      </c>
      <c r="CR64" s="8" t="str">
        <f ca="1">OFFSET(Database!$F64,0,COLUMN(Database!CO64)*2-12)</f>
        <v>n.r.</v>
      </c>
      <c r="CS64" s="8" t="str">
        <f ca="1">OFFSET(Database!$F64,0,COLUMN(Database!CP64)*2-12)</f>
        <v>n.r.</v>
      </c>
      <c r="CT64" s="8" t="str">
        <f ca="1">OFFSET(Database!$F64,0,COLUMN(Database!CQ64)*2-12)</f>
        <v>n.r.</v>
      </c>
      <c r="CU64" s="8" t="str">
        <f ca="1">OFFSET(Database!$F64,0,COLUMN(Database!CR64)*2-12)</f>
        <v>n.r.</v>
      </c>
      <c r="CV64" s="8" t="str">
        <f ca="1">OFFSET(Database!$F64,0,COLUMN(Database!CS64)*2-12)</f>
        <v>n.r.</v>
      </c>
      <c r="CW64" s="8" t="str">
        <f ca="1">OFFSET(Database!$F64,0,COLUMN(Database!CT64)*2-12)</f>
        <v>n.r.</v>
      </c>
      <c r="CX64" s="8" t="str">
        <f ca="1">OFFSET(Database!$F64,0,COLUMN(Database!CU64)*2-12)</f>
        <v>n.r.</v>
      </c>
      <c r="CY64" s="8" t="str">
        <f ca="1">OFFSET(Database!$F64,0,COLUMN(Database!CV64)*2-12)</f>
        <v>n.r.</v>
      </c>
      <c r="CZ64" s="8" t="str">
        <f ca="1">OFFSET(Database!$F64,0,COLUMN(Database!CW64)*2-12)</f>
        <v>n.r.</v>
      </c>
      <c r="DA64" s="8" t="str">
        <f ca="1">OFFSET(Database!$F64,0,COLUMN(Database!CX64)*2-12)</f>
        <v>n.r.</v>
      </c>
      <c r="DB64" s="8" t="str">
        <f ca="1">OFFSET(Database!$F64,0,COLUMN(Database!CY64)*2-12)</f>
        <v>n.s.</v>
      </c>
      <c r="DC64" s="8" t="str">
        <f ca="1">OFFSET(Database!$F64,0,COLUMN(Database!CZ64)*2-12)</f>
        <v>n.s.</v>
      </c>
      <c r="DD64" s="8" t="str">
        <f ca="1">OFFSET(Database!$F64,0,COLUMN(Database!DA64)*2-12)</f>
        <v>n.r.</v>
      </c>
      <c r="DE64" s="8" t="str">
        <f ca="1">OFFSET(Database!$F64,0,COLUMN(Database!DB64)*2-12)</f>
        <v>n.r.</v>
      </c>
      <c r="DF64" s="8" t="str">
        <f ca="1">OFFSET(Database!$F64,0,COLUMN(Database!DC64)*2-12)</f>
        <v>n.r.</v>
      </c>
      <c r="DG64" s="8" t="str">
        <f ca="1">OFFSET(Database!$F64,0,COLUMN(Database!DD64)*2-12)</f>
        <v>n.r.</v>
      </c>
      <c r="DH64" s="8" t="str">
        <f ca="1">OFFSET(Database!$F64,0,COLUMN(Database!DE64)*2-12)</f>
        <v>n.r.</v>
      </c>
      <c r="DI64" s="8" t="str">
        <f ca="1">OFFSET(Database!$F64,0,COLUMN(Database!DF64)*2-12)</f>
        <v>n.r.</v>
      </c>
      <c r="DJ64" s="8" t="str">
        <f ca="1">OFFSET(Database!$F64,0,COLUMN(Database!DG64)*2-12)</f>
        <v>n.r.</v>
      </c>
      <c r="DK64" s="8" t="str">
        <f ca="1">OFFSET(Database!$F64,0,COLUMN(Database!DH64)*2-12)</f>
        <v>n.r.</v>
      </c>
      <c r="DL64" s="8" t="str">
        <f ca="1">OFFSET(Database!$F64,0,COLUMN(Database!DI64)*2-12)</f>
        <v>n.r.</v>
      </c>
      <c r="DM64" s="8" t="str">
        <f ca="1">OFFSET(Database!$F64,0,COLUMN(Database!DJ64)*2-12)</f>
        <v>n.r.</v>
      </c>
      <c r="DN64" s="8" t="str">
        <f ca="1">OFFSET(Database!$F64,0,COLUMN(Database!DK64)*2-12)</f>
        <v>n.r.</v>
      </c>
      <c r="DO64" s="8" t="str">
        <f ca="1">OFFSET(Database!$F64,0,COLUMN(Database!DL64)*2-12)</f>
        <v>n.r.</v>
      </c>
      <c r="DP64" s="8" t="str">
        <f ca="1">OFFSET(Database!$F64,0,COLUMN(Database!DM64)*2-12)</f>
        <v>n.r.</v>
      </c>
      <c r="DQ64" s="8" t="str">
        <f ca="1">OFFSET(Database!$F64,0,COLUMN(Database!DN64)*2-12)</f>
        <v>n.r.</v>
      </c>
      <c r="DR64" s="8" t="str">
        <f ca="1">OFFSET(Database!$F64,0,COLUMN(Database!DO64)*2-12)</f>
        <v>n.r.</v>
      </c>
      <c r="DS64" s="8" t="str">
        <f ca="1">OFFSET(Database!$F64,0,COLUMN(Database!DP64)*2-12)</f>
        <v>n.r.</v>
      </c>
      <c r="DT64" s="8" t="str">
        <f ca="1">OFFSET(Database!$F64,0,COLUMN(Database!DQ64)*2-12)</f>
        <v>n.r.</v>
      </c>
      <c r="DU64" s="8" t="str">
        <f ca="1">OFFSET(Database!$F64,0,COLUMN(Database!DR64)*2-12)</f>
        <v>n.r.</v>
      </c>
      <c r="DV64" s="8" t="str">
        <f ca="1">OFFSET(Database!$F64,0,COLUMN(Database!DS64)*2-12)</f>
        <v>n.r.</v>
      </c>
      <c r="DW64" s="8" t="str">
        <f ca="1">OFFSET(Database!$F64,0,COLUMN(Database!DT64)*2-12)</f>
        <v>n.r.</v>
      </c>
      <c r="DX64" s="8" t="str">
        <f ca="1">OFFSET(Database!$F64,0,COLUMN(Database!DU64)*2-12)</f>
        <v>n.r.</v>
      </c>
      <c r="DY64" s="8" t="str">
        <f ca="1">OFFSET(Database!$F64,0,COLUMN(Database!DV64)*2-12)</f>
        <v>n.r.</v>
      </c>
      <c r="DZ64" s="8" t="str">
        <f ca="1">OFFSET(Database!$F64,0,COLUMN(Database!DW64)*2-12)</f>
        <v>n.r.</v>
      </c>
      <c r="EA64" s="8" t="str">
        <f ca="1">OFFSET(Database!$F64,0,COLUMN(Database!DX64)*2-12)</f>
        <v>n.r.</v>
      </c>
      <c r="EB64" s="8" t="str">
        <f ca="1">OFFSET(Database!$F64,0,COLUMN(Database!DY64)*2-12)</f>
        <v>n.r.</v>
      </c>
      <c r="EC64" s="8" t="str">
        <f ca="1">OFFSET(Database!$F64,0,COLUMN(Database!DZ64)*2-12)</f>
        <v>n.r.</v>
      </c>
      <c r="ED64" s="8" t="str">
        <f ca="1">OFFSET(Database!$F64,0,COLUMN(Database!EA64)*2-12)</f>
        <v>n.r</v>
      </c>
      <c r="EE64" s="8" t="str">
        <f ca="1">OFFSET(Database!$F64,0,COLUMN(Database!EB64)*2-12)</f>
        <v>n.r.</v>
      </c>
      <c r="EF64" s="8" t="str">
        <f ca="1">OFFSET(Database!$F64,0,COLUMN(Database!EC64)*2-12)</f>
        <v>n.r.</v>
      </c>
      <c r="EG64" s="8" t="str">
        <f ca="1">OFFSET(Database!$F64,0,COLUMN(Database!ED64)*2-12)</f>
        <v>n.r.</v>
      </c>
      <c r="EH64" s="8" t="str">
        <f ca="1">OFFSET(Database!$F64,0,COLUMN(Database!EE64)*2-12)</f>
        <v>n.r.</v>
      </c>
      <c r="EI64" s="8" t="str">
        <f ca="1">OFFSET(Database!$F64,0,COLUMN(Database!EF64)*2-12)</f>
        <v>n.r.</v>
      </c>
      <c r="EJ64" s="8" t="str">
        <f ca="1">OFFSET(Database!$F64,0,COLUMN(Database!EG64)*2-12)</f>
        <v>n.r.</v>
      </c>
      <c r="EK64" s="8" t="str">
        <f ca="1">OFFSET(Database!$F64,0,COLUMN(Database!EH64)*2-12)</f>
        <v>n.r.</v>
      </c>
      <c r="EL64" s="8" t="str">
        <f ca="1">OFFSET(Database!$F64,0,COLUMN(Database!EI64)*2-12)</f>
        <v>n.r.</v>
      </c>
      <c r="EM64" s="8" t="str">
        <f ca="1">OFFSET(Database!$F64,0,COLUMN(Database!EJ64)*2-12)</f>
        <v>n.r.</v>
      </c>
      <c r="EN64" s="8" t="str">
        <f ca="1">OFFSET(Database!$F64,0,COLUMN(Database!EK64)*2-12)</f>
        <v>n.r.</v>
      </c>
      <c r="EO64" s="8" t="str">
        <f ca="1">OFFSET(Database!$F64,0,COLUMN(Database!EL64)*2-12)</f>
        <v>n.r.</v>
      </c>
      <c r="EP64" s="8" t="str">
        <f ca="1">OFFSET(Database!$F64,0,COLUMN(Database!EM64)*2-12)</f>
        <v>n.r.</v>
      </c>
      <c r="EQ64" s="8" t="str">
        <f ca="1">OFFSET(Database!$F64,0,COLUMN(Database!EN64)*2-12)</f>
        <v>n.r.</v>
      </c>
      <c r="ER64" s="8" t="str">
        <f ca="1">OFFSET(Database!$F64,0,COLUMN(Database!EO64)*2-12)</f>
        <v>n.r.</v>
      </c>
      <c r="ES64" s="8" t="str">
        <f ca="1">OFFSET(Database!$F64,0,COLUMN(Database!EP64)*2-12)</f>
        <v>n.r.</v>
      </c>
      <c r="ET64" s="8" t="str">
        <f ca="1">OFFSET(Database!$F64,0,COLUMN(Database!EQ64)*2-12)</f>
        <v>n.r.</v>
      </c>
      <c r="EU64" s="8" t="str">
        <f ca="1">OFFSET(Database!$F64,0,COLUMN(Database!ER64)*2-12)</f>
        <v>n.r.</v>
      </c>
      <c r="EV64" s="8" t="str">
        <f ca="1">OFFSET(Database!$F64,0,COLUMN(Database!ES64)*2-12)</f>
        <v>n.r.</v>
      </c>
      <c r="EW64" s="8" t="str">
        <f ca="1">OFFSET(Database!$F64,0,COLUMN(Database!ET64)*2-12)</f>
        <v>n.r.</v>
      </c>
      <c r="EX64" s="8" t="str">
        <f ca="1">OFFSET(Database!$F64,0,COLUMN(Database!EU64)*2-12)</f>
        <v>n.r.</v>
      </c>
      <c r="EY64" s="8" t="str">
        <f ca="1">OFFSET(Database!$F64,0,COLUMN(Database!EV64)*2-12)</f>
        <v>n.r.</v>
      </c>
      <c r="EZ64" s="8" t="str">
        <f ca="1">OFFSET(Database!$F64,0,COLUMN(Database!EW64)*2-12)</f>
        <v>n.r.</v>
      </c>
      <c r="FA64" s="8" t="str">
        <f ca="1">OFFSET(Database!$F64,0,COLUMN(Database!EX64)*2-12)</f>
        <v>n.r.</v>
      </c>
      <c r="FB64" s="8" t="str">
        <f ca="1">OFFSET(Database!$F64,0,COLUMN(Database!EY64)*2-12)</f>
        <v>n.r.</v>
      </c>
      <c r="FC64" s="8" t="str">
        <f ca="1">OFFSET(Database!$F64,0,COLUMN(Database!EZ64)*2-12)</f>
        <v>n.r.</v>
      </c>
      <c r="FD64" s="8" t="str">
        <f ca="1">OFFSET(Database!$F64,0,COLUMN(Database!FA64)*2-12)</f>
        <v>n.r.</v>
      </c>
      <c r="FE64" s="8" t="str">
        <f ca="1">OFFSET(Database!$F64,0,COLUMN(Database!FB64)*2-12)</f>
        <v>n.r.</v>
      </c>
      <c r="FF64" s="8" t="str">
        <f ca="1">OFFSET(Database!$F64,0,COLUMN(Database!FC64)*2-12)</f>
        <v>n.r.</v>
      </c>
      <c r="FG64" s="8" t="str">
        <f ca="1">OFFSET(Database!$F64,0,COLUMN(Database!FD64)*2-12)</f>
        <v>n.r.</v>
      </c>
      <c r="FH64" s="8" t="str">
        <f ca="1">OFFSET(Database!$F64,0,COLUMN(Database!FE64)*2-12)</f>
        <v>n.r.</v>
      </c>
      <c r="FI64" s="8" t="str">
        <f ca="1">OFFSET(Database!$F64,0,COLUMN(Database!FF64)*2-12)</f>
        <v>n.r.</v>
      </c>
      <c r="FJ64" s="8" t="str">
        <f ca="1">OFFSET(Database!$F64,0,COLUMN(Database!FG64)*2-12)</f>
        <v>n.r.</v>
      </c>
      <c r="FK64" s="8" t="str">
        <f ca="1">OFFSET(Database!$F64,0,COLUMN(Database!FH64)*2-12)</f>
        <v>n.r.</v>
      </c>
      <c r="FL64" s="8" t="str">
        <f ca="1">OFFSET(Database!$F64,0,COLUMN(Database!FI64)*2-12)</f>
        <v>n.r.</v>
      </c>
      <c r="FM64" s="8" t="str">
        <f ca="1">OFFSET(Database!$F64,0,COLUMN(Database!FJ64)*2-12)</f>
        <v>n.r.</v>
      </c>
      <c r="FN64" s="8" t="str">
        <f ca="1">OFFSET(Database!$F64,0,COLUMN(Database!FK64)*2-12)</f>
        <v>n.r.</v>
      </c>
      <c r="FO64" s="8" t="str">
        <f ca="1">OFFSET(Database!$F64,0,COLUMN(Database!FL64)*2-12)</f>
        <v>n.r.</v>
      </c>
      <c r="FP64" s="8" t="str">
        <f ca="1">OFFSET(Database!$F64,0,COLUMN(Database!FM64)*2-12)</f>
        <v>n.r.</v>
      </c>
      <c r="FQ64" s="8" t="str">
        <f ca="1">OFFSET(Database!$F64,0,COLUMN(Database!FN64)*2-12)</f>
        <v>n.r.</v>
      </c>
      <c r="FR64" s="8" t="str">
        <f ca="1">OFFSET(Database!$F64,0,COLUMN(Database!FO64)*2-12)</f>
        <v>n.r.</v>
      </c>
      <c r="FS64" s="8" t="str">
        <f ca="1">OFFSET(Database!$F64,0,COLUMN(Database!FP64)*2-12)</f>
        <v>n.r.</v>
      </c>
      <c r="FT64" s="8" t="str">
        <f ca="1">OFFSET(Database!$F64,0,COLUMN(Database!FQ64)*2-12)</f>
        <v>n.r.</v>
      </c>
      <c r="FU64" s="8" t="str">
        <f ca="1">OFFSET(Database!$F64,0,COLUMN(Database!FR64)*2-12)</f>
        <v>n.r.</v>
      </c>
      <c r="FV64" s="8" t="str">
        <f ca="1">OFFSET(Database!$F64,0,COLUMN(Database!FS64)*2-12)</f>
        <v>n.r.</v>
      </c>
      <c r="FW64" s="8" t="str">
        <f ca="1">OFFSET(Database!$F64,0,COLUMN(Database!FT64)*2-12)</f>
        <v>n.r.</v>
      </c>
      <c r="FX64" s="8" t="str">
        <f ca="1">OFFSET(Database!$F64,0,COLUMN(Database!FU64)*2-12)</f>
        <v>n.r.</v>
      </c>
      <c r="FY64" s="8" t="str">
        <f ca="1">OFFSET(Database!$F64,0,COLUMN(Database!FV64)*2-12)</f>
        <v>n.r.</v>
      </c>
      <c r="FZ64" s="8" t="str">
        <f ca="1">OFFSET(Database!$F64,0,COLUMN(Database!FW64)*2-12)</f>
        <v>n.r.</v>
      </c>
      <c r="GA64" s="8" t="str">
        <f ca="1">OFFSET(Database!$F64,0,COLUMN(Database!FX64)*2-12)</f>
        <v>n.r.</v>
      </c>
      <c r="GB64" s="8" t="str">
        <f ca="1">OFFSET(Database!$F64,0,COLUMN(Database!FY64)*2-12)</f>
        <v>n.r.</v>
      </c>
      <c r="GC64" s="8" t="str">
        <f ca="1">OFFSET(Database!$F64,0,COLUMN(Database!FZ64)*2-12)</f>
        <v>n.r.</v>
      </c>
      <c r="GD64" s="8" t="str">
        <f ca="1">OFFSET(Database!$F64,0,COLUMN(Database!GA64)*2-12)</f>
        <v>n.r.</v>
      </c>
      <c r="GE64" s="8" t="str">
        <f ca="1">OFFSET(Database!$F64,0,COLUMN(Database!GB64)*2-12)</f>
        <v>n.r.</v>
      </c>
      <c r="GF64" s="8" t="str">
        <f ca="1">OFFSET(Database!$F64,0,COLUMN(Database!GC64)*2-12)</f>
        <v>n.r.</v>
      </c>
      <c r="GG64" s="8" t="str">
        <f ca="1">OFFSET(Database!$F64,0,COLUMN(Database!GD64)*2-12)</f>
        <v>n.r.</v>
      </c>
      <c r="GH64" s="8" t="str">
        <f ca="1">OFFSET(Database!$F64,0,COLUMN(Database!GE64)*2-12)</f>
        <v>n.r.</v>
      </c>
      <c r="GI64" s="8" t="str">
        <f ca="1">OFFSET(Database!$F64,0,COLUMN(Database!GF64)*2-12)</f>
        <v>n.r.</v>
      </c>
      <c r="GJ64" s="8" t="str">
        <f ca="1">OFFSET(Database!$F64,0,COLUMN(Database!GG64)*2-12)</f>
        <v>n.r.</v>
      </c>
      <c r="GK64" s="8" t="str">
        <f ca="1">OFFSET(Database!$F64,0,COLUMN(Database!GH64)*2-12)</f>
        <v>n.r.</v>
      </c>
      <c r="GL64" s="8" t="str">
        <f ca="1">OFFSET(Database!$F64,0,COLUMN(Database!GI64)*2-12)</f>
        <v>n.r.</v>
      </c>
      <c r="GM64" s="8" t="str">
        <f ca="1">OFFSET(Database!$F64,0,COLUMN(Database!GJ64)*2-12)</f>
        <v>n.r.</v>
      </c>
      <c r="GN64" s="8" t="str">
        <f ca="1">OFFSET(Database!$F64,0,COLUMN(Database!GK64)*2-12)</f>
        <v>n.r.</v>
      </c>
      <c r="GO64" s="8" t="str">
        <f ca="1">OFFSET(Database!$F64,0,COLUMN(Database!GL64)*2-12)</f>
        <v>n.r.</v>
      </c>
      <c r="GP64" s="8" t="str">
        <f ca="1">OFFSET(Database!$F64,0,COLUMN(Database!GM64)*2-12)</f>
        <v>n.r.</v>
      </c>
    </row>
    <row r="65" spans="1:198" x14ac:dyDescent="0.2">
      <c r="A65" s="50" t="str">
        <f>Database!A65</f>
        <v>4-amino-n-pentanoic acid</v>
      </c>
      <c r="B65" s="32" t="s">
        <v>1010</v>
      </c>
      <c r="C65" s="4" t="str">
        <f>Database!B65</f>
        <v>ɣ</v>
      </c>
      <c r="D65" s="4" t="str">
        <f>Database!C65</f>
        <v>Both</v>
      </c>
      <c r="E65" s="74">
        <f>Database!D65</f>
        <v>31</v>
      </c>
      <c r="F65" s="32" t="s">
        <v>1064</v>
      </c>
      <c r="G65" s="1" t="s">
        <v>1126</v>
      </c>
      <c r="H65" s="1">
        <f>Database!E65</f>
        <v>117.15</v>
      </c>
      <c r="I65" s="8">
        <f ca="1">OFFSET(Database!$F65,0,COLUMN(Database!F65)*2-12)</f>
        <v>2.5000000000000001E-3</v>
      </c>
      <c r="J65" s="8" t="str">
        <f ca="1">OFFSET(Database!$F65,0,COLUMN(Database!G65)*2-12)</f>
        <v>tr</v>
      </c>
      <c r="K65" s="8">
        <f ca="1">OFFSET(Database!$F65,0,COLUMN(Database!H65)*2-12)</f>
        <v>2.8E-3</v>
      </c>
      <c r="L65" s="8">
        <f ca="1">OFFSET(Database!$F65,0,COLUMN(Database!I65)*2-12)</f>
        <v>2.0000000000000001E-4</v>
      </c>
      <c r="M65" s="8">
        <f ca="1">OFFSET(Database!$F65,0,COLUMN(Database!J65)*2-12)</f>
        <v>2.0999999999999999E-3</v>
      </c>
      <c r="N65" s="8" t="str">
        <f ca="1">OFFSET(Database!$F65,0,COLUMN(Database!K65)*2-12)</f>
        <v>n.r.</v>
      </c>
      <c r="O65" s="8">
        <f ca="1">OFFSET(Database!$F65,0,COLUMN(Database!L65)*2-12)</f>
        <v>0.64</v>
      </c>
      <c r="P65" s="8">
        <f ca="1">OFFSET(Database!$F65,0,COLUMN(Database!M65)*2-12)</f>
        <v>0.24</v>
      </c>
      <c r="Q65" s="8">
        <f ca="1">OFFSET(Database!$F65,0,COLUMN(Database!N65)*2-12)</f>
        <v>3.3</v>
      </c>
      <c r="R65" s="8" t="str">
        <f ca="1">OFFSET(Database!$F65,0,COLUMN(Database!O65)*2-12)</f>
        <v>n.r.</v>
      </c>
      <c r="S65" s="8" t="str">
        <f ca="1">OFFSET(Database!$F65,0,COLUMN(Database!P65)*2-12)</f>
        <v>n.r.</v>
      </c>
      <c r="T65" s="8">
        <f ca="1">OFFSET(Database!$F65,0,COLUMN(Database!Q65)*2-12)</f>
        <v>25.3</v>
      </c>
      <c r="U65" s="8">
        <f ca="1">OFFSET(Database!$F65,0,COLUMN(Database!R65)*2-12)</f>
        <v>11</v>
      </c>
      <c r="V65" s="8">
        <f ca="1">OFFSET(Database!$F65,0,COLUMN(Database!S65)*2-12)</f>
        <v>0.17925736235595391</v>
      </c>
      <c r="W65" s="8">
        <f ca="1">OFFSET(Database!$F65,0,COLUMN(Database!T65)*2-12)</f>
        <v>0.28169014084507044</v>
      </c>
      <c r="X65" s="8">
        <f ca="1">OFFSET(Database!$F65,0,COLUMN(Database!U65)*2-12)</f>
        <v>3.7900128040973109</v>
      </c>
      <c r="Y65" s="8">
        <f ca="1">OFFSET(Database!$F65,0,COLUMN(Database!V65)*2-12)</f>
        <v>2.9</v>
      </c>
      <c r="Z65" s="8">
        <f ca="1">OFFSET(Database!$F65,0,COLUMN(Database!W65)*2-12)</f>
        <v>0.9</v>
      </c>
      <c r="AA65" s="8" t="str">
        <f ca="1">OFFSET(Database!$F65,0,COLUMN(Database!X65)*2-12)</f>
        <v>n.r.</v>
      </c>
      <c r="AB65" s="8" t="str">
        <f ca="1">OFFSET(Database!$F65,0,COLUMN(Database!Y65)*2-12)</f>
        <v>n.r.</v>
      </c>
      <c r="AC65" s="8">
        <f ca="1">OFFSET(Database!$F65,0,COLUMN(Database!Z65)*2-12)</f>
        <v>0.71702944942381563</v>
      </c>
      <c r="AD65" s="8">
        <f ca="1">OFFSET(Database!$F65,0,COLUMN(Database!AA65)*2-12)</f>
        <v>0.66581306017925734</v>
      </c>
      <c r="AE65" s="8">
        <f ca="1">OFFSET(Database!$F65,0,COLUMN(Database!AB65)*2-12)</f>
        <v>4.0546308151941952</v>
      </c>
      <c r="AF65" s="8">
        <f ca="1">OFFSET(Database!$F65,0,COLUMN(Database!AC65)*2-12)</f>
        <v>1.46</v>
      </c>
      <c r="AG65" s="8" t="str">
        <f ca="1">OFFSET(Database!$F65,0,COLUMN(Database!AD65)*2-12)</f>
        <v>n.d.</v>
      </c>
      <c r="AH65" s="8" t="str">
        <f ca="1">OFFSET(Database!$F65,0,COLUMN(Database!AE65)*2-12)</f>
        <v>n.r.</v>
      </c>
      <c r="AI65" s="8" t="str">
        <f ca="1">OFFSET(Database!$F65,0,COLUMN(Database!AF65)*2-12)</f>
        <v>n.r.</v>
      </c>
      <c r="AJ65" s="8" t="str">
        <f ca="1">OFFSET(Database!$F65,0,COLUMN(Database!AG65)*2-12)</f>
        <v>n.r.</v>
      </c>
      <c r="AK65" s="8" t="str">
        <f ca="1">OFFSET(Database!$F65,0,COLUMN(Database!AH65)*2-12)</f>
        <v>n.r.</v>
      </c>
      <c r="AL65" s="8" t="str">
        <f ca="1">OFFSET(Database!$F65,0,COLUMN(Database!AI65)*2-12)</f>
        <v>n.r.</v>
      </c>
      <c r="AM65" s="8">
        <f ca="1">OFFSET(Database!$F65,0,COLUMN(Database!AJ65)*2-12)</f>
        <v>2.1</v>
      </c>
      <c r="AN65" s="8">
        <f ca="1">OFFSET(Database!$F65,0,COLUMN(Database!AK65)*2-12)</f>
        <v>0.7</v>
      </c>
      <c r="AO65" s="8">
        <f ca="1">OFFSET(Database!$F65,0,COLUMN(Database!AL65)*2-12)</f>
        <v>2.4157063593683312</v>
      </c>
      <c r="AP65" s="8">
        <f ca="1">OFFSET(Database!$F65,0,COLUMN(Database!AM65)*2-12)</f>
        <v>0.92</v>
      </c>
      <c r="AQ65" s="8" t="str">
        <f ca="1">OFFSET(Database!$F65,0,COLUMN(Database!AN65)*2-12)</f>
        <v>&lt;0.01</v>
      </c>
      <c r="AR65" s="8" t="str">
        <f ca="1">OFFSET(Database!$F65,0,COLUMN(Database!AO65)*2-12)</f>
        <v>&lt;0.01</v>
      </c>
      <c r="AS65" s="8">
        <f ca="1">OFFSET(Database!$F65,0,COLUMN(Database!AP65)*2-12)</f>
        <v>1.7072129748186087E-3</v>
      </c>
      <c r="AT65" s="8" t="str">
        <f ca="1">OFFSET(Database!$F65,0,COLUMN(Database!AQ65)*2-12)</f>
        <v>&lt;0.0009</v>
      </c>
      <c r="AU65" s="8">
        <f ca="1">OFFSET(Database!$F65,0,COLUMN(Database!AR65)*2-12)</f>
        <v>1.2804097311139564E-2</v>
      </c>
      <c r="AV65" s="8" t="str">
        <f ca="1">OFFSET(Database!$F65,0,COLUMN(Database!AS65)*2-12)</f>
        <v>&lt;0.007</v>
      </c>
      <c r="AW65" s="8">
        <f ca="1">OFFSET(Database!$F65,0,COLUMN(Database!AT65)*2-12)</f>
        <v>7.4263764404609467E-2</v>
      </c>
      <c r="AX65" s="8">
        <f ca="1">OFFSET(Database!$F65,0,COLUMN(Database!AU65)*2-12)</f>
        <v>0.12804097311139565</v>
      </c>
      <c r="AY65" s="8">
        <f ca="1">OFFSET(Database!$F65,0,COLUMN(Database!AV65)*2-12)</f>
        <v>2.5608194622279128E-3</v>
      </c>
      <c r="AZ65" s="8">
        <f ca="1">OFFSET(Database!$F65,0,COLUMN(Database!AW65)*2-12)</f>
        <v>6.8288518992744348E-3</v>
      </c>
      <c r="BA65" s="8">
        <f ca="1">OFFSET(Database!$F65,0,COLUMN(Database!AX65)*2-12)</f>
        <v>7.6824583866837385E-3</v>
      </c>
      <c r="BB65" s="8" t="str">
        <f ca="1">OFFSET(Database!$F65,0,COLUMN(Database!AY65)*2-12)</f>
        <v>&lt;0.0009</v>
      </c>
      <c r="BC65" s="8" t="str">
        <f ca="1">OFFSET(Database!$F65,0,COLUMN(Database!AZ65)*2-12)</f>
        <v>&lt;0.0009</v>
      </c>
      <c r="BD65" s="8" t="str">
        <f ca="1">OFFSET(Database!$F65,0,COLUMN(Database!BA65)*2-12)</f>
        <v>&lt;0.007</v>
      </c>
      <c r="BE65" s="8">
        <f ca="1">OFFSET(Database!$F65,0,COLUMN(Database!BB65)*2-12)</f>
        <v>1.7072129748186087E-3</v>
      </c>
      <c r="BF65" s="8" t="str">
        <f ca="1">OFFSET(Database!$F65,0,COLUMN(Database!BC65)*2-12)</f>
        <v>&lt;0.002</v>
      </c>
      <c r="BG65" s="8" t="str">
        <f ca="1">OFFSET(Database!$F65,0,COLUMN(Database!BD65)*2-12)</f>
        <v>&lt;0.0009</v>
      </c>
      <c r="BH65" s="8" t="str">
        <f ca="1">OFFSET(Database!$F65,0,COLUMN(Database!BE65)*2-12)</f>
        <v>n.r.</v>
      </c>
      <c r="BI65" s="8" t="str">
        <f ca="1">OFFSET(Database!$F65,0,COLUMN(Database!BF65)*2-12)</f>
        <v>n.r.</v>
      </c>
      <c r="BJ65" s="8" t="str">
        <f ca="1">OFFSET(Database!$F65,0,COLUMN(Database!BG65)*2-12)</f>
        <v>n.r.</v>
      </c>
      <c r="BK65" s="8" t="str">
        <f ca="1">OFFSET(Database!$F65,0,COLUMN(Database!BH65)*2-12)</f>
        <v>n.r.</v>
      </c>
      <c r="BL65" s="8" t="str">
        <f ca="1">OFFSET(Database!$F65,0,COLUMN(Database!BI65)*2-12)</f>
        <v>n.r.</v>
      </c>
      <c r="BM65" s="8" t="str">
        <f ca="1">OFFSET(Database!$F65,0,COLUMN(Database!BJ65)*2-12)</f>
        <v>n.r.</v>
      </c>
      <c r="BN65" s="8" t="str">
        <f ca="1">OFFSET(Database!$F65,0,COLUMN(Database!BK65)*2-12)</f>
        <v>n.r.</v>
      </c>
      <c r="BO65" s="8" t="str">
        <f ca="1">OFFSET(Database!$F65,0,COLUMN(Database!BL65)*2-12)</f>
        <v>n.r.</v>
      </c>
      <c r="BP65" s="8" t="str">
        <f ca="1">OFFSET(Database!$F65,0,COLUMN(Database!BM65)*2-12)</f>
        <v>&lt;0.0009</v>
      </c>
      <c r="BQ65" s="8" t="str">
        <f ca="1">OFFSET(Database!$F65,0,COLUMN(Database!BN65)*2-12)</f>
        <v>&lt;0.0009</v>
      </c>
      <c r="BR65" s="8" t="str">
        <f ca="1">OFFSET(Database!$F65,0,COLUMN(Database!BO65)*2-12)</f>
        <v>&lt;0.0009</v>
      </c>
      <c r="BS65" s="8" t="str">
        <f ca="1">OFFSET(Database!$F65,0,COLUMN(Database!BP65)*2-12)</f>
        <v>&lt;0.001</v>
      </c>
      <c r="BT65" s="8" t="str">
        <f ca="1">OFFSET(Database!$F65,0,COLUMN(Database!BQ65)*2-12)</f>
        <v>&lt;0.001</v>
      </c>
      <c r="BU65" s="8" t="str">
        <f ca="1">OFFSET(Database!$F65,0,COLUMN(Database!BR65)*2-12)</f>
        <v>&lt;0.001</v>
      </c>
      <c r="BV65" s="8" t="str">
        <f ca="1">OFFSET(Database!$F65,0,COLUMN(Database!BS65)*2-12)</f>
        <v>&lt;0.001</v>
      </c>
      <c r="BW65" s="8" t="str">
        <f ca="1">OFFSET(Database!$F65,0,COLUMN(Database!BT65)*2-12)</f>
        <v>&lt;0.0001</v>
      </c>
      <c r="BX65" s="8" t="str">
        <f ca="1">OFFSET(Database!$F65,0,COLUMN(Database!BU65)*2-12)</f>
        <v>&lt;0.0001</v>
      </c>
      <c r="BY65" s="8" t="str">
        <f ca="1">OFFSET(Database!$F65,0,COLUMN(Database!BV65)*2-12)</f>
        <v>&lt;0.0001</v>
      </c>
      <c r="BZ65" s="8" t="str">
        <f ca="1">OFFSET(Database!$F65,0,COLUMN(Database!BW65)*2-12)</f>
        <v>n.r.</v>
      </c>
      <c r="CA65" s="8" t="str">
        <f ca="1">OFFSET(Database!$F65,0,COLUMN(Database!BX65)*2-12)</f>
        <v>n.r.</v>
      </c>
      <c r="CB65" s="8" t="str">
        <f ca="1">OFFSET(Database!$F65,0,COLUMN(Database!BY65)*2-12)</f>
        <v>n.r.</v>
      </c>
      <c r="CC65" s="8" t="str">
        <f ca="1">OFFSET(Database!$F65,0,COLUMN(Database!BZ65)*2-12)</f>
        <v>n.r.</v>
      </c>
      <c r="CD65" s="8" t="str">
        <f ca="1">OFFSET(Database!$F65,0,COLUMN(Database!CA65)*2-12)</f>
        <v>n.r.</v>
      </c>
      <c r="CE65" s="8" t="str">
        <f ca="1">OFFSET(Database!$F65,0,COLUMN(Database!CB65)*2-12)</f>
        <v>n.r.</v>
      </c>
      <c r="CF65" s="8" t="str">
        <f ca="1">OFFSET(Database!$F65,0,COLUMN(Database!CC65)*2-12)</f>
        <v>n.r.</v>
      </c>
      <c r="CG65" s="8" t="str">
        <f ca="1">OFFSET(Database!$F65,0,COLUMN(Database!CD65)*2-12)</f>
        <v>n.r.</v>
      </c>
      <c r="CH65" s="8" t="str">
        <f ca="1">OFFSET(Database!$F65,0,COLUMN(Database!CE65)*2-12)</f>
        <v>n.r.</v>
      </c>
      <c r="CI65" s="8" t="str">
        <f ca="1">OFFSET(Database!$F65,0,COLUMN(Database!CF65)*2-12)</f>
        <v>n.r.</v>
      </c>
      <c r="CJ65" s="8" t="str">
        <f ca="1">OFFSET(Database!$F65,0,COLUMN(Database!CG65)*2-12)</f>
        <v>n.r.</v>
      </c>
      <c r="CK65" s="8" t="str">
        <f ca="1">OFFSET(Database!$F65,0,COLUMN(Database!CH65)*2-12)</f>
        <v>n.r.</v>
      </c>
      <c r="CL65" s="8" t="str">
        <f ca="1">OFFSET(Database!$F65,0,COLUMN(Database!CI65)*2-12)</f>
        <v>n.r.</v>
      </c>
      <c r="CM65" s="8" t="str">
        <f ca="1">OFFSET(Database!$F65,0,COLUMN(Database!CJ65)*2-12)</f>
        <v>n.r.</v>
      </c>
      <c r="CN65" s="8" t="str">
        <f ca="1">OFFSET(Database!$F65,0,COLUMN(Database!CK65)*2-12)</f>
        <v>n.r.</v>
      </c>
      <c r="CO65" s="8" t="str">
        <f ca="1">OFFSET(Database!$F65,0,COLUMN(Database!CL65)*2-12)</f>
        <v>n.r.</v>
      </c>
      <c r="CP65" s="8" t="str">
        <f ca="1">OFFSET(Database!$F65,0,COLUMN(Database!CM65)*2-12)</f>
        <v>n.r.</v>
      </c>
      <c r="CQ65" s="8" t="str">
        <f ca="1">OFFSET(Database!$F65,0,COLUMN(Database!CN65)*2-12)</f>
        <v>n.r.</v>
      </c>
      <c r="CR65" s="8" t="str">
        <f ca="1">OFFSET(Database!$F65,0,COLUMN(Database!CO65)*2-12)</f>
        <v>n.r.</v>
      </c>
      <c r="CS65" s="8" t="str">
        <f ca="1">OFFSET(Database!$F65,0,COLUMN(Database!CP65)*2-12)</f>
        <v>n.r.</v>
      </c>
      <c r="CT65" s="8" t="str">
        <f ca="1">OFFSET(Database!$F65,0,COLUMN(Database!CQ65)*2-12)</f>
        <v>n.r.</v>
      </c>
      <c r="CU65" s="8" t="str">
        <f ca="1">OFFSET(Database!$F65,0,COLUMN(Database!CR65)*2-12)</f>
        <v>n.r.</v>
      </c>
      <c r="CV65" s="8" t="str">
        <f ca="1">OFFSET(Database!$F65,0,COLUMN(Database!CS65)*2-12)</f>
        <v>n.r.</v>
      </c>
      <c r="CW65" s="8" t="str">
        <f ca="1">OFFSET(Database!$F65,0,COLUMN(Database!CT65)*2-12)</f>
        <v>n.r.</v>
      </c>
      <c r="CX65" s="8" t="str">
        <f ca="1">OFFSET(Database!$F65,0,COLUMN(Database!CU65)*2-12)</f>
        <v>n.r.</v>
      </c>
      <c r="CY65" s="8" t="str">
        <f ca="1">OFFSET(Database!$F65,0,COLUMN(Database!CV65)*2-12)</f>
        <v>n.r.</v>
      </c>
      <c r="CZ65" s="8" t="str">
        <f ca="1">OFFSET(Database!$F65,0,COLUMN(Database!CW65)*2-12)</f>
        <v>n.r.</v>
      </c>
      <c r="DA65" s="8" t="str">
        <f ca="1">OFFSET(Database!$F65,0,COLUMN(Database!CX65)*2-12)</f>
        <v>n.r.</v>
      </c>
      <c r="DB65" s="8" t="str">
        <f ca="1">OFFSET(Database!$F65,0,COLUMN(Database!CY65)*2-12)</f>
        <v>n.s.</v>
      </c>
      <c r="DC65" s="8" t="str">
        <f ca="1">OFFSET(Database!$F65,0,COLUMN(Database!CZ65)*2-12)</f>
        <v>n.s.</v>
      </c>
      <c r="DD65" s="8">
        <f ca="1">OFFSET(Database!$F65,0,COLUMN(Database!DA65)*2-12)</f>
        <v>0.5</v>
      </c>
      <c r="DE65" s="8" t="str">
        <f ca="1">OFFSET(Database!$F65,0,COLUMN(Database!DB65)*2-12)</f>
        <v>n.r.</v>
      </c>
      <c r="DF65" s="8" t="str">
        <f ca="1">OFFSET(Database!$F65,0,COLUMN(Database!DC65)*2-12)</f>
        <v>n.r.</v>
      </c>
      <c r="DG65" s="8" t="str">
        <f ca="1">OFFSET(Database!$F65,0,COLUMN(Database!DD65)*2-12)</f>
        <v>n.r.</v>
      </c>
      <c r="DH65" s="8" t="str">
        <f ca="1">OFFSET(Database!$F65,0,COLUMN(Database!DE65)*2-12)</f>
        <v>n.r.</v>
      </c>
      <c r="DI65" s="8" t="str">
        <f ca="1">OFFSET(Database!$F65,0,COLUMN(Database!DF65)*2-12)</f>
        <v>n.r.</v>
      </c>
      <c r="DJ65" s="8" t="str">
        <f ca="1">OFFSET(Database!$F65,0,COLUMN(Database!DG65)*2-12)</f>
        <v>n.r.</v>
      </c>
      <c r="DK65" s="8" t="str">
        <f ca="1">OFFSET(Database!$F65,0,COLUMN(Database!DH65)*2-12)</f>
        <v>n.r.</v>
      </c>
      <c r="DL65" s="8" t="str">
        <f ca="1">OFFSET(Database!$F65,0,COLUMN(Database!DI65)*2-12)</f>
        <v>n.r.</v>
      </c>
      <c r="DM65" s="8" t="str">
        <f ca="1">OFFSET(Database!$F65,0,COLUMN(Database!DJ65)*2-12)</f>
        <v>n.r.</v>
      </c>
      <c r="DN65" s="8" t="str">
        <f ca="1">OFFSET(Database!$F65,0,COLUMN(Database!DK65)*2-12)</f>
        <v>n.r.</v>
      </c>
      <c r="DO65" s="8" t="str">
        <f ca="1">OFFSET(Database!$F65,0,COLUMN(Database!DL65)*2-12)</f>
        <v>n.r.</v>
      </c>
      <c r="DP65" s="8" t="str">
        <f ca="1">OFFSET(Database!$F65,0,COLUMN(Database!DM65)*2-12)</f>
        <v>n.r.</v>
      </c>
      <c r="DQ65" s="8" t="str">
        <f ca="1">OFFSET(Database!$F65,0,COLUMN(Database!DN65)*2-12)</f>
        <v>n.r.</v>
      </c>
      <c r="DR65" s="8" t="str">
        <f ca="1">OFFSET(Database!$F65,0,COLUMN(Database!DO65)*2-12)</f>
        <v>n.r.</v>
      </c>
      <c r="DS65" s="8" t="str">
        <f ca="1">OFFSET(Database!$F65,0,COLUMN(Database!DP65)*2-12)</f>
        <v>n.r.</v>
      </c>
      <c r="DT65" s="8" t="str">
        <f ca="1">OFFSET(Database!$F65,0,COLUMN(Database!DQ65)*2-12)</f>
        <v>n.r.</v>
      </c>
      <c r="DU65" s="8" t="str">
        <f ca="1">OFFSET(Database!$F65,0,COLUMN(Database!DR65)*2-12)</f>
        <v>n.r.</v>
      </c>
      <c r="DV65" s="8" t="str">
        <f ca="1">OFFSET(Database!$F65,0,COLUMN(Database!DS65)*2-12)</f>
        <v>n.r.</v>
      </c>
      <c r="DW65" s="8" t="str">
        <f ca="1">OFFSET(Database!$F65,0,COLUMN(Database!DT65)*2-12)</f>
        <v>n.r.</v>
      </c>
      <c r="DX65" s="8" t="str">
        <f ca="1">OFFSET(Database!$F65,0,COLUMN(Database!DU65)*2-12)</f>
        <v>n.r.</v>
      </c>
      <c r="DY65" s="8" t="str">
        <f ca="1">OFFSET(Database!$F65,0,COLUMN(Database!DV65)*2-12)</f>
        <v>n.r.</v>
      </c>
      <c r="DZ65" s="8" t="str">
        <f ca="1">OFFSET(Database!$F65,0,COLUMN(Database!DW65)*2-12)</f>
        <v>n.r.</v>
      </c>
      <c r="EA65" s="8" t="str">
        <f ca="1">OFFSET(Database!$F65,0,COLUMN(Database!DX65)*2-12)</f>
        <v>n.r.</v>
      </c>
      <c r="EB65" s="8" t="str">
        <f ca="1">OFFSET(Database!$F65,0,COLUMN(Database!DY65)*2-12)</f>
        <v>n.r.</v>
      </c>
      <c r="EC65" s="8" t="str">
        <f ca="1">OFFSET(Database!$F65,0,COLUMN(Database!DZ65)*2-12)</f>
        <v>n.r.</v>
      </c>
      <c r="ED65" s="8" t="str">
        <f ca="1">OFFSET(Database!$F65,0,COLUMN(Database!EA65)*2-12)</f>
        <v>n.r.</v>
      </c>
      <c r="EE65" s="8" t="str">
        <f ca="1">OFFSET(Database!$F65,0,COLUMN(Database!EB65)*2-12)</f>
        <v>n.r.</v>
      </c>
      <c r="EF65" s="8" t="str">
        <f ca="1">OFFSET(Database!$F65,0,COLUMN(Database!EC65)*2-12)</f>
        <v>n.r.</v>
      </c>
      <c r="EG65" s="8" t="str">
        <f ca="1">OFFSET(Database!$F65,0,COLUMN(Database!ED65)*2-12)</f>
        <v>n.r.</v>
      </c>
      <c r="EH65" s="8" t="str">
        <f ca="1">OFFSET(Database!$F65,0,COLUMN(Database!EE65)*2-12)</f>
        <v>n.r.</v>
      </c>
      <c r="EI65" s="8" t="str">
        <f ca="1">OFFSET(Database!$F65,0,COLUMN(Database!EF65)*2-12)</f>
        <v>n.r.</v>
      </c>
      <c r="EJ65" s="8" t="str">
        <f ca="1">OFFSET(Database!$F65,0,COLUMN(Database!EG65)*2-12)</f>
        <v>n.r.</v>
      </c>
      <c r="EK65" s="8" t="str">
        <f ca="1">OFFSET(Database!$F65,0,COLUMN(Database!EH65)*2-12)</f>
        <v>n.r.</v>
      </c>
      <c r="EL65" s="8" t="str">
        <f ca="1">OFFSET(Database!$F65,0,COLUMN(Database!EI65)*2-12)</f>
        <v>n.r.</v>
      </c>
      <c r="EM65" s="8" t="str">
        <f ca="1">OFFSET(Database!$F65,0,COLUMN(Database!EJ65)*2-12)</f>
        <v>n.r.</v>
      </c>
      <c r="EN65" s="8" t="str">
        <f ca="1">OFFSET(Database!$F65,0,COLUMN(Database!EK65)*2-12)</f>
        <v>n.r.</v>
      </c>
      <c r="EO65" s="8" t="str">
        <f ca="1">OFFSET(Database!$F65,0,COLUMN(Database!EL65)*2-12)</f>
        <v>n.r.</v>
      </c>
      <c r="EP65" s="8" t="str">
        <f ca="1">OFFSET(Database!$F65,0,COLUMN(Database!EM65)*2-12)</f>
        <v>n.r.</v>
      </c>
      <c r="EQ65" s="8" t="str">
        <f ca="1">OFFSET(Database!$F65,0,COLUMN(Database!EN65)*2-12)</f>
        <v>n.r.</v>
      </c>
      <c r="ER65" s="8" t="str">
        <f ca="1">OFFSET(Database!$F65,0,COLUMN(Database!EO65)*2-12)</f>
        <v>n.r.</v>
      </c>
      <c r="ES65" s="8" t="str">
        <f ca="1">OFFSET(Database!$F65,0,COLUMN(Database!EP65)*2-12)</f>
        <v>n.r.</v>
      </c>
      <c r="ET65" s="8" t="str">
        <f ca="1">OFFSET(Database!$F65,0,COLUMN(Database!EQ65)*2-12)</f>
        <v>n.r.</v>
      </c>
      <c r="EU65" s="8" t="str">
        <f ca="1">OFFSET(Database!$F65,0,COLUMN(Database!ER65)*2-12)</f>
        <v>n.r.</v>
      </c>
      <c r="EV65" s="8" t="str">
        <f ca="1">OFFSET(Database!$F65,0,COLUMN(Database!ES65)*2-12)</f>
        <v>n.r.</v>
      </c>
      <c r="EW65" s="8" t="str">
        <f ca="1">OFFSET(Database!$F65,0,COLUMN(Database!ET65)*2-12)</f>
        <v>n.r.</v>
      </c>
      <c r="EX65" s="8" t="str">
        <f ca="1">OFFSET(Database!$F65,0,COLUMN(Database!EU65)*2-12)</f>
        <v>n.r.</v>
      </c>
      <c r="EY65" s="8" t="str">
        <f ca="1">OFFSET(Database!$F65,0,COLUMN(Database!EV65)*2-12)</f>
        <v>n.r.</v>
      </c>
      <c r="EZ65" s="8" t="str">
        <f ca="1">OFFSET(Database!$F65,0,COLUMN(Database!EW65)*2-12)</f>
        <v>n.r.</v>
      </c>
      <c r="FA65" s="8" t="str">
        <f ca="1">OFFSET(Database!$F65,0,COLUMN(Database!EX65)*2-12)</f>
        <v>n.r.</v>
      </c>
      <c r="FB65" s="8" t="str">
        <f ca="1">OFFSET(Database!$F65,0,COLUMN(Database!EY65)*2-12)</f>
        <v>n.r.</v>
      </c>
      <c r="FC65" s="8" t="str">
        <f ca="1">OFFSET(Database!$F65,0,COLUMN(Database!EZ65)*2-12)</f>
        <v>n.r.</v>
      </c>
      <c r="FD65" s="8" t="str">
        <f ca="1">OFFSET(Database!$F65,0,COLUMN(Database!FA65)*2-12)</f>
        <v>n.r.</v>
      </c>
      <c r="FE65" s="8" t="str">
        <f ca="1">OFFSET(Database!$F65,0,COLUMN(Database!FB65)*2-12)</f>
        <v>n.r.</v>
      </c>
      <c r="FF65" s="8" t="str">
        <f ca="1">OFFSET(Database!$F65,0,COLUMN(Database!FC65)*2-12)</f>
        <v>n.r.</v>
      </c>
      <c r="FG65" s="8" t="str">
        <f ca="1">OFFSET(Database!$F65,0,COLUMN(Database!FD65)*2-12)</f>
        <v>n.r.</v>
      </c>
      <c r="FH65" s="8" t="str">
        <f ca="1">OFFSET(Database!$F65,0,COLUMN(Database!FE65)*2-12)</f>
        <v>n.r.</v>
      </c>
      <c r="FI65" s="8" t="str">
        <f ca="1">OFFSET(Database!$F65,0,COLUMN(Database!FF65)*2-12)</f>
        <v>n.r.</v>
      </c>
      <c r="FJ65" s="8" t="str">
        <f ca="1">OFFSET(Database!$F65,0,COLUMN(Database!FG65)*2-12)</f>
        <v>n.r.</v>
      </c>
      <c r="FK65" s="8" t="str">
        <f ca="1">OFFSET(Database!$F65,0,COLUMN(Database!FH65)*2-12)</f>
        <v>n.r.</v>
      </c>
      <c r="FL65" s="8" t="str">
        <f ca="1">OFFSET(Database!$F65,0,COLUMN(Database!FI65)*2-12)</f>
        <v>n.r.</v>
      </c>
      <c r="FM65" s="8" t="str">
        <f ca="1">OFFSET(Database!$F65,0,COLUMN(Database!FJ65)*2-12)</f>
        <v>n.r.</v>
      </c>
      <c r="FN65" s="8" t="str">
        <f ca="1">OFFSET(Database!$F65,0,COLUMN(Database!FK65)*2-12)</f>
        <v>n.r.</v>
      </c>
      <c r="FO65" s="8" t="str">
        <f ca="1">OFFSET(Database!$F65,0,COLUMN(Database!FL65)*2-12)</f>
        <v>n.r.</v>
      </c>
      <c r="FP65" s="8" t="str">
        <f ca="1">OFFSET(Database!$F65,0,COLUMN(Database!FM65)*2-12)</f>
        <v>n.r.</v>
      </c>
      <c r="FQ65" s="8" t="str">
        <f ca="1">OFFSET(Database!$F65,0,COLUMN(Database!FN65)*2-12)</f>
        <v>n.r.</v>
      </c>
      <c r="FR65" s="8" t="str">
        <f ca="1">OFFSET(Database!$F65,0,COLUMN(Database!FO65)*2-12)</f>
        <v>n.r.</v>
      </c>
      <c r="FS65" s="8" t="str">
        <f ca="1">OFFSET(Database!$F65,0,COLUMN(Database!FP65)*2-12)</f>
        <v>n.r.</v>
      </c>
      <c r="FT65" s="8" t="str">
        <f ca="1">OFFSET(Database!$F65,0,COLUMN(Database!FQ65)*2-12)</f>
        <v>n.r.</v>
      </c>
      <c r="FU65" s="8" t="str">
        <f ca="1">OFFSET(Database!$F65,0,COLUMN(Database!FR65)*2-12)</f>
        <v>n.r.</v>
      </c>
      <c r="FV65" s="8" t="str">
        <f ca="1">OFFSET(Database!$F65,0,COLUMN(Database!FS65)*2-12)</f>
        <v>n.r.</v>
      </c>
      <c r="FW65" s="8" t="str">
        <f ca="1">OFFSET(Database!$F65,0,COLUMN(Database!FT65)*2-12)</f>
        <v>n.r.</v>
      </c>
      <c r="FX65" s="8" t="str">
        <f ca="1">OFFSET(Database!$F65,0,COLUMN(Database!FU65)*2-12)</f>
        <v>n.r.</v>
      </c>
      <c r="FY65" s="8" t="str">
        <f ca="1">OFFSET(Database!$F65,0,COLUMN(Database!FV65)*2-12)</f>
        <v>n.r.</v>
      </c>
      <c r="FZ65" s="8" t="str">
        <f ca="1">OFFSET(Database!$F65,0,COLUMN(Database!FW65)*2-12)</f>
        <v>n.r.</v>
      </c>
      <c r="GA65" s="8" t="str">
        <f ca="1">OFFSET(Database!$F65,0,COLUMN(Database!FX65)*2-12)</f>
        <v>n.r.</v>
      </c>
      <c r="GB65" s="8" t="str">
        <f ca="1">OFFSET(Database!$F65,0,COLUMN(Database!FY65)*2-12)</f>
        <v>n.r.</v>
      </c>
      <c r="GC65" s="8" t="str">
        <f ca="1">OFFSET(Database!$F65,0,COLUMN(Database!FZ65)*2-12)</f>
        <v>n.r.</v>
      </c>
      <c r="GD65" s="8" t="str">
        <f ca="1">OFFSET(Database!$F65,0,COLUMN(Database!GA65)*2-12)</f>
        <v>n.r.</v>
      </c>
      <c r="GE65" s="8" t="str">
        <f ca="1">OFFSET(Database!$F65,0,COLUMN(Database!GB65)*2-12)</f>
        <v>n.r.</v>
      </c>
      <c r="GF65" s="8" t="str">
        <f ca="1">OFFSET(Database!$F65,0,COLUMN(Database!GC65)*2-12)</f>
        <v>n.r.</v>
      </c>
      <c r="GG65" s="8" t="str">
        <f ca="1">OFFSET(Database!$F65,0,COLUMN(Database!GD65)*2-12)</f>
        <v>n.r.</v>
      </c>
      <c r="GH65" s="8" t="str">
        <f ca="1">OFFSET(Database!$F65,0,COLUMN(Database!GE65)*2-12)</f>
        <v>n.r.</v>
      </c>
      <c r="GI65" s="8" t="str">
        <f ca="1">OFFSET(Database!$F65,0,COLUMN(Database!GF65)*2-12)</f>
        <v>n.r.</v>
      </c>
      <c r="GJ65" s="8" t="str">
        <f ca="1">OFFSET(Database!$F65,0,COLUMN(Database!GG65)*2-12)</f>
        <v>n.r.</v>
      </c>
      <c r="GK65" s="8" t="str">
        <f ca="1">OFFSET(Database!$F65,0,COLUMN(Database!GH65)*2-12)</f>
        <v>n.r.</v>
      </c>
      <c r="GL65" s="8" t="str">
        <f ca="1">OFFSET(Database!$F65,0,COLUMN(Database!GI65)*2-12)</f>
        <v>n.r.</v>
      </c>
      <c r="GM65" s="8" t="str">
        <f ca="1">OFFSET(Database!$F65,0,COLUMN(Database!GJ65)*2-12)</f>
        <v>n.r.</v>
      </c>
      <c r="GN65" s="8" t="str">
        <f ca="1">OFFSET(Database!$F65,0,COLUMN(Database!GK65)*2-12)</f>
        <v>n.r.</v>
      </c>
      <c r="GO65" s="8" t="str">
        <f ca="1">OFFSET(Database!$F65,0,COLUMN(Database!GL65)*2-12)</f>
        <v>n.r.</v>
      </c>
      <c r="GP65" s="8" t="str">
        <f ca="1">OFFSET(Database!$F65,0,COLUMN(Database!GM65)*2-12)</f>
        <v>n.r.</v>
      </c>
    </row>
    <row r="66" spans="1:198" x14ac:dyDescent="0.2">
      <c r="A66" s="50" t="str">
        <f>Database!A66</f>
        <v>4-amino-2-methyl butyric acid</v>
      </c>
      <c r="B66" s="32" t="s">
        <v>1012</v>
      </c>
      <c r="C66" s="4" t="str">
        <f>Database!B66</f>
        <v>ɣ</v>
      </c>
      <c r="D66" s="4" t="str">
        <f>Database!C66</f>
        <v>Both</v>
      </c>
      <c r="E66" s="74">
        <f>Database!D66</f>
        <v>25</v>
      </c>
      <c r="F66" s="32" t="s">
        <v>931</v>
      </c>
      <c r="G66" s="1">
        <v>928193</v>
      </c>
      <c r="H66" s="1">
        <f>Database!E66</f>
        <v>117.15</v>
      </c>
      <c r="I66" s="8" t="str">
        <f ca="1">OFFSET(Database!$F66,0,COLUMN(Database!F66)*2-12)</f>
        <v>tr</v>
      </c>
      <c r="J66" s="8" t="str">
        <f ca="1">OFFSET(Database!$F66,0,COLUMN(Database!G66)*2-12)</f>
        <v>b.b.</v>
      </c>
      <c r="K66" s="8" t="str">
        <f ca="1">OFFSET(Database!$F66,0,COLUMN(Database!H66)*2-12)</f>
        <v>tr</v>
      </c>
      <c r="L66" s="8" t="str">
        <f ca="1">OFFSET(Database!$F66,0,COLUMN(Database!I66)*2-12)</f>
        <v>tr</v>
      </c>
      <c r="M66" s="8" t="str">
        <f ca="1">OFFSET(Database!$F66,0,COLUMN(Database!J66)*2-12)</f>
        <v>tr</v>
      </c>
      <c r="N66" s="8" t="str">
        <f ca="1">OFFSET(Database!$F66,0,COLUMN(Database!K66)*2-12)</f>
        <v>n.r.</v>
      </c>
      <c r="O66" s="8">
        <f ca="1">OFFSET(Database!$F66,0,COLUMN(Database!L66)*2-12)</f>
        <v>0.53</v>
      </c>
      <c r="P66" s="8">
        <f ca="1">OFFSET(Database!$F66,0,COLUMN(Database!M66)*2-12)</f>
        <v>7.0000000000000007E-2</v>
      </c>
      <c r="Q66" s="8">
        <f ca="1">OFFSET(Database!$F66,0,COLUMN(Database!N66)*2-12)</f>
        <v>3.64</v>
      </c>
      <c r="R66" s="8" t="str">
        <f ca="1">OFFSET(Database!$F66,0,COLUMN(Database!O66)*2-12)</f>
        <v>n.r.</v>
      </c>
      <c r="S66" s="8" t="str">
        <f ca="1">OFFSET(Database!$F66,0,COLUMN(Database!P66)*2-12)</f>
        <v>n.r.</v>
      </c>
      <c r="T66" s="8">
        <f ca="1">OFFSET(Database!$F66,0,COLUMN(Database!Q66)*2-12)</f>
        <v>20.5</v>
      </c>
      <c r="U66" s="8">
        <f ca="1">OFFSET(Database!$F66,0,COLUMN(Database!R66)*2-12)</f>
        <v>12.7</v>
      </c>
      <c r="V66" s="8">
        <f ca="1">OFFSET(Database!$F66,0,COLUMN(Database!S66)*2-12)</f>
        <v>0.42680324370465211</v>
      </c>
      <c r="W66" s="8">
        <f ca="1">OFFSET(Database!$F66,0,COLUMN(Database!T66)*2-12)</f>
        <v>0.52069995731967555</v>
      </c>
      <c r="X66" s="8">
        <f ca="1">OFFSET(Database!$F66,0,COLUMN(Database!U66)*2-12)</f>
        <v>4.7204438753734523</v>
      </c>
      <c r="Y66" s="8">
        <f ca="1">OFFSET(Database!$F66,0,COLUMN(Database!V66)*2-12)</f>
        <v>2.1</v>
      </c>
      <c r="Z66" s="8">
        <f ca="1">OFFSET(Database!$F66,0,COLUMN(Database!W66)*2-12)</f>
        <v>1.56</v>
      </c>
      <c r="AA66" s="8" t="str">
        <f ca="1">OFFSET(Database!$F66,0,COLUMN(Database!X66)*2-12)</f>
        <v>n.r.</v>
      </c>
      <c r="AB66" s="8" t="str">
        <f ca="1">OFFSET(Database!$F66,0,COLUMN(Database!Y66)*2-12)</f>
        <v>n.r.</v>
      </c>
      <c r="AC66" s="8">
        <f ca="1">OFFSET(Database!$F66,0,COLUMN(Database!Z66)*2-12)</f>
        <v>0.57191634656423385</v>
      </c>
      <c r="AD66" s="8">
        <f ca="1">OFFSET(Database!$F66,0,COLUMN(Database!AA66)*2-12)</f>
        <v>0.6402048655569782</v>
      </c>
      <c r="AE66" s="8">
        <f ca="1">OFFSET(Database!$F66,0,COLUMN(Database!AB66)*2-12)</f>
        <v>6.2569355527102006</v>
      </c>
      <c r="AF66" s="8">
        <f ca="1">OFFSET(Database!$F66,0,COLUMN(Database!AC66)*2-12)</f>
        <v>2.6</v>
      </c>
      <c r="AG66" s="8" t="str">
        <f ca="1">OFFSET(Database!$F66,0,COLUMN(Database!AD66)*2-12)</f>
        <v>n.d.</v>
      </c>
      <c r="AH66" s="8" t="str">
        <f ca="1">OFFSET(Database!$F66,0,COLUMN(Database!AE66)*2-12)</f>
        <v>n.r.</v>
      </c>
      <c r="AI66" s="8" t="str">
        <f ca="1">OFFSET(Database!$F66,0,COLUMN(Database!AF66)*2-12)</f>
        <v>n.r.</v>
      </c>
      <c r="AJ66" s="8" t="str">
        <f ca="1">OFFSET(Database!$F66,0,COLUMN(Database!AG66)*2-12)</f>
        <v>n.r.</v>
      </c>
      <c r="AK66" s="8" t="str">
        <f ca="1">OFFSET(Database!$F66,0,COLUMN(Database!AH66)*2-12)</f>
        <v>n.r.</v>
      </c>
      <c r="AL66" s="8" t="str">
        <f ca="1">OFFSET(Database!$F66,0,COLUMN(Database!AI66)*2-12)</f>
        <v>n.r.</v>
      </c>
      <c r="AM66" s="8">
        <f ca="1">OFFSET(Database!$F66,0,COLUMN(Database!AJ66)*2-12)</f>
        <v>2.1</v>
      </c>
      <c r="AN66" s="8">
        <f ca="1">OFFSET(Database!$F66,0,COLUMN(Database!AK66)*2-12)</f>
        <v>1.1000000000000001</v>
      </c>
      <c r="AO66" s="8">
        <f ca="1">OFFSET(Database!$F66,0,COLUMN(Database!AL66)*2-12)</f>
        <v>1.4767392232180965</v>
      </c>
      <c r="AP66" s="8">
        <f ca="1">OFFSET(Database!$F66,0,COLUMN(Database!AM66)*2-12)</f>
        <v>0.75</v>
      </c>
      <c r="AQ66" s="8" t="str">
        <f ca="1">OFFSET(Database!$F66,0,COLUMN(Database!AN66)*2-12)</f>
        <v>&lt;0.01</v>
      </c>
      <c r="AR66" s="8" t="str">
        <f ca="1">OFFSET(Database!$F66,0,COLUMN(Database!AO66)*2-12)</f>
        <v>&lt;0.01</v>
      </c>
      <c r="AS66" s="8" t="str">
        <f ca="1">OFFSET(Database!$F66,0,COLUMN(Database!AP66)*2-12)</f>
        <v>&lt;0.0009</v>
      </c>
      <c r="AT66" s="8" t="str">
        <f ca="1">OFFSET(Database!$F66,0,COLUMN(Database!AQ66)*2-12)</f>
        <v>&lt;0.0009</v>
      </c>
      <c r="AU66" s="8" t="str">
        <f ca="1">OFFSET(Database!$F66,0,COLUMN(Database!AR66)*2-12)</f>
        <v>&lt;0.0009</v>
      </c>
      <c r="AV66" s="8" t="str">
        <f ca="1">OFFSET(Database!$F66,0,COLUMN(Database!AS66)*2-12)</f>
        <v>&lt;0.0009</v>
      </c>
      <c r="AW66" s="8" t="str">
        <f ca="1">OFFSET(Database!$F66,0,COLUMN(Database!AT66)*2-12)</f>
        <v>&lt;0.0009</v>
      </c>
      <c r="AX66" s="8">
        <f ca="1">OFFSET(Database!$F66,0,COLUMN(Database!AU66)*2-12)</f>
        <v>0.55484421681604779</v>
      </c>
      <c r="AY66" s="8" t="str">
        <f ca="1">OFFSET(Database!$F66,0,COLUMN(Database!AV66)*2-12)</f>
        <v>&lt;0.0009</v>
      </c>
      <c r="AZ66" s="8" t="str">
        <f ca="1">OFFSET(Database!$F66,0,COLUMN(Database!AW66)*2-12)</f>
        <v>&lt;0.0009</v>
      </c>
      <c r="BA66" s="8" t="str">
        <f ca="1">OFFSET(Database!$F66,0,COLUMN(Database!AX66)*2-12)</f>
        <v>&lt;0.0009</v>
      </c>
      <c r="BB66" s="8" t="str">
        <f ca="1">OFFSET(Database!$F66,0,COLUMN(Database!AY66)*2-12)</f>
        <v>&lt;0.0009</v>
      </c>
      <c r="BC66" s="8" t="str">
        <f ca="1">OFFSET(Database!$F66,0,COLUMN(Database!AZ66)*2-12)</f>
        <v>&lt;0.0009</v>
      </c>
      <c r="BD66" s="8" t="str">
        <f ca="1">OFFSET(Database!$F66,0,COLUMN(Database!BA66)*2-12)</f>
        <v>&lt;0.0009</v>
      </c>
      <c r="BE66" s="8" t="str">
        <f ca="1">OFFSET(Database!$F66,0,COLUMN(Database!BB66)*2-12)</f>
        <v>&lt;0.0009</v>
      </c>
      <c r="BF66" s="8" t="str">
        <f ca="1">OFFSET(Database!$F66,0,COLUMN(Database!BC66)*2-12)</f>
        <v>&lt;0.0009</v>
      </c>
      <c r="BG66" s="8" t="str">
        <f ca="1">OFFSET(Database!$F66,0,COLUMN(Database!BD66)*2-12)</f>
        <v>&lt;0.0009</v>
      </c>
      <c r="BH66" s="8" t="str">
        <f ca="1">OFFSET(Database!$F66,0,COLUMN(Database!BE66)*2-12)</f>
        <v>n.r.</v>
      </c>
      <c r="BI66" s="8" t="str">
        <f ca="1">OFFSET(Database!$F66,0,COLUMN(Database!BF66)*2-12)</f>
        <v>n.r.</v>
      </c>
      <c r="BJ66" s="8">
        <f ca="1">OFFSET(Database!$F66,0,COLUMN(Database!BG66)*2-12)</f>
        <v>5.2582159624413141</v>
      </c>
      <c r="BK66" s="8">
        <f ca="1">OFFSET(Database!$F66,0,COLUMN(Database!BH66)*2-12)</f>
        <v>0.21340162185232606</v>
      </c>
      <c r="BL66" s="8">
        <f ca="1">OFFSET(Database!$F66,0,COLUMN(Database!BI66)*2-12)</f>
        <v>0.16218523260776782</v>
      </c>
      <c r="BM66" s="8" t="str">
        <f ca="1">OFFSET(Database!$F66,0,COLUMN(Database!BJ66)*2-12)</f>
        <v>&lt;0.0009</v>
      </c>
      <c r="BN66" s="8">
        <f ca="1">OFFSET(Database!$F66,0,COLUMN(Database!BK66)*2-12)</f>
        <v>9.3896713615023469E-2</v>
      </c>
      <c r="BO66" s="8">
        <f ca="1">OFFSET(Database!$F66,0,COLUMN(Database!BL66)*2-12)</f>
        <v>1.365770379854887E-2</v>
      </c>
      <c r="BP66" s="8" t="str">
        <f ca="1">OFFSET(Database!$F66,0,COLUMN(Database!BM66)*2-12)</f>
        <v>&lt;0.0009</v>
      </c>
      <c r="BQ66" s="8" t="str">
        <f ca="1">OFFSET(Database!$F66,0,COLUMN(Database!BN66)*2-12)</f>
        <v>&lt;0.0009</v>
      </c>
      <c r="BR66" s="8" t="str">
        <f ca="1">OFFSET(Database!$F66,0,COLUMN(Database!BO66)*2-12)</f>
        <v>&lt;0.0009</v>
      </c>
      <c r="BS66" s="8" t="str">
        <f ca="1">OFFSET(Database!$F66,0,COLUMN(Database!BP66)*2-12)</f>
        <v>&lt;0.001</v>
      </c>
      <c r="BT66" s="8" t="str">
        <f ca="1">OFFSET(Database!$F66,0,COLUMN(Database!BQ66)*2-12)</f>
        <v>&lt;0.001</v>
      </c>
      <c r="BU66" s="8" t="str">
        <f ca="1">OFFSET(Database!$F66,0,COLUMN(Database!BR66)*2-12)</f>
        <v>&lt;0.001</v>
      </c>
      <c r="BV66" s="8" t="str">
        <f ca="1">OFFSET(Database!$F66,0,COLUMN(Database!BS66)*2-12)</f>
        <v>&lt;0.001</v>
      </c>
      <c r="BW66" s="8" t="str">
        <f ca="1">OFFSET(Database!$F66,0,COLUMN(Database!BT66)*2-12)</f>
        <v>&lt;0.0001</v>
      </c>
      <c r="BX66" s="8" t="str">
        <f ca="1">OFFSET(Database!$F66,0,COLUMN(Database!BU66)*2-12)</f>
        <v>&lt;0.0001</v>
      </c>
      <c r="BY66" s="8" t="str">
        <f ca="1">OFFSET(Database!$F66,0,COLUMN(Database!BV66)*2-12)</f>
        <v>&lt;0.0001</v>
      </c>
      <c r="BZ66" s="8" t="str">
        <f ca="1">OFFSET(Database!$F66,0,COLUMN(Database!BW66)*2-12)</f>
        <v>n.r.</v>
      </c>
      <c r="CA66" s="8" t="str">
        <f ca="1">OFFSET(Database!$F66,0,COLUMN(Database!BX66)*2-12)</f>
        <v>n.r.</v>
      </c>
      <c r="CB66" s="8" t="str">
        <f ca="1">OFFSET(Database!$F66,0,COLUMN(Database!BY66)*2-12)</f>
        <v>n.r.</v>
      </c>
      <c r="CC66" s="8" t="str">
        <f ca="1">OFFSET(Database!$F66,0,COLUMN(Database!BZ66)*2-12)</f>
        <v>n.r.</v>
      </c>
      <c r="CD66" s="8" t="str">
        <f ca="1">OFFSET(Database!$F66,0,COLUMN(Database!CA66)*2-12)</f>
        <v>n.r.</v>
      </c>
      <c r="CE66" s="8" t="str">
        <f ca="1">OFFSET(Database!$F66,0,COLUMN(Database!CB66)*2-12)</f>
        <v>n.r.</v>
      </c>
      <c r="CF66" s="8" t="str">
        <f ca="1">OFFSET(Database!$F66,0,COLUMN(Database!CC66)*2-12)</f>
        <v>n.r.</v>
      </c>
      <c r="CG66" s="8" t="str">
        <f ca="1">OFFSET(Database!$F66,0,COLUMN(Database!CD66)*2-12)</f>
        <v>n.r.</v>
      </c>
      <c r="CH66" s="8" t="str">
        <f ca="1">OFFSET(Database!$F66,0,COLUMN(Database!CE66)*2-12)</f>
        <v>n.r.</v>
      </c>
      <c r="CI66" s="8" t="str">
        <f ca="1">OFFSET(Database!$F66,0,COLUMN(Database!CF66)*2-12)</f>
        <v>n.r.</v>
      </c>
      <c r="CJ66" s="8" t="str">
        <f ca="1">OFFSET(Database!$F66,0,COLUMN(Database!CG66)*2-12)</f>
        <v>n.r.</v>
      </c>
      <c r="CK66" s="8" t="str">
        <f ca="1">OFFSET(Database!$F66,0,COLUMN(Database!CH66)*2-12)</f>
        <v>n.r.</v>
      </c>
      <c r="CL66" s="8" t="str">
        <f ca="1">OFFSET(Database!$F66,0,COLUMN(Database!CI66)*2-12)</f>
        <v>n.r.</v>
      </c>
      <c r="CM66" s="8" t="str">
        <f ca="1">OFFSET(Database!$F66,0,COLUMN(Database!CJ66)*2-12)</f>
        <v>n.r.</v>
      </c>
      <c r="CN66" s="8" t="str">
        <f ca="1">OFFSET(Database!$F66,0,COLUMN(Database!CK66)*2-12)</f>
        <v>n.r.</v>
      </c>
      <c r="CO66" s="8" t="str">
        <f ca="1">OFFSET(Database!$F66,0,COLUMN(Database!CL66)*2-12)</f>
        <v>n.r.</v>
      </c>
      <c r="CP66" s="8" t="str">
        <f ca="1">OFFSET(Database!$F66,0,COLUMN(Database!CM66)*2-12)</f>
        <v>n.r.</v>
      </c>
      <c r="CQ66" s="8" t="str">
        <f ca="1">OFFSET(Database!$F66,0,COLUMN(Database!CN66)*2-12)</f>
        <v>n.r.</v>
      </c>
      <c r="CR66" s="8" t="str">
        <f ca="1">OFFSET(Database!$F66,0,COLUMN(Database!CO66)*2-12)</f>
        <v>n.r.</v>
      </c>
      <c r="CS66" s="8" t="str">
        <f ca="1">OFFSET(Database!$F66,0,COLUMN(Database!CP66)*2-12)</f>
        <v>n.r.</v>
      </c>
      <c r="CT66" s="8" t="str">
        <f ca="1">OFFSET(Database!$F66,0,COLUMN(Database!CQ66)*2-12)</f>
        <v>n.r.</v>
      </c>
      <c r="CU66" s="8" t="str">
        <f ca="1">OFFSET(Database!$F66,0,COLUMN(Database!CR66)*2-12)</f>
        <v>n.r.</v>
      </c>
      <c r="CV66" s="8" t="str">
        <f ca="1">OFFSET(Database!$F66,0,COLUMN(Database!CS66)*2-12)</f>
        <v>n.r.</v>
      </c>
      <c r="CW66" s="8" t="str">
        <f ca="1">OFFSET(Database!$F66,0,COLUMN(Database!CT66)*2-12)</f>
        <v>n.r.</v>
      </c>
      <c r="CX66" s="8" t="str">
        <f ca="1">OFFSET(Database!$F66,0,COLUMN(Database!CU66)*2-12)</f>
        <v>n.r.</v>
      </c>
      <c r="CY66" s="8" t="str">
        <f ca="1">OFFSET(Database!$F66,0,COLUMN(Database!CV66)*2-12)</f>
        <v>n.r.</v>
      </c>
      <c r="CZ66" s="8" t="str">
        <f ca="1">OFFSET(Database!$F66,0,COLUMN(Database!CW66)*2-12)</f>
        <v>n.r.</v>
      </c>
      <c r="DA66" s="8" t="str">
        <f ca="1">OFFSET(Database!$F66,0,COLUMN(Database!CX66)*2-12)</f>
        <v>n.r.</v>
      </c>
      <c r="DB66" s="8" t="str">
        <f ca="1">OFFSET(Database!$F66,0,COLUMN(Database!CY66)*2-12)</f>
        <v>&lt;0.17</v>
      </c>
      <c r="DC66" s="8" t="str">
        <f ca="1">OFFSET(Database!$F66,0,COLUMN(Database!CZ66)*2-12)</f>
        <v>&lt;0.17</v>
      </c>
      <c r="DD66" s="8">
        <f ca="1">OFFSET(Database!$F66,0,COLUMN(Database!DA66)*2-12)</f>
        <v>0.51</v>
      </c>
      <c r="DE66" s="8" t="str">
        <f ca="1">OFFSET(Database!$F66,0,COLUMN(Database!DB66)*2-12)</f>
        <v>n.r.</v>
      </c>
      <c r="DF66" s="8" t="str">
        <f ca="1">OFFSET(Database!$F66,0,COLUMN(Database!DC66)*2-12)</f>
        <v>n.r.</v>
      </c>
      <c r="DG66" s="8" t="str">
        <f ca="1">OFFSET(Database!$F66,0,COLUMN(Database!DD66)*2-12)</f>
        <v>n.r.</v>
      </c>
      <c r="DH66" s="8" t="str">
        <f ca="1">OFFSET(Database!$F66,0,COLUMN(Database!DE66)*2-12)</f>
        <v>n.r.</v>
      </c>
      <c r="DI66" s="8" t="str">
        <f ca="1">OFFSET(Database!$F66,0,COLUMN(Database!DF66)*2-12)</f>
        <v>n.r.</v>
      </c>
      <c r="DJ66" s="8" t="str">
        <f ca="1">OFFSET(Database!$F66,0,COLUMN(Database!DG66)*2-12)</f>
        <v>n.r.</v>
      </c>
      <c r="DK66" s="8" t="str">
        <f ca="1">OFFSET(Database!$F66,0,COLUMN(Database!DH66)*2-12)</f>
        <v>n.r.</v>
      </c>
      <c r="DL66" s="8" t="str">
        <f ca="1">OFFSET(Database!$F66,0,COLUMN(Database!DI66)*2-12)</f>
        <v>n.r.</v>
      </c>
      <c r="DM66" s="8" t="str">
        <f ca="1">OFFSET(Database!$F66,0,COLUMN(Database!DJ66)*2-12)</f>
        <v>n.r.</v>
      </c>
      <c r="DN66" s="8" t="str">
        <f ca="1">OFFSET(Database!$F66,0,COLUMN(Database!DK66)*2-12)</f>
        <v>n.r.</v>
      </c>
      <c r="DO66" s="8" t="str">
        <f ca="1">OFFSET(Database!$F66,0,COLUMN(Database!DL66)*2-12)</f>
        <v>n.r.</v>
      </c>
      <c r="DP66" s="8" t="str">
        <f ca="1">OFFSET(Database!$F66,0,COLUMN(Database!DM66)*2-12)</f>
        <v>n.r.</v>
      </c>
      <c r="DQ66" s="8" t="str">
        <f ca="1">OFFSET(Database!$F66,0,COLUMN(Database!DN66)*2-12)</f>
        <v>n.r.</v>
      </c>
      <c r="DR66" s="8" t="str">
        <f ca="1">OFFSET(Database!$F66,0,COLUMN(Database!DO66)*2-12)</f>
        <v>n.r.</v>
      </c>
      <c r="DS66" s="8" t="str">
        <f ca="1">OFFSET(Database!$F66,0,COLUMN(Database!DP66)*2-12)</f>
        <v>n.r.</v>
      </c>
      <c r="DT66" s="8" t="str">
        <f ca="1">OFFSET(Database!$F66,0,COLUMN(Database!DQ66)*2-12)</f>
        <v>n.r.</v>
      </c>
      <c r="DU66" s="8" t="str">
        <f ca="1">OFFSET(Database!$F66,0,COLUMN(Database!DR66)*2-12)</f>
        <v>n.r.</v>
      </c>
      <c r="DV66" s="8" t="str">
        <f ca="1">OFFSET(Database!$F66,0,COLUMN(Database!DS66)*2-12)</f>
        <v>n.r.</v>
      </c>
      <c r="DW66" s="8" t="str">
        <f ca="1">OFFSET(Database!$F66,0,COLUMN(Database!DT66)*2-12)</f>
        <v>n.r.</v>
      </c>
      <c r="DX66" s="8" t="str">
        <f ca="1">OFFSET(Database!$F66,0,COLUMN(Database!DU66)*2-12)</f>
        <v>n.r.</v>
      </c>
      <c r="DY66" s="8" t="str">
        <f ca="1">OFFSET(Database!$F66,0,COLUMN(Database!DV66)*2-12)</f>
        <v>n.r.</v>
      </c>
      <c r="DZ66" s="8" t="str">
        <f ca="1">OFFSET(Database!$F66,0,COLUMN(Database!DW66)*2-12)</f>
        <v>n.r.</v>
      </c>
      <c r="EA66" s="8" t="str">
        <f ca="1">OFFSET(Database!$F66,0,COLUMN(Database!DX66)*2-12)</f>
        <v>n.r.</v>
      </c>
      <c r="EB66" s="8" t="str">
        <f ca="1">OFFSET(Database!$F66,0,COLUMN(Database!DY66)*2-12)</f>
        <v>n.r.</v>
      </c>
      <c r="EC66" s="8" t="str">
        <f ca="1">OFFSET(Database!$F66,0,COLUMN(Database!DZ66)*2-12)</f>
        <v>n.r.</v>
      </c>
      <c r="ED66" s="8" t="str">
        <f ca="1">OFFSET(Database!$F66,0,COLUMN(Database!EA66)*2-12)</f>
        <v>n.r</v>
      </c>
      <c r="EE66" s="8" t="str">
        <f ca="1">OFFSET(Database!$F66,0,COLUMN(Database!EB66)*2-12)</f>
        <v>n.r.</v>
      </c>
      <c r="EF66" s="8" t="str">
        <f ca="1">OFFSET(Database!$F66,0,COLUMN(Database!EC66)*2-12)</f>
        <v>n.r.</v>
      </c>
      <c r="EG66" s="8" t="str">
        <f ca="1">OFFSET(Database!$F66,0,COLUMN(Database!ED66)*2-12)</f>
        <v>n.r.</v>
      </c>
      <c r="EH66" s="8" t="str">
        <f ca="1">OFFSET(Database!$F66,0,COLUMN(Database!EE66)*2-12)</f>
        <v>n.r.</v>
      </c>
      <c r="EI66" s="8" t="str">
        <f ca="1">OFFSET(Database!$F66,0,COLUMN(Database!EF66)*2-12)</f>
        <v>n.r.</v>
      </c>
      <c r="EJ66" s="8" t="str">
        <f ca="1">OFFSET(Database!$F66,0,COLUMN(Database!EG66)*2-12)</f>
        <v>n.r.</v>
      </c>
      <c r="EK66" s="8" t="str">
        <f ca="1">OFFSET(Database!$F66,0,COLUMN(Database!EH66)*2-12)</f>
        <v>n.r.</v>
      </c>
      <c r="EL66" s="8" t="str">
        <f ca="1">OFFSET(Database!$F66,0,COLUMN(Database!EI66)*2-12)</f>
        <v>n.r.</v>
      </c>
      <c r="EM66" s="8" t="str">
        <f ca="1">OFFSET(Database!$F66,0,COLUMN(Database!EJ66)*2-12)</f>
        <v>n.r.</v>
      </c>
      <c r="EN66" s="8" t="str">
        <f ca="1">OFFSET(Database!$F66,0,COLUMN(Database!EK66)*2-12)</f>
        <v>n.r.</v>
      </c>
      <c r="EO66" s="8" t="str">
        <f ca="1">OFFSET(Database!$F66,0,COLUMN(Database!EL66)*2-12)</f>
        <v>n.r.</v>
      </c>
      <c r="EP66" s="8" t="str">
        <f ca="1">OFFSET(Database!$F66,0,COLUMN(Database!EM66)*2-12)</f>
        <v>n.r.</v>
      </c>
      <c r="EQ66" s="8" t="str">
        <f ca="1">OFFSET(Database!$F66,0,COLUMN(Database!EN66)*2-12)</f>
        <v>n.r.</v>
      </c>
      <c r="ER66" s="8" t="str">
        <f ca="1">OFFSET(Database!$F66,0,COLUMN(Database!EO66)*2-12)</f>
        <v>n.r.</v>
      </c>
      <c r="ES66" s="8" t="str">
        <f ca="1">OFFSET(Database!$F66,0,COLUMN(Database!EP66)*2-12)</f>
        <v>n.r.</v>
      </c>
      <c r="ET66" s="8" t="str">
        <f ca="1">OFFSET(Database!$F66,0,COLUMN(Database!EQ66)*2-12)</f>
        <v>n.r.</v>
      </c>
      <c r="EU66" s="8" t="str">
        <f ca="1">OFFSET(Database!$F66,0,COLUMN(Database!ER66)*2-12)</f>
        <v>n.r.</v>
      </c>
      <c r="EV66" s="8" t="str">
        <f ca="1">OFFSET(Database!$F66,0,COLUMN(Database!ES66)*2-12)</f>
        <v>n.r.</v>
      </c>
      <c r="EW66" s="8" t="str">
        <f ca="1">OFFSET(Database!$F66,0,COLUMN(Database!ET66)*2-12)</f>
        <v>n.r.</v>
      </c>
      <c r="EX66" s="8" t="str">
        <f ca="1">OFFSET(Database!$F66,0,COLUMN(Database!EU66)*2-12)</f>
        <v>n.r.</v>
      </c>
      <c r="EY66" s="8" t="str">
        <f ca="1">OFFSET(Database!$F66,0,COLUMN(Database!EV66)*2-12)</f>
        <v>n.r.</v>
      </c>
      <c r="EZ66" s="8" t="str">
        <f ca="1">OFFSET(Database!$F66,0,COLUMN(Database!EW66)*2-12)</f>
        <v>n.r.</v>
      </c>
      <c r="FA66" s="8" t="str">
        <f ca="1">OFFSET(Database!$F66,0,COLUMN(Database!EX66)*2-12)</f>
        <v>n.r.</v>
      </c>
      <c r="FB66" s="8" t="str">
        <f ca="1">OFFSET(Database!$F66,0,COLUMN(Database!EY66)*2-12)</f>
        <v>n.r.</v>
      </c>
      <c r="FC66" s="8" t="str">
        <f ca="1">OFFSET(Database!$F66,0,COLUMN(Database!EZ66)*2-12)</f>
        <v>n.r.</v>
      </c>
      <c r="FD66" s="8" t="str">
        <f ca="1">OFFSET(Database!$F66,0,COLUMN(Database!FA66)*2-12)</f>
        <v>n.r.</v>
      </c>
      <c r="FE66" s="8" t="str">
        <f ca="1">OFFSET(Database!$F66,0,COLUMN(Database!FB66)*2-12)</f>
        <v>n.r.</v>
      </c>
      <c r="FF66" s="8" t="str">
        <f ca="1">OFFSET(Database!$F66,0,COLUMN(Database!FC66)*2-12)</f>
        <v>n.r.</v>
      </c>
      <c r="FG66" s="8" t="str">
        <f ca="1">OFFSET(Database!$F66,0,COLUMN(Database!FD66)*2-12)</f>
        <v>n.r.</v>
      </c>
      <c r="FH66" s="8" t="str">
        <f ca="1">OFFSET(Database!$F66,0,COLUMN(Database!FE66)*2-12)</f>
        <v>n.r.</v>
      </c>
      <c r="FI66" s="8" t="str">
        <f ca="1">OFFSET(Database!$F66,0,COLUMN(Database!FF66)*2-12)</f>
        <v>n.r.</v>
      </c>
      <c r="FJ66" s="8" t="str">
        <f ca="1">OFFSET(Database!$F66,0,COLUMN(Database!FG66)*2-12)</f>
        <v>n.r.</v>
      </c>
      <c r="FK66" s="8" t="str">
        <f ca="1">OFFSET(Database!$F66,0,COLUMN(Database!FH66)*2-12)</f>
        <v>n.r.</v>
      </c>
      <c r="FL66" s="8" t="str">
        <f ca="1">OFFSET(Database!$F66,0,COLUMN(Database!FI66)*2-12)</f>
        <v>n.r.</v>
      </c>
      <c r="FM66" s="8" t="str">
        <f ca="1">OFFSET(Database!$F66,0,COLUMN(Database!FJ66)*2-12)</f>
        <v>n.r.</v>
      </c>
      <c r="FN66" s="8" t="str">
        <f ca="1">OFFSET(Database!$F66,0,COLUMN(Database!FK66)*2-12)</f>
        <v>n.r.</v>
      </c>
      <c r="FO66" s="8" t="str">
        <f ca="1">OFFSET(Database!$F66,0,COLUMN(Database!FL66)*2-12)</f>
        <v>n.r.</v>
      </c>
      <c r="FP66" s="8" t="str">
        <f ca="1">OFFSET(Database!$F66,0,COLUMN(Database!FM66)*2-12)</f>
        <v>n.r.</v>
      </c>
      <c r="FQ66" s="8" t="str">
        <f ca="1">OFFSET(Database!$F66,0,COLUMN(Database!FN66)*2-12)</f>
        <v>n.r.</v>
      </c>
      <c r="FR66" s="8" t="str">
        <f ca="1">OFFSET(Database!$F66,0,COLUMN(Database!FO66)*2-12)</f>
        <v>n.r.</v>
      </c>
      <c r="FS66" s="8" t="str">
        <f ca="1">OFFSET(Database!$F66,0,COLUMN(Database!FP66)*2-12)</f>
        <v>n.r.</v>
      </c>
      <c r="FT66" s="8" t="str">
        <f ca="1">OFFSET(Database!$F66,0,COLUMN(Database!FQ66)*2-12)</f>
        <v>n.r.</v>
      </c>
      <c r="FU66" s="8" t="str">
        <f ca="1">OFFSET(Database!$F66,0,COLUMN(Database!FR66)*2-12)</f>
        <v>n.r.</v>
      </c>
      <c r="FV66" s="8" t="str">
        <f ca="1">OFFSET(Database!$F66,0,COLUMN(Database!FS66)*2-12)</f>
        <v>n.r.</v>
      </c>
      <c r="FW66" s="8" t="str">
        <f ca="1">OFFSET(Database!$F66,0,COLUMN(Database!FT66)*2-12)</f>
        <v>n.r.</v>
      </c>
      <c r="FX66" s="8" t="str">
        <f ca="1">OFFSET(Database!$F66,0,COLUMN(Database!FU66)*2-12)</f>
        <v>n.r.</v>
      </c>
      <c r="FY66" s="8" t="str">
        <f ca="1">OFFSET(Database!$F66,0,COLUMN(Database!FV66)*2-12)</f>
        <v>n.r.</v>
      </c>
      <c r="FZ66" s="8" t="str">
        <f ca="1">OFFSET(Database!$F66,0,COLUMN(Database!FW66)*2-12)</f>
        <v>n.r.</v>
      </c>
      <c r="GA66" s="8" t="str">
        <f ca="1">OFFSET(Database!$F66,0,COLUMN(Database!FX66)*2-12)</f>
        <v>n.r.</v>
      </c>
      <c r="GB66" s="8" t="str">
        <f ca="1">OFFSET(Database!$F66,0,COLUMN(Database!FY66)*2-12)</f>
        <v>n.r.</v>
      </c>
      <c r="GC66" s="8" t="str">
        <f ca="1">OFFSET(Database!$F66,0,COLUMN(Database!FZ66)*2-12)</f>
        <v>n.r.</v>
      </c>
      <c r="GD66" s="8" t="str">
        <f ca="1">OFFSET(Database!$F66,0,COLUMN(Database!GA66)*2-12)</f>
        <v>n.r.</v>
      </c>
      <c r="GE66" s="8" t="str">
        <f ca="1">OFFSET(Database!$F66,0,COLUMN(Database!GB66)*2-12)</f>
        <v>n.r.</v>
      </c>
      <c r="GF66" s="8" t="str">
        <f ca="1">OFFSET(Database!$F66,0,COLUMN(Database!GC66)*2-12)</f>
        <v>n.r.</v>
      </c>
      <c r="GG66" s="8" t="str">
        <f ca="1">OFFSET(Database!$F66,0,COLUMN(Database!GD66)*2-12)</f>
        <v>n.r.</v>
      </c>
      <c r="GH66" s="8" t="str">
        <f ca="1">OFFSET(Database!$F66,0,COLUMN(Database!GE66)*2-12)</f>
        <v>n.r.</v>
      </c>
      <c r="GI66" s="8" t="str">
        <f ca="1">OFFSET(Database!$F66,0,COLUMN(Database!GF66)*2-12)</f>
        <v>n.r.</v>
      </c>
      <c r="GJ66" s="8" t="str">
        <f ca="1">OFFSET(Database!$F66,0,COLUMN(Database!GG66)*2-12)</f>
        <v>n.r.</v>
      </c>
      <c r="GK66" s="8" t="str">
        <f ca="1">OFFSET(Database!$F66,0,COLUMN(Database!GH66)*2-12)</f>
        <v>n.r.</v>
      </c>
      <c r="GL66" s="8" t="str">
        <f ca="1">OFFSET(Database!$F66,0,COLUMN(Database!GI66)*2-12)</f>
        <v>n.r.</v>
      </c>
      <c r="GM66" s="8" t="str">
        <f ca="1">OFFSET(Database!$F66,0,COLUMN(Database!GJ66)*2-12)</f>
        <v>n.r.</v>
      </c>
      <c r="GN66" s="8" t="str">
        <f ca="1">OFFSET(Database!$F66,0,COLUMN(Database!GK66)*2-12)</f>
        <v>n.r.</v>
      </c>
      <c r="GO66" s="8" t="str">
        <f ca="1">OFFSET(Database!$F66,0,COLUMN(Database!GL66)*2-12)</f>
        <v>n.r.</v>
      </c>
      <c r="GP66" s="8" t="str">
        <f ca="1">OFFSET(Database!$F66,0,COLUMN(Database!GM66)*2-12)</f>
        <v>n.r.</v>
      </c>
    </row>
    <row r="67" spans="1:198" x14ac:dyDescent="0.2">
      <c r="A67" s="50" t="str">
        <f>Database!A67</f>
        <v>4-amino-3-methyl butyric acid</v>
      </c>
      <c r="B67" s="32" t="s">
        <v>1013</v>
      </c>
      <c r="C67" s="4" t="str">
        <f>Database!B67</f>
        <v>ɣ</v>
      </c>
      <c r="D67" s="4" t="str">
        <f>Database!C67</f>
        <v>Both</v>
      </c>
      <c r="E67" s="74">
        <f>Database!D67</f>
        <v>29</v>
      </c>
      <c r="F67" s="32" t="s">
        <v>983</v>
      </c>
      <c r="G67" s="1">
        <v>3539719</v>
      </c>
      <c r="H67" s="1">
        <f>Database!E67</f>
        <v>117.15</v>
      </c>
      <c r="I67" s="8" t="str">
        <f ca="1">OFFSET(Database!$F67,0,COLUMN(Database!F67)*2-12)</f>
        <v>b.b.</v>
      </c>
      <c r="J67" s="8" t="str">
        <f ca="1">OFFSET(Database!$F67,0,COLUMN(Database!G67)*2-12)</f>
        <v>b.b.</v>
      </c>
      <c r="K67" s="8" t="str">
        <f ca="1">OFFSET(Database!$F67,0,COLUMN(Database!H67)*2-12)</f>
        <v>tr</v>
      </c>
      <c r="L67" s="8" t="str">
        <f ca="1">OFFSET(Database!$F67,0,COLUMN(Database!I67)*2-12)</f>
        <v>b.b.</v>
      </c>
      <c r="M67" s="8" t="str">
        <f ca="1">OFFSET(Database!$F67,0,COLUMN(Database!J67)*2-12)</f>
        <v>tr</v>
      </c>
      <c r="N67" s="8" t="str">
        <f ca="1">OFFSET(Database!$F67,0,COLUMN(Database!K67)*2-12)</f>
        <v>n.r.</v>
      </c>
      <c r="O67" s="8">
        <f ca="1">OFFSET(Database!$F67,0,COLUMN(Database!L67)*2-12)</f>
        <v>0.95</v>
      </c>
      <c r="P67" s="8">
        <f ca="1">OFFSET(Database!$F67,0,COLUMN(Database!M67)*2-12)</f>
        <v>0.31</v>
      </c>
      <c r="Q67" s="8">
        <f ca="1">OFFSET(Database!$F67,0,COLUMN(Database!N67)*2-12)</f>
        <v>4.28</v>
      </c>
      <c r="R67" s="8" t="str">
        <f ca="1">OFFSET(Database!$F67,0,COLUMN(Database!O67)*2-12)</f>
        <v>n.r.</v>
      </c>
      <c r="S67" s="8" t="str">
        <f ca="1">OFFSET(Database!$F67,0,COLUMN(Database!P67)*2-12)</f>
        <v>n.r.</v>
      </c>
      <c r="T67" s="8">
        <f ca="1">OFFSET(Database!$F67,0,COLUMN(Database!Q67)*2-12)</f>
        <v>18.2</v>
      </c>
      <c r="U67" s="8">
        <f ca="1">OFFSET(Database!$F67,0,COLUMN(Database!R67)*2-12)</f>
        <v>12.6</v>
      </c>
      <c r="V67" s="8">
        <f ca="1">OFFSET(Database!$F67,0,COLUMN(Database!S67)*2-12)</f>
        <v>0.52923602219376864</v>
      </c>
      <c r="W67" s="8">
        <f ca="1">OFFSET(Database!$F67,0,COLUMN(Database!T67)*2-12)</f>
        <v>0.8706786171574904</v>
      </c>
      <c r="X67" s="8">
        <f ca="1">OFFSET(Database!$F67,0,COLUMN(Database!U67)*2-12)</f>
        <v>8.3994878361075536</v>
      </c>
      <c r="Y67" s="8">
        <f ca="1">OFFSET(Database!$F67,0,COLUMN(Database!V67)*2-12)</f>
        <v>0.42</v>
      </c>
      <c r="Z67" s="8">
        <f ca="1">OFFSET(Database!$F67,0,COLUMN(Database!W67)*2-12)</f>
        <v>7.0000000000000007E-2</v>
      </c>
      <c r="AA67" s="8" t="str">
        <f ca="1">OFFSET(Database!$F67,0,COLUMN(Database!X67)*2-12)</f>
        <v>n.r.</v>
      </c>
      <c r="AB67" s="8" t="str">
        <f ca="1">OFFSET(Database!$F67,0,COLUMN(Database!Y67)*2-12)</f>
        <v>n.r.</v>
      </c>
      <c r="AC67" s="8">
        <f ca="1">OFFSET(Database!$F67,0,COLUMN(Database!Z67)*2-12)</f>
        <v>0.87921468203158337</v>
      </c>
      <c r="AD67" s="8">
        <f ca="1">OFFSET(Database!$F67,0,COLUMN(Database!AA67)*2-12)</f>
        <v>0.58045241143832693</v>
      </c>
      <c r="AE67" s="8">
        <f ca="1">OFFSET(Database!$F67,0,COLUMN(Database!AB67)*2-12)</f>
        <v>8.3055911224925314</v>
      </c>
      <c r="AF67" s="8">
        <f ca="1">OFFSET(Database!$F67,0,COLUMN(Database!AC67)*2-12)</f>
        <v>0.28000000000000003</v>
      </c>
      <c r="AG67" s="8" t="str">
        <f ca="1">OFFSET(Database!$F67,0,COLUMN(Database!AD67)*2-12)</f>
        <v>n.d.</v>
      </c>
      <c r="AH67" s="8" t="str">
        <f ca="1">OFFSET(Database!$F67,0,COLUMN(Database!AE67)*2-12)</f>
        <v>n.r.</v>
      </c>
      <c r="AI67" s="8" t="str">
        <f ca="1">OFFSET(Database!$F67,0,COLUMN(Database!AF67)*2-12)</f>
        <v>n.r.</v>
      </c>
      <c r="AJ67" s="8" t="str">
        <f ca="1">OFFSET(Database!$F67,0,COLUMN(Database!AG67)*2-12)</f>
        <v>n.r.</v>
      </c>
      <c r="AK67" s="8" t="str">
        <f ca="1">OFFSET(Database!$F67,0,COLUMN(Database!AH67)*2-12)</f>
        <v>n.r.</v>
      </c>
      <c r="AL67" s="8" t="str">
        <f ca="1">OFFSET(Database!$F67,0,COLUMN(Database!AI67)*2-12)</f>
        <v>n.r.</v>
      </c>
      <c r="AM67" s="8">
        <f ca="1">OFFSET(Database!$F67,0,COLUMN(Database!AJ67)*2-12)</f>
        <v>0.31</v>
      </c>
      <c r="AN67" s="8">
        <f ca="1">OFFSET(Database!$F67,0,COLUMN(Database!AK67)*2-12)</f>
        <v>0.04</v>
      </c>
      <c r="AO67" s="8">
        <f ca="1">OFFSET(Database!$F67,0,COLUMN(Database!AL67)*2-12)</f>
        <v>2.774221084080239</v>
      </c>
      <c r="AP67" s="8">
        <f ca="1">OFFSET(Database!$F67,0,COLUMN(Database!AM67)*2-12)</f>
        <v>0.98</v>
      </c>
      <c r="AQ67" s="8" t="str">
        <f ca="1">OFFSET(Database!$F67,0,COLUMN(Database!AN67)*2-12)</f>
        <v>&lt;0.01</v>
      </c>
      <c r="AR67" s="8" t="str">
        <f ca="1">OFFSET(Database!$F67,0,COLUMN(Database!AO67)*2-12)</f>
        <v>&lt;0.01</v>
      </c>
      <c r="AS67" s="8">
        <f ca="1">OFFSET(Database!$F67,0,COLUMN(Database!AP67)*2-12)</f>
        <v>2.5608194622279128E-3</v>
      </c>
      <c r="AT67" s="8" t="str">
        <f ca="1">OFFSET(Database!$F67,0,COLUMN(Database!AQ67)*2-12)</f>
        <v>&lt;0.0009</v>
      </c>
      <c r="AU67" s="8">
        <f ca="1">OFFSET(Database!$F67,0,COLUMN(Database!AR67)*2-12)</f>
        <v>7.6824583866837385E-3</v>
      </c>
      <c r="AV67" s="8">
        <f ca="1">OFFSET(Database!$F67,0,COLUMN(Database!AS67)*2-12)</f>
        <v>1.1950490823730259E-2</v>
      </c>
      <c r="AW67" s="8" t="str">
        <f ca="1">OFFSET(Database!$F67,0,COLUMN(Database!AT67)*2-12)</f>
        <v>&lt;0.0009</v>
      </c>
      <c r="AX67" s="8">
        <f ca="1">OFFSET(Database!$F67,0,COLUMN(Database!AU67)*2-12)</f>
        <v>0.15364916773367476</v>
      </c>
      <c r="AY67" s="8" t="str">
        <f ca="1">OFFSET(Database!$F67,0,COLUMN(Database!AV67)*2-12)</f>
        <v>&lt;0.0009</v>
      </c>
      <c r="AZ67" s="8" t="str">
        <f ca="1">OFFSET(Database!$F67,0,COLUMN(Database!AW67)*2-12)</f>
        <v xml:space="preserve"> &lt;0.0009</v>
      </c>
      <c r="BA67" s="8">
        <f ca="1">OFFSET(Database!$F67,0,COLUMN(Database!AX67)*2-12)</f>
        <v>8.5360648740930422E-3</v>
      </c>
      <c r="BB67" s="8" t="str">
        <f ca="1">OFFSET(Database!$F67,0,COLUMN(Database!AY67)*2-12)</f>
        <v>&lt;0.0009</v>
      </c>
      <c r="BC67" s="8" t="str">
        <f ca="1">OFFSET(Database!$F67,0,COLUMN(Database!AZ67)*2-12)</f>
        <v>&lt;0.0009</v>
      </c>
      <c r="BD67" s="8" t="e">
        <f ca="1">OFFSET(Database!$F67,0,COLUMN(Database!BA67)*2-12)</f>
        <v>#REF!</v>
      </c>
      <c r="BE67" s="8" t="str">
        <f ca="1">OFFSET(Database!$F67,0,COLUMN(Database!BB67)*2-12)</f>
        <v>&lt;0.002</v>
      </c>
      <c r="BF67" s="8" t="str">
        <f ca="1">OFFSET(Database!$F67,0,COLUMN(Database!BC67)*2-12)</f>
        <v>&lt;0.0009</v>
      </c>
      <c r="BG67" s="8" t="str">
        <f ca="1">OFFSET(Database!$F67,0,COLUMN(Database!BD67)*2-12)</f>
        <v>&lt;0.0009</v>
      </c>
      <c r="BH67" s="8" t="str">
        <f ca="1">OFFSET(Database!$F67,0,COLUMN(Database!BE67)*2-12)</f>
        <v>n.r.</v>
      </c>
      <c r="BI67" s="8" t="str">
        <f ca="1">OFFSET(Database!$F67,0,COLUMN(Database!BF67)*2-12)</f>
        <v>n.r.</v>
      </c>
      <c r="BJ67" s="8">
        <f ca="1">OFFSET(Database!$F67,0,COLUMN(Database!BG67)*2-12)</f>
        <v>8.8433632095603922</v>
      </c>
      <c r="BK67" s="8">
        <f ca="1">OFFSET(Database!$F67,0,COLUMN(Database!BH67)*2-12)</f>
        <v>2.2279129321382842</v>
      </c>
      <c r="BL67" s="8">
        <f ca="1">OFFSET(Database!$F67,0,COLUMN(Database!BI67)*2-12)</f>
        <v>1.8950064020486554</v>
      </c>
      <c r="BM67" s="8" t="str">
        <f ca="1">OFFSET(Database!$F67,0,COLUMN(Database!BJ67)*2-12)</f>
        <v>&lt;0.0009</v>
      </c>
      <c r="BN67" s="8">
        <f ca="1">OFFSET(Database!$F67,0,COLUMN(Database!BK67)*2-12)</f>
        <v>0.53777208706786173</v>
      </c>
      <c r="BO67" s="8">
        <f ca="1">OFFSET(Database!$F67,0,COLUMN(Database!BL67)*2-12)</f>
        <v>2.219376867264191E-2</v>
      </c>
      <c r="BP67" s="8" t="str">
        <f ca="1">OFFSET(Database!$F67,0,COLUMN(Database!BM67)*2-12)</f>
        <v>&lt;0.0009</v>
      </c>
      <c r="BQ67" s="8" t="str">
        <f ca="1">OFFSET(Database!$F67,0,COLUMN(Database!BN67)*2-12)</f>
        <v>&lt;0.0009</v>
      </c>
      <c r="BR67" s="8" t="str">
        <f ca="1">OFFSET(Database!$F67,0,COLUMN(Database!BO67)*2-12)</f>
        <v>&lt;0.0009</v>
      </c>
      <c r="BS67" s="8" t="str">
        <f ca="1">OFFSET(Database!$F67,0,COLUMN(Database!BP67)*2-12)</f>
        <v>&lt;0.001</v>
      </c>
      <c r="BT67" s="8" t="str">
        <f ca="1">OFFSET(Database!$F67,0,COLUMN(Database!BQ67)*2-12)</f>
        <v>&lt;0.001</v>
      </c>
      <c r="BU67" s="8" t="str">
        <f ca="1">OFFSET(Database!$F67,0,COLUMN(Database!BR67)*2-12)</f>
        <v>&lt;0.001</v>
      </c>
      <c r="BV67" s="8" t="str">
        <f ca="1">OFFSET(Database!$F67,0,COLUMN(Database!BS67)*2-12)</f>
        <v>&lt;0.001</v>
      </c>
      <c r="BW67" s="8" t="str">
        <f ca="1">OFFSET(Database!$F67,0,COLUMN(Database!BT67)*2-12)</f>
        <v>&lt;0.0001</v>
      </c>
      <c r="BX67" s="8" t="str">
        <f ca="1">OFFSET(Database!$F67,0,COLUMN(Database!BU67)*2-12)</f>
        <v>&lt;0.0001</v>
      </c>
      <c r="BY67" s="8" t="str">
        <f ca="1">OFFSET(Database!$F67,0,COLUMN(Database!BV67)*2-12)</f>
        <v>&lt;0.0001</v>
      </c>
      <c r="BZ67" s="8" t="str">
        <f ca="1">OFFSET(Database!$F67,0,COLUMN(Database!BW67)*2-12)</f>
        <v>n.r.</v>
      </c>
      <c r="CA67" s="8" t="str">
        <f ca="1">OFFSET(Database!$F67,0,COLUMN(Database!BX67)*2-12)</f>
        <v>n.r.</v>
      </c>
      <c r="CB67" s="8" t="str">
        <f ca="1">OFFSET(Database!$F67,0,COLUMN(Database!BY67)*2-12)</f>
        <v>n.r.</v>
      </c>
      <c r="CC67" s="8" t="str">
        <f ca="1">OFFSET(Database!$F67,0,COLUMN(Database!BZ67)*2-12)</f>
        <v>n.r.</v>
      </c>
      <c r="CD67" s="8" t="str">
        <f ca="1">OFFSET(Database!$F67,0,COLUMN(Database!CA67)*2-12)</f>
        <v>n.r.</v>
      </c>
      <c r="CE67" s="8" t="str">
        <f ca="1">OFFSET(Database!$F67,0,COLUMN(Database!CB67)*2-12)</f>
        <v>n.r.</v>
      </c>
      <c r="CF67" s="8" t="str">
        <f ca="1">OFFSET(Database!$F67,0,COLUMN(Database!CC67)*2-12)</f>
        <v>n.r.</v>
      </c>
      <c r="CG67" s="8" t="str">
        <f ca="1">OFFSET(Database!$F67,0,COLUMN(Database!CD67)*2-12)</f>
        <v>n.r.</v>
      </c>
      <c r="CH67" s="8" t="str">
        <f ca="1">OFFSET(Database!$F67,0,COLUMN(Database!CE67)*2-12)</f>
        <v>n.r.</v>
      </c>
      <c r="CI67" s="8" t="str">
        <f ca="1">OFFSET(Database!$F67,0,COLUMN(Database!CF67)*2-12)</f>
        <v>n.r.</v>
      </c>
      <c r="CJ67" s="8" t="str">
        <f ca="1">OFFSET(Database!$F67,0,COLUMN(Database!CG67)*2-12)</f>
        <v>n.r.</v>
      </c>
      <c r="CK67" s="8" t="str">
        <f ca="1">OFFSET(Database!$F67,0,COLUMN(Database!CH67)*2-12)</f>
        <v>n.r.</v>
      </c>
      <c r="CL67" s="8" t="str">
        <f ca="1">OFFSET(Database!$F67,0,COLUMN(Database!CI67)*2-12)</f>
        <v>n.r.</v>
      </c>
      <c r="CM67" s="8" t="str">
        <f ca="1">OFFSET(Database!$F67,0,COLUMN(Database!CJ67)*2-12)</f>
        <v>n.r.</v>
      </c>
      <c r="CN67" s="8" t="str">
        <f ca="1">OFFSET(Database!$F67,0,COLUMN(Database!CK67)*2-12)</f>
        <v>n.r.</v>
      </c>
      <c r="CO67" s="8" t="str">
        <f ca="1">OFFSET(Database!$F67,0,COLUMN(Database!CL67)*2-12)</f>
        <v>n.r.</v>
      </c>
      <c r="CP67" s="8" t="str">
        <f ca="1">OFFSET(Database!$F67,0,COLUMN(Database!CM67)*2-12)</f>
        <v>n.r.</v>
      </c>
      <c r="CQ67" s="8" t="str">
        <f ca="1">OFFSET(Database!$F67,0,COLUMN(Database!CN67)*2-12)</f>
        <v>n.r.</v>
      </c>
      <c r="CR67" s="8" t="str">
        <f ca="1">OFFSET(Database!$F67,0,COLUMN(Database!CO67)*2-12)</f>
        <v>n.r.</v>
      </c>
      <c r="CS67" s="8" t="str">
        <f ca="1">OFFSET(Database!$F67,0,COLUMN(Database!CP67)*2-12)</f>
        <v>n.r.</v>
      </c>
      <c r="CT67" s="8" t="str">
        <f ca="1">OFFSET(Database!$F67,0,COLUMN(Database!CQ67)*2-12)</f>
        <v>n.r.</v>
      </c>
      <c r="CU67" s="8" t="str">
        <f ca="1">OFFSET(Database!$F67,0,COLUMN(Database!CR67)*2-12)</f>
        <v>n.r.</v>
      </c>
      <c r="CV67" s="8" t="str">
        <f ca="1">OFFSET(Database!$F67,0,COLUMN(Database!CS67)*2-12)</f>
        <v>n.r.</v>
      </c>
      <c r="CW67" s="8" t="str">
        <f ca="1">OFFSET(Database!$F67,0,COLUMN(Database!CT67)*2-12)</f>
        <v>n.r.</v>
      </c>
      <c r="CX67" s="8" t="str">
        <f ca="1">OFFSET(Database!$F67,0,COLUMN(Database!CU67)*2-12)</f>
        <v>n.r.</v>
      </c>
      <c r="CY67" s="8" t="str">
        <f ca="1">OFFSET(Database!$F67,0,COLUMN(Database!CV67)*2-12)</f>
        <v>n.r.</v>
      </c>
      <c r="CZ67" s="8" t="str">
        <f ca="1">OFFSET(Database!$F67,0,COLUMN(Database!CW67)*2-12)</f>
        <v>n.r.</v>
      </c>
      <c r="DA67" s="8" t="str">
        <f ca="1">OFFSET(Database!$F67,0,COLUMN(Database!CX67)*2-12)</f>
        <v>n.r.</v>
      </c>
      <c r="DB67" s="8" t="str">
        <f ca="1">OFFSET(Database!$F67,0,COLUMN(Database!CY67)*2-12)</f>
        <v>n.s.</v>
      </c>
      <c r="DC67" s="8" t="str">
        <f ca="1">OFFSET(Database!$F67,0,COLUMN(Database!CZ67)*2-12)</f>
        <v>n.s.</v>
      </c>
      <c r="DD67" s="8">
        <f ca="1">OFFSET(Database!$F67,0,COLUMN(Database!DA67)*2-12)</f>
        <v>4.5999999999999999E-2</v>
      </c>
      <c r="DE67" s="8" t="str">
        <f ca="1">OFFSET(Database!$F67,0,COLUMN(Database!DB67)*2-12)</f>
        <v>n.r.</v>
      </c>
      <c r="DF67" s="8" t="str">
        <f ca="1">OFFSET(Database!$F67,0,COLUMN(Database!DC67)*2-12)</f>
        <v>n.r.</v>
      </c>
      <c r="DG67" s="8" t="str">
        <f ca="1">OFFSET(Database!$F67,0,COLUMN(Database!DD67)*2-12)</f>
        <v>n.r.</v>
      </c>
      <c r="DH67" s="8" t="str">
        <f ca="1">OFFSET(Database!$F67,0,COLUMN(Database!DE67)*2-12)</f>
        <v>n.r.</v>
      </c>
      <c r="DI67" s="8" t="str">
        <f ca="1">OFFSET(Database!$F67,0,COLUMN(Database!DF67)*2-12)</f>
        <v>n.r.</v>
      </c>
      <c r="DJ67" s="8" t="str">
        <f ca="1">OFFSET(Database!$F67,0,COLUMN(Database!DG67)*2-12)</f>
        <v>n.r.</v>
      </c>
      <c r="DK67" s="8" t="str">
        <f ca="1">OFFSET(Database!$F67,0,COLUMN(Database!DH67)*2-12)</f>
        <v>n.r.</v>
      </c>
      <c r="DL67" s="8" t="str">
        <f ca="1">OFFSET(Database!$F67,0,COLUMN(Database!DI67)*2-12)</f>
        <v>n.r.</v>
      </c>
      <c r="DM67" s="8" t="str">
        <f ca="1">OFFSET(Database!$F67,0,COLUMN(Database!DJ67)*2-12)</f>
        <v>n.r.</v>
      </c>
      <c r="DN67" s="8" t="str">
        <f ca="1">OFFSET(Database!$F67,0,COLUMN(Database!DK67)*2-12)</f>
        <v>n.r.</v>
      </c>
      <c r="DO67" s="8" t="str">
        <f ca="1">OFFSET(Database!$F67,0,COLUMN(Database!DL67)*2-12)</f>
        <v>n.r.</v>
      </c>
      <c r="DP67" s="8" t="str">
        <f ca="1">OFFSET(Database!$F67,0,COLUMN(Database!DM67)*2-12)</f>
        <v>n.r.</v>
      </c>
      <c r="DQ67" s="8" t="str">
        <f ca="1">OFFSET(Database!$F67,0,COLUMN(Database!DN67)*2-12)</f>
        <v>n.r.</v>
      </c>
      <c r="DR67" s="8" t="str">
        <f ca="1">OFFSET(Database!$F67,0,COLUMN(Database!DO67)*2-12)</f>
        <v>n.r.</v>
      </c>
      <c r="DS67" s="8" t="str">
        <f ca="1">OFFSET(Database!$F67,0,COLUMN(Database!DP67)*2-12)</f>
        <v>n.r.</v>
      </c>
      <c r="DT67" s="8" t="str">
        <f ca="1">OFFSET(Database!$F67,0,COLUMN(Database!DQ67)*2-12)</f>
        <v>n.r.</v>
      </c>
      <c r="DU67" s="8" t="str">
        <f ca="1">OFFSET(Database!$F67,0,COLUMN(Database!DR67)*2-12)</f>
        <v>n.r.</v>
      </c>
      <c r="DV67" s="8" t="str">
        <f ca="1">OFFSET(Database!$F67,0,COLUMN(Database!DS67)*2-12)</f>
        <v>n.r.</v>
      </c>
      <c r="DW67" s="8" t="str">
        <f ca="1">OFFSET(Database!$F67,0,COLUMN(Database!DT67)*2-12)</f>
        <v>n.r.</v>
      </c>
      <c r="DX67" s="8" t="str">
        <f ca="1">OFFSET(Database!$F67,0,COLUMN(Database!DU67)*2-12)</f>
        <v>n.r.</v>
      </c>
      <c r="DY67" s="8" t="str">
        <f ca="1">OFFSET(Database!$F67,0,COLUMN(Database!DV67)*2-12)</f>
        <v>n.r.</v>
      </c>
      <c r="DZ67" s="8" t="str">
        <f ca="1">OFFSET(Database!$F67,0,COLUMN(Database!DW67)*2-12)</f>
        <v>n.r.</v>
      </c>
      <c r="EA67" s="8" t="str">
        <f ca="1">OFFSET(Database!$F67,0,COLUMN(Database!DX67)*2-12)</f>
        <v>n.r.</v>
      </c>
      <c r="EB67" s="8" t="str">
        <f ca="1">OFFSET(Database!$F67,0,COLUMN(Database!DY67)*2-12)</f>
        <v>n.r.</v>
      </c>
      <c r="EC67" s="8" t="str">
        <f ca="1">OFFSET(Database!$F67,0,COLUMN(Database!DZ67)*2-12)</f>
        <v>n.r.</v>
      </c>
      <c r="ED67" s="8" t="str">
        <f ca="1">OFFSET(Database!$F67,0,COLUMN(Database!EA67)*2-12)</f>
        <v>n.r</v>
      </c>
      <c r="EE67" s="8" t="str">
        <f ca="1">OFFSET(Database!$F67,0,COLUMN(Database!EB67)*2-12)</f>
        <v>n.r.</v>
      </c>
      <c r="EF67" s="8" t="str">
        <f ca="1">OFFSET(Database!$F67,0,COLUMN(Database!EC67)*2-12)</f>
        <v>n.r.</v>
      </c>
      <c r="EG67" s="8" t="str">
        <f ca="1">OFFSET(Database!$F67,0,COLUMN(Database!ED67)*2-12)</f>
        <v>n.r.</v>
      </c>
      <c r="EH67" s="8" t="str">
        <f ca="1">OFFSET(Database!$F67,0,COLUMN(Database!EE67)*2-12)</f>
        <v>n.r.</v>
      </c>
      <c r="EI67" s="8" t="str">
        <f ca="1">OFFSET(Database!$F67,0,COLUMN(Database!EF67)*2-12)</f>
        <v>n.r.</v>
      </c>
      <c r="EJ67" s="8" t="str">
        <f ca="1">OFFSET(Database!$F67,0,COLUMN(Database!EG67)*2-12)</f>
        <v>n.r.</v>
      </c>
      <c r="EK67" s="8" t="str">
        <f ca="1">OFFSET(Database!$F67,0,COLUMN(Database!EH67)*2-12)</f>
        <v>n.r.</v>
      </c>
      <c r="EL67" s="8" t="str">
        <f ca="1">OFFSET(Database!$F67,0,COLUMN(Database!EI67)*2-12)</f>
        <v>n.r.</v>
      </c>
      <c r="EM67" s="8" t="str">
        <f ca="1">OFFSET(Database!$F67,0,COLUMN(Database!EJ67)*2-12)</f>
        <v>n.r.</v>
      </c>
      <c r="EN67" s="8" t="str">
        <f ca="1">OFFSET(Database!$F67,0,COLUMN(Database!EK67)*2-12)</f>
        <v>n.r.</v>
      </c>
      <c r="EO67" s="8" t="str">
        <f ca="1">OFFSET(Database!$F67,0,COLUMN(Database!EL67)*2-12)</f>
        <v>n.r.</v>
      </c>
      <c r="EP67" s="8" t="str">
        <f ca="1">OFFSET(Database!$F67,0,COLUMN(Database!EM67)*2-12)</f>
        <v>n.r.</v>
      </c>
      <c r="EQ67" s="8" t="str">
        <f ca="1">OFFSET(Database!$F67,0,COLUMN(Database!EN67)*2-12)</f>
        <v>n.r.</v>
      </c>
      <c r="ER67" s="8" t="str">
        <f ca="1">OFFSET(Database!$F67,0,COLUMN(Database!EO67)*2-12)</f>
        <v>n.r.</v>
      </c>
      <c r="ES67" s="8" t="str">
        <f ca="1">OFFSET(Database!$F67,0,COLUMN(Database!EP67)*2-12)</f>
        <v>n.r.</v>
      </c>
      <c r="ET67" s="8" t="str">
        <f ca="1">OFFSET(Database!$F67,0,COLUMN(Database!EQ67)*2-12)</f>
        <v>n.r.</v>
      </c>
      <c r="EU67" s="8" t="str">
        <f ca="1">OFFSET(Database!$F67,0,COLUMN(Database!ER67)*2-12)</f>
        <v>n.r.</v>
      </c>
      <c r="EV67" s="8" t="str">
        <f ca="1">OFFSET(Database!$F67,0,COLUMN(Database!ES67)*2-12)</f>
        <v>n.r.</v>
      </c>
      <c r="EW67" s="8" t="str">
        <f ca="1">OFFSET(Database!$F67,0,COLUMN(Database!ET67)*2-12)</f>
        <v>n.r.</v>
      </c>
      <c r="EX67" s="8" t="str">
        <f ca="1">OFFSET(Database!$F67,0,COLUMN(Database!EU67)*2-12)</f>
        <v>n.r.</v>
      </c>
      <c r="EY67" s="8" t="str">
        <f ca="1">OFFSET(Database!$F67,0,COLUMN(Database!EV67)*2-12)</f>
        <v>n.r.</v>
      </c>
      <c r="EZ67" s="8" t="str">
        <f ca="1">OFFSET(Database!$F67,0,COLUMN(Database!EW67)*2-12)</f>
        <v>n.r.</v>
      </c>
      <c r="FA67" s="8" t="str">
        <f ca="1">OFFSET(Database!$F67,0,COLUMN(Database!EX67)*2-12)</f>
        <v>n.r.</v>
      </c>
      <c r="FB67" s="8" t="str">
        <f ca="1">OFFSET(Database!$F67,0,COLUMN(Database!EY67)*2-12)</f>
        <v>n.r.</v>
      </c>
      <c r="FC67" s="8" t="str">
        <f ca="1">OFFSET(Database!$F67,0,COLUMN(Database!EZ67)*2-12)</f>
        <v>n.r.</v>
      </c>
      <c r="FD67" s="8" t="str">
        <f ca="1">OFFSET(Database!$F67,0,COLUMN(Database!FA67)*2-12)</f>
        <v>n.r.</v>
      </c>
      <c r="FE67" s="8" t="str">
        <f ca="1">OFFSET(Database!$F67,0,COLUMN(Database!FB67)*2-12)</f>
        <v>n.r.</v>
      </c>
      <c r="FF67" s="8" t="str">
        <f ca="1">OFFSET(Database!$F67,0,COLUMN(Database!FC67)*2-12)</f>
        <v>n.r.</v>
      </c>
      <c r="FG67" s="8" t="str">
        <f ca="1">OFFSET(Database!$F67,0,COLUMN(Database!FD67)*2-12)</f>
        <v>n.r.</v>
      </c>
      <c r="FH67" s="8" t="str">
        <f ca="1">OFFSET(Database!$F67,0,COLUMN(Database!FE67)*2-12)</f>
        <v>n.r.</v>
      </c>
      <c r="FI67" s="8" t="str">
        <f ca="1">OFFSET(Database!$F67,0,COLUMN(Database!FF67)*2-12)</f>
        <v>n.r.</v>
      </c>
      <c r="FJ67" s="8" t="str">
        <f ca="1">OFFSET(Database!$F67,0,COLUMN(Database!FG67)*2-12)</f>
        <v>n.r.</v>
      </c>
      <c r="FK67" s="8" t="str">
        <f ca="1">OFFSET(Database!$F67,0,COLUMN(Database!FH67)*2-12)</f>
        <v>n.r.</v>
      </c>
      <c r="FL67" s="8" t="str">
        <f ca="1">OFFSET(Database!$F67,0,COLUMN(Database!FI67)*2-12)</f>
        <v>n.r.</v>
      </c>
      <c r="FM67" s="8" t="str">
        <f ca="1">OFFSET(Database!$F67,0,COLUMN(Database!FJ67)*2-12)</f>
        <v>n.r.</v>
      </c>
      <c r="FN67" s="8" t="str">
        <f ca="1">OFFSET(Database!$F67,0,COLUMN(Database!FK67)*2-12)</f>
        <v>n.r.</v>
      </c>
      <c r="FO67" s="8" t="str">
        <f ca="1">OFFSET(Database!$F67,0,COLUMN(Database!FL67)*2-12)</f>
        <v>n.r.</v>
      </c>
      <c r="FP67" s="8" t="str">
        <f ca="1">OFFSET(Database!$F67,0,COLUMN(Database!FM67)*2-12)</f>
        <v>n.r.</v>
      </c>
      <c r="FQ67" s="8" t="str">
        <f ca="1">OFFSET(Database!$F67,0,COLUMN(Database!FN67)*2-12)</f>
        <v>n.r.</v>
      </c>
      <c r="FR67" s="8" t="str">
        <f ca="1">OFFSET(Database!$F67,0,COLUMN(Database!FO67)*2-12)</f>
        <v>n.r.</v>
      </c>
      <c r="FS67" s="8" t="str">
        <f ca="1">OFFSET(Database!$F67,0,COLUMN(Database!FP67)*2-12)</f>
        <v>n.r.</v>
      </c>
      <c r="FT67" s="8" t="str">
        <f ca="1">OFFSET(Database!$F67,0,COLUMN(Database!FQ67)*2-12)</f>
        <v>n.r.</v>
      </c>
      <c r="FU67" s="8" t="str">
        <f ca="1">OFFSET(Database!$F67,0,COLUMN(Database!FR67)*2-12)</f>
        <v>n.r.</v>
      </c>
      <c r="FV67" s="8" t="str">
        <f ca="1">OFFSET(Database!$F67,0,COLUMN(Database!FS67)*2-12)</f>
        <v>n.r.</v>
      </c>
      <c r="FW67" s="8" t="str">
        <f ca="1">OFFSET(Database!$F67,0,COLUMN(Database!FT67)*2-12)</f>
        <v>n.r.</v>
      </c>
      <c r="FX67" s="8" t="str">
        <f ca="1">OFFSET(Database!$F67,0,COLUMN(Database!FU67)*2-12)</f>
        <v>n.r.</v>
      </c>
      <c r="FY67" s="8" t="str">
        <f ca="1">OFFSET(Database!$F67,0,COLUMN(Database!FV67)*2-12)</f>
        <v>n.r.</v>
      </c>
      <c r="FZ67" s="8" t="str">
        <f ca="1">OFFSET(Database!$F67,0,COLUMN(Database!FW67)*2-12)</f>
        <v>n.r.</v>
      </c>
      <c r="GA67" s="8" t="str">
        <f ca="1">OFFSET(Database!$F67,0,COLUMN(Database!FX67)*2-12)</f>
        <v>n.r.</v>
      </c>
      <c r="GB67" s="8" t="str">
        <f ca="1">OFFSET(Database!$F67,0,COLUMN(Database!FY67)*2-12)</f>
        <v>n.r.</v>
      </c>
      <c r="GC67" s="8" t="str">
        <f ca="1">OFFSET(Database!$F67,0,COLUMN(Database!FZ67)*2-12)</f>
        <v>n.r.</v>
      </c>
      <c r="GD67" s="8" t="str">
        <f ca="1">OFFSET(Database!$F67,0,COLUMN(Database!GA67)*2-12)</f>
        <v>n.r.</v>
      </c>
      <c r="GE67" s="8" t="str">
        <f ca="1">OFFSET(Database!$F67,0,COLUMN(Database!GB67)*2-12)</f>
        <v>n.r.</v>
      </c>
      <c r="GF67" s="8" t="str">
        <f ca="1">OFFSET(Database!$F67,0,COLUMN(Database!GC67)*2-12)</f>
        <v>n.r.</v>
      </c>
      <c r="GG67" s="8" t="str">
        <f ca="1">OFFSET(Database!$F67,0,COLUMN(Database!GD67)*2-12)</f>
        <v>n.r.</v>
      </c>
      <c r="GH67" s="8" t="str">
        <f ca="1">OFFSET(Database!$F67,0,COLUMN(Database!GE67)*2-12)</f>
        <v>n.r.</v>
      </c>
      <c r="GI67" s="8" t="str">
        <f ca="1">OFFSET(Database!$F67,0,COLUMN(Database!GF67)*2-12)</f>
        <v>n.r.</v>
      </c>
      <c r="GJ67" s="8" t="str">
        <f ca="1">OFFSET(Database!$F67,0,COLUMN(Database!GG67)*2-12)</f>
        <v>n.r.</v>
      </c>
      <c r="GK67" s="8" t="str">
        <f ca="1">OFFSET(Database!$F67,0,COLUMN(Database!GH67)*2-12)</f>
        <v>n.r.</v>
      </c>
      <c r="GL67" s="8" t="str">
        <f ca="1">OFFSET(Database!$F67,0,COLUMN(Database!GI67)*2-12)</f>
        <v>n.r.</v>
      </c>
      <c r="GM67" s="8" t="str">
        <f ca="1">OFFSET(Database!$F67,0,COLUMN(Database!GJ67)*2-12)</f>
        <v>n.r.</v>
      </c>
      <c r="GN67" s="8" t="str">
        <f ca="1">OFFSET(Database!$F67,0,COLUMN(Database!GK67)*2-12)</f>
        <v>n.r.</v>
      </c>
      <c r="GO67" s="8" t="str">
        <f ca="1">OFFSET(Database!$F67,0,COLUMN(Database!GL67)*2-12)</f>
        <v>n.r.</v>
      </c>
      <c r="GP67" s="8" t="str">
        <f ca="1">OFFSET(Database!$F67,0,COLUMN(Database!GM67)*2-12)</f>
        <v>n.r.</v>
      </c>
    </row>
    <row r="68" spans="1:198" x14ac:dyDescent="0.2">
      <c r="A68" s="50" t="str">
        <f>Database!A68</f>
        <v>5-amino-n-pentanoic acid</v>
      </c>
      <c r="B68" s="32" t="s">
        <v>1011</v>
      </c>
      <c r="C68" s="4" t="str">
        <f>Database!B68</f>
        <v>δ</v>
      </c>
      <c r="D68" s="4" t="str">
        <f>Database!C68</f>
        <v>Both</v>
      </c>
      <c r="E68" s="74">
        <f>Database!D68</f>
        <v>59</v>
      </c>
      <c r="F68" s="32" t="s">
        <v>943</v>
      </c>
      <c r="G68" s="1">
        <v>138</v>
      </c>
      <c r="H68" s="1">
        <f>Database!E68</f>
        <v>117.15</v>
      </c>
      <c r="I68" s="8">
        <f ca="1">OFFSET(Database!$F68,0,COLUMN(Database!F68)*2-12)</f>
        <v>4.1999999999999997E-3</v>
      </c>
      <c r="J68" s="8">
        <f ca="1">OFFSET(Database!$F68,0,COLUMN(Database!G68)*2-12)</f>
        <v>2.8E-3</v>
      </c>
      <c r="K68" s="8">
        <f ca="1">OFFSET(Database!$F68,0,COLUMN(Database!H68)*2-12)</f>
        <v>2.46E-2</v>
      </c>
      <c r="L68" s="8">
        <f ca="1">OFFSET(Database!$F68,0,COLUMN(Database!I68)*2-12)</f>
        <v>3.5000000000000001E-3</v>
      </c>
      <c r="M68" s="8">
        <f ca="1">OFFSET(Database!$F68,0,COLUMN(Database!J68)*2-12)</f>
        <v>2.5999999999999999E-3</v>
      </c>
      <c r="N68" s="8" t="str">
        <f ca="1">OFFSET(Database!$F68,0,COLUMN(Database!K68)*2-12)</f>
        <v>n.r.</v>
      </c>
      <c r="O68" s="8">
        <f ca="1">OFFSET(Database!$F68,0,COLUMN(Database!L68)*2-12)</f>
        <v>0.33</v>
      </c>
      <c r="P68" s="8">
        <f ca="1">OFFSET(Database!$F68,0,COLUMN(Database!M68)*2-12)</f>
        <v>0.15</v>
      </c>
      <c r="Q68" s="8">
        <f ca="1">OFFSET(Database!$F68,0,COLUMN(Database!N68)*2-12)</f>
        <v>3.45</v>
      </c>
      <c r="R68" s="8" t="str">
        <f ca="1">OFFSET(Database!$F68,0,COLUMN(Database!O68)*2-12)</f>
        <v>n.r.</v>
      </c>
      <c r="S68" s="8" t="str">
        <f ca="1">OFFSET(Database!$F68,0,COLUMN(Database!P68)*2-12)</f>
        <v>n.r.</v>
      </c>
      <c r="T68" s="8">
        <f ca="1">OFFSET(Database!$F68,0,COLUMN(Database!Q68)*2-12)</f>
        <v>8.31</v>
      </c>
      <c r="U68" s="8">
        <f ca="1">OFFSET(Database!$F68,0,COLUMN(Database!R68)*2-12)</f>
        <v>4.87</v>
      </c>
      <c r="V68" s="8">
        <f ca="1">OFFSET(Database!$F68,0,COLUMN(Database!S68)*2-12)</f>
        <v>0.53777208706786173</v>
      </c>
      <c r="W68" s="8">
        <f ca="1">OFFSET(Database!$F68,0,COLUMN(Database!T68)*2-12)</f>
        <v>0.62313273580879214</v>
      </c>
      <c r="X68" s="8">
        <f ca="1">OFFSET(Database!$F68,0,COLUMN(Database!U68)*2-12)</f>
        <v>2.9107981220657275</v>
      </c>
      <c r="Y68" s="8">
        <f ca="1">OFFSET(Database!$F68,0,COLUMN(Database!V68)*2-12)</f>
        <v>1.8</v>
      </c>
      <c r="Z68" s="8">
        <f ca="1">OFFSET(Database!$F68,0,COLUMN(Database!W68)*2-12)</f>
        <v>2.2000000000000002</v>
      </c>
      <c r="AA68" s="8" t="str">
        <f ca="1">OFFSET(Database!$F68,0,COLUMN(Database!X68)*2-12)</f>
        <v>n.r.</v>
      </c>
      <c r="AB68" s="8" t="str">
        <f ca="1">OFFSET(Database!$F68,0,COLUMN(Database!Y68)*2-12)</f>
        <v>n.r.</v>
      </c>
      <c r="AC68" s="8">
        <f ca="1">OFFSET(Database!$F68,0,COLUMN(Database!Z68)*2-12)</f>
        <v>0.42680324370465211</v>
      </c>
      <c r="AD68" s="8">
        <f ca="1">OFFSET(Database!$F68,0,COLUMN(Database!AA68)*2-12)</f>
        <v>0.40973111395646605</v>
      </c>
      <c r="AE68" s="8">
        <f ca="1">OFFSET(Database!$F68,0,COLUMN(Database!AB68)*2-12)</f>
        <v>4.0973111395646606</v>
      </c>
      <c r="AF68" s="8">
        <f ca="1">OFFSET(Database!$F68,0,COLUMN(Database!AC68)*2-12)</f>
        <v>2.7</v>
      </c>
      <c r="AG68" s="8" t="str">
        <f ca="1">OFFSET(Database!$F68,0,COLUMN(Database!AD68)*2-12)</f>
        <v>n.d.</v>
      </c>
      <c r="AH68" s="8">
        <f ca="1">OFFSET(Database!$F68,0,COLUMN(Database!AE68)*2-12)</f>
        <v>1.8</v>
      </c>
      <c r="AI68" s="8" t="str">
        <f ca="1">OFFSET(Database!$F68,0,COLUMN(Database!AF68)*2-12)</f>
        <v>&lt;0.06</v>
      </c>
      <c r="AJ68" s="8">
        <f ca="1">OFFSET(Database!$F68,0,COLUMN(Database!AG68)*2-12)</f>
        <v>0.06</v>
      </c>
      <c r="AK68" s="8">
        <f ca="1">OFFSET(Database!$F68,0,COLUMN(Database!AH68)*2-12)</f>
        <v>0.13</v>
      </c>
      <c r="AL68" s="8" t="str">
        <f ca="1">OFFSET(Database!$F68,0,COLUMN(Database!AI68)*2-12)</f>
        <v>n.r.</v>
      </c>
      <c r="AM68" s="8">
        <f ca="1">OFFSET(Database!$F68,0,COLUMN(Database!AJ68)*2-12)</f>
        <v>2.6</v>
      </c>
      <c r="AN68" s="8">
        <f ca="1">OFFSET(Database!$F68,0,COLUMN(Database!AK68)*2-12)</f>
        <v>1.8</v>
      </c>
      <c r="AO68" s="8">
        <f ca="1">OFFSET(Database!$F68,0,COLUMN(Database!AL68)*2-12)</f>
        <v>1.195049082373026</v>
      </c>
      <c r="AP68" s="8">
        <f ca="1">OFFSET(Database!$F68,0,COLUMN(Database!AM68)*2-12)</f>
        <v>8.1</v>
      </c>
      <c r="AQ68" s="8" t="str">
        <f ca="1">OFFSET(Database!$F68,0,COLUMN(Database!AN68)*2-12)</f>
        <v>&lt;0.01</v>
      </c>
      <c r="AR68" s="8" t="str">
        <f ca="1">OFFSET(Database!$F68,0,COLUMN(Database!AO68)*2-12)</f>
        <v>&lt;0.01</v>
      </c>
      <c r="AS68" s="8">
        <f ca="1">OFFSET(Database!$F68,0,COLUMN(Database!AP68)*2-12)</f>
        <v>0.4353393085787452</v>
      </c>
      <c r="AT68" s="8">
        <f ca="1">OFFSET(Database!$F68,0,COLUMN(Database!AQ68)*2-12)</f>
        <v>3.7558685446009391E-2</v>
      </c>
      <c r="AU68" s="8">
        <f ca="1">OFFSET(Database!$F68,0,COLUMN(Database!AR68)*2-12)</f>
        <v>0.60606060606060608</v>
      </c>
      <c r="AV68" s="8">
        <f ca="1">OFFSET(Database!$F68,0,COLUMN(Database!AS68)*2-12)</f>
        <v>0.56338028169014087</v>
      </c>
      <c r="AW68" s="8">
        <f ca="1">OFFSET(Database!$F68,0,COLUMN(Database!AT68)*2-12)</f>
        <v>1.2889457959880495</v>
      </c>
      <c r="AX68" s="8">
        <f ca="1">OFFSET(Database!$F68,0,COLUMN(Database!AU68)*2-12)</f>
        <v>5.3777208706786164E-2</v>
      </c>
      <c r="AY68" s="8">
        <f ca="1">OFFSET(Database!$F68,0,COLUMN(Database!AV68)*2-12)</f>
        <v>0.34997865983781473</v>
      </c>
      <c r="AZ68" s="8">
        <f ca="1">OFFSET(Database!$F68,0,COLUMN(Database!AW68)*2-12)</f>
        <v>0.65727699530516426</v>
      </c>
      <c r="BA68" s="8">
        <f ca="1">OFFSET(Database!$F68,0,COLUMN(Database!AX68)*2-12)</f>
        <v>0.79385403329065296</v>
      </c>
      <c r="BB68" s="8">
        <f ca="1">OFFSET(Database!$F68,0,COLUMN(Database!AY68)*2-12)</f>
        <v>6.7434912505335037E-2</v>
      </c>
      <c r="BC68" s="8">
        <f ca="1">OFFSET(Database!$F68,0,COLUMN(Database!AZ68)*2-12)</f>
        <v>4.2680324370465213E-2</v>
      </c>
      <c r="BD68" s="8">
        <f ca="1">OFFSET(Database!$F68,0,COLUMN(Database!BA68)*2-12)</f>
        <v>0.28169014084507044</v>
      </c>
      <c r="BE68" s="8">
        <f ca="1">OFFSET(Database!$F68,0,COLUMN(Database!BB68)*2-12)</f>
        <v>0.32437046521553564</v>
      </c>
      <c r="BF68" s="8">
        <f ca="1">OFFSET(Database!$F68,0,COLUMN(Database!BC68)*2-12)</f>
        <v>1.365770379854887E-2</v>
      </c>
      <c r="BG68" s="8">
        <f ca="1">OFFSET(Database!$F68,0,COLUMN(Database!BD68)*2-12)</f>
        <v>0.21340162185232606</v>
      </c>
      <c r="BH68" s="8" t="str">
        <f ca="1">OFFSET(Database!$F68,0,COLUMN(Database!BE68)*2-12)</f>
        <v>n.r.</v>
      </c>
      <c r="BI68" s="8" t="str">
        <f ca="1">OFFSET(Database!$F68,0,COLUMN(Database!BF68)*2-12)</f>
        <v>n.r.</v>
      </c>
      <c r="BJ68" s="8">
        <f ca="1">OFFSET(Database!$F68,0,COLUMN(Database!BG68)*2-12)</f>
        <v>4.7204438753734523</v>
      </c>
      <c r="BK68" s="8">
        <f ca="1">OFFSET(Database!$F68,0,COLUMN(Database!BH68)*2-12)</f>
        <v>0.72556551429790861</v>
      </c>
      <c r="BL68" s="8">
        <f ca="1">OFFSET(Database!$F68,0,COLUMN(Database!BI68)*2-12)</f>
        <v>1.0584720443875373</v>
      </c>
      <c r="BM68" s="8">
        <f ca="1">OFFSET(Database!$F68,0,COLUMN(Database!BJ68)*2-12)</f>
        <v>4.438753734528382E-2</v>
      </c>
      <c r="BN68" s="8">
        <f ca="1">OFFSET(Database!$F68,0,COLUMN(Database!BK68)*2-12)</f>
        <v>0.25608194622279129</v>
      </c>
      <c r="BO68" s="8">
        <f ca="1">OFFSET(Database!$F68,0,COLUMN(Database!BL68)*2-12)</f>
        <v>5.4630815194195478E-2</v>
      </c>
      <c r="BP68" s="8">
        <f ca="1">OFFSET(Database!$F68,0,COLUMN(Database!BM68)*2-12)</f>
        <v>2.219376867264191E-2</v>
      </c>
      <c r="BQ68" s="8">
        <f ca="1">OFFSET(Database!$F68,0,COLUMN(Database!BN68)*2-12)</f>
        <v>2.5608194622279128E-3</v>
      </c>
      <c r="BR68" s="8">
        <f ca="1">OFFSET(Database!$F68,0,COLUMN(Database!BO68)*2-12)</f>
        <v>1.0243277848911651E-2</v>
      </c>
      <c r="BS68" s="8">
        <f ca="1">OFFSET(Database!$F68,0,COLUMN(Database!BP68)*2-12)</f>
        <v>2.5608194622279128E-2</v>
      </c>
      <c r="BT68" s="8">
        <f ca="1">OFFSET(Database!$F68,0,COLUMN(Database!BQ68)*2-12)</f>
        <v>8.5360648740930435E-4</v>
      </c>
      <c r="BU68" s="8">
        <f ca="1">OFFSET(Database!$F68,0,COLUMN(Database!BR68)*2-12)</f>
        <v>0.17072129748186085</v>
      </c>
      <c r="BV68" s="8">
        <f ca="1">OFFSET(Database!$F68,0,COLUMN(Database!BS68)*2-12)</f>
        <v>2.5608194622279128E-3</v>
      </c>
      <c r="BW68" s="8" t="str">
        <f ca="1">OFFSET(Database!$F68,0,COLUMN(Database!BT68)*2-12)</f>
        <v>&lt;0.0001</v>
      </c>
      <c r="BX68" s="8" t="str">
        <f ca="1">OFFSET(Database!$F68,0,COLUMN(Database!BU68)*2-12)</f>
        <v>&lt;0.0001</v>
      </c>
      <c r="BY68" s="8">
        <f ca="1">OFFSET(Database!$F68,0,COLUMN(Database!BV68)*2-12)</f>
        <v>1.5E-3</v>
      </c>
      <c r="BZ68" s="8" t="str">
        <f ca="1">OFFSET(Database!$F68,0,COLUMN(Database!BW68)*2-12)</f>
        <v>n.r.</v>
      </c>
      <c r="CA68" s="8" t="str">
        <f ca="1">OFFSET(Database!$F68,0,COLUMN(Database!BX68)*2-12)</f>
        <v>n.r.</v>
      </c>
      <c r="CB68" s="8" t="str">
        <f ca="1">OFFSET(Database!$F68,0,COLUMN(Database!BY68)*2-12)</f>
        <v>n.r.</v>
      </c>
      <c r="CC68" s="8" t="str">
        <f ca="1">OFFSET(Database!$F68,0,COLUMN(Database!BZ68)*2-12)</f>
        <v>n.r.</v>
      </c>
      <c r="CD68" s="8" t="str">
        <f ca="1">OFFSET(Database!$F68,0,COLUMN(Database!CA68)*2-12)</f>
        <v>n.r.</v>
      </c>
      <c r="CE68" s="8" t="str">
        <f ca="1">OFFSET(Database!$F68,0,COLUMN(Database!CB68)*2-12)</f>
        <v>n.r.</v>
      </c>
      <c r="CF68" s="8" t="str">
        <f ca="1">OFFSET(Database!$F68,0,COLUMN(Database!CC68)*2-12)</f>
        <v>n.r.</v>
      </c>
      <c r="CG68" s="8" t="str">
        <f ca="1">OFFSET(Database!$F68,0,COLUMN(Database!CD68)*2-12)</f>
        <v>n.r.</v>
      </c>
      <c r="CH68" s="8" t="str">
        <f ca="1">OFFSET(Database!$F68,0,COLUMN(Database!CE68)*2-12)</f>
        <v>n.r.</v>
      </c>
      <c r="CI68" s="8" t="str">
        <f ca="1">OFFSET(Database!$F68,0,COLUMN(Database!CF68)*2-12)</f>
        <v>n.r.</v>
      </c>
      <c r="CJ68" s="8" t="str">
        <f ca="1">OFFSET(Database!$F68,0,COLUMN(Database!CG68)*2-12)</f>
        <v>n.r.</v>
      </c>
      <c r="CK68" s="8" t="str">
        <f ca="1">OFFSET(Database!$F68,0,COLUMN(Database!CH68)*2-12)</f>
        <v>n.r.</v>
      </c>
      <c r="CL68" s="8" t="str">
        <f ca="1">OFFSET(Database!$F68,0,COLUMN(Database!CI68)*2-12)</f>
        <v>n.r.</v>
      </c>
      <c r="CM68" s="8" t="str">
        <f ca="1">OFFSET(Database!$F68,0,COLUMN(Database!CJ68)*2-12)</f>
        <v>n.r.</v>
      </c>
      <c r="CN68" s="8" t="str">
        <f ca="1">OFFSET(Database!$F68,0,COLUMN(Database!CK68)*2-12)</f>
        <v>n.r.</v>
      </c>
      <c r="CO68" s="8" t="str">
        <f ca="1">OFFSET(Database!$F68,0,COLUMN(Database!CL68)*2-12)</f>
        <v>n.r.</v>
      </c>
      <c r="CP68" s="8" t="str">
        <f ca="1">OFFSET(Database!$F68,0,COLUMN(Database!CM68)*2-12)</f>
        <v>n.r.</v>
      </c>
      <c r="CQ68" s="8" t="str">
        <f ca="1">OFFSET(Database!$F68,0,COLUMN(Database!CN68)*2-12)</f>
        <v>n.r.</v>
      </c>
      <c r="CR68" s="8" t="str">
        <f ca="1">OFFSET(Database!$F68,0,COLUMN(Database!CO68)*2-12)</f>
        <v>n.r.</v>
      </c>
      <c r="CS68" s="8" t="str">
        <f ca="1">OFFSET(Database!$F68,0,COLUMN(Database!CP68)*2-12)</f>
        <v>n.r.</v>
      </c>
      <c r="CT68" s="8" t="str">
        <f ca="1">OFFSET(Database!$F68,0,COLUMN(Database!CQ68)*2-12)</f>
        <v>n.r.</v>
      </c>
      <c r="CU68" s="8" t="str">
        <f ca="1">OFFSET(Database!$F68,0,COLUMN(Database!CR68)*2-12)</f>
        <v>n.r.</v>
      </c>
      <c r="CV68" s="8" t="str">
        <f ca="1">OFFSET(Database!$F68,0,COLUMN(Database!CS68)*2-12)</f>
        <v>n.r.</v>
      </c>
      <c r="CW68" s="8" t="str">
        <f ca="1">OFFSET(Database!$F68,0,COLUMN(Database!CT68)*2-12)</f>
        <v>n.r.</v>
      </c>
      <c r="CX68" s="8" t="str">
        <f ca="1">OFFSET(Database!$F68,0,COLUMN(Database!CU68)*2-12)</f>
        <v>n.r.</v>
      </c>
      <c r="CY68" s="8" t="str">
        <f ca="1">OFFSET(Database!$F68,0,COLUMN(Database!CV68)*2-12)</f>
        <v>n.r.</v>
      </c>
      <c r="CZ68" s="8" t="str">
        <f ca="1">OFFSET(Database!$F68,0,COLUMN(Database!CW68)*2-12)</f>
        <v>n.r.</v>
      </c>
      <c r="DA68" s="8" t="str">
        <f ca="1">OFFSET(Database!$F68,0,COLUMN(Database!CX68)*2-12)</f>
        <v>n.r.</v>
      </c>
      <c r="DB68" s="8">
        <f ca="1">OFFSET(Database!$F68,0,COLUMN(Database!CY68)*2-12)</f>
        <v>1.2</v>
      </c>
      <c r="DC68" s="8">
        <f ca="1">OFFSET(Database!$F68,0,COLUMN(Database!CZ68)*2-12)</f>
        <v>1.4</v>
      </c>
      <c r="DD68" s="8">
        <f ca="1">OFFSET(Database!$F68,0,COLUMN(Database!DA68)*2-12)</f>
        <v>1.01</v>
      </c>
      <c r="DE68" s="8">
        <f ca="1">OFFSET(Database!$F68,0,COLUMN(Database!DB68)*2-12)</f>
        <v>3.6705078958600083E-2</v>
      </c>
      <c r="DF68" s="8" t="str">
        <f ca="1">OFFSET(Database!$F68,0,COLUMN(Database!DC68)*2-12)</f>
        <v>n.r.</v>
      </c>
      <c r="DG68" s="8" t="str">
        <f ca="1">OFFSET(Database!$F68,0,COLUMN(Database!DD68)*2-12)</f>
        <v>n.r.</v>
      </c>
      <c r="DH68" s="8" t="str">
        <f ca="1">OFFSET(Database!$F68,0,COLUMN(Database!DE68)*2-12)</f>
        <v>n.r.</v>
      </c>
      <c r="DI68" s="8" t="str">
        <f ca="1">OFFSET(Database!$F68,0,COLUMN(Database!DF68)*2-12)</f>
        <v>n.r.</v>
      </c>
      <c r="DJ68" s="8" t="str">
        <f ca="1">OFFSET(Database!$F68,0,COLUMN(Database!DG68)*2-12)</f>
        <v>n.r.</v>
      </c>
      <c r="DK68" s="8" t="str">
        <f ca="1">OFFSET(Database!$F68,0,COLUMN(Database!DH68)*2-12)</f>
        <v>n.r.</v>
      </c>
      <c r="DL68" s="8" t="str">
        <f ca="1">OFFSET(Database!$F68,0,COLUMN(Database!DI68)*2-12)</f>
        <v>n.r.</v>
      </c>
      <c r="DM68" s="8" t="str">
        <f ca="1">OFFSET(Database!$F68,0,COLUMN(Database!DJ68)*2-12)</f>
        <v>n.r.</v>
      </c>
      <c r="DN68" s="8" t="str">
        <f ca="1">OFFSET(Database!$F68,0,COLUMN(Database!DK68)*2-12)</f>
        <v>n.r.</v>
      </c>
      <c r="DO68" s="8" t="str">
        <f ca="1">OFFSET(Database!$F68,0,COLUMN(Database!DL68)*2-12)</f>
        <v>n.r.</v>
      </c>
      <c r="DP68" s="8" t="str">
        <f ca="1">OFFSET(Database!$F68,0,COLUMN(Database!DM68)*2-12)</f>
        <v>n.r.</v>
      </c>
      <c r="DQ68" s="8" t="str">
        <f ca="1">OFFSET(Database!$F68,0,COLUMN(Database!DN68)*2-12)</f>
        <v>n.r.</v>
      </c>
      <c r="DR68" s="8" t="str">
        <f ca="1">OFFSET(Database!$F68,0,COLUMN(Database!DO68)*2-12)</f>
        <v>n.r.</v>
      </c>
      <c r="DS68" s="8" t="str">
        <f ca="1">OFFSET(Database!$F68,0,COLUMN(Database!DP68)*2-12)</f>
        <v>n.r.</v>
      </c>
      <c r="DT68" s="8" t="str">
        <f ca="1">OFFSET(Database!$F68,0,COLUMN(Database!DQ68)*2-12)</f>
        <v>n.r.</v>
      </c>
      <c r="DU68" s="8" t="str">
        <f ca="1">OFFSET(Database!$F68,0,COLUMN(Database!DR68)*2-12)</f>
        <v>n.r.</v>
      </c>
      <c r="DV68" s="8" t="str">
        <f ca="1">OFFSET(Database!$F68,0,COLUMN(Database!DS68)*2-12)</f>
        <v>n.r.</v>
      </c>
      <c r="DW68" s="8" t="str">
        <f ca="1">OFFSET(Database!$F68,0,COLUMN(Database!DT68)*2-12)</f>
        <v>n.r.</v>
      </c>
      <c r="DX68" s="8" t="str">
        <f ca="1">OFFSET(Database!$F68,0,COLUMN(Database!DU68)*2-12)</f>
        <v>n.r.</v>
      </c>
      <c r="DY68" s="8" t="str">
        <f ca="1">OFFSET(Database!$F68,0,COLUMN(Database!DV68)*2-12)</f>
        <v>n.r.</v>
      </c>
      <c r="DZ68" s="8" t="str">
        <f ca="1">OFFSET(Database!$F68,0,COLUMN(Database!DW68)*2-12)</f>
        <v>n.r.</v>
      </c>
      <c r="EA68" s="8" t="str">
        <f ca="1">OFFSET(Database!$F68,0,COLUMN(Database!DX68)*2-12)</f>
        <v>n.r.</v>
      </c>
      <c r="EB68" s="8" t="str">
        <f ca="1">OFFSET(Database!$F68,0,COLUMN(Database!DY68)*2-12)</f>
        <v>n.r.</v>
      </c>
      <c r="EC68" s="8" t="str">
        <f ca="1">OFFSET(Database!$F68,0,COLUMN(Database!DZ68)*2-12)</f>
        <v>n.r.</v>
      </c>
      <c r="ED68" s="8" t="str">
        <f ca="1">OFFSET(Database!$F68,0,COLUMN(Database!EA68)*2-12)</f>
        <v>n.r</v>
      </c>
      <c r="EE68" s="8" t="str">
        <f ca="1">OFFSET(Database!$F68,0,COLUMN(Database!EB68)*2-12)</f>
        <v>n.r.</v>
      </c>
      <c r="EF68" s="8" t="str">
        <f ca="1">OFFSET(Database!$F68,0,COLUMN(Database!EC68)*2-12)</f>
        <v>n.r.</v>
      </c>
      <c r="EG68" s="8" t="str">
        <f ca="1">OFFSET(Database!$F68,0,COLUMN(Database!ED68)*2-12)</f>
        <v>n.r.</v>
      </c>
      <c r="EH68" s="8" t="str">
        <f ca="1">OFFSET(Database!$F68,0,COLUMN(Database!EE68)*2-12)</f>
        <v>n.r.</v>
      </c>
      <c r="EI68" s="8" t="str">
        <f ca="1">OFFSET(Database!$F68,0,COLUMN(Database!EF68)*2-12)</f>
        <v>n.r.</v>
      </c>
      <c r="EJ68" s="8" t="str">
        <f ca="1">OFFSET(Database!$F68,0,COLUMN(Database!EG68)*2-12)</f>
        <v>n.r.</v>
      </c>
      <c r="EK68" s="8" t="str">
        <f ca="1">OFFSET(Database!$F68,0,COLUMN(Database!EH68)*2-12)</f>
        <v>n.r.</v>
      </c>
      <c r="EL68" s="8" t="str">
        <f ca="1">OFFSET(Database!$F68,0,COLUMN(Database!EI68)*2-12)</f>
        <v>n.r.</v>
      </c>
      <c r="EM68" s="8" t="str">
        <f ca="1">OFFSET(Database!$F68,0,COLUMN(Database!EJ68)*2-12)</f>
        <v>n.r.</v>
      </c>
      <c r="EN68" s="8" t="str">
        <f ca="1">OFFSET(Database!$F68,0,COLUMN(Database!EK68)*2-12)</f>
        <v>n.r.</v>
      </c>
      <c r="EO68" s="8" t="str">
        <f ca="1">OFFSET(Database!$F68,0,COLUMN(Database!EL68)*2-12)</f>
        <v>n.r.</v>
      </c>
      <c r="EP68" s="8" t="str">
        <f ca="1">OFFSET(Database!$F68,0,COLUMN(Database!EM68)*2-12)</f>
        <v>n.r.</v>
      </c>
      <c r="EQ68" s="8" t="str">
        <f ca="1">OFFSET(Database!$F68,0,COLUMN(Database!EN68)*2-12)</f>
        <v>n.r.</v>
      </c>
      <c r="ER68" s="8" t="str">
        <f ca="1">OFFSET(Database!$F68,0,COLUMN(Database!EO68)*2-12)</f>
        <v>n.r.</v>
      </c>
      <c r="ES68" s="8" t="str">
        <f ca="1">OFFSET(Database!$F68,0,COLUMN(Database!EP68)*2-12)</f>
        <v>n.r.</v>
      </c>
      <c r="ET68" s="8" t="str">
        <f ca="1">OFFSET(Database!$F68,0,COLUMN(Database!EQ68)*2-12)</f>
        <v>n.r.</v>
      </c>
      <c r="EU68" s="8" t="str">
        <f ca="1">OFFSET(Database!$F68,0,COLUMN(Database!ER68)*2-12)</f>
        <v>n.r.</v>
      </c>
      <c r="EV68" s="8" t="str">
        <f ca="1">OFFSET(Database!$F68,0,COLUMN(Database!ES68)*2-12)</f>
        <v>n.r.</v>
      </c>
      <c r="EW68" s="8" t="str">
        <f ca="1">OFFSET(Database!$F68,0,COLUMN(Database!ET68)*2-12)</f>
        <v>n.r.</v>
      </c>
      <c r="EX68" s="8" t="str">
        <f ca="1">OFFSET(Database!$F68,0,COLUMN(Database!EU68)*2-12)</f>
        <v>n.r.</v>
      </c>
      <c r="EY68" s="8" t="str">
        <f ca="1">OFFSET(Database!$F68,0,COLUMN(Database!EV68)*2-12)</f>
        <v>n.r.</v>
      </c>
      <c r="EZ68" s="8" t="str">
        <f ca="1">OFFSET(Database!$F68,0,COLUMN(Database!EW68)*2-12)</f>
        <v>n.r.</v>
      </c>
      <c r="FA68" s="8" t="str">
        <f ca="1">OFFSET(Database!$F68,0,COLUMN(Database!EX68)*2-12)</f>
        <v>n.r.</v>
      </c>
      <c r="FB68" s="8" t="str">
        <f ca="1">OFFSET(Database!$F68,0,COLUMN(Database!EY68)*2-12)</f>
        <v>n.r.</v>
      </c>
      <c r="FC68" s="8" t="str">
        <f ca="1">OFFSET(Database!$F68,0,COLUMN(Database!EZ68)*2-12)</f>
        <v>n.r.</v>
      </c>
      <c r="FD68" s="8" t="str">
        <f ca="1">OFFSET(Database!$F68,0,COLUMN(Database!FA68)*2-12)</f>
        <v>n.r.</v>
      </c>
      <c r="FE68" s="8" t="str">
        <f ca="1">OFFSET(Database!$F68,0,COLUMN(Database!FB68)*2-12)</f>
        <v>n.r.</v>
      </c>
      <c r="FF68" s="8" t="str">
        <f ca="1">OFFSET(Database!$F68,0,COLUMN(Database!FC68)*2-12)</f>
        <v>n.r.</v>
      </c>
      <c r="FG68" s="8" t="str">
        <f ca="1">OFFSET(Database!$F68,0,COLUMN(Database!FD68)*2-12)</f>
        <v>n.r.</v>
      </c>
      <c r="FH68" s="8" t="str">
        <f ca="1">OFFSET(Database!$F68,0,COLUMN(Database!FE68)*2-12)</f>
        <v>n.r.</v>
      </c>
      <c r="FI68" s="8" t="str">
        <f ca="1">OFFSET(Database!$F68,0,COLUMN(Database!FF68)*2-12)</f>
        <v>n.r.</v>
      </c>
      <c r="FJ68" s="8" t="str">
        <f ca="1">OFFSET(Database!$F68,0,COLUMN(Database!FG68)*2-12)</f>
        <v>n.r.</v>
      </c>
      <c r="FK68" s="8" t="str">
        <f ca="1">OFFSET(Database!$F68,0,COLUMN(Database!FH68)*2-12)</f>
        <v>n.r.</v>
      </c>
      <c r="FL68" s="8" t="str">
        <f ca="1">OFFSET(Database!$F68,0,COLUMN(Database!FI68)*2-12)</f>
        <v>n.r.</v>
      </c>
      <c r="FM68" s="8" t="str">
        <f ca="1">OFFSET(Database!$F68,0,COLUMN(Database!FJ68)*2-12)</f>
        <v>n.r.</v>
      </c>
      <c r="FN68" s="8" t="str">
        <f ca="1">OFFSET(Database!$F68,0,COLUMN(Database!FK68)*2-12)</f>
        <v>n.r.</v>
      </c>
      <c r="FO68" s="8" t="str">
        <f ca="1">OFFSET(Database!$F68,0,COLUMN(Database!FL68)*2-12)</f>
        <v>n.r.</v>
      </c>
      <c r="FP68" s="8" t="str">
        <f ca="1">OFFSET(Database!$F68,0,COLUMN(Database!FM68)*2-12)</f>
        <v>n.r.</v>
      </c>
      <c r="FQ68" s="8" t="str">
        <f ca="1">OFFSET(Database!$F68,0,COLUMN(Database!FN68)*2-12)</f>
        <v>n.r.</v>
      </c>
      <c r="FR68" s="8" t="str">
        <f ca="1">OFFSET(Database!$F68,0,COLUMN(Database!FO68)*2-12)</f>
        <v>n.r.</v>
      </c>
      <c r="FS68" s="8" t="str">
        <f ca="1">OFFSET(Database!$F68,0,COLUMN(Database!FP68)*2-12)</f>
        <v>n.r.</v>
      </c>
      <c r="FT68" s="8" t="str">
        <f ca="1">OFFSET(Database!$F68,0,COLUMN(Database!FQ68)*2-12)</f>
        <v>n.r.</v>
      </c>
      <c r="FU68" s="8" t="str">
        <f ca="1">OFFSET(Database!$F68,0,COLUMN(Database!FR68)*2-12)</f>
        <v>n.r.</v>
      </c>
      <c r="FV68" s="8" t="str">
        <f ca="1">OFFSET(Database!$F68,0,COLUMN(Database!FS68)*2-12)</f>
        <v>n.r.</v>
      </c>
      <c r="FW68" s="8" t="str">
        <f ca="1">OFFSET(Database!$F68,0,COLUMN(Database!FT68)*2-12)</f>
        <v>n.r.</v>
      </c>
      <c r="FX68" s="8" t="str">
        <f ca="1">OFFSET(Database!$F68,0,COLUMN(Database!FU68)*2-12)</f>
        <v>n.r.</v>
      </c>
      <c r="FY68" s="8" t="str">
        <f ca="1">OFFSET(Database!$F68,0,COLUMN(Database!FV68)*2-12)</f>
        <v>n.r.</v>
      </c>
      <c r="FZ68" s="8" t="str">
        <f ca="1">OFFSET(Database!$F68,0,COLUMN(Database!FW68)*2-12)</f>
        <v>n.r.</v>
      </c>
      <c r="GA68" s="8" t="str">
        <f ca="1">OFFSET(Database!$F68,0,COLUMN(Database!FX68)*2-12)</f>
        <v>n.r.</v>
      </c>
      <c r="GB68" s="8" t="str">
        <f ca="1">OFFSET(Database!$F68,0,COLUMN(Database!FY68)*2-12)</f>
        <v>n.r.</v>
      </c>
      <c r="GC68" s="8" t="str">
        <f ca="1">OFFSET(Database!$F68,0,COLUMN(Database!FZ68)*2-12)</f>
        <v>n.r.</v>
      </c>
      <c r="GD68" s="8" t="str">
        <f ca="1">OFFSET(Database!$F68,0,COLUMN(Database!GA68)*2-12)</f>
        <v>n.r.</v>
      </c>
      <c r="GE68" s="8" t="str">
        <f ca="1">OFFSET(Database!$F68,0,COLUMN(Database!GB68)*2-12)</f>
        <v>n.r.</v>
      </c>
      <c r="GF68" s="8" t="str">
        <f ca="1">OFFSET(Database!$F68,0,COLUMN(Database!GC68)*2-12)</f>
        <v>n.r.</v>
      </c>
      <c r="GG68" s="8" t="str">
        <f ca="1">OFFSET(Database!$F68,0,COLUMN(Database!GD68)*2-12)</f>
        <v>n.r.</v>
      </c>
      <c r="GH68" s="8" t="str">
        <f ca="1">OFFSET(Database!$F68,0,COLUMN(Database!GE68)*2-12)</f>
        <v>n.r.</v>
      </c>
      <c r="GI68" s="8" t="str">
        <f ca="1">OFFSET(Database!$F68,0,COLUMN(Database!GF68)*2-12)</f>
        <v>n.r.</v>
      </c>
      <c r="GJ68" s="8" t="str">
        <f ca="1">OFFSET(Database!$F68,0,COLUMN(Database!GG68)*2-12)</f>
        <v>n.r.</v>
      </c>
      <c r="GK68" s="8" t="str">
        <f ca="1">OFFSET(Database!$F68,0,COLUMN(Database!GH68)*2-12)</f>
        <v>n.r.</v>
      </c>
      <c r="GL68" s="8" t="str">
        <f ca="1">OFFSET(Database!$F68,0,COLUMN(Database!GI68)*2-12)</f>
        <v>n.r.</v>
      </c>
      <c r="GM68" s="8" t="str">
        <f ca="1">OFFSET(Database!$F68,0,COLUMN(Database!GJ68)*2-12)</f>
        <v>n.r.</v>
      </c>
      <c r="GN68" s="8" t="str">
        <f ca="1">OFFSET(Database!$F68,0,COLUMN(Database!GK68)*2-12)</f>
        <v>n.r.</v>
      </c>
      <c r="GO68" s="8" t="str">
        <f ca="1">OFFSET(Database!$F68,0,COLUMN(Database!GL68)*2-12)</f>
        <v>n.r.</v>
      </c>
      <c r="GP68" s="8" t="str">
        <f ca="1">OFFSET(Database!$F68,0,COLUMN(Database!GM68)*2-12)</f>
        <v>n.r.</v>
      </c>
    </row>
    <row r="69" spans="1:198" x14ac:dyDescent="0.2">
      <c r="A69" s="50" t="str">
        <f>Database!A69</f>
        <v>D-glutamic acid</v>
      </c>
      <c r="B69" s="1" t="s">
        <v>872</v>
      </c>
      <c r="C69" s="4" t="str">
        <f>Database!B69</f>
        <v>ɑ</v>
      </c>
      <c r="D69" s="4" t="str">
        <f>Database!C69</f>
        <v>D</v>
      </c>
      <c r="E69" s="74">
        <f>Database!D69</f>
        <v>71</v>
      </c>
      <c r="F69" s="1" t="s">
        <v>944</v>
      </c>
      <c r="G69" s="18">
        <v>23327</v>
      </c>
      <c r="H69" s="1">
        <f>Database!E69</f>
        <v>147.30000000000001</v>
      </c>
      <c r="I69" s="8" t="str">
        <f ca="1">OFFSET(Database!$F69,0,COLUMN(Database!F69)*2-12)</f>
        <v>tr</v>
      </c>
      <c r="J69" s="8">
        <f ca="1">OFFSET(Database!$F69,0,COLUMN(Database!G69)*2-12)</f>
        <v>1.6000000000000001E-3</v>
      </c>
      <c r="K69" s="8" t="str">
        <f ca="1">OFFSET(Database!$F69,0,COLUMN(Database!H69)*2-12)</f>
        <v>b.b.</v>
      </c>
      <c r="L69" s="8" t="str">
        <f ca="1">OFFSET(Database!$F69,0,COLUMN(Database!I69)*2-12)</f>
        <v>tr</v>
      </c>
      <c r="M69" s="8" t="str">
        <f ca="1">OFFSET(Database!$F69,0,COLUMN(Database!J69)*2-12)</f>
        <v>b.b.</v>
      </c>
      <c r="N69" s="8" t="str">
        <f ca="1">OFFSET(Database!$F69,0,COLUMN(Database!K69)*2-12)</f>
        <v>n.r.</v>
      </c>
      <c r="O69" s="8" t="str">
        <f ca="1">OFFSET(Database!$F69,0,COLUMN(Database!L69)*2-12)</f>
        <v>&lt;0.06</v>
      </c>
      <c r="P69" s="8">
        <f ca="1">OFFSET(Database!$F69,0,COLUMN(Database!M69)*2-12)</f>
        <v>0.31</v>
      </c>
      <c r="Q69" s="8">
        <f ca="1">OFFSET(Database!$F69,0,COLUMN(Database!N69)*2-12)</f>
        <v>50</v>
      </c>
      <c r="R69" s="8">
        <f ca="1">OFFSET(Database!$F69,0,COLUMN(Database!O69)*2-12)</f>
        <v>20.399999999999999</v>
      </c>
      <c r="S69" s="8" t="str">
        <f ca="1">OFFSET(Database!$F69,0,COLUMN(Database!P69)*2-12)</f>
        <v>n.r.</v>
      </c>
      <c r="T69" s="8">
        <f ca="1">OFFSET(Database!$F69,0,COLUMN(Database!Q69)*2-12)</f>
        <v>68.599999999999994</v>
      </c>
      <c r="U69" s="8">
        <f ca="1">OFFSET(Database!$F69,0,COLUMN(Database!R69)*2-12)</f>
        <v>23.9</v>
      </c>
      <c r="V69" s="8" t="str">
        <f ca="1">OFFSET(Database!$F69,0,COLUMN(Database!S69)*2-12)</f>
        <v>&lt;0.02</v>
      </c>
      <c r="W69" s="8" t="str">
        <f ca="1">OFFSET(Database!$F69,0,COLUMN(Database!T69)*2-12)</f>
        <v>&lt;0.01</v>
      </c>
      <c r="X69" s="8">
        <f ca="1">OFFSET(Database!$F69,0,COLUMN(Database!U69)*2-12)</f>
        <v>3.4147997284453493</v>
      </c>
      <c r="Y69" s="8">
        <f ca="1">OFFSET(Database!$F69,0,COLUMN(Database!V69)*2-12)</f>
        <v>1.03</v>
      </c>
      <c r="Z69" s="8">
        <f ca="1">OFFSET(Database!$F69,0,COLUMN(Database!W69)*2-12)</f>
        <v>2.7</v>
      </c>
      <c r="AA69" s="8">
        <f ca="1">OFFSET(Database!$F69,0,COLUMN(Database!X69)*2-12)</f>
        <v>3.6</v>
      </c>
      <c r="AB69" s="8">
        <f ca="1">OFFSET(Database!$F69,0,COLUMN(Database!Y69)*2-12)</f>
        <v>1.1676849966055667</v>
      </c>
      <c r="AC69" s="8">
        <f ca="1">OFFSET(Database!$F69,0,COLUMN(Database!Z69)*2-12)</f>
        <v>2.3285811269517991</v>
      </c>
      <c r="AD69" s="8">
        <f ca="1">OFFSET(Database!$F69,0,COLUMN(Database!AA69)*2-12)</f>
        <v>2.1520706042090971</v>
      </c>
      <c r="AE69" s="8">
        <f ca="1">OFFSET(Database!$F69,0,COLUMN(Database!AB69)*2-12)</f>
        <v>3.6252545824847249</v>
      </c>
      <c r="AF69" s="8">
        <f ca="1">OFFSET(Database!$F69,0,COLUMN(Database!AC69)*2-12)</f>
        <v>3.1</v>
      </c>
      <c r="AG69" s="8" t="str">
        <f ca="1">OFFSET(Database!$F69,0,COLUMN(Database!AD69)*2-12)</f>
        <v>&lt;0.01</v>
      </c>
      <c r="AH69" s="8">
        <f ca="1">OFFSET(Database!$F69,0,COLUMN(Database!AE69)*2-12)</f>
        <v>2</v>
      </c>
      <c r="AI69" s="8">
        <f ca="1">OFFSET(Database!$F69,0,COLUMN(Database!AF69)*2-12)</f>
        <v>0.2</v>
      </c>
      <c r="AJ69" s="8">
        <f ca="1">OFFSET(Database!$F69,0,COLUMN(Database!AG69)*2-12)</f>
        <v>0.46</v>
      </c>
      <c r="AK69" s="8">
        <f ca="1">OFFSET(Database!$F69,0,COLUMN(Database!AH69)*2-12)</f>
        <v>3.18</v>
      </c>
      <c r="AL69" s="8">
        <f ca="1">OFFSET(Database!$F69,0,COLUMN(Database!AI69)*2-12)</f>
        <v>5.6</v>
      </c>
      <c r="AM69" s="8">
        <f ca="1">OFFSET(Database!$F69,0,COLUMN(Database!AJ69)*2-12)</f>
        <v>2.2000000000000002</v>
      </c>
      <c r="AN69" s="8">
        <f ca="1">OFFSET(Database!$F69,0,COLUMN(Database!AK69)*2-12)</f>
        <v>15.1</v>
      </c>
      <c r="AO69" s="8">
        <f ca="1">OFFSET(Database!$F69,0,COLUMN(Database!AL69)*2-12)</f>
        <v>0.31907671418873046</v>
      </c>
      <c r="AP69" s="8">
        <f ca="1">OFFSET(Database!$F69,0,COLUMN(Database!AM69)*2-12)</f>
        <v>0.18</v>
      </c>
      <c r="AQ69" s="8">
        <f ca="1">OFFSET(Database!$F69,0,COLUMN(Database!AN69)*2-12)</f>
        <v>0.01</v>
      </c>
      <c r="AR69" s="8">
        <f ca="1">OFFSET(Database!$F69,0,COLUMN(Database!AO69)*2-12)</f>
        <v>0.01</v>
      </c>
      <c r="AS69" s="8" t="str">
        <f ca="1">OFFSET(Database!$F69,0,COLUMN(Database!AP69)*2-12)</f>
        <v>&lt;0.034</v>
      </c>
      <c r="AT69" s="8" t="str">
        <f ca="1">OFFSET(Database!$F69,0,COLUMN(Database!AQ69)*2-12)</f>
        <v>&lt;0.0007</v>
      </c>
      <c r="AU69" s="8">
        <f ca="1">OFFSET(Database!$F69,0,COLUMN(Database!AR69)*2-12)</f>
        <v>0.11133740665308892</v>
      </c>
      <c r="AV69" s="8">
        <f ca="1">OFFSET(Database!$F69,0,COLUMN(Database!AS69)*2-12)</f>
        <v>0.12219959266802444</v>
      </c>
      <c r="AW69" s="8">
        <f ca="1">OFFSET(Database!$F69,0,COLUMN(Database!AT69)*2-12)</f>
        <v>8.3503054989816694E-2</v>
      </c>
      <c r="AX69" s="8">
        <f ca="1">OFFSET(Database!$F69,0,COLUMN(Database!AU69)*2-12)</f>
        <v>2.3761031907671416E-2</v>
      </c>
      <c r="AY69" s="8">
        <f ca="1">OFFSET(Database!$F69,0,COLUMN(Database!AV69)*2-12)</f>
        <v>9.5044127630685669E-3</v>
      </c>
      <c r="AZ69" s="8">
        <f ca="1">OFFSET(Database!$F69,0,COLUMN(Database!AW69)*2-12)</f>
        <v>3.7338764426340799E-2</v>
      </c>
      <c r="BA69" s="8">
        <f ca="1">OFFSET(Database!$F69,0,COLUMN(Database!AX69)*2-12)</f>
        <v>3.5302104548540394E-2</v>
      </c>
      <c r="BB69" s="8">
        <f ca="1">OFFSET(Database!$F69,0,COLUMN(Database!AY69)*2-12)</f>
        <v>6.1099796334012219E-3</v>
      </c>
      <c r="BC69" s="8" t="str">
        <f ca="1">OFFSET(Database!$F69,0,COLUMN(Database!AZ69)*2-12)</f>
        <v>&lt;0.013</v>
      </c>
      <c r="BD69" s="8">
        <f ca="1">OFFSET(Database!$F69,0,COLUMN(Database!BA69)*2-12)</f>
        <v>3.9850644942294635</v>
      </c>
      <c r="BE69" s="8" t="str">
        <f ca="1">OFFSET(Database!$F69,0,COLUMN(Database!BB69)*2-12)</f>
        <v>&lt;0.0007</v>
      </c>
      <c r="BF69" s="8">
        <f ca="1">OFFSET(Database!$F69,0,COLUMN(Database!BC69)*2-12)</f>
        <v>1.357773251866938E-2</v>
      </c>
      <c r="BG69" s="8">
        <f ca="1">OFFSET(Database!$F69,0,COLUMN(Database!BD69)*2-12)</f>
        <v>3.6659877800407331E-2</v>
      </c>
      <c r="BH69" s="8">
        <f ca="1">OFFSET(Database!$F69,0,COLUMN(Database!BE69)*2-12)</f>
        <v>5.5668703326544458E-2</v>
      </c>
      <c r="BI69" s="8">
        <f ca="1">OFFSET(Database!$F69,0,COLUMN(Database!BF69)*2-12)</f>
        <v>0.32450780719619821</v>
      </c>
      <c r="BJ69" s="8">
        <f ca="1">OFFSET(Database!$F69,0,COLUMN(Database!BG69)*2-12)</f>
        <v>7.01968771215207</v>
      </c>
      <c r="BK69" s="8">
        <f ca="1">OFFSET(Database!$F69,0,COLUMN(Database!BH69)*2-12)</f>
        <v>2.5322471147318395</v>
      </c>
      <c r="BL69" s="8">
        <f ca="1">OFFSET(Database!$F69,0,COLUMN(Database!BI69)*2-12)</f>
        <v>3.4012219959266798</v>
      </c>
      <c r="BM69" s="8">
        <f ca="1">OFFSET(Database!$F69,0,COLUMN(Database!BJ69)*2-12)</f>
        <v>6.7888662593346902E-2</v>
      </c>
      <c r="BN69" s="8">
        <f ca="1">OFFSET(Database!$F69,0,COLUMN(Database!BK69)*2-12)</f>
        <v>0.285132382892057</v>
      </c>
      <c r="BO69" s="8">
        <f ca="1">OFFSET(Database!$F69,0,COLUMN(Database!BL69)*2-12)</f>
        <v>9.5044127630685663E-2</v>
      </c>
      <c r="BP69" s="8">
        <f ca="1">OFFSET(Database!$F69,0,COLUMN(Database!BM69)*2-12)</f>
        <v>0.78071961982348936</v>
      </c>
      <c r="BQ69" s="8" t="str">
        <f ca="1">OFFSET(Database!$F69,0,COLUMN(Database!BN69)*2-12)</f>
        <v>&lt;0.0068</v>
      </c>
      <c r="BR69" s="8" t="str">
        <f ca="1">OFFSET(Database!$F69,0,COLUMN(Database!BO69)*2-12)</f>
        <v>&lt;0.0068</v>
      </c>
      <c r="BS69" s="8">
        <f ca="1">OFFSET(Database!$F69,0,COLUMN(Database!BP69)*2-12)</f>
        <v>3.3944331296673451E-2</v>
      </c>
      <c r="BT69" s="8">
        <f ca="1">OFFSET(Database!$F69,0,COLUMN(Database!BQ69)*2-12)</f>
        <v>1.1541072640868974E-2</v>
      </c>
      <c r="BU69" s="8">
        <f ca="1">OFFSET(Database!$F69,0,COLUMN(Database!BR69)*2-12)</f>
        <v>1.425661914460285E-2</v>
      </c>
      <c r="BV69" s="8">
        <f ca="1">OFFSET(Database!$F69,0,COLUMN(Database!BS69)*2-12)</f>
        <v>1.3577732518669382E-3</v>
      </c>
      <c r="BW69" s="8" t="str">
        <f ca="1">OFFSET(Database!$F69,0,COLUMN(Database!BT69)*2-12)</f>
        <v>&lt;0.0001</v>
      </c>
      <c r="BX69" s="8" t="str">
        <f ca="1">OFFSET(Database!$F69,0,COLUMN(Database!BU69)*2-12)</f>
        <v>&lt;0.0001</v>
      </c>
      <c r="BY69" s="8" t="str">
        <f ca="1">OFFSET(Database!$F69,0,COLUMN(Database!BV69)*2-12)</f>
        <v>&lt;0.0001</v>
      </c>
      <c r="BZ69" s="8">
        <f ca="1">OFFSET(Database!$F69,0,COLUMN(Database!BW69)*2-12)</f>
        <v>3.4229463679565511</v>
      </c>
      <c r="CA69" s="8">
        <f ca="1">OFFSET(Database!$F69,0,COLUMN(Database!BX69)*2-12)</f>
        <v>0.53360488798370664</v>
      </c>
      <c r="CB69" s="8" t="str">
        <f ca="1">OFFSET(Database!$F69,0,COLUMN(Database!BY69)*2-12)</f>
        <v>&lt;0.0007</v>
      </c>
      <c r="CC69" s="8" t="str">
        <f ca="1">OFFSET(Database!$F69,0,COLUMN(Database!BZ69)*2-12)</f>
        <v>&lt;0.0034</v>
      </c>
      <c r="CD69" s="8" t="str">
        <f ca="1">OFFSET(Database!$F69,0,COLUMN(Database!CA69)*2-12)</f>
        <v>n.r.</v>
      </c>
      <c r="CE69" s="8" t="str">
        <f ca="1">OFFSET(Database!$F69,0,COLUMN(Database!CB69)*2-12)</f>
        <v>n.r.</v>
      </c>
      <c r="CF69" s="8" t="str">
        <f ca="1">OFFSET(Database!$F69,0,COLUMN(Database!CC69)*2-12)</f>
        <v>n.r.</v>
      </c>
      <c r="CG69" s="8">
        <f ca="1">OFFSET(Database!$F69,0,COLUMN(Database!CD69)*2-12)</f>
        <v>8.8255261371350986E-3</v>
      </c>
      <c r="CH69" s="8" t="str">
        <f ca="1">OFFSET(Database!$F69,0,COLUMN(Database!CE69)*2-12)</f>
        <v>&lt;0.0068</v>
      </c>
      <c r="CI69" s="8" t="str">
        <f ca="1">OFFSET(Database!$F69,0,COLUMN(Database!CF69)*2-12)</f>
        <v>n.r.</v>
      </c>
      <c r="CJ69" s="8" t="str">
        <f ca="1">OFFSET(Database!$F69,0,COLUMN(Database!CG69)*2-12)</f>
        <v>n.r.</v>
      </c>
      <c r="CK69" s="8" t="str">
        <f ca="1">OFFSET(Database!$F69,0,COLUMN(Database!CH69)*2-12)</f>
        <v>n.r.</v>
      </c>
      <c r="CL69" s="8">
        <f ca="1">OFFSET(Database!$F69,0,COLUMN(Database!CI69)*2-12)</f>
        <v>9.5044127630685663E-2</v>
      </c>
      <c r="CM69" s="8" t="str">
        <f ca="1">OFFSET(Database!$F69,0,COLUMN(Database!CJ69)*2-12)</f>
        <v>n.r.</v>
      </c>
      <c r="CN69" s="8" t="str">
        <f ca="1">OFFSET(Database!$F69,0,COLUMN(Database!CK69)*2-12)</f>
        <v>n.r.</v>
      </c>
      <c r="CO69" s="8">
        <f ca="1">OFFSET(Database!$F69,0,COLUMN(Database!CL69)*2-12)</f>
        <v>5.363204344874406E-2</v>
      </c>
      <c r="CP69" s="8">
        <f ca="1">OFFSET(Database!$F69,0,COLUMN(Database!CM69)*2-12)</f>
        <v>0.98</v>
      </c>
      <c r="CQ69" s="8" t="str">
        <f ca="1">OFFSET(Database!$F69,0,COLUMN(Database!CN69)*2-12)</f>
        <v>&lt;0.1</v>
      </c>
      <c r="CR69" s="8">
        <f ca="1">OFFSET(Database!$F69,0,COLUMN(Database!CO69)*2-12)</f>
        <v>0.26</v>
      </c>
      <c r="CS69" s="8">
        <f ca="1">OFFSET(Database!$F69,0,COLUMN(Database!CP69)*2-12)</f>
        <v>0.18</v>
      </c>
      <c r="CT69" s="8" t="str">
        <f ca="1">OFFSET(Database!$F69,0,COLUMN(Database!CQ69)*2-12)</f>
        <v>&lt;0.1</v>
      </c>
      <c r="CU69" s="8" t="str">
        <f ca="1">OFFSET(Database!$F69,0,COLUMN(Database!CR69)*2-12)</f>
        <v>&lt;0.1</v>
      </c>
      <c r="CV69" s="8" t="str">
        <f ca="1">OFFSET(Database!$F69,0,COLUMN(Database!CS69)*2-12)</f>
        <v>&lt;0.1</v>
      </c>
      <c r="CW69" s="8" t="str">
        <f ca="1">OFFSET(Database!$F69,0,COLUMN(Database!CT69)*2-12)</f>
        <v>&lt;0.1</v>
      </c>
      <c r="CX69" s="8" t="str">
        <f ca="1">OFFSET(Database!$F69,0,COLUMN(Database!CU69)*2-12)</f>
        <v>&lt;0.1</v>
      </c>
      <c r="CY69" s="8" t="str">
        <f ca="1">OFFSET(Database!$F69,0,COLUMN(Database!CV69)*2-12)</f>
        <v>&lt;0.1</v>
      </c>
      <c r="CZ69" s="8" t="str">
        <f ca="1">OFFSET(Database!$F69,0,COLUMN(Database!CW69)*2-12)</f>
        <v>&lt;0.1</v>
      </c>
      <c r="DA69" s="8">
        <f ca="1">OFFSET(Database!$F69,0,COLUMN(Database!CX69)*2-12)</f>
        <v>0.94</v>
      </c>
      <c r="DB69" s="8" t="str">
        <f ca="1">OFFSET(Database!$F69,0,COLUMN(Database!CY69)*2-12)</f>
        <v>&lt;0.03</v>
      </c>
      <c r="DC69" s="8" t="str">
        <f ca="1">OFFSET(Database!$F69,0,COLUMN(Database!CZ69)*2-12)</f>
        <v>&lt;0.03</v>
      </c>
      <c r="DD69" s="8">
        <f ca="1">OFFSET(Database!$F69,0,COLUMN(Database!DA69)*2-12)</f>
        <v>0.79</v>
      </c>
      <c r="DE69" s="8" t="str">
        <f ca="1">OFFSET(Database!$F69,0,COLUMN(Database!DB69)*2-12)</f>
        <v>&lt;0.0068</v>
      </c>
      <c r="DF69" s="8" t="str">
        <f ca="1">OFFSET(Database!$F69,0,COLUMN(Database!DC69)*2-12)</f>
        <v>n.r.</v>
      </c>
      <c r="DG69" s="8" t="str">
        <f ca="1">OFFSET(Database!$F69,0,COLUMN(Database!DD69)*2-12)</f>
        <v>n.r.</v>
      </c>
      <c r="DH69" s="8" t="str">
        <f ca="1">OFFSET(Database!$F69,0,COLUMN(Database!DE69)*2-12)</f>
        <v>n.r.</v>
      </c>
      <c r="DI69" s="8" t="str">
        <f ca="1">OFFSET(Database!$F69,0,COLUMN(Database!DF69)*2-12)</f>
        <v>n.r.</v>
      </c>
      <c r="DJ69" s="8" t="str">
        <f ca="1">OFFSET(Database!$F69,0,COLUMN(Database!DG69)*2-12)</f>
        <v>n.r.</v>
      </c>
      <c r="DK69" s="8" t="str">
        <f ca="1">OFFSET(Database!$F69,0,COLUMN(Database!DH69)*2-12)</f>
        <v>n.r.</v>
      </c>
      <c r="DL69" s="8" t="str">
        <f ca="1">OFFSET(Database!$F69,0,COLUMN(Database!DI69)*2-12)</f>
        <v>n.r.</v>
      </c>
      <c r="DM69" s="8" t="str">
        <f ca="1">OFFSET(Database!$F69,0,COLUMN(Database!DJ69)*2-12)</f>
        <v>n.r.</v>
      </c>
      <c r="DN69" s="8">
        <f ca="1">OFFSET(Database!$F69,0,COLUMN(Database!DK69)*2-12)</f>
        <v>56</v>
      </c>
      <c r="DO69" s="8">
        <f ca="1">OFFSET(Database!$F69,0,COLUMN(Database!DL69)*2-12)</f>
        <v>76</v>
      </c>
      <c r="DP69" s="8">
        <f ca="1">OFFSET(Database!$F69,0,COLUMN(Database!DM69)*2-12)</f>
        <v>20</v>
      </c>
      <c r="DQ69" s="8">
        <f ca="1">OFFSET(Database!$F69,0,COLUMN(Database!DN69)*2-12)</f>
        <v>10</v>
      </c>
      <c r="DR69" s="8" t="str">
        <f ca="1">OFFSET(Database!$F69,0,COLUMN(Database!DO69)*2-12)</f>
        <v>b.d.</v>
      </c>
      <c r="DS69" s="8" t="str">
        <f ca="1">OFFSET(Database!$F69,0,COLUMN(Database!DP69)*2-12)</f>
        <v>b.d.</v>
      </c>
      <c r="DT69" s="8">
        <f ca="1">OFFSET(Database!$F69,0,COLUMN(Database!DQ69)*2-12)</f>
        <v>24</v>
      </c>
      <c r="DU69" s="8">
        <f ca="1">OFFSET(Database!$F69,0,COLUMN(Database!DR69)*2-12)</f>
        <v>0.40660000000000002</v>
      </c>
      <c r="DV69" s="8" t="str">
        <f ca="1">OFFSET(Database!$F69,0,COLUMN(Database!DS69)*2-12)</f>
        <v>b.b.</v>
      </c>
      <c r="DW69" s="8" t="str">
        <f ca="1">OFFSET(Database!$F69,0,COLUMN(Database!DT69)*2-12)</f>
        <v>n.r.</v>
      </c>
      <c r="DX69" s="8" t="str">
        <f ca="1">OFFSET(Database!$F69,0,COLUMN(Database!DU69)*2-12)</f>
        <v>n.r.</v>
      </c>
      <c r="DY69" s="8" t="str">
        <f ca="1">OFFSET(Database!$F69,0,COLUMN(Database!DV69)*2-12)</f>
        <v>n.r.</v>
      </c>
      <c r="DZ69" s="8" t="str">
        <f ca="1">OFFSET(Database!$F69,0,COLUMN(Database!DW69)*2-12)</f>
        <v>n.r.</v>
      </c>
      <c r="EA69" s="8" t="str">
        <f ca="1">OFFSET(Database!$F69,0,COLUMN(Database!DX69)*2-12)</f>
        <v>n.r.</v>
      </c>
      <c r="EB69" s="8" t="str">
        <f ca="1">OFFSET(Database!$F69,0,COLUMN(Database!DY69)*2-12)</f>
        <v>n.r.</v>
      </c>
      <c r="EC69" s="8" t="str">
        <f ca="1">OFFSET(Database!$F69,0,COLUMN(Database!DZ69)*2-12)</f>
        <v>&lt;1.1</v>
      </c>
      <c r="ED69" s="8" t="str">
        <f ca="1">OFFSET(Database!$F69,0,COLUMN(Database!EA69)*2-12)</f>
        <v>n.r</v>
      </c>
      <c r="EE69" s="8" t="str">
        <f ca="1">OFFSET(Database!$F69,0,COLUMN(Database!EB69)*2-12)</f>
        <v>n.r</v>
      </c>
      <c r="EF69" s="8" t="str">
        <f ca="1">OFFSET(Database!$F69,0,COLUMN(Database!EC69)*2-12)</f>
        <v>n.r</v>
      </c>
      <c r="EG69" s="8" t="str">
        <f ca="1">OFFSET(Database!$F69,0,COLUMN(Database!ED69)*2-12)</f>
        <v>n.r</v>
      </c>
      <c r="EH69" s="8" t="str">
        <f ca="1">OFFSET(Database!$F69,0,COLUMN(Database!EE69)*2-12)</f>
        <v>n.r</v>
      </c>
      <c r="EI69" s="8" t="str">
        <f ca="1">OFFSET(Database!$F69,0,COLUMN(Database!EF69)*2-12)</f>
        <v>n.r</v>
      </c>
      <c r="EJ69" s="8" t="str">
        <f ca="1">OFFSET(Database!$F69,0,COLUMN(Database!EG69)*2-12)</f>
        <v>n.r</v>
      </c>
      <c r="EK69" s="8" t="str">
        <f ca="1">OFFSET(Database!$F69,0,COLUMN(Database!EH69)*2-12)</f>
        <v>n.r</v>
      </c>
      <c r="EL69" s="8" t="str">
        <f ca="1">OFFSET(Database!$F69,0,COLUMN(Database!EI69)*2-12)</f>
        <v>n.r</v>
      </c>
      <c r="EM69" s="8" t="str">
        <f ca="1">OFFSET(Database!$F69,0,COLUMN(Database!EJ69)*2-12)</f>
        <v>n.r</v>
      </c>
      <c r="EN69" s="8" t="str">
        <f ca="1">OFFSET(Database!$F69,0,COLUMN(Database!EK69)*2-12)</f>
        <v>n.r</v>
      </c>
      <c r="EO69" s="8" t="str">
        <f ca="1">OFFSET(Database!$F69,0,COLUMN(Database!EL69)*2-12)</f>
        <v>n.r</v>
      </c>
      <c r="EP69" s="8" t="str">
        <f ca="1">OFFSET(Database!$F69,0,COLUMN(Database!EM69)*2-12)</f>
        <v>n.r</v>
      </c>
      <c r="EQ69" s="8" t="str">
        <f ca="1">OFFSET(Database!$F69,0,COLUMN(Database!EN69)*2-12)</f>
        <v>n.r</v>
      </c>
      <c r="ER69" s="8">
        <f ca="1">OFFSET(Database!$F69,0,COLUMN(Database!EO69)*2-12)</f>
        <v>30.717356640255975</v>
      </c>
      <c r="ES69" s="8">
        <f ca="1">OFFSET(Database!$F69,0,COLUMN(Database!EP69)*2-12)</f>
        <v>20.735869263854102</v>
      </c>
      <c r="ET69" s="8">
        <f ca="1">OFFSET(Database!$F69,0,COLUMN(Database!EQ69)*2-12)</f>
        <v>46.926790040038121</v>
      </c>
      <c r="EU69" s="8">
        <f ca="1">OFFSET(Database!$F69,0,COLUMN(Database!ER69)*2-12)</f>
        <v>19.741821209978664</v>
      </c>
      <c r="EV69" s="8">
        <f ca="1">OFFSET(Database!$F69,0,COLUMN(Database!ES69)*2-12)</f>
        <v>9.9274837436013144</v>
      </c>
      <c r="EW69" s="8" t="str">
        <f ca="1">OFFSET(Database!$F69,0,COLUMN(Database!ET69)*2-12)</f>
        <v>n.r.</v>
      </c>
      <c r="EX69" s="8" t="str">
        <f ca="1">OFFSET(Database!$F69,0,COLUMN(Database!EU69)*2-12)</f>
        <v>n.r.</v>
      </c>
      <c r="EY69" s="8" t="str">
        <f ca="1">OFFSET(Database!$F69,0,COLUMN(Database!EV69)*2-12)</f>
        <v>n.r.</v>
      </c>
      <c r="EZ69" s="8" t="str">
        <f ca="1">OFFSET(Database!$F69,0,COLUMN(Database!EW69)*2-12)</f>
        <v>n.r.</v>
      </c>
      <c r="FA69" s="8" t="str">
        <f ca="1">OFFSET(Database!$F69,0,COLUMN(Database!EX69)*2-12)</f>
        <v>n.r.</v>
      </c>
      <c r="FB69" s="8" t="str">
        <f ca="1">OFFSET(Database!$F69,0,COLUMN(Database!EY69)*2-12)</f>
        <v>n.r.</v>
      </c>
      <c r="FC69" s="8" t="str">
        <f ca="1">OFFSET(Database!$F69,0,COLUMN(Database!EZ69)*2-12)</f>
        <v>n.r.</v>
      </c>
      <c r="FD69" s="8" t="str">
        <f ca="1">OFFSET(Database!$F69,0,COLUMN(Database!FA69)*2-12)</f>
        <v>tr</v>
      </c>
      <c r="FE69" s="8" t="str">
        <f ca="1">OFFSET(Database!$F69,0,COLUMN(Database!FB69)*2-12)</f>
        <v>tr</v>
      </c>
      <c r="FF69" s="8" t="str">
        <f ca="1">OFFSET(Database!$F69,0,COLUMN(Database!FC69)*2-12)</f>
        <v>tr</v>
      </c>
      <c r="FG69" s="8" t="str">
        <f ca="1">OFFSET(Database!$F69,0,COLUMN(Database!FD69)*2-12)</f>
        <v>n.r.</v>
      </c>
      <c r="FH69" s="8" t="str">
        <f ca="1">OFFSET(Database!$F69,0,COLUMN(Database!FE69)*2-12)</f>
        <v>n.r.</v>
      </c>
      <c r="FI69" s="8" t="str">
        <f ca="1">OFFSET(Database!$F69,0,COLUMN(Database!FF69)*2-12)</f>
        <v>n.r.</v>
      </c>
      <c r="FJ69" s="8" t="str">
        <f ca="1">OFFSET(Database!$F69,0,COLUMN(Database!FG69)*2-12)</f>
        <v>n.r.</v>
      </c>
      <c r="FK69" s="8" t="str">
        <f ca="1">OFFSET(Database!$F69,0,COLUMN(Database!FH69)*2-12)</f>
        <v>n.r.</v>
      </c>
      <c r="FL69" s="8" t="str">
        <f ca="1">OFFSET(Database!$F69,0,COLUMN(Database!FI69)*2-12)</f>
        <v>n.r.</v>
      </c>
      <c r="FM69" s="8" t="str">
        <f ca="1">OFFSET(Database!$F69,0,COLUMN(Database!FJ69)*2-12)</f>
        <v>n.r.</v>
      </c>
      <c r="FN69" s="8" t="str">
        <f ca="1">OFFSET(Database!$F69,0,COLUMN(Database!FK69)*2-12)</f>
        <v>n.r.</v>
      </c>
      <c r="FO69" s="8" t="str">
        <f ca="1">OFFSET(Database!$F69,0,COLUMN(Database!FL69)*2-12)</f>
        <v>n.r.</v>
      </c>
      <c r="FP69" s="8" t="str">
        <f ca="1">OFFSET(Database!$F69,0,COLUMN(Database!FM69)*2-12)</f>
        <v>n.r.</v>
      </c>
      <c r="FQ69" s="8" t="str">
        <f ca="1">OFFSET(Database!$F69,0,COLUMN(Database!FN69)*2-12)</f>
        <v>n.r.</v>
      </c>
      <c r="FR69" s="8" t="str">
        <f ca="1">OFFSET(Database!$F69,0,COLUMN(Database!FO69)*2-12)</f>
        <v>n.r.</v>
      </c>
      <c r="FS69" s="8" t="str">
        <f ca="1">OFFSET(Database!$F69,0,COLUMN(Database!FP69)*2-12)</f>
        <v>n.r.</v>
      </c>
      <c r="FT69" s="8" t="str">
        <f ca="1">OFFSET(Database!$F69,0,COLUMN(Database!FQ69)*2-12)</f>
        <v>n.r.</v>
      </c>
      <c r="FU69" s="8" t="str">
        <f ca="1">OFFSET(Database!$F69,0,COLUMN(Database!FR69)*2-12)</f>
        <v>n.r.</v>
      </c>
      <c r="FV69" s="8" t="str">
        <f ca="1">OFFSET(Database!$F69,0,COLUMN(Database!FS69)*2-12)</f>
        <v>n.r.</v>
      </c>
      <c r="FW69" s="8" t="str">
        <f ca="1">OFFSET(Database!$F69,0,COLUMN(Database!FT69)*2-12)</f>
        <v>n.r.</v>
      </c>
      <c r="FX69" s="8" t="str">
        <f ca="1">OFFSET(Database!$F69,0,COLUMN(Database!FU69)*2-12)</f>
        <v>n.r.</v>
      </c>
      <c r="FY69" s="8" t="str">
        <f ca="1">OFFSET(Database!$F69,0,COLUMN(Database!FV69)*2-12)</f>
        <v>n.r.</v>
      </c>
      <c r="FZ69" s="8" t="str">
        <f ca="1">OFFSET(Database!$F69,0,COLUMN(Database!FW69)*2-12)</f>
        <v>n.r.</v>
      </c>
      <c r="GA69" s="8" t="str">
        <f ca="1">OFFSET(Database!$F69,0,COLUMN(Database!FX69)*2-12)</f>
        <v>n.r.</v>
      </c>
      <c r="GB69" s="8" t="str">
        <f ca="1">OFFSET(Database!$F69,0,COLUMN(Database!FY69)*2-12)</f>
        <v>n.r.</v>
      </c>
      <c r="GC69" s="8" t="str">
        <f ca="1">OFFSET(Database!$F69,0,COLUMN(Database!FZ69)*2-12)</f>
        <v>n.r.</v>
      </c>
      <c r="GD69" s="8" t="str">
        <f ca="1">OFFSET(Database!$F69,0,COLUMN(Database!GA69)*2-12)</f>
        <v>n.r.</v>
      </c>
      <c r="GE69" s="8" t="str">
        <f ca="1">OFFSET(Database!$F69,0,COLUMN(Database!GB69)*2-12)</f>
        <v>n.r.</v>
      </c>
      <c r="GF69" s="8" t="str">
        <f ca="1">OFFSET(Database!$F69,0,COLUMN(Database!GC69)*2-12)</f>
        <v>n.r.</v>
      </c>
      <c r="GG69" s="8" t="str">
        <f ca="1">OFFSET(Database!$F69,0,COLUMN(Database!GD69)*2-12)</f>
        <v>n.r.</v>
      </c>
      <c r="GH69" s="8" t="str">
        <f ca="1">OFFSET(Database!$F69,0,COLUMN(Database!GE69)*2-12)</f>
        <v>n.r.</v>
      </c>
      <c r="GI69" s="8" t="str">
        <f ca="1">OFFSET(Database!$F69,0,COLUMN(Database!GF69)*2-12)</f>
        <v>n.r.</v>
      </c>
      <c r="GJ69" s="8" t="str">
        <f ca="1">OFFSET(Database!$F69,0,COLUMN(Database!GG69)*2-12)</f>
        <v>n.r.</v>
      </c>
      <c r="GK69" s="8" t="str">
        <f ca="1">OFFSET(Database!$F69,0,COLUMN(Database!GH69)*2-12)</f>
        <v>n.r.</v>
      </c>
      <c r="GL69" s="8" t="str">
        <f ca="1">OFFSET(Database!$F69,0,COLUMN(Database!GI69)*2-12)</f>
        <v>n.r.</v>
      </c>
      <c r="GM69" s="8" t="str">
        <f ca="1">OFFSET(Database!$F69,0,COLUMN(Database!GJ69)*2-12)</f>
        <v>n.r.</v>
      </c>
      <c r="GN69" s="8" t="str">
        <f ca="1">OFFSET(Database!$F69,0,COLUMN(Database!GK69)*2-12)</f>
        <v>n.r.</v>
      </c>
      <c r="GO69" s="8" t="str">
        <f ca="1">OFFSET(Database!$F69,0,COLUMN(Database!GL69)*2-12)</f>
        <v>n.d.</v>
      </c>
      <c r="GP69" s="8" t="str">
        <f ca="1">OFFSET(Database!$F69,0,COLUMN(Database!GM69)*2-12)</f>
        <v>n.d.</v>
      </c>
    </row>
    <row r="70" spans="1:198" x14ac:dyDescent="0.2">
      <c r="A70" s="50" t="str">
        <f>Database!A70</f>
        <v>L-glutamic acid</v>
      </c>
      <c r="B70" s="1" t="s">
        <v>872</v>
      </c>
      <c r="C70" s="4" t="str">
        <f>Database!B70</f>
        <v>ɑ</v>
      </c>
      <c r="D70" s="4" t="str">
        <f>Database!C70</f>
        <v>L</v>
      </c>
      <c r="E70" s="74">
        <f>Database!D70</f>
        <v>89</v>
      </c>
      <c r="F70" s="1" t="s">
        <v>945</v>
      </c>
      <c r="G70" s="18">
        <v>33032</v>
      </c>
      <c r="H70" s="1">
        <f>Database!E70</f>
        <v>147.30000000000001</v>
      </c>
      <c r="I70" s="8" t="str">
        <f ca="1">OFFSET(Database!$F70,0,COLUMN(Database!F70)*2-12)</f>
        <v>b.b.</v>
      </c>
      <c r="J70" s="8">
        <f ca="1">OFFSET(Database!$F70,0,COLUMN(Database!G70)*2-12)</f>
        <v>1.5599999999999999E-2</v>
      </c>
      <c r="K70" s="8">
        <f ca="1">OFFSET(Database!$F70,0,COLUMN(Database!H70)*2-12)</f>
        <v>5.1999999999999998E-3</v>
      </c>
      <c r="L70" s="8">
        <f ca="1">OFFSET(Database!$F70,0,COLUMN(Database!I70)*2-12)</f>
        <v>1.2999999999999999E-3</v>
      </c>
      <c r="M70" s="8" t="str">
        <f ca="1">OFFSET(Database!$F70,0,COLUMN(Database!J70)*2-12)</f>
        <v>b.b.</v>
      </c>
      <c r="N70" s="8" t="str">
        <f ca="1">OFFSET(Database!$F70,0,COLUMN(Database!K70)*2-12)</f>
        <v>n.r.</v>
      </c>
      <c r="O70" s="8" t="str">
        <f ca="1">OFFSET(Database!$F70,0,COLUMN(Database!L70)*2-12)</f>
        <v>&lt;0.01</v>
      </c>
      <c r="P70" s="8">
        <f ca="1">OFFSET(Database!$F70,0,COLUMN(Database!M70)*2-12)</f>
        <v>0.25</v>
      </c>
      <c r="Q70" s="8">
        <f ca="1">OFFSET(Database!$F70,0,COLUMN(Database!N70)*2-12)</f>
        <v>46.3</v>
      </c>
      <c r="R70" s="8">
        <f ca="1">OFFSET(Database!$F70,0,COLUMN(Database!O70)*2-12)</f>
        <v>24.9</v>
      </c>
      <c r="S70" s="8" t="str">
        <f ca="1">OFFSET(Database!$F70,0,COLUMN(Database!P70)*2-12)</f>
        <v>n.r.</v>
      </c>
      <c r="T70" s="8">
        <f ca="1">OFFSET(Database!$F70,0,COLUMN(Database!Q70)*2-12)</f>
        <v>69.2</v>
      </c>
      <c r="U70" s="8">
        <f ca="1">OFFSET(Database!$F70,0,COLUMN(Database!R70)*2-12)</f>
        <v>23.4</v>
      </c>
      <c r="V70" s="8" t="str">
        <f ca="1">OFFSET(Database!$F70,0,COLUMN(Database!S70)*2-12)</f>
        <v>&lt;0.02</v>
      </c>
      <c r="W70" s="8" t="str">
        <f ca="1">OFFSET(Database!$F70,0,COLUMN(Database!T70)*2-12)</f>
        <v>&lt;0.03</v>
      </c>
      <c r="X70" s="8">
        <f ca="1">OFFSET(Database!$F70,0,COLUMN(Database!U70)*2-12)</f>
        <v>5.5600814663951112</v>
      </c>
      <c r="Y70" s="8">
        <f ca="1">OFFSET(Database!$F70,0,COLUMN(Database!V70)*2-12)</f>
        <v>6.3</v>
      </c>
      <c r="Z70" s="8">
        <f ca="1">OFFSET(Database!$F70,0,COLUMN(Database!W70)*2-12)</f>
        <v>7.6</v>
      </c>
      <c r="AA70" s="8">
        <f ca="1">OFFSET(Database!$F70,0,COLUMN(Database!X70)*2-12)</f>
        <v>4.7</v>
      </c>
      <c r="AB70" s="8">
        <f ca="1">OFFSET(Database!$F70,0,COLUMN(Database!Y70)*2-12)</f>
        <v>2.8920570264765781</v>
      </c>
      <c r="AC70" s="8">
        <f ca="1">OFFSET(Database!$F70,0,COLUMN(Database!Z70)*2-12)</f>
        <v>2.4236252545824843</v>
      </c>
      <c r="AD70" s="8">
        <f ca="1">OFFSET(Database!$F70,0,COLUMN(Database!AA70)*2-12)</f>
        <v>2.1452817379497624</v>
      </c>
      <c r="AE70" s="8">
        <f ca="1">OFFSET(Database!$F70,0,COLUMN(Database!AB70)*2-12)</f>
        <v>3.747454175152749</v>
      </c>
      <c r="AF70" s="8">
        <f ca="1">OFFSET(Database!$F70,0,COLUMN(Database!AC70)*2-12)</f>
        <v>8.4</v>
      </c>
      <c r="AG70" s="8" t="str">
        <f ca="1">OFFSET(Database!$F70,0,COLUMN(Database!AD70)*2-12)</f>
        <v>&lt;0.01</v>
      </c>
      <c r="AH70" s="8">
        <f ca="1">OFFSET(Database!$F70,0,COLUMN(Database!AE70)*2-12)</f>
        <v>21.9</v>
      </c>
      <c r="AI70" s="8">
        <f ca="1">OFFSET(Database!$F70,0,COLUMN(Database!AF70)*2-12)</f>
        <v>0.76</v>
      </c>
      <c r="AJ70" s="8">
        <f ca="1">OFFSET(Database!$F70,0,COLUMN(Database!AG70)*2-12)</f>
        <v>2.78</v>
      </c>
      <c r="AK70" s="8">
        <f ca="1">OFFSET(Database!$F70,0,COLUMN(Database!AH70)*2-12)</f>
        <v>16.5</v>
      </c>
      <c r="AL70" s="8">
        <f ca="1">OFFSET(Database!$F70,0,COLUMN(Database!AI70)*2-12)</f>
        <v>6.7</v>
      </c>
      <c r="AM70" s="8">
        <f ca="1">OFFSET(Database!$F70,0,COLUMN(Database!AJ70)*2-12)</f>
        <v>10.1</v>
      </c>
      <c r="AN70" s="8">
        <f ca="1">OFFSET(Database!$F70,0,COLUMN(Database!AK70)*2-12)</f>
        <v>27</v>
      </c>
      <c r="AO70" s="8">
        <f ca="1">OFFSET(Database!$F70,0,COLUMN(Database!AL70)*2-12)</f>
        <v>0.56347589952477928</v>
      </c>
      <c r="AP70" s="8">
        <f ca="1">OFFSET(Database!$F70,0,COLUMN(Database!AM70)*2-12)</f>
        <v>0.19</v>
      </c>
      <c r="AQ70" s="8">
        <f ca="1">OFFSET(Database!$F70,0,COLUMN(Database!AN70)*2-12)</f>
        <v>0.13</v>
      </c>
      <c r="AR70" s="8">
        <f ca="1">OFFSET(Database!$F70,0,COLUMN(Database!AO70)*2-12)</f>
        <v>0.02</v>
      </c>
      <c r="AS70" s="8">
        <f ca="1">OFFSET(Database!$F70,0,COLUMN(Database!AP70)*2-12)</f>
        <v>0.12219959266802444</v>
      </c>
      <c r="AT70" s="8" t="str">
        <f ca="1">OFFSET(Database!$F70,0,COLUMN(Database!AQ70)*2-12)</f>
        <v>&lt;0.002</v>
      </c>
      <c r="AU70" s="8">
        <f ca="1">OFFSET(Database!$F70,0,COLUMN(Database!AR70)*2-12)</f>
        <v>8.0108621860149359E-2</v>
      </c>
      <c r="AV70" s="8">
        <f ca="1">OFFSET(Database!$F70,0,COLUMN(Database!AS70)*2-12)</f>
        <v>0.15614392396469789</v>
      </c>
      <c r="AW70" s="8">
        <f ca="1">OFFSET(Database!$F70,0,COLUMN(Database!AT70)*2-12)</f>
        <v>8.3503054989816694E-2</v>
      </c>
      <c r="AX70" s="8">
        <f ca="1">OFFSET(Database!$F70,0,COLUMN(Database!AU70)*2-12)</f>
        <v>5.2274270196877116E-2</v>
      </c>
      <c r="AY70" s="8">
        <f ca="1">OFFSET(Database!$F70,0,COLUMN(Database!AV70)*2-12)</f>
        <v>3.9375424304141204E-2</v>
      </c>
      <c r="AZ70" s="8">
        <f ca="1">OFFSET(Database!$F70,0,COLUMN(Database!AW70)*2-12)</f>
        <v>0.11541072640868974</v>
      </c>
      <c r="BA70" s="8">
        <f ca="1">OFFSET(Database!$F70,0,COLUMN(Database!AX70)*2-12)</f>
        <v>2.9871011541072641E-2</v>
      </c>
      <c r="BB70" s="8">
        <f ca="1">OFFSET(Database!$F70,0,COLUMN(Database!AY70)*2-12)</f>
        <v>2.7155465037338763E-3</v>
      </c>
      <c r="BC70" s="8">
        <f ca="1">OFFSET(Database!$F70,0,COLUMN(Database!AZ70)*2-12)</f>
        <v>0.10862186014935504</v>
      </c>
      <c r="BD70" s="8">
        <f ca="1">OFFSET(Database!$F70,0,COLUMN(Database!BA70)*2-12)</f>
        <v>5.7433808553971479</v>
      </c>
      <c r="BE70" s="8">
        <f ca="1">OFFSET(Database!$F70,0,COLUMN(Database!BB70)*2-12)</f>
        <v>1.1541072640868974E-2</v>
      </c>
      <c r="BF70" s="8">
        <f ca="1">OFFSET(Database!$F70,0,COLUMN(Database!BC70)*2-12)</f>
        <v>8.1466395112016282E-2</v>
      </c>
      <c r="BG70" s="8">
        <f ca="1">OFFSET(Database!$F70,0,COLUMN(Database!BD70)*2-12)</f>
        <v>1.0183299389002035E-2</v>
      </c>
      <c r="BH70" s="8">
        <f ca="1">OFFSET(Database!$F70,0,COLUMN(Database!BE70)*2-12)</f>
        <v>0.3408010862186015</v>
      </c>
      <c r="BI70" s="8">
        <f ca="1">OFFSET(Database!$F70,0,COLUMN(Database!BF70)*2-12)</f>
        <v>0.66055668703326542</v>
      </c>
      <c r="BJ70" s="8">
        <f ca="1">OFFSET(Database!$F70,0,COLUMN(Database!BG70)*2-12)</f>
        <v>7.0739986422267478</v>
      </c>
      <c r="BK70" s="8">
        <f ca="1">OFFSET(Database!$F70,0,COLUMN(Database!BH70)*2-12)</f>
        <v>2.7698574338085535</v>
      </c>
      <c r="BL70" s="8">
        <f ca="1">OFFSET(Database!$F70,0,COLUMN(Database!BI70)*2-12)</f>
        <v>3.1636116768499658</v>
      </c>
      <c r="BM70" s="8">
        <f ca="1">OFFSET(Database!$F70,0,COLUMN(Database!BJ70)*2-12)</f>
        <v>0.27834351663272233</v>
      </c>
      <c r="BN70" s="8">
        <f ca="1">OFFSET(Database!$F70,0,COLUMN(Database!BK70)*2-12)</f>
        <v>0.40054310930074677</v>
      </c>
      <c r="BO70" s="8">
        <f ca="1">OFFSET(Database!$F70,0,COLUMN(Database!BL70)*2-12)</f>
        <v>0.15614392396469789</v>
      </c>
      <c r="BP70" s="8">
        <f ca="1">OFFSET(Database!$F70,0,COLUMN(Database!BM70)*2-12)</f>
        <v>3.1771894093686353</v>
      </c>
      <c r="BQ70" s="8" t="str">
        <f ca="1">OFFSET(Database!$F70,0,COLUMN(Database!BN70)*2-12)</f>
        <v>&lt;0.020</v>
      </c>
      <c r="BR70" s="8" t="str">
        <f ca="1">OFFSET(Database!$F70,0,COLUMN(Database!BO70)*2-12)</f>
        <v>&lt;0.014</v>
      </c>
      <c r="BS70" s="8">
        <f ca="1">OFFSET(Database!$F70,0,COLUMN(Database!BP70)*2-12)</f>
        <v>0.12219959266802444</v>
      </c>
      <c r="BT70" s="8">
        <f ca="1">OFFSET(Database!$F70,0,COLUMN(Database!BQ70)*2-12)</f>
        <v>5.498981670061099E-2</v>
      </c>
      <c r="BU70" s="8">
        <f ca="1">OFFSET(Database!$F70,0,COLUMN(Database!BR70)*2-12)</f>
        <v>4.684317718940937E-2</v>
      </c>
      <c r="BV70" s="8">
        <f ca="1">OFFSET(Database!$F70,0,COLUMN(Database!BS70)*2-12)</f>
        <v>1.1541072640868974E-2</v>
      </c>
      <c r="BW70" s="8" t="str">
        <f ca="1">OFFSET(Database!$F70,0,COLUMN(Database!BT70)*2-12)</f>
        <v>&lt;0.0001</v>
      </c>
      <c r="BX70" s="8" t="str">
        <f ca="1">OFFSET(Database!$F70,0,COLUMN(Database!BU70)*2-12)</f>
        <v>&lt;0.0001</v>
      </c>
      <c r="BY70" s="8" t="str">
        <f ca="1">OFFSET(Database!$F70,0,COLUMN(Database!BV70)*2-12)</f>
        <v>&lt;0.0001</v>
      </c>
      <c r="BZ70" s="8">
        <f ca="1">OFFSET(Database!$F70,0,COLUMN(Database!BW70)*2-12)</f>
        <v>5.0427698574338082</v>
      </c>
      <c r="CA70" s="8">
        <f ca="1">OFFSET(Database!$F70,0,COLUMN(Database!BX70)*2-12)</f>
        <v>0.95451459606245748</v>
      </c>
      <c r="CB70" s="8" t="str">
        <f ca="1">OFFSET(Database!$F70,0,COLUMN(Database!BY70)*2-12)</f>
        <v>&lt;0.0475</v>
      </c>
      <c r="CC70" s="8" t="str">
        <f ca="1">OFFSET(Database!$F70,0,COLUMN(Database!BZ70)*2-12)</f>
        <v>&lt;0.0272</v>
      </c>
      <c r="CD70" s="8" t="str">
        <f ca="1">OFFSET(Database!$F70,0,COLUMN(Database!CA70)*2-12)</f>
        <v>n.r.</v>
      </c>
      <c r="CE70" s="8" t="str">
        <f ca="1">OFFSET(Database!$F70,0,COLUMN(Database!CB70)*2-12)</f>
        <v>n.r.</v>
      </c>
      <c r="CF70" s="8" t="str">
        <f ca="1">OFFSET(Database!$F70,0,COLUMN(Database!CC70)*2-12)</f>
        <v>n.r.</v>
      </c>
      <c r="CG70" s="8">
        <f ca="1">OFFSET(Database!$F70,0,COLUMN(Database!CD70)*2-12)</f>
        <v>4.005431093007468E-2</v>
      </c>
      <c r="CH70" s="8" t="str">
        <f ca="1">OFFSET(Database!$F70,0,COLUMN(Database!CE70)*2-12)</f>
        <v>&lt;0.0068</v>
      </c>
      <c r="CI70" s="8" t="str">
        <f ca="1">OFFSET(Database!$F70,0,COLUMN(Database!CF70)*2-12)</f>
        <v>n.r.</v>
      </c>
      <c r="CJ70" s="8" t="str">
        <f ca="1">OFFSET(Database!$F70,0,COLUMN(Database!CG70)*2-12)</f>
        <v>n.r.</v>
      </c>
      <c r="CK70" s="8" t="str">
        <f ca="1">OFFSET(Database!$F70,0,COLUMN(Database!CH70)*2-12)</f>
        <v>n.r.</v>
      </c>
      <c r="CL70" s="8">
        <f ca="1">OFFSET(Database!$F70,0,COLUMN(Database!CI70)*2-12)</f>
        <v>0.29192124915139167</v>
      </c>
      <c r="CM70" s="8" t="str">
        <f ca="1">OFFSET(Database!$F70,0,COLUMN(Database!CJ70)*2-12)</f>
        <v>n.r.</v>
      </c>
      <c r="CN70" s="8" t="str">
        <f ca="1">OFFSET(Database!$F70,0,COLUMN(Database!CK70)*2-12)</f>
        <v>n.r.</v>
      </c>
      <c r="CO70" s="8">
        <f ca="1">OFFSET(Database!$F70,0,COLUMN(Database!CL70)*2-12)</f>
        <v>0.23761031907671418</v>
      </c>
      <c r="CP70" s="8" t="str">
        <f ca="1">OFFSET(Database!$F70,0,COLUMN(Database!CM70)*2-12)</f>
        <v>&lt;0.1</v>
      </c>
      <c r="CQ70" s="8" t="str">
        <f ca="1">OFFSET(Database!$F70,0,COLUMN(Database!CN70)*2-12)</f>
        <v>&lt;0.1</v>
      </c>
      <c r="CR70" s="8">
        <f ca="1">OFFSET(Database!$F70,0,COLUMN(Database!CO70)*2-12)</f>
        <v>0.18</v>
      </c>
      <c r="CS70" s="8">
        <f ca="1">OFFSET(Database!$F70,0,COLUMN(Database!CP70)*2-12)</f>
        <v>1.75</v>
      </c>
      <c r="CT70" s="8" t="str">
        <f ca="1">OFFSET(Database!$F70,0,COLUMN(Database!CQ70)*2-12)</f>
        <v>&lt;0.1</v>
      </c>
      <c r="CU70" s="8" t="str">
        <f ca="1">OFFSET(Database!$F70,0,COLUMN(Database!CR70)*2-12)</f>
        <v>&lt;0.1</v>
      </c>
      <c r="CV70" s="8" t="str">
        <f ca="1">OFFSET(Database!$F70,0,COLUMN(Database!CS70)*2-12)</f>
        <v>&lt;0.1</v>
      </c>
      <c r="CW70" s="8" t="str">
        <f ca="1">OFFSET(Database!$F70,0,COLUMN(Database!CT70)*2-12)</f>
        <v>&lt;0.1</v>
      </c>
      <c r="CX70" s="8">
        <f ca="1">OFFSET(Database!$F70,0,COLUMN(Database!CU70)*2-12)</f>
        <v>6.31</v>
      </c>
      <c r="CY70" s="8" t="str">
        <f ca="1">OFFSET(Database!$F70,0,COLUMN(Database!CV70)*2-12)</f>
        <v>&lt;0.1</v>
      </c>
      <c r="CZ70" s="8" t="str">
        <f ca="1">OFFSET(Database!$F70,0,COLUMN(Database!CW70)*2-12)</f>
        <v>&lt;0.1</v>
      </c>
      <c r="DA70" s="8">
        <f ca="1">OFFSET(Database!$F70,0,COLUMN(Database!CX70)*2-12)</f>
        <v>0.22</v>
      </c>
      <c r="DB70" s="8" t="str">
        <f ca="1">OFFSET(Database!$F70,0,COLUMN(Database!CY70)*2-12)</f>
        <v>&lt;0.03</v>
      </c>
      <c r="DC70" s="8" t="str">
        <f ca="1">OFFSET(Database!$F70,0,COLUMN(Database!CZ70)*2-12)</f>
        <v>&lt;0.03</v>
      </c>
      <c r="DD70" s="8" t="str">
        <f ca="1">OFFSET(Database!$F70,0,COLUMN(Database!DA70)*2-12)</f>
        <v>&lt;0.8</v>
      </c>
      <c r="DE70" s="8" t="str">
        <f ca="1">OFFSET(Database!$F70,0,COLUMN(Database!DB70)*2-12)</f>
        <v>&lt;0.0068</v>
      </c>
      <c r="DF70" s="8">
        <f ca="1">OFFSET(Database!$F70,0,COLUMN(Database!DC70)*2-12)</f>
        <v>40.883499999999998</v>
      </c>
      <c r="DG70" s="8">
        <f ca="1">OFFSET(Database!$F70,0,COLUMN(Database!DD70)*2-12)</f>
        <v>16.641300000000001</v>
      </c>
      <c r="DH70" s="8">
        <f ca="1">OFFSET(Database!$F70,0,COLUMN(Database!DE70)*2-12)</f>
        <v>139.32579999999999</v>
      </c>
      <c r="DI70" s="8">
        <f ca="1">OFFSET(Database!$F70,0,COLUMN(Database!DF70)*2-12)</f>
        <v>133.2587</v>
      </c>
      <c r="DJ70" s="8">
        <f ca="1">OFFSET(Database!$F70,0,COLUMN(Database!DG70)*2-12)</f>
        <v>71.6233</v>
      </c>
      <c r="DK70" s="8">
        <f ca="1">OFFSET(Database!$F70,0,COLUMN(Database!DH70)*2-12)</f>
        <v>38.557099999999998</v>
      </c>
      <c r="DL70" s="8" t="str">
        <f ca="1">OFFSET(Database!$F70,0,COLUMN(Database!DI70)*2-12)</f>
        <v>l.o.q.</v>
      </c>
      <c r="DM70" s="8">
        <f ca="1">OFFSET(Database!$F70,0,COLUMN(Database!DJ70)*2-12)</f>
        <v>35.3504</v>
      </c>
      <c r="DN70" s="8">
        <f ca="1">OFFSET(Database!$F70,0,COLUMN(Database!DK70)*2-12)</f>
        <v>620</v>
      </c>
      <c r="DO70" s="8">
        <f ca="1">OFFSET(Database!$F70,0,COLUMN(Database!DL70)*2-12)</f>
        <v>620</v>
      </c>
      <c r="DP70" s="8">
        <f ca="1">OFFSET(Database!$F70,0,COLUMN(Database!DM70)*2-12)</f>
        <v>174</v>
      </c>
      <c r="DQ70" s="8">
        <f ca="1">OFFSET(Database!$F70,0,COLUMN(Database!DN70)*2-12)</f>
        <v>78</v>
      </c>
      <c r="DR70" s="8" t="str">
        <f ca="1">OFFSET(Database!$F70,0,COLUMN(Database!DO70)*2-12)</f>
        <v>l.o.q.</v>
      </c>
      <c r="DS70" s="8">
        <f ca="1">OFFSET(Database!$F70,0,COLUMN(Database!DP70)*2-12)</f>
        <v>19.5</v>
      </c>
      <c r="DT70" s="8">
        <f ca="1">OFFSET(Database!$F70,0,COLUMN(Database!DQ70)*2-12)</f>
        <v>127</v>
      </c>
      <c r="DU70" s="8">
        <f ca="1">OFFSET(Database!$F70,0,COLUMN(Database!DR70)*2-12)</f>
        <v>3.0371999999999999</v>
      </c>
      <c r="DV70" s="8" t="str">
        <f ca="1">OFFSET(Database!$F70,0,COLUMN(Database!DS70)*2-12)</f>
        <v>b.b.</v>
      </c>
      <c r="DW70" s="8" t="str">
        <f ca="1">OFFSET(Database!$F70,0,COLUMN(Database!DT70)*2-12)</f>
        <v>n.r.</v>
      </c>
      <c r="DX70" s="8" t="str">
        <f ca="1">OFFSET(Database!$F70,0,COLUMN(Database!DU70)*2-12)</f>
        <v>n.r.</v>
      </c>
      <c r="DY70" s="8" t="str">
        <f ca="1">OFFSET(Database!$F70,0,COLUMN(Database!DV70)*2-12)</f>
        <v>n.r.</v>
      </c>
      <c r="DZ70" s="8" t="str">
        <f ca="1">OFFSET(Database!$F70,0,COLUMN(Database!DW70)*2-12)</f>
        <v>n.r.</v>
      </c>
      <c r="EA70" s="8" t="str">
        <f ca="1">OFFSET(Database!$F70,0,COLUMN(Database!DX70)*2-12)</f>
        <v>n.r.</v>
      </c>
      <c r="EB70" s="8" t="str">
        <f ca="1">OFFSET(Database!$F70,0,COLUMN(Database!DY70)*2-12)</f>
        <v>n.r.</v>
      </c>
      <c r="EC70" s="8" t="str">
        <f ca="1">OFFSET(Database!$F70,0,COLUMN(Database!DZ70)*2-12)</f>
        <v>&lt;0.7</v>
      </c>
      <c r="ED70" s="8" t="str">
        <f ca="1">OFFSET(Database!$F70,0,COLUMN(Database!EA70)*2-12)</f>
        <v>n.r</v>
      </c>
      <c r="EE70" s="8" t="str">
        <f ca="1">OFFSET(Database!$F70,0,COLUMN(Database!EB70)*2-12)</f>
        <v>n.r</v>
      </c>
      <c r="EF70" s="8" t="str">
        <f ca="1">OFFSET(Database!$F70,0,COLUMN(Database!EC70)*2-12)</f>
        <v>n.r</v>
      </c>
      <c r="EG70" s="8" t="str">
        <f ca="1">OFFSET(Database!$F70,0,COLUMN(Database!ED70)*2-12)</f>
        <v>n.r</v>
      </c>
      <c r="EH70" s="8" t="str">
        <f ca="1">OFFSET(Database!$F70,0,COLUMN(Database!EE70)*2-12)</f>
        <v>n.r</v>
      </c>
      <c r="EI70" s="8" t="str">
        <f ca="1">OFFSET(Database!$F70,0,COLUMN(Database!EF70)*2-12)</f>
        <v>n.r</v>
      </c>
      <c r="EJ70" s="8" t="str">
        <f ca="1">OFFSET(Database!$F70,0,COLUMN(Database!EG70)*2-12)</f>
        <v>n.r</v>
      </c>
      <c r="EK70" s="8" t="str">
        <f ca="1">OFFSET(Database!$F70,0,COLUMN(Database!EH70)*2-12)</f>
        <v>n.r</v>
      </c>
      <c r="EL70" s="8" t="str">
        <f ca="1">OFFSET(Database!$F70,0,COLUMN(Database!EI70)*2-12)</f>
        <v>n.r</v>
      </c>
      <c r="EM70" s="8" t="str">
        <f ca="1">OFFSET(Database!$F70,0,COLUMN(Database!EJ70)*2-12)</f>
        <v>n.r</v>
      </c>
      <c r="EN70" s="8" t="str">
        <f ca="1">OFFSET(Database!$F70,0,COLUMN(Database!EK70)*2-12)</f>
        <v>n.r</v>
      </c>
      <c r="EO70" s="8" t="str">
        <f ca="1">OFFSET(Database!$F70,0,COLUMN(Database!EL70)*2-12)</f>
        <v>n.r</v>
      </c>
      <c r="EP70" s="8" t="str">
        <f ca="1">OFFSET(Database!$F70,0,COLUMN(Database!EM70)*2-12)</f>
        <v>n.r</v>
      </c>
      <c r="EQ70" s="8" t="str">
        <f ca="1">OFFSET(Database!$F70,0,COLUMN(Database!EN70)*2-12)</f>
        <v>n.r</v>
      </c>
      <c r="ER70" s="8">
        <f ca="1">OFFSET(Database!$F70,0,COLUMN(Database!EO70)*2-12)</f>
        <v>3844.6546301720123</v>
      </c>
      <c r="ES70" s="8">
        <f ca="1">OFFSET(Database!$F70,0,COLUMN(Database!EP70)*2-12)</f>
        <v>2255.8192910097205</v>
      </c>
      <c r="ET70" s="8">
        <f ca="1">OFFSET(Database!$F70,0,COLUMN(Database!EQ70)*2-12)</f>
        <v>877.73103981772431</v>
      </c>
      <c r="EU70" s="8">
        <f ca="1">OFFSET(Database!$F70,0,COLUMN(Database!ER70)*2-12)</f>
        <v>3864.928379897025</v>
      </c>
      <c r="EV70" s="8">
        <f ca="1">OFFSET(Database!$F70,0,COLUMN(Database!ES70)*2-12)</f>
        <v>864.8206486883837</v>
      </c>
      <c r="EW70" s="8" t="str">
        <f ca="1">OFFSET(Database!$F70,0,COLUMN(Database!ET70)*2-12)</f>
        <v>n.r.</v>
      </c>
      <c r="EX70" s="8" t="str">
        <f ca="1">OFFSET(Database!$F70,0,COLUMN(Database!EU70)*2-12)</f>
        <v>n.r.</v>
      </c>
      <c r="EY70" s="8" t="str">
        <f ca="1">OFFSET(Database!$F70,0,COLUMN(Database!EV70)*2-12)</f>
        <v>n.r.</v>
      </c>
      <c r="EZ70" s="8" t="str">
        <f ca="1">OFFSET(Database!$F70,0,COLUMN(Database!EW70)*2-12)</f>
        <v>n.r.</v>
      </c>
      <c r="FA70" s="8" t="str">
        <f ca="1">OFFSET(Database!$F70,0,COLUMN(Database!EX70)*2-12)</f>
        <v>n.r.</v>
      </c>
      <c r="FB70" s="8" t="str">
        <f ca="1">OFFSET(Database!$F70,0,COLUMN(Database!EY70)*2-12)</f>
        <v>n.r.</v>
      </c>
      <c r="FC70" s="8" t="str">
        <f ca="1">OFFSET(Database!$F70,0,COLUMN(Database!EZ70)*2-12)</f>
        <v>n.r.</v>
      </c>
      <c r="FD70" s="8">
        <f ca="1">OFFSET(Database!$F70,0,COLUMN(Database!FA70)*2-12)</f>
        <v>3670.2</v>
      </c>
      <c r="FE70" s="8">
        <f ca="1">OFFSET(Database!$F70,0,COLUMN(Database!FB70)*2-12)</f>
        <v>3933.5</v>
      </c>
      <c r="FF70" s="8">
        <f ca="1">OFFSET(Database!$F70,0,COLUMN(Database!FC70)*2-12)</f>
        <v>4625.5</v>
      </c>
      <c r="FG70" s="8" t="str">
        <f ca="1">OFFSET(Database!$F70,0,COLUMN(Database!FD70)*2-12)</f>
        <v>n.r.</v>
      </c>
      <c r="FH70" s="8">
        <f ca="1">OFFSET(Database!$F70,0,COLUMN(Database!FE70)*2-12)</f>
        <v>16200</v>
      </c>
      <c r="FI70" s="8">
        <f ca="1">OFFSET(Database!$F70,0,COLUMN(Database!FF70)*2-12)</f>
        <v>4500</v>
      </c>
      <c r="FJ70" s="8">
        <f ca="1">OFFSET(Database!$F70,0,COLUMN(Database!FG70)*2-12)</f>
        <v>6660</v>
      </c>
      <c r="FK70" s="8" t="str">
        <f ca="1">OFFSET(Database!$F70,0,COLUMN(Database!FH70)*2-12)</f>
        <v>n.r.</v>
      </c>
      <c r="FL70" s="8" t="str">
        <f ca="1">OFFSET(Database!$F70,0,COLUMN(Database!FI70)*2-12)</f>
        <v>n.r.</v>
      </c>
      <c r="FM70" s="8" t="str">
        <f ca="1">OFFSET(Database!$F70,0,COLUMN(Database!FJ70)*2-12)</f>
        <v>n.r.</v>
      </c>
      <c r="FN70" s="8" t="str">
        <f ca="1">OFFSET(Database!$F70,0,COLUMN(Database!FK70)*2-12)</f>
        <v>n.r.</v>
      </c>
      <c r="FO70" s="8" t="str">
        <f ca="1">OFFSET(Database!$F70,0,COLUMN(Database!FL70)*2-12)</f>
        <v>n.r.</v>
      </c>
      <c r="FP70" s="8" t="str">
        <f ca="1">OFFSET(Database!$F70,0,COLUMN(Database!FM70)*2-12)</f>
        <v>n.r.</v>
      </c>
      <c r="FQ70" s="8" t="str">
        <f ca="1">OFFSET(Database!$F70,0,COLUMN(Database!FN70)*2-12)</f>
        <v>n.r.</v>
      </c>
      <c r="FR70" s="8" t="str">
        <f ca="1">OFFSET(Database!$F70,0,COLUMN(Database!FO70)*2-12)</f>
        <v>n.r.</v>
      </c>
      <c r="FS70" s="8" t="str">
        <f ca="1">OFFSET(Database!$F70,0,COLUMN(Database!FP70)*2-12)</f>
        <v>n.r.</v>
      </c>
      <c r="FT70" s="8" t="str">
        <f ca="1">OFFSET(Database!$F70,0,COLUMN(Database!FQ70)*2-12)</f>
        <v>n.r.</v>
      </c>
      <c r="FU70" s="8" t="str">
        <f ca="1">OFFSET(Database!$F70,0,COLUMN(Database!FR70)*2-12)</f>
        <v>n.r.</v>
      </c>
      <c r="FV70" s="8" t="str">
        <f ca="1">OFFSET(Database!$F70,0,COLUMN(Database!FS70)*2-12)</f>
        <v>n.r.</v>
      </c>
      <c r="FW70" s="8" t="str">
        <f ca="1">OFFSET(Database!$F70,0,COLUMN(Database!FT70)*2-12)</f>
        <v>n.r.</v>
      </c>
      <c r="FX70" s="8" t="str">
        <f ca="1">OFFSET(Database!$F70,0,COLUMN(Database!FU70)*2-12)</f>
        <v>n.r.</v>
      </c>
      <c r="FY70" s="8" t="str">
        <f ca="1">OFFSET(Database!$F70,0,COLUMN(Database!FV70)*2-12)</f>
        <v>n.r.</v>
      </c>
      <c r="FZ70" s="8" t="str">
        <f ca="1">OFFSET(Database!$F70,0,COLUMN(Database!FW70)*2-12)</f>
        <v>n.r.</v>
      </c>
      <c r="GA70" s="8" t="str">
        <f ca="1">OFFSET(Database!$F70,0,COLUMN(Database!FX70)*2-12)</f>
        <v>n.r.</v>
      </c>
      <c r="GB70" s="8" t="str">
        <f ca="1">OFFSET(Database!$F70,0,COLUMN(Database!FY70)*2-12)</f>
        <v>n.r.</v>
      </c>
      <c r="GC70" s="8" t="str">
        <f ca="1">OFFSET(Database!$F70,0,COLUMN(Database!FZ70)*2-12)</f>
        <v>n.r.</v>
      </c>
      <c r="GD70" s="8" t="str">
        <f ca="1">OFFSET(Database!$F70,0,COLUMN(Database!GA70)*2-12)</f>
        <v>n.r.</v>
      </c>
      <c r="GE70" s="8" t="str">
        <f ca="1">OFFSET(Database!$F70,0,COLUMN(Database!GB70)*2-12)</f>
        <v>n.r.</v>
      </c>
      <c r="GF70" s="8" t="str">
        <f ca="1">OFFSET(Database!$F70,0,COLUMN(Database!GC70)*2-12)</f>
        <v>n.r.</v>
      </c>
      <c r="GG70" s="8" t="str">
        <f ca="1">OFFSET(Database!$F70,0,COLUMN(Database!GD70)*2-12)</f>
        <v>n.r.</v>
      </c>
      <c r="GH70" s="8" t="str">
        <f ca="1">OFFSET(Database!$F70,0,COLUMN(Database!GE70)*2-12)</f>
        <v>n.r.</v>
      </c>
      <c r="GI70" s="8" t="str">
        <f ca="1">OFFSET(Database!$F70,0,COLUMN(Database!GF70)*2-12)</f>
        <v>n.r.</v>
      </c>
      <c r="GJ70" s="8" t="str">
        <f ca="1">OFFSET(Database!$F70,0,COLUMN(Database!GG70)*2-12)</f>
        <v>n.r.</v>
      </c>
      <c r="GK70" s="8" t="str">
        <f ca="1">OFFSET(Database!$F70,0,COLUMN(Database!GH70)*2-12)</f>
        <v>n.r.</v>
      </c>
      <c r="GL70" s="8" t="str">
        <f ca="1">OFFSET(Database!$F70,0,COLUMN(Database!GI70)*2-12)</f>
        <v>n.r.</v>
      </c>
      <c r="GM70" s="8" t="str">
        <f ca="1">OFFSET(Database!$F70,0,COLUMN(Database!GJ70)*2-12)</f>
        <v>n.r.</v>
      </c>
      <c r="GN70" s="8" t="str">
        <f ca="1">OFFSET(Database!$F70,0,COLUMN(Database!GK70)*2-12)</f>
        <v>n.r.</v>
      </c>
      <c r="GO70" s="8" t="str">
        <f ca="1">OFFSET(Database!$F70,0,COLUMN(Database!GL70)*2-12)</f>
        <v>tr.</v>
      </c>
      <c r="GP70" s="8" t="str">
        <f ca="1">OFFSET(Database!$F70,0,COLUMN(Database!GM70)*2-12)</f>
        <v>tr.</v>
      </c>
    </row>
    <row r="71" spans="1:198" x14ac:dyDescent="0.2">
      <c r="A71" s="50" t="str">
        <f>Database!A71</f>
        <v>glutamic acid</v>
      </c>
      <c r="B71" s="1" t="s">
        <v>872</v>
      </c>
      <c r="C71" s="4" t="str">
        <f>Database!B71</f>
        <v>ɑ</v>
      </c>
      <c r="D71" s="4" t="str">
        <f>Database!C71</f>
        <v>Both</v>
      </c>
      <c r="E71" s="74">
        <f>Database!D71</f>
        <v>68</v>
      </c>
      <c r="F71" s="1" t="s">
        <v>1025</v>
      </c>
      <c r="G71" s="1" t="s">
        <v>1125</v>
      </c>
      <c r="H71" s="1">
        <f>Database!E71</f>
        <v>147.30000000000001</v>
      </c>
      <c r="I71" s="8" t="str">
        <f ca="1">OFFSET(Database!$F71,0,COLUMN(Database!F71)*2-12)</f>
        <v>n.r.</v>
      </c>
      <c r="J71" s="8" t="str">
        <f ca="1">OFFSET(Database!$F71,0,COLUMN(Database!G71)*2-12)</f>
        <v>n.r.</v>
      </c>
      <c r="K71" s="8" t="str">
        <f ca="1">OFFSET(Database!$F71,0,COLUMN(Database!H71)*2-12)</f>
        <v>n.r.</v>
      </c>
      <c r="L71" s="8" t="str">
        <f ca="1">OFFSET(Database!$F71,0,COLUMN(Database!I71)*2-12)</f>
        <v>n.r.</v>
      </c>
      <c r="M71" s="8" t="str">
        <f ca="1">OFFSET(Database!$F71,0,COLUMN(Database!J71)*2-12)</f>
        <v>n.r.</v>
      </c>
      <c r="N71" s="8" t="str">
        <f ca="1">OFFSET(Database!$F71,0,COLUMN(Database!K71)*2-12)</f>
        <v>n.r.</v>
      </c>
      <c r="O71" s="8" t="str">
        <f ca="1">OFFSET(Database!$F71,0,COLUMN(Database!L71)*2-12)</f>
        <v>n.r.</v>
      </c>
      <c r="P71" s="8" t="str">
        <f ca="1">OFFSET(Database!$F71,0,COLUMN(Database!M71)*2-12)</f>
        <v>n.r.</v>
      </c>
      <c r="Q71" s="8" t="str">
        <f ca="1">OFFSET(Database!$F71,0,COLUMN(Database!N71)*2-12)</f>
        <v>n.r.</v>
      </c>
      <c r="R71" s="8" t="str">
        <f ca="1">OFFSET(Database!$F71,0,COLUMN(Database!O71)*2-12)</f>
        <v>n.r.</v>
      </c>
      <c r="S71" s="8" t="str">
        <f ca="1">OFFSET(Database!$F71,0,COLUMN(Database!P71)*2-12)</f>
        <v>n.r.</v>
      </c>
      <c r="T71" s="8" t="str">
        <f ca="1">OFFSET(Database!$F71,0,COLUMN(Database!Q71)*2-12)</f>
        <v>n.r.</v>
      </c>
      <c r="U71" s="8" t="str">
        <f ca="1">OFFSET(Database!$F71,0,COLUMN(Database!R71)*2-12)</f>
        <v>n.r.</v>
      </c>
      <c r="V71" s="8" t="str">
        <f ca="1">OFFSET(Database!$F71,0,COLUMN(Database!S71)*2-12)</f>
        <v>n.r.</v>
      </c>
      <c r="W71" s="8" t="str">
        <f ca="1">OFFSET(Database!$F71,0,COLUMN(Database!T71)*2-12)</f>
        <v>n.r.</v>
      </c>
      <c r="X71" s="8" t="str">
        <f ca="1">OFFSET(Database!$F71,0,COLUMN(Database!U71)*2-12)</f>
        <v>n.r.</v>
      </c>
      <c r="Y71" s="8" t="str">
        <f ca="1">OFFSET(Database!$F71,0,COLUMN(Database!V71)*2-12)</f>
        <v>n.r.</v>
      </c>
      <c r="Z71" s="8" t="str">
        <f ca="1">OFFSET(Database!$F71,0,COLUMN(Database!W71)*2-12)</f>
        <v>n.r.</v>
      </c>
      <c r="AA71" s="8" t="str">
        <f ca="1">OFFSET(Database!$F71,0,COLUMN(Database!X71)*2-12)</f>
        <v>n.r.</v>
      </c>
      <c r="AB71" s="8" t="str">
        <f ca="1">OFFSET(Database!$F71,0,COLUMN(Database!Y71)*2-12)</f>
        <v>n.r.</v>
      </c>
      <c r="AC71" s="8" t="str">
        <f ca="1">OFFSET(Database!$F71,0,COLUMN(Database!Z71)*2-12)</f>
        <v>n.r.</v>
      </c>
      <c r="AD71" s="8" t="str">
        <f ca="1">OFFSET(Database!$F71,0,COLUMN(Database!AA71)*2-12)</f>
        <v>n.r.</v>
      </c>
      <c r="AE71" s="8" t="str">
        <f ca="1">OFFSET(Database!$F71,0,COLUMN(Database!AB71)*2-12)</f>
        <v>n.r.</v>
      </c>
      <c r="AF71" s="8" t="str">
        <f ca="1">OFFSET(Database!$F71,0,COLUMN(Database!AC71)*2-12)</f>
        <v>n.r.</v>
      </c>
      <c r="AG71" s="8" t="str">
        <f ca="1">OFFSET(Database!$F71,0,COLUMN(Database!AD71)*2-12)</f>
        <v>n.r.</v>
      </c>
      <c r="AH71" s="8" t="str">
        <f ca="1">OFFSET(Database!$F71,0,COLUMN(Database!AE71)*2-12)</f>
        <v>n.r.</v>
      </c>
      <c r="AI71" s="8" t="str">
        <f ca="1">OFFSET(Database!$F71,0,COLUMN(Database!AF71)*2-12)</f>
        <v>n.r.</v>
      </c>
      <c r="AJ71" s="8" t="str">
        <f ca="1">OFFSET(Database!$F71,0,COLUMN(Database!AG71)*2-12)</f>
        <v>n.r.</v>
      </c>
      <c r="AK71" s="8" t="str">
        <f ca="1">OFFSET(Database!$F71,0,COLUMN(Database!AH71)*2-12)</f>
        <v>n.r.</v>
      </c>
      <c r="AL71" s="8" t="str">
        <f ca="1">OFFSET(Database!$F71,0,COLUMN(Database!AI71)*2-12)</f>
        <v>n.r.</v>
      </c>
      <c r="AM71" s="8" t="str">
        <f ca="1">OFFSET(Database!$F71,0,COLUMN(Database!AJ71)*2-12)</f>
        <v>n.r.</v>
      </c>
      <c r="AN71" s="8" t="str">
        <f ca="1">OFFSET(Database!$F71,0,COLUMN(Database!AK71)*2-12)</f>
        <v>n.r.</v>
      </c>
      <c r="AO71" s="8" t="str">
        <f ca="1">OFFSET(Database!$F71,0,COLUMN(Database!AL71)*2-12)</f>
        <v>n.r.</v>
      </c>
      <c r="AP71" s="8" t="str">
        <f ca="1">OFFSET(Database!$F71,0,COLUMN(Database!AM71)*2-12)</f>
        <v>n.r.</v>
      </c>
      <c r="AQ71" s="8" t="str">
        <f ca="1">OFFSET(Database!$F71,0,COLUMN(Database!AN71)*2-12)</f>
        <v>n.r.</v>
      </c>
      <c r="AR71" s="8" t="str">
        <f ca="1">OFFSET(Database!$F71,0,COLUMN(Database!AO71)*2-12)</f>
        <v>n.r.</v>
      </c>
      <c r="AS71" s="8" t="str">
        <f ca="1">OFFSET(Database!$F71,0,COLUMN(Database!AP71)*2-12)</f>
        <v>n.r.</v>
      </c>
      <c r="AT71" s="8" t="str">
        <f ca="1">OFFSET(Database!$F71,0,COLUMN(Database!AQ71)*2-12)</f>
        <v>n.r.</v>
      </c>
      <c r="AU71" s="8" t="str">
        <f ca="1">OFFSET(Database!$F71,0,COLUMN(Database!AR71)*2-12)</f>
        <v>n.r.</v>
      </c>
      <c r="AV71" s="8" t="str">
        <f ca="1">OFFSET(Database!$F71,0,COLUMN(Database!AS71)*2-12)</f>
        <v>n.r.</v>
      </c>
      <c r="AW71" s="8" t="str">
        <f ca="1">OFFSET(Database!$F71,0,COLUMN(Database!AT71)*2-12)</f>
        <v>n.r.</v>
      </c>
      <c r="AX71" s="8" t="str">
        <f ca="1">OFFSET(Database!$F71,0,COLUMN(Database!AU71)*2-12)</f>
        <v>n.r.</v>
      </c>
      <c r="AY71" s="8" t="str">
        <f ca="1">OFFSET(Database!$F71,0,COLUMN(Database!AV71)*2-12)</f>
        <v>n.r.</v>
      </c>
      <c r="AZ71" s="8" t="str">
        <f ca="1">OFFSET(Database!$F71,0,COLUMN(Database!AW71)*2-12)</f>
        <v>n.r.</v>
      </c>
      <c r="BA71" s="8" t="str">
        <f ca="1">OFFSET(Database!$F71,0,COLUMN(Database!AX71)*2-12)</f>
        <v>n.r.</v>
      </c>
      <c r="BB71" s="8" t="str">
        <f ca="1">OFFSET(Database!$F71,0,COLUMN(Database!AY71)*2-12)</f>
        <v>n.r.</v>
      </c>
      <c r="BC71" s="8" t="str">
        <f ca="1">OFFSET(Database!$F71,0,COLUMN(Database!AZ71)*2-12)</f>
        <v>n.r.</v>
      </c>
      <c r="BD71" s="8" t="str">
        <f ca="1">OFFSET(Database!$F71,0,COLUMN(Database!BA71)*2-12)</f>
        <v>n.r.</v>
      </c>
      <c r="BE71" s="8" t="str">
        <f ca="1">OFFSET(Database!$F71,0,COLUMN(Database!BB71)*2-12)</f>
        <v>n.r.</v>
      </c>
      <c r="BF71" s="8" t="str">
        <f ca="1">OFFSET(Database!$F71,0,COLUMN(Database!BC71)*2-12)</f>
        <v>n.r.</v>
      </c>
      <c r="BG71" s="8" t="str">
        <f ca="1">OFFSET(Database!$F71,0,COLUMN(Database!BD71)*2-12)</f>
        <v>n.r.</v>
      </c>
      <c r="BH71" s="8" t="str">
        <f ca="1">OFFSET(Database!$F71,0,COLUMN(Database!BE71)*2-12)</f>
        <v>n.r.</v>
      </c>
      <c r="BI71" s="8" t="str">
        <f ca="1">OFFSET(Database!$F71,0,COLUMN(Database!BF71)*2-12)</f>
        <v>n.r.</v>
      </c>
      <c r="BJ71" s="8" t="str">
        <f ca="1">OFFSET(Database!$F71,0,COLUMN(Database!BG71)*2-12)</f>
        <v>n.r.</v>
      </c>
      <c r="BK71" s="8" t="str">
        <f ca="1">OFFSET(Database!$F71,0,COLUMN(Database!BH71)*2-12)</f>
        <v>n.r.</v>
      </c>
      <c r="BL71" s="8" t="str">
        <f ca="1">OFFSET(Database!$F71,0,COLUMN(Database!BI71)*2-12)</f>
        <v>n.r.</v>
      </c>
      <c r="BM71" s="8" t="str">
        <f ca="1">OFFSET(Database!$F71,0,COLUMN(Database!BJ71)*2-12)</f>
        <v>n.r.</v>
      </c>
      <c r="BN71" s="8" t="str">
        <f ca="1">OFFSET(Database!$F71,0,COLUMN(Database!BK71)*2-12)</f>
        <v>n.r.</v>
      </c>
      <c r="BO71" s="8" t="str">
        <f ca="1">OFFSET(Database!$F71,0,COLUMN(Database!BL71)*2-12)</f>
        <v>n.r.</v>
      </c>
      <c r="BP71" s="8" t="str">
        <f ca="1">OFFSET(Database!$F71,0,COLUMN(Database!BM71)*2-12)</f>
        <v>n.r.</v>
      </c>
      <c r="BQ71" s="8" t="str">
        <f ca="1">OFFSET(Database!$F71,0,COLUMN(Database!BN71)*2-12)</f>
        <v>n.r.</v>
      </c>
      <c r="BR71" s="8" t="str">
        <f ca="1">OFFSET(Database!$F71,0,COLUMN(Database!BO71)*2-12)</f>
        <v>n.r.</v>
      </c>
      <c r="BS71" s="8" t="str">
        <f ca="1">OFFSET(Database!$F71,0,COLUMN(Database!BP71)*2-12)</f>
        <v>n.r.</v>
      </c>
      <c r="BT71" s="8" t="str">
        <f ca="1">OFFSET(Database!$F71,0,COLUMN(Database!BQ71)*2-12)</f>
        <v>n.r.</v>
      </c>
      <c r="BU71" s="8" t="str">
        <f ca="1">OFFSET(Database!$F71,0,COLUMN(Database!BR71)*2-12)</f>
        <v>n.r.</v>
      </c>
      <c r="BV71" s="8" t="str">
        <f ca="1">OFFSET(Database!$F71,0,COLUMN(Database!BS71)*2-12)</f>
        <v>n.r.</v>
      </c>
      <c r="BW71" s="8" t="str">
        <f ca="1">OFFSET(Database!$F71,0,COLUMN(Database!BT71)*2-12)</f>
        <v>n.r.</v>
      </c>
      <c r="BX71" s="8" t="str">
        <f ca="1">OFFSET(Database!$F71,0,COLUMN(Database!BU71)*2-12)</f>
        <v>n.r.</v>
      </c>
      <c r="BY71" s="8" t="str">
        <f ca="1">OFFSET(Database!$F71,0,COLUMN(Database!BV71)*2-12)</f>
        <v>n.r.</v>
      </c>
      <c r="BZ71" s="8" t="str">
        <f ca="1">OFFSET(Database!$F71,0,COLUMN(Database!BW71)*2-12)</f>
        <v>n.r.</v>
      </c>
      <c r="CA71" s="8" t="str">
        <f ca="1">OFFSET(Database!$F71,0,COLUMN(Database!BX71)*2-12)</f>
        <v>n.r.</v>
      </c>
      <c r="CB71" s="8" t="str">
        <f ca="1">OFFSET(Database!$F71,0,COLUMN(Database!BY71)*2-12)</f>
        <v>n.r.</v>
      </c>
      <c r="CC71" s="8" t="str">
        <f ca="1">OFFSET(Database!$F71,0,COLUMN(Database!BZ71)*2-12)</f>
        <v>n.r.</v>
      </c>
      <c r="CD71" s="8">
        <f ca="1">OFFSET(Database!$F71,0,COLUMN(Database!CA71)*2-12)</f>
        <v>0.75356415478615069</v>
      </c>
      <c r="CE71" s="8">
        <f ca="1">OFFSET(Database!$F71,0,COLUMN(Database!CB71)*2-12)</f>
        <v>0.37338764426340798</v>
      </c>
      <c r="CF71" s="8">
        <f ca="1">OFFSET(Database!$F71,0,COLUMN(Database!CC71)*2-12)</f>
        <v>0.16972165648336726</v>
      </c>
      <c r="CG71" s="8" t="str">
        <f ca="1">OFFSET(Database!$F71,0,COLUMN(Database!CD71)*2-12)</f>
        <v>n.r.</v>
      </c>
      <c r="CH71" s="8" t="str">
        <f ca="1">OFFSET(Database!$F71,0,COLUMN(Database!CE71)*2-12)</f>
        <v>n.r.</v>
      </c>
      <c r="CI71" s="8">
        <f ca="1">OFFSET(Database!$F71,0,COLUMN(Database!CF71)*2-12)</f>
        <v>0.69246435845213838</v>
      </c>
      <c r="CJ71" s="8">
        <f ca="1">OFFSET(Database!$F71,0,COLUMN(Database!CG71)*2-12)</f>
        <v>0.36659877800407331</v>
      </c>
      <c r="CK71" s="8">
        <f ca="1">OFFSET(Database!$F71,0,COLUMN(Database!CH71)*2-12)</f>
        <v>0.16293279022403256</v>
      </c>
      <c r="CL71" s="8" t="str">
        <f ca="1">OFFSET(Database!$F71,0,COLUMN(Database!CI71)*2-12)</f>
        <v>n.r.</v>
      </c>
      <c r="CM71" s="8">
        <f ca="1">OFFSET(Database!$F71,0,COLUMN(Database!CJ71)*2-12)</f>
        <v>0.73998642226748124</v>
      </c>
      <c r="CN71" s="8">
        <f ca="1">OFFSET(Database!$F71,0,COLUMN(Database!CK71)*2-12)</f>
        <v>0.39375424304141204</v>
      </c>
      <c r="CO71" s="8" t="str">
        <f ca="1">OFFSET(Database!$F71,0,COLUMN(Database!CL71)*2-12)</f>
        <v>n.r.</v>
      </c>
      <c r="CP71" s="8" t="str">
        <f ca="1">OFFSET(Database!$F71,0,COLUMN(Database!CM71)*2-12)</f>
        <v>n.r.</v>
      </c>
      <c r="CQ71" s="8" t="str">
        <f ca="1">OFFSET(Database!$F71,0,COLUMN(Database!CN71)*2-12)</f>
        <v>n.r.</v>
      </c>
      <c r="CR71" s="8" t="str">
        <f ca="1">OFFSET(Database!$F71,0,COLUMN(Database!CO71)*2-12)</f>
        <v>n.r.</v>
      </c>
      <c r="CS71" s="8" t="str">
        <f ca="1">OFFSET(Database!$F71,0,COLUMN(Database!CP71)*2-12)</f>
        <v>n.r.</v>
      </c>
      <c r="CT71" s="8" t="str">
        <f ca="1">OFFSET(Database!$F71,0,COLUMN(Database!CQ71)*2-12)</f>
        <v>n.r.</v>
      </c>
      <c r="CU71" s="8" t="str">
        <f ca="1">OFFSET(Database!$F71,0,COLUMN(Database!CR71)*2-12)</f>
        <v>n.r.</v>
      </c>
      <c r="CV71" s="8" t="str">
        <f ca="1">OFFSET(Database!$F71,0,COLUMN(Database!CS71)*2-12)</f>
        <v>n.r.</v>
      </c>
      <c r="CW71" s="8" t="str">
        <f ca="1">OFFSET(Database!$F71,0,COLUMN(Database!CT71)*2-12)</f>
        <v>n.r.</v>
      </c>
      <c r="CX71" s="8" t="str">
        <f ca="1">OFFSET(Database!$F71,0,COLUMN(Database!CU71)*2-12)</f>
        <v>n.r.</v>
      </c>
      <c r="CY71" s="8" t="str">
        <f ca="1">OFFSET(Database!$F71,0,COLUMN(Database!CV71)*2-12)</f>
        <v>n.r.</v>
      </c>
      <c r="CZ71" s="8" t="str">
        <f ca="1">OFFSET(Database!$F71,0,COLUMN(Database!CW71)*2-12)</f>
        <v>n.r.</v>
      </c>
      <c r="DA71" s="8" t="str">
        <f ca="1">OFFSET(Database!$F71,0,COLUMN(Database!CX71)*2-12)</f>
        <v>n.r.</v>
      </c>
      <c r="DB71" s="8" t="str">
        <f ca="1">OFFSET(Database!$F71,0,COLUMN(Database!CY71)*2-12)</f>
        <v>n.r.</v>
      </c>
      <c r="DC71" s="8" t="str">
        <f ca="1">OFFSET(Database!$F71,0,COLUMN(Database!CZ71)*2-12)</f>
        <v>n.r.</v>
      </c>
      <c r="DD71" s="8" t="str">
        <f ca="1">OFFSET(Database!$F71,0,COLUMN(Database!DA71)*2-12)</f>
        <v>n.r.</v>
      </c>
      <c r="DE71" s="8" t="str">
        <f ca="1">OFFSET(Database!$F71,0,COLUMN(Database!DB71)*2-12)</f>
        <v>n.r.</v>
      </c>
      <c r="DF71" s="8" t="str">
        <f ca="1">OFFSET(Database!$F71,0,COLUMN(Database!DC71)*2-12)</f>
        <v>n.r.</v>
      </c>
      <c r="DG71" s="8" t="str">
        <f ca="1">OFFSET(Database!$F71,0,COLUMN(Database!DD71)*2-12)</f>
        <v>n.r.</v>
      </c>
      <c r="DH71" s="8" t="str">
        <f ca="1">OFFSET(Database!$F71,0,COLUMN(Database!DE71)*2-12)</f>
        <v>n.r.</v>
      </c>
      <c r="DI71" s="8" t="str">
        <f ca="1">OFFSET(Database!$F71,0,COLUMN(Database!DF71)*2-12)</f>
        <v>n.r.</v>
      </c>
      <c r="DJ71" s="8" t="str">
        <f ca="1">OFFSET(Database!$F71,0,COLUMN(Database!DG71)*2-12)</f>
        <v>n.r.</v>
      </c>
      <c r="DK71" s="8" t="str">
        <f ca="1">OFFSET(Database!$F71,0,COLUMN(Database!DH71)*2-12)</f>
        <v>n.r.</v>
      </c>
      <c r="DL71" s="8" t="str">
        <f ca="1">OFFSET(Database!$F71,0,COLUMN(Database!DI71)*2-12)</f>
        <v>n.r.</v>
      </c>
      <c r="DM71" s="8" t="str">
        <f ca="1">OFFSET(Database!$F71,0,COLUMN(Database!DJ71)*2-12)</f>
        <v>n.r.</v>
      </c>
      <c r="DN71" s="8" t="str">
        <f ca="1">OFFSET(Database!$F71,0,COLUMN(Database!DK71)*2-12)</f>
        <v>n.r.</v>
      </c>
      <c r="DO71" s="8" t="str">
        <f ca="1">OFFSET(Database!$F71,0,COLUMN(Database!DL71)*2-12)</f>
        <v>n.r.</v>
      </c>
      <c r="DP71" s="8" t="str">
        <f ca="1">OFFSET(Database!$F71,0,COLUMN(Database!DM71)*2-12)</f>
        <v>n.r.</v>
      </c>
      <c r="DQ71" s="8" t="str">
        <f ca="1">OFFSET(Database!$F71,0,COLUMN(Database!DN71)*2-12)</f>
        <v>n.r.</v>
      </c>
      <c r="DR71" s="8" t="str">
        <f ca="1">OFFSET(Database!$F71,0,COLUMN(Database!DO71)*2-12)</f>
        <v>n.r.</v>
      </c>
      <c r="DS71" s="8" t="str">
        <f ca="1">OFFSET(Database!$F71,0,COLUMN(Database!DP71)*2-12)</f>
        <v>n.r.</v>
      </c>
      <c r="DT71" s="8" t="str">
        <f ca="1">OFFSET(Database!$F71,0,COLUMN(Database!DQ71)*2-12)</f>
        <v>n.r.</v>
      </c>
      <c r="DU71" s="8" t="str">
        <f ca="1">OFFSET(Database!$F71,0,COLUMN(Database!DR71)*2-12)</f>
        <v>n.r.</v>
      </c>
      <c r="DV71" s="8" t="str">
        <f ca="1">OFFSET(Database!$F71,0,COLUMN(Database!DS71)*2-12)</f>
        <v>n.r.</v>
      </c>
      <c r="DW71" s="8">
        <f ca="1">OFFSET(Database!$F71,0,COLUMN(Database!DT71)*2-12)</f>
        <v>4.5999999999999996</v>
      </c>
      <c r="DX71" s="8">
        <f ca="1">OFFSET(Database!$F71,0,COLUMN(Database!DU71)*2-12)</f>
        <v>1.6</v>
      </c>
      <c r="DY71" s="8">
        <f ca="1">OFFSET(Database!$F71,0,COLUMN(Database!DV71)*2-12)</f>
        <v>0.8</v>
      </c>
      <c r="DZ71" s="8">
        <f ca="1">OFFSET(Database!$F71,0,COLUMN(Database!DW71)*2-12)</f>
        <v>7.4</v>
      </c>
      <c r="EA71" s="8">
        <f ca="1">OFFSET(Database!$F71,0,COLUMN(Database!DX71)*2-12)</f>
        <v>111</v>
      </c>
      <c r="EB71" s="8">
        <f ca="1">OFFSET(Database!$F71,0,COLUMN(Database!DY71)*2-12)</f>
        <v>3.74</v>
      </c>
      <c r="EC71" s="8" t="str">
        <f ca="1">OFFSET(Database!$F71,0,COLUMN(Database!DZ71)*2-12)</f>
        <v>&lt;1.1</v>
      </c>
      <c r="ED71" s="8">
        <f ca="1">OFFSET(Database!$F71,0,COLUMN(Database!EA71)*2-12)</f>
        <v>8.83</v>
      </c>
      <c r="EE71" s="8">
        <f ca="1">OFFSET(Database!$F71,0,COLUMN(Database!EB71)*2-12)</f>
        <v>1270</v>
      </c>
      <c r="EF71" s="8">
        <f ca="1">OFFSET(Database!$F71,0,COLUMN(Database!EC71)*2-12)</f>
        <v>480</v>
      </c>
      <c r="EG71" s="8">
        <f ca="1">OFFSET(Database!$F71,0,COLUMN(Database!ED71)*2-12)</f>
        <v>1250</v>
      </c>
      <c r="EH71" s="8">
        <f ca="1">OFFSET(Database!$F71,0,COLUMN(Database!EE71)*2-12)</f>
        <v>340</v>
      </c>
      <c r="EI71" s="8">
        <f ca="1">OFFSET(Database!$F71,0,COLUMN(Database!EF71)*2-12)</f>
        <v>0.16700000000000001</v>
      </c>
      <c r="EJ71" s="8">
        <f ca="1">OFFSET(Database!$F71,0,COLUMN(Database!EG71)*2-12)</f>
        <v>0.13700000000000001</v>
      </c>
      <c r="EK71" s="8">
        <f ca="1">OFFSET(Database!$F71,0,COLUMN(Database!EH71)*2-12)</f>
        <v>0.315</v>
      </c>
      <c r="EL71" s="8">
        <f ca="1">OFFSET(Database!$F71,0,COLUMN(Database!EI71)*2-12)</f>
        <v>0.84799999999999998</v>
      </c>
      <c r="EM71" s="8">
        <f ca="1">OFFSET(Database!$F71,0,COLUMN(Database!EJ71)*2-12)</f>
        <v>0.55600000000000005</v>
      </c>
      <c r="EN71" s="8">
        <f ca="1">OFFSET(Database!$F71,0,COLUMN(Database!EK71)*2-12)</f>
        <v>0.40100000000000002</v>
      </c>
      <c r="EO71" s="8">
        <f ca="1">OFFSET(Database!$F71,0,COLUMN(Database!EL71)*2-12)</f>
        <v>0.66200000000000003</v>
      </c>
      <c r="EP71" s="8">
        <f ca="1">OFFSET(Database!$F71,0,COLUMN(Database!EM71)*2-12)</f>
        <v>0.60699999999999998</v>
      </c>
      <c r="EQ71" s="8">
        <f ca="1">OFFSET(Database!$F71,0,COLUMN(Database!EN71)*2-12)</f>
        <v>14.18</v>
      </c>
      <c r="ER71" s="8">
        <f ca="1">OFFSET(Database!$F71,0,COLUMN(Database!EO71)*2-12)</f>
        <v>30.717356640255975</v>
      </c>
      <c r="ES71" s="8">
        <f ca="1">OFFSET(Database!$F71,0,COLUMN(Database!EP71)*2-12)</f>
        <v>20.735869263854102</v>
      </c>
      <c r="ET71" s="8">
        <f ca="1">OFFSET(Database!$F71,0,COLUMN(Database!EQ71)*2-12)</f>
        <v>46.926790040038121</v>
      </c>
      <c r="EU71" s="8">
        <f ca="1">OFFSET(Database!$F71,0,COLUMN(Database!ER71)*2-12)</f>
        <v>19.741821209978664</v>
      </c>
      <c r="EV71" s="8">
        <f ca="1">OFFSET(Database!$F71,0,COLUMN(Database!ES71)*2-12)</f>
        <v>9.9274837436013144</v>
      </c>
      <c r="EW71" s="8">
        <f ca="1">OFFSET(Database!$F71,0,COLUMN(Database!ET71)*2-12)</f>
        <v>215500</v>
      </c>
      <c r="EX71" s="8">
        <f ca="1">OFFSET(Database!$F71,0,COLUMN(Database!EU71)*2-12)</f>
        <v>990000</v>
      </c>
      <c r="EY71" s="8">
        <f ca="1">OFFSET(Database!$F71,0,COLUMN(Database!EV71)*2-12)</f>
        <v>151800</v>
      </c>
      <c r="EZ71" s="8">
        <f ca="1">OFFSET(Database!$F71,0,COLUMN(Database!EW71)*2-12)</f>
        <v>236300</v>
      </c>
      <c r="FA71" s="8">
        <f ca="1">OFFSET(Database!$F71,0,COLUMN(Database!EX71)*2-12)</f>
        <v>592700</v>
      </c>
      <c r="FB71" s="8" t="str">
        <f ca="1">OFFSET(Database!$F71,0,COLUMN(Database!EY71)*2-12)</f>
        <v>n.r.</v>
      </c>
      <c r="FC71" s="8" t="str">
        <f ca="1">OFFSET(Database!$F71,0,COLUMN(Database!EZ71)*2-12)</f>
        <v>n.r.</v>
      </c>
      <c r="FD71" s="8" t="str">
        <f ca="1">OFFSET(Database!$F71,0,COLUMN(Database!FA71)*2-12)</f>
        <v>tr</v>
      </c>
      <c r="FE71" s="8" t="str">
        <f ca="1">OFFSET(Database!$F71,0,COLUMN(Database!FB71)*2-12)</f>
        <v>tr</v>
      </c>
      <c r="FF71" s="8" t="str">
        <f ca="1">OFFSET(Database!$F71,0,COLUMN(Database!FC71)*2-12)</f>
        <v>tr</v>
      </c>
      <c r="FG71" s="8">
        <f ca="1">OFFSET(Database!$F71,0,COLUMN(Database!FD71)*2-12)</f>
        <v>285132.38289205701</v>
      </c>
      <c r="FH71" s="8" t="str">
        <f ca="1">OFFSET(Database!$F71,0,COLUMN(Database!FE71)*2-12)</f>
        <v>n.r.</v>
      </c>
      <c r="FI71" s="8" t="str">
        <f ca="1">OFFSET(Database!$F71,0,COLUMN(Database!FF71)*2-12)</f>
        <v>n.r.</v>
      </c>
      <c r="FJ71" s="8" t="str">
        <f ca="1">OFFSET(Database!$F71,0,COLUMN(Database!FG71)*2-12)</f>
        <v>n.r.</v>
      </c>
      <c r="FK71" s="8">
        <f ca="1">OFFSET(Database!$F71,0,COLUMN(Database!FH71)*2-12)</f>
        <v>1077393.0753564152</v>
      </c>
      <c r="FL71" s="8">
        <f ca="1">OFFSET(Database!$F71,0,COLUMN(Database!FI71)*2-12)</f>
        <v>1025118.8051595383</v>
      </c>
      <c r="FM71" s="8">
        <f ca="1">OFFSET(Database!$F71,0,COLUMN(Database!FJ71)*2-12)</f>
        <v>103190.76714188729</v>
      </c>
      <c r="FN71" s="8">
        <f ca="1">OFFSET(Database!$F71,0,COLUMN(Database!FK71)*2-12)</f>
        <v>640868.97488119476</v>
      </c>
      <c r="FO71" s="8">
        <f ca="1">OFFSET(Database!$F71,0,COLUMN(Database!FL71)*2-12)</f>
        <v>1075356.4154786151</v>
      </c>
      <c r="FP71" s="8">
        <f ca="1">OFFSET(Database!$F71,0,COLUMN(Database!FM71)*2-12)</f>
        <v>1000678.8866259333</v>
      </c>
      <c r="FQ71" s="8">
        <f ca="1">OFFSET(Database!$F71,0,COLUMN(Database!FN71)*2-12)</f>
        <v>24711.473183978273</v>
      </c>
      <c r="FR71" s="8">
        <f ca="1">OFFSET(Database!$F71,0,COLUMN(Database!FO71)*2-12)</f>
        <v>32450.780719619823</v>
      </c>
      <c r="FS71" s="8">
        <f ca="1">OFFSET(Database!$F71,0,COLUMN(Database!FP71)*2-12)</f>
        <v>29260.013577732516</v>
      </c>
      <c r="FT71" s="8">
        <f ca="1">OFFSET(Database!$F71,0,COLUMN(Database!FQ71)*2-12)</f>
        <v>24100.475220638153</v>
      </c>
      <c r="FU71" s="8">
        <f ca="1">OFFSET(Database!$F71,0,COLUMN(Database!FR71)*2-12)</f>
        <v>18006</v>
      </c>
      <c r="FV71" s="8">
        <f ca="1">OFFSET(Database!$F71,0,COLUMN(Database!FS71)*2-12)</f>
        <v>14498</v>
      </c>
      <c r="FW71" s="8">
        <f ca="1">OFFSET(Database!$F71,0,COLUMN(Database!FT71)*2-12)</f>
        <v>23026</v>
      </c>
      <c r="FX71" s="8">
        <f ca="1">OFFSET(Database!$F71,0,COLUMN(Database!FU71)*2-12)</f>
        <v>15995</v>
      </c>
      <c r="FY71" s="8">
        <f ca="1">OFFSET(Database!$F71,0,COLUMN(Database!FV71)*2-12)</f>
        <v>18291</v>
      </c>
      <c r="FZ71" s="8">
        <f ca="1">OFFSET(Database!$F71,0,COLUMN(Database!FW71)*2-12)</f>
        <v>25728</v>
      </c>
      <c r="GA71" s="8">
        <f ca="1">OFFSET(Database!$F71,0,COLUMN(Database!FX71)*2-12)</f>
        <v>20785</v>
      </c>
      <c r="GB71" s="8">
        <f ca="1">OFFSET(Database!$F71,0,COLUMN(Database!FY71)*2-12)</f>
        <v>14527</v>
      </c>
      <c r="GC71" s="8">
        <f ca="1">OFFSET(Database!$F71,0,COLUMN(Database!FZ71)*2-12)</f>
        <v>17375</v>
      </c>
      <c r="GD71" s="8">
        <f ca="1">OFFSET(Database!$F71,0,COLUMN(Database!GA71)*2-12)</f>
        <v>16060</v>
      </c>
      <c r="GE71" s="8">
        <f ca="1">OFFSET(Database!$F71,0,COLUMN(Database!GB71)*2-12)</f>
        <v>11976</v>
      </c>
      <c r="GF71" s="8">
        <f ca="1">OFFSET(Database!$F71,0,COLUMN(Database!GC71)*2-12)</f>
        <v>16613</v>
      </c>
      <c r="GG71" s="8">
        <f ca="1">OFFSET(Database!$F71,0,COLUMN(Database!GD71)*2-12)</f>
        <v>712.83095723014253</v>
      </c>
      <c r="GH71" s="8">
        <f ca="1">OFFSET(Database!$F71,0,COLUMN(Database!GE71)*2-12)</f>
        <v>3869.6537678207737</v>
      </c>
      <c r="GI71" s="8">
        <f ca="1">OFFSET(Database!$F71,0,COLUMN(Database!GF71)*2-12)</f>
        <v>5363.2043448744053</v>
      </c>
      <c r="GJ71" s="8">
        <f ca="1">OFFSET(Database!$F71,0,COLUMN(Database!GG71)*2-12)</f>
        <v>9775.9674134419547</v>
      </c>
      <c r="GK71" s="8">
        <f ca="1">OFFSET(Database!$F71,0,COLUMN(Database!GH71)*2-12)</f>
        <v>50169.721656483365</v>
      </c>
      <c r="GL71" s="8" t="str">
        <f ca="1">OFFSET(Database!$F71,0,COLUMN(Database!GI71)*2-12)</f>
        <v>l.o.d.</v>
      </c>
      <c r="GM71" s="8">
        <f ca="1">OFFSET(Database!$F71,0,COLUMN(Database!GJ71)*2-12)</f>
        <v>1799.7284453496266</v>
      </c>
      <c r="GN71" s="8">
        <f ca="1">OFFSET(Database!$F71,0,COLUMN(Database!GK71)*2-12)</f>
        <v>434487.44059742021</v>
      </c>
      <c r="GO71" s="8" t="str">
        <f ca="1">OFFSET(Database!$F71,0,COLUMN(Database!GL71)*2-12)</f>
        <v>n.r.</v>
      </c>
      <c r="GP71" s="8" t="str">
        <f ca="1">OFFSET(Database!$F71,0,COLUMN(Database!GM71)*2-12)</f>
        <v>n.r.</v>
      </c>
    </row>
    <row r="72" spans="1:198" x14ac:dyDescent="0.2">
      <c r="A72" s="50" t="str">
        <f>Database!A72</f>
        <v>L-proline</v>
      </c>
      <c r="B72" s="1" t="s">
        <v>873</v>
      </c>
      <c r="C72" s="4" t="str">
        <f>Database!B72</f>
        <v>ɑ</v>
      </c>
      <c r="D72" s="4" t="str">
        <f>Database!C72</f>
        <v>L</v>
      </c>
      <c r="E72" s="74">
        <f>Database!D72</f>
        <v>3</v>
      </c>
      <c r="F72" s="34" t="s">
        <v>947</v>
      </c>
      <c r="G72" s="1">
        <v>145742</v>
      </c>
      <c r="H72" s="1">
        <f>Database!E72</f>
        <v>115.13</v>
      </c>
      <c r="I72" s="8" t="str">
        <f ca="1">OFFSET(Database!$F72,0,COLUMN(Database!F72)*2-12)</f>
        <v>n.r.</v>
      </c>
      <c r="J72" s="8" t="str">
        <f ca="1">OFFSET(Database!$F72,0,COLUMN(Database!G72)*2-12)</f>
        <v>n.r.</v>
      </c>
      <c r="K72" s="8" t="str">
        <f ca="1">OFFSET(Database!$F72,0,COLUMN(Database!H72)*2-12)</f>
        <v>n.r.</v>
      </c>
      <c r="L72" s="8" t="str">
        <f ca="1">OFFSET(Database!$F72,0,COLUMN(Database!I72)*2-12)</f>
        <v>n.r.</v>
      </c>
      <c r="M72" s="8" t="str">
        <f ca="1">OFFSET(Database!$F72,0,COLUMN(Database!J72)*2-12)</f>
        <v>n.r.</v>
      </c>
      <c r="N72" s="8" t="str">
        <f ca="1">OFFSET(Database!$F72,0,COLUMN(Database!K72)*2-12)</f>
        <v>n.r.</v>
      </c>
      <c r="O72" s="8" t="str">
        <f ca="1">OFFSET(Database!$F72,0,COLUMN(Database!L72)*2-12)</f>
        <v>n.r.</v>
      </c>
      <c r="P72" s="8" t="str">
        <f ca="1">OFFSET(Database!$F72,0,COLUMN(Database!M72)*2-12)</f>
        <v>n.r.</v>
      </c>
      <c r="Q72" s="8" t="str">
        <f ca="1">OFFSET(Database!$F72,0,COLUMN(Database!N72)*2-12)</f>
        <v>n.r.</v>
      </c>
      <c r="R72" s="8" t="str">
        <f ca="1">OFFSET(Database!$F72,0,COLUMN(Database!O72)*2-12)</f>
        <v>n.r.</v>
      </c>
      <c r="S72" s="8" t="str">
        <f ca="1">OFFSET(Database!$F72,0,COLUMN(Database!P72)*2-12)</f>
        <v>n.r.</v>
      </c>
      <c r="T72" s="8" t="str">
        <f ca="1">OFFSET(Database!$F72,0,COLUMN(Database!Q72)*2-12)</f>
        <v>n.r.</v>
      </c>
      <c r="U72" s="8" t="str">
        <f ca="1">OFFSET(Database!$F72,0,COLUMN(Database!R72)*2-12)</f>
        <v>n.r.</v>
      </c>
      <c r="V72" s="8" t="str">
        <f ca="1">OFFSET(Database!$F72,0,COLUMN(Database!S72)*2-12)</f>
        <v>n.r.</v>
      </c>
      <c r="W72" s="8" t="str">
        <f ca="1">OFFSET(Database!$F72,0,COLUMN(Database!T72)*2-12)</f>
        <v>n.r.</v>
      </c>
      <c r="X72" s="8" t="str">
        <f ca="1">OFFSET(Database!$F72,0,COLUMN(Database!U72)*2-12)</f>
        <v>n.r.</v>
      </c>
      <c r="Y72" s="8" t="str">
        <f ca="1">OFFSET(Database!$F72,0,COLUMN(Database!V72)*2-12)</f>
        <v>n.r.</v>
      </c>
      <c r="Z72" s="8" t="str">
        <f ca="1">OFFSET(Database!$F72,0,COLUMN(Database!W72)*2-12)</f>
        <v>n.r.</v>
      </c>
      <c r="AA72" s="8" t="str">
        <f ca="1">OFFSET(Database!$F72,0,COLUMN(Database!X72)*2-12)</f>
        <v>n.r.</v>
      </c>
      <c r="AB72" s="8" t="str">
        <f ca="1">OFFSET(Database!$F72,0,COLUMN(Database!Y72)*2-12)</f>
        <v>n.r.</v>
      </c>
      <c r="AC72" s="8" t="str">
        <f ca="1">OFFSET(Database!$F72,0,COLUMN(Database!Z72)*2-12)</f>
        <v>n.r.</v>
      </c>
      <c r="AD72" s="8" t="str">
        <f ca="1">OFFSET(Database!$F72,0,COLUMN(Database!AA72)*2-12)</f>
        <v>n.r.</v>
      </c>
      <c r="AE72" s="8" t="str">
        <f ca="1">OFFSET(Database!$F72,0,COLUMN(Database!AB72)*2-12)</f>
        <v>n.r.</v>
      </c>
      <c r="AF72" s="8" t="str">
        <f ca="1">OFFSET(Database!$F72,0,COLUMN(Database!AC72)*2-12)</f>
        <v>n.r.</v>
      </c>
      <c r="AG72" s="8" t="str">
        <f ca="1">OFFSET(Database!$F72,0,COLUMN(Database!AD72)*2-12)</f>
        <v>n.r.</v>
      </c>
      <c r="AH72" s="8" t="str">
        <f ca="1">OFFSET(Database!$F72,0,COLUMN(Database!AE72)*2-12)</f>
        <v>n.r.</v>
      </c>
      <c r="AI72" s="8" t="str">
        <f ca="1">OFFSET(Database!$F72,0,COLUMN(Database!AF72)*2-12)</f>
        <v>n.r.</v>
      </c>
      <c r="AJ72" s="8" t="str">
        <f ca="1">OFFSET(Database!$F72,0,COLUMN(Database!AG72)*2-12)</f>
        <v>n.r.</v>
      </c>
      <c r="AK72" s="8" t="str">
        <f ca="1">OFFSET(Database!$F72,0,COLUMN(Database!AH72)*2-12)</f>
        <v>n.r.</v>
      </c>
      <c r="AL72" s="8" t="str">
        <f ca="1">OFFSET(Database!$F72,0,COLUMN(Database!AI72)*2-12)</f>
        <v>n.r.</v>
      </c>
      <c r="AM72" s="8" t="str">
        <f ca="1">OFFSET(Database!$F72,0,COLUMN(Database!AJ72)*2-12)</f>
        <v>n.r.</v>
      </c>
      <c r="AN72" s="8" t="str">
        <f ca="1">OFFSET(Database!$F72,0,COLUMN(Database!AK72)*2-12)</f>
        <v>n.r.</v>
      </c>
      <c r="AO72" s="8" t="str">
        <f ca="1">OFFSET(Database!$F72,0,COLUMN(Database!AL72)*2-12)</f>
        <v>n.r.</v>
      </c>
      <c r="AP72" s="8" t="str">
        <f ca="1">OFFSET(Database!$F72,0,COLUMN(Database!AM72)*2-12)</f>
        <v>n.r.</v>
      </c>
      <c r="AQ72" s="8" t="str">
        <f ca="1">OFFSET(Database!$F72,0,COLUMN(Database!AN72)*2-12)</f>
        <v>n.r.</v>
      </c>
      <c r="AR72" s="8" t="str">
        <f ca="1">OFFSET(Database!$F72,0,COLUMN(Database!AO72)*2-12)</f>
        <v>n.r.</v>
      </c>
      <c r="AS72" s="8" t="str">
        <f ca="1">OFFSET(Database!$F72,0,COLUMN(Database!AP72)*2-12)</f>
        <v>n.r.</v>
      </c>
      <c r="AT72" s="8" t="str">
        <f ca="1">OFFSET(Database!$F72,0,COLUMN(Database!AQ72)*2-12)</f>
        <v>n.r.</v>
      </c>
      <c r="AU72" s="8" t="str">
        <f ca="1">OFFSET(Database!$F72,0,COLUMN(Database!AR72)*2-12)</f>
        <v>n.r.</v>
      </c>
      <c r="AV72" s="8" t="str">
        <f ca="1">OFFSET(Database!$F72,0,COLUMN(Database!AS72)*2-12)</f>
        <v>n.r.</v>
      </c>
      <c r="AW72" s="8" t="str">
        <f ca="1">OFFSET(Database!$F72,0,COLUMN(Database!AT72)*2-12)</f>
        <v>n.r.</v>
      </c>
      <c r="AX72" s="8" t="str">
        <f ca="1">OFFSET(Database!$F72,0,COLUMN(Database!AU72)*2-12)</f>
        <v>n.r.</v>
      </c>
      <c r="AY72" s="8" t="str">
        <f ca="1">OFFSET(Database!$F72,0,COLUMN(Database!AV72)*2-12)</f>
        <v>n.r.</v>
      </c>
      <c r="AZ72" s="8" t="str">
        <f ca="1">OFFSET(Database!$F72,0,COLUMN(Database!AW72)*2-12)</f>
        <v>n.r.</v>
      </c>
      <c r="BA72" s="8" t="str">
        <f ca="1">OFFSET(Database!$F72,0,COLUMN(Database!AX72)*2-12)</f>
        <v>n.r.</v>
      </c>
      <c r="BB72" s="8" t="str">
        <f ca="1">OFFSET(Database!$F72,0,COLUMN(Database!AY72)*2-12)</f>
        <v>n.r.</v>
      </c>
      <c r="BC72" s="8" t="str">
        <f ca="1">OFFSET(Database!$F72,0,COLUMN(Database!AZ72)*2-12)</f>
        <v>n.r.</v>
      </c>
      <c r="BD72" s="8" t="str">
        <f ca="1">OFFSET(Database!$F72,0,COLUMN(Database!BA72)*2-12)</f>
        <v>n.r.</v>
      </c>
      <c r="BE72" s="8" t="str">
        <f ca="1">OFFSET(Database!$F72,0,COLUMN(Database!BB72)*2-12)</f>
        <v>n.r.</v>
      </c>
      <c r="BF72" s="8" t="str">
        <f ca="1">OFFSET(Database!$F72,0,COLUMN(Database!BC72)*2-12)</f>
        <v>n.r.</v>
      </c>
      <c r="BG72" s="8" t="str">
        <f ca="1">OFFSET(Database!$F72,0,COLUMN(Database!BD72)*2-12)</f>
        <v>n.r.</v>
      </c>
      <c r="BH72" s="8" t="str">
        <f ca="1">OFFSET(Database!$F72,0,COLUMN(Database!BE72)*2-12)</f>
        <v>n.r.</v>
      </c>
      <c r="BI72" s="8" t="str">
        <f ca="1">OFFSET(Database!$F72,0,COLUMN(Database!BF72)*2-12)</f>
        <v>n.r.</v>
      </c>
      <c r="BJ72" s="8" t="str">
        <f ca="1">OFFSET(Database!$F72,0,COLUMN(Database!BG72)*2-12)</f>
        <v>n.r.</v>
      </c>
      <c r="BK72" s="8" t="str">
        <f ca="1">OFFSET(Database!$F72,0,COLUMN(Database!BH72)*2-12)</f>
        <v>n.r.</v>
      </c>
      <c r="BL72" s="8" t="str">
        <f ca="1">OFFSET(Database!$F72,0,COLUMN(Database!BI72)*2-12)</f>
        <v>n.r.</v>
      </c>
      <c r="BM72" s="8" t="str">
        <f ca="1">OFFSET(Database!$F72,0,COLUMN(Database!BJ72)*2-12)</f>
        <v>n.r.</v>
      </c>
      <c r="BN72" s="8" t="str">
        <f ca="1">OFFSET(Database!$F72,0,COLUMN(Database!BK72)*2-12)</f>
        <v>n.r.</v>
      </c>
      <c r="BO72" s="8" t="str">
        <f ca="1">OFFSET(Database!$F72,0,COLUMN(Database!BL72)*2-12)</f>
        <v>n.r.</v>
      </c>
      <c r="BP72" s="8" t="str">
        <f ca="1">OFFSET(Database!$F72,0,COLUMN(Database!BM72)*2-12)</f>
        <v>n.r.</v>
      </c>
      <c r="BQ72" s="8" t="str">
        <f ca="1">OFFSET(Database!$F72,0,COLUMN(Database!BN72)*2-12)</f>
        <v>n.r.</v>
      </c>
      <c r="BR72" s="8" t="str">
        <f ca="1">OFFSET(Database!$F72,0,COLUMN(Database!BO72)*2-12)</f>
        <v>n.r.</v>
      </c>
      <c r="BS72" s="8" t="str">
        <f ca="1">OFFSET(Database!$F72,0,COLUMN(Database!BP72)*2-12)</f>
        <v>n.r.</v>
      </c>
      <c r="BT72" s="8" t="str">
        <f ca="1">OFFSET(Database!$F72,0,COLUMN(Database!BQ72)*2-12)</f>
        <v>n.r.</v>
      </c>
      <c r="BU72" s="8" t="str">
        <f ca="1">OFFSET(Database!$F72,0,COLUMN(Database!BR72)*2-12)</f>
        <v>n.r.</v>
      </c>
      <c r="BV72" s="8" t="str">
        <f ca="1">OFFSET(Database!$F72,0,COLUMN(Database!BS72)*2-12)</f>
        <v>n.r.</v>
      </c>
      <c r="BW72" s="8" t="str">
        <f ca="1">OFFSET(Database!$F72,0,COLUMN(Database!BT72)*2-12)</f>
        <v>n.r.</v>
      </c>
      <c r="BX72" s="8" t="str">
        <f ca="1">OFFSET(Database!$F72,0,COLUMN(Database!BU72)*2-12)</f>
        <v>n.r.</v>
      </c>
      <c r="BY72" s="8" t="str">
        <f ca="1">OFFSET(Database!$F72,0,COLUMN(Database!BV72)*2-12)</f>
        <v>n.r.</v>
      </c>
      <c r="BZ72" s="8" t="str">
        <f ca="1">OFFSET(Database!$F72,0,COLUMN(Database!BW72)*2-12)</f>
        <v>n.r.</v>
      </c>
      <c r="CA72" s="8" t="str">
        <f ca="1">OFFSET(Database!$F72,0,COLUMN(Database!BX72)*2-12)</f>
        <v>n.r.</v>
      </c>
      <c r="CB72" s="8" t="str">
        <f ca="1">OFFSET(Database!$F72,0,COLUMN(Database!BY72)*2-12)</f>
        <v>n.r.</v>
      </c>
      <c r="CC72" s="8" t="str">
        <f ca="1">OFFSET(Database!$F72,0,COLUMN(Database!BZ72)*2-12)</f>
        <v>n.r.</v>
      </c>
      <c r="CD72" s="8" t="str">
        <f ca="1">OFFSET(Database!$F72,0,COLUMN(Database!CA72)*2-12)</f>
        <v>n.r.</v>
      </c>
      <c r="CE72" s="8" t="str">
        <f ca="1">OFFSET(Database!$F72,0,COLUMN(Database!CB72)*2-12)</f>
        <v>n.r.</v>
      </c>
      <c r="CF72" s="8" t="str">
        <f ca="1">OFFSET(Database!$F72,0,COLUMN(Database!CC72)*2-12)</f>
        <v>n.r.</v>
      </c>
      <c r="CG72" s="8" t="str">
        <f ca="1">OFFSET(Database!$F72,0,COLUMN(Database!CD72)*2-12)</f>
        <v>n.r.</v>
      </c>
      <c r="CH72" s="8" t="str">
        <f ca="1">OFFSET(Database!$F72,0,COLUMN(Database!CE72)*2-12)</f>
        <v>n.r.</v>
      </c>
      <c r="CI72" s="8" t="str">
        <f ca="1">OFFSET(Database!$F72,0,COLUMN(Database!CF72)*2-12)</f>
        <v>n.r.</v>
      </c>
      <c r="CJ72" s="8" t="str">
        <f ca="1">OFFSET(Database!$F72,0,COLUMN(Database!CG72)*2-12)</f>
        <v>n.r.</v>
      </c>
      <c r="CK72" s="8" t="str">
        <f ca="1">OFFSET(Database!$F72,0,COLUMN(Database!CH72)*2-12)</f>
        <v>n.r.</v>
      </c>
      <c r="CL72" s="8" t="str">
        <f ca="1">OFFSET(Database!$F72,0,COLUMN(Database!CI72)*2-12)</f>
        <v>n.r.</v>
      </c>
      <c r="CM72" s="8" t="str">
        <f ca="1">OFFSET(Database!$F72,0,COLUMN(Database!CJ72)*2-12)</f>
        <v>n.r.</v>
      </c>
      <c r="CN72" s="8" t="str">
        <f ca="1">OFFSET(Database!$F72,0,COLUMN(Database!CK72)*2-12)</f>
        <v>n.r.</v>
      </c>
      <c r="CO72" s="8" t="str">
        <f ca="1">OFFSET(Database!$F72,0,COLUMN(Database!CL72)*2-12)</f>
        <v>n.r.</v>
      </c>
      <c r="CP72" s="8" t="str">
        <f ca="1">OFFSET(Database!$F72,0,COLUMN(Database!CM72)*2-12)</f>
        <v>n.r.</v>
      </c>
      <c r="CQ72" s="8" t="str">
        <f ca="1">OFFSET(Database!$F72,0,COLUMN(Database!CN72)*2-12)</f>
        <v>n.r.</v>
      </c>
      <c r="CR72" s="8" t="str">
        <f ca="1">OFFSET(Database!$F72,0,COLUMN(Database!CO72)*2-12)</f>
        <v>n.r.</v>
      </c>
      <c r="CS72" s="8" t="str">
        <f ca="1">OFFSET(Database!$F72,0,COLUMN(Database!CP72)*2-12)</f>
        <v>n.r.</v>
      </c>
      <c r="CT72" s="8" t="str">
        <f ca="1">OFFSET(Database!$F72,0,COLUMN(Database!CQ72)*2-12)</f>
        <v>n.r.</v>
      </c>
      <c r="CU72" s="8" t="str">
        <f ca="1">OFFSET(Database!$F72,0,COLUMN(Database!CR72)*2-12)</f>
        <v>n.r.</v>
      </c>
      <c r="CV72" s="8" t="str">
        <f ca="1">OFFSET(Database!$F72,0,COLUMN(Database!CS72)*2-12)</f>
        <v>n.r.</v>
      </c>
      <c r="CW72" s="8" t="str">
        <f ca="1">OFFSET(Database!$F72,0,COLUMN(Database!CT72)*2-12)</f>
        <v>n.r.</v>
      </c>
      <c r="CX72" s="8" t="str">
        <f ca="1">OFFSET(Database!$F72,0,COLUMN(Database!CU72)*2-12)</f>
        <v>n.r.</v>
      </c>
      <c r="CY72" s="8" t="str">
        <f ca="1">OFFSET(Database!$F72,0,COLUMN(Database!CV72)*2-12)</f>
        <v>n.r.</v>
      </c>
      <c r="CZ72" s="8" t="str">
        <f ca="1">OFFSET(Database!$F72,0,COLUMN(Database!CW72)*2-12)</f>
        <v>n.r.</v>
      </c>
      <c r="DA72" s="8" t="str">
        <f ca="1">OFFSET(Database!$F72,0,COLUMN(Database!CX72)*2-12)</f>
        <v>n.r.</v>
      </c>
      <c r="DB72" s="8" t="str">
        <f ca="1">OFFSET(Database!$F72,0,COLUMN(Database!CY72)*2-12)</f>
        <v>n.r.</v>
      </c>
      <c r="DC72" s="8" t="str">
        <f ca="1">OFFSET(Database!$F72,0,COLUMN(Database!CZ72)*2-12)</f>
        <v>n.r.</v>
      </c>
      <c r="DD72" s="8" t="str">
        <f ca="1">OFFSET(Database!$F72,0,COLUMN(Database!DA72)*2-12)</f>
        <v>n.r.</v>
      </c>
      <c r="DE72" s="8" t="str">
        <f ca="1">OFFSET(Database!$F72,0,COLUMN(Database!DB72)*2-12)</f>
        <v>n.r.</v>
      </c>
      <c r="DF72" s="8" t="str">
        <f ca="1">OFFSET(Database!$F72,0,COLUMN(Database!DC72)*2-12)</f>
        <v>n.r.</v>
      </c>
      <c r="DG72" s="8" t="str">
        <f ca="1">OFFSET(Database!$F72,0,COLUMN(Database!DD72)*2-12)</f>
        <v>n.r.</v>
      </c>
      <c r="DH72" s="8" t="str">
        <f ca="1">OFFSET(Database!$F72,0,COLUMN(Database!DE72)*2-12)</f>
        <v>n.r.</v>
      </c>
      <c r="DI72" s="8" t="str">
        <f ca="1">OFFSET(Database!$F72,0,COLUMN(Database!DF72)*2-12)</f>
        <v>n.r.</v>
      </c>
      <c r="DJ72" s="8" t="str">
        <f ca="1">OFFSET(Database!$F72,0,COLUMN(Database!DG72)*2-12)</f>
        <v>n.r.</v>
      </c>
      <c r="DK72" s="8" t="str">
        <f ca="1">OFFSET(Database!$F72,0,COLUMN(Database!DH72)*2-12)</f>
        <v>n.r.</v>
      </c>
      <c r="DL72" s="8" t="str">
        <f ca="1">OFFSET(Database!$F72,0,COLUMN(Database!DI72)*2-12)</f>
        <v>n.r.</v>
      </c>
      <c r="DM72" s="8" t="str">
        <f ca="1">OFFSET(Database!$F72,0,COLUMN(Database!DJ72)*2-12)</f>
        <v>n.r.</v>
      </c>
      <c r="DN72" s="8" t="str">
        <f ca="1">OFFSET(Database!$F72,0,COLUMN(Database!DK72)*2-12)</f>
        <v>n.r.</v>
      </c>
      <c r="DO72" s="8" t="str">
        <f ca="1">OFFSET(Database!$F72,0,COLUMN(Database!DL72)*2-12)</f>
        <v>n.r.</v>
      </c>
      <c r="DP72" s="8" t="str">
        <f ca="1">OFFSET(Database!$F72,0,COLUMN(Database!DM72)*2-12)</f>
        <v>n.r.</v>
      </c>
      <c r="DQ72" s="8" t="str">
        <f ca="1">OFFSET(Database!$F72,0,COLUMN(Database!DN72)*2-12)</f>
        <v>n.r.</v>
      </c>
      <c r="DR72" s="8" t="str">
        <f ca="1">OFFSET(Database!$F72,0,COLUMN(Database!DO72)*2-12)</f>
        <v>n.r.</v>
      </c>
      <c r="DS72" s="8" t="str">
        <f ca="1">OFFSET(Database!$F72,0,COLUMN(Database!DP72)*2-12)</f>
        <v>n.r.</v>
      </c>
      <c r="DT72" s="8" t="str">
        <f ca="1">OFFSET(Database!$F72,0,COLUMN(Database!DQ72)*2-12)</f>
        <v>n.r.</v>
      </c>
      <c r="DU72" s="8" t="str">
        <f ca="1">OFFSET(Database!$F72,0,COLUMN(Database!DR72)*2-12)</f>
        <v>n.r.</v>
      </c>
      <c r="DV72" s="8" t="str">
        <f ca="1">OFFSET(Database!$F72,0,COLUMN(Database!DS72)*2-12)</f>
        <v>n.r.</v>
      </c>
      <c r="DW72" s="8" t="str">
        <f ca="1">OFFSET(Database!$F72,0,COLUMN(Database!DT72)*2-12)</f>
        <v>n.r.</v>
      </c>
      <c r="DX72" s="8" t="str">
        <f ca="1">OFFSET(Database!$F72,0,COLUMN(Database!DU72)*2-12)</f>
        <v>n.r.</v>
      </c>
      <c r="DY72" s="8" t="str">
        <f ca="1">OFFSET(Database!$F72,0,COLUMN(Database!DV72)*2-12)</f>
        <v>n.r.</v>
      </c>
      <c r="DZ72" s="8" t="str">
        <f ca="1">OFFSET(Database!$F72,0,COLUMN(Database!DW72)*2-12)</f>
        <v>n.r.</v>
      </c>
      <c r="EA72" s="8" t="str">
        <f ca="1">OFFSET(Database!$F72,0,COLUMN(Database!DX72)*2-12)</f>
        <v>n.r.</v>
      </c>
      <c r="EB72" s="8" t="str">
        <f ca="1">OFFSET(Database!$F72,0,COLUMN(Database!DY72)*2-12)</f>
        <v>n.r.</v>
      </c>
      <c r="EC72" s="8" t="str">
        <f ca="1">OFFSET(Database!$F72,0,COLUMN(Database!DZ72)*2-12)</f>
        <v>n.r.</v>
      </c>
      <c r="ED72" s="8" t="str">
        <f ca="1">OFFSET(Database!$F72,0,COLUMN(Database!EA72)*2-12)</f>
        <v>n.r.</v>
      </c>
      <c r="EE72" s="8" t="str">
        <f ca="1">OFFSET(Database!$F72,0,COLUMN(Database!EB72)*2-12)</f>
        <v>n.r.</v>
      </c>
      <c r="EF72" s="8" t="str">
        <f ca="1">OFFSET(Database!$F72,0,COLUMN(Database!EC72)*2-12)</f>
        <v>n.r.</v>
      </c>
      <c r="EG72" s="8" t="str">
        <f ca="1">OFFSET(Database!$F72,0,COLUMN(Database!ED72)*2-12)</f>
        <v>n.r.</v>
      </c>
      <c r="EH72" s="8" t="str">
        <f ca="1">OFFSET(Database!$F72,0,COLUMN(Database!EE72)*2-12)</f>
        <v>n.r.</v>
      </c>
      <c r="EI72" s="8" t="str">
        <f ca="1">OFFSET(Database!$F72,0,COLUMN(Database!EF72)*2-12)</f>
        <v>n.r.</v>
      </c>
      <c r="EJ72" s="8" t="str">
        <f ca="1">OFFSET(Database!$F72,0,COLUMN(Database!EG72)*2-12)</f>
        <v>n.r.</v>
      </c>
      <c r="EK72" s="8" t="str">
        <f ca="1">OFFSET(Database!$F72,0,COLUMN(Database!EH72)*2-12)</f>
        <v>n.r.</v>
      </c>
      <c r="EL72" s="8" t="str">
        <f ca="1">OFFSET(Database!$F72,0,COLUMN(Database!EI72)*2-12)</f>
        <v>n.r.</v>
      </c>
      <c r="EM72" s="8" t="str">
        <f ca="1">OFFSET(Database!$F72,0,COLUMN(Database!EJ72)*2-12)</f>
        <v>n.r.</v>
      </c>
      <c r="EN72" s="8" t="str">
        <f ca="1">OFFSET(Database!$F72,0,COLUMN(Database!EK72)*2-12)</f>
        <v>n.r.</v>
      </c>
      <c r="EO72" s="8" t="str">
        <f ca="1">OFFSET(Database!$F72,0,COLUMN(Database!EL72)*2-12)</f>
        <v>n.r.</v>
      </c>
      <c r="EP72" s="8" t="str">
        <f ca="1">OFFSET(Database!$F72,0,COLUMN(Database!EM72)*2-12)</f>
        <v>n.r.</v>
      </c>
      <c r="EQ72" s="8" t="str">
        <f ca="1">OFFSET(Database!$F72,0,COLUMN(Database!EN72)*2-12)</f>
        <v>n.r.</v>
      </c>
      <c r="ER72" s="8" t="str">
        <f ca="1">OFFSET(Database!$F72,0,COLUMN(Database!EO72)*2-12)</f>
        <v>n.r.</v>
      </c>
      <c r="ES72" s="8" t="str">
        <f ca="1">OFFSET(Database!$F72,0,COLUMN(Database!EP72)*2-12)</f>
        <v>n.r.</v>
      </c>
      <c r="ET72" s="8" t="str">
        <f ca="1">OFFSET(Database!$F72,0,COLUMN(Database!EQ72)*2-12)</f>
        <v>n.r.</v>
      </c>
      <c r="EU72" s="8" t="str">
        <f ca="1">OFFSET(Database!$F72,0,COLUMN(Database!ER72)*2-12)</f>
        <v>n.r.</v>
      </c>
      <c r="EV72" s="8" t="str">
        <f ca="1">OFFSET(Database!$F72,0,COLUMN(Database!ES72)*2-12)</f>
        <v>n.r.</v>
      </c>
      <c r="EW72" s="8" t="str">
        <f ca="1">OFFSET(Database!$F72,0,COLUMN(Database!ET72)*2-12)</f>
        <v>n.r.</v>
      </c>
      <c r="EX72" s="8" t="str">
        <f ca="1">OFFSET(Database!$F72,0,COLUMN(Database!EU72)*2-12)</f>
        <v>n.r.</v>
      </c>
      <c r="EY72" s="8" t="str">
        <f ca="1">OFFSET(Database!$F72,0,COLUMN(Database!EV72)*2-12)</f>
        <v>n.r.</v>
      </c>
      <c r="EZ72" s="8" t="str">
        <f ca="1">OFFSET(Database!$F72,0,COLUMN(Database!EW72)*2-12)</f>
        <v>n.r.</v>
      </c>
      <c r="FA72" s="8" t="str">
        <f ca="1">OFFSET(Database!$F72,0,COLUMN(Database!EX72)*2-12)</f>
        <v>n.r.</v>
      </c>
      <c r="FB72" s="8" t="str">
        <f ca="1">OFFSET(Database!$F72,0,COLUMN(Database!EY72)*2-12)</f>
        <v>n.r.</v>
      </c>
      <c r="FC72" s="8" t="str">
        <f ca="1">OFFSET(Database!$F72,0,COLUMN(Database!EZ72)*2-12)</f>
        <v>n.r.</v>
      </c>
      <c r="FD72" s="8">
        <f ca="1">OFFSET(Database!$F72,0,COLUMN(Database!FA72)*2-12)</f>
        <v>1131.4000000000001</v>
      </c>
      <c r="FE72" s="8">
        <f ca="1">OFFSET(Database!$F72,0,COLUMN(Database!FB72)*2-12)</f>
        <v>2641.7</v>
      </c>
      <c r="FF72" s="8">
        <f ca="1">OFFSET(Database!$F72,0,COLUMN(Database!FC72)*2-12)</f>
        <v>2080.6</v>
      </c>
      <c r="FG72" s="8" t="str">
        <f ca="1">OFFSET(Database!$F72,0,COLUMN(Database!FD72)*2-12)</f>
        <v>n.r.</v>
      </c>
      <c r="FH72" s="8" t="str">
        <f ca="1">OFFSET(Database!$F72,0,COLUMN(Database!FE72)*2-12)</f>
        <v>n.r.</v>
      </c>
      <c r="FI72" s="8" t="str">
        <f ca="1">OFFSET(Database!$F72,0,COLUMN(Database!FF72)*2-12)</f>
        <v>n.r.</v>
      </c>
      <c r="FJ72" s="8" t="str">
        <f ca="1">OFFSET(Database!$F72,0,COLUMN(Database!FG72)*2-12)</f>
        <v>n.r.</v>
      </c>
      <c r="FK72" s="8" t="str">
        <f ca="1">OFFSET(Database!$F72,0,COLUMN(Database!FH72)*2-12)</f>
        <v>n.r.</v>
      </c>
      <c r="FL72" s="8" t="str">
        <f ca="1">OFFSET(Database!$F72,0,COLUMN(Database!FI72)*2-12)</f>
        <v>n.r.</v>
      </c>
      <c r="FM72" s="8" t="str">
        <f ca="1">OFFSET(Database!$F72,0,COLUMN(Database!FJ72)*2-12)</f>
        <v>n.r.</v>
      </c>
      <c r="FN72" s="8" t="str">
        <f ca="1">OFFSET(Database!$F72,0,COLUMN(Database!FK72)*2-12)</f>
        <v>n.r.</v>
      </c>
      <c r="FO72" s="8" t="str">
        <f ca="1">OFFSET(Database!$F72,0,COLUMN(Database!FL72)*2-12)</f>
        <v>n.r.</v>
      </c>
      <c r="FP72" s="8" t="str">
        <f ca="1">OFFSET(Database!$F72,0,COLUMN(Database!FM72)*2-12)</f>
        <v>n.r.</v>
      </c>
      <c r="FQ72" s="8" t="str">
        <f ca="1">OFFSET(Database!$F72,0,COLUMN(Database!FN72)*2-12)</f>
        <v>n.r.</v>
      </c>
      <c r="FR72" s="8" t="str">
        <f ca="1">OFFSET(Database!$F72,0,COLUMN(Database!FO72)*2-12)</f>
        <v>n.r.</v>
      </c>
      <c r="FS72" s="8" t="str">
        <f ca="1">OFFSET(Database!$F72,0,COLUMN(Database!FP72)*2-12)</f>
        <v>n.r.</v>
      </c>
      <c r="FT72" s="8" t="str">
        <f ca="1">OFFSET(Database!$F72,0,COLUMN(Database!FQ72)*2-12)</f>
        <v>n.r.</v>
      </c>
      <c r="FU72" s="8" t="str">
        <f ca="1">OFFSET(Database!$F72,0,COLUMN(Database!FR72)*2-12)</f>
        <v>n.r.</v>
      </c>
      <c r="FV72" s="8" t="str">
        <f ca="1">OFFSET(Database!$F72,0,COLUMN(Database!FS72)*2-12)</f>
        <v>n.r.</v>
      </c>
      <c r="FW72" s="8" t="str">
        <f ca="1">OFFSET(Database!$F72,0,COLUMN(Database!FT72)*2-12)</f>
        <v>n.r.</v>
      </c>
      <c r="FX72" s="8" t="str">
        <f ca="1">OFFSET(Database!$F72,0,COLUMN(Database!FU72)*2-12)</f>
        <v>n.r.</v>
      </c>
      <c r="FY72" s="8" t="str">
        <f ca="1">OFFSET(Database!$F72,0,COLUMN(Database!FV72)*2-12)</f>
        <v>n.r.</v>
      </c>
      <c r="FZ72" s="8" t="str">
        <f ca="1">OFFSET(Database!$F72,0,COLUMN(Database!FW72)*2-12)</f>
        <v>n.r.</v>
      </c>
      <c r="GA72" s="8" t="str">
        <f ca="1">OFFSET(Database!$F72,0,COLUMN(Database!FX72)*2-12)</f>
        <v>n.r.</v>
      </c>
      <c r="GB72" s="8" t="str">
        <f ca="1">OFFSET(Database!$F72,0,COLUMN(Database!FY72)*2-12)</f>
        <v>n.r.</v>
      </c>
      <c r="GC72" s="8" t="str">
        <f ca="1">OFFSET(Database!$F72,0,COLUMN(Database!FZ72)*2-12)</f>
        <v>n.r.</v>
      </c>
      <c r="GD72" s="8" t="str">
        <f ca="1">OFFSET(Database!$F72,0,COLUMN(Database!GA72)*2-12)</f>
        <v>n.r.</v>
      </c>
      <c r="GE72" s="8" t="str">
        <f ca="1">OFFSET(Database!$F72,0,COLUMN(Database!GB72)*2-12)</f>
        <v>n.r.</v>
      </c>
      <c r="GF72" s="8" t="str">
        <f ca="1">OFFSET(Database!$F72,0,COLUMN(Database!GC72)*2-12)</f>
        <v>n.r.</v>
      </c>
      <c r="GG72" s="8" t="str">
        <f ca="1">OFFSET(Database!$F72,0,COLUMN(Database!GD72)*2-12)</f>
        <v>n.r.</v>
      </c>
      <c r="GH72" s="8" t="str">
        <f ca="1">OFFSET(Database!$F72,0,COLUMN(Database!GE72)*2-12)</f>
        <v>n.r.</v>
      </c>
      <c r="GI72" s="8" t="str">
        <f ca="1">OFFSET(Database!$F72,0,COLUMN(Database!GF72)*2-12)</f>
        <v>n.r.</v>
      </c>
      <c r="GJ72" s="8" t="str">
        <f ca="1">OFFSET(Database!$F72,0,COLUMN(Database!GG72)*2-12)</f>
        <v>n.r.</v>
      </c>
      <c r="GK72" s="8" t="str">
        <f ca="1">OFFSET(Database!$F72,0,COLUMN(Database!GH72)*2-12)</f>
        <v>n.r.</v>
      </c>
      <c r="GL72" s="8" t="str">
        <f ca="1">OFFSET(Database!$F72,0,COLUMN(Database!GI72)*2-12)</f>
        <v>n.r.</v>
      </c>
      <c r="GM72" s="8" t="str">
        <f ca="1">OFFSET(Database!$F72,0,COLUMN(Database!GJ72)*2-12)</f>
        <v>n.r.</v>
      </c>
      <c r="GN72" s="8" t="str">
        <f ca="1">OFFSET(Database!$F72,0,COLUMN(Database!GK72)*2-12)</f>
        <v>n.r.</v>
      </c>
      <c r="GO72" s="8" t="str">
        <f ca="1">OFFSET(Database!$F72,0,COLUMN(Database!GL72)*2-12)</f>
        <v>n.r.</v>
      </c>
      <c r="GP72" s="8" t="str">
        <f ca="1">OFFSET(Database!$F72,0,COLUMN(Database!GM72)*2-12)</f>
        <v>n.r.</v>
      </c>
    </row>
    <row r="73" spans="1:198" x14ac:dyDescent="0.2">
      <c r="A73" s="50" t="str">
        <f>Database!A73</f>
        <v>proline</v>
      </c>
      <c r="B73" s="1" t="s">
        <v>873</v>
      </c>
      <c r="C73" s="4" t="str">
        <f>Database!B73</f>
        <v>ɑ</v>
      </c>
      <c r="D73" s="4" t="str">
        <f>Database!C73</f>
        <v>Both</v>
      </c>
      <c r="E73" s="74">
        <f>Database!D73</f>
        <v>57</v>
      </c>
      <c r="F73" s="34" t="s">
        <v>995</v>
      </c>
      <c r="G73" s="1" t="s">
        <v>1124</v>
      </c>
      <c r="H73" s="1">
        <f>Database!E73</f>
        <v>115.13</v>
      </c>
      <c r="I73" s="8" t="str">
        <f ca="1">OFFSET(Database!$F73,0,COLUMN(Database!F73)*2-12)</f>
        <v>n.r.</v>
      </c>
      <c r="J73" s="8" t="str">
        <f ca="1">OFFSET(Database!$F73,0,COLUMN(Database!G73)*2-12)</f>
        <v>n.r.</v>
      </c>
      <c r="K73" s="8" t="str">
        <f ca="1">OFFSET(Database!$F73,0,COLUMN(Database!H73)*2-12)</f>
        <v>n.r.</v>
      </c>
      <c r="L73" s="8" t="str">
        <f ca="1">OFFSET(Database!$F73,0,COLUMN(Database!I73)*2-12)</f>
        <v>n.r.</v>
      </c>
      <c r="M73" s="8" t="str">
        <f ca="1">OFFSET(Database!$F73,0,COLUMN(Database!J73)*2-12)</f>
        <v>n.r.</v>
      </c>
      <c r="N73" s="8" t="str">
        <f ca="1">OFFSET(Database!$F73,0,COLUMN(Database!K73)*2-12)</f>
        <v>n.r.</v>
      </c>
      <c r="O73" s="8" t="str">
        <f ca="1">OFFSET(Database!$F73,0,COLUMN(Database!L73)*2-12)</f>
        <v>n.r.</v>
      </c>
      <c r="P73" s="8" t="str">
        <f ca="1">OFFSET(Database!$F73,0,COLUMN(Database!M73)*2-12)</f>
        <v>n.r.</v>
      </c>
      <c r="Q73" s="8" t="str">
        <f ca="1">OFFSET(Database!$F73,0,COLUMN(Database!N73)*2-12)</f>
        <v>n.r.</v>
      </c>
      <c r="R73" s="8" t="str">
        <f ca="1">OFFSET(Database!$F73,0,COLUMN(Database!O73)*2-12)</f>
        <v>n.r.</v>
      </c>
      <c r="S73" s="8" t="str">
        <f ca="1">OFFSET(Database!$F73,0,COLUMN(Database!P73)*2-12)</f>
        <v>n.r.</v>
      </c>
      <c r="T73" s="8" t="str">
        <f ca="1">OFFSET(Database!$F73,0,COLUMN(Database!Q73)*2-12)</f>
        <v>n.r.</v>
      </c>
      <c r="U73" s="8" t="str">
        <f ca="1">OFFSET(Database!$F73,0,COLUMN(Database!R73)*2-12)</f>
        <v>n.r.</v>
      </c>
      <c r="V73" s="8" t="str">
        <f ca="1">OFFSET(Database!$F73,0,COLUMN(Database!S73)*2-12)</f>
        <v>n.r.</v>
      </c>
      <c r="W73" s="8" t="str">
        <f ca="1">OFFSET(Database!$F73,0,COLUMN(Database!T73)*2-12)</f>
        <v>n.r.</v>
      </c>
      <c r="X73" s="8" t="str">
        <f ca="1">OFFSET(Database!$F73,0,COLUMN(Database!U73)*2-12)</f>
        <v>n.r.</v>
      </c>
      <c r="Y73" s="8" t="str">
        <f ca="1">OFFSET(Database!$F73,0,COLUMN(Database!V73)*2-12)</f>
        <v>n.r.</v>
      </c>
      <c r="Z73" s="8" t="str">
        <f ca="1">OFFSET(Database!$F73,0,COLUMN(Database!W73)*2-12)</f>
        <v>n.r.</v>
      </c>
      <c r="AA73" s="8" t="str">
        <f ca="1">OFFSET(Database!$F73,0,COLUMN(Database!X73)*2-12)</f>
        <v>n.r.</v>
      </c>
      <c r="AB73" s="8" t="str">
        <f ca="1">OFFSET(Database!$F73,0,COLUMN(Database!Y73)*2-12)</f>
        <v>n.r.</v>
      </c>
      <c r="AC73" s="8" t="str">
        <f ca="1">OFFSET(Database!$F73,0,COLUMN(Database!Z73)*2-12)</f>
        <v>n.r.</v>
      </c>
      <c r="AD73" s="8" t="str">
        <f ca="1">OFFSET(Database!$F73,0,COLUMN(Database!AA73)*2-12)</f>
        <v>n.r.</v>
      </c>
      <c r="AE73" s="8" t="str">
        <f ca="1">OFFSET(Database!$F73,0,COLUMN(Database!AB73)*2-12)</f>
        <v>n.r.</v>
      </c>
      <c r="AF73" s="8" t="str">
        <f ca="1">OFFSET(Database!$F73,0,COLUMN(Database!AC73)*2-12)</f>
        <v>n.r.</v>
      </c>
      <c r="AG73" s="8" t="str">
        <f ca="1">OFFSET(Database!$F73,0,COLUMN(Database!AD73)*2-12)</f>
        <v>n.r.</v>
      </c>
      <c r="AH73" s="8" t="str">
        <f ca="1">OFFSET(Database!$F73,0,COLUMN(Database!AE73)*2-12)</f>
        <v>n.r.</v>
      </c>
      <c r="AI73" s="8" t="str">
        <f ca="1">OFFSET(Database!$F73,0,COLUMN(Database!AF73)*2-12)</f>
        <v>n.r.</v>
      </c>
      <c r="AJ73" s="8" t="str">
        <f ca="1">OFFSET(Database!$F73,0,COLUMN(Database!AG73)*2-12)</f>
        <v>n.r.</v>
      </c>
      <c r="AK73" s="8" t="str">
        <f ca="1">OFFSET(Database!$F73,0,COLUMN(Database!AH73)*2-12)</f>
        <v>n.r.</v>
      </c>
      <c r="AL73" s="8" t="str">
        <f ca="1">OFFSET(Database!$F73,0,COLUMN(Database!AI73)*2-12)</f>
        <v>n.r.</v>
      </c>
      <c r="AM73" s="8" t="str">
        <f ca="1">OFFSET(Database!$F73,0,COLUMN(Database!AJ73)*2-12)</f>
        <v>n.r.</v>
      </c>
      <c r="AN73" s="8" t="str">
        <f ca="1">OFFSET(Database!$F73,0,COLUMN(Database!AK73)*2-12)</f>
        <v>n.r.</v>
      </c>
      <c r="AO73" s="8" t="str">
        <f ca="1">OFFSET(Database!$F73,0,COLUMN(Database!AL73)*2-12)</f>
        <v>n.r.</v>
      </c>
      <c r="AP73" s="8" t="str">
        <f ca="1">OFFSET(Database!$F73,0,COLUMN(Database!AM73)*2-12)</f>
        <v>n.r.</v>
      </c>
      <c r="AQ73" s="8" t="str">
        <f ca="1">OFFSET(Database!$F73,0,COLUMN(Database!AN73)*2-12)</f>
        <v>n.r.</v>
      </c>
      <c r="AR73" s="8" t="str">
        <f ca="1">OFFSET(Database!$F73,0,COLUMN(Database!AO73)*2-12)</f>
        <v>n.r.</v>
      </c>
      <c r="AS73" s="8" t="str">
        <f ca="1">OFFSET(Database!$F73,0,COLUMN(Database!AP73)*2-12)</f>
        <v>n.r.</v>
      </c>
      <c r="AT73" s="8" t="str">
        <f ca="1">OFFSET(Database!$F73,0,COLUMN(Database!AQ73)*2-12)</f>
        <v>n.r.</v>
      </c>
      <c r="AU73" s="8" t="str">
        <f ca="1">OFFSET(Database!$F73,0,COLUMN(Database!AR73)*2-12)</f>
        <v>n.r.</v>
      </c>
      <c r="AV73" s="8" t="str">
        <f ca="1">OFFSET(Database!$F73,0,COLUMN(Database!AS73)*2-12)</f>
        <v>n.r.</v>
      </c>
      <c r="AW73" s="8" t="str">
        <f ca="1">OFFSET(Database!$F73,0,COLUMN(Database!AT73)*2-12)</f>
        <v>n.r.</v>
      </c>
      <c r="AX73" s="8" t="str">
        <f ca="1">OFFSET(Database!$F73,0,COLUMN(Database!AU73)*2-12)</f>
        <v>n.r.</v>
      </c>
      <c r="AY73" s="8" t="str">
        <f ca="1">OFFSET(Database!$F73,0,COLUMN(Database!AV73)*2-12)</f>
        <v>n.r.</v>
      </c>
      <c r="AZ73" s="8" t="str">
        <f ca="1">OFFSET(Database!$F73,0,COLUMN(Database!AW73)*2-12)</f>
        <v>n.r.</v>
      </c>
      <c r="BA73" s="8" t="str">
        <f ca="1">OFFSET(Database!$F73,0,COLUMN(Database!AX73)*2-12)</f>
        <v>n.r.</v>
      </c>
      <c r="BB73" s="8" t="str">
        <f ca="1">OFFSET(Database!$F73,0,COLUMN(Database!AY73)*2-12)</f>
        <v>n.r.</v>
      </c>
      <c r="BC73" s="8" t="str">
        <f ca="1">OFFSET(Database!$F73,0,COLUMN(Database!AZ73)*2-12)</f>
        <v>n.r.</v>
      </c>
      <c r="BD73" s="8" t="str">
        <f ca="1">OFFSET(Database!$F73,0,COLUMN(Database!BA73)*2-12)</f>
        <v>n.r.</v>
      </c>
      <c r="BE73" s="8" t="str">
        <f ca="1">OFFSET(Database!$F73,0,COLUMN(Database!BB73)*2-12)</f>
        <v>n.r.</v>
      </c>
      <c r="BF73" s="8" t="str">
        <f ca="1">OFFSET(Database!$F73,0,COLUMN(Database!BC73)*2-12)</f>
        <v>n.r.</v>
      </c>
      <c r="BG73" s="8" t="str">
        <f ca="1">OFFSET(Database!$F73,0,COLUMN(Database!BD73)*2-12)</f>
        <v>n.r.</v>
      </c>
      <c r="BH73" s="8" t="str">
        <f ca="1">OFFSET(Database!$F73,0,COLUMN(Database!BE73)*2-12)</f>
        <v>n.r.</v>
      </c>
      <c r="BI73" s="8" t="str">
        <f ca="1">OFFSET(Database!$F73,0,COLUMN(Database!BF73)*2-12)</f>
        <v>n.r.</v>
      </c>
      <c r="BJ73" s="8" t="str">
        <f ca="1">OFFSET(Database!$F73,0,COLUMN(Database!BG73)*2-12)</f>
        <v>n.r.</v>
      </c>
      <c r="BK73" s="8" t="str">
        <f ca="1">OFFSET(Database!$F73,0,COLUMN(Database!BH73)*2-12)</f>
        <v>n.r.</v>
      </c>
      <c r="BL73" s="8" t="str">
        <f ca="1">OFFSET(Database!$F73,0,COLUMN(Database!BI73)*2-12)</f>
        <v>n.r.</v>
      </c>
      <c r="BM73" s="8" t="str">
        <f ca="1">OFFSET(Database!$F73,0,COLUMN(Database!BJ73)*2-12)</f>
        <v>n.r.</v>
      </c>
      <c r="BN73" s="8" t="str">
        <f ca="1">OFFSET(Database!$F73,0,COLUMN(Database!BK73)*2-12)</f>
        <v>n.r.</v>
      </c>
      <c r="BO73" s="8" t="str">
        <f ca="1">OFFSET(Database!$F73,0,COLUMN(Database!BL73)*2-12)</f>
        <v>n.r.</v>
      </c>
      <c r="BP73" s="8" t="str">
        <f ca="1">OFFSET(Database!$F73,0,COLUMN(Database!BM73)*2-12)</f>
        <v>n.r.</v>
      </c>
      <c r="BQ73" s="8" t="str">
        <f ca="1">OFFSET(Database!$F73,0,COLUMN(Database!BN73)*2-12)</f>
        <v>n.r.</v>
      </c>
      <c r="BR73" s="8" t="str">
        <f ca="1">OFFSET(Database!$F73,0,COLUMN(Database!BO73)*2-12)</f>
        <v>n.r.</v>
      </c>
      <c r="BS73" s="8" t="str">
        <f ca="1">OFFSET(Database!$F73,0,COLUMN(Database!BP73)*2-12)</f>
        <v>n.r.</v>
      </c>
      <c r="BT73" s="8" t="str">
        <f ca="1">OFFSET(Database!$F73,0,COLUMN(Database!BQ73)*2-12)</f>
        <v>n.r.</v>
      </c>
      <c r="BU73" s="8" t="str">
        <f ca="1">OFFSET(Database!$F73,0,COLUMN(Database!BR73)*2-12)</f>
        <v>n.r.</v>
      </c>
      <c r="BV73" s="8" t="str">
        <f ca="1">OFFSET(Database!$F73,0,COLUMN(Database!BS73)*2-12)</f>
        <v>n.r.</v>
      </c>
      <c r="BW73" s="8" t="str">
        <f ca="1">OFFSET(Database!$F73,0,COLUMN(Database!BT73)*2-12)</f>
        <v>n.r.</v>
      </c>
      <c r="BX73" s="8" t="str">
        <f ca="1">OFFSET(Database!$F73,0,COLUMN(Database!BU73)*2-12)</f>
        <v>n.r.</v>
      </c>
      <c r="BY73" s="8" t="str">
        <f ca="1">OFFSET(Database!$F73,0,COLUMN(Database!BV73)*2-12)</f>
        <v>n.r.</v>
      </c>
      <c r="BZ73" s="8" t="str">
        <f ca="1">OFFSET(Database!$F73,0,COLUMN(Database!BW73)*2-12)</f>
        <v>n.r.</v>
      </c>
      <c r="CA73" s="8" t="str">
        <f ca="1">OFFSET(Database!$F73,0,COLUMN(Database!BX73)*2-12)</f>
        <v>n.r.</v>
      </c>
      <c r="CB73" s="8" t="str">
        <f ca="1">OFFSET(Database!$F73,0,COLUMN(Database!BY73)*2-12)</f>
        <v>n.r.</v>
      </c>
      <c r="CC73" s="8" t="str">
        <f ca="1">OFFSET(Database!$F73,0,COLUMN(Database!BZ73)*2-12)</f>
        <v>n.r.</v>
      </c>
      <c r="CD73" s="8" t="str">
        <f ca="1">OFFSET(Database!$F73,0,COLUMN(Database!CA73)*2-12)</f>
        <v>n.r.</v>
      </c>
      <c r="CE73" s="8" t="str">
        <f ca="1">OFFSET(Database!$F73,0,COLUMN(Database!CB73)*2-12)</f>
        <v>n.r.</v>
      </c>
      <c r="CF73" s="8" t="str">
        <f ca="1">OFFSET(Database!$F73,0,COLUMN(Database!CC73)*2-12)</f>
        <v>n.r.</v>
      </c>
      <c r="CG73" s="8" t="str">
        <f ca="1">OFFSET(Database!$F73,0,COLUMN(Database!CD73)*2-12)</f>
        <v>n.r.</v>
      </c>
      <c r="CH73" s="8" t="str">
        <f ca="1">OFFSET(Database!$F73,0,COLUMN(Database!CE73)*2-12)</f>
        <v>n.r.</v>
      </c>
      <c r="CI73" s="8" t="str">
        <f ca="1">OFFSET(Database!$F73,0,COLUMN(Database!CF73)*2-12)</f>
        <v>n.r.</v>
      </c>
      <c r="CJ73" s="8" t="str">
        <f ca="1">OFFSET(Database!$F73,0,COLUMN(Database!CG73)*2-12)</f>
        <v>n.r.</v>
      </c>
      <c r="CK73" s="8" t="str">
        <f ca="1">OFFSET(Database!$F73,0,COLUMN(Database!CH73)*2-12)</f>
        <v>n.r.</v>
      </c>
      <c r="CL73" s="8" t="str">
        <f ca="1">OFFSET(Database!$F73,0,COLUMN(Database!CI73)*2-12)</f>
        <v>n.r.</v>
      </c>
      <c r="CM73" s="8" t="str">
        <f ca="1">OFFSET(Database!$F73,0,COLUMN(Database!CJ73)*2-12)</f>
        <v>n.r.</v>
      </c>
      <c r="CN73" s="8" t="str">
        <f ca="1">OFFSET(Database!$F73,0,COLUMN(Database!CK73)*2-12)</f>
        <v>n.r.</v>
      </c>
      <c r="CO73" s="8" t="str">
        <f ca="1">OFFSET(Database!$F73,0,COLUMN(Database!CL73)*2-12)</f>
        <v>n.r.</v>
      </c>
      <c r="CP73" s="8" t="str">
        <f ca="1">OFFSET(Database!$F73,0,COLUMN(Database!CM73)*2-12)</f>
        <v>n.r.</v>
      </c>
      <c r="CQ73" s="8" t="str">
        <f ca="1">OFFSET(Database!$F73,0,COLUMN(Database!CN73)*2-12)</f>
        <v>n.r.</v>
      </c>
      <c r="CR73" s="8" t="str">
        <f ca="1">OFFSET(Database!$F73,0,COLUMN(Database!CO73)*2-12)</f>
        <v>n.r.</v>
      </c>
      <c r="CS73" s="8" t="str">
        <f ca="1">OFFSET(Database!$F73,0,COLUMN(Database!CP73)*2-12)</f>
        <v>n.r.</v>
      </c>
      <c r="CT73" s="8" t="str">
        <f ca="1">OFFSET(Database!$F73,0,COLUMN(Database!CQ73)*2-12)</f>
        <v>n.r.</v>
      </c>
      <c r="CU73" s="8" t="str">
        <f ca="1">OFFSET(Database!$F73,0,COLUMN(Database!CR73)*2-12)</f>
        <v>n.r.</v>
      </c>
      <c r="CV73" s="8" t="str">
        <f ca="1">OFFSET(Database!$F73,0,COLUMN(Database!CS73)*2-12)</f>
        <v>n.r.</v>
      </c>
      <c r="CW73" s="8" t="str">
        <f ca="1">OFFSET(Database!$F73,0,COLUMN(Database!CT73)*2-12)</f>
        <v>n.r.</v>
      </c>
      <c r="CX73" s="8" t="str">
        <f ca="1">OFFSET(Database!$F73,0,COLUMN(Database!CU73)*2-12)</f>
        <v>n.r.</v>
      </c>
      <c r="CY73" s="8" t="str">
        <f ca="1">OFFSET(Database!$F73,0,COLUMN(Database!CV73)*2-12)</f>
        <v>n.r.</v>
      </c>
      <c r="CZ73" s="8" t="str">
        <f ca="1">OFFSET(Database!$F73,0,COLUMN(Database!CW73)*2-12)</f>
        <v>n.r.</v>
      </c>
      <c r="DA73" s="8" t="str">
        <f ca="1">OFFSET(Database!$F73,0,COLUMN(Database!CX73)*2-12)</f>
        <v>n.r.</v>
      </c>
      <c r="DB73" s="8" t="str">
        <f ca="1">OFFSET(Database!$F73,0,COLUMN(Database!CY73)*2-12)</f>
        <v>n.r.</v>
      </c>
      <c r="DC73" s="8" t="str">
        <f ca="1">OFFSET(Database!$F73,0,COLUMN(Database!CZ73)*2-12)</f>
        <v>n.r.</v>
      </c>
      <c r="DD73" s="8" t="str">
        <f ca="1">OFFSET(Database!$F73,0,COLUMN(Database!DA73)*2-12)</f>
        <v>n.r.</v>
      </c>
      <c r="DE73" s="8" t="str">
        <f ca="1">OFFSET(Database!$F73,0,COLUMN(Database!DB73)*2-12)</f>
        <v>n.r.</v>
      </c>
      <c r="DF73" s="8" t="str">
        <f ca="1">OFFSET(Database!$F73,0,COLUMN(Database!DC73)*2-12)</f>
        <v>n.r.</v>
      </c>
      <c r="DG73" s="8" t="str">
        <f ca="1">OFFSET(Database!$F73,0,COLUMN(Database!DD73)*2-12)</f>
        <v>n.r.</v>
      </c>
      <c r="DH73" s="8" t="str">
        <f ca="1">OFFSET(Database!$F73,0,COLUMN(Database!DE73)*2-12)</f>
        <v>n.r.</v>
      </c>
      <c r="DI73" s="8" t="str">
        <f ca="1">OFFSET(Database!$F73,0,COLUMN(Database!DF73)*2-12)</f>
        <v>n.r.</v>
      </c>
      <c r="DJ73" s="8" t="str">
        <f ca="1">OFFSET(Database!$F73,0,COLUMN(Database!DG73)*2-12)</f>
        <v>n.r.</v>
      </c>
      <c r="DK73" s="8" t="str">
        <f ca="1">OFFSET(Database!$F73,0,COLUMN(Database!DH73)*2-12)</f>
        <v>n.r.</v>
      </c>
      <c r="DL73" s="8" t="str">
        <f ca="1">OFFSET(Database!$F73,0,COLUMN(Database!DI73)*2-12)</f>
        <v>n.r.</v>
      </c>
      <c r="DM73" s="8" t="str">
        <f ca="1">OFFSET(Database!$F73,0,COLUMN(Database!DJ73)*2-12)</f>
        <v>n.r.</v>
      </c>
      <c r="DN73" s="8">
        <f ca="1">OFFSET(Database!$F73,0,COLUMN(Database!DK73)*2-12)</f>
        <v>120</v>
      </c>
      <c r="DO73" s="8">
        <f ca="1">OFFSET(Database!$F73,0,COLUMN(Database!DL73)*2-12)</f>
        <v>134</v>
      </c>
      <c r="DP73" s="8">
        <f ca="1">OFFSET(Database!$F73,0,COLUMN(Database!DM73)*2-12)</f>
        <v>27.7</v>
      </c>
      <c r="DQ73" s="8">
        <f ca="1">OFFSET(Database!$F73,0,COLUMN(Database!DN73)*2-12)</f>
        <v>9.1999999999999993</v>
      </c>
      <c r="DR73" s="8">
        <f ca="1">OFFSET(Database!$F73,0,COLUMN(Database!DO73)*2-12)</f>
        <v>1.42</v>
      </c>
      <c r="DS73" s="8">
        <f ca="1">OFFSET(Database!$F73,0,COLUMN(Database!DP73)*2-12)</f>
        <v>37.6</v>
      </c>
      <c r="DT73" s="8">
        <f ca="1">OFFSET(Database!$F73,0,COLUMN(Database!DQ73)*2-12)</f>
        <v>24.9</v>
      </c>
      <c r="DU73" s="8" t="str">
        <f ca="1">OFFSET(Database!$F73,0,COLUMN(Database!DR73)*2-12)</f>
        <v>n.r.</v>
      </c>
      <c r="DV73" s="8" t="str">
        <f ca="1">OFFSET(Database!$F73,0,COLUMN(Database!DS73)*2-12)</f>
        <v>n.r.</v>
      </c>
      <c r="DW73" s="8" t="str">
        <f ca="1">OFFSET(Database!$F73,0,COLUMN(Database!DT73)*2-12)</f>
        <v>n.r.</v>
      </c>
      <c r="DX73" s="8" t="str">
        <f ca="1">OFFSET(Database!$F73,0,COLUMN(Database!DU73)*2-12)</f>
        <v>n.r.</v>
      </c>
      <c r="DY73" s="8" t="str">
        <f ca="1">OFFSET(Database!$F73,0,COLUMN(Database!DV73)*2-12)</f>
        <v>n.r.</v>
      </c>
      <c r="DZ73" s="8" t="str">
        <f ca="1">OFFSET(Database!$F73,0,COLUMN(Database!DW73)*2-12)</f>
        <v>n.r.</v>
      </c>
      <c r="EA73" s="8" t="str">
        <f ca="1">OFFSET(Database!$F73,0,COLUMN(Database!DX73)*2-12)</f>
        <v>n.r.</v>
      </c>
      <c r="EB73" s="8">
        <f ca="1">OFFSET(Database!$F73,0,COLUMN(Database!DY73)*2-12)</f>
        <v>1.66</v>
      </c>
      <c r="EC73" s="8" t="str">
        <f ca="1">OFFSET(Database!$F73,0,COLUMN(Database!DZ73)*2-12)</f>
        <v>n.r.</v>
      </c>
      <c r="ED73" s="8">
        <f ca="1">OFFSET(Database!$F73,0,COLUMN(Database!EA73)*2-12)</f>
        <v>4.43</v>
      </c>
      <c r="EE73" s="8" t="str">
        <f ca="1">OFFSET(Database!$F73,0,COLUMN(Database!EB73)*2-12)</f>
        <v>n.r.</v>
      </c>
      <c r="EF73" s="8" t="str">
        <f ca="1">OFFSET(Database!$F73,0,COLUMN(Database!EC73)*2-12)</f>
        <v>n.r.</v>
      </c>
      <c r="EG73" s="8" t="str">
        <f ca="1">OFFSET(Database!$F73,0,COLUMN(Database!ED73)*2-12)</f>
        <v>n.r.</v>
      </c>
      <c r="EH73" s="8" t="str">
        <f ca="1">OFFSET(Database!$F73,0,COLUMN(Database!EE73)*2-12)</f>
        <v>n.r.</v>
      </c>
      <c r="EI73" s="8">
        <f ca="1">OFFSET(Database!$F73,0,COLUMN(Database!EF73)*2-12)</f>
        <v>0.115</v>
      </c>
      <c r="EJ73" s="8">
        <f ca="1">OFFSET(Database!$F73,0,COLUMN(Database!EG73)*2-12)</f>
        <v>9.8000000000000004E-2</v>
      </c>
      <c r="EK73" s="8">
        <f ca="1">OFFSET(Database!$F73,0,COLUMN(Database!EH73)*2-12)</f>
        <v>0.13800000000000001</v>
      </c>
      <c r="EL73" s="8">
        <f ca="1">OFFSET(Database!$F73,0,COLUMN(Database!EI73)*2-12)</f>
        <v>0.84799999999999998</v>
      </c>
      <c r="EM73" s="8">
        <f ca="1">OFFSET(Database!$F73,0,COLUMN(Database!EJ73)*2-12)</f>
        <v>0.435</v>
      </c>
      <c r="EN73" s="8">
        <f ca="1">OFFSET(Database!$F73,0,COLUMN(Database!EK73)*2-12)</f>
        <v>0.36499999999999999</v>
      </c>
      <c r="EO73" s="8">
        <f ca="1">OFFSET(Database!$F73,0,COLUMN(Database!EL73)*2-12)</f>
        <v>0.47299999999999998</v>
      </c>
      <c r="EP73" s="8">
        <f ca="1">OFFSET(Database!$F73,0,COLUMN(Database!EM73)*2-12)</f>
        <v>0.438</v>
      </c>
      <c r="EQ73" s="8" t="str">
        <f ca="1">OFFSET(Database!$F73,0,COLUMN(Database!EN73)*2-12)</f>
        <v>tr</v>
      </c>
      <c r="ER73" s="8">
        <f ca="1">OFFSET(Database!$F73,0,COLUMN(Database!EO73)*2-12)</f>
        <v>21325.641649720415</v>
      </c>
      <c r="ES73" s="8">
        <f ca="1">OFFSET(Database!$F73,0,COLUMN(Database!EP73)*2-12)</f>
        <v>18273.4696466934</v>
      </c>
      <c r="ET73" s="8">
        <f ca="1">OFFSET(Database!$F73,0,COLUMN(Database!EQ73)*2-12)</f>
        <v>16537.309881054487</v>
      </c>
      <c r="EU73" s="8">
        <f ca="1">OFFSET(Database!$F73,0,COLUMN(Database!ER73)*2-12)</f>
        <v>13315.527328076167</v>
      </c>
      <c r="EV73" s="8">
        <f ca="1">OFFSET(Database!$F73,0,COLUMN(Database!ES73)*2-12)</f>
        <v>17146.258813938941</v>
      </c>
      <c r="EW73" s="8">
        <f ca="1">OFFSET(Database!$F73,0,COLUMN(Database!ET73)*2-12)</f>
        <v>95300</v>
      </c>
      <c r="EX73" s="8">
        <f ca="1">OFFSET(Database!$F73,0,COLUMN(Database!EU73)*2-12)</f>
        <v>536300</v>
      </c>
      <c r="EY73" s="8">
        <f ca="1">OFFSET(Database!$F73,0,COLUMN(Database!EV73)*2-12)</f>
        <v>73500</v>
      </c>
      <c r="EZ73" s="8">
        <f ca="1">OFFSET(Database!$F73,0,COLUMN(Database!EW73)*2-12)</f>
        <v>91900</v>
      </c>
      <c r="FA73" s="8">
        <f ca="1">OFFSET(Database!$F73,0,COLUMN(Database!EX73)*2-12)</f>
        <v>258800</v>
      </c>
      <c r="FB73" s="8" t="str">
        <f ca="1">OFFSET(Database!$F73,0,COLUMN(Database!EY73)*2-12)</f>
        <v>n.r.</v>
      </c>
      <c r="FC73" s="8" t="str">
        <f ca="1">OFFSET(Database!$F73,0,COLUMN(Database!EZ73)*2-12)</f>
        <v>n.r.</v>
      </c>
      <c r="FD73" s="8" t="str">
        <f ca="1">OFFSET(Database!$F73,0,COLUMN(Database!FA73)*2-12)</f>
        <v>n.d.</v>
      </c>
      <c r="FE73" s="8" t="str">
        <f ca="1">OFFSET(Database!$F73,0,COLUMN(Database!FB73)*2-12)</f>
        <v>n.d.</v>
      </c>
      <c r="FF73" s="8" t="str">
        <f ca="1">OFFSET(Database!$F73,0,COLUMN(Database!FC73)*2-12)</f>
        <v>n.d.</v>
      </c>
      <c r="FG73" s="8" t="str">
        <f ca="1">OFFSET(Database!$F73,0,COLUMN(Database!FD73)*2-12)</f>
        <v>n.r.</v>
      </c>
      <c r="FH73" s="8" t="str">
        <f ca="1">OFFSET(Database!$F73,0,COLUMN(Database!FE73)*2-12)</f>
        <v>n.r.</v>
      </c>
      <c r="FI73" s="8" t="str">
        <f ca="1">OFFSET(Database!$F73,0,COLUMN(Database!FF73)*2-12)</f>
        <v>n.r.</v>
      </c>
      <c r="FJ73" s="8" t="str">
        <f ca="1">OFFSET(Database!$F73,0,COLUMN(Database!FG73)*2-12)</f>
        <v>n.r.</v>
      </c>
      <c r="FK73" s="8">
        <f ca="1">OFFSET(Database!$F73,0,COLUMN(Database!FH73)*2-12)</f>
        <v>394336.83661947364</v>
      </c>
      <c r="FL73" s="8">
        <f ca="1">OFFSET(Database!$F73,0,COLUMN(Database!FI73)*2-12)</f>
        <v>196299.8349691653</v>
      </c>
      <c r="FM73" s="8">
        <f ca="1">OFFSET(Database!$F73,0,COLUMN(Database!FJ73)*2-12)</f>
        <v>125944.58438287153</v>
      </c>
      <c r="FN73" s="8">
        <f ca="1">OFFSET(Database!$F73,0,COLUMN(Database!FK73)*2-12)</f>
        <v>724398.50603665423</v>
      </c>
      <c r="FO73" s="8">
        <f ca="1">OFFSET(Database!$F73,0,COLUMN(Database!FL73)*2-12)</f>
        <v>344827.58620689658</v>
      </c>
      <c r="FP73" s="8">
        <f ca="1">OFFSET(Database!$F73,0,COLUMN(Database!FM73)*2-12)</f>
        <v>722661.33935551124</v>
      </c>
      <c r="FQ73" s="8">
        <f ca="1">OFFSET(Database!$F73,0,COLUMN(Database!FN73)*2-12)</f>
        <v>8077.8250673152088</v>
      </c>
      <c r="FR73" s="8">
        <f ca="1">OFFSET(Database!$F73,0,COLUMN(Database!FO73)*2-12)</f>
        <v>8946.4084078867363</v>
      </c>
      <c r="FS73" s="8">
        <f ca="1">OFFSET(Database!$F73,0,COLUMN(Database!FP73)*2-12)</f>
        <v>9033.2667419438894</v>
      </c>
      <c r="FT73" s="8">
        <f ca="1">OFFSET(Database!$F73,0,COLUMN(Database!FQ73)*2-12)</f>
        <v>7817.2500651437513</v>
      </c>
      <c r="FU73" s="8">
        <f ca="1">OFFSET(Database!$F73,0,COLUMN(Database!FR73)*2-12)</f>
        <v>13663</v>
      </c>
      <c r="FV73" s="8">
        <f ca="1">OFFSET(Database!$F73,0,COLUMN(Database!FS73)*2-12)</f>
        <v>14041</v>
      </c>
      <c r="FW73" s="8">
        <f ca="1">OFFSET(Database!$F73,0,COLUMN(Database!FT73)*2-12)</f>
        <v>10599</v>
      </c>
      <c r="FX73" s="8">
        <f ca="1">OFFSET(Database!$F73,0,COLUMN(Database!FU73)*2-12)</f>
        <v>10183</v>
      </c>
      <c r="FY73" s="8">
        <f ca="1">OFFSET(Database!$F73,0,COLUMN(Database!FV73)*2-12)</f>
        <v>10931</v>
      </c>
      <c r="FZ73" s="8">
        <f ca="1">OFFSET(Database!$F73,0,COLUMN(Database!FW73)*2-12)</f>
        <v>12434</v>
      </c>
      <c r="GA73" s="8">
        <f ca="1">OFFSET(Database!$F73,0,COLUMN(Database!FX73)*2-12)</f>
        <v>12924</v>
      </c>
      <c r="GB73" s="8">
        <f ca="1">OFFSET(Database!$F73,0,COLUMN(Database!FY73)*2-12)</f>
        <v>11698</v>
      </c>
      <c r="GC73" s="8">
        <f ca="1">OFFSET(Database!$F73,0,COLUMN(Database!FZ73)*2-12)</f>
        <v>17156</v>
      </c>
      <c r="GD73" s="8">
        <f ca="1">OFFSET(Database!$F73,0,COLUMN(Database!GA73)*2-12)</f>
        <v>11432</v>
      </c>
      <c r="GE73" s="8">
        <f ca="1">OFFSET(Database!$F73,0,COLUMN(Database!GB73)*2-12)</f>
        <v>9043</v>
      </c>
      <c r="GF73" s="8">
        <f ca="1">OFFSET(Database!$F73,0,COLUMN(Database!GC73)*2-12)</f>
        <v>10817</v>
      </c>
      <c r="GG73" s="8">
        <f ca="1">OFFSET(Database!$F73,0,COLUMN(Database!GD73)*2-12)</f>
        <v>180665.33483887781</v>
      </c>
      <c r="GH73" s="8">
        <f ca="1">OFFSET(Database!$F73,0,COLUMN(Database!GE73)*2-12)</f>
        <v>219751.58516459656</v>
      </c>
      <c r="GI73" s="8">
        <f ca="1">OFFSET(Database!$F73,0,COLUMN(Database!GF73)*2-12)</f>
        <v>239729.0019977417</v>
      </c>
      <c r="GJ73" s="8">
        <f ca="1">OFFSET(Database!$F73,0,COLUMN(Database!GG73)*2-12)</f>
        <v>27447.233562060283</v>
      </c>
      <c r="GK73" s="8">
        <f ca="1">OFFSET(Database!$F73,0,COLUMN(Database!GH73)*2-12)</f>
        <v>474246.50395205419</v>
      </c>
      <c r="GL73" s="8">
        <f ca="1">OFFSET(Database!$F73,0,COLUMN(Database!GI73)*2-12)</f>
        <v>89464.084078867367</v>
      </c>
      <c r="GM73" s="8">
        <f ca="1">OFFSET(Database!$F73,0,COLUMN(Database!GJ73)*2-12)</f>
        <v>39.086250325718765</v>
      </c>
      <c r="GN73" s="8">
        <f ca="1">OFFSET(Database!$F73,0,COLUMN(Database!GK73)*2-12)</f>
        <v>535047.33779206115</v>
      </c>
      <c r="GO73" s="8" t="str">
        <f ca="1">OFFSET(Database!$F73,0,COLUMN(Database!GL73)*2-12)</f>
        <v>n.r.</v>
      </c>
      <c r="GP73" s="8" t="str">
        <f ca="1">OFFSET(Database!$F73,0,COLUMN(Database!GM73)*2-12)</f>
        <v>n.r.</v>
      </c>
    </row>
    <row r="74" spans="1:198" x14ac:dyDescent="0.2">
      <c r="A74" s="50" t="str">
        <f>Database!A74</f>
        <v>trans-4-Hydroxy-L-proline</v>
      </c>
      <c r="B74" s="32" t="s">
        <v>1018</v>
      </c>
      <c r="C74" s="4" t="str">
        <f>Database!B74</f>
        <v>ɑ</v>
      </c>
      <c r="D74" s="4" t="str">
        <f>Database!C74</f>
        <v>L</v>
      </c>
      <c r="E74" s="74">
        <f>Database!D74</f>
        <v>13</v>
      </c>
      <c r="F74" s="32" t="s">
        <v>948</v>
      </c>
      <c r="G74" s="1">
        <v>5810</v>
      </c>
      <c r="H74" s="1">
        <f>Database!E74</f>
        <v>131.13</v>
      </c>
      <c r="I74" s="8" t="str">
        <f ca="1">OFFSET(Database!$F74,0,COLUMN(Database!F74)*2-12)</f>
        <v>n.r.</v>
      </c>
      <c r="J74" s="8" t="str">
        <f ca="1">OFFSET(Database!$F74,0,COLUMN(Database!G74)*2-12)</f>
        <v>n.r.</v>
      </c>
      <c r="K74" s="8" t="str">
        <f ca="1">OFFSET(Database!$F74,0,COLUMN(Database!H74)*2-12)</f>
        <v>n.r.</v>
      </c>
      <c r="L74" s="8" t="str">
        <f ca="1">OFFSET(Database!$F74,0,COLUMN(Database!I74)*2-12)</f>
        <v>n.r.</v>
      </c>
      <c r="M74" s="8" t="str">
        <f ca="1">OFFSET(Database!$F74,0,COLUMN(Database!J74)*2-12)</f>
        <v>n.r.</v>
      </c>
      <c r="N74" s="8" t="str">
        <f ca="1">OFFSET(Database!$F74,0,COLUMN(Database!K74)*2-12)</f>
        <v>n.r.</v>
      </c>
      <c r="O74" s="8" t="str">
        <f ca="1">OFFSET(Database!$F74,0,COLUMN(Database!L74)*2-12)</f>
        <v>n.r.</v>
      </c>
      <c r="P74" s="8" t="str">
        <f ca="1">OFFSET(Database!$F74,0,COLUMN(Database!M74)*2-12)</f>
        <v>n.r.</v>
      </c>
      <c r="Q74" s="8" t="str">
        <f ca="1">OFFSET(Database!$F74,0,COLUMN(Database!N74)*2-12)</f>
        <v>n.r.</v>
      </c>
      <c r="R74" s="8" t="str">
        <f ca="1">OFFSET(Database!$F74,0,COLUMN(Database!O74)*2-12)</f>
        <v>n.r.</v>
      </c>
      <c r="S74" s="8" t="str">
        <f ca="1">OFFSET(Database!$F74,0,COLUMN(Database!P74)*2-12)</f>
        <v>n.r.</v>
      </c>
      <c r="T74" s="8" t="str">
        <f ca="1">OFFSET(Database!$F74,0,COLUMN(Database!Q74)*2-12)</f>
        <v>n.r.</v>
      </c>
      <c r="U74" s="8" t="str">
        <f ca="1">OFFSET(Database!$F74,0,COLUMN(Database!R74)*2-12)</f>
        <v>n.r.</v>
      </c>
      <c r="V74" s="8" t="str">
        <f ca="1">OFFSET(Database!$F74,0,COLUMN(Database!S74)*2-12)</f>
        <v>n.r.</v>
      </c>
      <c r="W74" s="8" t="str">
        <f ca="1">OFFSET(Database!$F74,0,COLUMN(Database!T74)*2-12)</f>
        <v>n.r.</v>
      </c>
      <c r="X74" s="8" t="str">
        <f ca="1">OFFSET(Database!$F74,0,COLUMN(Database!U74)*2-12)</f>
        <v>n.r.</v>
      </c>
      <c r="Y74" s="8" t="str">
        <f ca="1">OFFSET(Database!$F74,0,COLUMN(Database!V74)*2-12)</f>
        <v>n.r.</v>
      </c>
      <c r="Z74" s="8" t="str">
        <f ca="1">OFFSET(Database!$F74,0,COLUMN(Database!W74)*2-12)</f>
        <v>n.r.</v>
      </c>
      <c r="AA74" s="8" t="str">
        <f ca="1">OFFSET(Database!$F74,0,COLUMN(Database!X74)*2-12)</f>
        <v>n.r.</v>
      </c>
      <c r="AB74" s="8" t="str">
        <f ca="1">OFFSET(Database!$F74,0,COLUMN(Database!Y74)*2-12)</f>
        <v>n.r.</v>
      </c>
      <c r="AC74" s="8" t="str">
        <f ca="1">OFFSET(Database!$F74,0,COLUMN(Database!Z74)*2-12)</f>
        <v>n.r.</v>
      </c>
      <c r="AD74" s="8" t="str">
        <f ca="1">OFFSET(Database!$F74,0,COLUMN(Database!AA74)*2-12)</f>
        <v>n.r.</v>
      </c>
      <c r="AE74" s="8" t="str">
        <f ca="1">OFFSET(Database!$F74,0,COLUMN(Database!AB74)*2-12)</f>
        <v>n.r.</v>
      </c>
      <c r="AF74" s="8" t="str">
        <f ca="1">OFFSET(Database!$F74,0,COLUMN(Database!AC74)*2-12)</f>
        <v>n.r.</v>
      </c>
      <c r="AG74" s="8" t="str">
        <f ca="1">OFFSET(Database!$F74,0,COLUMN(Database!AD74)*2-12)</f>
        <v>n.r.</v>
      </c>
      <c r="AH74" s="8" t="str">
        <f ca="1">OFFSET(Database!$F74,0,COLUMN(Database!AE74)*2-12)</f>
        <v>n.r.</v>
      </c>
      <c r="AI74" s="8" t="str">
        <f ca="1">OFFSET(Database!$F74,0,COLUMN(Database!AF74)*2-12)</f>
        <v>n.r.</v>
      </c>
      <c r="AJ74" s="8" t="str">
        <f ca="1">OFFSET(Database!$F74,0,COLUMN(Database!AG74)*2-12)</f>
        <v>n.r.</v>
      </c>
      <c r="AK74" s="8" t="str">
        <f ca="1">OFFSET(Database!$F74,0,COLUMN(Database!AH74)*2-12)</f>
        <v>n.r.</v>
      </c>
      <c r="AL74" s="8" t="str">
        <f ca="1">OFFSET(Database!$F74,0,COLUMN(Database!AI74)*2-12)</f>
        <v>n.r.</v>
      </c>
      <c r="AM74" s="8" t="str">
        <f ca="1">OFFSET(Database!$F74,0,COLUMN(Database!AJ74)*2-12)</f>
        <v>n.r.</v>
      </c>
      <c r="AN74" s="8" t="str">
        <f ca="1">OFFSET(Database!$F74,0,COLUMN(Database!AK74)*2-12)</f>
        <v>n.r.</v>
      </c>
      <c r="AO74" s="8" t="str">
        <f ca="1">OFFSET(Database!$F74,0,COLUMN(Database!AL74)*2-12)</f>
        <v>n.r.</v>
      </c>
      <c r="AP74" s="8" t="str">
        <f ca="1">OFFSET(Database!$F74,0,COLUMN(Database!AM74)*2-12)</f>
        <v>n.r.</v>
      </c>
      <c r="AQ74" s="8" t="str">
        <f ca="1">OFFSET(Database!$F74,0,COLUMN(Database!AN74)*2-12)</f>
        <v>n.r.</v>
      </c>
      <c r="AR74" s="8" t="str">
        <f ca="1">OFFSET(Database!$F74,0,COLUMN(Database!AO74)*2-12)</f>
        <v>n.r.</v>
      </c>
      <c r="AS74" s="8" t="str">
        <f ca="1">OFFSET(Database!$F74,0,COLUMN(Database!AP74)*2-12)</f>
        <v>n.r.</v>
      </c>
      <c r="AT74" s="8" t="str">
        <f ca="1">OFFSET(Database!$F74,0,COLUMN(Database!AQ74)*2-12)</f>
        <v>n.r.</v>
      </c>
      <c r="AU74" s="8" t="str">
        <f ca="1">OFFSET(Database!$F74,0,COLUMN(Database!AR74)*2-12)</f>
        <v>n.r.</v>
      </c>
      <c r="AV74" s="8" t="str">
        <f ca="1">OFFSET(Database!$F74,0,COLUMN(Database!AS74)*2-12)</f>
        <v>n.r.</v>
      </c>
      <c r="AW74" s="8" t="str">
        <f ca="1">OFFSET(Database!$F74,0,COLUMN(Database!AT74)*2-12)</f>
        <v>n.r.</v>
      </c>
      <c r="AX74" s="8" t="str">
        <f ca="1">OFFSET(Database!$F74,0,COLUMN(Database!AU74)*2-12)</f>
        <v>n.r.</v>
      </c>
      <c r="AY74" s="8" t="str">
        <f ca="1">OFFSET(Database!$F74,0,COLUMN(Database!AV74)*2-12)</f>
        <v>n.r.</v>
      </c>
      <c r="AZ74" s="8" t="str">
        <f ca="1">OFFSET(Database!$F74,0,COLUMN(Database!AW74)*2-12)</f>
        <v>n.r.</v>
      </c>
      <c r="BA74" s="8" t="str">
        <f ca="1">OFFSET(Database!$F74,0,COLUMN(Database!AX74)*2-12)</f>
        <v>n.r.</v>
      </c>
      <c r="BB74" s="8" t="str">
        <f ca="1">OFFSET(Database!$F74,0,COLUMN(Database!AY74)*2-12)</f>
        <v>n.r.</v>
      </c>
      <c r="BC74" s="8" t="str">
        <f ca="1">OFFSET(Database!$F74,0,COLUMN(Database!AZ74)*2-12)</f>
        <v>n.r.</v>
      </c>
      <c r="BD74" s="8" t="str">
        <f ca="1">OFFSET(Database!$F74,0,COLUMN(Database!BA74)*2-12)</f>
        <v>n.r.</v>
      </c>
      <c r="BE74" s="8" t="str">
        <f ca="1">OFFSET(Database!$F74,0,COLUMN(Database!BB74)*2-12)</f>
        <v>n.r.</v>
      </c>
      <c r="BF74" s="8" t="str">
        <f ca="1">OFFSET(Database!$F74,0,COLUMN(Database!BC74)*2-12)</f>
        <v>n.r.</v>
      </c>
      <c r="BG74" s="8" t="str">
        <f ca="1">OFFSET(Database!$F74,0,COLUMN(Database!BD74)*2-12)</f>
        <v>n.r.</v>
      </c>
      <c r="BH74" s="8" t="str">
        <f ca="1">OFFSET(Database!$F74,0,COLUMN(Database!BE74)*2-12)</f>
        <v>n.r.</v>
      </c>
      <c r="BI74" s="8" t="str">
        <f ca="1">OFFSET(Database!$F74,0,COLUMN(Database!BF74)*2-12)</f>
        <v>n.r.</v>
      </c>
      <c r="BJ74" s="8" t="str">
        <f ca="1">OFFSET(Database!$F74,0,COLUMN(Database!BG74)*2-12)</f>
        <v>n.r.</v>
      </c>
      <c r="BK74" s="8" t="str">
        <f ca="1">OFFSET(Database!$F74,0,COLUMN(Database!BH74)*2-12)</f>
        <v>n.r.</v>
      </c>
      <c r="BL74" s="8" t="str">
        <f ca="1">OFFSET(Database!$F74,0,COLUMN(Database!BI74)*2-12)</f>
        <v>n.r.</v>
      </c>
      <c r="BM74" s="8" t="str">
        <f ca="1">OFFSET(Database!$F74,0,COLUMN(Database!BJ74)*2-12)</f>
        <v>n.r.</v>
      </c>
      <c r="BN74" s="8" t="str">
        <f ca="1">OFFSET(Database!$F74,0,COLUMN(Database!BK74)*2-12)</f>
        <v>n.r.</v>
      </c>
      <c r="BO74" s="8" t="str">
        <f ca="1">OFFSET(Database!$F74,0,COLUMN(Database!BL74)*2-12)</f>
        <v>n.r.</v>
      </c>
      <c r="BP74" s="8" t="str">
        <f ca="1">OFFSET(Database!$F74,0,COLUMN(Database!BM74)*2-12)</f>
        <v>n.r.</v>
      </c>
      <c r="BQ74" s="8" t="str">
        <f ca="1">OFFSET(Database!$F74,0,COLUMN(Database!BN74)*2-12)</f>
        <v>n.r.</v>
      </c>
      <c r="BR74" s="8" t="str">
        <f ca="1">OFFSET(Database!$F74,0,COLUMN(Database!BO74)*2-12)</f>
        <v>n.r.</v>
      </c>
      <c r="BS74" s="8" t="str">
        <f ca="1">OFFSET(Database!$F74,0,COLUMN(Database!BP74)*2-12)</f>
        <v>n.r.</v>
      </c>
      <c r="BT74" s="8" t="str">
        <f ca="1">OFFSET(Database!$F74,0,COLUMN(Database!BQ74)*2-12)</f>
        <v>n.r.</v>
      </c>
      <c r="BU74" s="8" t="str">
        <f ca="1">OFFSET(Database!$F74,0,COLUMN(Database!BR74)*2-12)</f>
        <v>n.r.</v>
      </c>
      <c r="BV74" s="8" t="str">
        <f ca="1">OFFSET(Database!$F74,0,COLUMN(Database!BS74)*2-12)</f>
        <v>n.r.</v>
      </c>
      <c r="BW74" s="8" t="str">
        <f ca="1">OFFSET(Database!$F74,0,COLUMN(Database!BT74)*2-12)</f>
        <v>n.r.</v>
      </c>
      <c r="BX74" s="8" t="str">
        <f ca="1">OFFSET(Database!$F74,0,COLUMN(Database!BU74)*2-12)</f>
        <v>n.r.</v>
      </c>
      <c r="BY74" s="8" t="str">
        <f ca="1">OFFSET(Database!$F74,0,COLUMN(Database!BV74)*2-12)</f>
        <v>n.r.</v>
      </c>
      <c r="BZ74" s="8" t="str">
        <f ca="1">OFFSET(Database!$F74,0,COLUMN(Database!BW74)*2-12)</f>
        <v>n.r.</v>
      </c>
      <c r="CA74" s="8" t="str">
        <f ca="1">OFFSET(Database!$F74,0,COLUMN(Database!BX74)*2-12)</f>
        <v>n.r.</v>
      </c>
      <c r="CB74" s="8" t="str">
        <f ca="1">OFFSET(Database!$F74,0,COLUMN(Database!BY74)*2-12)</f>
        <v>n.r.</v>
      </c>
      <c r="CC74" s="8" t="str">
        <f ca="1">OFFSET(Database!$F74,0,COLUMN(Database!BZ74)*2-12)</f>
        <v>n.r.</v>
      </c>
      <c r="CD74" s="8" t="str">
        <f ca="1">OFFSET(Database!$F74,0,COLUMN(Database!CA74)*2-12)</f>
        <v>n.r.</v>
      </c>
      <c r="CE74" s="8" t="str">
        <f ca="1">OFFSET(Database!$F74,0,COLUMN(Database!CB74)*2-12)</f>
        <v>n.r.</v>
      </c>
      <c r="CF74" s="8" t="str">
        <f ca="1">OFFSET(Database!$F74,0,COLUMN(Database!CC74)*2-12)</f>
        <v>n.r.</v>
      </c>
      <c r="CG74" s="8" t="str">
        <f ca="1">OFFSET(Database!$F74,0,COLUMN(Database!CD74)*2-12)</f>
        <v>n.r.</v>
      </c>
      <c r="CH74" s="8" t="str">
        <f ca="1">OFFSET(Database!$F74,0,COLUMN(Database!CE74)*2-12)</f>
        <v>n.r.</v>
      </c>
      <c r="CI74" s="8" t="str">
        <f ca="1">OFFSET(Database!$F74,0,COLUMN(Database!CF74)*2-12)</f>
        <v>n.r.</v>
      </c>
      <c r="CJ74" s="8" t="str">
        <f ca="1">OFFSET(Database!$F74,0,COLUMN(Database!CG74)*2-12)</f>
        <v>n.r.</v>
      </c>
      <c r="CK74" s="8" t="str">
        <f ca="1">OFFSET(Database!$F74,0,COLUMN(Database!CH74)*2-12)</f>
        <v>n.r.</v>
      </c>
      <c r="CL74" s="8" t="str">
        <f ca="1">OFFSET(Database!$F74,0,COLUMN(Database!CI74)*2-12)</f>
        <v>n.r.</v>
      </c>
      <c r="CM74" s="8" t="str">
        <f ca="1">OFFSET(Database!$F74,0,COLUMN(Database!CJ74)*2-12)</f>
        <v>n.r.</v>
      </c>
      <c r="CN74" s="8" t="str">
        <f ca="1">OFFSET(Database!$F74,0,COLUMN(Database!CK74)*2-12)</f>
        <v>n.r.</v>
      </c>
      <c r="CO74" s="8" t="str">
        <f ca="1">OFFSET(Database!$F74,0,COLUMN(Database!CL74)*2-12)</f>
        <v>n.r.</v>
      </c>
      <c r="CP74" s="8" t="str">
        <f ca="1">OFFSET(Database!$F74,0,COLUMN(Database!CM74)*2-12)</f>
        <v>n.r.</v>
      </c>
      <c r="CQ74" s="8" t="str">
        <f ca="1">OFFSET(Database!$F74,0,COLUMN(Database!CN74)*2-12)</f>
        <v>n.r.</v>
      </c>
      <c r="CR74" s="8" t="str">
        <f ca="1">OFFSET(Database!$F74,0,COLUMN(Database!CO74)*2-12)</f>
        <v>n.r.</v>
      </c>
      <c r="CS74" s="8" t="str">
        <f ca="1">OFFSET(Database!$F74,0,COLUMN(Database!CP74)*2-12)</f>
        <v>n.r.</v>
      </c>
      <c r="CT74" s="8" t="str">
        <f ca="1">OFFSET(Database!$F74,0,COLUMN(Database!CQ74)*2-12)</f>
        <v>n.r.</v>
      </c>
      <c r="CU74" s="8" t="str">
        <f ca="1">OFFSET(Database!$F74,0,COLUMN(Database!CR74)*2-12)</f>
        <v>n.r.</v>
      </c>
      <c r="CV74" s="8" t="str">
        <f ca="1">OFFSET(Database!$F74,0,COLUMN(Database!CS74)*2-12)</f>
        <v>n.r.</v>
      </c>
      <c r="CW74" s="8" t="str">
        <f ca="1">OFFSET(Database!$F74,0,COLUMN(Database!CT74)*2-12)</f>
        <v>n.r.</v>
      </c>
      <c r="CX74" s="8" t="str">
        <f ca="1">OFFSET(Database!$F74,0,COLUMN(Database!CU74)*2-12)</f>
        <v>n.r.</v>
      </c>
      <c r="CY74" s="8" t="str">
        <f ca="1">OFFSET(Database!$F74,0,COLUMN(Database!CV74)*2-12)</f>
        <v>n.r.</v>
      </c>
      <c r="CZ74" s="8" t="str">
        <f ca="1">OFFSET(Database!$F74,0,COLUMN(Database!CW74)*2-12)</f>
        <v>n.r.</v>
      </c>
      <c r="DA74" s="8" t="str">
        <f ca="1">OFFSET(Database!$F74,0,COLUMN(Database!CX74)*2-12)</f>
        <v>n.r.</v>
      </c>
      <c r="DB74" s="8" t="str">
        <f ca="1">OFFSET(Database!$F74,0,COLUMN(Database!CY74)*2-12)</f>
        <v>n.r.</v>
      </c>
      <c r="DC74" s="8" t="str">
        <f ca="1">OFFSET(Database!$F74,0,COLUMN(Database!CZ74)*2-12)</f>
        <v>n.r.</v>
      </c>
      <c r="DD74" s="8" t="str">
        <f ca="1">OFFSET(Database!$F74,0,COLUMN(Database!DA74)*2-12)</f>
        <v>n.r.</v>
      </c>
      <c r="DE74" s="8" t="str">
        <f ca="1">OFFSET(Database!$F74,0,COLUMN(Database!DB74)*2-12)</f>
        <v>n.r.</v>
      </c>
      <c r="DF74" s="8" t="str">
        <f ca="1">OFFSET(Database!$F74,0,COLUMN(Database!DC74)*2-12)</f>
        <v>n.r.</v>
      </c>
      <c r="DG74" s="8" t="str">
        <f ca="1">OFFSET(Database!$F74,0,COLUMN(Database!DD74)*2-12)</f>
        <v>n.r.</v>
      </c>
      <c r="DH74" s="8" t="str">
        <f ca="1">OFFSET(Database!$F74,0,COLUMN(Database!DE74)*2-12)</f>
        <v>n.r.</v>
      </c>
      <c r="DI74" s="8" t="str">
        <f ca="1">OFFSET(Database!$F74,0,COLUMN(Database!DF74)*2-12)</f>
        <v>n.r.</v>
      </c>
      <c r="DJ74" s="8" t="str">
        <f ca="1">OFFSET(Database!$F74,0,COLUMN(Database!DG74)*2-12)</f>
        <v>n.r.</v>
      </c>
      <c r="DK74" s="8" t="str">
        <f ca="1">OFFSET(Database!$F74,0,COLUMN(Database!DH74)*2-12)</f>
        <v>n.r.</v>
      </c>
      <c r="DL74" s="8" t="str">
        <f ca="1">OFFSET(Database!$F74,0,COLUMN(Database!DI74)*2-12)</f>
        <v>n.r.</v>
      </c>
      <c r="DM74" s="8" t="str">
        <f ca="1">OFFSET(Database!$F74,0,COLUMN(Database!DJ74)*2-12)</f>
        <v>n.r.</v>
      </c>
      <c r="DN74" s="8" t="str">
        <f ca="1">OFFSET(Database!$F74,0,COLUMN(Database!DK74)*2-12)</f>
        <v>n.r.</v>
      </c>
      <c r="DO74" s="8" t="str">
        <f ca="1">OFFSET(Database!$F74,0,COLUMN(Database!DL74)*2-12)</f>
        <v>n.r.</v>
      </c>
      <c r="DP74" s="8" t="str">
        <f ca="1">OFFSET(Database!$F74,0,COLUMN(Database!DM74)*2-12)</f>
        <v>n.r.</v>
      </c>
      <c r="DQ74" s="8" t="str">
        <f ca="1">OFFSET(Database!$F74,0,COLUMN(Database!DN74)*2-12)</f>
        <v>n.r.</v>
      </c>
      <c r="DR74" s="8" t="str">
        <f ca="1">OFFSET(Database!$F74,0,COLUMN(Database!DO74)*2-12)</f>
        <v>n.r.</v>
      </c>
      <c r="DS74" s="8" t="str">
        <f ca="1">OFFSET(Database!$F74,0,COLUMN(Database!DP74)*2-12)</f>
        <v>n.r.</v>
      </c>
      <c r="DT74" s="8" t="str">
        <f ca="1">OFFSET(Database!$F74,0,COLUMN(Database!DQ74)*2-12)</f>
        <v>n.r.</v>
      </c>
      <c r="DU74" s="8" t="str">
        <f ca="1">OFFSET(Database!$F74,0,COLUMN(Database!DR74)*2-12)</f>
        <v>n.r.</v>
      </c>
      <c r="DV74" s="8" t="str">
        <f ca="1">OFFSET(Database!$F74,0,COLUMN(Database!DS74)*2-12)</f>
        <v>n.r.</v>
      </c>
      <c r="DW74" s="8" t="str">
        <f ca="1">OFFSET(Database!$F74,0,COLUMN(Database!DT74)*2-12)</f>
        <v>n.r.</v>
      </c>
      <c r="DX74" s="8" t="str">
        <f ca="1">OFFSET(Database!$F74,0,COLUMN(Database!DU74)*2-12)</f>
        <v>n.r.</v>
      </c>
      <c r="DY74" s="8" t="str">
        <f ca="1">OFFSET(Database!$F74,0,COLUMN(Database!DV74)*2-12)</f>
        <v>n.r.</v>
      </c>
      <c r="DZ74" s="8" t="str">
        <f ca="1">OFFSET(Database!$F74,0,COLUMN(Database!DW74)*2-12)</f>
        <v>n.r.</v>
      </c>
      <c r="EA74" s="8" t="str">
        <f ca="1">OFFSET(Database!$F74,0,COLUMN(Database!DX74)*2-12)</f>
        <v>n.r.</v>
      </c>
      <c r="EB74" s="8" t="str">
        <f ca="1">OFFSET(Database!$F74,0,COLUMN(Database!DY74)*2-12)</f>
        <v>n.r.</v>
      </c>
      <c r="EC74" s="8" t="str">
        <f ca="1">OFFSET(Database!$F74,0,COLUMN(Database!DZ74)*2-12)</f>
        <v>n.r.</v>
      </c>
      <c r="ED74" s="8" t="str">
        <f ca="1">OFFSET(Database!$F74,0,COLUMN(Database!EA74)*2-12)</f>
        <v>n.r.</v>
      </c>
      <c r="EE74" s="8" t="str">
        <f ca="1">OFFSET(Database!$F74,0,COLUMN(Database!EB74)*2-12)</f>
        <v>n.r.</v>
      </c>
      <c r="EF74" s="8" t="str">
        <f ca="1">OFFSET(Database!$F74,0,COLUMN(Database!EC74)*2-12)</f>
        <v>n.r.</v>
      </c>
      <c r="EG74" s="8" t="str">
        <f ca="1">OFFSET(Database!$F74,0,COLUMN(Database!ED74)*2-12)</f>
        <v>n.r.</v>
      </c>
      <c r="EH74" s="8" t="str">
        <f ca="1">OFFSET(Database!$F74,0,COLUMN(Database!EE74)*2-12)</f>
        <v>n.r.</v>
      </c>
      <c r="EI74" s="8" t="str">
        <f ca="1">OFFSET(Database!$F74,0,COLUMN(Database!EF74)*2-12)</f>
        <v>n.r.</v>
      </c>
      <c r="EJ74" s="8" t="str">
        <f ca="1">OFFSET(Database!$F74,0,COLUMN(Database!EG74)*2-12)</f>
        <v>n.r.</v>
      </c>
      <c r="EK74" s="8" t="str">
        <f ca="1">OFFSET(Database!$F74,0,COLUMN(Database!EH74)*2-12)</f>
        <v>n.r.</v>
      </c>
      <c r="EL74" s="8" t="str">
        <f ca="1">OFFSET(Database!$F74,0,COLUMN(Database!EI74)*2-12)</f>
        <v>n.r.</v>
      </c>
      <c r="EM74" s="8" t="str">
        <f ca="1">OFFSET(Database!$F74,0,COLUMN(Database!EJ74)*2-12)</f>
        <v>n.r.</v>
      </c>
      <c r="EN74" s="8" t="str">
        <f ca="1">OFFSET(Database!$F74,0,COLUMN(Database!EK74)*2-12)</f>
        <v>n.r.</v>
      </c>
      <c r="EO74" s="8" t="str">
        <f ca="1">OFFSET(Database!$F74,0,COLUMN(Database!EL74)*2-12)</f>
        <v>n.r.</v>
      </c>
      <c r="EP74" s="8" t="str">
        <f ca="1">OFFSET(Database!$F74,0,COLUMN(Database!EM74)*2-12)</f>
        <v>n.r.</v>
      </c>
      <c r="EQ74" s="8" t="str">
        <f ca="1">OFFSET(Database!$F74,0,COLUMN(Database!EN74)*2-12)</f>
        <v>n.r.</v>
      </c>
      <c r="ER74" s="8" t="str">
        <f ca="1">OFFSET(Database!$F74,0,COLUMN(Database!EO74)*2-12)</f>
        <v>n.r.</v>
      </c>
      <c r="ES74" s="8" t="str">
        <f ca="1">OFFSET(Database!$F74,0,COLUMN(Database!EP74)*2-12)</f>
        <v>n.r.</v>
      </c>
      <c r="ET74" s="8" t="str">
        <f ca="1">OFFSET(Database!$F74,0,COLUMN(Database!EQ74)*2-12)</f>
        <v>n.r.</v>
      </c>
      <c r="EU74" s="8" t="str">
        <f ca="1">OFFSET(Database!$F74,0,COLUMN(Database!ER74)*2-12)</f>
        <v>n.r.</v>
      </c>
      <c r="EV74" s="8" t="str">
        <f ca="1">OFFSET(Database!$F74,0,COLUMN(Database!ES74)*2-12)</f>
        <v>n.r.</v>
      </c>
      <c r="EW74" s="8" t="str">
        <f ca="1">OFFSET(Database!$F74,0,COLUMN(Database!ET74)*2-12)</f>
        <v>n.r.</v>
      </c>
      <c r="EX74" s="8" t="str">
        <f ca="1">OFFSET(Database!$F74,0,COLUMN(Database!EU74)*2-12)</f>
        <v>n.r.</v>
      </c>
      <c r="EY74" s="8" t="str">
        <f ca="1">OFFSET(Database!$F74,0,COLUMN(Database!EV74)*2-12)</f>
        <v>n.r.</v>
      </c>
      <c r="EZ74" s="8" t="str">
        <f ca="1">OFFSET(Database!$F74,0,COLUMN(Database!EW74)*2-12)</f>
        <v>n.r.</v>
      </c>
      <c r="FA74" s="8" t="str">
        <f ca="1">OFFSET(Database!$F74,0,COLUMN(Database!EX74)*2-12)</f>
        <v>n.r.</v>
      </c>
      <c r="FB74" s="8" t="str">
        <f ca="1">OFFSET(Database!$F74,0,COLUMN(Database!EY74)*2-12)</f>
        <v>n.r.</v>
      </c>
      <c r="FC74" s="8" t="str">
        <f ca="1">OFFSET(Database!$F74,0,COLUMN(Database!EZ74)*2-12)</f>
        <v>n.r.</v>
      </c>
      <c r="FD74" s="8" t="str">
        <f ca="1">OFFSET(Database!$F74,0,COLUMN(Database!FA74)*2-12)</f>
        <v>n.r.</v>
      </c>
      <c r="FE74" s="8" t="str">
        <f ca="1">OFFSET(Database!$F74,0,COLUMN(Database!FB74)*2-12)</f>
        <v>n.r.</v>
      </c>
      <c r="FF74" s="8" t="str">
        <f ca="1">OFFSET(Database!$F74,0,COLUMN(Database!FC74)*2-12)</f>
        <v>n.r.</v>
      </c>
      <c r="FG74" s="8" t="str">
        <f ca="1">OFFSET(Database!$F74,0,COLUMN(Database!FD74)*2-12)</f>
        <v>n.r.</v>
      </c>
      <c r="FH74" s="8" t="str">
        <f ca="1">OFFSET(Database!$F74,0,COLUMN(Database!FE74)*2-12)</f>
        <v>n.r.</v>
      </c>
      <c r="FI74" s="8" t="str">
        <f ca="1">OFFSET(Database!$F74,0,COLUMN(Database!FF74)*2-12)</f>
        <v>n.r.</v>
      </c>
      <c r="FJ74" s="8" t="str">
        <f ca="1">OFFSET(Database!$F74,0,COLUMN(Database!FG74)*2-12)</f>
        <v>n.r.</v>
      </c>
      <c r="FK74" s="8" t="str">
        <f ca="1">OFFSET(Database!$F74,0,COLUMN(Database!FH74)*2-12)</f>
        <v>n.r.</v>
      </c>
      <c r="FL74" s="8" t="str">
        <f ca="1">OFFSET(Database!$F74,0,COLUMN(Database!FI74)*2-12)</f>
        <v>n.r.</v>
      </c>
      <c r="FM74" s="8" t="str">
        <f ca="1">OFFSET(Database!$F74,0,COLUMN(Database!FJ74)*2-12)</f>
        <v>n.r.</v>
      </c>
      <c r="FN74" s="8" t="str">
        <f ca="1">OFFSET(Database!$F74,0,COLUMN(Database!FK74)*2-12)</f>
        <v>n.r.</v>
      </c>
      <c r="FO74" s="8" t="str">
        <f ca="1">OFFSET(Database!$F74,0,COLUMN(Database!FL74)*2-12)</f>
        <v>n.r.</v>
      </c>
      <c r="FP74" s="8" t="str">
        <f ca="1">OFFSET(Database!$F74,0,COLUMN(Database!FM74)*2-12)</f>
        <v>n.r.</v>
      </c>
      <c r="FQ74" s="8" t="str">
        <f ca="1">OFFSET(Database!$F74,0,COLUMN(Database!FN74)*2-12)</f>
        <v>n.r.</v>
      </c>
      <c r="FR74" s="8" t="str">
        <f ca="1">OFFSET(Database!$F74,0,COLUMN(Database!FO74)*2-12)</f>
        <v>n.r.</v>
      </c>
      <c r="FS74" s="8" t="str">
        <f ca="1">OFFSET(Database!$F74,0,COLUMN(Database!FP74)*2-12)</f>
        <v>n.r.</v>
      </c>
      <c r="FT74" s="8" t="str">
        <f ca="1">OFFSET(Database!$F74,0,COLUMN(Database!FQ74)*2-12)</f>
        <v>n.r.</v>
      </c>
      <c r="FU74" s="8">
        <f ca="1">OFFSET(Database!$F74,0,COLUMN(Database!FR74)*2-12)</f>
        <v>1391</v>
      </c>
      <c r="FV74" s="8">
        <f ca="1">OFFSET(Database!$F74,0,COLUMN(Database!FS74)*2-12)</f>
        <v>1236</v>
      </c>
      <c r="FW74" s="8">
        <f ca="1">OFFSET(Database!$F74,0,COLUMN(Database!FT74)*2-12)</f>
        <v>1164</v>
      </c>
      <c r="FX74" s="8">
        <f ca="1">OFFSET(Database!$F74,0,COLUMN(Database!FU74)*2-12)</f>
        <v>1242</v>
      </c>
      <c r="FY74" s="8">
        <f ca="1">OFFSET(Database!$F74,0,COLUMN(Database!FV74)*2-12)</f>
        <v>1417</v>
      </c>
      <c r="FZ74" s="8">
        <f ca="1">OFFSET(Database!$F74,0,COLUMN(Database!FW74)*2-12)</f>
        <v>979</v>
      </c>
      <c r="GA74" s="8">
        <f ca="1">OFFSET(Database!$F74,0,COLUMN(Database!FX74)*2-12)</f>
        <v>1337</v>
      </c>
      <c r="GB74" s="8">
        <f ca="1">OFFSET(Database!$F74,0,COLUMN(Database!FY74)*2-12)</f>
        <v>1782</v>
      </c>
      <c r="GC74" s="8">
        <f ca="1">OFFSET(Database!$F74,0,COLUMN(Database!FZ74)*2-12)</f>
        <v>1194</v>
      </c>
      <c r="GD74" s="8">
        <f ca="1">OFFSET(Database!$F74,0,COLUMN(Database!GA74)*2-12)</f>
        <v>1377</v>
      </c>
      <c r="GE74" s="8">
        <f ca="1">OFFSET(Database!$F74,0,COLUMN(Database!GB74)*2-12)</f>
        <v>1265</v>
      </c>
      <c r="GF74" s="8">
        <f ca="1">OFFSET(Database!$F74,0,COLUMN(Database!GC74)*2-12)</f>
        <v>1106</v>
      </c>
      <c r="GG74" s="8" t="str">
        <f ca="1">OFFSET(Database!$F74,0,COLUMN(Database!GD74)*2-12)</f>
        <v>n.r.</v>
      </c>
      <c r="GH74" s="8" t="str">
        <f ca="1">OFFSET(Database!$F74,0,COLUMN(Database!GE74)*2-12)</f>
        <v>n.r.</v>
      </c>
      <c r="GI74" s="8" t="str">
        <f ca="1">OFFSET(Database!$F74,0,COLUMN(Database!GF74)*2-12)</f>
        <v>n.r.</v>
      </c>
      <c r="GJ74" s="8" t="str">
        <f ca="1">OFFSET(Database!$F74,0,COLUMN(Database!GG74)*2-12)</f>
        <v>n.r.</v>
      </c>
      <c r="GK74" s="8" t="str">
        <f ca="1">OFFSET(Database!$F74,0,COLUMN(Database!GH74)*2-12)</f>
        <v>n.r.</v>
      </c>
      <c r="GL74" s="8" t="str">
        <f ca="1">OFFSET(Database!$F74,0,COLUMN(Database!GI74)*2-12)</f>
        <v>n.r.</v>
      </c>
      <c r="GM74" s="8">
        <f ca="1">OFFSET(Database!$F74,0,COLUMN(Database!GJ74)*2-12)</f>
        <v>106.76427972241287</v>
      </c>
      <c r="GN74" s="8" t="str">
        <f ca="1">OFFSET(Database!$F74,0,COLUMN(Database!GK74)*2-12)</f>
        <v>n.d.</v>
      </c>
      <c r="GO74" s="8" t="str">
        <f ca="1">OFFSET(Database!$F74,0,COLUMN(Database!GL74)*2-12)</f>
        <v>n.r.</v>
      </c>
      <c r="GP74" s="8" t="str">
        <f ca="1">OFFSET(Database!$F74,0,COLUMN(Database!GM74)*2-12)</f>
        <v>n.r.</v>
      </c>
    </row>
    <row r="75" spans="1:198" x14ac:dyDescent="0.2">
      <c r="A75" s="50" t="str">
        <f>Database!A75</f>
        <v>D-methionine</v>
      </c>
      <c r="B75" s="1" t="s">
        <v>874</v>
      </c>
      <c r="C75" s="4" t="str">
        <f>Database!B75</f>
        <v>ɑ</v>
      </c>
      <c r="D75" s="4" t="str">
        <f>Database!C75</f>
        <v>D</v>
      </c>
      <c r="E75" s="74">
        <f>Database!D75</f>
        <v>5</v>
      </c>
      <c r="F75" s="1" t="s">
        <v>949</v>
      </c>
      <c r="G75" s="18">
        <v>84815</v>
      </c>
      <c r="H75" s="1">
        <f>Database!E75</f>
        <v>149.21</v>
      </c>
      <c r="I75" s="8" t="str">
        <f ca="1">OFFSET(Database!$F75,0,COLUMN(Database!F75)*2-12)</f>
        <v>n.r.</v>
      </c>
      <c r="J75" s="8" t="str">
        <f ca="1">OFFSET(Database!$F75,0,COLUMN(Database!G75)*2-12)</f>
        <v>n.r.</v>
      </c>
      <c r="K75" s="8" t="str">
        <f ca="1">OFFSET(Database!$F75,0,COLUMN(Database!H75)*2-12)</f>
        <v>n.r.</v>
      </c>
      <c r="L75" s="8" t="str">
        <f ca="1">OFFSET(Database!$F75,0,COLUMN(Database!I75)*2-12)</f>
        <v>n.r.</v>
      </c>
      <c r="M75" s="8" t="str">
        <f ca="1">OFFSET(Database!$F75,0,COLUMN(Database!J75)*2-12)</f>
        <v>n.r.</v>
      </c>
      <c r="N75" s="8" t="str">
        <f ca="1">OFFSET(Database!$F75,0,COLUMN(Database!K75)*2-12)</f>
        <v>n.r.</v>
      </c>
      <c r="O75" s="8" t="str">
        <f ca="1">OFFSET(Database!$F75,0,COLUMN(Database!L75)*2-12)</f>
        <v>n.r.</v>
      </c>
      <c r="P75" s="8" t="str">
        <f ca="1">OFFSET(Database!$F75,0,COLUMN(Database!M75)*2-12)</f>
        <v>n.r.</v>
      </c>
      <c r="Q75" s="8" t="str">
        <f ca="1">OFFSET(Database!$F75,0,COLUMN(Database!N75)*2-12)</f>
        <v>n.r.</v>
      </c>
      <c r="R75" s="8" t="str">
        <f ca="1">OFFSET(Database!$F75,0,COLUMN(Database!O75)*2-12)</f>
        <v>n.r.</v>
      </c>
      <c r="S75" s="8" t="str">
        <f ca="1">OFFSET(Database!$F75,0,COLUMN(Database!P75)*2-12)</f>
        <v>n.r.</v>
      </c>
      <c r="T75" s="8" t="str">
        <f ca="1">OFFSET(Database!$F75,0,COLUMN(Database!Q75)*2-12)</f>
        <v>n.r.</v>
      </c>
      <c r="U75" s="8" t="str">
        <f ca="1">OFFSET(Database!$F75,0,COLUMN(Database!R75)*2-12)</f>
        <v>n.r.</v>
      </c>
      <c r="V75" s="8" t="str">
        <f ca="1">OFFSET(Database!$F75,0,COLUMN(Database!S75)*2-12)</f>
        <v>n.r.</v>
      </c>
      <c r="W75" s="8" t="str">
        <f ca="1">OFFSET(Database!$F75,0,COLUMN(Database!T75)*2-12)</f>
        <v>n.r.</v>
      </c>
      <c r="X75" s="8" t="str">
        <f ca="1">OFFSET(Database!$F75,0,COLUMN(Database!U75)*2-12)</f>
        <v>n.r.</v>
      </c>
      <c r="Y75" s="8" t="str">
        <f ca="1">OFFSET(Database!$F75,0,COLUMN(Database!V75)*2-12)</f>
        <v>n.r.</v>
      </c>
      <c r="Z75" s="8" t="str">
        <f ca="1">OFFSET(Database!$F75,0,COLUMN(Database!W75)*2-12)</f>
        <v>n.r.</v>
      </c>
      <c r="AA75" s="8" t="str">
        <f ca="1">OFFSET(Database!$F75,0,COLUMN(Database!X75)*2-12)</f>
        <v>n.r.</v>
      </c>
      <c r="AB75" s="8" t="str">
        <f ca="1">OFFSET(Database!$F75,0,COLUMN(Database!Y75)*2-12)</f>
        <v>n.r.</v>
      </c>
      <c r="AC75" s="8" t="str">
        <f ca="1">OFFSET(Database!$F75,0,COLUMN(Database!Z75)*2-12)</f>
        <v>n.r.</v>
      </c>
      <c r="AD75" s="8" t="str">
        <f ca="1">OFFSET(Database!$F75,0,COLUMN(Database!AA75)*2-12)</f>
        <v>n.r.</v>
      </c>
      <c r="AE75" s="8" t="str">
        <f ca="1">OFFSET(Database!$F75,0,COLUMN(Database!AB75)*2-12)</f>
        <v>n.r.</v>
      </c>
      <c r="AF75" s="8" t="str">
        <f ca="1">OFFSET(Database!$F75,0,COLUMN(Database!AC75)*2-12)</f>
        <v>n.r.</v>
      </c>
      <c r="AG75" s="8" t="str">
        <f ca="1">OFFSET(Database!$F75,0,COLUMN(Database!AD75)*2-12)</f>
        <v>n.r.</v>
      </c>
      <c r="AH75" s="8" t="str">
        <f ca="1">OFFSET(Database!$F75,0,COLUMN(Database!AE75)*2-12)</f>
        <v>n.r.</v>
      </c>
      <c r="AI75" s="8" t="str">
        <f ca="1">OFFSET(Database!$F75,0,COLUMN(Database!AF75)*2-12)</f>
        <v>n.r.</v>
      </c>
      <c r="AJ75" s="8" t="str">
        <f ca="1">OFFSET(Database!$F75,0,COLUMN(Database!AG75)*2-12)</f>
        <v>n.r.</v>
      </c>
      <c r="AK75" s="8" t="str">
        <f ca="1">OFFSET(Database!$F75,0,COLUMN(Database!AH75)*2-12)</f>
        <v>n.r.</v>
      </c>
      <c r="AL75" s="8" t="str">
        <f ca="1">OFFSET(Database!$F75,0,COLUMN(Database!AI75)*2-12)</f>
        <v>n.r.</v>
      </c>
      <c r="AM75" s="8" t="str">
        <f ca="1">OFFSET(Database!$F75,0,COLUMN(Database!AJ75)*2-12)</f>
        <v>n.r.</v>
      </c>
      <c r="AN75" s="8" t="str">
        <f ca="1">OFFSET(Database!$F75,0,COLUMN(Database!AK75)*2-12)</f>
        <v>n.r.</v>
      </c>
      <c r="AO75" s="8" t="str">
        <f ca="1">OFFSET(Database!$F75,0,COLUMN(Database!AL75)*2-12)</f>
        <v>n.r.</v>
      </c>
      <c r="AP75" s="8" t="str">
        <f ca="1">OFFSET(Database!$F75,0,COLUMN(Database!AM75)*2-12)</f>
        <v>n.r.</v>
      </c>
      <c r="AQ75" s="8" t="str">
        <f ca="1">OFFSET(Database!$F75,0,COLUMN(Database!AN75)*2-12)</f>
        <v>n.r.</v>
      </c>
      <c r="AR75" s="8" t="str">
        <f ca="1">OFFSET(Database!$F75,0,COLUMN(Database!AO75)*2-12)</f>
        <v>n.r.</v>
      </c>
      <c r="AS75" s="8" t="str">
        <f ca="1">OFFSET(Database!$F75,0,COLUMN(Database!AP75)*2-12)</f>
        <v>n.r.</v>
      </c>
      <c r="AT75" s="8" t="str">
        <f ca="1">OFFSET(Database!$F75,0,COLUMN(Database!AQ75)*2-12)</f>
        <v>n.r.</v>
      </c>
      <c r="AU75" s="8" t="str">
        <f ca="1">OFFSET(Database!$F75,0,COLUMN(Database!AR75)*2-12)</f>
        <v>n.r.</v>
      </c>
      <c r="AV75" s="8" t="str">
        <f ca="1">OFFSET(Database!$F75,0,COLUMN(Database!AS75)*2-12)</f>
        <v>n.r.</v>
      </c>
      <c r="AW75" s="8" t="str">
        <f ca="1">OFFSET(Database!$F75,0,COLUMN(Database!AT75)*2-12)</f>
        <v>n.r.</v>
      </c>
      <c r="AX75" s="8" t="str">
        <f ca="1">OFFSET(Database!$F75,0,COLUMN(Database!AU75)*2-12)</f>
        <v>n.r.</v>
      </c>
      <c r="AY75" s="8" t="str">
        <f ca="1">OFFSET(Database!$F75,0,COLUMN(Database!AV75)*2-12)</f>
        <v>n.r.</v>
      </c>
      <c r="AZ75" s="8" t="str">
        <f ca="1">OFFSET(Database!$F75,0,COLUMN(Database!AW75)*2-12)</f>
        <v>n.r.</v>
      </c>
      <c r="BA75" s="8" t="str">
        <f ca="1">OFFSET(Database!$F75,0,COLUMN(Database!AX75)*2-12)</f>
        <v>n.r.</v>
      </c>
      <c r="BB75" s="8" t="str">
        <f ca="1">OFFSET(Database!$F75,0,COLUMN(Database!AY75)*2-12)</f>
        <v>n.r.</v>
      </c>
      <c r="BC75" s="8" t="str">
        <f ca="1">OFFSET(Database!$F75,0,COLUMN(Database!AZ75)*2-12)</f>
        <v>n.r.</v>
      </c>
      <c r="BD75" s="8" t="str">
        <f ca="1">OFFSET(Database!$F75,0,COLUMN(Database!BA75)*2-12)</f>
        <v>n.r.</v>
      </c>
      <c r="BE75" s="8" t="str">
        <f ca="1">OFFSET(Database!$F75,0,COLUMN(Database!BB75)*2-12)</f>
        <v>n.r.</v>
      </c>
      <c r="BF75" s="8" t="str">
        <f ca="1">OFFSET(Database!$F75,0,COLUMN(Database!BC75)*2-12)</f>
        <v>n.r.</v>
      </c>
      <c r="BG75" s="8" t="str">
        <f ca="1">OFFSET(Database!$F75,0,COLUMN(Database!BD75)*2-12)</f>
        <v>n.r.</v>
      </c>
      <c r="BH75" s="8" t="str">
        <f ca="1">OFFSET(Database!$F75,0,COLUMN(Database!BE75)*2-12)</f>
        <v>n.r.</v>
      </c>
      <c r="BI75" s="8" t="str">
        <f ca="1">OFFSET(Database!$F75,0,COLUMN(Database!BF75)*2-12)</f>
        <v>n.r.</v>
      </c>
      <c r="BJ75" s="8" t="str">
        <f ca="1">OFFSET(Database!$F75,0,COLUMN(Database!BG75)*2-12)</f>
        <v>n.r.</v>
      </c>
      <c r="BK75" s="8" t="str">
        <f ca="1">OFFSET(Database!$F75,0,COLUMN(Database!BH75)*2-12)</f>
        <v>n.r.</v>
      </c>
      <c r="BL75" s="8" t="str">
        <f ca="1">OFFSET(Database!$F75,0,COLUMN(Database!BI75)*2-12)</f>
        <v>n.r.</v>
      </c>
      <c r="BM75" s="8" t="str">
        <f ca="1">OFFSET(Database!$F75,0,COLUMN(Database!BJ75)*2-12)</f>
        <v>n.r.</v>
      </c>
      <c r="BN75" s="8" t="str">
        <f ca="1">OFFSET(Database!$F75,0,COLUMN(Database!BK75)*2-12)</f>
        <v>n.r.</v>
      </c>
      <c r="BO75" s="8" t="str">
        <f ca="1">OFFSET(Database!$F75,0,COLUMN(Database!BL75)*2-12)</f>
        <v>n.r.</v>
      </c>
      <c r="BP75" s="8" t="str">
        <f ca="1">OFFSET(Database!$F75,0,COLUMN(Database!BM75)*2-12)</f>
        <v>n.r.</v>
      </c>
      <c r="BQ75" s="8" t="str">
        <f ca="1">OFFSET(Database!$F75,0,COLUMN(Database!BN75)*2-12)</f>
        <v>n.r.</v>
      </c>
      <c r="BR75" s="8" t="str">
        <f ca="1">OFFSET(Database!$F75,0,COLUMN(Database!BO75)*2-12)</f>
        <v>n.r.</v>
      </c>
      <c r="BS75" s="8" t="str">
        <f ca="1">OFFSET(Database!$F75,0,COLUMN(Database!BP75)*2-12)</f>
        <v>n.r.</v>
      </c>
      <c r="BT75" s="8" t="str">
        <f ca="1">OFFSET(Database!$F75,0,COLUMN(Database!BQ75)*2-12)</f>
        <v>n.r.</v>
      </c>
      <c r="BU75" s="8" t="str">
        <f ca="1">OFFSET(Database!$F75,0,COLUMN(Database!BR75)*2-12)</f>
        <v>n.r.</v>
      </c>
      <c r="BV75" s="8" t="str">
        <f ca="1">OFFSET(Database!$F75,0,COLUMN(Database!BS75)*2-12)</f>
        <v>n.r.</v>
      </c>
      <c r="BW75" s="8" t="str">
        <f ca="1">OFFSET(Database!$F75,0,COLUMN(Database!BT75)*2-12)</f>
        <v>n.r.</v>
      </c>
      <c r="BX75" s="8" t="str">
        <f ca="1">OFFSET(Database!$F75,0,COLUMN(Database!BU75)*2-12)</f>
        <v>n.r.</v>
      </c>
      <c r="BY75" s="8" t="str">
        <f ca="1">OFFSET(Database!$F75,0,COLUMN(Database!BV75)*2-12)</f>
        <v>n.r.</v>
      </c>
      <c r="BZ75" s="8" t="str">
        <f ca="1">OFFSET(Database!$F75,0,COLUMN(Database!BW75)*2-12)</f>
        <v>n.r.</v>
      </c>
      <c r="CA75" s="8" t="str">
        <f ca="1">OFFSET(Database!$F75,0,COLUMN(Database!BX75)*2-12)</f>
        <v>n.r.</v>
      </c>
      <c r="CB75" s="8" t="str">
        <f ca="1">OFFSET(Database!$F75,0,COLUMN(Database!BY75)*2-12)</f>
        <v>n.r.</v>
      </c>
      <c r="CC75" s="8" t="str">
        <f ca="1">OFFSET(Database!$F75,0,COLUMN(Database!BZ75)*2-12)</f>
        <v>n.r.</v>
      </c>
      <c r="CD75" s="8" t="str">
        <f ca="1">OFFSET(Database!$F75,0,COLUMN(Database!CA75)*2-12)</f>
        <v>n.r.</v>
      </c>
      <c r="CE75" s="8" t="str">
        <f ca="1">OFFSET(Database!$F75,0,COLUMN(Database!CB75)*2-12)</f>
        <v>n.r.</v>
      </c>
      <c r="CF75" s="8" t="str">
        <f ca="1">OFFSET(Database!$F75,0,COLUMN(Database!CC75)*2-12)</f>
        <v>n.r.</v>
      </c>
      <c r="CG75" s="8" t="str">
        <f ca="1">OFFSET(Database!$F75,0,COLUMN(Database!CD75)*2-12)</f>
        <v>n.r.</v>
      </c>
      <c r="CH75" s="8" t="str">
        <f ca="1">OFFSET(Database!$F75,0,COLUMN(Database!CE75)*2-12)</f>
        <v>n.r.</v>
      </c>
      <c r="CI75" s="8" t="str">
        <f ca="1">OFFSET(Database!$F75,0,COLUMN(Database!CF75)*2-12)</f>
        <v>n.r.</v>
      </c>
      <c r="CJ75" s="8" t="str">
        <f ca="1">OFFSET(Database!$F75,0,COLUMN(Database!CG75)*2-12)</f>
        <v>n.r.</v>
      </c>
      <c r="CK75" s="8" t="str">
        <f ca="1">OFFSET(Database!$F75,0,COLUMN(Database!CH75)*2-12)</f>
        <v>n.r.</v>
      </c>
      <c r="CL75" s="8" t="str">
        <f ca="1">OFFSET(Database!$F75,0,COLUMN(Database!CI75)*2-12)</f>
        <v>n.r.</v>
      </c>
      <c r="CM75" s="8" t="str">
        <f ca="1">OFFSET(Database!$F75,0,COLUMN(Database!CJ75)*2-12)</f>
        <v>n.r.</v>
      </c>
      <c r="CN75" s="8" t="str">
        <f ca="1">OFFSET(Database!$F75,0,COLUMN(Database!CK75)*2-12)</f>
        <v>n.r.</v>
      </c>
      <c r="CO75" s="8" t="str">
        <f ca="1">OFFSET(Database!$F75,0,COLUMN(Database!CL75)*2-12)</f>
        <v>n.r.</v>
      </c>
      <c r="CP75" s="8" t="str">
        <f ca="1">OFFSET(Database!$F75,0,COLUMN(Database!CM75)*2-12)</f>
        <v>n.r.</v>
      </c>
      <c r="CQ75" s="8" t="str">
        <f ca="1">OFFSET(Database!$F75,0,COLUMN(Database!CN75)*2-12)</f>
        <v>n.r.</v>
      </c>
      <c r="CR75" s="8" t="str">
        <f ca="1">OFFSET(Database!$F75,0,COLUMN(Database!CO75)*2-12)</f>
        <v>n.r.</v>
      </c>
      <c r="CS75" s="8" t="str">
        <f ca="1">OFFSET(Database!$F75,0,COLUMN(Database!CP75)*2-12)</f>
        <v>n.r.</v>
      </c>
      <c r="CT75" s="8" t="str">
        <f ca="1">OFFSET(Database!$F75,0,COLUMN(Database!CQ75)*2-12)</f>
        <v>n.r.</v>
      </c>
      <c r="CU75" s="8" t="str">
        <f ca="1">OFFSET(Database!$F75,0,COLUMN(Database!CR75)*2-12)</f>
        <v>n.r.</v>
      </c>
      <c r="CV75" s="8" t="str">
        <f ca="1">OFFSET(Database!$F75,0,COLUMN(Database!CS75)*2-12)</f>
        <v>n.r.</v>
      </c>
      <c r="CW75" s="8" t="str">
        <f ca="1">OFFSET(Database!$F75,0,COLUMN(Database!CT75)*2-12)</f>
        <v>n.r.</v>
      </c>
      <c r="CX75" s="8" t="str">
        <f ca="1">OFFSET(Database!$F75,0,COLUMN(Database!CU75)*2-12)</f>
        <v>n.r.</v>
      </c>
      <c r="CY75" s="8" t="str">
        <f ca="1">OFFSET(Database!$F75,0,COLUMN(Database!CV75)*2-12)</f>
        <v>n.r.</v>
      </c>
      <c r="CZ75" s="8" t="str">
        <f ca="1">OFFSET(Database!$F75,0,COLUMN(Database!CW75)*2-12)</f>
        <v>n.r.</v>
      </c>
      <c r="DA75" s="8" t="str">
        <f ca="1">OFFSET(Database!$F75,0,COLUMN(Database!CX75)*2-12)</f>
        <v>n.r.</v>
      </c>
      <c r="DB75" s="8" t="str">
        <f ca="1">OFFSET(Database!$F75,0,COLUMN(Database!CY75)*2-12)</f>
        <v>n.r.</v>
      </c>
      <c r="DC75" s="8" t="str">
        <f ca="1">OFFSET(Database!$F75,0,COLUMN(Database!CZ75)*2-12)</f>
        <v>n.r.</v>
      </c>
      <c r="DD75" s="8" t="str">
        <f ca="1">OFFSET(Database!$F75,0,COLUMN(Database!DA75)*2-12)</f>
        <v>n.r.</v>
      </c>
      <c r="DE75" s="8" t="str">
        <f ca="1">OFFSET(Database!$F75,0,COLUMN(Database!DB75)*2-12)</f>
        <v>n.r.</v>
      </c>
      <c r="DF75" s="8" t="str">
        <f ca="1">OFFSET(Database!$F75,0,COLUMN(Database!DC75)*2-12)</f>
        <v>n.r.</v>
      </c>
      <c r="DG75" s="8" t="str">
        <f ca="1">OFFSET(Database!$F75,0,COLUMN(Database!DD75)*2-12)</f>
        <v>n.r.</v>
      </c>
      <c r="DH75" s="8" t="str">
        <f ca="1">OFFSET(Database!$F75,0,COLUMN(Database!DE75)*2-12)</f>
        <v>n.r.</v>
      </c>
      <c r="DI75" s="8" t="str">
        <f ca="1">OFFSET(Database!$F75,0,COLUMN(Database!DF75)*2-12)</f>
        <v>n.r.</v>
      </c>
      <c r="DJ75" s="8" t="str">
        <f ca="1">OFFSET(Database!$F75,0,COLUMN(Database!DG75)*2-12)</f>
        <v>n.r.</v>
      </c>
      <c r="DK75" s="8" t="str">
        <f ca="1">OFFSET(Database!$F75,0,COLUMN(Database!DH75)*2-12)</f>
        <v>n.r.</v>
      </c>
      <c r="DL75" s="8" t="str">
        <f ca="1">OFFSET(Database!$F75,0,COLUMN(Database!DI75)*2-12)</f>
        <v>n.r.</v>
      </c>
      <c r="DM75" s="8" t="str">
        <f ca="1">OFFSET(Database!$F75,0,COLUMN(Database!DJ75)*2-12)</f>
        <v>n.r.</v>
      </c>
      <c r="DN75" s="8" t="str">
        <f ca="1">OFFSET(Database!$F75,0,COLUMN(Database!DK75)*2-12)</f>
        <v>n.r.</v>
      </c>
      <c r="DO75" s="8" t="str">
        <f ca="1">OFFSET(Database!$F75,0,COLUMN(Database!DL75)*2-12)</f>
        <v>n.r.</v>
      </c>
      <c r="DP75" s="8" t="str">
        <f ca="1">OFFSET(Database!$F75,0,COLUMN(Database!DM75)*2-12)</f>
        <v>n.r.</v>
      </c>
      <c r="DQ75" s="8" t="str">
        <f ca="1">OFFSET(Database!$F75,0,COLUMN(Database!DN75)*2-12)</f>
        <v>n.r.</v>
      </c>
      <c r="DR75" s="8" t="str">
        <f ca="1">OFFSET(Database!$F75,0,COLUMN(Database!DO75)*2-12)</f>
        <v>n.r.</v>
      </c>
      <c r="DS75" s="8" t="str">
        <f ca="1">OFFSET(Database!$F75,0,COLUMN(Database!DP75)*2-12)</f>
        <v>n.r.</v>
      </c>
      <c r="DT75" s="8" t="str">
        <f ca="1">OFFSET(Database!$F75,0,COLUMN(Database!DQ75)*2-12)</f>
        <v>n.r.</v>
      </c>
      <c r="DU75" s="8" t="str">
        <f ca="1">OFFSET(Database!$F75,0,COLUMN(Database!DR75)*2-12)</f>
        <v>n.r.</v>
      </c>
      <c r="DV75" s="8" t="str">
        <f ca="1">OFFSET(Database!$F75,0,COLUMN(Database!DS75)*2-12)</f>
        <v>n.r.</v>
      </c>
      <c r="DW75" s="8" t="str">
        <f ca="1">OFFSET(Database!$F75,0,COLUMN(Database!DT75)*2-12)</f>
        <v>n.r.</v>
      </c>
      <c r="DX75" s="8" t="str">
        <f ca="1">OFFSET(Database!$F75,0,COLUMN(Database!DU75)*2-12)</f>
        <v>n.r.</v>
      </c>
      <c r="DY75" s="8" t="str">
        <f ca="1">OFFSET(Database!$F75,0,COLUMN(Database!DV75)*2-12)</f>
        <v>n.r.</v>
      </c>
      <c r="DZ75" s="8" t="str">
        <f ca="1">OFFSET(Database!$F75,0,COLUMN(Database!DW75)*2-12)</f>
        <v>n.r.</v>
      </c>
      <c r="EA75" s="8" t="str">
        <f ca="1">OFFSET(Database!$F75,0,COLUMN(Database!DX75)*2-12)</f>
        <v>n.r.</v>
      </c>
      <c r="EB75" s="8" t="str">
        <f ca="1">OFFSET(Database!$F75,0,COLUMN(Database!DY75)*2-12)</f>
        <v>n.r.</v>
      </c>
      <c r="EC75" s="8" t="str">
        <f ca="1">OFFSET(Database!$F75,0,COLUMN(Database!DZ75)*2-12)</f>
        <v>n.r.</v>
      </c>
      <c r="ED75" s="8" t="str">
        <f ca="1">OFFSET(Database!$F75,0,COLUMN(Database!EA75)*2-12)</f>
        <v>n.r</v>
      </c>
      <c r="EE75" s="8" t="str">
        <f ca="1">OFFSET(Database!$F75,0,COLUMN(Database!EB75)*2-12)</f>
        <v>n.r</v>
      </c>
      <c r="EF75" s="8" t="str">
        <f ca="1">OFFSET(Database!$F75,0,COLUMN(Database!EC75)*2-12)</f>
        <v>n.r</v>
      </c>
      <c r="EG75" s="8" t="str">
        <f ca="1">OFFSET(Database!$F75,0,COLUMN(Database!ED75)*2-12)</f>
        <v>n.r</v>
      </c>
      <c r="EH75" s="8" t="str">
        <f ca="1">OFFSET(Database!$F75,0,COLUMN(Database!EE75)*2-12)</f>
        <v>n.r</v>
      </c>
      <c r="EI75" s="8" t="str">
        <f ca="1">OFFSET(Database!$F75,0,COLUMN(Database!EF75)*2-12)</f>
        <v>n.r.</v>
      </c>
      <c r="EJ75" s="8" t="str">
        <f ca="1">OFFSET(Database!$F75,0,COLUMN(Database!EG75)*2-12)</f>
        <v>n.r.</v>
      </c>
      <c r="EK75" s="8" t="str">
        <f ca="1">OFFSET(Database!$F75,0,COLUMN(Database!EH75)*2-12)</f>
        <v>n.r.</v>
      </c>
      <c r="EL75" s="8" t="str">
        <f ca="1">OFFSET(Database!$F75,0,COLUMN(Database!EI75)*2-12)</f>
        <v>n.r.</v>
      </c>
      <c r="EM75" s="8" t="str">
        <f ca="1">OFFSET(Database!$F75,0,COLUMN(Database!EJ75)*2-12)</f>
        <v>n.r.</v>
      </c>
      <c r="EN75" s="8" t="str">
        <f ca="1">OFFSET(Database!$F75,0,COLUMN(Database!EK75)*2-12)</f>
        <v>n.r.</v>
      </c>
      <c r="EO75" s="8" t="str">
        <f ca="1">OFFSET(Database!$F75,0,COLUMN(Database!EL75)*2-12)</f>
        <v>n.r.</v>
      </c>
      <c r="EP75" s="8" t="str">
        <f ca="1">OFFSET(Database!$F75,0,COLUMN(Database!EM75)*2-12)</f>
        <v>n.r.</v>
      </c>
      <c r="EQ75" s="8" t="str">
        <f ca="1">OFFSET(Database!$F75,0,COLUMN(Database!EN75)*2-12)</f>
        <v>n.r.</v>
      </c>
      <c r="ER75" s="8">
        <f ca="1">OFFSET(Database!$F75,0,COLUMN(Database!EO75)*2-12)</f>
        <v>3</v>
      </c>
      <c r="ES75" s="8">
        <f ca="1">OFFSET(Database!$F75,0,COLUMN(Database!EP75)*2-12)</f>
        <v>0</v>
      </c>
      <c r="ET75" s="8">
        <f ca="1">OFFSET(Database!$F75,0,COLUMN(Database!EQ75)*2-12)</f>
        <v>0</v>
      </c>
      <c r="EU75" s="8">
        <f ca="1">OFFSET(Database!$F75,0,COLUMN(Database!ER75)*2-12)</f>
        <v>0</v>
      </c>
      <c r="EV75" s="8">
        <f ca="1">OFFSET(Database!$F75,0,COLUMN(Database!ES75)*2-12)</f>
        <v>0</v>
      </c>
      <c r="EW75" s="8" t="str">
        <f ca="1">OFFSET(Database!$F75,0,COLUMN(Database!ET75)*2-12)</f>
        <v>n.r.</v>
      </c>
      <c r="EX75" s="8" t="str">
        <f ca="1">OFFSET(Database!$F75,0,COLUMN(Database!EU75)*2-12)</f>
        <v>n.r.</v>
      </c>
      <c r="EY75" s="8" t="str">
        <f ca="1">OFFSET(Database!$F75,0,COLUMN(Database!EV75)*2-12)</f>
        <v>n.r.</v>
      </c>
      <c r="EZ75" s="8" t="str">
        <f ca="1">OFFSET(Database!$F75,0,COLUMN(Database!EW75)*2-12)</f>
        <v>n.r.</v>
      </c>
      <c r="FA75" s="8" t="str">
        <f ca="1">OFFSET(Database!$F75,0,COLUMN(Database!EX75)*2-12)</f>
        <v>n.r.</v>
      </c>
      <c r="FB75" s="8" t="str">
        <f ca="1">OFFSET(Database!$F75,0,COLUMN(Database!EY75)*2-12)</f>
        <v>n.r.</v>
      </c>
      <c r="FC75" s="8" t="str">
        <f ca="1">OFFSET(Database!$F75,0,COLUMN(Database!EZ75)*2-12)</f>
        <v>n.r.</v>
      </c>
      <c r="FD75" s="8" t="str">
        <f ca="1">OFFSET(Database!$F75,0,COLUMN(Database!FA75)*2-12)</f>
        <v>n.d.</v>
      </c>
      <c r="FE75" s="8" t="str">
        <f ca="1">OFFSET(Database!$F75,0,COLUMN(Database!FB75)*2-12)</f>
        <v>n.d.</v>
      </c>
      <c r="FF75" s="8" t="str">
        <f ca="1">OFFSET(Database!$F75,0,COLUMN(Database!FC75)*2-12)</f>
        <v>n.d.</v>
      </c>
      <c r="FG75" s="8" t="str">
        <f ca="1">OFFSET(Database!$F75,0,COLUMN(Database!FD75)*2-12)</f>
        <v>n.r.</v>
      </c>
      <c r="FH75" s="8" t="str">
        <f ca="1">OFFSET(Database!$F75,0,COLUMN(Database!FE75)*2-12)</f>
        <v>n.r.</v>
      </c>
      <c r="FI75" s="8" t="str">
        <f ca="1">OFFSET(Database!$F75,0,COLUMN(Database!FF75)*2-12)</f>
        <v>n.r.</v>
      </c>
      <c r="FJ75" s="8" t="str">
        <f ca="1">OFFSET(Database!$F75,0,COLUMN(Database!FG75)*2-12)</f>
        <v>n.r.</v>
      </c>
      <c r="FK75" s="8" t="str">
        <f ca="1">OFFSET(Database!$F75,0,COLUMN(Database!FH75)*2-12)</f>
        <v>n.r.</v>
      </c>
      <c r="FL75" s="8" t="str">
        <f ca="1">OFFSET(Database!$F75,0,COLUMN(Database!FI75)*2-12)</f>
        <v>n.r.</v>
      </c>
      <c r="FM75" s="8" t="str">
        <f ca="1">OFFSET(Database!$F75,0,COLUMN(Database!FJ75)*2-12)</f>
        <v>n.r.</v>
      </c>
      <c r="FN75" s="8" t="str">
        <f ca="1">OFFSET(Database!$F75,0,COLUMN(Database!FK75)*2-12)</f>
        <v>n.r.</v>
      </c>
      <c r="FO75" s="8" t="str">
        <f ca="1">OFFSET(Database!$F75,0,COLUMN(Database!FL75)*2-12)</f>
        <v>n.r.</v>
      </c>
      <c r="FP75" s="8" t="str">
        <f ca="1">OFFSET(Database!$F75,0,COLUMN(Database!FM75)*2-12)</f>
        <v>n.r.</v>
      </c>
      <c r="FQ75" s="8" t="str">
        <f ca="1">OFFSET(Database!$F75,0,COLUMN(Database!FN75)*2-12)</f>
        <v>n.r.</v>
      </c>
      <c r="FR75" s="8" t="str">
        <f ca="1">OFFSET(Database!$F75,0,COLUMN(Database!FO75)*2-12)</f>
        <v>n.r.</v>
      </c>
      <c r="FS75" s="8" t="str">
        <f ca="1">OFFSET(Database!$F75,0,COLUMN(Database!FP75)*2-12)</f>
        <v>n.r.</v>
      </c>
      <c r="FT75" s="8" t="str">
        <f ca="1">OFFSET(Database!$F75,0,COLUMN(Database!FQ75)*2-12)</f>
        <v>n.r.</v>
      </c>
      <c r="FU75" s="8" t="str">
        <f ca="1">OFFSET(Database!$F75,0,COLUMN(Database!FR75)*2-12)</f>
        <v>n.r.</v>
      </c>
      <c r="FV75" s="8" t="str">
        <f ca="1">OFFSET(Database!$F75,0,COLUMN(Database!FS75)*2-12)</f>
        <v>n.r.</v>
      </c>
      <c r="FW75" s="8" t="str">
        <f ca="1">OFFSET(Database!$F75,0,COLUMN(Database!FT75)*2-12)</f>
        <v>n.r.</v>
      </c>
      <c r="FX75" s="8" t="str">
        <f ca="1">OFFSET(Database!$F75,0,COLUMN(Database!FU75)*2-12)</f>
        <v>n.r.</v>
      </c>
      <c r="FY75" s="8" t="str">
        <f ca="1">OFFSET(Database!$F75,0,COLUMN(Database!FV75)*2-12)</f>
        <v>n.r.</v>
      </c>
      <c r="FZ75" s="8" t="str">
        <f ca="1">OFFSET(Database!$F75,0,COLUMN(Database!FW75)*2-12)</f>
        <v>n.r.</v>
      </c>
      <c r="GA75" s="8" t="str">
        <f ca="1">OFFSET(Database!$F75,0,COLUMN(Database!FX75)*2-12)</f>
        <v>n.r.</v>
      </c>
      <c r="GB75" s="8" t="str">
        <f ca="1">OFFSET(Database!$F75,0,COLUMN(Database!FY75)*2-12)</f>
        <v>n.r.</v>
      </c>
      <c r="GC75" s="8" t="str">
        <f ca="1">OFFSET(Database!$F75,0,COLUMN(Database!FZ75)*2-12)</f>
        <v>n.r.</v>
      </c>
      <c r="GD75" s="8" t="str">
        <f ca="1">OFFSET(Database!$F75,0,COLUMN(Database!GA75)*2-12)</f>
        <v>n.r.</v>
      </c>
      <c r="GE75" s="8" t="str">
        <f ca="1">OFFSET(Database!$F75,0,COLUMN(Database!GB75)*2-12)</f>
        <v>n.r.</v>
      </c>
      <c r="GF75" s="8" t="str">
        <f ca="1">OFFSET(Database!$F75,0,COLUMN(Database!GC75)*2-12)</f>
        <v>n.r.</v>
      </c>
      <c r="GG75" s="8" t="str">
        <f ca="1">OFFSET(Database!$F75,0,COLUMN(Database!GD75)*2-12)</f>
        <v>n.r.</v>
      </c>
      <c r="GH75" s="8" t="str">
        <f ca="1">OFFSET(Database!$F75,0,COLUMN(Database!GE75)*2-12)</f>
        <v>n.r.</v>
      </c>
      <c r="GI75" s="8" t="str">
        <f ca="1">OFFSET(Database!$F75,0,COLUMN(Database!GF75)*2-12)</f>
        <v>n.r.</v>
      </c>
      <c r="GJ75" s="8" t="str">
        <f ca="1">OFFSET(Database!$F75,0,COLUMN(Database!GG75)*2-12)</f>
        <v>n.r.</v>
      </c>
      <c r="GK75" s="8" t="str">
        <f ca="1">OFFSET(Database!$F75,0,COLUMN(Database!GH75)*2-12)</f>
        <v>n.r.</v>
      </c>
      <c r="GL75" s="8" t="str">
        <f ca="1">OFFSET(Database!$F75,0,COLUMN(Database!GI75)*2-12)</f>
        <v>n.r.</v>
      </c>
      <c r="GM75" s="8" t="str">
        <f ca="1">OFFSET(Database!$F75,0,COLUMN(Database!GJ75)*2-12)</f>
        <v>n.r.</v>
      </c>
      <c r="GN75" s="8" t="str">
        <f ca="1">OFFSET(Database!$F75,0,COLUMN(Database!GK75)*2-12)</f>
        <v>n.r.</v>
      </c>
      <c r="GO75" s="8" t="str">
        <f ca="1">OFFSET(Database!$F75,0,COLUMN(Database!GL75)*2-12)</f>
        <v>n.r.</v>
      </c>
      <c r="GP75" s="8" t="str">
        <f ca="1">OFFSET(Database!$F75,0,COLUMN(Database!GM75)*2-12)</f>
        <v>n.r.</v>
      </c>
    </row>
    <row r="76" spans="1:198" x14ac:dyDescent="0.2">
      <c r="A76" s="50" t="str">
        <f>Database!A76</f>
        <v>L-methionine</v>
      </c>
      <c r="B76" s="1" t="s">
        <v>874</v>
      </c>
      <c r="C76" s="4" t="str">
        <f>Database!B76</f>
        <v>ɑ</v>
      </c>
      <c r="D76" s="4" t="str">
        <f>Database!C76</f>
        <v>L</v>
      </c>
      <c r="E76" s="74">
        <f>Database!D76</f>
        <v>15</v>
      </c>
      <c r="F76" s="1" t="s">
        <v>950</v>
      </c>
      <c r="G76" s="18">
        <v>6137</v>
      </c>
      <c r="H76" s="1">
        <f>Database!E76</f>
        <v>149.21</v>
      </c>
      <c r="I76" s="8" t="str">
        <f ca="1">OFFSET(Database!$F76,0,COLUMN(Database!F76)*2-12)</f>
        <v>n.r.</v>
      </c>
      <c r="J76" s="8" t="str">
        <f ca="1">OFFSET(Database!$F76,0,COLUMN(Database!G76)*2-12)</f>
        <v>n.r.</v>
      </c>
      <c r="K76" s="8" t="str">
        <f ca="1">OFFSET(Database!$F76,0,COLUMN(Database!H76)*2-12)</f>
        <v>n.r.</v>
      </c>
      <c r="L76" s="8" t="str">
        <f ca="1">OFFSET(Database!$F76,0,COLUMN(Database!I76)*2-12)</f>
        <v>n.r.</v>
      </c>
      <c r="M76" s="8" t="str">
        <f ca="1">OFFSET(Database!$F76,0,COLUMN(Database!J76)*2-12)</f>
        <v>n.r.</v>
      </c>
      <c r="N76" s="8" t="str">
        <f ca="1">OFFSET(Database!$F76,0,COLUMN(Database!K76)*2-12)</f>
        <v>n.r.</v>
      </c>
      <c r="O76" s="8" t="str">
        <f ca="1">OFFSET(Database!$F76,0,COLUMN(Database!L76)*2-12)</f>
        <v>n.r.</v>
      </c>
      <c r="P76" s="8" t="str">
        <f ca="1">OFFSET(Database!$F76,0,COLUMN(Database!M76)*2-12)</f>
        <v>n.r.</v>
      </c>
      <c r="Q76" s="8" t="str">
        <f ca="1">OFFSET(Database!$F76,0,COLUMN(Database!N76)*2-12)</f>
        <v>n.r.</v>
      </c>
      <c r="R76" s="8" t="str">
        <f ca="1">OFFSET(Database!$F76,0,COLUMN(Database!O76)*2-12)</f>
        <v>n.r.</v>
      </c>
      <c r="S76" s="8" t="str">
        <f ca="1">OFFSET(Database!$F76,0,COLUMN(Database!P76)*2-12)</f>
        <v>n.r.</v>
      </c>
      <c r="T76" s="8" t="str">
        <f ca="1">OFFSET(Database!$F76,0,COLUMN(Database!Q76)*2-12)</f>
        <v>n.r.</v>
      </c>
      <c r="U76" s="8" t="str">
        <f ca="1">OFFSET(Database!$F76,0,COLUMN(Database!R76)*2-12)</f>
        <v>n.r.</v>
      </c>
      <c r="V76" s="8" t="str">
        <f ca="1">OFFSET(Database!$F76,0,COLUMN(Database!S76)*2-12)</f>
        <v>n.r.</v>
      </c>
      <c r="W76" s="8" t="str">
        <f ca="1">OFFSET(Database!$F76,0,COLUMN(Database!T76)*2-12)</f>
        <v>n.r.</v>
      </c>
      <c r="X76" s="8" t="str">
        <f ca="1">OFFSET(Database!$F76,0,COLUMN(Database!U76)*2-12)</f>
        <v>n.r.</v>
      </c>
      <c r="Y76" s="8" t="str">
        <f ca="1">OFFSET(Database!$F76,0,COLUMN(Database!V76)*2-12)</f>
        <v>n.r.</v>
      </c>
      <c r="Z76" s="8" t="str">
        <f ca="1">OFFSET(Database!$F76,0,COLUMN(Database!W76)*2-12)</f>
        <v>n.r.</v>
      </c>
      <c r="AA76" s="8" t="str">
        <f ca="1">OFFSET(Database!$F76,0,COLUMN(Database!X76)*2-12)</f>
        <v>n.r.</v>
      </c>
      <c r="AB76" s="8" t="str">
        <f ca="1">OFFSET(Database!$F76,0,COLUMN(Database!Y76)*2-12)</f>
        <v>n.r.</v>
      </c>
      <c r="AC76" s="8" t="str">
        <f ca="1">OFFSET(Database!$F76,0,COLUMN(Database!Z76)*2-12)</f>
        <v>n.r.</v>
      </c>
      <c r="AD76" s="8" t="str">
        <f ca="1">OFFSET(Database!$F76,0,COLUMN(Database!AA76)*2-12)</f>
        <v>n.r.</v>
      </c>
      <c r="AE76" s="8" t="str">
        <f ca="1">OFFSET(Database!$F76,0,COLUMN(Database!AB76)*2-12)</f>
        <v>n.r.</v>
      </c>
      <c r="AF76" s="8" t="str">
        <f ca="1">OFFSET(Database!$F76,0,COLUMN(Database!AC76)*2-12)</f>
        <v>n.r.</v>
      </c>
      <c r="AG76" s="8" t="str">
        <f ca="1">OFFSET(Database!$F76,0,COLUMN(Database!AD76)*2-12)</f>
        <v>n.r.</v>
      </c>
      <c r="AH76" s="8" t="str">
        <f ca="1">OFFSET(Database!$F76,0,COLUMN(Database!AE76)*2-12)</f>
        <v>n.r.</v>
      </c>
      <c r="AI76" s="8" t="str">
        <f ca="1">OFFSET(Database!$F76,0,COLUMN(Database!AF76)*2-12)</f>
        <v>n.r.</v>
      </c>
      <c r="AJ76" s="8" t="str">
        <f ca="1">OFFSET(Database!$F76,0,COLUMN(Database!AG76)*2-12)</f>
        <v>n.r.</v>
      </c>
      <c r="AK76" s="8" t="str">
        <f ca="1">OFFSET(Database!$F76,0,COLUMN(Database!AH76)*2-12)</f>
        <v>n.r.</v>
      </c>
      <c r="AL76" s="8" t="str">
        <f ca="1">OFFSET(Database!$F76,0,COLUMN(Database!AI76)*2-12)</f>
        <v>n.r.</v>
      </c>
      <c r="AM76" s="8" t="str">
        <f ca="1">OFFSET(Database!$F76,0,COLUMN(Database!AJ76)*2-12)</f>
        <v>n.r.</v>
      </c>
      <c r="AN76" s="8" t="str">
        <f ca="1">OFFSET(Database!$F76,0,COLUMN(Database!AK76)*2-12)</f>
        <v>n.r.</v>
      </c>
      <c r="AO76" s="8" t="str">
        <f ca="1">OFFSET(Database!$F76,0,COLUMN(Database!AL76)*2-12)</f>
        <v>n.r.</v>
      </c>
      <c r="AP76" s="8" t="str">
        <f ca="1">OFFSET(Database!$F76,0,COLUMN(Database!AM76)*2-12)</f>
        <v>n.r.</v>
      </c>
      <c r="AQ76" s="8" t="str">
        <f ca="1">OFFSET(Database!$F76,0,COLUMN(Database!AN76)*2-12)</f>
        <v>n.r.</v>
      </c>
      <c r="AR76" s="8" t="str">
        <f ca="1">OFFSET(Database!$F76,0,COLUMN(Database!AO76)*2-12)</f>
        <v>n.r.</v>
      </c>
      <c r="AS76" s="8" t="str">
        <f ca="1">OFFSET(Database!$F76,0,COLUMN(Database!AP76)*2-12)</f>
        <v>n.r.</v>
      </c>
      <c r="AT76" s="8" t="str">
        <f ca="1">OFFSET(Database!$F76,0,COLUMN(Database!AQ76)*2-12)</f>
        <v>n.r.</v>
      </c>
      <c r="AU76" s="8" t="str">
        <f ca="1">OFFSET(Database!$F76,0,COLUMN(Database!AR76)*2-12)</f>
        <v>n.r.</v>
      </c>
      <c r="AV76" s="8" t="str">
        <f ca="1">OFFSET(Database!$F76,0,COLUMN(Database!AS76)*2-12)</f>
        <v>n.r.</v>
      </c>
      <c r="AW76" s="8" t="str">
        <f ca="1">OFFSET(Database!$F76,0,COLUMN(Database!AT76)*2-12)</f>
        <v>n.r.</v>
      </c>
      <c r="AX76" s="8" t="str">
        <f ca="1">OFFSET(Database!$F76,0,COLUMN(Database!AU76)*2-12)</f>
        <v>n.r.</v>
      </c>
      <c r="AY76" s="8" t="str">
        <f ca="1">OFFSET(Database!$F76,0,COLUMN(Database!AV76)*2-12)</f>
        <v>n.r.</v>
      </c>
      <c r="AZ76" s="8" t="str">
        <f ca="1">OFFSET(Database!$F76,0,COLUMN(Database!AW76)*2-12)</f>
        <v>n.r.</v>
      </c>
      <c r="BA76" s="8" t="str">
        <f ca="1">OFFSET(Database!$F76,0,COLUMN(Database!AX76)*2-12)</f>
        <v>n.r.</v>
      </c>
      <c r="BB76" s="8" t="str">
        <f ca="1">OFFSET(Database!$F76,0,COLUMN(Database!AY76)*2-12)</f>
        <v>n.r.</v>
      </c>
      <c r="BC76" s="8" t="str">
        <f ca="1">OFFSET(Database!$F76,0,COLUMN(Database!AZ76)*2-12)</f>
        <v>n.r.</v>
      </c>
      <c r="BD76" s="8" t="str">
        <f ca="1">OFFSET(Database!$F76,0,COLUMN(Database!BA76)*2-12)</f>
        <v>n.r.</v>
      </c>
      <c r="BE76" s="8" t="str">
        <f ca="1">OFFSET(Database!$F76,0,COLUMN(Database!BB76)*2-12)</f>
        <v>n.r.</v>
      </c>
      <c r="BF76" s="8" t="str">
        <f ca="1">OFFSET(Database!$F76,0,COLUMN(Database!BC76)*2-12)</f>
        <v>n.r.</v>
      </c>
      <c r="BG76" s="8" t="str">
        <f ca="1">OFFSET(Database!$F76,0,COLUMN(Database!BD76)*2-12)</f>
        <v>n.r.</v>
      </c>
      <c r="BH76" s="8" t="str">
        <f ca="1">OFFSET(Database!$F76,0,COLUMN(Database!BE76)*2-12)</f>
        <v>n.r.</v>
      </c>
      <c r="BI76" s="8" t="str">
        <f ca="1">OFFSET(Database!$F76,0,COLUMN(Database!BF76)*2-12)</f>
        <v>n.r.</v>
      </c>
      <c r="BJ76" s="8" t="str">
        <f ca="1">OFFSET(Database!$F76,0,COLUMN(Database!BG76)*2-12)</f>
        <v>n.r.</v>
      </c>
      <c r="BK76" s="8" t="str">
        <f ca="1">OFFSET(Database!$F76,0,COLUMN(Database!BH76)*2-12)</f>
        <v>n.r.</v>
      </c>
      <c r="BL76" s="8" t="str">
        <f ca="1">OFFSET(Database!$F76,0,COLUMN(Database!BI76)*2-12)</f>
        <v>n.r.</v>
      </c>
      <c r="BM76" s="8" t="str">
        <f ca="1">OFFSET(Database!$F76,0,COLUMN(Database!BJ76)*2-12)</f>
        <v>n.r.</v>
      </c>
      <c r="BN76" s="8" t="str">
        <f ca="1">OFFSET(Database!$F76,0,COLUMN(Database!BK76)*2-12)</f>
        <v>n.r.</v>
      </c>
      <c r="BO76" s="8" t="str">
        <f ca="1">OFFSET(Database!$F76,0,COLUMN(Database!BL76)*2-12)</f>
        <v>n.r.</v>
      </c>
      <c r="BP76" s="8" t="str">
        <f ca="1">OFFSET(Database!$F76,0,COLUMN(Database!BM76)*2-12)</f>
        <v>n.r.</v>
      </c>
      <c r="BQ76" s="8" t="str">
        <f ca="1">OFFSET(Database!$F76,0,COLUMN(Database!BN76)*2-12)</f>
        <v>n.r.</v>
      </c>
      <c r="BR76" s="8" t="str">
        <f ca="1">OFFSET(Database!$F76,0,COLUMN(Database!BO76)*2-12)</f>
        <v>n.r.</v>
      </c>
      <c r="BS76" s="8" t="str">
        <f ca="1">OFFSET(Database!$F76,0,COLUMN(Database!BP76)*2-12)</f>
        <v>n.r.</v>
      </c>
      <c r="BT76" s="8" t="str">
        <f ca="1">OFFSET(Database!$F76,0,COLUMN(Database!BQ76)*2-12)</f>
        <v>n.r.</v>
      </c>
      <c r="BU76" s="8" t="str">
        <f ca="1">OFFSET(Database!$F76,0,COLUMN(Database!BR76)*2-12)</f>
        <v>n.r.</v>
      </c>
      <c r="BV76" s="8" t="str">
        <f ca="1">OFFSET(Database!$F76,0,COLUMN(Database!BS76)*2-12)</f>
        <v>n.r.</v>
      </c>
      <c r="BW76" s="8" t="str">
        <f ca="1">OFFSET(Database!$F76,0,COLUMN(Database!BT76)*2-12)</f>
        <v>n.r.</v>
      </c>
      <c r="BX76" s="8" t="str">
        <f ca="1">OFFSET(Database!$F76,0,COLUMN(Database!BU76)*2-12)</f>
        <v>n.r.</v>
      </c>
      <c r="BY76" s="8" t="str">
        <f ca="1">OFFSET(Database!$F76,0,COLUMN(Database!BV76)*2-12)</f>
        <v>n.r.</v>
      </c>
      <c r="BZ76" s="8" t="str">
        <f ca="1">OFFSET(Database!$F76,0,COLUMN(Database!BW76)*2-12)</f>
        <v>n.r.</v>
      </c>
      <c r="CA76" s="8" t="str">
        <f ca="1">OFFSET(Database!$F76,0,COLUMN(Database!BX76)*2-12)</f>
        <v>n.r.</v>
      </c>
      <c r="CB76" s="8" t="str">
        <f ca="1">OFFSET(Database!$F76,0,COLUMN(Database!BY76)*2-12)</f>
        <v>n.r.</v>
      </c>
      <c r="CC76" s="8" t="str">
        <f ca="1">OFFSET(Database!$F76,0,COLUMN(Database!BZ76)*2-12)</f>
        <v>n.r.</v>
      </c>
      <c r="CD76" s="8" t="str">
        <f ca="1">OFFSET(Database!$F76,0,COLUMN(Database!CA76)*2-12)</f>
        <v>n.r.</v>
      </c>
      <c r="CE76" s="8" t="str">
        <f ca="1">OFFSET(Database!$F76,0,COLUMN(Database!CB76)*2-12)</f>
        <v>n.r.</v>
      </c>
      <c r="CF76" s="8" t="str">
        <f ca="1">OFFSET(Database!$F76,0,COLUMN(Database!CC76)*2-12)</f>
        <v>n.r.</v>
      </c>
      <c r="CG76" s="8" t="str">
        <f ca="1">OFFSET(Database!$F76,0,COLUMN(Database!CD76)*2-12)</f>
        <v>n.r.</v>
      </c>
      <c r="CH76" s="8" t="str">
        <f ca="1">OFFSET(Database!$F76,0,COLUMN(Database!CE76)*2-12)</f>
        <v>n.r.</v>
      </c>
      <c r="CI76" s="8" t="str">
        <f ca="1">OFFSET(Database!$F76,0,COLUMN(Database!CF76)*2-12)</f>
        <v>n.r.</v>
      </c>
      <c r="CJ76" s="8" t="str">
        <f ca="1">OFFSET(Database!$F76,0,COLUMN(Database!CG76)*2-12)</f>
        <v>n.r.</v>
      </c>
      <c r="CK76" s="8" t="str">
        <f ca="1">OFFSET(Database!$F76,0,COLUMN(Database!CH76)*2-12)</f>
        <v>n.r.</v>
      </c>
      <c r="CL76" s="8" t="str">
        <f ca="1">OFFSET(Database!$F76,0,COLUMN(Database!CI76)*2-12)</f>
        <v>n.r.</v>
      </c>
      <c r="CM76" s="8" t="str">
        <f ca="1">OFFSET(Database!$F76,0,COLUMN(Database!CJ76)*2-12)</f>
        <v>n.r.</v>
      </c>
      <c r="CN76" s="8" t="str">
        <f ca="1">OFFSET(Database!$F76,0,COLUMN(Database!CK76)*2-12)</f>
        <v>n.r.</v>
      </c>
      <c r="CO76" s="8" t="str">
        <f ca="1">OFFSET(Database!$F76,0,COLUMN(Database!CL76)*2-12)</f>
        <v>n.r.</v>
      </c>
      <c r="CP76" s="8" t="str">
        <f ca="1">OFFSET(Database!$F76,0,COLUMN(Database!CM76)*2-12)</f>
        <v>n.r.</v>
      </c>
      <c r="CQ76" s="8" t="str">
        <f ca="1">OFFSET(Database!$F76,0,COLUMN(Database!CN76)*2-12)</f>
        <v>n.r.</v>
      </c>
      <c r="CR76" s="8" t="str">
        <f ca="1">OFFSET(Database!$F76,0,COLUMN(Database!CO76)*2-12)</f>
        <v>n.r.</v>
      </c>
      <c r="CS76" s="8" t="str">
        <f ca="1">OFFSET(Database!$F76,0,COLUMN(Database!CP76)*2-12)</f>
        <v>n.r.</v>
      </c>
      <c r="CT76" s="8" t="str">
        <f ca="1">OFFSET(Database!$F76,0,COLUMN(Database!CQ76)*2-12)</f>
        <v>n.r.</v>
      </c>
      <c r="CU76" s="8" t="str">
        <f ca="1">OFFSET(Database!$F76,0,COLUMN(Database!CR76)*2-12)</f>
        <v>n.r.</v>
      </c>
      <c r="CV76" s="8" t="str">
        <f ca="1">OFFSET(Database!$F76,0,COLUMN(Database!CS76)*2-12)</f>
        <v>n.r.</v>
      </c>
      <c r="CW76" s="8" t="str">
        <f ca="1">OFFSET(Database!$F76,0,COLUMN(Database!CT76)*2-12)</f>
        <v>n.r.</v>
      </c>
      <c r="CX76" s="8" t="str">
        <f ca="1">OFFSET(Database!$F76,0,COLUMN(Database!CU76)*2-12)</f>
        <v>n.r.</v>
      </c>
      <c r="CY76" s="8" t="str">
        <f ca="1">OFFSET(Database!$F76,0,COLUMN(Database!CV76)*2-12)</f>
        <v>n.r.</v>
      </c>
      <c r="CZ76" s="8" t="str">
        <f ca="1">OFFSET(Database!$F76,0,COLUMN(Database!CW76)*2-12)</f>
        <v>n.r.</v>
      </c>
      <c r="DA76" s="8" t="str">
        <f ca="1">OFFSET(Database!$F76,0,COLUMN(Database!CX76)*2-12)</f>
        <v>n.r.</v>
      </c>
      <c r="DB76" s="8" t="str">
        <f ca="1">OFFSET(Database!$F76,0,COLUMN(Database!CY76)*2-12)</f>
        <v>n.r.</v>
      </c>
      <c r="DC76" s="8" t="str">
        <f ca="1">OFFSET(Database!$F76,0,COLUMN(Database!CZ76)*2-12)</f>
        <v>n.r.</v>
      </c>
      <c r="DD76" s="8" t="str">
        <f ca="1">OFFSET(Database!$F76,0,COLUMN(Database!DA76)*2-12)</f>
        <v>n.r.</v>
      </c>
      <c r="DE76" s="8" t="str">
        <f ca="1">OFFSET(Database!$F76,0,COLUMN(Database!DB76)*2-12)</f>
        <v>n.r.</v>
      </c>
      <c r="DF76" s="8">
        <f ca="1">OFFSET(Database!$F76,0,COLUMN(Database!DC76)*2-12)</f>
        <v>70.857900000000001</v>
      </c>
      <c r="DG76" s="8">
        <f ca="1">OFFSET(Database!$F76,0,COLUMN(Database!DD76)*2-12)</f>
        <v>64.312799999999996</v>
      </c>
      <c r="DH76" s="8" t="str">
        <f ca="1">OFFSET(Database!$F76,0,COLUMN(Database!DE76)*2-12)</f>
        <v>b.b.</v>
      </c>
      <c r="DI76" s="8">
        <f ca="1">OFFSET(Database!$F76,0,COLUMN(Database!DF76)*2-12)</f>
        <v>1.002</v>
      </c>
      <c r="DJ76" s="8" t="str">
        <f ca="1">OFFSET(Database!$F76,0,COLUMN(Database!DG76)*2-12)</f>
        <v>b.d.</v>
      </c>
      <c r="DK76" s="8" t="str">
        <f ca="1">OFFSET(Database!$F76,0,COLUMN(Database!DH76)*2-12)</f>
        <v>b.d.</v>
      </c>
      <c r="DL76" s="8">
        <f ca="1">OFFSET(Database!$F76,0,COLUMN(Database!DI76)*2-12)</f>
        <v>6.0633999999999997</v>
      </c>
      <c r="DM76" s="8" t="str">
        <f ca="1">OFFSET(Database!$F76,0,COLUMN(Database!DJ76)*2-12)</f>
        <v>b.d.</v>
      </c>
      <c r="DN76" s="8" t="str">
        <f ca="1">OFFSET(Database!$F76,0,COLUMN(Database!DK76)*2-12)</f>
        <v>n.r.</v>
      </c>
      <c r="DO76" s="8" t="str">
        <f ca="1">OFFSET(Database!$F76,0,COLUMN(Database!DL76)*2-12)</f>
        <v>n.r.</v>
      </c>
      <c r="DP76" s="8" t="str">
        <f ca="1">OFFSET(Database!$F76,0,COLUMN(Database!DM76)*2-12)</f>
        <v>n.r.</v>
      </c>
      <c r="DQ76" s="8" t="str">
        <f ca="1">OFFSET(Database!$F76,0,COLUMN(Database!DN76)*2-12)</f>
        <v>n.r.</v>
      </c>
      <c r="DR76" s="8" t="str">
        <f ca="1">OFFSET(Database!$F76,0,COLUMN(Database!DO76)*2-12)</f>
        <v>n.r.</v>
      </c>
      <c r="DS76" s="8" t="str">
        <f ca="1">OFFSET(Database!$F76,0,COLUMN(Database!DP76)*2-12)</f>
        <v>n.r.</v>
      </c>
      <c r="DT76" s="8" t="str">
        <f ca="1">OFFSET(Database!$F76,0,COLUMN(Database!DQ76)*2-12)</f>
        <v>n.r.</v>
      </c>
      <c r="DU76" s="8" t="str">
        <f ca="1">OFFSET(Database!$F76,0,COLUMN(Database!DR76)*2-12)</f>
        <v>n.r.</v>
      </c>
      <c r="DV76" s="8" t="str">
        <f ca="1">OFFSET(Database!$F76,0,COLUMN(Database!DS76)*2-12)</f>
        <v>n.r.</v>
      </c>
      <c r="DW76" s="8" t="str">
        <f ca="1">OFFSET(Database!$F76,0,COLUMN(Database!DT76)*2-12)</f>
        <v>n.r.</v>
      </c>
      <c r="DX76" s="8" t="str">
        <f ca="1">OFFSET(Database!$F76,0,COLUMN(Database!DU76)*2-12)</f>
        <v>n.r.</v>
      </c>
      <c r="DY76" s="8" t="str">
        <f ca="1">OFFSET(Database!$F76,0,COLUMN(Database!DV76)*2-12)</f>
        <v>n.r.</v>
      </c>
      <c r="DZ76" s="8" t="str">
        <f ca="1">OFFSET(Database!$F76,0,COLUMN(Database!DW76)*2-12)</f>
        <v>n.r.</v>
      </c>
      <c r="EA76" s="8" t="str">
        <f ca="1">OFFSET(Database!$F76,0,COLUMN(Database!DX76)*2-12)</f>
        <v>n.r.</v>
      </c>
      <c r="EB76" s="8" t="str">
        <f ca="1">OFFSET(Database!$F76,0,COLUMN(Database!DY76)*2-12)</f>
        <v>n.r.</v>
      </c>
      <c r="EC76" s="8" t="str">
        <f ca="1">OFFSET(Database!$F76,0,COLUMN(Database!DZ76)*2-12)</f>
        <v>n.r.</v>
      </c>
      <c r="ED76" s="8" t="str">
        <f ca="1">OFFSET(Database!$F76,0,COLUMN(Database!EA76)*2-12)</f>
        <v>n.r.</v>
      </c>
      <c r="EE76" s="8" t="str">
        <f ca="1">OFFSET(Database!$F76,0,COLUMN(Database!EB76)*2-12)</f>
        <v>n.r.</v>
      </c>
      <c r="EF76" s="8" t="str">
        <f ca="1">OFFSET(Database!$F76,0,COLUMN(Database!EC76)*2-12)</f>
        <v>n.r.</v>
      </c>
      <c r="EG76" s="8" t="str">
        <f ca="1">OFFSET(Database!$F76,0,COLUMN(Database!ED76)*2-12)</f>
        <v>n.r.</v>
      </c>
      <c r="EH76" s="8" t="str">
        <f ca="1">OFFSET(Database!$F76,0,COLUMN(Database!EE76)*2-12)</f>
        <v>n.r.</v>
      </c>
      <c r="EI76" s="8" t="str">
        <f ca="1">OFFSET(Database!$F76,0,COLUMN(Database!EF76)*2-12)</f>
        <v>n.r.</v>
      </c>
      <c r="EJ76" s="8" t="str">
        <f ca="1">OFFSET(Database!$F76,0,COLUMN(Database!EG76)*2-12)</f>
        <v>n.r.</v>
      </c>
      <c r="EK76" s="8" t="str">
        <f ca="1">OFFSET(Database!$F76,0,COLUMN(Database!EH76)*2-12)</f>
        <v>n.r.</v>
      </c>
      <c r="EL76" s="8" t="str">
        <f ca="1">OFFSET(Database!$F76,0,COLUMN(Database!EI76)*2-12)</f>
        <v>n.r.</v>
      </c>
      <c r="EM76" s="8" t="str">
        <f ca="1">OFFSET(Database!$F76,0,COLUMN(Database!EJ76)*2-12)</f>
        <v>n.r.</v>
      </c>
      <c r="EN76" s="8" t="str">
        <f ca="1">OFFSET(Database!$F76,0,COLUMN(Database!EK76)*2-12)</f>
        <v>n.r.</v>
      </c>
      <c r="EO76" s="8" t="str">
        <f ca="1">OFFSET(Database!$F76,0,COLUMN(Database!EL76)*2-12)</f>
        <v>n.r.</v>
      </c>
      <c r="EP76" s="8" t="str">
        <f ca="1">OFFSET(Database!$F76,0,COLUMN(Database!EM76)*2-12)</f>
        <v>n.r.</v>
      </c>
      <c r="EQ76" s="8" t="str">
        <f ca="1">OFFSET(Database!$F76,0,COLUMN(Database!EN76)*2-12)</f>
        <v>n.r.</v>
      </c>
      <c r="ER76" s="8">
        <f ca="1">OFFSET(Database!$F76,0,COLUMN(Database!EO76)*2-12)</f>
        <v>527.11754592631678</v>
      </c>
      <c r="ES76" s="8">
        <f ca="1">OFFSET(Database!$F76,0,COLUMN(Database!EP76)*2-12)</f>
        <v>0</v>
      </c>
      <c r="ET76" s="8">
        <f ca="1">OFFSET(Database!$F76,0,COLUMN(Database!EQ76)*2-12)</f>
        <v>119.74076003286784</v>
      </c>
      <c r="EU76" s="8">
        <f ca="1">OFFSET(Database!$F76,0,COLUMN(Database!ER76)*2-12)</f>
        <v>0</v>
      </c>
      <c r="EV76" s="8">
        <f ca="1">OFFSET(Database!$F76,0,COLUMN(Database!ES76)*2-12)</f>
        <v>129.24480322222496</v>
      </c>
      <c r="EW76" s="8" t="str">
        <f ca="1">OFFSET(Database!$F76,0,COLUMN(Database!ET76)*2-12)</f>
        <v>n.r.</v>
      </c>
      <c r="EX76" s="8" t="str">
        <f ca="1">OFFSET(Database!$F76,0,COLUMN(Database!EU76)*2-12)</f>
        <v>n.r.</v>
      </c>
      <c r="EY76" s="8" t="str">
        <f ca="1">OFFSET(Database!$F76,0,COLUMN(Database!EV76)*2-12)</f>
        <v>n.r.</v>
      </c>
      <c r="EZ76" s="8" t="str">
        <f ca="1">OFFSET(Database!$F76,0,COLUMN(Database!EW76)*2-12)</f>
        <v>n.r.</v>
      </c>
      <c r="FA76" s="8" t="str">
        <f ca="1">OFFSET(Database!$F76,0,COLUMN(Database!EX76)*2-12)</f>
        <v>n.r.</v>
      </c>
      <c r="FB76" s="8" t="str">
        <f ca="1">OFFSET(Database!$F76,0,COLUMN(Database!EY76)*2-12)</f>
        <v>n.r.</v>
      </c>
      <c r="FC76" s="8" t="str">
        <f ca="1">OFFSET(Database!$F76,0,COLUMN(Database!EZ76)*2-12)</f>
        <v>n.r.</v>
      </c>
      <c r="FD76" s="8">
        <f ca="1">OFFSET(Database!$F76,0,COLUMN(Database!FA76)*2-12)</f>
        <v>262.8</v>
      </c>
      <c r="FE76" s="8">
        <f ca="1">OFFSET(Database!$F76,0,COLUMN(Database!FB76)*2-12)</f>
        <v>742.5</v>
      </c>
      <c r="FF76" s="8">
        <f ca="1">OFFSET(Database!$F76,0,COLUMN(Database!FC76)*2-12)</f>
        <v>644.5</v>
      </c>
      <c r="FG76" s="8" t="str">
        <f ca="1">OFFSET(Database!$F76,0,COLUMN(Database!FD76)*2-12)</f>
        <v>n.r.</v>
      </c>
      <c r="FH76" s="8">
        <f ca="1">OFFSET(Database!$F76,0,COLUMN(Database!FE76)*2-12)</f>
        <v>200</v>
      </c>
      <c r="FI76" s="8">
        <f ca="1">OFFSET(Database!$F76,0,COLUMN(Database!FF76)*2-12)</f>
        <v>220</v>
      </c>
      <c r="FJ76" s="8">
        <f ca="1">OFFSET(Database!$F76,0,COLUMN(Database!FG76)*2-12)</f>
        <v>200</v>
      </c>
      <c r="FK76" s="8" t="str">
        <f ca="1">OFFSET(Database!$F76,0,COLUMN(Database!FH76)*2-12)</f>
        <v>n.r.</v>
      </c>
      <c r="FL76" s="8" t="str">
        <f ca="1">OFFSET(Database!$F76,0,COLUMN(Database!FI76)*2-12)</f>
        <v>n.r.</v>
      </c>
      <c r="FM76" s="8" t="str">
        <f ca="1">OFFSET(Database!$F76,0,COLUMN(Database!FJ76)*2-12)</f>
        <v>n.r.</v>
      </c>
      <c r="FN76" s="8" t="str">
        <f ca="1">OFFSET(Database!$F76,0,COLUMN(Database!FK76)*2-12)</f>
        <v>n.r.</v>
      </c>
      <c r="FO76" s="8" t="str">
        <f ca="1">OFFSET(Database!$F76,0,COLUMN(Database!FL76)*2-12)</f>
        <v>n.r.</v>
      </c>
      <c r="FP76" s="8" t="str">
        <f ca="1">OFFSET(Database!$F76,0,COLUMN(Database!FM76)*2-12)</f>
        <v>n.r.</v>
      </c>
      <c r="FQ76" s="8" t="str">
        <f ca="1">OFFSET(Database!$F76,0,COLUMN(Database!FN76)*2-12)</f>
        <v>n.r.</v>
      </c>
      <c r="FR76" s="8" t="str">
        <f ca="1">OFFSET(Database!$F76,0,COLUMN(Database!FO76)*2-12)</f>
        <v>n.r.</v>
      </c>
      <c r="FS76" s="8" t="str">
        <f ca="1">OFFSET(Database!$F76,0,COLUMN(Database!FP76)*2-12)</f>
        <v>n.r.</v>
      </c>
      <c r="FT76" s="8" t="str">
        <f ca="1">OFFSET(Database!$F76,0,COLUMN(Database!FQ76)*2-12)</f>
        <v>n.r.</v>
      </c>
      <c r="FU76" s="8" t="str">
        <f ca="1">OFFSET(Database!$F76,0,COLUMN(Database!FR76)*2-12)</f>
        <v>n.r.</v>
      </c>
      <c r="FV76" s="8" t="str">
        <f ca="1">OFFSET(Database!$F76,0,COLUMN(Database!FS76)*2-12)</f>
        <v>n.r.</v>
      </c>
      <c r="FW76" s="8" t="str">
        <f ca="1">OFFSET(Database!$F76,0,COLUMN(Database!FT76)*2-12)</f>
        <v>n.r.</v>
      </c>
      <c r="FX76" s="8" t="str">
        <f ca="1">OFFSET(Database!$F76,0,COLUMN(Database!FU76)*2-12)</f>
        <v>n.r.</v>
      </c>
      <c r="FY76" s="8" t="str">
        <f ca="1">OFFSET(Database!$F76,0,COLUMN(Database!FV76)*2-12)</f>
        <v>n.r.</v>
      </c>
      <c r="FZ76" s="8" t="str">
        <f ca="1">OFFSET(Database!$F76,0,COLUMN(Database!FW76)*2-12)</f>
        <v>n.r.</v>
      </c>
      <c r="GA76" s="8" t="str">
        <f ca="1">OFFSET(Database!$F76,0,COLUMN(Database!FX76)*2-12)</f>
        <v>n.r.</v>
      </c>
      <c r="GB76" s="8" t="str">
        <f ca="1">OFFSET(Database!$F76,0,COLUMN(Database!FY76)*2-12)</f>
        <v>n.r.</v>
      </c>
      <c r="GC76" s="8" t="str">
        <f ca="1">OFFSET(Database!$F76,0,COLUMN(Database!FZ76)*2-12)</f>
        <v>n.r.</v>
      </c>
      <c r="GD76" s="8" t="str">
        <f ca="1">OFFSET(Database!$F76,0,COLUMN(Database!GA76)*2-12)</f>
        <v>n.r.</v>
      </c>
      <c r="GE76" s="8" t="str">
        <f ca="1">OFFSET(Database!$F76,0,COLUMN(Database!GB76)*2-12)</f>
        <v>n.r.</v>
      </c>
      <c r="GF76" s="8" t="str">
        <f ca="1">OFFSET(Database!$F76,0,COLUMN(Database!GC76)*2-12)</f>
        <v>n.r.</v>
      </c>
      <c r="GG76" s="8" t="str">
        <f ca="1">OFFSET(Database!$F76,0,COLUMN(Database!GD76)*2-12)</f>
        <v>n.r.</v>
      </c>
      <c r="GH76" s="8" t="str">
        <f ca="1">OFFSET(Database!$F76,0,COLUMN(Database!GE76)*2-12)</f>
        <v>n.r.</v>
      </c>
      <c r="GI76" s="8" t="str">
        <f ca="1">OFFSET(Database!$F76,0,COLUMN(Database!GF76)*2-12)</f>
        <v>n.r.</v>
      </c>
      <c r="GJ76" s="8" t="str">
        <f ca="1">OFFSET(Database!$F76,0,COLUMN(Database!GG76)*2-12)</f>
        <v>n.r.</v>
      </c>
      <c r="GK76" s="8" t="str">
        <f ca="1">OFFSET(Database!$F76,0,COLUMN(Database!GH76)*2-12)</f>
        <v>n.r.</v>
      </c>
      <c r="GL76" s="8" t="str">
        <f ca="1">OFFSET(Database!$F76,0,COLUMN(Database!GI76)*2-12)</f>
        <v>n.r.</v>
      </c>
      <c r="GM76" s="8" t="str">
        <f ca="1">OFFSET(Database!$F76,0,COLUMN(Database!GJ76)*2-12)</f>
        <v>n.r.</v>
      </c>
      <c r="GN76" s="8" t="str">
        <f ca="1">OFFSET(Database!$F76,0,COLUMN(Database!GK76)*2-12)</f>
        <v>n.r.</v>
      </c>
      <c r="GO76" s="8" t="str">
        <f ca="1">OFFSET(Database!$F76,0,COLUMN(Database!GL76)*2-12)</f>
        <v>n.r.</v>
      </c>
      <c r="GP76" s="8" t="str">
        <f ca="1">OFFSET(Database!$F76,0,COLUMN(Database!GM76)*2-12)</f>
        <v>n.r.</v>
      </c>
    </row>
    <row r="77" spans="1:198" x14ac:dyDescent="0.2">
      <c r="A77" s="50" t="str">
        <f>Database!A77</f>
        <v>methionine</v>
      </c>
      <c r="B77" s="1" t="s">
        <v>874</v>
      </c>
      <c r="C77" s="4" t="str">
        <f>Database!B77</f>
        <v>ɑ</v>
      </c>
      <c r="D77" s="4" t="str">
        <f>Database!C77</f>
        <v>Both</v>
      </c>
      <c r="E77" s="74">
        <f>Database!D77</f>
        <v>35</v>
      </c>
      <c r="F77" s="1" t="s">
        <v>1026</v>
      </c>
      <c r="G77" s="1" t="s">
        <v>1123</v>
      </c>
      <c r="H77" s="1">
        <f>Database!E77</f>
        <v>149.21</v>
      </c>
      <c r="I77" s="8" t="str">
        <f ca="1">OFFSET(Database!$F77,0,COLUMN(Database!F77)*2-12)</f>
        <v>n.r.</v>
      </c>
      <c r="J77" s="8" t="str">
        <f ca="1">OFFSET(Database!$F77,0,COLUMN(Database!G77)*2-12)</f>
        <v>n.r.</v>
      </c>
      <c r="K77" s="8" t="str">
        <f ca="1">OFFSET(Database!$F77,0,COLUMN(Database!H77)*2-12)</f>
        <v>n.r.</v>
      </c>
      <c r="L77" s="8" t="str">
        <f ca="1">OFFSET(Database!$F77,0,COLUMN(Database!I77)*2-12)</f>
        <v>n.r.</v>
      </c>
      <c r="M77" s="8" t="str">
        <f ca="1">OFFSET(Database!$F77,0,COLUMN(Database!J77)*2-12)</f>
        <v>n.r.</v>
      </c>
      <c r="N77" s="8" t="str">
        <f ca="1">OFFSET(Database!$F77,0,COLUMN(Database!K77)*2-12)</f>
        <v>n.r.</v>
      </c>
      <c r="O77" s="8" t="str">
        <f ca="1">OFFSET(Database!$F77,0,COLUMN(Database!L77)*2-12)</f>
        <v>n.r.</v>
      </c>
      <c r="P77" s="8" t="str">
        <f ca="1">OFFSET(Database!$F77,0,COLUMN(Database!M77)*2-12)</f>
        <v>n.r.</v>
      </c>
      <c r="Q77" s="8" t="str">
        <f ca="1">OFFSET(Database!$F77,0,COLUMN(Database!N77)*2-12)</f>
        <v>n.r.</v>
      </c>
      <c r="R77" s="8" t="str">
        <f ca="1">OFFSET(Database!$F77,0,COLUMN(Database!O77)*2-12)</f>
        <v>n.r.</v>
      </c>
      <c r="S77" s="8" t="str">
        <f ca="1">OFFSET(Database!$F77,0,COLUMN(Database!P77)*2-12)</f>
        <v>n.r.</v>
      </c>
      <c r="T77" s="8" t="str">
        <f ca="1">OFFSET(Database!$F77,0,COLUMN(Database!Q77)*2-12)</f>
        <v>n.r.</v>
      </c>
      <c r="U77" s="8" t="str">
        <f ca="1">OFFSET(Database!$F77,0,COLUMN(Database!R77)*2-12)</f>
        <v>n.r.</v>
      </c>
      <c r="V77" s="8" t="str">
        <f ca="1">OFFSET(Database!$F77,0,COLUMN(Database!S77)*2-12)</f>
        <v>n.r.</v>
      </c>
      <c r="W77" s="8" t="str">
        <f ca="1">OFFSET(Database!$F77,0,COLUMN(Database!T77)*2-12)</f>
        <v>n.r.</v>
      </c>
      <c r="X77" s="8" t="str">
        <f ca="1">OFFSET(Database!$F77,0,COLUMN(Database!U77)*2-12)</f>
        <v>n.r.</v>
      </c>
      <c r="Y77" s="8" t="str">
        <f ca="1">OFFSET(Database!$F77,0,COLUMN(Database!V77)*2-12)</f>
        <v>n.r.</v>
      </c>
      <c r="Z77" s="8" t="str">
        <f ca="1">OFFSET(Database!$F77,0,COLUMN(Database!W77)*2-12)</f>
        <v>n.r.</v>
      </c>
      <c r="AA77" s="8" t="str">
        <f ca="1">OFFSET(Database!$F77,0,COLUMN(Database!X77)*2-12)</f>
        <v>n.r.</v>
      </c>
      <c r="AB77" s="8" t="str">
        <f ca="1">OFFSET(Database!$F77,0,COLUMN(Database!Y77)*2-12)</f>
        <v>n.r.</v>
      </c>
      <c r="AC77" s="8" t="str">
        <f ca="1">OFFSET(Database!$F77,0,COLUMN(Database!Z77)*2-12)</f>
        <v>n.r.</v>
      </c>
      <c r="AD77" s="8" t="str">
        <f ca="1">OFFSET(Database!$F77,0,COLUMN(Database!AA77)*2-12)</f>
        <v>n.r.</v>
      </c>
      <c r="AE77" s="8" t="str">
        <f ca="1">OFFSET(Database!$F77,0,COLUMN(Database!AB77)*2-12)</f>
        <v>n.r.</v>
      </c>
      <c r="AF77" s="8" t="str">
        <f ca="1">OFFSET(Database!$F77,0,COLUMN(Database!AC77)*2-12)</f>
        <v>n.r.</v>
      </c>
      <c r="AG77" s="8" t="str">
        <f ca="1">OFFSET(Database!$F77,0,COLUMN(Database!AD77)*2-12)</f>
        <v>n.r.</v>
      </c>
      <c r="AH77" s="8" t="str">
        <f ca="1">OFFSET(Database!$F77,0,COLUMN(Database!AE77)*2-12)</f>
        <v>n.r.</v>
      </c>
      <c r="AI77" s="8" t="str">
        <f ca="1">OFFSET(Database!$F77,0,COLUMN(Database!AF77)*2-12)</f>
        <v>n.r.</v>
      </c>
      <c r="AJ77" s="8" t="str">
        <f ca="1">OFFSET(Database!$F77,0,COLUMN(Database!AG77)*2-12)</f>
        <v>n.r.</v>
      </c>
      <c r="AK77" s="8" t="str">
        <f ca="1">OFFSET(Database!$F77,0,COLUMN(Database!AH77)*2-12)</f>
        <v>n.r.</v>
      </c>
      <c r="AL77" s="8" t="str">
        <f ca="1">OFFSET(Database!$F77,0,COLUMN(Database!AI77)*2-12)</f>
        <v>n.r.</v>
      </c>
      <c r="AM77" s="8" t="str">
        <f ca="1">OFFSET(Database!$F77,0,COLUMN(Database!AJ77)*2-12)</f>
        <v>n.r.</v>
      </c>
      <c r="AN77" s="8" t="str">
        <f ca="1">OFFSET(Database!$F77,0,COLUMN(Database!AK77)*2-12)</f>
        <v>n.r.</v>
      </c>
      <c r="AO77" s="8" t="str">
        <f ca="1">OFFSET(Database!$F77,0,COLUMN(Database!AL77)*2-12)</f>
        <v>n.r.</v>
      </c>
      <c r="AP77" s="8" t="str">
        <f ca="1">OFFSET(Database!$F77,0,COLUMN(Database!AM77)*2-12)</f>
        <v>n.r.</v>
      </c>
      <c r="AQ77" s="8" t="str">
        <f ca="1">OFFSET(Database!$F77,0,COLUMN(Database!AN77)*2-12)</f>
        <v>n.r.</v>
      </c>
      <c r="AR77" s="8" t="str">
        <f ca="1">OFFSET(Database!$F77,0,COLUMN(Database!AO77)*2-12)</f>
        <v>n.r.</v>
      </c>
      <c r="AS77" s="8" t="str">
        <f ca="1">OFFSET(Database!$F77,0,COLUMN(Database!AP77)*2-12)</f>
        <v>n.r.</v>
      </c>
      <c r="AT77" s="8" t="str">
        <f ca="1">OFFSET(Database!$F77,0,COLUMN(Database!AQ77)*2-12)</f>
        <v>n.r.</v>
      </c>
      <c r="AU77" s="8" t="str">
        <f ca="1">OFFSET(Database!$F77,0,COLUMN(Database!AR77)*2-12)</f>
        <v>n.r.</v>
      </c>
      <c r="AV77" s="8" t="str">
        <f ca="1">OFFSET(Database!$F77,0,COLUMN(Database!AS77)*2-12)</f>
        <v>n.r.</v>
      </c>
      <c r="AW77" s="8" t="str">
        <f ca="1">OFFSET(Database!$F77,0,COLUMN(Database!AT77)*2-12)</f>
        <v>n.r.</v>
      </c>
      <c r="AX77" s="8" t="str">
        <f ca="1">OFFSET(Database!$F77,0,COLUMN(Database!AU77)*2-12)</f>
        <v>n.r.</v>
      </c>
      <c r="AY77" s="8" t="str">
        <f ca="1">OFFSET(Database!$F77,0,COLUMN(Database!AV77)*2-12)</f>
        <v>n.r.</v>
      </c>
      <c r="AZ77" s="8" t="str">
        <f ca="1">OFFSET(Database!$F77,0,COLUMN(Database!AW77)*2-12)</f>
        <v>n.r.</v>
      </c>
      <c r="BA77" s="8" t="str">
        <f ca="1">OFFSET(Database!$F77,0,COLUMN(Database!AX77)*2-12)</f>
        <v>n.r.</v>
      </c>
      <c r="BB77" s="8" t="str">
        <f ca="1">OFFSET(Database!$F77,0,COLUMN(Database!AY77)*2-12)</f>
        <v>n.r.</v>
      </c>
      <c r="BC77" s="8" t="str">
        <f ca="1">OFFSET(Database!$F77,0,COLUMN(Database!AZ77)*2-12)</f>
        <v>n.r.</v>
      </c>
      <c r="BD77" s="8" t="str">
        <f ca="1">OFFSET(Database!$F77,0,COLUMN(Database!BA77)*2-12)</f>
        <v>n.r.</v>
      </c>
      <c r="BE77" s="8" t="str">
        <f ca="1">OFFSET(Database!$F77,0,COLUMN(Database!BB77)*2-12)</f>
        <v>n.r.</v>
      </c>
      <c r="BF77" s="8" t="str">
        <f ca="1">OFFSET(Database!$F77,0,COLUMN(Database!BC77)*2-12)</f>
        <v>n.r.</v>
      </c>
      <c r="BG77" s="8" t="str">
        <f ca="1">OFFSET(Database!$F77,0,COLUMN(Database!BD77)*2-12)</f>
        <v>n.r.</v>
      </c>
      <c r="BH77" s="8" t="str">
        <f ca="1">OFFSET(Database!$F77,0,COLUMN(Database!BE77)*2-12)</f>
        <v>n.r.</v>
      </c>
      <c r="BI77" s="8" t="str">
        <f ca="1">OFFSET(Database!$F77,0,COLUMN(Database!BF77)*2-12)</f>
        <v>n.r.</v>
      </c>
      <c r="BJ77" s="8" t="str">
        <f ca="1">OFFSET(Database!$F77,0,COLUMN(Database!BG77)*2-12)</f>
        <v>n.r.</v>
      </c>
      <c r="BK77" s="8" t="str">
        <f ca="1">OFFSET(Database!$F77,0,COLUMN(Database!BH77)*2-12)</f>
        <v>n.r.</v>
      </c>
      <c r="BL77" s="8" t="str">
        <f ca="1">OFFSET(Database!$F77,0,COLUMN(Database!BI77)*2-12)</f>
        <v>n.r.</v>
      </c>
      <c r="BM77" s="8" t="str">
        <f ca="1">OFFSET(Database!$F77,0,COLUMN(Database!BJ77)*2-12)</f>
        <v>n.r.</v>
      </c>
      <c r="BN77" s="8" t="str">
        <f ca="1">OFFSET(Database!$F77,0,COLUMN(Database!BK77)*2-12)</f>
        <v>n.r.</v>
      </c>
      <c r="BO77" s="8" t="str">
        <f ca="1">OFFSET(Database!$F77,0,COLUMN(Database!BL77)*2-12)</f>
        <v>n.r.</v>
      </c>
      <c r="BP77" s="8" t="str">
        <f ca="1">OFFSET(Database!$F77,0,COLUMN(Database!BM77)*2-12)</f>
        <v>n.r.</v>
      </c>
      <c r="BQ77" s="8" t="str">
        <f ca="1">OFFSET(Database!$F77,0,COLUMN(Database!BN77)*2-12)</f>
        <v>n.r.</v>
      </c>
      <c r="BR77" s="8" t="str">
        <f ca="1">OFFSET(Database!$F77,0,COLUMN(Database!BO77)*2-12)</f>
        <v>n.r.</v>
      </c>
      <c r="BS77" s="8" t="str">
        <f ca="1">OFFSET(Database!$F77,0,COLUMN(Database!BP77)*2-12)</f>
        <v>n.r.</v>
      </c>
      <c r="BT77" s="8" t="str">
        <f ca="1">OFFSET(Database!$F77,0,COLUMN(Database!BQ77)*2-12)</f>
        <v>n.r.</v>
      </c>
      <c r="BU77" s="8" t="str">
        <f ca="1">OFFSET(Database!$F77,0,COLUMN(Database!BR77)*2-12)</f>
        <v>n.r.</v>
      </c>
      <c r="BV77" s="8" t="str">
        <f ca="1">OFFSET(Database!$F77,0,COLUMN(Database!BS77)*2-12)</f>
        <v>n.r.</v>
      </c>
      <c r="BW77" s="8" t="str">
        <f ca="1">OFFSET(Database!$F77,0,COLUMN(Database!BT77)*2-12)</f>
        <v>n.r.</v>
      </c>
      <c r="BX77" s="8" t="str">
        <f ca="1">OFFSET(Database!$F77,0,COLUMN(Database!BU77)*2-12)</f>
        <v>n.r.</v>
      </c>
      <c r="BY77" s="8" t="str">
        <f ca="1">OFFSET(Database!$F77,0,COLUMN(Database!BV77)*2-12)</f>
        <v>n.r.</v>
      </c>
      <c r="BZ77" s="8" t="str">
        <f ca="1">OFFSET(Database!$F77,0,COLUMN(Database!BW77)*2-12)</f>
        <v>n.r.</v>
      </c>
      <c r="CA77" s="8" t="str">
        <f ca="1">OFFSET(Database!$F77,0,COLUMN(Database!BX77)*2-12)</f>
        <v>n.r.</v>
      </c>
      <c r="CB77" s="8" t="str">
        <f ca="1">OFFSET(Database!$F77,0,COLUMN(Database!BY77)*2-12)</f>
        <v>n.r.</v>
      </c>
      <c r="CC77" s="8" t="str">
        <f ca="1">OFFSET(Database!$F77,0,COLUMN(Database!BZ77)*2-12)</f>
        <v>n.r.</v>
      </c>
      <c r="CD77" s="8" t="str">
        <f ca="1">OFFSET(Database!$F77,0,COLUMN(Database!CA77)*2-12)</f>
        <v>n.r.</v>
      </c>
      <c r="CE77" s="8" t="str">
        <f ca="1">OFFSET(Database!$F77,0,COLUMN(Database!CB77)*2-12)</f>
        <v>n.r.</v>
      </c>
      <c r="CF77" s="8" t="str">
        <f ca="1">OFFSET(Database!$F77,0,COLUMN(Database!CC77)*2-12)</f>
        <v>n.r.</v>
      </c>
      <c r="CG77" s="8" t="str">
        <f ca="1">OFFSET(Database!$F77,0,COLUMN(Database!CD77)*2-12)</f>
        <v>n.r.</v>
      </c>
      <c r="CH77" s="8" t="str">
        <f ca="1">OFFSET(Database!$F77,0,COLUMN(Database!CE77)*2-12)</f>
        <v>n.r.</v>
      </c>
      <c r="CI77" s="8" t="str">
        <f ca="1">OFFSET(Database!$F77,0,COLUMN(Database!CF77)*2-12)</f>
        <v>n.r.</v>
      </c>
      <c r="CJ77" s="8" t="str">
        <f ca="1">OFFSET(Database!$F77,0,COLUMN(Database!CG77)*2-12)</f>
        <v>n.r.</v>
      </c>
      <c r="CK77" s="8" t="str">
        <f ca="1">OFFSET(Database!$F77,0,COLUMN(Database!CH77)*2-12)</f>
        <v>n.r.</v>
      </c>
      <c r="CL77" s="8" t="str">
        <f ca="1">OFFSET(Database!$F77,0,COLUMN(Database!CI77)*2-12)</f>
        <v>n.r.</v>
      </c>
      <c r="CM77" s="8" t="str">
        <f ca="1">OFFSET(Database!$F77,0,COLUMN(Database!CJ77)*2-12)</f>
        <v>n.r.</v>
      </c>
      <c r="CN77" s="8" t="str">
        <f ca="1">OFFSET(Database!$F77,0,COLUMN(Database!CK77)*2-12)</f>
        <v>n.r.</v>
      </c>
      <c r="CO77" s="8" t="str">
        <f ca="1">OFFSET(Database!$F77,0,COLUMN(Database!CL77)*2-12)</f>
        <v>n.r.</v>
      </c>
      <c r="CP77" s="8" t="str">
        <f ca="1">OFFSET(Database!$F77,0,COLUMN(Database!CM77)*2-12)</f>
        <v>n.r.</v>
      </c>
      <c r="CQ77" s="8" t="str">
        <f ca="1">OFFSET(Database!$F77,0,COLUMN(Database!CN77)*2-12)</f>
        <v>n.r.</v>
      </c>
      <c r="CR77" s="8" t="str">
        <f ca="1">OFFSET(Database!$F77,0,COLUMN(Database!CO77)*2-12)</f>
        <v>n.r.</v>
      </c>
      <c r="CS77" s="8" t="str">
        <f ca="1">OFFSET(Database!$F77,0,COLUMN(Database!CP77)*2-12)</f>
        <v>n.r.</v>
      </c>
      <c r="CT77" s="8" t="str">
        <f ca="1">OFFSET(Database!$F77,0,COLUMN(Database!CQ77)*2-12)</f>
        <v>n.r.</v>
      </c>
      <c r="CU77" s="8" t="str">
        <f ca="1">OFFSET(Database!$F77,0,COLUMN(Database!CR77)*2-12)</f>
        <v>n.r.</v>
      </c>
      <c r="CV77" s="8" t="str">
        <f ca="1">OFFSET(Database!$F77,0,COLUMN(Database!CS77)*2-12)</f>
        <v>n.r.</v>
      </c>
      <c r="CW77" s="8" t="str">
        <f ca="1">OFFSET(Database!$F77,0,COLUMN(Database!CT77)*2-12)</f>
        <v>n.r.</v>
      </c>
      <c r="CX77" s="8" t="str">
        <f ca="1">OFFSET(Database!$F77,0,COLUMN(Database!CU77)*2-12)</f>
        <v>n.r.</v>
      </c>
      <c r="CY77" s="8" t="str">
        <f ca="1">OFFSET(Database!$F77,0,COLUMN(Database!CV77)*2-12)</f>
        <v>n.r.</v>
      </c>
      <c r="CZ77" s="8" t="str">
        <f ca="1">OFFSET(Database!$F77,0,COLUMN(Database!CW77)*2-12)</f>
        <v>n.r.</v>
      </c>
      <c r="DA77" s="8" t="str">
        <f ca="1">OFFSET(Database!$F77,0,COLUMN(Database!CX77)*2-12)</f>
        <v>n.r.</v>
      </c>
      <c r="DB77" s="8" t="str">
        <f ca="1">OFFSET(Database!$F77,0,COLUMN(Database!CY77)*2-12)</f>
        <v>n.r.</v>
      </c>
      <c r="DC77" s="8" t="str">
        <f ca="1">OFFSET(Database!$F77,0,COLUMN(Database!CZ77)*2-12)</f>
        <v>n.r.</v>
      </c>
      <c r="DD77" s="8" t="str">
        <f ca="1">OFFSET(Database!$F77,0,COLUMN(Database!DA77)*2-12)</f>
        <v>n.r.</v>
      </c>
      <c r="DE77" s="8" t="str">
        <f ca="1">OFFSET(Database!$F77,0,COLUMN(Database!DB77)*2-12)</f>
        <v>n.r.</v>
      </c>
      <c r="DF77" s="8" t="str">
        <f ca="1">OFFSET(Database!$F77,0,COLUMN(Database!DC77)*2-12)</f>
        <v>n.r.</v>
      </c>
      <c r="DG77" s="8" t="str">
        <f ca="1">OFFSET(Database!$F77,0,COLUMN(Database!DD77)*2-12)</f>
        <v>n.r.</v>
      </c>
      <c r="DH77" s="8" t="str">
        <f ca="1">OFFSET(Database!$F77,0,COLUMN(Database!DE77)*2-12)</f>
        <v>n.r.</v>
      </c>
      <c r="DI77" s="8" t="str">
        <f ca="1">OFFSET(Database!$F77,0,COLUMN(Database!DF77)*2-12)</f>
        <v>n.r.</v>
      </c>
      <c r="DJ77" s="8" t="str">
        <f ca="1">OFFSET(Database!$F77,0,COLUMN(Database!DG77)*2-12)</f>
        <v>n.r.</v>
      </c>
      <c r="DK77" s="8" t="str">
        <f ca="1">OFFSET(Database!$F77,0,COLUMN(Database!DH77)*2-12)</f>
        <v>n.r.</v>
      </c>
      <c r="DL77" s="8" t="str">
        <f ca="1">OFFSET(Database!$F77,0,COLUMN(Database!DI77)*2-12)</f>
        <v>n.r.</v>
      </c>
      <c r="DM77" s="8" t="str">
        <f ca="1">OFFSET(Database!$F77,0,COLUMN(Database!DJ77)*2-12)</f>
        <v>n.r.</v>
      </c>
      <c r="DN77" s="8" t="str">
        <f ca="1">OFFSET(Database!$F77,0,COLUMN(Database!DK77)*2-12)</f>
        <v>n.r.</v>
      </c>
      <c r="DO77" s="8" t="str">
        <f ca="1">OFFSET(Database!$F77,0,COLUMN(Database!DL77)*2-12)</f>
        <v>n.r.</v>
      </c>
      <c r="DP77" s="8" t="str">
        <f ca="1">OFFSET(Database!$F77,0,COLUMN(Database!DM77)*2-12)</f>
        <v>n.r.</v>
      </c>
      <c r="DQ77" s="8" t="str">
        <f ca="1">OFFSET(Database!$F77,0,COLUMN(Database!DN77)*2-12)</f>
        <v>n.r.</v>
      </c>
      <c r="DR77" s="8" t="str">
        <f ca="1">OFFSET(Database!$F77,0,COLUMN(Database!DO77)*2-12)</f>
        <v>n.r.</v>
      </c>
      <c r="DS77" s="8" t="str">
        <f ca="1">OFFSET(Database!$F77,0,COLUMN(Database!DP77)*2-12)</f>
        <v>n.r.</v>
      </c>
      <c r="DT77" s="8" t="str">
        <f ca="1">OFFSET(Database!$F77,0,COLUMN(Database!DQ77)*2-12)</f>
        <v>n.r.</v>
      </c>
      <c r="DU77" s="8" t="str">
        <f ca="1">OFFSET(Database!$F77,0,COLUMN(Database!DR77)*2-12)</f>
        <v>n.r.</v>
      </c>
      <c r="DV77" s="8" t="str">
        <f ca="1">OFFSET(Database!$F77,0,COLUMN(Database!DS77)*2-12)</f>
        <v>n.r.</v>
      </c>
      <c r="DW77" s="8" t="str">
        <f ca="1">OFFSET(Database!$F77,0,COLUMN(Database!DT77)*2-12)</f>
        <v>n.dt.</v>
      </c>
      <c r="DX77" s="8" t="str">
        <f ca="1">OFFSET(Database!$F77,0,COLUMN(Database!DU77)*2-12)</f>
        <v>n.dt.</v>
      </c>
      <c r="DY77" s="8">
        <f ca="1">OFFSET(Database!$F77,0,COLUMN(Database!DV77)*2-12)</f>
        <v>0.1</v>
      </c>
      <c r="DZ77" s="8" t="str">
        <f ca="1">OFFSET(Database!$F77,0,COLUMN(Database!DW77)*2-12)</f>
        <v>n.dt.</v>
      </c>
      <c r="EA77" s="8">
        <f ca="1">OFFSET(Database!$F77,0,COLUMN(Database!DX77)*2-12)</f>
        <v>1</v>
      </c>
      <c r="EB77" s="8" t="str">
        <f ca="1">OFFSET(Database!$F77,0,COLUMN(Database!DY77)*2-12)</f>
        <v>n.r.</v>
      </c>
      <c r="EC77" s="8" t="str">
        <f ca="1">OFFSET(Database!$F77,0,COLUMN(Database!DZ77)*2-12)</f>
        <v>n.r.</v>
      </c>
      <c r="ED77" s="8" t="str">
        <f ca="1">OFFSET(Database!$F77,0,COLUMN(Database!EA77)*2-12)</f>
        <v>n.r.</v>
      </c>
      <c r="EE77" s="8">
        <f ca="1">OFFSET(Database!$F77,0,COLUMN(Database!EB77)*2-12)</f>
        <v>1390</v>
      </c>
      <c r="EF77" s="8" t="str">
        <f ca="1">OFFSET(Database!$F77,0,COLUMN(Database!EC77)*2-12)</f>
        <v>b.d.</v>
      </c>
      <c r="EG77" s="8">
        <f ca="1">OFFSET(Database!$F77,0,COLUMN(Database!ED77)*2-12)</f>
        <v>410</v>
      </c>
      <c r="EH77" s="8" t="str">
        <f ca="1">OFFSET(Database!$F77,0,COLUMN(Database!EE77)*2-12)</f>
        <v>b.d.</v>
      </c>
      <c r="EI77" s="8" t="str">
        <f ca="1">OFFSET(Database!$F77,0,COLUMN(Database!EF77)*2-12)</f>
        <v>n.r.</v>
      </c>
      <c r="EJ77" s="8" t="str">
        <f ca="1">OFFSET(Database!$F77,0,COLUMN(Database!EG77)*2-12)</f>
        <v>n.r.</v>
      </c>
      <c r="EK77" s="8" t="str">
        <f ca="1">OFFSET(Database!$F77,0,COLUMN(Database!EH77)*2-12)</f>
        <v>n.r.</v>
      </c>
      <c r="EL77" s="8" t="str">
        <f ca="1">OFFSET(Database!$F77,0,COLUMN(Database!EI77)*2-12)</f>
        <v>n.r.</v>
      </c>
      <c r="EM77" s="8" t="str">
        <f ca="1">OFFSET(Database!$F77,0,COLUMN(Database!EJ77)*2-12)</f>
        <v>n.r.</v>
      </c>
      <c r="EN77" s="8" t="str">
        <f ca="1">OFFSET(Database!$F77,0,COLUMN(Database!EK77)*2-12)</f>
        <v>n.r.</v>
      </c>
      <c r="EO77" s="8" t="str">
        <f ca="1">OFFSET(Database!$F77,0,COLUMN(Database!EL77)*2-12)</f>
        <v>n.r.</v>
      </c>
      <c r="EP77" s="8" t="str">
        <f ca="1">OFFSET(Database!$F77,0,COLUMN(Database!EM77)*2-12)</f>
        <v>n.r.</v>
      </c>
      <c r="EQ77" s="8">
        <f ca="1">OFFSET(Database!$F77,0,COLUMN(Database!EN77)*2-12)</f>
        <v>3.67</v>
      </c>
      <c r="ER77" s="8" t="str">
        <f ca="1">OFFSET(Database!$F77,0,COLUMN(Database!EO77)*2-12)</f>
        <v>n.r.</v>
      </c>
      <c r="ES77" s="8" t="str">
        <f ca="1">OFFSET(Database!$F77,0,COLUMN(Database!EP77)*2-12)</f>
        <v>n.r.</v>
      </c>
      <c r="ET77" s="8" t="str">
        <f ca="1">OFFSET(Database!$F77,0,COLUMN(Database!EQ77)*2-12)</f>
        <v>n.r.</v>
      </c>
      <c r="EU77" s="8" t="str">
        <f ca="1">OFFSET(Database!$F77,0,COLUMN(Database!ER77)*2-12)</f>
        <v>n.r.</v>
      </c>
      <c r="EV77" s="8" t="str">
        <f ca="1">OFFSET(Database!$F77,0,COLUMN(Database!ES77)*2-12)</f>
        <v>n.r.</v>
      </c>
      <c r="EW77" s="8" t="str">
        <f ca="1">OFFSET(Database!$F77,0,COLUMN(Database!ET77)*2-12)</f>
        <v>b.d.</v>
      </c>
      <c r="EX77" s="8" t="str">
        <f ca="1">OFFSET(Database!$F77,0,COLUMN(Database!EU77)*2-12)</f>
        <v>b.d.</v>
      </c>
      <c r="EY77" s="8" t="str">
        <f ca="1">OFFSET(Database!$F77,0,COLUMN(Database!EV77)*2-12)</f>
        <v>b.d.</v>
      </c>
      <c r="EZ77" s="8" t="str">
        <f ca="1">OFFSET(Database!$F77,0,COLUMN(Database!EW77)*2-12)</f>
        <v>b.d.</v>
      </c>
      <c r="FA77" s="8" t="str">
        <f ca="1">OFFSET(Database!$F77,0,COLUMN(Database!EX77)*2-12)</f>
        <v>b.d.</v>
      </c>
      <c r="FB77" s="8" t="str">
        <f ca="1">OFFSET(Database!$F77,0,COLUMN(Database!EY77)*2-12)</f>
        <v>n.r.</v>
      </c>
      <c r="FC77" s="8" t="str">
        <f ca="1">OFFSET(Database!$F77,0,COLUMN(Database!EZ77)*2-12)</f>
        <v>n.r.</v>
      </c>
      <c r="FD77" s="8" t="str">
        <f ca="1">OFFSET(Database!$F77,0,COLUMN(Database!FA77)*2-12)</f>
        <v>n.r.</v>
      </c>
      <c r="FE77" s="8" t="str">
        <f ca="1">OFFSET(Database!$F77,0,COLUMN(Database!FB77)*2-12)</f>
        <v>n.r.</v>
      </c>
      <c r="FF77" s="8" t="str">
        <f ca="1">OFFSET(Database!$F77,0,COLUMN(Database!FC77)*2-12)</f>
        <v>n.r.</v>
      </c>
      <c r="FG77" s="8">
        <f ca="1">OFFSET(Database!$F77,0,COLUMN(Database!FD77)*2-12)</f>
        <v>40211.782052141272</v>
      </c>
      <c r="FH77" s="8" t="str">
        <f ca="1">OFFSET(Database!$F77,0,COLUMN(Database!FE77)*2-12)</f>
        <v>n.r.</v>
      </c>
      <c r="FI77" s="8" t="str">
        <f ca="1">OFFSET(Database!$F77,0,COLUMN(Database!FF77)*2-12)</f>
        <v>n.r.</v>
      </c>
      <c r="FJ77" s="8" t="str">
        <f ca="1">OFFSET(Database!$F77,0,COLUMN(Database!FG77)*2-12)</f>
        <v>n.r.</v>
      </c>
      <c r="FK77" s="8">
        <f ca="1">OFFSET(Database!$F77,0,COLUMN(Database!FH77)*2-12)</f>
        <v>331077.0055626299</v>
      </c>
      <c r="FL77" s="8">
        <f ca="1">OFFSET(Database!$F77,0,COLUMN(Database!FI77)*2-12)</f>
        <v>184974.19743984987</v>
      </c>
      <c r="FM77" s="8">
        <f ca="1">OFFSET(Database!$F77,0,COLUMN(Database!FJ77)*2-12)</f>
        <v>32169.42564171302</v>
      </c>
      <c r="FN77" s="8">
        <f ca="1">OFFSET(Database!$F77,0,COLUMN(Database!FK77)*2-12)</f>
        <v>103210.24060049593</v>
      </c>
      <c r="FO77" s="8">
        <f ca="1">OFFSET(Database!$F77,0,COLUMN(Database!FL77)*2-12)</f>
        <v>244621.67415052609</v>
      </c>
      <c r="FP77" s="8">
        <f ca="1">OFFSET(Database!$F77,0,COLUMN(Database!FM77)*2-12)</f>
        <v>226526.37222706253</v>
      </c>
      <c r="FQ77" s="8">
        <f ca="1">OFFSET(Database!$F77,0,COLUMN(Database!FN77)*2-12)</f>
        <v>2345.6872863749077</v>
      </c>
      <c r="FR77" s="8">
        <f ca="1">OFFSET(Database!$F77,0,COLUMN(Database!FO77)*2-12)</f>
        <v>2010.5891026070638</v>
      </c>
      <c r="FS77" s="8">
        <f ca="1">OFFSET(Database!$F77,0,COLUMN(Database!FP77)*2-12)</f>
        <v>2211.6480128677699</v>
      </c>
      <c r="FT77" s="8">
        <f ca="1">OFFSET(Database!$F77,0,COLUMN(Database!FQ77)*2-12)</f>
        <v>1943.5694658534949</v>
      </c>
      <c r="FU77" s="8">
        <f ca="1">OFFSET(Database!$F77,0,COLUMN(Database!FR77)*2-12)</f>
        <v>1549</v>
      </c>
      <c r="FV77" s="8">
        <f ca="1">OFFSET(Database!$F77,0,COLUMN(Database!FS77)*2-12)</f>
        <v>1273</v>
      </c>
      <c r="FW77" s="8">
        <f ca="1">OFFSET(Database!$F77,0,COLUMN(Database!FT77)*2-12)</f>
        <v>1153</v>
      </c>
      <c r="FX77" s="8">
        <f ca="1">OFFSET(Database!$F77,0,COLUMN(Database!FU77)*2-12)</f>
        <v>197</v>
      </c>
      <c r="FY77" s="8">
        <f ca="1">OFFSET(Database!$F77,0,COLUMN(Database!FV77)*2-12)</f>
        <v>1303</v>
      </c>
      <c r="FZ77" s="8">
        <f ca="1">OFFSET(Database!$F77,0,COLUMN(Database!FW77)*2-12)</f>
        <v>1092</v>
      </c>
      <c r="GA77" s="8">
        <f ca="1">OFFSET(Database!$F77,0,COLUMN(Database!FX77)*2-12)</f>
        <v>949</v>
      </c>
      <c r="GB77" s="8">
        <f ca="1">OFFSET(Database!$F77,0,COLUMN(Database!FY77)*2-12)</f>
        <v>1245</v>
      </c>
      <c r="GC77" s="8">
        <f ca="1">OFFSET(Database!$F77,0,COLUMN(Database!FZ77)*2-12)</f>
        <v>1145</v>
      </c>
      <c r="GD77" s="8">
        <f ca="1">OFFSET(Database!$F77,0,COLUMN(Database!GA77)*2-12)</f>
        <v>1123</v>
      </c>
      <c r="GE77" s="8">
        <f ca="1">OFFSET(Database!$F77,0,COLUMN(Database!GB77)*2-12)</f>
        <v>760</v>
      </c>
      <c r="GF77" s="8">
        <f ca="1">OFFSET(Database!$F77,0,COLUMN(Database!GC77)*2-12)</f>
        <v>1485</v>
      </c>
      <c r="GG77" s="8">
        <f ca="1">OFFSET(Database!$F77,0,COLUMN(Database!GD77)*2-12)</f>
        <v>1595.0673547349372</v>
      </c>
      <c r="GH77" s="8">
        <f ca="1">OFFSET(Database!$F77,0,COLUMN(Database!GE77)*2-12)</f>
        <v>3759.8016218752091</v>
      </c>
      <c r="GI77" s="8">
        <f ca="1">OFFSET(Database!$F77,0,COLUMN(Database!GF77)*2-12)</f>
        <v>5254.3395214797929</v>
      </c>
      <c r="GJ77" s="8">
        <f ca="1">OFFSET(Database!$F77,0,COLUMN(Database!GG77)*2-12)</f>
        <v>4054.6880235909121</v>
      </c>
      <c r="GK77" s="8">
        <f ca="1">OFFSET(Database!$F77,0,COLUMN(Database!GH77)*2-12)</f>
        <v>55961.396689229943</v>
      </c>
      <c r="GL77" s="8" t="str">
        <f ca="1">OFFSET(Database!$F77,0,COLUMN(Database!GI77)*2-12)</f>
        <v>l.o.d.</v>
      </c>
      <c r="GM77" s="8">
        <f ca="1">OFFSET(Database!$F77,0,COLUMN(Database!GJ77)*2-12)</f>
        <v>380.00134039273507</v>
      </c>
      <c r="GN77" s="8">
        <f ca="1">OFFSET(Database!$F77,0,COLUMN(Database!GK77)*2-12)</f>
        <v>113933.38248106695</v>
      </c>
      <c r="GO77" s="8" t="str">
        <f ca="1">OFFSET(Database!$F77,0,COLUMN(Database!GL77)*2-12)</f>
        <v>n.r.</v>
      </c>
      <c r="GP77" s="8" t="str">
        <f ca="1">OFFSET(Database!$F77,0,COLUMN(Database!GM77)*2-12)</f>
        <v>n.r.</v>
      </c>
    </row>
    <row r="78" spans="1:198" x14ac:dyDescent="0.2">
      <c r="A78" s="50" t="str">
        <f>Database!A78</f>
        <v>D-glutamine</v>
      </c>
      <c r="B78" s="1" t="s">
        <v>875</v>
      </c>
      <c r="C78" s="4" t="str">
        <f>Database!B78</f>
        <v>ɑ</v>
      </c>
      <c r="D78" s="4" t="str">
        <f>Database!C78</f>
        <v>D</v>
      </c>
      <c r="E78" s="74">
        <f>Database!D78</f>
        <v>2</v>
      </c>
      <c r="F78" s="1" t="s">
        <v>951</v>
      </c>
      <c r="G78" s="1">
        <v>145815</v>
      </c>
      <c r="H78" s="1">
        <f>Database!E78</f>
        <v>146.15</v>
      </c>
      <c r="I78" s="8" t="str">
        <f ca="1">OFFSET(Database!$F78,0,COLUMN(Database!F78)*2-12)</f>
        <v>n.r.</v>
      </c>
      <c r="J78" s="8" t="str">
        <f ca="1">OFFSET(Database!$F78,0,COLUMN(Database!G78)*2-12)</f>
        <v>n.r.</v>
      </c>
      <c r="K78" s="8" t="str">
        <f ca="1">OFFSET(Database!$F78,0,COLUMN(Database!H78)*2-12)</f>
        <v>n.r.</v>
      </c>
      <c r="L78" s="8" t="str">
        <f ca="1">OFFSET(Database!$F78,0,COLUMN(Database!I78)*2-12)</f>
        <v>n.r.</v>
      </c>
      <c r="M78" s="8" t="str">
        <f ca="1">OFFSET(Database!$F78,0,COLUMN(Database!J78)*2-12)</f>
        <v>n.r.</v>
      </c>
      <c r="N78" s="8" t="str">
        <f ca="1">OFFSET(Database!$F78,0,COLUMN(Database!K78)*2-12)</f>
        <v>n.r.</v>
      </c>
      <c r="O78" s="8" t="str">
        <f ca="1">OFFSET(Database!$F78,0,COLUMN(Database!L78)*2-12)</f>
        <v>n.r.</v>
      </c>
      <c r="P78" s="8" t="str">
        <f ca="1">OFFSET(Database!$F78,0,COLUMN(Database!M78)*2-12)</f>
        <v>n.r.</v>
      </c>
      <c r="Q78" s="8" t="str">
        <f ca="1">OFFSET(Database!$F78,0,COLUMN(Database!N78)*2-12)</f>
        <v>n.r.</v>
      </c>
      <c r="R78" s="8" t="str">
        <f ca="1">OFFSET(Database!$F78,0,COLUMN(Database!O78)*2-12)</f>
        <v>n.r.</v>
      </c>
      <c r="S78" s="8" t="str">
        <f ca="1">OFFSET(Database!$F78,0,COLUMN(Database!P78)*2-12)</f>
        <v>n.r.</v>
      </c>
      <c r="T78" s="8" t="str">
        <f ca="1">OFFSET(Database!$F78,0,COLUMN(Database!Q78)*2-12)</f>
        <v>n.r.</v>
      </c>
      <c r="U78" s="8" t="str">
        <f ca="1">OFFSET(Database!$F78,0,COLUMN(Database!R78)*2-12)</f>
        <v>n.r.</v>
      </c>
      <c r="V78" s="8" t="str">
        <f ca="1">OFFSET(Database!$F78,0,COLUMN(Database!S78)*2-12)</f>
        <v>n.r.</v>
      </c>
      <c r="W78" s="8" t="str">
        <f ca="1">OFFSET(Database!$F78,0,COLUMN(Database!T78)*2-12)</f>
        <v>n.r.</v>
      </c>
      <c r="X78" s="8" t="str">
        <f ca="1">OFFSET(Database!$F78,0,COLUMN(Database!U78)*2-12)</f>
        <v>n.r.</v>
      </c>
      <c r="Y78" s="8" t="str">
        <f ca="1">OFFSET(Database!$F78,0,COLUMN(Database!V78)*2-12)</f>
        <v>n.r.</v>
      </c>
      <c r="Z78" s="8" t="str">
        <f ca="1">OFFSET(Database!$F78,0,COLUMN(Database!W78)*2-12)</f>
        <v>n.r.</v>
      </c>
      <c r="AA78" s="8" t="str">
        <f ca="1">OFFSET(Database!$F78,0,COLUMN(Database!X78)*2-12)</f>
        <v>n.r.</v>
      </c>
      <c r="AB78" s="8" t="str">
        <f ca="1">OFFSET(Database!$F78,0,COLUMN(Database!Y78)*2-12)</f>
        <v>n.r.</v>
      </c>
      <c r="AC78" s="8" t="str">
        <f ca="1">OFFSET(Database!$F78,0,COLUMN(Database!Z78)*2-12)</f>
        <v>n.r.</v>
      </c>
      <c r="AD78" s="8" t="str">
        <f ca="1">OFFSET(Database!$F78,0,COLUMN(Database!AA78)*2-12)</f>
        <v>n.r.</v>
      </c>
      <c r="AE78" s="8" t="str">
        <f ca="1">OFFSET(Database!$F78,0,COLUMN(Database!AB78)*2-12)</f>
        <v>n.r.</v>
      </c>
      <c r="AF78" s="8" t="str">
        <f ca="1">OFFSET(Database!$F78,0,COLUMN(Database!AC78)*2-12)</f>
        <v>n.r.</v>
      </c>
      <c r="AG78" s="8" t="str">
        <f ca="1">OFFSET(Database!$F78,0,COLUMN(Database!AD78)*2-12)</f>
        <v>n.r.</v>
      </c>
      <c r="AH78" s="8" t="str">
        <f ca="1">OFFSET(Database!$F78,0,COLUMN(Database!AE78)*2-12)</f>
        <v>n.r.</v>
      </c>
      <c r="AI78" s="8" t="str">
        <f ca="1">OFFSET(Database!$F78,0,COLUMN(Database!AF78)*2-12)</f>
        <v>n.r.</v>
      </c>
      <c r="AJ78" s="8" t="str">
        <f ca="1">OFFSET(Database!$F78,0,COLUMN(Database!AG78)*2-12)</f>
        <v>n.r.</v>
      </c>
      <c r="AK78" s="8" t="str">
        <f ca="1">OFFSET(Database!$F78,0,COLUMN(Database!AH78)*2-12)</f>
        <v>n.r.</v>
      </c>
      <c r="AL78" s="8" t="str">
        <f ca="1">OFFSET(Database!$F78,0,COLUMN(Database!AI78)*2-12)</f>
        <v>n.r.</v>
      </c>
      <c r="AM78" s="8" t="str">
        <f ca="1">OFFSET(Database!$F78,0,COLUMN(Database!AJ78)*2-12)</f>
        <v>n.r.</v>
      </c>
      <c r="AN78" s="8" t="str">
        <f ca="1">OFFSET(Database!$F78,0,COLUMN(Database!AK78)*2-12)</f>
        <v>n.r.</v>
      </c>
      <c r="AO78" s="8" t="str">
        <f ca="1">OFFSET(Database!$F78,0,COLUMN(Database!AL78)*2-12)</f>
        <v>n.r.</v>
      </c>
      <c r="AP78" s="8" t="str">
        <f ca="1">OFFSET(Database!$F78,0,COLUMN(Database!AM78)*2-12)</f>
        <v>n.r.</v>
      </c>
      <c r="AQ78" s="8" t="str">
        <f ca="1">OFFSET(Database!$F78,0,COLUMN(Database!AN78)*2-12)</f>
        <v>n.r.</v>
      </c>
      <c r="AR78" s="8" t="str">
        <f ca="1">OFFSET(Database!$F78,0,COLUMN(Database!AO78)*2-12)</f>
        <v>n.r.</v>
      </c>
      <c r="AS78" s="8" t="str">
        <f ca="1">OFFSET(Database!$F78,0,COLUMN(Database!AP78)*2-12)</f>
        <v>n.r.</v>
      </c>
      <c r="AT78" s="8" t="str">
        <f ca="1">OFFSET(Database!$F78,0,COLUMN(Database!AQ78)*2-12)</f>
        <v>n.r.</v>
      </c>
      <c r="AU78" s="8" t="str">
        <f ca="1">OFFSET(Database!$F78,0,COLUMN(Database!AR78)*2-12)</f>
        <v>n.r.</v>
      </c>
      <c r="AV78" s="8" t="str">
        <f ca="1">OFFSET(Database!$F78,0,COLUMN(Database!AS78)*2-12)</f>
        <v>n.r.</v>
      </c>
      <c r="AW78" s="8" t="str">
        <f ca="1">OFFSET(Database!$F78,0,COLUMN(Database!AT78)*2-12)</f>
        <v>n.r.</v>
      </c>
      <c r="AX78" s="8" t="str">
        <f ca="1">OFFSET(Database!$F78,0,COLUMN(Database!AU78)*2-12)</f>
        <v>n.r.</v>
      </c>
      <c r="AY78" s="8" t="str">
        <f ca="1">OFFSET(Database!$F78,0,COLUMN(Database!AV78)*2-12)</f>
        <v>n.r.</v>
      </c>
      <c r="AZ78" s="8" t="str">
        <f ca="1">OFFSET(Database!$F78,0,COLUMN(Database!AW78)*2-12)</f>
        <v>n.r.</v>
      </c>
      <c r="BA78" s="8" t="str">
        <f ca="1">OFFSET(Database!$F78,0,COLUMN(Database!AX78)*2-12)</f>
        <v>n.r.</v>
      </c>
      <c r="BB78" s="8" t="str">
        <f ca="1">OFFSET(Database!$F78,0,COLUMN(Database!AY78)*2-12)</f>
        <v>n.r.</v>
      </c>
      <c r="BC78" s="8" t="str">
        <f ca="1">OFFSET(Database!$F78,0,COLUMN(Database!AZ78)*2-12)</f>
        <v>n.r.</v>
      </c>
      <c r="BD78" s="8" t="str">
        <f ca="1">OFFSET(Database!$F78,0,COLUMN(Database!BA78)*2-12)</f>
        <v>n.r.</v>
      </c>
      <c r="BE78" s="8" t="str">
        <f ca="1">OFFSET(Database!$F78,0,COLUMN(Database!BB78)*2-12)</f>
        <v>n.r.</v>
      </c>
      <c r="BF78" s="8" t="str">
        <f ca="1">OFFSET(Database!$F78,0,COLUMN(Database!BC78)*2-12)</f>
        <v>n.r.</v>
      </c>
      <c r="BG78" s="8" t="str">
        <f ca="1">OFFSET(Database!$F78,0,COLUMN(Database!BD78)*2-12)</f>
        <v>n.r.</v>
      </c>
      <c r="BH78" s="8" t="str">
        <f ca="1">OFFSET(Database!$F78,0,COLUMN(Database!BE78)*2-12)</f>
        <v>n.r.</v>
      </c>
      <c r="BI78" s="8" t="str">
        <f ca="1">OFFSET(Database!$F78,0,COLUMN(Database!BF78)*2-12)</f>
        <v>n.r.</v>
      </c>
      <c r="BJ78" s="8" t="str">
        <f ca="1">OFFSET(Database!$F78,0,COLUMN(Database!BG78)*2-12)</f>
        <v>n.r.</v>
      </c>
      <c r="BK78" s="8" t="str">
        <f ca="1">OFFSET(Database!$F78,0,COLUMN(Database!BH78)*2-12)</f>
        <v>n.r.</v>
      </c>
      <c r="BL78" s="8" t="str">
        <f ca="1">OFFSET(Database!$F78,0,COLUMN(Database!BI78)*2-12)</f>
        <v>n.r.</v>
      </c>
      <c r="BM78" s="8" t="str">
        <f ca="1">OFFSET(Database!$F78,0,COLUMN(Database!BJ78)*2-12)</f>
        <v>n.r.</v>
      </c>
      <c r="BN78" s="8" t="str">
        <f ca="1">OFFSET(Database!$F78,0,COLUMN(Database!BK78)*2-12)</f>
        <v>n.r.</v>
      </c>
      <c r="BO78" s="8" t="str">
        <f ca="1">OFFSET(Database!$F78,0,COLUMN(Database!BL78)*2-12)</f>
        <v>n.r.</v>
      </c>
      <c r="BP78" s="8" t="str">
        <f ca="1">OFFSET(Database!$F78,0,COLUMN(Database!BM78)*2-12)</f>
        <v>n.r.</v>
      </c>
      <c r="BQ78" s="8" t="str">
        <f ca="1">OFFSET(Database!$F78,0,COLUMN(Database!BN78)*2-12)</f>
        <v>n.r.</v>
      </c>
      <c r="BR78" s="8" t="str">
        <f ca="1">OFFSET(Database!$F78,0,COLUMN(Database!BO78)*2-12)</f>
        <v>n.r.</v>
      </c>
      <c r="BS78" s="8" t="str">
        <f ca="1">OFFSET(Database!$F78,0,COLUMN(Database!BP78)*2-12)</f>
        <v>n.r.</v>
      </c>
      <c r="BT78" s="8" t="str">
        <f ca="1">OFFSET(Database!$F78,0,COLUMN(Database!BQ78)*2-12)</f>
        <v>n.r.</v>
      </c>
      <c r="BU78" s="8" t="str">
        <f ca="1">OFFSET(Database!$F78,0,COLUMN(Database!BR78)*2-12)</f>
        <v>n.r.</v>
      </c>
      <c r="BV78" s="8" t="str">
        <f ca="1">OFFSET(Database!$F78,0,COLUMN(Database!BS78)*2-12)</f>
        <v>n.r.</v>
      </c>
      <c r="BW78" s="8" t="str">
        <f ca="1">OFFSET(Database!$F78,0,COLUMN(Database!BT78)*2-12)</f>
        <v>n.r.</v>
      </c>
      <c r="BX78" s="8" t="str">
        <f ca="1">OFFSET(Database!$F78,0,COLUMN(Database!BU78)*2-12)</f>
        <v>n.r.</v>
      </c>
      <c r="BY78" s="8" t="str">
        <f ca="1">OFFSET(Database!$F78,0,COLUMN(Database!BV78)*2-12)</f>
        <v>n.r.</v>
      </c>
      <c r="BZ78" s="8" t="str">
        <f ca="1">OFFSET(Database!$F78,0,COLUMN(Database!BW78)*2-12)</f>
        <v>n.r.</v>
      </c>
      <c r="CA78" s="8" t="str">
        <f ca="1">OFFSET(Database!$F78,0,COLUMN(Database!BX78)*2-12)</f>
        <v>n.r.</v>
      </c>
      <c r="CB78" s="8" t="str">
        <f ca="1">OFFSET(Database!$F78,0,COLUMN(Database!BY78)*2-12)</f>
        <v>n.r.</v>
      </c>
      <c r="CC78" s="8" t="str">
        <f ca="1">OFFSET(Database!$F78,0,COLUMN(Database!BZ78)*2-12)</f>
        <v>n.r.</v>
      </c>
      <c r="CD78" s="8" t="str">
        <f ca="1">OFFSET(Database!$F78,0,COLUMN(Database!CA78)*2-12)</f>
        <v>n.r.</v>
      </c>
      <c r="CE78" s="8" t="str">
        <f ca="1">OFFSET(Database!$F78,0,COLUMN(Database!CB78)*2-12)</f>
        <v>n.r.</v>
      </c>
      <c r="CF78" s="8" t="str">
        <f ca="1">OFFSET(Database!$F78,0,COLUMN(Database!CC78)*2-12)</f>
        <v>n.r.</v>
      </c>
      <c r="CG78" s="8" t="str">
        <f ca="1">OFFSET(Database!$F78,0,COLUMN(Database!CD78)*2-12)</f>
        <v>n.r.</v>
      </c>
      <c r="CH78" s="8" t="str">
        <f ca="1">OFFSET(Database!$F78,0,COLUMN(Database!CE78)*2-12)</f>
        <v>n.r.</v>
      </c>
      <c r="CI78" s="8" t="str">
        <f ca="1">OFFSET(Database!$F78,0,COLUMN(Database!CF78)*2-12)</f>
        <v>n.r.</v>
      </c>
      <c r="CJ78" s="8" t="str">
        <f ca="1">OFFSET(Database!$F78,0,COLUMN(Database!CG78)*2-12)</f>
        <v>n.r.</v>
      </c>
      <c r="CK78" s="8" t="str">
        <f ca="1">OFFSET(Database!$F78,0,COLUMN(Database!CH78)*2-12)</f>
        <v>n.r.</v>
      </c>
      <c r="CL78" s="8" t="str">
        <f ca="1">OFFSET(Database!$F78,0,COLUMN(Database!CI78)*2-12)</f>
        <v>n.r.</v>
      </c>
      <c r="CM78" s="8" t="str">
        <f ca="1">OFFSET(Database!$F78,0,COLUMN(Database!CJ78)*2-12)</f>
        <v>n.r.</v>
      </c>
      <c r="CN78" s="8" t="str">
        <f ca="1">OFFSET(Database!$F78,0,COLUMN(Database!CK78)*2-12)</f>
        <v>n.r.</v>
      </c>
      <c r="CO78" s="8" t="str">
        <f ca="1">OFFSET(Database!$F78,0,COLUMN(Database!CL78)*2-12)</f>
        <v>n.r.</v>
      </c>
      <c r="CP78" s="8" t="str">
        <f ca="1">OFFSET(Database!$F78,0,COLUMN(Database!CM78)*2-12)</f>
        <v>n.r.</v>
      </c>
      <c r="CQ78" s="8" t="str">
        <f ca="1">OFFSET(Database!$F78,0,COLUMN(Database!CN78)*2-12)</f>
        <v>n.r.</v>
      </c>
      <c r="CR78" s="8" t="str">
        <f ca="1">OFFSET(Database!$F78,0,COLUMN(Database!CO78)*2-12)</f>
        <v>n.r.</v>
      </c>
      <c r="CS78" s="8" t="str">
        <f ca="1">OFFSET(Database!$F78,0,COLUMN(Database!CP78)*2-12)</f>
        <v>n.r.</v>
      </c>
      <c r="CT78" s="8" t="str">
        <f ca="1">OFFSET(Database!$F78,0,COLUMN(Database!CQ78)*2-12)</f>
        <v>n.r.</v>
      </c>
      <c r="CU78" s="8" t="str">
        <f ca="1">OFFSET(Database!$F78,0,COLUMN(Database!CR78)*2-12)</f>
        <v>n.r.</v>
      </c>
      <c r="CV78" s="8" t="str">
        <f ca="1">OFFSET(Database!$F78,0,COLUMN(Database!CS78)*2-12)</f>
        <v>n.r.</v>
      </c>
      <c r="CW78" s="8" t="str">
        <f ca="1">OFFSET(Database!$F78,0,COLUMN(Database!CT78)*2-12)</f>
        <v>n.r.</v>
      </c>
      <c r="CX78" s="8" t="str">
        <f ca="1">OFFSET(Database!$F78,0,COLUMN(Database!CU78)*2-12)</f>
        <v>n.r.</v>
      </c>
      <c r="CY78" s="8" t="str">
        <f ca="1">OFFSET(Database!$F78,0,COLUMN(Database!CV78)*2-12)</f>
        <v>n.r.</v>
      </c>
      <c r="CZ78" s="8" t="str">
        <f ca="1">OFFSET(Database!$F78,0,COLUMN(Database!CW78)*2-12)</f>
        <v>n.r.</v>
      </c>
      <c r="DA78" s="8" t="str">
        <f ca="1">OFFSET(Database!$F78,0,COLUMN(Database!CX78)*2-12)</f>
        <v>n.r.</v>
      </c>
      <c r="DB78" s="8" t="str">
        <f ca="1">OFFSET(Database!$F78,0,COLUMN(Database!CY78)*2-12)</f>
        <v>n.r.</v>
      </c>
      <c r="DC78" s="8" t="str">
        <f ca="1">OFFSET(Database!$F78,0,COLUMN(Database!CZ78)*2-12)</f>
        <v>n.r.</v>
      </c>
      <c r="DD78" s="8" t="str">
        <f ca="1">OFFSET(Database!$F78,0,COLUMN(Database!DA78)*2-12)</f>
        <v>n.r.</v>
      </c>
      <c r="DE78" s="8" t="str">
        <f ca="1">OFFSET(Database!$F78,0,COLUMN(Database!DB78)*2-12)</f>
        <v>n.r.</v>
      </c>
      <c r="DF78" s="8" t="str">
        <f ca="1">OFFSET(Database!$F78,0,COLUMN(Database!DC78)*2-12)</f>
        <v>n.r.</v>
      </c>
      <c r="DG78" s="8" t="str">
        <f ca="1">OFFSET(Database!$F78,0,COLUMN(Database!DD78)*2-12)</f>
        <v>n.r.</v>
      </c>
      <c r="DH78" s="8" t="str">
        <f ca="1">OFFSET(Database!$F78,0,COLUMN(Database!DE78)*2-12)</f>
        <v>n.r.</v>
      </c>
      <c r="DI78" s="8" t="str">
        <f ca="1">OFFSET(Database!$F78,0,COLUMN(Database!DF78)*2-12)</f>
        <v>n.r.</v>
      </c>
      <c r="DJ78" s="8" t="str">
        <f ca="1">OFFSET(Database!$F78,0,COLUMN(Database!DG78)*2-12)</f>
        <v>n.r.</v>
      </c>
      <c r="DK78" s="8" t="str">
        <f ca="1">OFFSET(Database!$F78,0,COLUMN(Database!DH78)*2-12)</f>
        <v>n.r.</v>
      </c>
      <c r="DL78" s="8" t="str">
        <f ca="1">OFFSET(Database!$F78,0,COLUMN(Database!DI78)*2-12)</f>
        <v>n.r.</v>
      </c>
      <c r="DM78" s="8" t="str">
        <f ca="1">OFFSET(Database!$F78,0,COLUMN(Database!DJ78)*2-12)</f>
        <v>n.r.</v>
      </c>
      <c r="DN78" s="8" t="str">
        <f ca="1">OFFSET(Database!$F78,0,COLUMN(Database!DK78)*2-12)</f>
        <v>n.r.</v>
      </c>
      <c r="DO78" s="8" t="str">
        <f ca="1">OFFSET(Database!$F78,0,COLUMN(Database!DL78)*2-12)</f>
        <v>n.r.</v>
      </c>
      <c r="DP78" s="8" t="str">
        <f ca="1">OFFSET(Database!$F78,0,COLUMN(Database!DM78)*2-12)</f>
        <v>n.r.</v>
      </c>
      <c r="DQ78" s="8" t="str">
        <f ca="1">OFFSET(Database!$F78,0,COLUMN(Database!DN78)*2-12)</f>
        <v>n.r.</v>
      </c>
      <c r="DR78" s="8" t="str">
        <f ca="1">OFFSET(Database!$F78,0,COLUMN(Database!DO78)*2-12)</f>
        <v>n.r.</v>
      </c>
      <c r="DS78" s="8" t="str">
        <f ca="1">OFFSET(Database!$F78,0,COLUMN(Database!DP78)*2-12)</f>
        <v>n.r.</v>
      </c>
      <c r="DT78" s="8" t="str">
        <f ca="1">OFFSET(Database!$F78,0,COLUMN(Database!DQ78)*2-12)</f>
        <v>n.r.</v>
      </c>
      <c r="DU78" s="8" t="str">
        <f ca="1">OFFSET(Database!$F78,0,COLUMN(Database!DR78)*2-12)</f>
        <v>n.r.</v>
      </c>
      <c r="DV78" s="8" t="str">
        <f ca="1">OFFSET(Database!$F78,0,COLUMN(Database!DS78)*2-12)</f>
        <v>n.r.</v>
      </c>
      <c r="DW78" s="8" t="str">
        <f ca="1">OFFSET(Database!$F78,0,COLUMN(Database!DT78)*2-12)</f>
        <v>n.r.</v>
      </c>
      <c r="DX78" s="8" t="str">
        <f ca="1">OFFSET(Database!$F78,0,COLUMN(Database!DU78)*2-12)</f>
        <v>n.r.</v>
      </c>
      <c r="DY78" s="8" t="str">
        <f ca="1">OFFSET(Database!$F78,0,COLUMN(Database!DV78)*2-12)</f>
        <v>n.r.</v>
      </c>
      <c r="DZ78" s="8" t="str">
        <f ca="1">OFFSET(Database!$F78,0,COLUMN(Database!DW78)*2-12)</f>
        <v>n.r.</v>
      </c>
      <c r="EA78" s="8" t="str">
        <f ca="1">OFFSET(Database!$F78,0,COLUMN(Database!DX78)*2-12)</f>
        <v>n.r.</v>
      </c>
      <c r="EB78" s="8" t="str">
        <f ca="1">OFFSET(Database!$F78,0,COLUMN(Database!DY78)*2-12)</f>
        <v>n.r.</v>
      </c>
      <c r="EC78" s="8" t="str">
        <f ca="1">OFFSET(Database!$F78,0,COLUMN(Database!DZ78)*2-12)</f>
        <v>n.r.</v>
      </c>
      <c r="ED78" s="8" t="str">
        <f ca="1">OFFSET(Database!$F78,0,COLUMN(Database!EA78)*2-12)</f>
        <v>n.r.</v>
      </c>
      <c r="EE78" s="8" t="str">
        <f ca="1">OFFSET(Database!$F78,0,COLUMN(Database!EB78)*2-12)</f>
        <v>n.r.</v>
      </c>
      <c r="EF78" s="8" t="str">
        <f ca="1">OFFSET(Database!$F78,0,COLUMN(Database!EC78)*2-12)</f>
        <v>n.r.</v>
      </c>
      <c r="EG78" s="8" t="str">
        <f ca="1">OFFSET(Database!$F78,0,COLUMN(Database!ED78)*2-12)</f>
        <v>n.r.</v>
      </c>
      <c r="EH78" s="8" t="str">
        <f ca="1">OFFSET(Database!$F78,0,COLUMN(Database!EE78)*2-12)</f>
        <v>n.r.</v>
      </c>
      <c r="EI78" s="8" t="str">
        <f ca="1">OFFSET(Database!$F78,0,COLUMN(Database!EF78)*2-12)</f>
        <v>n.r.</v>
      </c>
      <c r="EJ78" s="8" t="str">
        <f ca="1">OFFSET(Database!$F78,0,COLUMN(Database!EG78)*2-12)</f>
        <v>n.r.</v>
      </c>
      <c r="EK78" s="8" t="str">
        <f ca="1">OFFSET(Database!$F78,0,COLUMN(Database!EH78)*2-12)</f>
        <v>n.r.</v>
      </c>
      <c r="EL78" s="8" t="str">
        <f ca="1">OFFSET(Database!$F78,0,COLUMN(Database!EI78)*2-12)</f>
        <v>n.r.</v>
      </c>
      <c r="EM78" s="8" t="str">
        <f ca="1">OFFSET(Database!$F78,0,COLUMN(Database!EJ78)*2-12)</f>
        <v>n.r.</v>
      </c>
      <c r="EN78" s="8" t="str">
        <f ca="1">OFFSET(Database!$F78,0,COLUMN(Database!EK78)*2-12)</f>
        <v>n.r.</v>
      </c>
      <c r="EO78" s="8" t="str">
        <f ca="1">OFFSET(Database!$F78,0,COLUMN(Database!EL78)*2-12)</f>
        <v>n.r.</v>
      </c>
      <c r="EP78" s="8" t="str">
        <f ca="1">OFFSET(Database!$F78,0,COLUMN(Database!EM78)*2-12)</f>
        <v>n.r.</v>
      </c>
      <c r="EQ78" s="8" t="str">
        <f ca="1">OFFSET(Database!$F78,0,COLUMN(Database!EN78)*2-12)</f>
        <v>n.r.</v>
      </c>
      <c r="ER78" s="8" t="str">
        <f ca="1">OFFSET(Database!$F78,0,COLUMN(Database!EO78)*2-12)</f>
        <v>n.r.</v>
      </c>
      <c r="ES78" s="8" t="str">
        <f ca="1">OFFSET(Database!$F78,0,COLUMN(Database!EP78)*2-12)</f>
        <v>n.r.</v>
      </c>
      <c r="ET78" s="8" t="str">
        <f ca="1">OFFSET(Database!$F78,0,COLUMN(Database!EQ78)*2-12)</f>
        <v>n.r.</v>
      </c>
      <c r="EU78" s="8" t="str">
        <f ca="1">OFFSET(Database!$F78,0,COLUMN(Database!ER78)*2-12)</f>
        <v>n.r.</v>
      </c>
      <c r="EV78" s="8" t="str">
        <f ca="1">OFFSET(Database!$F78,0,COLUMN(Database!ES78)*2-12)</f>
        <v>n.r.</v>
      </c>
      <c r="EW78" s="8" t="str">
        <f ca="1">OFFSET(Database!$F78,0,COLUMN(Database!ET78)*2-12)</f>
        <v>n.r.</v>
      </c>
      <c r="EX78" s="8" t="str">
        <f ca="1">OFFSET(Database!$F78,0,COLUMN(Database!EU78)*2-12)</f>
        <v>n.r.</v>
      </c>
      <c r="EY78" s="8" t="str">
        <f ca="1">OFFSET(Database!$F78,0,COLUMN(Database!EV78)*2-12)</f>
        <v>n.r.</v>
      </c>
      <c r="EZ78" s="8" t="str">
        <f ca="1">OFFSET(Database!$F78,0,COLUMN(Database!EW78)*2-12)</f>
        <v>n.r.</v>
      </c>
      <c r="FA78" s="8" t="str">
        <f ca="1">OFFSET(Database!$F78,0,COLUMN(Database!EX78)*2-12)</f>
        <v>n.r.</v>
      </c>
      <c r="FB78" s="8">
        <f ca="1">OFFSET(Database!$F78,0,COLUMN(Database!EY78)*2-12)</f>
        <v>14.5</v>
      </c>
      <c r="FC78" s="8">
        <f ca="1">OFFSET(Database!$F78,0,COLUMN(Database!EZ78)*2-12)</f>
        <v>40.200000000000003</v>
      </c>
      <c r="FD78" s="8" t="str">
        <f ca="1">OFFSET(Database!$F78,0,COLUMN(Database!FA78)*2-12)</f>
        <v>n.d.</v>
      </c>
      <c r="FE78" s="8" t="str">
        <f ca="1">OFFSET(Database!$F78,0,COLUMN(Database!FB78)*2-12)</f>
        <v>n.d.</v>
      </c>
      <c r="FF78" s="8" t="str">
        <f ca="1">OFFSET(Database!$F78,0,COLUMN(Database!FC78)*2-12)</f>
        <v>n.d.</v>
      </c>
      <c r="FG78" s="8" t="str">
        <f ca="1">OFFSET(Database!$F78,0,COLUMN(Database!FD78)*2-12)</f>
        <v>n.r.</v>
      </c>
      <c r="FH78" s="8" t="str">
        <f ca="1">OFFSET(Database!$F78,0,COLUMN(Database!FE78)*2-12)</f>
        <v>n.r.</v>
      </c>
      <c r="FI78" s="8" t="str">
        <f ca="1">OFFSET(Database!$F78,0,COLUMN(Database!FF78)*2-12)</f>
        <v>n.r.</v>
      </c>
      <c r="FJ78" s="8" t="str">
        <f ca="1">OFFSET(Database!$F78,0,COLUMN(Database!FG78)*2-12)</f>
        <v>n.r.</v>
      </c>
      <c r="FK78" s="8" t="str">
        <f ca="1">OFFSET(Database!$F78,0,COLUMN(Database!FH78)*2-12)</f>
        <v>n.r.</v>
      </c>
      <c r="FL78" s="8" t="str">
        <f ca="1">OFFSET(Database!$F78,0,COLUMN(Database!FI78)*2-12)</f>
        <v>n.r.</v>
      </c>
      <c r="FM78" s="8" t="str">
        <f ca="1">OFFSET(Database!$F78,0,COLUMN(Database!FJ78)*2-12)</f>
        <v>n.r.</v>
      </c>
      <c r="FN78" s="8" t="str">
        <f ca="1">OFFSET(Database!$F78,0,COLUMN(Database!FK78)*2-12)</f>
        <v>n.r.</v>
      </c>
      <c r="FO78" s="8" t="str">
        <f ca="1">OFFSET(Database!$F78,0,COLUMN(Database!FL78)*2-12)</f>
        <v>n.r.</v>
      </c>
      <c r="FP78" s="8" t="str">
        <f ca="1">OFFSET(Database!$F78,0,COLUMN(Database!FM78)*2-12)</f>
        <v>n.r.</v>
      </c>
      <c r="FQ78" s="8" t="str">
        <f ca="1">OFFSET(Database!$F78,0,COLUMN(Database!FN78)*2-12)</f>
        <v>n.r.</v>
      </c>
      <c r="FR78" s="8" t="str">
        <f ca="1">OFFSET(Database!$F78,0,COLUMN(Database!FO78)*2-12)</f>
        <v>n.r.</v>
      </c>
      <c r="FS78" s="8" t="str">
        <f ca="1">OFFSET(Database!$F78,0,COLUMN(Database!FP78)*2-12)</f>
        <v>n.r.</v>
      </c>
      <c r="FT78" s="8" t="str">
        <f ca="1">OFFSET(Database!$F78,0,COLUMN(Database!FQ78)*2-12)</f>
        <v>n.r.</v>
      </c>
      <c r="FU78" s="8" t="str">
        <f ca="1">OFFSET(Database!$F78,0,COLUMN(Database!FR78)*2-12)</f>
        <v>n.r.</v>
      </c>
      <c r="FV78" s="8" t="str">
        <f ca="1">OFFSET(Database!$F78,0,COLUMN(Database!FS78)*2-12)</f>
        <v>n.r.</v>
      </c>
      <c r="FW78" s="8" t="str">
        <f ca="1">OFFSET(Database!$F78,0,COLUMN(Database!FT78)*2-12)</f>
        <v>n.r.</v>
      </c>
      <c r="FX78" s="8" t="str">
        <f ca="1">OFFSET(Database!$F78,0,COLUMN(Database!FU78)*2-12)</f>
        <v>n.r.</v>
      </c>
      <c r="FY78" s="8" t="str">
        <f ca="1">OFFSET(Database!$F78,0,COLUMN(Database!FV78)*2-12)</f>
        <v>n.r.</v>
      </c>
      <c r="FZ78" s="8" t="str">
        <f ca="1">OFFSET(Database!$F78,0,COLUMN(Database!FW78)*2-12)</f>
        <v>n.r.</v>
      </c>
      <c r="GA78" s="8" t="str">
        <f ca="1">OFFSET(Database!$F78,0,COLUMN(Database!FX78)*2-12)</f>
        <v>n.r.</v>
      </c>
      <c r="GB78" s="8" t="str">
        <f ca="1">OFFSET(Database!$F78,0,COLUMN(Database!FY78)*2-12)</f>
        <v>n.r.</v>
      </c>
      <c r="GC78" s="8" t="str">
        <f ca="1">OFFSET(Database!$F78,0,COLUMN(Database!FZ78)*2-12)</f>
        <v>n.r.</v>
      </c>
      <c r="GD78" s="8" t="str">
        <f ca="1">OFFSET(Database!$F78,0,COLUMN(Database!GA78)*2-12)</f>
        <v>n.r.</v>
      </c>
      <c r="GE78" s="8" t="str">
        <f ca="1">OFFSET(Database!$F78,0,COLUMN(Database!GB78)*2-12)</f>
        <v>n.r.</v>
      </c>
      <c r="GF78" s="8" t="str">
        <f ca="1">OFFSET(Database!$F78,0,COLUMN(Database!GC78)*2-12)</f>
        <v>n.r.</v>
      </c>
      <c r="GG78" s="8" t="str">
        <f ca="1">OFFSET(Database!$F78,0,COLUMN(Database!GD78)*2-12)</f>
        <v>n.r.</v>
      </c>
      <c r="GH78" s="8" t="str">
        <f ca="1">OFFSET(Database!$F78,0,COLUMN(Database!GE78)*2-12)</f>
        <v>n.r.</v>
      </c>
      <c r="GI78" s="8" t="str">
        <f ca="1">OFFSET(Database!$F78,0,COLUMN(Database!GF78)*2-12)</f>
        <v>n.r.</v>
      </c>
      <c r="GJ78" s="8" t="str">
        <f ca="1">OFFSET(Database!$F78,0,COLUMN(Database!GG78)*2-12)</f>
        <v>n.r.</v>
      </c>
      <c r="GK78" s="8" t="str">
        <f ca="1">OFFSET(Database!$F78,0,COLUMN(Database!GH78)*2-12)</f>
        <v>n.r.</v>
      </c>
      <c r="GL78" s="8" t="str">
        <f ca="1">OFFSET(Database!$F78,0,COLUMN(Database!GI78)*2-12)</f>
        <v>n.r.</v>
      </c>
      <c r="GM78" s="8" t="str">
        <f ca="1">OFFSET(Database!$F78,0,COLUMN(Database!GJ78)*2-12)</f>
        <v>n.r.</v>
      </c>
      <c r="GN78" s="8" t="str">
        <f ca="1">OFFSET(Database!$F78,0,COLUMN(Database!GK78)*2-12)</f>
        <v>n.r.</v>
      </c>
      <c r="GO78" s="8" t="str">
        <f ca="1">OFFSET(Database!$F78,0,COLUMN(Database!GL78)*2-12)</f>
        <v>n.r.</v>
      </c>
      <c r="GP78" s="8" t="str">
        <f ca="1">OFFSET(Database!$F78,0,COLUMN(Database!GM78)*2-12)</f>
        <v>n.r.</v>
      </c>
    </row>
    <row r="79" spans="1:198" x14ac:dyDescent="0.2">
      <c r="A79" s="50" t="str">
        <f>Database!A79</f>
        <v>L-glutamine</v>
      </c>
      <c r="B79" s="1" t="s">
        <v>875</v>
      </c>
      <c r="C79" s="4" t="str">
        <f>Database!B79</f>
        <v>ɑ</v>
      </c>
      <c r="D79" s="4" t="str">
        <f>Database!C79</f>
        <v>L</v>
      </c>
      <c r="E79" s="74">
        <f>Database!D79</f>
        <v>8</v>
      </c>
      <c r="F79" s="33" t="s">
        <v>952</v>
      </c>
      <c r="G79" s="1">
        <v>5961</v>
      </c>
      <c r="H79" s="1">
        <f>Database!E79</f>
        <v>146.15</v>
      </c>
      <c r="I79" s="8" t="str">
        <f ca="1">OFFSET(Database!$F79,0,COLUMN(Database!F79)*2-12)</f>
        <v>n.r.</v>
      </c>
      <c r="J79" s="8" t="str">
        <f ca="1">OFFSET(Database!$F79,0,COLUMN(Database!G79)*2-12)</f>
        <v>n.r.</v>
      </c>
      <c r="K79" s="8" t="str">
        <f ca="1">OFFSET(Database!$F79,0,COLUMN(Database!H79)*2-12)</f>
        <v>n.r.</v>
      </c>
      <c r="L79" s="8" t="str">
        <f ca="1">OFFSET(Database!$F79,0,COLUMN(Database!I79)*2-12)</f>
        <v>n.r.</v>
      </c>
      <c r="M79" s="8" t="str">
        <f ca="1">OFFSET(Database!$F79,0,COLUMN(Database!J79)*2-12)</f>
        <v>n.r.</v>
      </c>
      <c r="N79" s="8" t="str">
        <f ca="1">OFFSET(Database!$F79,0,COLUMN(Database!K79)*2-12)</f>
        <v>n.r.</v>
      </c>
      <c r="O79" s="8" t="str">
        <f ca="1">OFFSET(Database!$F79,0,COLUMN(Database!L79)*2-12)</f>
        <v>n.r.</v>
      </c>
      <c r="P79" s="8" t="str">
        <f ca="1">OFFSET(Database!$F79,0,COLUMN(Database!M79)*2-12)</f>
        <v>n.r.</v>
      </c>
      <c r="Q79" s="8" t="str">
        <f ca="1">OFFSET(Database!$F79,0,COLUMN(Database!N79)*2-12)</f>
        <v>n.r.</v>
      </c>
      <c r="R79" s="8" t="str">
        <f ca="1">OFFSET(Database!$F79,0,COLUMN(Database!O79)*2-12)</f>
        <v>n.r.</v>
      </c>
      <c r="S79" s="8" t="str">
        <f ca="1">OFFSET(Database!$F79,0,COLUMN(Database!P79)*2-12)</f>
        <v>n.r.</v>
      </c>
      <c r="T79" s="8" t="str">
        <f ca="1">OFFSET(Database!$F79,0,COLUMN(Database!Q79)*2-12)</f>
        <v>n.r.</v>
      </c>
      <c r="U79" s="8" t="str">
        <f ca="1">OFFSET(Database!$F79,0,COLUMN(Database!R79)*2-12)</f>
        <v>n.r.</v>
      </c>
      <c r="V79" s="8" t="str">
        <f ca="1">OFFSET(Database!$F79,0,COLUMN(Database!S79)*2-12)</f>
        <v>n.r.</v>
      </c>
      <c r="W79" s="8" t="str">
        <f ca="1">OFFSET(Database!$F79,0,COLUMN(Database!T79)*2-12)</f>
        <v>n.r.</v>
      </c>
      <c r="X79" s="8" t="str">
        <f ca="1">OFFSET(Database!$F79,0,COLUMN(Database!U79)*2-12)</f>
        <v>n.r.</v>
      </c>
      <c r="Y79" s="8" t="str">
        <f ca="1">OFFSET(Database!$F79,0,COLUMN(Database!V79)*2-12)</f>
        <v>n.r.</v>
      </c>
      <c r="Z79" s="8" t="str">
        <f ca="1">OFFSET(Database!$F79,0,COLUMN(Database!W79)*2-12)</f>
        <v>n.r.</v>
      </c>
      <c r="AA79" s="8" t="str">
        <f ca="1">OFFSET(Database!$F79,0,COLUMN(Database!X79)*2-12)</f>
        <v>n.r.</v>
      </c>
      <c r="AB79" s="8" t="str">
        <f ca="1">OFFSET(Database!$F79,0,COLUMN(Database!Y79)*2-12)</f>
        <v>n.r.</v>
      </c>
      <c r="AC79" s="8" t="str">
        <f ca="1">OFFSET(Database!$F79,0,COLUMN(Database!Z79)*2-12)</f>
        <v>n.r.</v>
      </c>
      <c r="AD79" s="8" t="str">
        <f ca="1">OFFSET(Database!$F79,0,COLUMN(Database!AA79)*2-12)</f>
        <v>n.r.</v>
      </c>
      <c r="AE79" s="8" t="str">
        <f ca="1">OFFSET(Database!$F79,0,COLUMN(Database!AB79)*2-12)</f>
        <v>n.r.</v>
      </c>
      <c r="AF79" s="8" t="str">
        <f ca="1">OFFSET(Database!$F79,0,COLUMN(Database!AC79)*2-12)</f>
        <v>n.r.</v>
      </c>
      <c r="AG79" s="8" t="str">
        <f ca="1">OFFSET(Database!$F79,0,COLUMN(Database!AD79)*2-12)</f>
        <v>n.r.</v>
      </c>
      <c r="AH79" s="8" t="str">
        <f ca="1">OFFSET(Database!$F79,0,COLUMN(Database!AE79)*2-12)</f>
        <v>n.r.</v>
      </c>
      <c r="AI79" s="8" t="str">
        <f ca="1">OFFSET(Database!$F79,0,COLUMN(Database!AF79)*2-12)</f>
        <v>n.r.</v>
      </c>
      <c r="AJ79" s="8" t="str">
        <f ca="1">OFFSET(Database!$F79,0,COLUMN(Database!AG79)*2-12)</f>
        <v>n.r.</v>
      </c>
      <c r="AK79" s="8" t="str">
        <f ca="1">OFFSET(Database!$F79,0,COLUMN(Database!AH79)*2-12)</f>
        <v>n.r.</v>
      </c>
      <c r="AL79" s="8" t="str">
        <f ca="1">OFFSET(Database!$F79,0,COLUMN(Database!AI79)*2-12)</f>
        <v>n.r.</v>
      </c>
      <c r="AM79" s="8" t="str">
        <f ca="1">OFFSET(Database!$F79,0,COLUMN(Database!AJ79)*2-12)</f>
        <v>n.r.</v>
      </c>
      <c r="AN79" s="8" t="str">
        <f ca="1">OFFSET(Database!$F79,0,COLUMN(Database!AK79)*2-12)</f>
        <v>n.r.</v>
      </c>
      <c r="AO79" s="8" t="str">
        <f ca="1">OFFSET(Database!$F79,0,COLUMN(Database!AL79)*2-12)</f>
        <v>n.r.</v>
      </c>
      <c r="AP79" s="8" t="str">
        <f ca="1">OFFSET(Database!$F79,0,COLUMN(Database!AM79)*2-12)</f>
        <v>n.r.</v>
      </c>
      <c r="AQ79" s="8" t="str">
        <f ca="1">OFFSET(Database!$F79,0,COLUMN(Database!AN79)*2-12)</f>
        <v>n.r.</v>
      </c>
      <c r="AR79" s="8" t="str">
        <f ca="1">OFFSET(Database!$F79,0,COLUMN(Database!AO79)*2-12)</f>
        <v>n.r.</v>
      </c>
      <c r="AS79" s="8" t="str">
        <f ca="1">OFFSET(Database!$F79,0,COLUMN(Database!AP79)*2-12)</f>
        <v>n.r.</v>
      </c>
      <c r="AT79" s="8" t="str">
        <f ca="1">OFFSET(Database!$F79,0,COLUMN(Database!AQ79)*2-12)</f>
        <v>n.r.</v>
      </c>
      <c r="AU79" s="8" t="str">
        <f ca="1">OFFSET(Database!$F79,0,COLUMN(Database!AR79)*2-12)</f>
        <v>n.r.</v>
      </c>
      <c r="AV79" s="8" t="str">
        <f ca="1">OFFSET(Database!$F79,0,COLUMN(Database!AS79)*2-12)</f>
        <v>n.r.</v>
      </c>
      <c r="AW79" s="8" t="str">
        <f ca="1">OFFSET(Database!$F79,0,COLUMN(Database!AT79)*2-12)</f>
        <v>n.r.</v>
      </c>
      <c r="AX79" s="8" t="str">
        <f ca="1">OFFSET(Database!$F79,0,COLUMN(Database!AU79)*2-12)</f>
        <v>n.r.</v>
      </c>
      <c r="AY79" s="8" t="str">
        <f ca="1">OFFSET(Database!$F79,0,COLUMN(Database!AV79)*2-12)</f>
        <v>n.r.</v>
      </c>
      <c r="AZ79" s="8" t="str">
        <f ca="1">OFFSET(Database!$F79,0,COLUMN(Database!AW79)*2-12)</f>
        <v>n.r.</v>
      </c>
      <c r="BA79" s="8" t="str">
        <f ca="1">OFFSET(Database!$F79,0,COLUMN(Database!AX79)*2-12)</f>
        <v>n.r.</v>
      </c>
      <c r="BB79" s="8" t="str">
        <f ca="1">OFFSET(Database!$F79,0,COLUMN(Database!AY79)*2-12)</f>
        <v>n.r.</v>
      </c>
      <c r="BC79" s="8" t="str">
        <f ca="1">OFFSET(Database!$F79,0,COLUMN(Database!AZ79)*2-12)</f>
        <v>n.r.</v>
      </c>
      <c r="BD79" s="8" t="str">
        <f ca="1">OFFSET(Database!$F79,0,COLUMN(Database!BA79)*2-12)</f>
        <v>n.r.</v>
      </c>
      <c r="BE79" s="8" t="str">
        <f ca="1">OFFSET(Database!$F79,0,COLUMN(Database!BB79)*2-12)</f>
        <v>n.r.</v>
      </c>
      <c r="BF79" s="8" t="str">
        <f ca="1">OFFSET(Database!$F79,0,COLUMN(Database!BC79)*2-12)</f>
        <v>n.r.</v>
      </c>
      <c r="BG79" s="8" t="str">
        <f ca="1">OFFSET(Database!$F79,0,COLUMN(Database!BD79)*2-12)</f>
        <v>n.r.</v>
      </c>
      <c r="BH79" s="8" t="str">
        <f ca="1">OFFSET(Database!$F79,0,COLUMN(Database!BE79)*2-12)</f>
        <v>n.r.</v>
      </c>
      <c r="BI79" s="8" t="str">
        <f ca="1">OFFSET(Database!$F79,0,COLUMN(Database!BF79)*2-12)</f>
        <v>n.r.</v>
      </c>
      <c r="BJ79" s="8" t="str">
        <f ca="1">OFFSET(Database!$F79,0,COLUMN(Database!BG79)*2-12)</f>
        <v>n.r.</v>
      </c>
      <c r="BK79" s="8" t="str">
        <f ca="1">OFFSET(Database!$F79,0,COLUMN(Database!BH79)*2-12)</f>
        <v>n.r.</v>
      </c>
      <c r="BL79" s="8" t="str">
        <f ca="1">OFFSET(Database!$F79,0,COLUMN(Database!BI79)*2-12)</f>
        <v>n.r.</v>
      </c>
      <c r="BM79" s="8" t="str">
        <f ca="1">OFFSET(Database!$F79,0,COLUMN(Database!BJ79)*2-12)</f>
        <v>n.r.</v>
      </c>
      <c r="BN79" s="8" t="str">
        <f ca="1">OFFSET(Database!$F79,0,COLUMN(Database!BK79)*2-12)</f>
        <v>n.r.</v>
      </c>
      <c r="BO79" s="8" t="str">
        <f ca="1">OFFSET(Database!$F79,0,COLUMN(Database!BL79)*2-12)</f>
        <v>n.r.</v>
      </c>
      <c r="BP79" s="8" t="str">
        <f ca="1">OFFSET(Database!$F79,0,COLUMN(Database!BM79)*2-12)</f>
        <v>n.r.</v>
      </c>
      <c r="BQ79" s="8" t="str">
        <f ca="1">OFFSET(Database!$F79,0,COLUMN(Database!BN79)*2-12)</f>
        <v>n.r.</v>
      </c>
      <c r="BR79" s="8" t="str">
        <f ca="1">OFFSET(Database!$F79,0,COLUMN(Database!BO79)*2-12)</f>
        <v>n.r.</v>
      </c>
      <c r="BS79" s="8" t="str">
        <f ca="1">OFFSET(Database!$F79,0,COLUMN(Database!BP79)*2-12)</f>
        <v>n.r.</v>
      </c>
      <c r="BT79" s="8" t="str">
        <f ca="1">OFFSET(Database!$F79,0,COLUMN(Database!BQ79)*2-12)</f>
        <v>n.r.</v>
      </c>
      <c r="BU79" s="8" t="str">
        <f ca="1">OFFSET(Database!$F79,0,COLUMN(Database!BR79)*2-12)</f>
        <v>n.r.</v>
      </c>
      <c r="BV79" s="8" t="str">
        <f ca="1">OFFSET(Database!$F79,0,COLUMN(Database!BS79)*2-12)</f>
        <v>n.r.</v>
      </c>
      <c r="BW79" s="8" t="str">
        <f ca="1">OFFSET(Database!$F79,0,COLUMN(Database!BT79)*2-12)</f>
        <v>n.r.</v>
      </c>
      <c r="BX79" s="8" t="str">
        <f ca="1">OFFSET(Database!$F79,0,COLUMN(Database!BU79)*2-12)</f>
        <v>n.r.</v>
      </c>
      <c r="BY79" s="8" t="str">
        <f ca="1">OFFSET(Database!$F79,0,COLUMN(Database!BV79)*2-12)</f>
        <v>n.r.</v>
      </c>
      <c r="BZ79" s="8" t="str">
        <f ca="1">OFFSET(Database!$F79,0,COLUMN(Database!BW79)*2-12)</f>
        <v>n.r.</v>
      </c>
      <c r="CA79" s="8" t="str">
        <f ca="1">OFFSET(Database!$F79,0,COLUMN(Database!BX79)*2-12)</f>
        <v>n.r.</v>
      </c>
      <c r="CB79" s="8" t="str">
        <f ca="1">OFFSET(Database!$F79,0,COLUMN(Database!BY79)*2-12)</f>
        <v>n.r.</v>
      </c>
      <c r="CC79" s="8" t="str">
        <f ca="1">OFFSET(Database!$F79,0,COLUMN(Database!BZ79)*2-12)</f>
        <v>n.r.</v>
      </c>
      <c r="CD79" s="8" t="str">
        <f ca="1">OFFSET(Database!$F79,0,COLUMN(Database!CA79)*2-12)</f>
        <v>n.r.</v>
      </c>
      <c r="CE79" s="8" t="str">
        <f ca="1">OFFSET(Database!$F79,0,COLUMN(Database!CB79)*2-12)</f>
        <v>n.r.</v>
      </c>
      <c r="CF79" s="8" t="str">
        <f ca="1">OFFSET(Database!$F79,0,COLUMN(Database!CC79)*2-12)</f>
        <v>n.r.</v>
      </c>
      <c r="CG79" s="8" t="str">
        <f ca="1">OFFSET(Database!$F79,0,COLUMN(Database!CD79)*2-12)</f>
        <v>n.r.</v>
      </c>
      <c r="CH79" s="8" t="str">
        <f ca="1">OFFSET(Database!$F79,0,COLUMN(Database!CE79)*2-12)</f>
        <v>n.r.</v>
      </c>
      <c r="CI79" s="8" t="str">
        <f ca="1">OFFSET(Database!$F79,0,COLUMN(Database!CF79)*2-12)</f>
        <v>n.r.</v>
      </c>
      <c r="CJ79" s="8" t="str">
        <f ca="1">OFFSET(Database!$F79,0,COLUMN(Database!CG79)*2-12)</f>
        <v>n.r.</v>
      </c>
      <c r="CK79" s="8" t="str">
        <f ca="1">OFFSET(Database!$F79,0,COLUMN(Database!CH79)*2-12)</f>
        <v>n.r.</v>
      </c>
      <c r="CL79" s="8" t="str">
        <f ca="1">OFFSET(Database!$F79,0,COLUMN(Database!CI79)*2-12)</f>
        <v>n.r.</v>
      </c>
      <c r="CM79" s="8" t="str">
        <f ca="1">OFFSET(Database!$F79,0,COLUMN(Database!CJ79)*2-12)</f>
        <v>n.r.</v>
      </c>
      <c r="CN79" s="8" t="str">
        <f ca="1">OFFSET(Database!$F79,0,COLUMN(Database!CK79)*2-12)</f>
        <v>n.r.</v>
      </c>
      <c r="CO79" s="8" t="str">
        <f ca="1">OFFSET(Database!$F79,0,COLUMN(Database!CL79)*2-12)</f>
        <v>n.r.</v>
      </c>
      <c r="CP79" s="8" t="str">
        <f ca="1">OFFSET(Database!$F79,0,COLUMN(Database!CM79)*2-12)</f>
        <v>n.r.</v>
      </c>
      <c r="CQ79" s="8" t="str">
        <f ca="1">OFFSET(Database!$F79,0,COLUMN(Database!CN79)*2-12)</f>
        <v>n.r.</v>
      </c>
      <c r="CR79" s="8" t="str">
        <f ca="1">OFFSET(Database!$F79,0,COLUMN(Database!CO79)*2-12)</f>
        <v>n.r.</v>
      </c>
      <c r="CS79" s="8" t="str">
        <f ca="1">OFFSET(Database!$F79,0,COLUMN(Database!CP79)*2-12)</f>
        <v>n.r.</v>
      </c>
      <c r="CT79" s="8" t="str">
        <f ca="1">OFFSET(Database!$F79,0,COLUMN(Database!CQ79)*2-12)</f>
        <v>n.r.</v>
      </c>
      <c r="CU79" s="8" t="str">
        <f ca="1">OFFSET(Database!$F79,0,COLUMN(Database!CR79)*2-12)</f>
        <v>n.r.</v>
      </c>
      <c r="CV79" s="8" t="str">
        <f ca="1">OFFSET(Database!$F79,0,COLUMN(Database!CS79)*2-12)</f>
        <v>n.r.</v>
      </c>
      <c r="CW79" s="8" t="str">
        <f ca="1">OFFSET(Database!$F79,0,COLUMN(Database!CT79)*2-12)</f>
        <v>n.r.</v>
      </c>
      <c r="CX79" s="8" t="str">
        <f ca="1">OFFSET(Database!$F79,0,COLUMN(Database!CU79)*2-12)</f>
        <v>n.r.</v>
      </c>
      <c r="CY79" s="8" t="str">
        <f ca="1">OFFSET(Database!$F79,0,COLUMN(Database!CV79)*2-12)</f>
        <v>n.r.</v>
      </c>
      <c r="CZ79" s="8" t="str">
        <f ca="1">OFFSET(Database!$F79,0,COLUMN(Database!CW79)*2-12)</f>
        <v>n.r.</v>
      </c>
      <c r="DA79" s="8" t="str">
        <f ca="1">OFFSET(Database!$F79,0,COLUMN(Database!CX79)*2-12)</f>
        <v>n.r.</v>
      </c>
      <c r="DB79" s="8" t="str">
        <f ca="1">OFFSET(Database!$F79,0,COLUMN(Database!CY79)*2-12)</f>
        <v>n.r.</v>
      </c>
      <c r="DC79" s="8" t="str">
        <f ca="1">OFFSET(Database!$F79,0,COLUMN(Database!CZ79)*2-12)</f>
        <v>n.r.</v>
      </c>
      <c r="DD79" s="8" t="str">
        <f ca="1">OFFSET(Database!$F79,0,COLUMN(Database!DA79)*2-12)</f>
        <v>n.r.</v>
      </c>
      <c r="DE79" s="8" t="str">
        <f ca="1">OFFSET(Database!$F79,0,COLUMN(Database!DB79)*2-12)</f>
        <v>n.r.</v>
      </c>
      <c r="DF79" s="8" t="str">
        <f ca="1">OFFSET(Database!$F79,0,COLUMN(Database!DC79)*2-12)</f>
        <v>n.r.</v>
      </c>
      <c r="DG79" s="8" t="str">
        <f ca="1">OFFSET(Database!$F79,0,COLUMN(Database!DD79)*2-12)</f>
        <v>n.r.</v>
      </c>
      <c r="DH79" s="8" t="str">
        <f ca="1">OFFSET(Database!$F79,0,COLUMN(Database!DE79)*2-12)</f>
        <v>n.r.</v>
      </c>
      <c r="DI79" s="8" t="str">
        <f ca="1">OFFSET(Database!$F79,0,COLUMN(Database!DF79)*2-12)</f>
        <v>n.r.</v>
      </c>
      <c r="DJ79" s="8" t="str">
        <f ca="1">OFFSET(Database!$F79,0,COLUMN(Database!DG79)*2-12)</f>
        <v>n.r.</v>
      </c>
      <c r="DK79" s="8" t="str">
        <f ca="1">OFFSET(Database!$F79,0,COLUMN(Database!DH79)*2-12)</f>
        <v>n.r.</v>
      </c>
      <c r="DL79" s="8" t="str">
        <f ca="1">OFFSET(Database!$F79,0,COLUMN(Database!DI79)*2-12)</f>
        <v>n.r.</v>
      </c>
      <c r="DM79" s="8" t="str">
        <f ca="1">OFFSET(Database!$F79,0,COLUMN(Database!DJ79)*2-12)</f>
        <v>n.r.</v>
      </c>
      <c r="DN79" s="8" t="str">
        <f ca="1">OFFSET(Database!$F79,0,COLUMN(Database!DK79)*2-12)</f>
        <v>n.r.</v>
      </c>
      <c r="DO79" s="8" t="str">
        <f ca="1">OFFSET(Database!$F79,0,COLUMN(Database!DL79)*2-12)</f>
        <v>n.r.</v>
      </c>
      <c r="DP79" s="8" t="str">
        <f ca="1">OFFSET(Database!$F79,0,COLUMN(Database!DM79)*2-12)</f>
        <v>n.r.</v>
      </c>
      <c r="DQ79" s="8" t="str">
        <f ca="1">OFFSET(Database!$F79,0,COLUMN(Database!DN79)*2-12)</f>
        <v>n.r.</v>
      </c>
      <c r="DR79" s="8" t="str">
        <f ca="1">OFFSET(Database!$F79,0,COLUMN(Database!DO79)*2-12)</f>
        <v>n.r.</v>
      </c>
      <c r="DS79" s="8" t="str">
        <f ca="1">OFFSET(Database!$F79,0,COLUMN(Database!DP79)*2-12)</f>
        <v>n.r.</v>
      </c>
      <c r="DT79" s="8" t="str">
        <f ca="1">OFFSET(Database!$F79,0,COLUMN(Database!DQ79)*2-12)</f>
        <v>n.r.</v>
      </c>
      <c r="DU79" s="8" t="str">
        <f ca="1">OFFSET(Database!$F79,0,COLUMN(Database!DR79)*2-12)</f>
        <v>n.r.</v>
      </c>
      <c r="DV79" s="8" t="str">
        <f ca="1">OFFSET(Database!$F79,0,COLUMN(Database!DS79)*2-12)</f>
        <v>n.r.</v>
      </c>
      <c r="DW79" s="8" t="str">
        <f ca="1">OFFSET(Database!$F79,0,COLUMN(Database!DT79)*2-12)</f>
        <v>n.r.</v>
      </c>
      <c r="DX79" s="8" t="str">
        <f ca="1">OFFSET(Database!$F79,0,COLUMN(Database!DU79)*2-12)</f>
        <v>n.r.</v>
      </c>
      <c r="DY79" s="8" t="str">
        <f ca="1">OFFSET(Database!$F79,0,COLUMN(Database!DV79)*2-12)</f>
        <v>n.r.</v>
      </c>
      <c r="DZ79" s="8" t="str">
        <f ca="1">OFFSET(Database!$F79,0,COLUMN(Database!DW79)*2-12)</f>
        <v>n.r.</v>
      </c>
      <c r="EA79" s="8" t="str">
        <f ca="1">OFFSET(Database!$F79,0,COLUMN(Database!DX79)*2-12)</f>
        <v>n.r.</v>
      </c>
      <c r="EB79" s="8" t="str">
        <f ca="1">OFFSET(Database!$F79,0,COLUMN(Database!DY79)*2-12)</f>
        <v>n.r.</v>
      </c>
      <c r="EC79" s="8" t="str">
        <f ca="1">OFFSET(Database!$F79,0,COLUMN(Database!DZ79)*2-12)</f>
        <v>n.r.</v>
      </c>
      <c r="ED79" s="8" t="str">
        <f ca="1">OFFSET(Database!$F79,0,COLUMN(Database!EA79)*2-12)</f>
        <v>n.r.</v>
      </c>
      <c r="EE79" s="8" t="str">
        <f ca="1">OFFSET(Database!$F79,0,COLUMN(Database!EB79)*2-12)</f>
        <v>n.r.</v>
      </c>
      <c r="EF79" s="8" t="str">
        <f ca="1">OFFSET(Database!$F79,0,COLUMN(Database!EC79)*2-12)</f>
        <v>n.r.</v>
      </c>
      <c r="EG79" s="8" t="str">
        <f ca="1">OFFSET(Database!$F79,0,COLUMN(Database!ED79)*2-12)</f>
        <v>n.r.</v>
      </c>
      <c r="EH79" s="8" t="str">
        <f ca="1">OFFSET(Database!$F79,0,COLUMN(Database!EE79)*2-12)</f>
        <v>n.r.</v>
      </c>
      <c r="EI79" s="8" t="str">
        <f ca="1">OFFSET(Database!$F79,0,COLUMN(Database!EF79)*2-12)</f>
        <v>n.r.</v>
      </c>
      <c r="EJ79" s="8" t="str">
        <f ca="1">OFFSET(Database!$F79,0,COLUMN(Database!EG79)*2-12)</f>
        <v>n.r.</v>
      </c>
      <c r="EK79" s="8" t="str">
        <f ca="1">OFFSET(Database!$F79,0,COLUMN(Database!EH79)*2-12)</f>
        <v>n.r.</v>
      </c>
      <c r="EL79" s="8" t="str">
        <f ca="1">OFFSET(Database!$F79,0,COLUMN(Database!EI79)*2-12)</f>
        <v>n.r.</v>
      </c>
      <c r="EM79" s="8" t="str">
        <f ca="1">OFFSET(Database!$F79,0,COLUMN(Database!EJ79)*2-12)</f>
        <v>n.r.</v>
      </c>
      <c r="EN79" s="8" t="str">
        <f ca="1">OFFSET(Database!$F79,0,COLUMN(Database!EK79)*2-12)</f>
        <v>n.r.</v>
      </c>
      <c r="EO79" s="8" t="str">
        <f ca="1">OFFSET(Database!$F79,0,COLUMN(Database!EL79)*2-12)</f>
        <v>n.r.</v>
      </c>
      <c r="EP79" s="8" t="str">
        <f ca="1">OFFSET(Database!$F79,0,COLUMN(Database!EM79)*2-12)</f>
        <v>n.r.</v>
      </c>
      <c r="EQ79" s="8" t="str">
        <f ca="1">OFFSET(Database!$F79,0,COLUMN(Database!EN79)*2-12)</f>
        <v>n.r.</v>
      </c>
      <c r="ER79" s="8" t="str">
        <f ca="1">OFFSET(Database!$F79,0,COLUMN(Database!EO79)*2-12)</f>
        <v>n.r.</v>
      </c>
      <c r="ES79" s="8" t="str">
        <f ca="1">OFFSET(Database!$F79,0,COLUMN(Database!EP79)*2-12)</f>
        <v>n.r.</v>
      </c>
      <c r="ET79" s="8" t="str">
        <f ca="1">OFFSET(Database!$F79,0,COLUMN(Database!EQ79)*2-12)</f>
        <v>n.r.</v>
      </c>
      <c r="EU79" s="8" t="str">
        <f ca="1">OFFSET(Database!$F79,0,COLUMN(Database!ER79)*2-12)</f>
        <v>n.r.</v>
      </c>
      <c r="EV79" s="8" t="str">
        <f ca="1">OFFSET(Database!$F79,0,COLUMN(Database!ES79)*2-12)</f>
        <v>n.r.</v>
      </c>
      <c r="EW79" s="8" t="str">
        <f ca="1">OFFSET(Database!$F79,0,COLUMN(Database!ET79)*2-12)</f>
        <v>n.r.</v>
      </c>
      <c r="EX79" s="8" t="str">
        <f ca="1">OFFSET(Database!$F79,0,COLUMN(Database!EU79)*2-12)</f>
        <v>n.r.</v>
      </c>
      <c r="EY79" s="8" t="str">
        <f ca="1">OFFSET(Database!$F79,0,COLUMN(Database!EV79)*2-12)</f>
        <v>n.r.</v>
      </c>
      <c r="EZ79" s="8" t="str">
        <f ca="1">OFFSET(Database!$F79,0,COLUMN(Database!EW79)*2-12)</f>
        <v>n.r.</v>
      </c>
      <c r="FA79" s="8" t="str">
        <f ca="1">OFFSET(Database!$F79,0,COLUMN(Database!EX79)*2-12)</f>
        <v>n.r.</v>
      </c>
      <c r="FB79" s="8">
        <f ca="1">OFFSET(Database!$F79,0,COLUMN(Database!EY79)*2-12)</f>
        <v>66.7</v>
      </c>
      <c r="FC79" s="8">
        <f ca="1">OFFSET(Database!$F79,0,COLUMN(Database!EZ79)*2-12)</f>
        <v>35.1</v>
      </c>
      <c r="FD79" s="8">
        <f ca="1">OFFSET(Database!$F79,0,COLUMN(Database!FA79)*2-12)</f>
        <v>1959.4</v>
      </c>
      <c r="FE79" s="8">
        <f ca="1">OFFSET(Database!$F79,0,COLUMN(Database!FB79)*2-12)</f>
        <v>3603.8</v>
      </c>
      <c r="FF79" s="8">
        <f ca="1">OFFSET(Database!$F79,0,COLUMN(Database!FC79)*2-12)</f>
        <v>3068.8</v>
      </c>
      <c r="FG79" s="8" t="str">
        <f ca="1">OFFSET(Database!$F79,0,COLUMN(Database!FD79)*2-12)</f>
        <v>n.r.</v>
      </c>
      <c r="FH79" s="8">
        <f ca="1">OFFSET(Database!$F79,0,COLUMN(Database!FE79)*2-12)</f>
        <v>2800</v>
      </c>
      <c r="FI79" s="8">
        <f ca="1">OFFSET(Database!$F79,0,COLUMN(Database!FF79)*2-12)</f>
        <v>420</v>
      </c>
      <c r="FJ79" s="8">
        <f ca="1">OFFSET(Database!$F79,0,COLUMN(Database!FG79)*2-12)</f>
        <v>3800</v>
      </c>
      <c r="FK79" s="8" t="str">
        <f ca="1">OFFSET(Database!$F79,0,COLUMN(Database!FH79)*2-12)</f>
        <v>n.r.</v>
      </c>
      <c r="FL79" s="8" t="str">
        <f ca="1">OFFSET(Database!$F79,0,COLUMN(Database!FI79)*2-12)</f>
        <v>n.r.</v>
      </c>
      <c r="FM79" s="8" t="str">
        <f ca="1">OFFSET(Database!$F79,0,COLUMN(Database!FJ79)*2-12)</f>
        <v>n.r.</v>
      </c>
      <c r="FN79" s="8" t="str">
        <f ca="1">OFFSET(Database!$F79,0,COLUMN(Database!FK79)*2-12)</f>
        <v>n.r.</v>
      </c>
      <c r="FO79" s="8" t="str">
        <f ca="1">OFFSET(Database!$F79,0,COLUMN(Database!FL79)*2-12)</f>
        <v>n.r.</v>
      </c>
      <c r="FP79" s="8" t="str">
        <f ca="1">OFFSET(Database!$F79,0,COLUMN(Database!FM79)*2-12)</f>
        <v>n.r.</v>
      </c>
      <c r="FQ79" s="8" t="str">
        <f ca="1">OFFSET(Database!$F79,0,COLUMN(Database!FN79)*2-12)</f>
        <v>n.r.</v>
      </c>
      <c r="FR79" s="8" t="str">
        <f ca="1">OFFSET(Database!$F79,0,COLUMN(Database!FO79)*2-12)</f>
        <v>n.r.</v>
      </c>
      <c r="FS79" s="8" t="str">
        <f ca="1">OFFSET(Database!$F79,0,COLUMN(Database!FP79)*2-12)</f>
        <v>n.r.</v>
      </c>
      <c r="FT79" s="8" t="str">
        <f ca="1">OFFSET(Database!$F79,0,COLUMN(Database!FQ79)*2-12)</f>
        <v>n.r.</v>
      </c>
      <c r="FU79" s="8" t="str">
        <f ca="1">OFFSET(Database!$F79,0,COLUMN(Database!FR79)*2-12)</f>
        <v>n.r.</v>
      </c>
      <c r="FV79" s="8" t="str">
        <f ca="1">OFFSET(Database!$F79,0,COLUMN(Database!FS79)*2-12)</f>
        <v>n.r.</v>
      </c>
      <c r="FW79" s="8" t="str">
        <f ca="1">OFFSET(Database!$F79,0,COLUMN(Database!FT79)*2-12)</f>
        <v>n.r.</v>
      </c>
      <c r="FX79" s="8" t="str">
        <f ca="1">OFFSET(Database!$F79,0,COLUMN(Database!FU79)*2-12)</f>
        <v>n.r.</v>
      </c>
      <c r="FY79" s="8" t="str">
        <f ca="1">OFFSET(Database!$F79,0,COLUMN(Database!FV79)*2-12)</f>
        <v>n.r.</v>
      </c>
      <c r="FZ79" s="8" t="str">
        <f ca="1">OFFSET(Database!$F79,0,COLUMN(Database!FW79)*2-12)</f>
        <v>n.r.</v>
      </c>
      <c r="GA79" s="8" t="str">
        <f ca="1">OFFSET(Database!$F79,0,COLUMN(Database!FX79)*2-12)</f>
        <v>n.r.</v>
      </c>
      <c r="GB79" s="8" t="str">
        <f ca="1">OFFSET(Database!$F79,0,COLUMN(Database!FY79)*2-12)</f>
        <v>n.r.</v>
      </c>
      <c r="GC79" s="8" t="str">
        <f ca="1">OFFSET(Database!$F79,0,COLUMN(Database!FZ79)*2-12)</f>
        <v>n.r.</v>
      </c>
      <c r="GD79" s="8" t="str">
        <f ca="1">OFFSET(Database!$F79,0,COLUMN(Database!GA79)*2-12)</f>
        <v>n.r.</v>
      </c>
      <c r="GE79" s="8" t="str">
        <f ca="1">OFFSET(Database!$F79,0,COLUMN(Database!GB79)*2-12)</f>
        <v>n.r.</v>
      </c>
      <c r="GF79" s="8" t="str">
        <f ca="1">OFFSET(Database!$F79,0,COLUMN(Database!GC79)*2-12)</f>
        <v>n.r.</v>
      </c>
      <c r="GG79" s="8" t="str">
        <f ca="1">OFFSET(Database!$F79,0,COLUMN(Database!GD79)*2-12)</f>
        <v>n.r.</v>
      </c>
      <c r="GH79" s="8" t="str">
        <f ca="1">OFFSET(Database!$F79,0,COLUMN(Database!GE79)*2-12)</f>
        <v>n.r.</v>
      </c>
      <c r="GI79" s="8" t="str">
        <f ca="1">OFFSET(Database!$F79,0,COLUMN(Database!GF79)*2-12)</f>
        <v>n.r.</v>
      </c>
      <c r="GJ79" s="8" t="str">
        <f ca="1">OFFSET(Database!$F79,0,COLUMN(Database!GG79)*2-12)</f>
        <v>n.r.</v>
      </c>
      <c r="GK79" s="8" t="str">
        <f ca="1">OFFSET(Database!$F79,0,COLUMN(Database!GH79)*2-12)</f>
        <v>n.r.</v>
      </c>
      <c r="GL79" s="8" t="str">
        <f ca="1">OFFSET(Database!$F79,0,COLUMN(Database!GI79)*2-12)</f>
        <v>n.r.</v>
      </c>
      <c r="GM79" s="8" t="str">
        <f ca="1">OFFSET(Database!$F79,0,COLUMN(Database!GJ79)*2-12)</f>
        <v>n.r.</v>
      </c>
      <c r="GN79" s="8" t="str">
        <f ca="1">OFFSET(Database!$F79,0,COLUMN(Database!GK79)*2-12)</f>
        <v>n.r.</v>
      </c>
      <c r="GO79" s="8" t="str">
        <f ca="1">OFFSET(Database!$F79,0,COLUMN(Database!GL79)*2-12)</f>
        <v>n.r.</v>
      </c>
      <c r="GP79" s="8" t="str">
        <f ca="1">OFFSET(Database!$F79,0,COLUMN(Database!GM79)*2-12)</f>
        <v>n.r.</v>
      </c>
    </row>
    <row r="80" spans="1:198" x14ac:dyDescent="0.2">
      <c r="A80" s="50" t="str">
        <f>Database!A80</f>
        <v>glutamine</v>
      </c>
      <c r="B80" s="1" t="s">
        <v>875</v>
      </c>
      <c r="C80" s="4" t="str">
        <f>Database!B80</f>
        <v>ɑ</v>
      </c>
      <c r="D80" s="4" t="str">
        <f>Database!C80</f>
        <v>Both</v>
      </c>
      <c r="E80" s="74">
        <f>Database!D80</f>
        <v>5</v>
      </c>
      <c r="F80" s="1" t="s">
        <v>1027</v>
      </c>
      <c r="G80" s="1" t="s">
        <v>1122</v>
      </c>
      <c r="H80" s="1">
        <f>Database!E80</f>
        <v>146.15</v>
      </c>
      <c r="I80" s="8" t="str">
        <f ca="1">OFFSET(Database!$F80,0,COLUMN(Database!F80)*2-12)</f>
        <v>n.r.</v>
      </c>
      <c r="J80" s="8" t="str">
        <f ca="1">OFFSET(Database!$F80,0,COLUMN(Database!G80)*2-12)</f>
        <v>n.r.</v>
      </c>
      <c r="K80" s="8" t="str">
        <f ca="1">OFFSET(Database!$F80,0,COLUMN(Database!H80)*2-12)</f>
        <v>n.r.</v>
      </c>
      <c r="L80" s="8" t="str">
        <f ca="1">OFFSET(Database!$F80,0,COLUMN(Database!I80)*2-12)</f>
        <v>n.r.</v>
      </c>
      <c r="M80" s="8" t="str">
        <f ca="1">OFFSET(Database!$F80,0,COLUMN(Database!J80)*2-12)</f>
        <v>n.r.</v>
      </c>
      <c r="N80" s="8" t="str">
        <f ca="1">OFFSET(Database!$F80,0,COLUMN(Database!K80)*2-12)</f>
        <v>n.r.</v>
      </c>
      <c r="O80" s="8" t="str">
        <f ca="1">OFFSET(Database!$F80,0,COLUMN(Database!L80)*2-12)</f>
        <v>n.r.</v>
      </c>
      <c r="P80" s="8" t="str">
        <f ca="1">OFFSET(Database!$F80,0,COLUMN(Database!M80)*2-12)</f>
        <v>n.r.</v>
      </c>
      <c r="Q80" s="8" t="str">
        <f ca="1">OFFSET(Database!$F80,0,COLUMN(Database!N80)*2-12)</f>
        <v>n.r.</v>
      </c>
      <c r="R80" s="8" t="str">
        <f ca="1">OFFSET(Database!$F80,0,COLUMN(Database!O80)*2-12)</f>
        <v>n.r.</v>
      </c>
      <c r="S80" s="8" t="str">
        <f ca="1">OFFSET(Database!$F80,0,COLUMN(Database!P80)*2-12)</f>
        <v>n.r.</v>
      </c>
      <c r="T80" s="8" t="str">
        <f ca="1">OFFSET(Database!$F80,0,COLUMN(Database!Q80)*2-12)</f>
        <v>n.r.</v>
      </c>
      <c r="U80" s="8" t="str">
        <f ca="1">OFFSET(Database!$F80,0,COLUMN(Database!R80)*2-12)</f>
        <v>n.r.</v>
      </c>
      <c r="V80" s="8" t="str">
        <f ca="1">OFFSET(Database!$F80,0,COLUMN(Database!S80)*2-12)</f>
        <v>n.r.</v>
      </c>
      <c r="W80" s="8" t="str">
        <f ca="1">OFFSET(Database!$F80,0,COLUMN(Database!T80)*2-12)</f>
        <v>n.r.</v>
      </c>
      <c r="X80" s="8" t="str">
        <f ca="1">OFFSET(Database!$F80,0,COLUMN(Database!U80)*2-12)</f>
        <v>n.r.</v>
      </c>
      <c r="Y80" s="8" t="str">
        <f ca="1">OFFSET(Database!$F80,0,COLUMN(Database!V80)*2-12)</f>
        <v>n.r.</v>
      </c>
      <c r="Z80" s="8" t="str">
        <f ca="1">OFFSET(Database!$F80,0,COLUMN(Database!W80)*2-12)</f>
        <v>n.r.</v>
      </c>
      <c r="AA80" s="8" t="str">
        <f ca="1">OFFSET(Database!$F80,0,COLUMN(Database!X80)*2-12)</f>
        <v>n.r.</v>
      </c>
      <c r="AB80" s="8" t="str">
        <f ca="1">OFFSET(Database!$F80,0,COLUMN(Database!Y80)*2-12)</f>
        <v>n.r.</v>
      </c>
      <c r="AC80" s="8" t="str">
        <f ca="1">OFFSET(Database!$F80,0,COLUMN(Database!Z80)*2-12)</f>
        <v>n.r.</v>
      </c>
      <c r="AD80" s="8" t="str">
        <f ca="1">OFFSET(Database!$F80,0,COLUMN(Database!AA80)*2-12)</f>
        <v>n.r.</v>
      </c>
      <c r="AE80" s="8" t="str">
        <f ca="1">OFFSET(Database!$F80,0,COLUMN(Database!AB80)*2-12)</f>
        <v>n.r.</v>
      </c>
      <c r="AF80" s="8" t="str">
        <f ca="1">OFFSET(Database!$F80,0,COLUMN(Database!AC80)*2-12)</f>
        <v>n.r.</v>
      </c>
      <c r="AG80" s="8" t="str">
        <f ca="1">OFFSET(Database!$F80,0,COLUMN(Database!AD80)*2-12)</f>
        <v>n.r.</v>
      </c>
      <c r="AH80" s="8" t="str">
        <f ca="1">OFFSET(Database!$F80,0,COLUMN(Database!AE80)*2-12)</f>
        <v>n.r.</v>
      </c>
      <c r="AI80" s="8" t="str">
        <f ca="1">OFFSET(Database!$F80,0,COLUMN(Database!AF80)*2-12)</f>
        <v>n.r.</v>
      </c>
      <c r="AJ80" s="8" t="str">
        <f ca="1">OFFSET(Database!$F80,0,COLUMN(Database!AG80)*2-12)</f>
        <v>n.r.</v>
      </c>
      <c r="AK80" s="8" t="str">
        <f ca="1">OFFSET(Database!$F80,0,COLUMN(Database!AH80)*2-12)</f>
        <v>n.r.</v>
      </c>
      <c r="AL80" s="8" t="str">
        <f ca="1">OFFSET(Database!$F80,0,COLUMN(Database!AI80)*2-12)</f>
        <v>n.r.</v>
      </c>
      <c r="AM80" s="8" t="str">
        <f ca="1">OFFSET(Database!$F80,0,COLUMN(Database!AJ80)*2-12)</f>
        <v>n.r.</v>
      </c>
      <c r="AN80" s="8" t="str">
        <f ca="1">OFFSET(Database!$F80,0,COLUMN(Database!AK80)*2-12)</f>
        <v>n.r.</v>
      </c>
      <c r="AO80" s="8" t="str">
        <f ca="1">OFFSET(Database!$F80,0,COLUMN(Database!AL80)*2-12)</f>
        <v>n.r.</v>
      </c>
      <c r="AP80" s="8" t="str">
        <f ca="1">OFFSET(Database!$F80,0,COLUMN(Database!AM80)*2-12)</f>
        <v>n.r.</v>
      </c>
      <c r="AQ80" s="8" t="str">
        <f ca="1">OFFSET(Database!$F80,0,COLUMN(Database!AN80)*2-12)</f>
        <v>n.r.</v>
      </c>
      <c r="AR80" s="8" t="str">
        <f ca="1">OFFSET(Database!$F80,0,COLUMN(Database!AO80)*2-12)</f>
        <v>n.r.</v>
      </c>
      <c r="AS80" s="8" t="str">
        <f ca="1">OFFSET(Database!$F80,0,COLUMN(Database!AP80)*2-12)</f>
        <v>n.r.</v>
      </c>
      <c r="AT80" s="8" t="str">
        <f ca="1">OFFSET(Database!$F80,0,COLUMN(Database!AQ80)*2-12)</f>
        <v>n.r.</v>
      </c>
      <c r="AU80" s="8" t="str">
        <f ca="1">OFFSET(Database!$F80,0,COLUMN(Database!AR80)*2-12)</f>
        <v>n.r.</v>
      </c>
      <c r="AV80" s="8" t="str">
        <f ca="1">OFFSET(Database!$F80,0,COLUMN(Database!AS80)*2-12)</f>
        <v>n.r.</v>
      </c>
      <c r="AW80" s="8" t="str">
        <f ca="1">OFFSET(Database!$F80,0,COLUMN(Database!AT80)*2-12)</f>
        <v>n.r.</v>
      </c>
      <c r="AX80" s="8" t="str">
        <f ca="1">OFFSET(Database!$F80,0,COLUMN(Database!AU80)*2-12)</f>
        <v>n.r.</v>
      </c>
      <c r="AY80" s="8" t="str">
        <f ca="1">OFFSET(Database!$F80,0,COLUMN(Database!AV80)*2-12)</f>
        <v>n.r.</v>
      </c>
      <c r="AZ80" s="8" t="str">
        <f ca="1">OFFSET(Database!$F80,0,COLUMN(Database!AW80)*2-12)</f>
        <v>n.r.</v>
      </c>
      <c r="BA80" s="8" t="str">
        <f ca="1">OFFSET(Database!$F80,0,COLUMN(Database!AX80)*2-12)</f>
        <v>n.r.</v>
      </c>
      <c r="BB80" s="8" t="str">
        <f ca="1">OFFSET(Database!$F80,0,COLUMN(Database!AY80)*2-12)</f>
        <v>n.r.</v>
      </c>
      <c r="BC80" s="8" t="str">
        <f ca="1">OFFSET(Database!$F80,0,COLUMN(Database!AZ80)*2-12)</f>
        <v>n.r.</v>
      </c>
      <c r="BD80" s="8" t="str">
        <f ca="1">OFFSET(Database!$F80,0,COLUMN(Database!BA80)*2-12)</f>
        <v>n.r.</v>
      </c>
      <c r="BE80" s="8" t="str">
        <f ca="1">OFFSET(Database!$F80,0,COLUMN(Database!BB80)*2-12)</f>
        <v>n.r.</v>
      </c>
      <c r="BF80" s="8" t="str">
        <f ca="1">OFFSET(Database!$F80,0,COLUMN(Database!BC80)*2-12)</f>
        <v>n.r.</v>
      </c>
      <c r="BG80" s="8" t="str">
        <f ca="1">OFFSET(Database!$F80,0,COLUMN(Database!BD80)*2-12)</f>
        <v>n.r.</v>
      </c>
      <c r="BH80" s="8" t="str">
        <f ca="1">OFFSET(Database!$F80,0,COLUMN(Database!BE80)*2-12)</f>
        <v>n.r.</v>
      </c>
      <c r="BI80" s="8" t="str">
        <f ca="1">OFFSET(Database!$F80,0,COLUMN(Database!BF80)*2-12)</f>
        <v>n.r.</v>
      </c>
      <c r="BJ80" s="8" t="str">
        <f ca="1">OFFSET(Database!$F80,0,COLUMN(Database!BG80)*2-12)</f>
        <v>n.r.</v>
      </c>
      <c r="BK80" s="8" t="str">
        <f ca="1">OFFSET(Database!$F80,0,COLUMN(Database!BH80)*2-12)</f>
        <v>n.r.</v>
      </c>
      <c r="BL80" s="8" t="str">
        <f ca="1">OFFSET(Database!$F80,0,COLUMN(Database!BI80)*2-12)</f>
        <v>n.r.</v>
      </c>
      <c r="BM80" s="8" t="str">
        <f ca="1">OFFSET(Database!$F80,0,COLUMN(Database!BJ80)*2-12)</f>
        <v>n.r.</v>
      </c>
      <c r="BN80" s="8" t="str">
        <f ca="1">OFFSET(Database!$F80,0,COLUMN(Database!BK80)*2-12)</f>
        <v>n.r.</v>
      </c>
      <c r="BO80" s="8" t="str">
        <f ca="1">OFFSET(Database!$F80,0,COLUMN(Database!BL80)*2-12)</f>
        <v>n.r.</v>
      </c>
      <c r="BP80" s="8" t="str">
        <f ca="1">OFFSET(Database!$F80,0,COLUMN(Database!BM80)*2-12)</f>
        <v>n.r.</v>
      </c>
      <c r="BQ80" s="8" t="str">
        <f ca="1">OFFSET(Database!$F80,0,COLUMN(Database!BN80)*2-12)</f>
        <v>n.r.</v>
      </c>
      <c r="BR80" s="8" t="str">
        <f ca="1">OFFSET(Database!$F80,0,COLUMN(Database!BO80)*2-12)</f>
        <v>n.r.</v>
      </c>
      <c r="BS80" s="8" t="str">
        <f ca="1">OFFSET(Database!$F80,0,COLUMN(Database!BP80)*2-12)</f>
        <v>n.r.</v>
      </c>
      <c r="BT80" s="8" t="str">
        <f ca="1">OFFSET(Database!$F80,0,COLUMN(Database!BQ80)*2-12)</f>
        <v>n.r.</v>
      </c>
      <c r="BU80" s="8" t="str">
        <f ca="1">OFFSET(Database!$F80,0,COLUMN(Database!BR80)*2-12)</f>
        <v>n.r.</v>
      </c>
      <c r="BV80" s="8" t="str">
        <f ca="1">OFFSET(Database!$F80,0,COLUMN(Database!BS80)*2-12)</f>
        <v>n.r.</v>
      </c>
      <c r="BW80" s="8" t="str">
        <f ca="1">OFFSET(Database!$F80,0,COLUMN(Database!BT80)*2-12)</f>
        <v>n.r.</v>
      </c>
      <c r="BX80" s="8" t="str">
        <f ca="1">OFFSET(Database!$F80,0,COLUMN(Database!BU80)*2-12)</f>
        <v>n.r.</v>
      </c>
      <c r="BY80" s="8" t="str">
        <f ca="1">OFFSET(Database!$F80,0,COLUMN(Database!BV80)*2-12)</f>
        <v>n.r.</v>
      </c>
      <c r="BZ80" s="8" t="str">
        <f ca="1">OFFSET(Database!$F80,0,COLUMN(Database!BW80)*2-12)</f>
        <v>n.r.</v>
      </c>
      <c r="CA80" s="8" t="str">
        <f ca="1">OFFSET(Database!$F80,0,COLUMN(Database!BX80)*2-12)</f>
        <v>n.r.</v>
      </c>
      <c r="CB80" s="8" t="str">
        <f ca="1">OFFSET(Database!$F80,0,COLUMN(Database!BY80)*2-12)</f>
        <v>n.r.</v>
      </c>
      <c r="CC80" s="8" t="str">
        <f ca="1">OFFSET(Database!$F80,0,COLUMN(Database!BZ80)*2-12)</f>
        <v>n.r.</v>
      </c>
      <c r="CD80" s="8" t="str">
        <f ca="1">OFFSET(Database!$F80,0,COLUMN(Database!CA80)*2-12)</f>
        <v>n.r.</v>
      </c>
      <c r="CE80" s="8" t="str">
        <f ca="1">OFFSET(Database!$F80,0,COLUMN(Database!CB80)*2-12)</f>
        <v>n.r.</v>
      </c>
      <c r="CF80" s="8" t="str">
        <f ca="1">OFFSET(Database!$F80,0,COLUMN(Database!CC80)*2-12)</f>
        <v>n.r.</v>
      </c>
      <c r="CG80" s="8" t="str">
        <f ca="1">OFFSET(Database!$F80,0,COLUMN(Database!CD80)*2-12)</f>
        <v>n.r.</v>
      </c>
      <c r="CH80" s="8" t="str">
        <f ca="1">OFFSET(Database!$F80,0,COLUMN(Database!CE80)*2-12)</f>
        <v>n.r.</v>
      </c>
      <c r="CI80" s="8" t="str">
        <f ca="1">OFFSET(Database!$F80,0,COLUMN(Database!CF80)*2-12)</f>
        <v>n.r.</v>
      </c>
      <c r="CJ80" s="8" t="str">
        <f ca="1">OFFSET(Database!$F80,0,COLUMN(Database!CG80)*2-12)</f>
        <v>n.r.</v>
      </c>
      <c r="CK80" s="8" t="str">
        <f ca="1">OFFSET(Database!$F80,0,COLUMN(Database!CH80)*2-12)</f>
        <v>n.r.</v>
      </c>
      <c r="CL80" s="8" t="str">
        <f ca="1">OFFSET(Database!$F80,0,COLUMN(Database!CI80)*2-12)</f>
        <v>n.r.</v>
      </c>
      <c r="CM80" s="8" t="str">
        <f ca="1">OFFSET(Database!$F80,0,COLUMN(Database!CJ80)*2-12)</f>
        <v>n.r.</v>
      </c>
      <c r="CN80" s="8" t="str">
        <f ca="1">OFFSET(Database!$F80,0,COLUMN(Database!CK80)*2-12)</f>
        <v>n.r.</v>
      </c>
      <c r="CO80" s="8" t="str">
        <f ca="1">OFFSET(Database!$F80,0,COLUMN(Database!CL80)*2-12)</f>
        <v>n.r.</v>
      </c>
      <c r="CP80" s="8" t="str">
        <f ca="1">OFFSET(Database!$F80,0,COLUMN(Database!CM80)*2-12)</f>
        <v>n.r.</v>
      </c>
      <c r="CQ80" s="8" t="str">
        <f ca="1">OFFSET(Database!$F80,0,COLUMN(Database!CN80)*2-12)</f>
        <v>n.r.</v>
      </c>
      <c r="CR80" s="8" t="str">
        <f ca="1">OFFSET(Database!$F80,0,COLUMN(Database!CO80)*2-12)</f>
        <v>n.r.</v>
      </c>
      <c r="CS80" s="8" t="str">
        <f ca="1">OFFSET(Database!$F80,0,COLUMN(Database!CP80)*2-12)</f>
        <v>n.r.</v>
      </c>
      <c r="CT80" s="8" t="str">
        <f ca="1">OFFSET(Database!$F80,0,COLUMN(Database!CQ80)*2-12)</f>
        <v>n.r.</v>
      </c>
      <c r="CU80" s="8" t="str">
        <f ca="1">OFFSET(Database!$F80,0,COLUMN(Database!CR80)*2-12)</f>
        <v>n.r.</v>
      </c>
      <c r="CV80" s="8" t="str">
        <f ca="1">OFFSET(Database!$F80,0,COLUMN(Database!CS80)*2-12)</f>
        <v>n.r.</v>
      </c>
      <c r="CW80" s="8" t="str">
        <f ca="1">OFFSET(Database!$F80,0,COLUMN(Database!CT80)*2-12)</f>
        <v>n.r.</v>
      </c>
      <c r="CX80" s="8" t="str">
        <f ca="1">OFFSET(Database!$F80,0,COLUMN(Database!CU80)*2-12)</f>
        <v>n.r.</v>
      </c>
      <c r="CY80" s="8" t="str">
        <f ca="1">OFFSET(Database!$F80,0,COLUMN(Database!CV80)*2-12)</f>
        <v>n.r.</v>
      </c>
      <c r="CZ80" s="8" t="str">
        <f ca="1">OFFSET(Database!$F80,0,COLUMN(Database!CW80)*2-12)</f>
        <v>n.r.</v>
      </c>
      <c r="DA80" s="8" t="str">
        <f ca="1">OFFSET(Database!$F80,0,COLUMN(Database!CX80)*2-12)</f>
        <v>n.r.</v>
      </c>
      <c r="DB80" s="8" t="str">
        <f ca="1">OFFSET(Database!$F80,0,COLUMN(Database!CY80)*2-12)</f>
        <v>n.r.</v>
      </c>
      <c r="DC80" s="8" t="str">
        <f ca="1">OFFSET(Database!$F80,0,COLUMN(Database!CZ80)*2-12)</f>
        <v>n.r.</v>
      </c>
      <c r="DD80" s="8" t="str">
        <f ca="1">OFFSET(Database!$F80,0,COLUMN(Database!DA80)*2-12)</f>
        <v>n.r.</v>
      </c>
      <c r="DE80" s="8" t="str">
        <f ca="1">OFFSET(Database!$F80,0,COLUMN(Database!DB80)*2-12)</f>
        <v>n.r.</v>
      </c>
      <c r="DF80" s="8" t="str">
        <f ca="1">OFFSET(Database!$F80,0,COLUMN(Database!DC80)*2-12)</f>
        <v>n.r.</v>
      </c>
      <c r="DG80" s="8" t="str">
        <f ca="1">OFFSET(Database!$F80,0,COLUMN(Database!DD80)*2-12)</f>
        <v>n.r.</v>
      </c>
      <c r="DH80" s="8" t="str">
        <f ca="1">OFFSET(Database!$F80,0,COLUMN(Database!DE80)*2-12)</f>
        <v>n.r.</v>
      </c>
      <c r="DI80" s="8" t="str">
        <f ca="1">OFFSET(Database!$F80,0,COLUMN(Database!DF80)*2-12)</f>
        <v>n.r.</v>
      </c>
      <c r="DJ80" s="8" t="str">
        <f ca="1">OFFSET(Database!$F80,0,COLUMN(Database!DG80)*2-12)</f>
        <v>n.r.</v>
      </c>
      <c r="DK80" s="8" t="str">
        <f ca="1">OFFSET(Database!$F80,0,COLUMN(Database!DH80)*2-12)</f>
        <v>n.r.</v>
      </c>
      <c r="DL80" s="8" t="str">
        <f ca="1">OFFSET(Database!$F80,0,COLUMN(Database!DI80)*2-12)</f>
        <v>n.r.</v>
      </c>
      <c r="DM80" s="8" t="str">
        <f ca="1">OFFSET(Database!$F80,0,COLUMN(Database!DJ80)*2-12)</f>
        <v>n.r.</v>
      </c>
      <c r="DN80" s="8" t="str">
        <f ca="1">OFFSET(Database!$F80,0,COLUMN(Database!DK80)*2-12)</f>
        <v>n.r.</v>
      </c>
      <c r="DO80" s="8" t="str">
        <f ca="1">OFFSET(Database!$F80,0,COLUMN(Database!DL80)*2-12)</f>
        <v>n.r.</v>
      </c>
      <c r="DP80" s="8" t="str">
        <f ca="1">OFFSET(Database!$F80,0,COLUMN(Database!DM80)*2-12)</f>
        <v>n.r.</v>
      </c>
      <c r="DQ80" s="8" t="str">
        <f ca="1">OFFSET(Database!$F80,0,COLUMN(Database!DN80)*2-12)</f>
        <v>n.r.</v>
      </c>
      <c r="DR80" s="8" t="str">
        <f ca="1">OFFSET(Database!$F80,0,COLUMN(Database!DO80)*2-12)</f>
        <v>n.r.</v>
      </c>
      <c r="DS80" s="8" t="str">
        <f ca="1">OFFSET(Database!$F80,0,COLUMN(Database!DP80)*2-12)</f>
        <v>n.r.</v>
      </c>
      <c r="DT80" s="8" t="str">
        <f ca="1">OFFSET(Database!$F80,0,COLUMN(Database!DQ80)*2-12)</f>
        <v>n.r.</v>
      </c>
      <c r="DU80" s="8" t="str">
        <f ca="1">OFFSET(Database!$F80,0,COLUMN(Database!DR80)*2-12)</f>
        <v>n.r.</v>
      </c>
      <c r="DV80" s="8" t="str">
        <f ca="1">OFFSET(Database!$F80,0,COLUMN(Database!DS80)*2-12)</f>
        <v>n.r.</v>
      </c>
      <c r="DW80" s="8" t="str">
        <f ca="1">OFFSET(Database!$F80,0,COLUMN(Database!DT80)*2-12)</f>
        <v>n.r.</v>
      </c>
      <c r="DX80" s="8" t="str">
        <f ca="1">OFFSET(Database!$F80,0,COLUMN(Database!DU80)*2-12)</f>
        <v>n.r.</v>
      </c>
      <c r="DY80" s="8" t="str">
        <f ca="1">OFFSET(Database!$F80,0,COLUMN(Database!DV80)*2-12)</f>
        <v>n.r.</v>
      </c>
      <c r="DZ80" s="8" t="str">
        <f ca="1">OFFSET(Database!$F80,0,COLUMN(Database!DW80)*2-12)</f>
        <v>n.r.</v>
      </c>
      <c r="EA80" s="8" t="str">
        <f ca="1">OFFSET(Database!$F80,0,COLUMN(Database!DX80)*2-12)</f>
        <v>n.r.</v>
      </c>
      <c r="EB80" s="8" t="str">
        <f ca="1">OFFSET(Database!$F80,0,COLUMN(Database!DY80)*2-12)</f>
        <v>n.r.</v>
      </c>
      <c r="EC80" s="8" t="str">
        <f ca="1">OFFSET(Database!$F80,0,COLUMN(Database!DZ80)*2-12)</f>
        <v>n.r.</v>
      </c>
      <c r="ED80" s="8" t="str">
        <f ca="1">OFFSET(Database!$F80,0,COLUMN(Database!EA80)*2-12)</f>
        <v>n.r.</v>
      </c>
      <c r="EE80" s="8" t="str">
        <f ca="1">OFFSET(Database!$F80,0,COLUMN(Database!EB80)*2-12)</f>
        <v>n.r.</v>
      </c>
      <c r="EF80" s="8" t="str">
        <f ca="1">OFFSET(Database!$F80,0,COLUMN(Database!EC80)*2-12)</f>
        <v>n.r.</v>
      </c>
      <c r="EG80" s="8" t="str">
        <f ca="1">OFFSET(Database!$F80,0,COLUMN(Database!ED80)*2-12)</f>
        <v>n.r.</v>
      </c>
      <c r="EH80" s="8" t="str">
        <f ca="1">OFFSET(Database!$F80,0,COLUMN(Database!EE80)*2-12)</f>
        <v>n.r.</v>
      </c>
      <c r="EI80" s="8" t="str">
        <f ca="1">OFFSET(Database!$F80,0,COLUMN(Database!EF80)*2-12)</f>
        <v>n.r.</v>
      </c>
      <c r="EJ80" s="8" t="str">
        <f ca="1">OFFSET(Database!$F80,0,COLUMN(Database!EG80)*2-12)</f>
        <v>n.r.</v>
      </c>
      <c r="EK80" s="8" t="str">
        <f ca="1">OFFSET(Database!$F80,0,COLUMN(Database!EH80)*2-12)</f>
        <v>n.r.</v>
      </c>
      <c r="EL80" s="8" t="str">
        <f ca="1">OFFSET(Database!$F80,0,COLUMN(Database!EI80)*2-12)</f>
        <v>n.r.</v>
      </c>
      <c r="EM80" s="8" t="str">
        <f ca="1">OFFSET(Database!$F80,0,COLUMN(Database!EJ80)*2-12)</f>
        <v>n.r.</v>
      </c>
      <c r="EN80" s="8" t="str">
        <f ca="1">OFFSET(Database!$F80,0,COLUMN(Database!EK80)*2-12)</f>
        <v>n.r.</v>
      </c>
      <c r="EO80" s="8" t="str">
        <f ca="1">OFFSET(Database!$F80,0,COLUMN(Database!EL80)*2-12)</f>
        <v>n.r.</v>
      </c>
      <c r="EP80" s="8" t="str">
        <f ca="1">OFFSET(Database!$F80,0,COLUMN(Database!EM80)*2-12)</f>
        <v>n.r.</v>
      </c>
      <c r="EQ80" s="8" t="str">
        <f ca="1">OFFSET(Database!$F80,0,COLUMN(Database!EN80)*2-12)</f>
        <v>n.r.</v>
      </c>
      <c r="ER80" s="8" t="str">
        <f ca="1">OFFSET(Database!$F80,0,COLUMN(Database!EO80)*2-12)</f>
        <v>n.r.</v>
      </c>
      <c r="ES80" s="8" t="str">
        <f ca="1">OFFSET(Database!$F80,0,COLUMN(Database!EP80)*2-12)</f>
        <v>n.r.</v>
      </c>
      <c r="ET80" s="8" t="str">
        <f ca="1">OFFSET(Database!$F80,0,COLUMN(Database!EQ80)*2-12)</f>
        <v>n.r.</v>
      </c>
      <c r="EU80" s="8" t="str">
        <f ca="1">OFFSET(Database!$F80,0,COLUMN(Database!ER80)*2-12)</f>
        <v>n.r.</v>
      </c>
      <c r="EV80" s="8" t="str">
        <f ca="1">OFFSET(Database!$F80,0,COLUMN(Database!ES80)*2-12)</f>
        <v>n.r.</v>
      </c>
      <c r="EW80" s="8" t="str">
        <f ca="1">OFFSET(Database!$F80,0,COLUMN(Database!ET80)*2-12)</f>
        <v>n.r.</v>
      </c>
      <c r="EX80" s="8" t="str">
        <f ca="1">OFFSET(Database!$F80,0,COLUMN(Database!EU80)*2-12)</f>
        <v>n.r.</v>
      </c>
      <c r="EY80" s="8" t="str">
        <f ca="1">OFFSET(Database!$F80,0,COLUMN(Database!EV80)*2-12)</f>
        <v>n.r.</v>
      </c>
      <c r="EZ80" s="8" t="str">
        <f ca="1">OFFSET(Database!$F80,0,COLUMN(Database!EW80)*2-12)</f>
        <v>n.r.</v>
      </c>
      <c r="FA80" s="8" t="str">
        <f ca="1">OFFSET(Database!$F80,0,COLUMN(Database!EX80)*2-12)</f>
        <v>n.r.</v>
      </c>
      <c r="FB80" s="8" t="str">
        <f ca="1">OFFSET(Database!$F80,0,COLUMN(Database!EY80)*2-12)</f>
        <v>n.r.</v>
      </c>
      <c r="FC80" s="8" t="str">
        <f ca="1">OFFSET(Database!$F80,0,COLUMN(Database!EZ80)*2-12)</f>
        <v>n.r.</v>
      </c>
      <c r="FD80" s="8" t="str">
        <f ca="1">OFFSET(Database!$F80,0,COLUMN(Database!FA80)*2-12)</f>
        <v>n.r.</v>
      </c>
      <c r="FE80" s="8" t="str">
        <f ca="1">OFFSET(Database!$F80,0,COLUMN(Database!FB80)*2-12)</f>
        <v>n.r.</v>
      </c>
      <c r="FF80" s="8" t="str">
        <f ca="1">OFFSET(Database!$F80,0,COLUMN(Database!FC80)*2-12)</f>
        <v>n.r.</v>
      </c>
      <c r="FG80" s="8" t="str">
        <f ca="1">OFFSET(Database!$F80,0,COLUMN(Database!FD80)*2-12)</f>
        <v>n.s.</v>
      </c>
      <c r="FH80" s="8" t="str">
        <f ca="1">OFFSET(Database!$F80,0,COLUMN(Database!FE80)*2-12)</f>
        <v>n.r.</v>
      </c>
      <c r="FI80" s="8" t="str">
        <f ca="1">OFFSET(Database!$F80,0,COLUMN(Database!FF80)*2-12)</f>
        <v>n.r.</v>
      </c>
      <c r="FJ80" s="8" t="str">
        <f ca="1">OFFSET(Database!$F80,0,COLUMN(Database!FG80)*2-12)</f>
        <v>n.r.</v>
      </c>
      <c r="FK80" s="8" t="str">
        <f ca="1">OFFSET(Database!$F80,0,COLUMN(Database!FH80)*2-12)</f>
        <v>n.s.</v>
      </c>
      <c r="FL80" s="8" t="str">
        <f ca="1">OFFSET(Database!$F80,0,COLUMN(Database!FI80)*2-12)</f>
        <v>n.s.</v>
      </c>
      <c r="FM80" s="8" t="str">
        <f ca="1">OFFSET(Database!$F80,0,COLUMN(Database!FJ80)*2-12)</f>
        <v>n.s.</v>
      </c>
      <c r="FN80" s="8" t="str">
        <f ca="1">OFFSET(Database!$F80,0,COLUMN(Database!FK80)*2-12)</f>
        <v>n.s.</v>
      </c>
      <c r="FO80" s="8" t="str">
        <f ca="1">OFFSET(Database!$F80,0,COLUMN(Database!FL80)*2-12)</f>
        <v>n.s.</v>
      </c>
      <c r="FP80" s="8" t="str">
        <f ca="1">OFFSET(Database!$F80,0,COLUMN(Database!FM80)*2-12)</f>
        <v>n.s.</v>
      </c>
      <c r="FQ80" s="8" t="str">
        <f ca="1">OFFSET(Database!$F80,0,COLUMN(Database!FN80)*2-12)</f>
        <v>n.r.</v>
      </c>
      <c r="FR80" s="8" t="str">
        <f ca="1">OFFSET(Database!$F80,0,COLUMN(Database!FO80)*2-12)</f>
        <v>n.r.</v>
      </c>
      <c r="FS80" s="8" t="str">
        <f ca="1">OFFSET(Database!$F80,0,COLUMN(Database!FP80)*2-12)</f>
        <v>n.r.</v>
      </c>
      <c r="FT80" s="8" t="str">
        <f ca="1">OFFSET(Database!$F80,0,COLUMN(Database!FQ80)*2-12)</f>
        <v>n.r.</v>
      </c>
      <c r="FU80" s="8" t="str">
        <f ca="1">OFFSET(Database!$F80,0,COLUMN(Database!FR80)*2-12)</f>
        <v>n.r.</v>
      </c>
      <c r="FV80" s="8" t="str">
        <f ca="1">OFFSET(Database!$F80,0,COLUMN(Database!FS80)*2-12)</f>
        <v>n.r.</v>
      </c>
      <c r="FW80" s="8" t="str">
        <f ca="1">OFFSET(Database!$F80,0,COLUMN(Database!FT80)*2-12)</f>
        <v>n.r.</v>
      </c>
      <c r="FX80" s="8" t="str">
        <f ca="1">OFFSET(Database!$F80,0,COLUMN(Database!FU80)*2-12)</f>
        <v>n.r.</v>
      </c>
      <c r="FY80" s="8" t="str">
        <f ca="1">OFFSET(Database!$F80,0,COLUMN(Database!FV80)*2-12)</f>
        <v>n.r.</v>
      </c>
      <c r="FZ80" s="8" t="str">
        <f ca="1">OFFSET(Database!$F80,0,COLUMN(Database!FW80)*2-12)</f>
        <v>n.r.</v>
      </c>
      <c r="GA80" s="8" t="str">
        <f ca="1">OFFSET(Database!$F80,0,COLUMN(Database!FX80)*2-12)</f>
        <v>n.r.</v>
      </c>
      <c r="GB80" s="8" t="str">
        <f ca="1">OFFSET(Database!$F80,0,COLUMN(Database!FY80)*2-12)</f>
        <v>n.r.</v>
      </c>
      <c r="GC80" s="8" t="str">
        <f ca="1">OFFSET(Database!$F80,0,COLUMN(Database!FZ80)*2-12)</f>
        <v>n.r.</v>
      </c>
      <c r="GD80" s="8" t="str">
        <f ca="1">OFFSET(Database!$F80,0,COLUMN(Database!GA80)*2-12)</f>
        <v>n.r.</v>
      </c>
      <c r="GE80" s="8" t="str">
        <f ca="1">OFFSET(Database!$F80,0,COLUMN(Database!GB80)*2-12)</f>
        <v>n.r.</v>
      </c>
      <c r="GF80" s="8" t="str">
        <f ca="1">OFFSET(Database!$F80,0,COLUMN(Database!GC80)*2-12)</f>
        <v>n.r.</v>
      </c>
      <c r="GG80" s="8">
        <f ca="1">OFFSET(Database!$F80,0,COLUMN(Database!GD80)*2-12)</f>
        <v>3557.9883681149504</v>
      </c>
      <c r="GH80" s="8">
        <f ca="1">OFFSET(Database!$F80,0,COLUMN(Database!GE80)*2-12)</f>
        <v>759.49367088607596</v>
      </c>
      <c r="GI80" s="8">
        <f ca="1">OFFSET(Database!$F80,0,COLUMN(Database!GF80)*2-12)</f>
        <v>3407.4580910023947</v>
      </c>
      <c r="GJ80" s="8" t="str">
        <f ca="1">OFFSET(Database!$F80,0,COLUMN(Database!GG80)*2-12)</f>
        <v>l.o.q</v>
      </c>
      <c r="GK80" s="8" t="str">
        <f ca="1">OFFSET(Database!$F80,0,COLUMN(Database!GH80)*2-12)</f>
        <v>l.o.q.</v>
      </c>
      <c r="GL80" s="8">
        <f ca="1">OFFSET(Database!$F80,0,COLUMN(Database!GI80)*2-12)</f>
        <v>56312.008210742388</v>
      </c>
      <c r="GM80" s="8" t="str">
        <f ca="1">OFFSET(Database!$F80,0,COLUMN(Database!GJ80)*2-12)</f>
        <v>n.r.</v>
      </c>
      <c r="GN80" s="8">
        <f ca="1">OFFSET(Database!$F80,0,COLUMN(Database!GK80)*2-12)</f>
        <v>26000.684228532329</v>
      </c>
      <c r="GO80" s="8" t="str">
        <f ca="1">OFFSET(Database!$F80,0,COLUMN(Database!GL80)*2-12)</f>
        <v>n.r.</v>
      </c>
      <c r="GP80" s="8" t="str">
        <f ca="1">OFFSET(Database!$F80,0,COLUMN(Database!GM80)*2-12)</f>
        <v>n.r.</v>
      </c>
    </row>
    <row r="81" spans="1:198" x14ac:dyDescent="0.2">
      <c r="A81" s="50" t="str">
        <f>Database!A81</f>
        <v>ornithine</v>
      </c>
      <c r="B81" s="1" t="s">
        <v>876</v>
      </c>
      <c r="C81" s="4" t="str">
        <f>Database!B81</f>
        <v>ɑ</v>
      </c>
      <c r="D81" s="4" t="str">
        <f>Database!C81</f>
        <v>Both</v>
      </c>
      <c r="E81" s="74">
        <f>Database!D81</f>
        <v>12</v>
      </c>
      <c r="F81" s="32" t="s">
        <v>1065</v>
      </c>
      <c r="G81" s="1" t="s">
        <v>1121</v>
      </c>
      <c r="H81" s="1">
        <f>Database!E81</f>
        <v>132.16</v>
      </c>
      <c r="I81" s="8" t="str">
        <f ca="1">OFFSET(Database!$F81,0,COLUMN(Database!F81)*2-12)</f>
        <v>n.r.</v>
      </c>
      <c r="J81" s="8" t="str">
        <f ca="1">OFFSET(Database!$F81,0,COLUMN(Database!G81)*2-12)</f>
        <v>n.r.</v>
      </c>
      <c r="K81" s="8" t="str">
        <f ca="1">OFFSET(Database!$F81,0,COLUMN(Database!H81)*2-12)</f>
        <v>n.r.</v>
      </c>
      <c r="L81" s="8" t="str">
        <f ca="1">OFFSET(Database!$F81,0,COLUMN(Database!I81)*2-12)</f>
        <v>n.r.</v>
      </c>
      <c r="M81" s="8" t="str">
        <f ca="1">OFFSET(Database!$F81,0,COLUMN(Database!J81)*2-12)</f>
        <v>n.r.</v>
      </c>
      <c r="N81" s="8" t="str">
        <f ca="1">OFFSET(Database!$F81,0,COLUMN(Database!K81)*2-12)</f>
        <v>n.r.</v>
      </c>
      <c r="O81" s="8" t="str">
        <f ca="1">OFFSET(Database!$F81,0,COLUMN(Database!L81)*2-12)</f>
        <v>n.r.</v>
      </c>
      <c r="P81" s="8" t="str">
        <f ca="1">OFFSET(Database!$F81,0,COLUMN(Database!M81)*2-12)</f>
        <v>n.r.</v>
      </c>
      <c r="Q81" s="8" t="str">
        <f ca="1">OFFSET(Database!$F81,0,COLUMN(Database!N81)*2-12)</f>
        <v>n.r.</v>
      </c>
      <c r="R81" s="8" t="str">
        <f ca="1">OFFSET(Database!$F81,0,COLUMN(Database!O81)*2-12)</f>
        <v>n.r.</v>
      </c>
      <c r="S81" s="8" t="str">
        <f ca="1">OFFSET(Database!$F81,0,COLUMN(Database!P81)*2-12)</f>
        <v>n.r.</v>
      </c>
      <c r="T81" s="8" t="str">
        <f ca="1">OFFSET(Database!$F81,0,COLUMN(Database!Q81)*2-12)</f>
        <v>n.r.</v>
      </c>
      <c r="U81" s="8" t="str">
        <f ca="1">OFFSET(Database!$F81,0,COLUMN(Database!R81)*2-12)</f>
        <v>n.r.</v>
      </c>
      <c r="V81" s="8" t="str">
        <f ca="1">OFFSET(Database!$F81,0,COLUMN(Database!S81)*2-12)</f>
        <v>n.r.</v>
      </c>
      <c r="W81" s="8" t="str">
        <f ca="1">OFFSET(Database!$F81,0,COLUMN(Database!T81)*2-12)</f>
        <v>n.r.</v>
      </c>
      <c r="X81" s="8" t="str">
        <f ca="1">OFFSET(Database!$F81,0,COLUMN(Database!U81)*2-12)</f>
        <v>n.r.</v>
      </c>
      <c r="Y81" s="8" t="str">
        <f ca="1">OFFSET(Database!$F81,0,COLUMN(Database!V81)*2-12)</f>
        <v>n.r.</v>
      </c>
      <c r="Z81" s="8" t="str">
        <f ca="1">OFFSET(Database!$F81,0,COLUMN(Database!W81)*2-12)</f>
        <v>n.r.</v>
      </c>
      <c r="AA81" s="8" t="str">
        <f ca="1">OFFSET(Database!$F81,0,COLUMN(Database!X81)*2-12)</f>
        <v>n.r.</v>
      </c>
      <c r="AB81" s="8" t="str">
        <f ca="1">OFFSET(Database!$F81,0,COLUMN(Database!Y81)*2-12)</f>
        <v>n.r.</v>
      </c>
      <c r="AC81" s="8" t="str">
        <f ca="1">OFFSET(Database!$F81,0,COLUMN(Database!Z81)*2-12)</f>
        <v>n.r.</v>
      </c>
      <c r="AD81" s="8" t="str">
        <f ca="1">OFFSET(Database!$F81,0,COLUMN(Database!AA81)*2-12)</f>
        <v>n.r.</v>
      </c>
      <c r="AE81" s="8" t="str">
        <f ca="1">OFFSET(Database!$F81,0,COLUMN(Database!AB81)*2-12)</f>
        <v>n.r.</v>
      </c>
      <c r="AF81" s="8" t="str">
        <f ca="1">OFFSET(Database!$F81,0,COLUMN(Database!AC81)*2-12)</f>
        <v>n.r.</v>
      </c>
      <c r="AG81" s="8" t="str">
        <f ca="1">OFFSET(Database!$F81,0,COLUMN(Database!AD81)*2-12)</f>
        <v>n.r.</v>
      </c>
      <c r="AH81" s="8" t="str">
        <f ca="1">OFFSET(Database!$F81,0,COLUMN(Database!AE81)*2-12)</f>
        <v>n.r.</v>
      </c>
      <c r="AI81" s="8" t="str">
        <f ca="1">OFFSET(Database!$F81,0,COLUMN(Database!AF81)*2-12)</f>
        <v>n.r.</v>
      </c>
      <c r="AJ81" s="8" t="str">
        <f ca="1">OFFSET(Database!$F81,0,COLUMN(Database!AG81)*2-12)</f>
        <v>n.r.</v>
      </c>
      <c r="AK81" s="8" t="str">
        <f ca="1">OFFSET(Database!$F81,0,COLUMN(Database!AH81)*2-12)</f>
        <v>n.r.</v>
      </c>
      <c r="AL81" s="8" t="str">
        <f ca="1">OFFSET(Database!$F81,0,COLUMN(Database!AI81)*2-12)</f>
        <v>n.r.</v>
      </c>
      <c r="AM81" s="8" t="str">
        <f ca="1">OFFSET(Database!$F81,0,COLUMN(Database!AJ81)*2-12)</f>
        <v>n.r.</v>
      </c>
      <c r="AN81" s="8" t="str">
        <f ca="1">OFFSET(Database!$F81,0,COLUMN(Database!AK81)*2-12)</f>
        <v>n.r.</v>
      </c>
      <c r="AO81" s="8" t="str">
        <f ca="1">OFFSET(Database!$F81,0,COLUMN(Database!AL81)*2-12)</f>
        <v>n.r.</v>
      </c>
      <c r="AP81" s="8" t="str">
        <f ca="1">OFFSET(Database!$F81,0,COLUMN(Database!AM81)*2-12)</f>
        <v>n.r.</v>
      </c>
      <c r="AQ81" s="8" t="str">
        <f ca="1">OFFSET(Database!$F81,0,COLUMN(Database!AN81)*2-12)</f>
        <v>n.r.</v>
      </c>
      <c r="AR81" s="8" t="str">
        <f ca="1">OFFSET(Database!$F81,0,COLUMN(Database!AO81)*2-12)</f>
        <v>n.r.</v>
      </c>
      <c r="AS81" s="8" t="str">
        <f ca="1">OFFSET(Database!$F81,0,COLUMN(Database!AP81)*2-12)</f>
        <v>n.r.</v>
      </c>
      <c r="AT81" s="8" t="str">
        <f ca="1">OFFSET(Database!$F81,0,COLUMN(Database!AQ81)*2-12)</f>
        <v>n.r.</v>
      </c>
      <c r="AU81" s="8" t="str">
        <f ca="1">OFFSET(Database!$F81,0,COLUMN(Database!AR81)*2-12)</f>
        <v>n.r.</v>
      </c>
      <c r="AV81" s="8" t="str">
        <f ca="1">OFFSET(Database!$F81,0,COLUMN(Database!AS81)*2-12)</f>
        <v>n.r.</v>
      </c>
      <c r="AW81" s="8" t="str">
        <f ca="1">OFFSET(Database!$F81,0,COLUMN(Database!AT81)*2-12)</f>
        <v>n.r.</v>
      </c>
      <c r="AX81" s="8" t="str">
        <f ca="1">OFFSET(Database!$F81,0,COLUMN(Database!AU81)*2-12)</f>
        <v>n.r.</v>
      </c>
      <c r="AY81" s="8" t="str">
        <f ca="1">OFFSET(Database!$F81,0,COLUMN(Database!AV81)*2-12)</f>
        <v>n.r.</v>
      </c>
      <c r="AZ81" s="8" t="str">
        <f ca="1">OFFSET(Database!$F81,0,COLUMN(Database!AW81)*2-12)</f>
        <v>n.r.</v>
      </c>
      <c r="BA81" s="8" t="str">
        <f ca="1">OFFSET(Database!$F81,0,COLUMN(Database!AX81)*2-12)</f>
        <v>n.r.</v>
      </c>
      <c r="BB81" s="8" t="str">
        <f ca="1">OFFSET(Database!$F81,0,COLUMN(Database!AY81)*2-12)</f>
        <v>n.r.</v>
      </c>
      <c r="BC81" s="8" t="str">
        <f ca="1">OFFSET(Database!$F81,0,COLUMN(Database!AZ81)*2-12)</f>
        <v>n.r.</v>
      </c>
      <c r="BD81" s="8" t="str">
        <f ca="1">OFFSET(Database!$F81,0,COLUMN(Database!BA81)*2-12)</f>
        <v>n.r.</v>
      </c>
      <c r="BE81" s="8" t="str">
        <f ca="1">OFFSET(Database!$F81,0,COLUMN(Database!BB81)*2-12)</f>
        <v>n.r.</v>
      </c>
      <c r="BF81" s="8" t="str">
        <f ca="1">OFFSET(Database!$F81,0,COLUMN(Database!BC81)*2-12)</f>
        <v>n.r.</v>
      </c>
      <c r="BG81" s="8" t="str">
        <f ca="1">OFFSET(Database!$F81,0,COLUMN(Database!BD81)*2-12)</f>
        <v>n.r.</v>
      </c>
      <c r="BH81" s="8" t="str">
        <f ca="1">OFFSET(Database!$F81,0,COLUMN(Database!BE81)*2-12)</f>
        <v>n.r.</v>
      </c>
      <c r="BI81" s="8" t="str">
        <f ca="1">OFFSET(Database!$F81,0,COLUMN(Database!BF81)*2-12)</f>
        <v>n.r.</v>
      </c>
      <c r="BJ81" s="8" t="str">
        <f ca="1">OFFSET(Database!$F81,0,COLUMN(Database!BG81)*2-12)</f>
        <v>n.r.</v>
      </c>
      <c r="BK81" s="8" t="str">
        <f ca="1">OFFSET(Database!$F81,0,COLUMN(Database!BH81)*2-12)</f>
        <v>n.r.</v>
      </c>
      <c r="BL81" s="8" t="str">
        <f ca="1">OFFSET(Database!$F81,0,COLUMN(Database!BI81)*2-12)</f>
        <v>n.r.</v>
      </c>
      <c r="BM81" s="8" t="str">
        <f ca="1">OFFSET(Database!$F81,0,COLUMN(Database!BJ81)*2-12)</f>
        <v>n.r.</v>
      </c>
      <c r="BN81" s="8" t="str">
        <f ca="1">OFFSET(Database!$F81,0,COLUMN(Database!BK81)*2-12)</f>
        <v>n.r.</v>
      </c>
      <c r="BO81" s="8" t="str">
        <f ca="1">OFFSET(Database!$F81,0,COLUMN(Database!BL81)*2-12)</f>
        <v>n.r.</v>
      </c>
      <c r="BP81" s="8" t="str">
        <f ca="1">OFFSET(Database!$F81,0,COLUMN(Database!BM81)*2-12)</f>
        <v>n.r.</v>
      </c>
      <c r="BQ81" s="8" t="str">
        <f ca="1">OFFSET(Database!$F81,0,COLUMN(Database!BN81)*2-12)</f>
        <v>n.r.</v>
      </c>
      <c r="BR81" s="8" t="str">
        <f ca="1">OFFSET(Database!$F81,0,COLUMN(Database!BO81)*2-12)</f>
        <v>n.r.</v>
      </c>
      <c r="BS81" s="8" t="str">
        <f ca="1">OFFSET(Database!$F81,0,COLUMN(Database!BP81)*2-12)</f>
        <v>n.r.</v>
      </c>
      <c r="BT81" s="8" t="str">
        <f ca="1">OFFSET(Database!$F81,0,COLUMN(Database!BQ81)*2-12)</f>
        <v>n.r.</v>
      </c>
      <c r="BU81" s="8" t="str">
        <f ca="1">OFFSET(Database!$F81,0,COLUMN(Database!BR81)*2-12)</f>
        <v>n.r.</v>
      </c>
      <c r="BV81" s="8" t="str">
        <f ca="1">OFFSET(Database!$F81,0,COLUMN(Database!BS81)*2-12)</f>
        <v>n.r.</v>
      </c>
      <c r="BW81" s="8" t="str">
        <f ca="1">OFFSET(Database!$F81,0,COLUMN(Database!BT81)*2-12)</f>
        <v>n.r.</v>
      </c>
      <c r="BX81" s="8" t="str">
        <f ca="1">OFFSET(Database!$F81,0,COLUMN(Database!BU81)*2-12)</f>
        <v>n.r.</v>
      </c>
      <c r="BY81" s="8" t="str">
        <f ca="1">OFFSET(Database!$F81,0,COLUMN(Database!BV81)*2-12)</f>
        <v>n.r.</v>
      </c>
      <c r="BZ81" s="8" t="str">
        <f ca="1">OFFSET(Database!$F81,0,COLUMN(Database!BW81)*2-12)</f>
        <v>n.r.</v>
      </c>
      <c r="CA81" s="8" t="str">
        <f ca="1">OFFSET(Database!$F81,0,COLUMN(Database!BX81)*2-12)</f>
        <v>n.r.</v>
      </c>
      <c r="CB81" s="8" t="str">
        <f ca="1">OFFSET(Database!$F81,0,COLUMN(Database!BY81)*2-12)</f>
        <v>n.r.</v>
      </c>
      <c r="CC81" s="8" t="str">
        <f ca="1">OFFSET(Database!$F81,0,COLUMN(Database!BZ81)*2-12)</f>
        <v>n.r.</v>
      </c>
      <c r="CD81" s="8" t="str">
        <f ca="1">OFFSET(Database!$F81,0,COLUMN(Database!CA81)*2-12)</f>
        <v>n.r.</v>
      </c>
      <c r="CE81" s="8" t="str">
        <f ca="1">OFFSET(Database!$F81,0,COLUMN(Database!CB81)*2-12)</f>
        <v>n.r.</v>
      </c>
      <c r="CF81" s="8" t="str">
        <f ca="1">OFFSET(Database!$F81,0,COLUMN(Database!CC81)*2-12)</f>
        <v>n.r.</v>
      </c>
      <c r="CG81" s="8" t="str">
        <f ca="1">OFFSET(Database!$F81,0,COLUMN(Database!CD81)*2-12)</f>
        <v>n.r.</v>
      </c>
      <c r="CH81" s="8" t="str">
        <f ca="1">OFFSET(Database!$F81,0,COLUMN(Database!CE81)*2-12)</f>
        <v>n.r.</v>
      </c>
      <c r="CI81" s="8" t="str">
        <f ca="1">OFFSET(Database!$F81,0,COLUMN(Database!CF81)*2-12)</f>
        <v>n.r.</v>
      </c>
      <c r="CJ81" s="8" t="str">
        <f ca="1">OFFSET(Database!$F81,0,COLUMN(Database!CG81)*2-12)</f>
        <v>n.r.</v>
      </c>
      <c r="CK81" s="8" t="str">
        <f ca="1">OFFSET(Database!$F81,0,COLUMN(Database!CH81)*2-12)</f>
        <v>n.r.</v>
      </c>
      <c r="CL81" s="8" t="str">
        <f ca="1">OFFSET(Database!$F81,0,COLUMN(Database!CI81)*2-12)</f>
        <v>n.r.</v>
      </c>
      <c r="CM81" s="8" t="str">
        <f ca="1">OFFSET(Database!$F81,0,COLUMN(Database!CJ81)*2-12)</f>
        <v>n.r.</v>
      </c>
      <c r="CN81" s="8" t="str">
        <f ca="1">OFFSET(Database!$F81,0,COLUMN(Database!CK81)*2-12)</f>
        <v>n.r.</v>
      </c>
      <c r="CO81" s="8" t="str">
        <f ca="1">OFFSET(Database!$F81,0,COLUMN(Database!CL81)*2-12)</f>
        <v>n.r.</v>
      </c>
      <c r="CP81" s="8" t="str">
        <f ca="1">OFFSET(Database!$F81,0,COLUMN(Database!CM81)*2-12)</f>
        <v>n.r.</v>
      </c>
      <c r="CQ81" s="8" t="str">
        <f ca="1">OFFSET(Database!$F81,0,COLUMN(Database!CN81)*2-12)</f>
        <v>n.r.</v>
      </c>
      <c r="CR81" s="8" t="str">
        <f ca="1">OFFSET(Database!$F81,0,COLUMN(Database!CO81)*2-12)</f>
        <v>n.r.</v>
      </c>
      <c r="CS81" s="8" t="str">
        <f ca="1">OFFSET(Database!$F81,0,COLUMN(Database!CP81)*2-12)</f>
        <v>n.r.</v>
      </c>
      <c r="CT81" s="8" t="str">
        <f ca="1">OFFSET(Database!$F81,0,COLUMN(Database!CQ81)*2-12)</f>
        <v>n.r.</v>
      </c>
      <c r="CU81" s="8" t="str">
        <f ca="1">OFFSET(Database!$F81,0,COLUMN(Database!CR81)*2-12)</f>
        <v>n.r.</v>
      </c>
      <c r="CV81" s="8" t="str">
        <f ca="1">OFFSET(Database!$F81,0,COLUMN(Database!CS81)*2-12)</f>
        <v>n.r.</v>
      </c>
      <c r="CW81" s="8" t="str">
        <f ca="1">OFFSET(Database!$F81,0,COLUMN(Database!CT81)*2-12)</f>
        <v>n.r.</v>
      </c>
      <c r="CX81" s="8" t="str">
        <f ca="1">OFFSET(Database!$F81,0,COLUMN(Database!CU81)*2-12)</f>
        <v>n.r.</v>
      </c>
      <c r="CY81" s="8" t="str">
        <f ca="1">OFFSET(Database!$F81,0,COLUMN(Database!CV81)*2-12)</f>
        <v>n.r.</v>
      </c>
      <c r="CZ81" s="8" t="str">
        <f ca="1">OFFSET(Database!$F81,0,COLUMN(Database!CW81)*2-12)</f>
        <v>n.r.</v>
      </c>
      <c r="DA81" s="8" t="str">
        <f ca="1">OFFSET(Database!$F81,0,COLUMN(Database!CX81)*2-12)</f>
        <v>n.r.</v>
      </c>
      <c r="DB81" s="8" t="str">
        <f ca="1">OFFSET(Database!$F81,0,COLUMN(Database!CY81)*2-12)</f>
        <v>n.r.</v>
      </c>
      <c r="DC81" s="8" t="str">
        <f ca="1">OFFSET(Database!$F81,0,COLUMN(Database!CZ81)*2-12)</f>
        <v>n.r.</v>
      </c>
      <c r="DD81" s="8" t="str">
        <f ca="1">OFFSET(Database!$F81,0,COLUMN(Database!DA81)*2-12)</f>
        <v>n.r.</v>
      </c>
      <c r="DE81" s="8" t="str">
        <f ca="1">OFFSET(Database!$F81,0,COLUMN(Database!DB81)*2-12)</f>
        <v>n.r.</v>
      </c>
      <c r="DF81" s="8" t="str">
        <f ca="1">OFFSET(Database!$F81,0,COLUMN(Database!DC81)*2-12)</f>
        <v>n.r.</v>
      </c>
      <c r="DG81" s="8" t="str">
        <f ca="1">OFFSET(Database!$F81,0,COLUMN(Database!DD81)*2-12)</f>
        <v>n.r.</v>
      </c>
      <c r="DH81" s="8" t="str">
        <f ca="1">OFFSET(Database!$F81,0,COLUMN(Database!DE81)*2-12)</f>
        <v>n.r.</v>
      </c>
      <c r="DI81" s="8" t="str">
        <f ca="1">OFFSET(Database!$F81,0,COLUMN(Database!DF81)*2-12)</f>
        <v>n.r.</v>
      </c>
      <c r="DJ81" s="8" t="str">
        <f ca="1">OFFSET(Database!$F81,0,COLUMN(Database!DG81)*2-12)</f>
        <v>n.r.</v>
      </c>
      <c r="DK81" s="8" t="str">
        <f ca="1">OFFSET(Database!$F81,0,COLUMN(Database!DH81)*2-12)</f>
        <v>n.r.</v>
      </c>
      <c r="DL81" s="8" t="str">
        <f ca="1">OFFSET(Database!$F81,0,COLUMN(Database!DI81)*2-12)</f>
        <v>n.r.</v>
      </c>
      <c r="DM81" s="8" t="str">
        <f ca="1">OFFSET(Database!$F81,0,COLUMN(Database!DJ81)*2-12)</f>
        <v>n.r.</v>
      </c>
      <c r="DN81" s="8" t="str">
        <f ca="1">OFFSET(Database!$F81,0,COLUMN(Database!DK81)*2-12)</f>
        <v>n.r.</v>
      </c>
      <c r="DO81" s="8" t="str">
        <f ca="1">OFFSET(Database!$F81,0,COLUMN(Database!DL81)*2-12)</f>
        <v>n.r.</v>
      </c>
      <c r="DP81" s="8" t="str">
        <f ca="1">OFFSET(Database!$F81,0,COLUMN(Database!DM81)*2-12)</f>
        <v>n.r.</v>
      </c>
      <c r="DQ81" s="8" t="str">
        <f ca="1">OFFSET(Database!$F81,0,COLUMN(Database!DN81)*2-12)</f>
        <v>n.r.</v>
      </c>
      <c r="DR81" s="8" t="str">
        <f ca="1">OFFSET(Database!$F81,0,COLUMN(Database!DO81)*2-12)</f>
        <v>n.r.</v>
      </c>
      <c r="DS81" s="8" t="str">
        <f ca="1">OFFSET(Database!$F81,0,COLUMN(Database!DP81)*2-12)</f>
        <v>n.r.</v>
      </c>
      <c r="DT81" s="8" t="str">
        <f ca="1">OFFSET(Database!$F81,0,COLUMN(Database!DQ81)*2-12)</f>
        <v>n.r.</v>
      </c>
      <c r="DU81" s="8" t="str">
        <f ca="1">OFFSET(Database!$F81,0,COLUMN(Database!DR81)*2-12)</f>
        <v>n.r.</v>
      </c>
      <c r="DV81" s="8" t="str">
        <f ca="1">OFFSET(Database!$F81,0,COLUMN(Database!DS81)*2-12)</f>
        <v>n.r.</v>
      </c>
      <c r="DW81" s="8" t="str">
        <f ca="1">OFFSET(Database!$F81,0,COLUMN(Database!DT81)*2-12)</f>
        <v>n.r.</v>
      </c>
      <c r="DX81" s="8" t="str">
        <f ca="1">OFFSET(Database!$F81,0,COLUMN(Database!DU81)*2-12)</f>
        <v>n.r.</v>
      </c>
      <c r="DY81" s="8" t="str">
        <f ca="1">OFFSET(Database!$F81,0,COLUMN(Database!DV81)*2-12)</f>
        <v>n.r.</v>
      </c>
      <c r="DZ81" s="8" t="str">
        <f ca="1">OFFSET(Database!$F81,0,COLUMN(Database!DW81)*2-12)</f>
        <v>n.r.</v>
      </c>
      <c r="EA81" s="8" t="str">
        <f ca="1">OFFSET(Database!$F81,0,COLUMN(Database!DX81)*2-12)</f>
        <v>n.r.</v>
      </c>
      <c r="EB81" s="8" t="str">
        <f ca="1">OFFSET(Database!$F81,0,COLUMN(Database!DY81)*2-12)</f>
        <v>n.r.</v>
      </c>
      <c r="EC81" s="8" t="str">
        <f ca="1">OFFSET(Database!$F81,0,COLUMN(Database!DZ81)*2-12)</f>
        <v>n.r.</v>
      </c>
      <c r="ED81" s="8" t="str">
        <f ca="1">OFFSET(Database!$F81,0,COLUMN(Database!EA81)*2-12)</f>
        <v>n.r.</v>
      </c>
      <c r="EE81" s="8" t="str">
        <f ca="1">OFFSET(Database!$F81,0,COLUMN(Database!EB81)*2-12)</f>
        <v>n.r.</v>
      </c>
      <c r="EF81" s="8" t="str">
        <f ca="1">OFFSET(Database!$F81,0,COLUMN(Database!EC81)*2-12)</f>
        <v>n.r.</v>
      </c>
      <c r="EG81" s="8" t="str">
        <f ca="1">OFFSET(Database!$F81,0,COLUMN(Database!ED81)*2-12)</f>
        <v>n.r.</v>
      </c>
      <c r="EH81" s="8" t="str">
        <f ca="1">OFFSET(Database!$F81,0,COLUMN(Database!EE81)*2-12)</f>
        <v>n.r.</v>
      </c>
      <c r="EI81" s="8" t="str">
        <f ca="1">OFFSET(Database!$F81,0,COLUMN(Database!EF81)*2-12)</f>
        <v>n.r.</v>
      </c>
      <c r="EJ81" s="8" t="str">
        <f ca="1">OFFSET(Database!$F81,0,COLUMN(Database!EG81)*2-12)</f>
        <v>n.r.</v>
      </c>
      <c r="EK81" s="8" t="str">
        <f ca="1">OFFSET(Database!$F81,0,COLUMN(Database!EH81)*2-12)</f>
        <v>n.r.</v>
      </c>
      <c r="EL81" s="8" t="str">
        <f ca="1">OFFSET(Database!$F81,0,COLUMN(Database!EI81)*2-12)</f>
        <v>n.r.</v>
      </c>
      <c r="EM81" s="8" t="str">
        <f ca="1">OFFSET(Database!$F81,0,COLUMN(Database!EJ81)*2-12)</f>
        <v>n.r.</v>
      </c>
      <c r="EN81" s="8" t="str">
        <f ca="1">OFFSET(Database!$F81,0,COLUMN(Database!EK81)*2-12)</f>
        <v>n.r.</v>
      </c>
      <c r="EO81" s="8" t="str">
        <f ca="1">OFFSET(Database!$F81,0,COLUMN(Database!EL81)*2-12)</f>
        <v>n.r.</v>
      </c>
      <c r="EP81" s="8" t="str">
        <f ca="1">OFFSET(Database!$F81,0,COLUMN(Database!EM81)*2-12)</f>
        <v>n.r.</v>
      </c>
      <c r="EQ81" s="8" t="str">
        <f ca="1">OFFSET(Database!$F81,0,COLUMN(Database!EN81)*2-12)</f>
        <v>tr</v>
      </c>
      <c r="ER81" s="8" t="str">
        <f ca="1">OFFSET(Database!$F81,0,COLUMN(Database!EO81)*2-12)</f>
        <v>n.r.</v>
      </c>
      <c r="ES81" s="8" t="str">
        <f ca="1">OFFSET(Database!$F81,0,COLUMN(Database!EP81)*2-12)</f>
        <v>n.r.</v>
      </c>
      <c r="ET81" s="8" t="str">
        <f ca="1">OFFSET(Database!$F81,0,COLUMN(Database!EQ81)*2-12)</f>
        <v>n.r.</v>
      </c>
      <c r="EU81" s="8" t="str">
        <f ca="1">OFFSET(Database!$F81,0,COLUMN(Database!ER81)*2-12)</f>
        <v>n.r.</v>
      </c>
      <c r="EV81" s="8" t="str">
        <f ca="1">OFFSET(Database!$F81,0,COLUMN(Database!ES81)*2-12)</f>
        <v>n.r.</v>
      </c>
      <c r="EW81" s="8" t="str">
        <f ca="1">OFFSET(Database!$F81,0,COLUMN(Database!ET81)*2-12)</f>
        <v>n.r.</v>
      </c>
      <c r="EX81" s="8" t="str">
        <f ca="1">OFFSET(Database!$F81,0,COLUMN(Database!EU81)*2-12)</f>
        <v>n.r.</v>
      </c>
      <c r="EY81" s="8" t="str">
        <f ca="1">OFFSET(Database!$F81,0,COLUMN(Database!EV81)*2-12)</f>
        <v>n.r.</v>
      </c>
      <c r="EZ81" s="8" t="str">
        <f ca="1">OFFSET(Database!$F81,0,COLUMN(Database!EW81)*2-12)</f>
        <v>n.r.</v>
      </c>
      <c r="FA81" s="8" t="str">
        <f ca="1">OFFSET(Database!$F81,0,COLUMN(Database!EX81)*2-12)</f>
        <v>n.r.</v>
      </c>
      <c r="FB81" s="8" t="str">
        <f ca="1">OFFSET(Database!$F81,0,COLUMN(Database!EY81)*2-12)</f>
        <v>n.r.</v>
      </c>
      <c r="FC81" s="8" t="str">
        <f ca="1">OFFSET(Database!$F81,0,COLUMN(Database!EZ81)*2-12)</f>
        <v>n.r.</v>
      </c>
      <c r="FD81" s="8" t="str">
        <f ca="1">OFFSET(Database!$F81,0,COLUMN(Database!FA81)*2-12)</f>
        <v>n.r.</v>
      </c>
      <c r="FE81" s="8" t="str">
        <f ca="1">OFFSET(Database!$F81,0,COLUMN(Database!FB81)*2-12)</f>
        <v>n.r.</v>
      </c>
      <c r="FF81" s="8" t="str">
        <f ca="1">OFFSET(Database!$F81,0,COLUMN(Database!FC81)*2-12)</f>
        <v>n.r.</v>
      </c>
      <c r="FG81" s="8" t="str">
        <f ca="1">OFFSET(Database!$F81,0,COLUMN(Database!FD81)*2-12)</f>
        <v>n.r.</v>
      </c>
      <c r="FH81" s="8" t="str">
        <f ca="1">OFFSET(Database!$F81,0,COLUMN(Database!FE81)*2-12)</f>
        <v>n.r.</v>
      </c>
      <c r="FI81" s="8" t="str">
        <f ca="1">OFFSET(Database!$F81,0,COLUMN(Database!FF81)*2-12)</f>
        <v>n.r.</v>
      </c>
      <c r="FJ81" s="8" t="str">
        <f ca="1">OFFSET(Database!$F81,0,COLUMN(Database!FG81)*2-12)</f>
        <v>n.r.</v>
      </c>
      <c r="FK81" s="8" t="str">
        <f ca="1">OFFSET(Database!$F81,0,COLUMN(Database!FH81)*2-12)</f>
        <v>n.r.</v>
      </c>
      <c r="FL81" s="8" t="str">
        <f ca="1">OFFSET(Database!$F81,0,COLUMN(Database!FI81)*2-12)</f>
        <v>n.r.</v>
      </c>
      <c r="FM81" s="8" t="str">
        <f ca="1">OFFSET(Database!$F81,0,COLUMN(Database!FJ81)*2-12)</f>
        <v>n.r.</v>
      </c>
      <c r="FN81" s="8" t="str">
        <f ca="1">OFFSET(Database!$F81,0,COLUMN(Database!FK81)*2-12)</f>
        <v>n.r.</v>
      </c>
      <c r="FO81" s="8" t="str">
        <f ca="1">OFFSET(Database!$F81,0,COLUMN(Database!FL81)*2-12)</f>
        <v>n.r.</v>
      </c>
      <c r="FP81" s="8" t="str">
        <f ca="1">OFFSET(Database!$F81,0,COLUMN(Database!FM81)*2-12)</f>
        <v>n.r.</v>
      </c>
      <c r="FQ81" s="8" t="str">
        <f ca="1">OFFSET(Database!$F81,0,COLUMN(Database!FN81)*2-12)</f>
        <v>n.r.</v>
      </c>
      <c r="FR81" s="8" t="str">
        <f ca="1">OFFSET(Database!$F81,0,COLUMN(Database!FO81)*2-12)</f>
        <v>n.r.</v>
      </c>
      <c r="FS81" s="8" t="str">
        <f ca="1">OFFSET(Database!$F81,0,COLUMN(Database!FP81)*2-12)</f>
        <v>n.r.</v>
      </c>
      <c r="FT81" s="8" t="str">
        <f ca="1">OFFSET(Database!$F81,0,COLUMN(Database!FQ81)*2-12)</f>
        <v>n.r.</v>
      </c>
      <c r="FU81" s="8">
        <f ca="1">OFFSET(Database!$F81,0,COLUMN(Database!FR81)*2-12)</f>
        <v>234</v>
      </c>
      <c r="FV81" s="8">
        <f ca="1">OFFSET(Database!$F81,0,COLUMN(Database!FS81)*2-12)</f>
        <v>152</v>
      </c>
      <c r="FW81" s="8">
        <f ca="1">OFFSET(Database!$F81,0,COLUMN(Database!FT81)*2-12)</f>
        <v>364</v>
      </c>
      <c r="FX81" s="8">
        <f ca="1">OFFSET(Database!$F81,0,COLUMN(Database!FU81)*2-12)</f>
        <v>165</v>
      </c>
      <c r="FY81" s="8">
        <f ca="1">OFFSET(Database!$F81,0,COLUMN(Database!FV81)*2-12)</f>
        <v>138</v>
      </c>
      <c r="FZ81" s="8">
        <f ca="1">OFFSET(Database!$F81,0,COLUMN(Database!FW81)*2-12)</f>
        <v>515</v>
      </c>
      <c r="GA81" s="8">
        <f ca="1">OFFSET(Database!$F81,0,COLUMN(Database!FX81)*2-12)</f>
        <v>303</v>
      </c>
      <c r="GB81" s="8">
        <f ca="1">OFFSET(Database!$F81,0,COLUMN(Database!FY81)*2-12)</f>
        <v>118</v>
      </c>
      <c r="GC81" s="8">
        <f ca="1">OFFSET(Database!$F81,0,COLUMN(Database!FZ81)*2-12)</f>
        <v>88</v>
      </c>
      <c r="GD81" s="8">
        <f ca="1">OFFSET(Database!$F81,0,COLUMN(Database!GA81)*2-12)</f>
        <v>242</v>
      </c>
      <c r="GE81" s="8">
        <f ca="1">OFFSET(Database!$F81,0,COLUMN(Database!GB81)*2-12)</f>
        <v>100</v>
      </c>
      <c r="GF81" s="8">
        <f ca="1">OFFSET(Database!$F81,0,COLUMN(Database!GC81)*2-12)</f>
        <v>122</v>
      </c>
      <c r="GG81" s="8" t="str">
        <f ca="1">OFFSET(Database!$F81,0,COLUMN(Database!GD81)*2-12)</f>
        <v>n.r.</v>
      </c>
      <c r="GH81" s="8" t="str">
        <f ca="1">OFFSET(Database!$F81,0,COLUMN(Database!GE81)*2-12)</f>
        <v>n.r.</v>
      </c>
      <c r="GI81" s="8" t="str">
        <f ca="1">OFFSET(Database!$F81,0,COLUMN(Database!GF81)*2-12)</f>
        <v>n.r.</v>
      </c>
      <c r="GJ81" s="8" t="str">
        <f ca="1">OFFSET(Database!$F81,0,COLUMN(Database!GG81)*2-12)</f>
        <v>n.r.</v>
      </c>
      <c r="GK81" s="8" t="str">
        <f ca="1">OFFSET(Database!$F81,0,COLUMN(Database!GH81)*2-12)</f>
        <v>n.r.</v>
      </c>
      <c r="GL81" s="8" t="str">
        <f ca="1">OFFSET(Database!$F81,0,COLUMN(Database!GI81)*2-12)</f>
        <v>n.r.</v>
      </c>
      <c r="GM81" s="8" t="str">
        <f ca="1">OFFSET(Database!$F81,0,COLUMN(Database!GJ81)*2-12)</f>
        <v>n.r.</v>
      </c>
      <c r="GN81" s="8" t="str">
        <f ca="1">OFFSET(Database!$F81,0,COLUMN(Database!GK81)*2-12)</f>
        <v>n.r.</v>
      </c>
      <c r="GO81" s="8" t="str">
        <f ca="1">OFFSET(Database!$F81,0,COLUMN(Database!GL81)*2-12)</f>
        <v>n.r.</v>
      </c>
      <c r="GP81" s="8" t="str">
        <f ca="1">OFFSET(Database!$F81,0,COLUMN(Database!GM81)*2-12)</f>
        <v>n.r.</v>
      </c>
    </row>
    <row r="82" spans="1:198" x14ac:dyDescent="0.2">
      <c r="A82" s="50" t="str">
        <f>Database!A82</f>
        <v>D-β-(Aminomethyl)-succinic acid</v>
      </c>
      <c r="B82" s="32" t="s">
        <v>1019</v>
      </c>
      <c r="C82" s="4" t="str">
        <f>Database!B82</f>
        <v>β</v>
      </c>
      <c r="D82" s="4" t="str">
        <f>Database!C82</f>
        <v>D</v>
      </c>
      <c r="E82" s="74">
        <f>Database!D82</f>
        <v>2</v>
      </c>
      <c r="F82" s="32" t="s">
        <v>955</v>
      </c>
      <c r="G82" s="1">
        <v>2424</v>
      </c>
      <c r="H82" s="1">
        <f>Database!E82</f>
        <v>147.13</v>
      </c>
      <c r="I82" s="8" t="str">
        <f ca="1">OFFSET(Database!$F82,0,COLUMN(Database!F82)*2-12)</f>
        <v>n.r.</v>
      </c>
      <c r="J82" s="8" t="str">
        <f ca="1">OFFSET(Database!$F82,0,COLUMN(Database!G82)*2-12)</f>
        <v>n.r.</v>
      </c>
      <c r="K82" s="8" t="str">
        <f ca="1">OFFSET(Database!$F82,0,COLUMN(Database!H82)*2-12)</f>
        <v>n.r.</v>
      </c>
      <c r="L82" s="8" t="str">
        <f ca="1">OFFSET(Database!$F82,0,COLUMN(Database!I82)*2-12)</f>
        <v>n.r.</v>
      </c>
      <c r="M82" s="8" t="str">
        <f ca="1">OFFSET(Database!$F82,0,COLUMN(Database!J82)*2-12)</f>
        <v>n.r.</v>
      </c>
      <c r="N82" s="8" t="str">
        <f ca="1">OFFSET(Database!$F82,0,COLUMN(Database!K82)*2-12)</f>
        <v>n.r.</v>
      </c>
      <c r="O82" s="8" t="str">
        <f ca="1">OFFSET(Database!$F82,0,COLUMN(Database!L82)*2-12)</f>
        <v>n.r.</v>
      </c>
      <c r="P82" s="8" t="str">
        <f ca="1">OFFSET(Database!$F82,0,COLUMN(Database!M82)*2-12)</f>
        <v>n.r.</v>
      </c>
      <c r="Q82" s="8" t="str">
        <f ca="1">OFFSET(Database!$F82,0,COLUMN(Database!N82)*2-12)</f>
        <v>n.r.</v>
      </c>
      <c r="R82" s="8" t="str">
        <f ca="1">OFFSET(Database!$F82,0,COLUMN(Database!O82)*2-12)</f>
        <v>n.r.</v>
      </c>
      <c r="S82" s="8" t="str">
        <f ca="1">OFFSET(Database!$F82,0,COLUMN(Database!P82)*2-12)</f>
        <v>n.r.</v>
      </c>
      <c r="T82" s="8" t="str">
        <f ca="1">OFFSET(Database!$F82,0,COLUMN(Database!Q82)*2-12)</f>
        <v>n.r.</v>
      </c>
      <c r="U82" s="8" t="str">
        <f ca="1">OFFSET(Database!$F82,0,COLUMN(Database!R82)*2-12)</f>
        <v>n.r.</v>
      </c>
      <c r="V82" s="8" t="str">
        <f ca="1">OFFSET(Database!$F82,0,COLUMN(Database!S82)*2-12)</f>
        <v>n.r.</v>
      </c>
      <c r="W82" s="8" t="str">
        <f ca="1">OFFSET(Database!$F82,0,COLUMN(Database!T82)*2-12)</f>
        <v>n.r.</v>
      </c>
      <c r="X82" s="8" t="str">
        <f ca="1">OFFSET(Database!$F82,0,COLUMN(Database!U82)*2-12)</f>
        <v>n.r.</v>
      </c>
      <c r="Y82" s="8" t="str">
        <f ca="1">OFFSET(Database!$F82,0,COLUMN(Database!V82)*2-12)</f>
        <v>n.r.</v>
      </c>
      <c r="Z82" s="8" t="str">
        <f ca="1">OFFSET(Database!$F82,0,COLUMN(Database!W82)*2-12)</f>
        <v>n.r.</v>
      </c>
      <c r="AA82" s="8" t="str">
        <f ca="1">OFFSET(Database!$F82,0,COLUMN(Database!X82)*2-12)</f>
        <v>n.r.</v>
      </c>
      <c r="AB82" s="8">
        <f ca="1">OFFSET(Database!$F82,0,COLUMN(Database!Y82)*2-12)</f>
        <v>0.2039013117651057</v>
      </c>
      <c r="AC82" s="8" t="str">
        <f ca="1">OFFSET(Database!$F82,0,COLUMN(Database!Z82)*2-12)</f>
        <v>n.r.</v>
      </c>
      <c r="AD82" s="8" t="str">
        <f ca="1">OFFSET(Database!$F82,0,COLUMN(Database!AA82)*2-12)</f>
        <v>n.r.</v>
      </c>
      <c r="AE82" s="8" t="str">
        <f ca="1">OFFSET(Database!$F82,0,COLUMN(Database!AB82)*2-12)</f>
        <v>n.r.</v>
      </c>
      <c r="AF82" s="8" t="str">
        <f ca="1">OFFSET(Database!$F82,0,COLUMN(Database!AC82)*2-12)</f>
        <v>n.r.</v>
      </c>
      <c r="AG82" s="8" t="str">
        <f ca="1">OFFSET(Database!$F82,0,COLUMN(Database!AD82)*2-12)</f>
        <v>n.r.</v>
      </c>
      <c r="AH82" s="8" t="str">
        <f ca="1">OFFSET(Database!$F82,0,COLUMN(Database!AE82)*2-12)</f>
        <v>n.r.</v>
      </c>
      <c r="AI82" s="8" t="str">
        <f ca="1">OFFSET(Database!$F82,0,COLUMN(Database!AF82)*2-12)</f>
        <v>n.r.</v>
      </c>
      <c r="AJ82" s="8" t="str">
        <f ca="1">OFFSET(Database!$F82,0,COLUMN(Database!AG82)*2-12)</f>
        <v>n.r.</v>
      </c>
      <c r="AK82" s="8" t="str">
        <f ca="1">OFFSET(Database!$F82,0,COLUMN(Database!AH82)*2-12)</f>
        <v>n.r.</v>
      </c>
      <c r="AL82" s="8" t="str">
        <f ca="1">OFFSET(Database!$F82,0,COLUMN(Database!AI82)*2-12)</f>
        <v>n.r.</v>
      </c>
      <c r="AM82" s="8" t="str">
        <f ca="1">OFFSET(Database!$F82,0,COLUMN(Database!AJ82)*2-12)</f>
        <v>n.r.</v>
      </c>
      <c r="AN82" s="8" t="str">
        <f ca="1">OFFSET(Database!$F82,0,COLUMN(Database!AK82)*2-12)</f>
        <v>n.r.</v>
      </c>
      <c r="AO82" s="8" t="str">
        <f ca="1">OFFSET(Database!$F82,0,COLUMN(Database!AL82)*2-12)</f>
        <v>n.r.</v>
      </c>
      <c r="AP82" s="8" t="str">
        <f ca="1">OFFSET(Database!$F82,0,COLUMN(Database!AM82)*2-12)</f>
        <v>n.r.</v>
      </c>
      <c r="AQ82" s="8" t="str">
        <f ca="1">OFFSET(Database!$F82,0,COLUMN(Database!AN82)*2-12)</f>
        <v>n.r.</v>
      </c>
      <c r="AR82" s="8" t="str">
        <f ca="1">OFFSET(Database!$F82,0,COLUMN(Database!AO82)*2-12)</f>
        <v>n.r.</v>
      </c>
      <c r="AS82" s="8" t="str">
        <f ca="1">OFFSET(Database!$F82,0,COLUMN(Database!AP82)*2-12)</f>
        <v>n.r.</v>
      </c>
      <c r="AT82" s="8" t="str">
        <f ca="1">OFFSET(Database!$F82,0,COLUMN(Database!AQ82)*2-12)</f>
        <v>n.r.</v>
      </c>
      <c r="AU82" s="8" t="str">
        <f ca="1">OFFSET(Database!$F82,0,COLUMN(Database!AR82)*2-12)</f>
        <v>n.r.</v>
      </c>
      <c r="AV82" s="8" t="str">
        <f ca="1">OFFSET(Database!$F82,0,COLUMN(Database!AS82)*2-12)</f>
        <v>n.r.</v>
      </c>
      <c r="AW82" s="8" t="str">
        <f ca="1">OFFSET(Database!$F82,0,COLUMN(Database!AT82)*2-12)</f>
        <v>n.r.</v>
      </c>
      <c r="AX82" s="8" t="str">
        <f ca="1">OFFSET(Database!$F82,0,COLUMN(Database!AU82)*2-12)</f>
        <v>n.r.</v>
      </c>
      <c r="AY82" s="8" t="str">
        <f ca="1">OFFSET(Database!$F82,0,COLUMN(Database!AV82)*2-12)</f>
        <v>n.r.</v>
      </c>
      <c r="AZ82" s="8" t="str">
        <f ca="1">OFFSET(Database!$F82,0,COLUMN(Database!AW82)*2-12)</f>
        <v>n.r.</v>
      </c>
      <c r="BA82" s="8" t="str">
        <f ca="1">OFFSET(Database!$F82,0,COLUMN(Database!AX82)*2-12)</f>
        <v>n.r.</v>
      </c>
      <c r="BB82" s="8" t="str">
        <f ca="1">OFFSET(Database!$F82,0,COLUMN(Database!AY82)*2-12)</f>
        <v>n.r.</v>
      </c>
      <c r="BC82" s="8" t="str">
        <f ca="1">OFFSET(Database!$F82,0,COLUMN(Database!AZ82)*2-12)</f>
        <v>n.r.</v>
      </c>
      <c r="BD82" s="8" t="str">
        <f ca="1">OFFSET(Database!$F82,0,COLUMN(Database!BA82)*2-12)</f>
        <v>n.r.</v>
      </c>
      <c r="BE82" s="8" t="str">
        <f ca="1">OFFSET(Database!$F82,0,COLUMN(Database!BB82)*2-12)</f>
        <v>n.r.</v>
      </c>
      <c r="BF82" s="8" t="str">
        <f ca="1">OFFSET(Database!$F82,0,COLUMN(Database!BC82)*2-12)</f>
        <v>n.r.</v>
      </c>
      <c r="BG82" s="8" t="str">
        <f ca="1">OFFSET(Database!$F82,0,COLUMN(Database!BD82)*2-12)</f>
        <v>n.r.</v>
      </c>
      <c r="BH82" s="8" t="str">
        <f ca="1">OFFSET(Database!$F82,0,COLUMN(Database!BE82)*2-12)</f>
        <v>n.r.</v>
      </c>
      <c r="BI82" s="8" t="str">
        <f ca="1">OFFSET(Database!$F82,0,COLUMN(Database!BF82)*2-12)</f>
        <v>n.r.</v>
      </c>
      <c r="BJ82" s="8" t="str">
        <f ca="1">OFFSET(Database!$F82,0,COLUMN(Database!BG82)*2-12)</f>
        <v>n.r.</v>
      </c>
      <c r="BK82" s="8" t="str">
        <f ca="1">OFFSET(Database!$F82,0,COLUMN(Database!BH82)*2-12)</f>
        <v>n.r.</v>
      </c>
      <c r="BL82" s="8" t="str">
        <f ca="1">OFFSET(Database!$F82,0,COLUMN(Database!BI82)*2-12)</f>
        <v>n.r.</v>
      </c>
      <c r="BM82" s="8" t="str">
        <f ca="1">OFFSET(Database!$F82,0,COLUMN(Database!BJ82)*2-12)</f>
        <v>n.r.</v>
      </c>
      <c r="BN82" s="8" t="str">
        <f ca="1">OFFSET(Database!$F82,0,COLUMN(Database!BK82)*2-12)</f>
        <v>n.r.</v>
      </c>
      <c r="BO82" s="8" t="str">
        <f ca="1">OFFSET(Database!$F82,0,COLUMN(Database!BL82)*2-12)</f>
        <v>n.r.</v>
      </c>
      <c r="BP82" s="8" t="str">
        <f ca="1">OFFSET(Database!$F82,0,COLUMN(Database!BM82)*2-12)</f>
        <v>n.r.</v>
      </c>
      <c r="BQ82" s="8" t="str">
        <f ca="1">OFFSET(Database!$F82,0,COLUMN(Database!BN82)*2-12)</f>
        <v>n.r.</v>
      </c>
      <c r="BR82" s="8" t="str">
        <f ca="1">OFFSET(Database!$F82,0,COLUMN(Database!BO82)*2-12)</f>
        <v>n.r.</v>
      </c>
      <c r="BS82" s="8" t="str">
        <f ca="1">OFFSET(Database!$F82,0,COLUMN(Database!BP82)*2-12)</f>
        <v>n.r.</v>
      </c>
      <c r="BT82" s="8" t="str">
        <f ca="1">OFFSET(Database!$F82,0,COLUMN(Database!BQ82)*2-12)</f>
        <v>n.r.</v>
      </c>
      <c r="BU82" s="8" t="str">
        <f ca="1">OFFSET(Database!$F82,0,COLUMN(Database!BR82)*2-12)</f>
        <v>n.r.</v>
      </c>
      <c r="BV82" s="8" t="str">
        <f ca="1">OFFSET(Database!$F82,0,COLUMN(Database!BS82)*2-12)</f>
        <v>n.r.</v>
      </c>
      <c r="BW82" s="8" t="str">
        <f ca="1">OFFSET(Database!$F82,0,COLUMN(Database!BT82)*2-12)</f>
        <v>n.r.</v>
      </c>
      <c r="BX82" s="8" t="str">
        <f ca="1">OFFSET(Database!$F82,0,COLUMN(Database!BU82)*2-12)</f>
        <v>n.r.</v>
      </c>
      <c r="BY82" s="8" t="str">
        <f ca="1">OFFSET(Database!$F82,0,COLUMN(Database!BV82)*2-12)</f>
        <v>n.r.</v>
      </c>
      <c r="BZ82" s="8" t="str">
        <f ca="1">OFFSET(Database!$F82,0,COLUMN(Database!BW82)*2-12)</f>
        <v>n.r.</v>
      </c>
      <c r="CA82" s="8" t="str">
        <f ca="1">OFFSET(Database!$F82,0,COLUMN(Database!BX82)*2-12)</f>
        <v>n.r.</v>
      </c>
      <c r="CB82" s="8" t="str">
        <f ca="1">OFFSET(Database!$F82,0,COLUMN(Database!BY82)*2-12)</f>
        <v>n.r.</v>
      </c>
      <c r="CC82" s="8" t="str">
        <f ca="1">OFFSET(Database!$F82,0,COLUMN(Database!BZ82)*2-12)</f>
        <v>n.r.</v>
      </c>
      <c r="CD82" s="8" t="str">
        <f ca="1">OFFSET(Database!$F82,0,COLUMN(Database!CA82)*2-12)</f>
        <v>n.r.</v>
      </c>
      <c r="CE82" s="8" t="str">
        <f ca="1">OFFSET(Database!$F82,0,COLUMN(Database!CB82)*2-12)</f>
        <v>n.r.</v>
      </c>
      <c r="CF82" s="8" t="str">
        <f ca="1">OFFSET(Database!$F82,0,COLUMN(Database!CC82)*2-12)</f>
        <v>n.r.</v>
      </c>
      <c r="CG82" s="8" t="str">
        <f ca="1">OFFSET(Database!$F82,0,COLUMN(Database!CD82)*2-12)</f>
        <v>n.r.</v>
      </c>
      <c r="CH82" s="8" t="str">
        <f ca="1">OFFSET(Database!$F82,0,COLUMN(Database!CE82)*2-12)</f>
        <v>n.r.</v>
      </c>
      <c r="CI82" s="8" t="str">
        <f ca="1">OFFSET(Database!$F82,0,COLUMN(Database!CF82)*2-12)</f>
        <v>n.r.</v>
      </c>
      <c r="CJ82" s="8" t="str">
        <f ca="1">OFFSET(Database!$F82,0,COLUMN(Database!CG82)*2-12)</f>
        <v>n.r.</v>
      </c>
      <c r="CK82" s="8" t="str">
        <f ca="1">OFFSET(Database!$F82,0,COLUMN(Database!CH82)*2-12)</f>
        <v>n.r.</v>
      </c>
      <c r="CL82" s="8" t="str">
        <f ca="1">OFFSET(Database!$F82,0,COLUMN(Database!CI82)*2-12)</f>
        <v>n.r.</v>
      </c>
      <c r="CM82" s="8" t="str">
        <f ca="1">OFFSET(Database!$F82,0,COLUMN(Database!CJ82)*2-12)</f>
        <v>n.r.</v>
      </c>
      <c r="CN82" s="8" t="str">
        <f ca="1">OFFSET(Database!$F82,0,COLUMN(Database!CK82)*2-12)</f>
        <v>n.r.</v>
      </c>
      <c r="CO82" s="8" t="str">
        <f ca="1">OFFSET(Database!$F82,0,COLUMN(Database!CL82)*2-12)</f>
        <v>n.r.</v>
      </c>
      <c r="CP82" s="8" t="str">
        <f ca="1">OFFSET(Database!$F82,0,COLUMN(Database!CM82)*2-12)</f>
        <v>n.r.</v>
      </c>
      <c r="CQ82" s="8" t="str">
        <f ca="1">OFFSET(Database!$F82,0,COLUMN(Database!CN82)*2-12)</f>
        <v>n.r.</v>
      </c>
      <c r="CR82" s="8" t="str">
        <f ca="1">OFFSET(Database!$F82,0,COLUMN(Database!CO82)*2-12)</f>
        <v>n.r.</v>
      </c>
      <c r="CS82" s="8" t="str">
        <f ca="1">OFFSET(Database!$F82,0,COLUMN(Database!CP82)*2-12)</f>
        <v>n.r.</v>
      </c>
      <c r="CT82" s="8" t="str">
        <f ca="1">OFFSET(Database!$F82,0,COLUMN(Database!CQ82)*2-12)</f>
        <v>n.r.</v>
      </c>
      <c r="CU82" s="8" t="str">
        <f ca="1">OFFSET(Database!$F82,0,COLUMN(Database!CR82)*2-12)</f>
        <v>n.r.</v>
      </c>
      <c r="CV82" s="8" t="str">
        <f ca="1">OFFSET(Database!$F82,0,COLUMN(Database!CS82)*2-12)</f>
        <v>n.r.</v>
      </c>
      <c r="CW82" s="8" t="str">
        <f ca="1">OFFSET(Database!$F82,0,COLUMN(Database!CT82)*2-12)</f>
        <v>n.r.</v>
      </c>
      <c r="CX82" s="8" t="str">
        <f ca="1">OFFSET(Database!$F82,0,COLUMN(Database!CU82)*2-12)</f>
        <v>n.r.</v>
      </c>
      <c r="CY82" s="8" t="str">
        <f ca="1">OFFSET(Database!$F82,0,COLUMN(Database!CV82)*2-12)</f>
        <v>n.r.</v>
      </c>
      <c r="CZ82" s="8" t="str">
        <f ca="1">OFFSET(Database!$F82,0,COLUMN(Database!CW82)*2-12)</f>
        <v>n.r.</v>
      </c>
      <c r="DA82" s="8" t="str">
        <f ca="1">OFFSET(Database!$F82,0,COLUMN(Database!CX82)*2-12)</f>
        <v>n.r.</v>
      </c>
      <c r="DB82" s="8" t="str">
        <f ca="1">OFFSET(Database!$F82,0,COLUMN(Database!CY82)*2-12)</f>
        <v>n.r.</v>
      </c>
      <c r="DC82" s="8" t="str">
        <f ca="1">OFFSET(Database!$F82,0,COLUMN(Database!CZ82)*2-12)</f>
        <v>n.r.</v>
      </c>
      <c r="DD82" s="8" t="str">
        <f ca="1">OFFSET(Database!$F82,0,COLUMN(Database!DA82)*2-12)</f>
        <v>n.r.</v>
      </c>
      <c r="DE82" s="8" t="str">
        <f ca="1">OFFSET(Database!$F82,0,COLUMN(Database!DB82)*2-12)</f>
        <v>n.r.</v>
      </c>
      <c r="DF82" s="8" t="str">
        <f ca="1">OFFSET(Database!$F82,0,COLUMN(Database!DC82)*2-12)</f>
        <v>n.r.</v>
      </c>
      <c r="DG82" s="8" t="str">
        <f ca="1">OFFSET(Database!$F82,0,COLUMN(Database!DD82)*2-12)</f>
        <v>n.r.</v>
      </c>
      <c r="DH82" s="8" t="str">
        <f ca="1">OFFSET(Database!$F82,0,COLUMN(Database!DE82)*2-12)</f>
        <v>n.r.</v>
      </c>
      <c r="DI82" s="8" t="str">
        <f ca="1">OFFSET(Database!$F82,0,COLUMN(Database!DF82)*2-12)</f>
        <v>n.r.</v>
      </c>
      <c r="DJ82" s="8" t="str">
        <f ca="1">OFFSET(Database!$F82,0,COLUMN(Database!DG82)*2-12)</f>
        <v>n.r.</v>
      </c>
      <c r="DK82" s="8" t="str">
        <f ca="1">OFFSET(Database!$F82,0,COLUMN(Database!DH82)*2-12)</f>
        <v>n.r.</v>
      </c>
      <c r="DL82" s="8" t="str">
        <f ca="1">OFFSET(Database!$F82,0,COLUMN(Database!DI82)*2-12)</f>
        <v>n.r.</v>
      </c>
      <c r="DM82" s="8" t="str">
        <f ca="1">OFFSET(Database!$F82,0,COLUMN(Database!DJ82)*2-12)</f>
        <v>n.r.</v>
      </c>
      <c r="DN82" s="8" t="str">
        <f ca="1">OFFSET(Database!$F82,0,COLUMN(Database!DK82)*2-12)</f>
        <v>n.r.</v>
      </c>
      <c r="DO82" s="8" t="str">
        <f ca="1">OFFSET(Database!$F82,0,COLUMN(Database!DL82)*2-12)</f>
        <v>n.r.</v>
      </c>
      <c r="DP82" s="8" t="str">
        <f ca="1">OFFSET(Database!$F82,0,COLUMN(Database!DM82)*2-12)</f>
        <v>n.r.</v>
      </c>
      <c r="DQ82" s="8" t="str">
        <f ca="1">OFFSET(Database!$F82,0,COLUMN(Database!DN82)*2-12)</f>
        <v>n.r.</v>
      </c>
      <c r="DR82" s="8" t="str">
        <f ca="1">OFFSET(Database!$F82,0,COLUMN(Database!DO82)*2-12)</f>
        <v>n.r.</v>
      </c>
      <c r="DS82" s="8" t="str">
        <f ca="1">OFFSET(Database!$F82,0,COLUMN(Database!DP82)*2-12)</f>
        <v>n.r.</v>
      </c>
      <c r="DT82" s="8" t="str">
        <f ca="1">OFFSET(Database!$F82,0,COLUMN(Database!DQ82)*2-12)</f>
        <v>n.r.</v>
      </c>
      <c r="DU82" s="8" t="str">
        <f ca="1">OFFSET(Database!$F82,0,COLUMN(Database!DR82)*2-12)</f>
        <v>n.r.</v>
      </c>
      <c r="DV82" s="8" t="str">
        <f ca="1">OFFSET(Database!$F82,0,COLUMN(Database!DS82)*2-12)</f>
        <v>n.r.</v>
      </c>
      <c r="DW82" s="8" t="str">
        <f ca="1">OFFSET(Database!$F82,0,COLUMN(Database!DT82)*2-12)</f>
        <v>n.r.</v>
      </c>
      <c r="DX82" s="8" t="str">
        <f ca="1">OFFSET(Database!$F82,0,COLUMN(Database!DU82)*2-12)</f>
        <v>n.r.</v>
      </c>
      <c r="DY82" s="8" t="str">
        <f ca="1">OFFSET(Database!$F82,0,COLUMN(Database!DV82)*2-12)</f>
        <v>n.r.</v>
      </c>
      <c r="DZ82" s="8" t="str">
        <f ca="1">OFFSET(Database!$F82,0,COLUMN(Database!DW82)*2-12)</f>
        <v>n.r.</v>
      </c>
      <c r="EA82" s="8" t="str">
        <f ca="1">OFFSET(Database!$F82,0,COLUMN(Database!DX82)*2-12)</f>
        <v>n.r.</v>
      </c>
      <c r="EB82" s="8" t="str">
        <f ca="1">OFFSET(Database!$F82,0,COLUMN(Database!DY82)*2-12)</f>
        <v>n.r.</v>
      </c>
      <c r="EC82" s="8" t="str">
        <f ca="1">OFFSET(Database!$F82,0,COLUMN(Database!DZ82)*2-12)</f>
        <v>n.r.</v>
      </c>
      <c r="ED82" s="8" t="str">
        <f ca="1">OFFSET(Database!$F82,0,COLUMN(Database!EA82)*2-12)</f>
        <v>n.r.</v>
      </c>
      <c r="EE82" s="8" t="str">
        <f ca="1">OFFSET(Database!$F82,0,COLUMN(Database!EB82)*2-12)</f>
        <v>n.r.</v>
      </c>
      <c r="EF82" s="8" t="str">
        <f ca="1">OFFSET(Database!$F82,0,COLUMN(Database!EC82)*2-12)</f>
        <v>n.r.</v>
      </c>
      <c r="EG82" s="8" t="str">
        <f ca="1">OFFSET(Database!$F82,0,COLUMN(Database!ED82)*2-12)</f>
        <v>n.r.</v>
      </c>
      <c r="EH82" s="8" t="str">
        <f ca="1">OFFSET(Database!$F82,0,COLUMN(Database!EE82)*2-12)</f>
        <v>n.r.</v>
      </c>
      <c r="EI82" s="8" t="str">
        <f ca="1">OFFSET(Database!$F82,0,COLUMN(Database!EF82)*2-12)</f>
        <v>n.r.</v>
      </c>
      <c r="EJ82" s="8" t="str">
        <f ca="1">OFFSET(Database!$F82,0,COLUMN(Database!EG82)*2-12)</f>
        <v>n.r.</v>
      </c>
      <c r="EK82" s="8" t="str">
        <f ca="1">OFFSET(Database!$F82,0,COLUMN(Database!EH82)*2-12)</f>
        <v>n.r.</v>
      </c>
      <c r="EL82" s="8" t="str">
        <f ca="1">OFFSET(Database!$F82,0,COLUMN(Database!EI82)*2-12)</f>
        <v>n.r.</v>
      </c>
      <c r="EM82" s="8" t="str">
        <f ca="1">OFFSET(Database!$F82,0,COLUMN(Database!EJ82)*2-12)</f>
        <v>n.r.</v>
      </c>
      <c r="EN82" s="8" t="str">
        <f ca="1">OFFSET(Database!$F82,0,COLUMN(Database!EK82)*2-12)</f>
        <v>n.r.</v>
      </c>
      <c r="EO82" s="8" t="str">
        <f ca="1">OFFSET(Database!$F82,0,COLUMN(Database!EL82)*2-12)</f>
        <v>n.r.</v>
      </c>
      <c r="EP82" s="8" t="str">
        <f ca="1">OFFSET(Database!$F82,0,COLUMN(Database!EM82)*2-12)</f>
        <v>n.r.</v>
      </c>
      <c r="EQ82" s="8" t="str">
        <f ca="1">OFFSET(Database!$F82,0,COLUMN(Database!EN82)*2-12)</f>
        <v>n.r.</v>
      </c>
      <c r="ER82" s="8" t="str">
        <f ca="1">OFFSET(Database!$F82,0,COLUMN(Database!EO82)*2-12)</f>
        <v>n.r.</v>
      </c>
      <c r="ES82" s="8" t="str">
        <f ca="1">OFFSET(Database!$F82,0,COLUMN(Database!EP82)*2-12)</f>
        <v>n.r.</v>
      </c>
      <c r="ET82" s="8" t="str">
        <f ca="1">OFFSET(Database!$F82,0,COLUMN(Database!EQ82)*2-12)</f>
        <v>n.r.</v>
      </c>
      <c r="EU82" s="8" t="str">
        <f ca="1">OFFSET(Database!$F82,0,COLUMN(Database!ER82)*2-12)</f>
        <v>n.r.</v>
      </c>
      <c r="EV82" s="8" t="str">
        <f ca="1">OFFSET(Database!$F82,0,COLUMN(Database!ES82)*2-12)</f>
        <v>n.r.</v>
      </c>
      <c r="EW82" s="8" t="str">
        <f ca="1">OFFSET(Database!$F82,0,COLUMN(Database!ET82)*2-12)</f>
        <v>n.r.</v>
      </c>
      <c r="EX82" s="8" t="str">
        <f ca="1">OFFSET(Database!$F82,0,COLUMN(Database!EU82)*2-12)</f>
        <v>n.r.</v>
      </c>
      <c r="EY82" s="8" t="str">
        <f ca="1">OFFSET(Database!$F82,0,COLUMN(Database!EV82)*2-12)</f>
        <v>n.r.</v>
      </c>
      <c r="EZ82" s="8" t="str">
        <f ca="1">OFFSET(Database!$F82,0,COLUMN(Database!EW82)*2-12)</f>
        <v>n.r.</v>
      </c>
      <c r="FA82" s="8" t="str">
        <f ca="1">OFFSET(Database!$F82,0,COLUMN(Database!EX82)*2-12)</f>
        <v>n.r.</v>
      </c>
      <c r="FB82" s="8" t="str">
        <f ca="1">OFFSET(Database!$F82,0,COLUMN(Database!EY82)*2-12)</f>
        <v>n.r.</v>
      </c>
      <c r="FC82" s="8" t="str">
        <f ca="1">OFFSET(Database!$F82,0,COLUMN(Database!EZ82)*2-12)</f>
        <v>n.r.</v>
      </c>
      <c r="FD82" s="8" t="str">
        <f ca="1">OFFSET(Database!$F82,0,COLUMN(Database!FA82)*2-12)</f>
        <v>n.r.</v>
      </c>
      <c r="FE82" s="8" t="str">
        <f ca="1">OFFSET(Database!$F82,0,COLUMN(Database!FB82)*2-12)</f>
        <v>n.r.</v>
      </c>
      <c r="FF82" s="8" t="str">
        <f ca="1">OFFSET(Database!$F82,0,COLUMN(Database!FC82)*2-12)</f>
        <v>n.r.</v>
      </c>
      <c r="FG82" s="8" t="str">
        <f ca="1">OFFSET(Database!$F82,0,COLUMN(Database!FD82)*2-12)</f>
        <v>n.r.</v>
      </c>
      <c r="FH82" s="8" t="str">
        <f ca="1">OFFSET(Database!$F82,0,COLUMN(Database!FE82)*2-12)</f>
        <v>n.r.</v>
      </c>
      <c r="FI82" s="8" t="str">
        <f ca="1">OFFSET(Database!$F82,0,COLUMN(Database!FF82)*2-12)</f>
        <v>n.r.</v>
      </c>
      <c r="FJ82" s="8" t="str">
        <f ca="1">OFFSET(Database!$F82,0,COLUMN(Database!FG82)*2-12)</f>
        <v>n.r.</v>
      </c>
      <c r="FK82" s="8" t="str">
        <f ca="1">OFFSET(Database!$F82,0,COLUMN(Database!FH82)*2-12)</f>
        <v>n.r.</v>
      </c>
      <c r="FL82" s="8" t="str">
        <f ca="1">OFFSET(Database!$F82,0,COLUMN(Database!FI82)*2-12)</f>
        <v>n.r.</v>
      </c>
      <c r="FM82" s="8" t="str">
        <f ca="1">OFFSET(Database!$F82,0,COLUMN(Database!FJ82)*2-12)</f>
        <v>n.r.</v>
      </c>
      <c r="FN82" s="8" t="str">
        <f ca="1">OFFSET(Database!$F82,0,COLUMN(Database!FK82)*2-12)</f>
        <v>n.r.</v>
      </c>
      <c r="FO82" s="8" t="str">
        <f ca="1">OFFSET(Database!$F82,0,COLUMN(Database!FL82)*2-12)</f>
        <v>n.r.</v>
      </c>
      <c r="FP82" s="8" t="str">
        <f ca="1">OFFSET(Database!$F82,0,COLUMN(Database!FM82)*2-12)</f>
        <v>n.r.</v>
      </c>
      <c r="FQ82" s="8" t="str">
        <f ca="1">OFFSET(Database!$F82,0,COLUMN(Database!FN82)*2-12)</f>
        <v>n.r.</v>
      </c>
      <c r="FR82" s="8" t="str">
        <f ca="1">OFFSET(Database!$F82,0,COLUMN(Database!FO82)*2-12)</f>
        <v>n.r.</v>
      </c>
      <c r="FS82" s="8" t="str">
        <f ca="1">OFFSET(Database!$F82,0,COLUMN(Database!FP82)*2-12)</f>
        <v>n.r.</v>
      </c>
      <c r="FT82" s="8" t="str">
        <f ca="1">OFFSET(Database!$F82,0,COLUMN(Database!FQ82)*2-12)</f>
        <v>n.r.</v>
      </c>
      <c r="FU82" s="8" t="str">
        <f ca="1">OFFSET(Database!$F82,0,COLUMN(Database!FR82)*2-12)</f>
        <v>n.r.</v>
      </c>
      <c r="FV82" s="8" t="str">
        <f ca="1">OFFSET(Database!$F82,0,COLUMN(Database!FS82)*2-12)</f>
        <v>n.r.</v>
      </c>
      <c r="FW82" s="8" t="str">
        <f ca="1">OFFSET(Database!$F82,0,COLUMN(Database!FT82)*2-12)</f>
        <v>n.r.</v>
      </c>
      <c r="FX82" s="8" t="str">
        <f ca="1">OFFSET(Database!$F82,0,COLUMN(Database!FU82)*2-12)</f>
        <v>n.r.</v>
      </c>
      <c r="FY82" s="8" t="str">
        <f ca="1">OFFSET(Database!$F82,0,COLUMN(Database!FV82)*2-12)</f>
        <v>n.r.</v>
      </c>
      <c r="FZ82" s="8" t="str">
        <f ca="1">OFFSET(Database!$F82,0,COLUMN(Database!FW82)*2-12)</f>
        <v>n.r.</v>
      </c>
      <c r="GA82" s="8" t="str">
        <f ca="1">OFFSET(Database!$F82,0,COLUMN(Database!FX82)*2-12)</f>
        <v>n.r.</v>
      </c>
      <c r="GB82" s="8" t="str">
        <f ca="1">OFFSET(Database!$F82,0,COLUMN(Database!FY82)*2-12)</f>
        <v>n.r.</v>
      </c>
      <c r="GC82" s="8" t="str">
        <f ca="1">OFFSET(Database!$F82,0,COLUMN(Database!FZ82)*2-12)</f>
        <v>n.r.</v>
      </c>
      <c r="GD82" s="8" t="str">
        <f ca="1">OFFSET(Database!$F82,0,COLUMN(Database!GA82)*2-12)</f>
        <v>n.r.</v>
      </c>
      <c r="GE82" s="8" t="str">
        <f ca="1">OFFSET(Database!$F82,0,COLUMN(Database!GB82)*2-12)</f>
        <v>n.r.</v>
      </c>
      <c r="GF82" s="8" t="str">
        <f ca="1">OFFSET(Database!$F82,0,COLUMN(Database!GC82)*2-12)</f>
        <v>n.r.</v>
      </c>
      <c r="GG82" s="8" t="str">
        <f ca="1">OFFSET(Database!$F82,0,COLUMN(Database!GD82)*2-12)</f>
        <v>n.r.</v>
      </c>
      <c r="GH82" s="8" t="str">
        <f ca="1">OFFSET(Database!$F82,0,COLUMN(Database!GE82)*2-12)</f>
        <v>n.r.</v>
      </c>
      <c r="GI82" s="8" t="str">
        <f ca="1">OFFSET(Database!$F82,0,COLUMN(Database!GF82)*2-12)</f>
        <v>n.r.</v>
      </c>
      <c r="GJ82" s="8" t="str">
        <f ca="1">OFFSET(Database!$F82,0,COLUMN(Database!GG82)*2-12)</f>
        <v>n.r.</v>
      </c>
      <c r="GK82" s="8" t="str">
        <f ca="1">OFFSET(Database!$F82,0,COLUMN(Database!GH82)*2-12)</f>
        <v>n.r.</v>
      </c>
      <c r="GL82" s="8" t="str">
        <f ca="1">OFFSET(Database!$F82,0,COLUMN(Database!GI82)*2-12)</f>
        <v>n.r.</v>
      </c>
      <c r="GM82" s="8" t="str">
        <f ca="1">OFFSET(Database!$F82,0,COLUMN(Database!GJ82)*2-12)</f>
        <v>n.r.</v>
      </c>
      <c r="GN82" s="8" t="str">
        <f ca="1">OFFSET(Database!$F82,0,COLUMN(Database!GK82)*2-12)</f>
        <v>n.r.</v>
      </c>
      <c r="GO82" s="8" t="str">
        <f ca="1">OFFSET(Database!$F82,0,COLUMN(Database!GL82)*2-12)</f>
        <v>n.d.</v>
      </c>
      <c r="GP82" s="8">
        <f ca="1">OFFSET(Database!$F82,0,COLUMN(Database!GM82)*2-12)</f>
        <v>12.913749745123361</v>
      </c>
    </row>
    <row r="83" spans="1:198" x14ac:dyDescent="0.2">
      <c r="A83" s="50" t="str">
        <f>Database!A83</f>
        <v>L-β-(Aminomethyl)-succinic acid</v>
      </c>
      <c r="B83" s="32" t="s">
        <v>1019</v>
      </c>
      <c r="C83" s="4" t="str">
        <f>Database!B83</f>
        <v>β</v>
      </c>
      <c r="D83" s="4" t="str">
        <f>Database!C83</f>
        <v>L</v>
      </c>
      <c r="E83" s="74">
        <f>Database!D83</f>
        <v>2</v>
      </c>
      <c r="F83" s="32" t="s">
        <v>956</v>
      </c>
      <c r="G83" s="1">
        <v>2425</v>
      </c>
      <c r="H83" s="1">
        <f>Database!E83</f>
        <v>147.13</v>
      </c>
      <c r="I83" s="8" t="str">
        <f ca="1">OFFSET(Database!$F83,0,COLUMN(Database!F83)*2-12)</f>
        <v>n.r.</v>
      </c>
      <c r="J83" s="8" t="str">
        <f ca="1">OFFSET(Database!$F83,0,COLUMN(Database!G83)*2-12)</f>
        <v>n.r.</v>
      </c>
      <c r="K83" s="8" t="str">
        <f ca="1">OFFSET(Database!$F83,0,COLUMN(Database!H83)*2-12)</f>
        <v>n.r.</v>
      </c>
      <c r="L83" s="8" t="str">
        <f ca="1">OFFSET(Database!$F83,0,COLUMN(Database!I83)*2-12)</f>
        <v>n.r.</v>
      </c>
      <c r="M83" s="8" t="str">
        <f ca="1">OFFSET(Database!$F83,0,COLUMN(Database!J83)*2-12)</f>
        <v>n.r.</v>
      </c>
      <c r="N83" s="8" t="str">
        <f ca="1">OFFSET(Database!$F83,0,COLUMN(Database!K83)*2-12)</f>
        <v>n.r.</v>
      </c>
      <c r="O83" s="8" t="str">
        <f ca="1">OFFSET(Database!$F83,0,COLUMN(Database!L83)*2-12)</f>
        <v>n.r.</v>
      </c>
      <c r="P83" s="8" t="str">
        <f ca="1">OFFSET(Database!$F83,0,COLUMN(Database!M83)*2-12)</f>
        <v>n.r.</v>
      </c>
      <c r="Q83" s="8" t="str">
        <f ca="1">OFFSET(Database!$F83,0,COLUMN(Database!N83)*2-12)</f>
        <v>n.r.</v>
      </c>
      <c r="R83" s="8" t="str">
        <f ca="1">OFFSET(Database!$F83,0,COLUMN(Database!O83)*2-12)</f>
        <v>n.r.</v>
      </c>
      <c r="S83" s="8" t="str">
        <f ca="1">OFFSET(Database!$F83,0,COLUMN(Database!P83)*2-12)</f>
        <v>n.r.</v>
      </c>
      <c r="T83" s="8" t="str">
        <f ca="1">OFFSET(Database!$F83,0,COLUMN(Database!Q83)*2-12)</f>
        <v>n.r.</v>
      </c>
      <c r="U83" s="8" t="str">
        <f ca="1">OFFSET(Database!$F83,0,COLUMN(Database!R83)*2-12)</f>
        <v>n.r.</v>
      </c>
      <c r="V83" s="8" t="str">
        <f ca="1">OFFSET(Database!$F83,0,COLUMN(Database!S83)*2-12)</f>
        <v>n.r.</v>
      </c>
      <c r="W83" s="8" t="str">
        <f ca="1">OFFSET(Database!$F83,0,COLUMN(Database!T83)*2-12)</f>
        <v>n.r.</v>
      </c>
      <c r="X83" s="8" t="str">
        <f ca="1">OFFSET(Database!$F83,0,COLUMN(Database!U83)*2-12)</f>
        <v>n.r.</v>
      </c>
      <c r="Y83" s="8" t="str">
        <f ca="1">OFFSET(Database!$F83,0,COLUMN(Database!V83)*2-12)</f>
        <v>n.r.</v>
      </c>
      <c r="Z83" s="8" t="str">
        <f ca="1">OFFSET(Database!$F83,0,COLUMN(Database!W83)*2-12)</f>
        <v>n.r.</v>
      </c>
      <c r="AA83" s="8" t="str">
        <f ca="1">OFFSET(Database!$F83,0,COLUMN(Database!X83)*2-12)</f>
        <v>n.r.</v>
      </c>
      <c r="AB83" s="8">
        <f ca="1">OFFSET(Database!$F83,0,COLUMN(Database!Y83)*2-12)</f>
        <v>0.18351118058859511</v>
      </c>
      <c r="AC83" s="8" t="str">
        <f ca="1">OFFSET(Database!$F83,0,COLUMN(Database!Z83)*2-12)</f>
        <v>n.r.</v>
      </c>
      <c r="AD83" s="8" t="str">
        <f ca="1">OFFSET(Database!$F83,0,COLUMN(Database!AA83)*2-12)</f>
        <v>n.r.</v>
      </c>
      <c r="AE83" s="8" t="str">
        <f ca="1">OFFSET(Database!$F83,0,COLUMN(Database!AB83)*2-12)</f>
        <v>n.r.</v>
      </c>
      <c r="AF83" s="8" t="str">
        <f ca="1">OFFSET(Database!$F83,0,COLUMN(Database!AC83)*2-12)</f>
        <v>n.r.</v>
      </c>
      <c r="AG83" s="8" t="str">
        <f ca="1">OFFSET(Database!$F83,0,COLUMN(Database!AD83)*2-12)</f>
        <v>n.r.</v>
      </c>
      <c r="AH83" s="8" t="str">
        <f ca="1">OFFSET(Database!$F83,0,COLUMN(Database!AE83)*2-12)</f>
        <v>n.r.</v>
      </c>
      <c r="AI83" s="8" t="str">
        <f ca="1">OFFSET(Database!$F83,0,COLUMN(Database!AF83)*2-12)</f>
        <v>n.r.</v>
      </c>
      <c r="AJ83" s="8" t="str">
        <f ca="1">OFFSET(Database!$F83,0,COLUMN(Database!AG83)*2-12)</f>
        <v>n.r.</v>
      </c>
      <c r="AK83" s="8" t="str">
        <f ca="1">OFFSET(Database!$F83,0,COLUMN(Database!AH83)*2-12)</f>
        <v>n.r.</v>
      </c>
      <c r="AL83" s="8" t="str">
        <f ca="1">OFFSET(Database!$F83,0,COLUMN(Database!AI83)*2-12)</f>
        <v>n.r.</v>
      </c>
      <c r="AM83" s="8" t="str">
        <f ca="1">OFFSET(Database!$F83,0,COLUMN(Database!AJ83)*2-12)</f>
        <v>n.r.</v>
      </c>
      <c r="AN83" s="8" t="str">
        <f ca="1">OFFSET(Database!$F83,0,COLUMN(Database!AK83)*2-12)</f>
        <v>n.r.</v>
      </c>
      <c r="AO83" s="8" t="str">
        <f ca="1">OFFSET(Database!$F83,0,COLUMN(Database!AL83)*2-12)</f>
        <v>n.r.</v>
      </c>
      <c r="AP83" s="8" t="str">
        <f ca="1">OFFSET(Database!$F83,0,COLUMN(Database!AM83)*2-12)</f>
        <v>n.r.</v>
      </c>
      <c r="AQ83" s="8" t="str">
        <f ca="1">OFFSET(Database!$F83,0,COLUMN(Database!AN83)*2-12)</f>
        <v>n.r.</v>
      </c>
      <c r="AR83" s="8" t="str">
        <f ca="1">OFFSET(Database!$F83,0,COLUMN(Database!AO83)*2-12)</f>
        <v>n.r.</v>
      </c>
      <c r="AS83" s="8" t="str">
        <f ca="1">OFFSET(Database!$F83,0,COLUMN(Database!AP83)*2-12)</f>
        <v>n.r.</v>
      </c>
      <c r="AT83" s="8" t="str">
        <f ca="1">OFFSET(Database!$F83,0,COLUMN(Database!AQ83)*2-12)</f>
        <v>n.r.</v>
      </c>
      <c r="AU83" s="8" t="str">
        <f ca="1">OFFSET(Database!$F83,0,COLUMN(Database!AR83)*2-12)</f>
        <v>n.r.</v>
      </c>
      <c r="AV83" s="8" t="str">
        <f ca="1">OFFSET(Database!$F83,0,COLUMN(Database!AS83)*2-12)</f>
        <v>n.r.</v>
      </c>
      <c r="AW83" s="8" t="str">
        <f ca="1">OFFSET(Database!$F83,0,COLUMN(Database!AT83)*2-12)</f>
        <v>n.r.</v>
      </c>
      <c r="AX83" s="8" t="str">
        <f ca="1">OFFSET(Database!$F83,0,COLUMN(Database!AU83)*2-12)</f>
        <v>n.r.</v>
      </c>
      <c r="AY83" s="8" t="str">
        <f ca="1">OFFSET(Database!$F83,0,COLUMN(Database!AV83)*2-12)</f>
        <v>n.r.</v>
      </c>
      <c r="AZ83" s="8" t="str">
        <f ca="1">OFFSET(Database!$F83,0,COLUMN(Database!AW83)*2-12)</f>
        <v>n.r.</v>
      </c>
      <c r="BA83" s="8" t="str">
        <f ca="1">OFFSET(Database!$F83,0,COLUMN(Database!AX83)*2-12)</f>
        <v>n.r.</v>
      </c>
      <c r="BB83" s="8" t="str">
        <f ca="1">OFFSET(Database!$F83,0,COLUMN(Database!AY83)*2-12)</f>
        <v>n.r.</v>
      </c>
      <c r="BC83" s="8" t="str">
        <f ca="1">OFFSET(Database!$F83,0,COLUMN(Database!AZ83)*2-12)</f>
        <v>n.r.</v>
      </c>
      <c r="BD83" s="8" t="str">
        <f ca="1">OFFSET(Database!$F83,0,COLUMN(Database!BA83)*2-12)</f>
        <v>n.r.</v>
      </c>
      <c r="BE83" s="8" t="str">
        <f ca="1">OFFSET(Database!$F83,0,COLUMN(Database!BB83)*2-12)</f>
        <v>n.r.</v>
      </c>
      <c r="BF83" s="8" t="str">
        <f ca="1">OFFSET(Database!$F83,0,COLUMN(Database!BC83)*2-12)</f>
        <v>n.r.</v>
      </c>
      <c r="BG83" s="8" t="str">
        <f ca="1">OFFSET(Database!$F83,0,COLUMN(Database!BD83)*2-12)</f>
        <v>n.r.</v>
      </c>
      <c r="BH83" s="8" t="str">
        <f ca="1">OFFSET(Database!$F83,0,COLUMN(Database!BE83)*2-12)</f>
        <v>n.r.</v>
      </c>
      <c r="BI83" s="8" t="str">
        <f ca="1">OFFSET(Database!$F83,0,COLUMN(Database!BF83)*2-12)</f>
        <v>n.r.</v>
      </c>
      <c r="BJ83" s="8" t="str">
        <f ca="1">OFFSET(Database!$F83,0,COLUMN(Database!BG83)*2-12)</f>
        <v>n.r.</v>
      </c>
      <c r="BK83" s="8" t="str">
        <f ca="1">OFFSET(Database!$F83,0,COLUMN(Database!BH83)*2-12)</f>
        <v>n.r.</v>
      </c>
      <c r="BL83" s="8" t="str">
        <f ca="1">OFFSET(Database!$F83,0,COLUMN(Database!BI83)*2-12)</f>
        <v>n.r.</v>
      </c>
      <c r="BM83" s="8" t="str">
        <f ca="1">OFFSET(Database!$F83,0,COLUMN(Database!BJ83)*2-12)</f>
        <v>n.r.</v>
      </c>
      <c r="BN83" s="8" t="str">
        <f ca="1">OFFSET(Database!$F83,0,COLUMN(Database!BK83)*2-12)</f>
        <v>n.r.</v>
      </c>
      <c r="BO83" s="8" t="str">
        <f ca="1">OFFSET(Database!$F83,0,COLUMN(Database!BL83)*2-12)</f>
        <v>n.r.</v>
      </c>
      <c r="BP83" s="8" t="str">
        <f ca="1">OFFSET(Database!$F83,0,COLUMN(Database!BM83)*2-12)</f>
        <v>n.r.</v>
      </c>
      <c r="BQ83" s="8" t="str">
        <f ca="1">OFFSET(Database!$F83,0,COLUMN(Database!BN83)*2-12)</f>
        <v>n.r.</v>
      </c>
      <c r="BR83" s="8" t="str">
        <f ca="1">OFFSET(Database!$F83,0,COLUMN(Database!BO83)*2-12)</f>
        <v>n.r.</v>
      </c>
      <c r="BS83" s="8" t="str">
        <f ca="1">OFFSET(Database!$F83,0,COLUMN(Database!BP83)*2-12)</f>
        <v>n.r.</v>
      </c>
      <c r="BT83" s="8" t="str">
        <f ca="1">OFFSET(Database!$F83,0,COLUMN(Database!BQ83)*2-12)</f>
        <v>n.r.</v>
      </c>
      <c r="BU83" s="8" t="str">
        <f ca="1">OFFSET(Database!$F83,0,COLUMN(Database!BR83)*2-12)</f>
        <v>n.r.</v>
      </c>
      <c r="BV83" s="8" t="str">
        <f ca="1">OFFSET(Database!$F83,0,COLUMN(Database!BS83)*2-12)</f>
        <v>n.r.</v>
      </c>
      <c r="BW83" s="8" t="str">
        <f ca="1">OFFSET(Database!$F83,0,COLUMN(Database!BT83)*2-12)</f>
        <v>n.r.</v>
      </c>
      <c r="BX83" s="8" t="str">
        <f ca="1">OFFSET(Database!$F83,0,COLUMN(Database!BU83)*2-12)</f>
        <v>n.r.</v>
      </c>
      <c r="BY83" s="8" t="str">
        <f ca="1">OFFSET(Database!$F83,0,COLUMN(Database!BV83)*2-12)</f>
        <v>n.r.</v>
      </c>
      <c r="BZ83" s="8" t="str">
        <f ca="1">OFFSET(Database!$F83,0,COLUMN(Database!BW83)*2-12)</f>
        <v>n.r.</v>
      </c>
      <c r="CA83" s="8" t="str">
        <f ca="1">OFFSET(Database!$F83,0,COLUMN(Database!BX83)*2-12)</f>
        <v>n.r.</v>
      </c>
      <c r="CB83" s="8" t="str">
        <f ca="1">OFFSET(Database!$F83,0,COLUMN(Database!BY83)*2-12)</f>
        <v>n.r.</v>
      </c>
      <c r="CC83" s="8" t="str">
        <f ca="1">OFFSET(Database!$F83,0,COLUMN(Database!BZ83)*2-12)</f>
        <v>n.r.</v>
      </c>
      <c r="CD83" s="8" t="str">
        <f ca="1">OFFSET(Database!$F83,0,COLUMN(Database!CA83)*2-12)</f>
        <v>n.r.</v>
      </c>
      <c r="CE83" s="8" t="str">
        <f ca="1">OFFSET(Database!$F83,0,COLUMN(Database!CB83)*2-12)</f>
        <v>n.r.</v>
      </c>
      <c r="CF83" s="8" t="str">
        <f ca="1">OFFSET(Database!$F83,0,COLUMN(Database!CC83)*2-12)</f>
        <v>n.r.</v>
      </c>
      <c r="CG83" s="8" t="str">
        <f ca="1">OFFSET(Database!$F83,0,COLUMN(Database!CD83)*2-12)</f>
        <v>n.r.</v>
      </c>
      <c r="CH83" s="8" t="str">
        <f ca="1">OFFSET(Database!$F83,0,COLUMN(Database!CE83)*2-12)</f>
        <v>n.r.</v>
      </c>
      <c r="CI83" s="8" t="str">
        <f ca="1">OFFSET(Database!$F83,0,COLUMN(Database!CF83)*2-12)</f>
        <v>n.r.</v>
      </c>
      <c r="CJ83" s="8" t="str">
        <f ca="1">OFFSET(Database!$F83,0,COLUMN(Database!CG83)*2-12)</f>
        <v>n.r.</v>
      </c>
      <c r="CK83" s="8" t="str">
        <f ca="1">OFFSET(Database!$F83,0,COLUMN(Database!CH83)*2-12)</f>
        <v>n.r.</v>
      </c>
      <c r="CL83" s="8" t="str">
        <f ca="1">OFFSET(Database!$F83,0,COLUMN(Database!CI83)*2-12)</f>
        <v>n.r.</v>
      </c>
      <c r="CM83" s="8" t="str">
        <f ca="1">OFFSET(Database!$F83,0,COLUMN(Database!CJ83)*2-12)</f>
        <v>n.r.</v>
      </c>
      <c r="CN83" s="8" t="str">
        <f ca="1">OFFSET(Database!$F83,0,COLUMN(Database!CK83)*2-12)</f>
        <v>n.r.</v>
      </c>
      <c r="CO83" s="8" t="str">
        <f ca="1">OFFSET(Database!$F83,0,COLUMN(Database!CL83)*2-12)</f>
        <v>n.r.</v>
      </c>
      <c r="CP83" s="8" t="str">
        <f ca="1">OFFSET(Database!$F83,0,COLUMN(Database!CM83)*2-12)</f>
        <v>n.r.</v>
      </c>
      <c r="CQ83" s="8" t="str">
        <f ca="1">OFFSET(Database!$F83,0,COLUMN(Database!CN83)*2-12)</f>
        <v>n.r.</v>
      </c>
      <c r="CR83" s="8" t="str">
        <f ca="1">OFFSET(Database!$F83,0,COLUMN(Database!CO83)*2-12)</f>
        <v>n.r.</v>
      </c>
      <c r="CS83" s="8" t="str">
        <f ca="1">OFFSET(Database!$F83,0,COLUMN(Database!CP83)*2-12)</f>
        <v>n.r.</v>
      </c>
      <c r="CT83" s="8" t="str">
        <f ca="1">OFFSET(Database!$F83,0,COLUMN(Database!CQ83)*2-12)</f>
        <v>n.r.</v>
      </c>
      <c r="CU83" s="8" t="str">
        <f ca="1">OFFSET(Database!$F83,0,COLUMN(Database!CR83)*2-12)</f>
        <v>n.r.</v>
      </c>
      <c r="CV83" s="8" t="str">
        <f ca="1">OFFSET(Database!$F83,0,COLUMN(Database!CS83)*2-12)</f>
        <v>n.r.</v>
      </c>
      <c r="CW83" s="8" t="str">
        <f ca="1">OFFSET(Database!$F83,0,COLUMN(Database!CT83)*2-12)</f>
        <v>n.r.</v>
      </c>
      <c r="CX83" s="8" t="str">
        <f ca="1">OFFSET(Database!$F83,0,COLUMN(Database!CU83)*2-12)</f>
        <v>n.r.</v>
      </c>
      <c r="CY83" s="8" t="str">
        <f ca="1">OFFSET(Database!$F83,0,COLUMN(Database!CV83)*2-12)</f>
        <v>n.r.</v>
      </c>
      <c r="CZ83" s="8" t="str">
        <f ca="1">OFFSET(Database!$F83,0,COLUMN(Database!CW83)*2-12)</f>
        <v>n.r.</v>
      </c>
      <c r="DA83" s="8" t="str">
        <f ca="1">OFFSET(Database!$F83,0,COLUMN(Database!CX83)*2-12)</f>
        <v>n.r.</v>
      </c>
      <c r="DB83" s="8" t="str">
        <f ca="1">OFFSET(Database!$F83,0,COLUMN(Database!CY83)*2-12)</f>
        <v>n.r.</v>
      </c>
      <c r="DC83" s="8" t="str">
        <f ca="1">OFFSET(Database!$F83,0,COLUMN(Database!CZ83)*2-12)</f>
        <v>n.r.</v>
      </c>
      <c r="DD83" s="8" t="str">
        <f ca="1">OFFSET(Database!$F83,0,COLUMN(Database!DA83)*2-12)</f>
        <v>n.r.</v>
      </c>
      <c r="DE83" s="8" t="str">
        <f ca="1">OFFSET(Database!$F83,0,COLUMN(Database!DB83)*2-12)</f>
        <v>n.r.</v>
      </c>
      <c r="DF83" s="8" t="str">
        <f ca="1">OFFSET(Database!$F83,0,COLUMN(Database!DC83)*2-12)</f>
        <v>n.r.</v>
      </c>
      <c r="DG83" s="8" t="str">
        <f ca="1">OFFSET(Database!$F83,0,COLUMN(Database!DD83)*2-12)</f>
        <v>n.r.</v>
      </c>
      <c r="DH83" s="8" t="str">
        <f ca="1">OFFSET(Database!$F83,0,COLUMN(Database!DE83)*2-12)</f>
        <v>n.r.</v>
      </c>
      <c r="DI83" s="8" t="str">
        <f ca="1">OFFSET(Database!$F83,0,COLUMN(Database!DF83)*2-12)</f>
        <v>n.r.</v>
      </c>
      <c r="DJ83" s="8" t="str">
        <f ca="1">OFFSET(Database!$F83,0,COLUMN(Database!DG83)*2-12)</f>
        <v>n.r.</v>
      </c>
      <c r="DK83" s="8" t="str">
        <f ca="1">OFFSET(Database!$F83,0,COLUMN(Database!DH83)*2-12)</f>
        <v>n.r.</v>
      </c>
      <c r="DL83" s="8" t="str">
        <f ca="1">OFFSET(Database!$F83,0,COLUMN(Database!DI83)*2-12)</f>
        <v>n.r.</v>
      </c>
      <c r="DM83" s="8" t="str">
        <f ca="1">OFFSET(Database!$F83,0,COLUMN(Database!DJ83)*2-12)</f>
        <v>n.r.</v>
      </c>
      <c r="DN83" s="8" t="str">
        <f ca="1">OFFSET(Database!$F83,0,COLUMN(Database!DK83)*2-12)</f>
        <v>n.r.</v>
      </c>
      <c r="DO83" s="8" t="str">
        <f ca="1">OFFSET(Database!$F83,0,COLUMN(Database!DL83)*2-12)</f>
        <v>n.r.</v>
      </c>
      <c r="DP83" s="8" t="str">
        <f ca="1">OFFSET(Database!$F83,0,COLUMN(Database!DM83)*2-12)</f>
        <v>n.r.</v>
      </c>
      <c r="DQ83" s="8" t="str">
        <f ca="1">OFFSET(Database!$F83,0,COLUMN(Database!DN83)*2-12)</f>
        <v>n.r.</v>
      </c>
      <c r="DR83" s="8" t="str">
        <f ca="1">OFFSET(Database!$F83,0,COLUMN(Database!DO83)*2-12)</f>
        <v>n.r.</v>
      </c>
      <c r="DS83" s="8" t="str">
        <f ca="1">OFFSET(Database!$F83,0,COLUMN(Database!DP83)*2-12)</f>
        <v>n.r.</v>
      </c>
      <c r="DT83" s="8" t="str">
        <f ca="1">OFFSET(Database!$F83,0,COLUMN(Database!DQ83)*2-12)</f>
        <v>n.r.</v>
      </c>
      <c r="DU83" s="8" t="str">
        <f ca="1">OFFSET(Database!$F83,0,COLUMN(Database!DR83)*2-12)</f>
        <v>n.r.</v>
      </c>
      <c r="DV83" s="8" t="str">
        <f ca="1">OFFSET(Database!$F83,0,COLUMN(Database!DS83)*2-12)</f>
        <v>n.r.</v>
      </c>
      <c r="DW83" s="8" t="str">
        <f ca="1">OFFSET(Database!$F83,0,COLUMN(Database!DT83)*2-12)</f>
        <v>n.r.</v>
      </c>
      <c r="DX83" s="8" t="str">
        <f ca="1">OFFSET(Database!$F83,0,COLUMN(Database!DU83)*2-12)</f>
        <v>n.r.</v>
      </c>
      <c r="DY83" s="8" t="str">
        <f ca="1">OFFSET(Database!$F83,0,COLUMN(Database!DV83)*2-12)</f>
        <v>n.r.</v>
      </c>
      <c r="DZ83" s="8" t="str">
        <f ca="1">OFFSET(Database!$F83,0,COLUMN(Database!DW83)*2-12)</f>
        <v>n.r.</v>
      </c>
      <c r="EA83" s="8" t="str">
        <f ca="1">OFFSET(Database!$F83,0,COLUMN(Database!DX83)*2-12)</f>
        <v>n.r.</v>
      </c>
      <c r="EB83" s="8" t="str">
        <f ca="1">OFFSET(Database!$F83,0,COLUMN(Database!DY83)*2-12)</f>
        <v>n.r.</v>
      </c>
      <c r="EC83" s="8" t="str">
        <f ca="1">OFFSET(Database!$F83,0,COLUMN(Database!DZ83)*2-12)</f>
        <v>n.r.</v>
      </c>
      <c r="ED83" s="8" t="str">
        <f ca="1">OFFSET(Database!$F83,0,COLUMN(Database!EA83)*2-12)</f>
        <v>n.r.</v>
      </c>
      <c r="EE83" s="8" t="str">
        <f ca="1">OFFSET(Database!$F83,0,COLUMN(Database!EB83)*2-12)</f>
        <v>n.r.</v>
      </c>
      <c r="EF83" s="8" t="str">
        <f ca="1">OFFSET(Database!$F83,0,COLUMN(Database!EC83)*2-12)</f>
        <v>n.r.</v>
      </c>
      <c r="EG83" s="8" t="str">
        <f ca="1">OFFSET(Database!$F83,0,COLUMN(Database!ED83)*2-12)</f>
        <v>n.r.</v>
      </c>
      <c r="EH83" s="8" t="str">
        <f ca="1">OFFSET(Database!$F83,0,COLUMN(Database!EE83)*2-12)</f>
        <v>n.r.</v>
      </c>
      <c r="EI83" s="8" t="str">
        <f ca="1">OFFSET(Database!$F83,0,COLUMN(Database!EF83)*2-12)</f>
        <v>n.r.</v>
      </c>
      <c r="EJ83" s="8" t="str">
        <f ca="1">OFFSET(Database!$F83,0,COLUMN(Database!EG83)*2-12)</f>
        <v>n.r.</v>
      </c>
      <c r="EK83" s="8" t="str">
        <f ca="1">OFFSET(Database!$F83,0,COLUMN(Database!EH83)*2-12)</f>
        <v>n.r.</v>
      </c>
      <c r="EL83" s="8" t="str">
        <f ca="1">OFFSET(Database!$F83,0,COLUMN(Database!EI83)*2-12)</f>
        <v>n.r.</v>
      </c>
      <c r="EM83" s="8" t="str">
        <f ca="1">OFFSET(Database!$F83,0,COLUMN(Database!EJ83)*2-12)</f>
        <v>n.r.</v>
      </c>
      <c r="EN83" s="8" t="str">
        <f ca="1">OFFSET(Database!$F83,0,COLUMN(Database!EK83)*2-12)</f>
        <v>n.r.</v>
      </c>
      <c r="EO83" s="8" t="str">
        <f ca="1">OFFSET(Database!$F83,0,COLUMN(Database!EL83)*2-12)</f>
        <v>n.r.</v>
      </c>
      <c r="EP83" s="8" t="str">
        <f ca="1">OFFSET(Database!$F83,0,COLUMN(Database!EM83)*2-12)</f>
        <v>n.r.</v>
      </c>
      <c r="EQ83" s="8" t="str">
        <f ca="1">OFFSET(Database!$F83,0,COLUMN(Database!EN83)*2-12)</f>
        <v>n.r.</v>
      </c>
      <c r="ER83" s="8" t="str">
        <f ca="1">OFFSET(Database!$F83,0,COLUMN(Database!EO83)*2-12)</f>
        <v>n.r.</v>
      </c>
      <c r="ES83" s="8" t="str">
        <f ca="1">OFFSET(Database!$F83,0,COLUMN(Database!EP83)*2-12)</f>
        <v>n.r.</v>
      </c>
      <c r="ET83" s="8" t="str">
        <f ca="1">OFFSET(Database!$F83,0,COLUMN(Database!EQ83)*2-12)</f>
        <v>n.r.</v>
      </c>
      <c r="EU83" s="8" t="str">
        <f ca="1">OFFSET(Database!$F83,0,COLUMN(Database!ER83)*2-12)</f>
        <v>n.r.</v>
      </c>
      <c r="EV83" s="8" t="str">
        <f ca="1">OFFSET(Database!$F83,0,COLUMN(Database!ES83)*2-12)</f>
        <v>n.r.</v>
      </c>
      <c r="EW83" s="8" t="str">
        <f ca="1">OFFSET(Database!$F83,0,COLUMN(Database!ET83)*2-12)</f>
        <v>n.r.</v>
      </c>
      <c r="EX83" s="8" t="str">
        <f ca="1">OFFSET(Database!$F83,0,COLUMN(Database!EU83)*2-12)</f>
        <v>n.r.</v>
      </c>
      <c r="EY83" s="8" t="str">
        <f ca="1">OFFSET(Database!$F83,0,COLUMN(Database!EV83)*2-12)</f>
        <v>n.r.</v>
      </c>
      <c r="EZ83" s="8" t="str">
        <f ca="1">OFFSET(Database!$F83,0,COLUMN(Database!EW83)*2-12)</f>
        <v>n.r.</v>
      </c>
      <c r="FA83" s="8" t="str">
        <f ca="1">OFFSET(Database!$F83,0,COLUMN(Database!EX83)*2-12)</f>
        <v>n.r.</v>
      </c>
      <c r="FB83" s="8" t="str">
        <f ca="1">OFFSET(Database!$F83,0,COLUMN(Database!EY83)*2-12)</f>
        <v>n.r.</v>
      </c>
      <c r="FC83" s="8" t="str">
        <f ca="1">OFFSET(Database!$F83,0,COLUMN(Database!EZ83)*2-12)</f>
        <v>n.r.</v>
      </c>
      <c r="FD83" s="8" t="str">
        <f ca="1">OFFSET(Database!$F83,0,COLUMN(Database!FA83)*2-12)</f>
        <v>n.r.</v>
      </c>
      <c r="FE83" s="8" t="str">
        <f ca="1">OFFSET(Database!$F83,0,COLUMN(Database!FB83)*2-12)</f>
        <v>n.r.</v>
      </c>
      <c r="FF83" s="8" t="str">
        <f ca="1">OFFSET(Database!$F83,0,COLUMN(Database!FC83)*2-12)</f>
        <v>n.r.</v>
      </c>
      <c r="FG83" s="8" t="str">
        <f ca="1">OFFSET(Database!$F83,0,COLUMN(Database!FD83)*2-12)</f>
        <v>n.r.</v>
      </c>
      <c r="FH83" s="8" t="str">
        <f ca="1">OFFSET(Database!$F83,0,COLUMN(Database!FE83)*2-12)</f>
        <v>n.r.</v>
      </c>
      <c r="FI83" s="8" t="str">
        <f ca="1">OFFSET(Database!$F83,0,COLUMN(Database!FF83)*2-12)</f>
        <v>n.r.</v>
      </c>
      <c r="FJ83" s="8" t="str">
        <f ca="1">OFFSET(Database!$F83,0,COLUMN(Database!FG83)*2-12)</f>
        <v>n.r.</v>
      </c>
      <c r="FK83" s="8" t="str">
        <f ca="1">OFFSET(Database!$F83,0,COLUMN(Database!FH83)*2-12)</f>
        <v>n.r.</v>
      </c>
      <c r="FL83" s="8" t="str">
        <f ca="1">OFFSET(Database!$F83,0,COLUMN(Database!FI83)*2-12)</f>
        <v>n.r.</v>
      </c>
      <c r="FM83" s="8" t="str">
        <f ca="1">OFFSET(Database!$F83,0,COLUMN(Database!FJ83)*2-12)</f>
        <v>n.r.</v>
      </c>
      <c r="FN83" s="8" t="str">
        <f ca="1">OFFSET(Database!$F83,0,COLUMN(Database!FK83)*2-12)</f>
        <v>n.r.</v>
      </c>
      <c r="FO83" s="8" t="str">
        <f ca="1">OFFSET(Database!$F83,0,COLUMN(Database!FL83)*2-12)</f>
        <v>n.r.</v>
      </c>
      <c r="FP83" s="8" t="str">
        <f ca="1">OFFSET(Database!$F83,0,COLUMN(Database!FM83)*2-12)</f>
        <v>n.r.</v>
      </c>
      <c r="FQ83" s="8" t="str">
        <f ca="1">OFFSET(Database!$F83,0,COLUMN(Database!FN83)*2-12)</f>
        <v>n.r.</v>
      </c>
      <c r="FR83" s="8" t="str">
        <f ca="1">OFFSET(Database!$F83,0,COLUMN(Database!FO83)*2-12)</f>
        <v>n.r.</v>
      </c>
      <c r="FS83" s="8" t="str">
        <f ca="1">OFFSET(Database!$F83,0,COLUMN(Database!FP83)*2-12)</f>
        <v>n.r.</v>
      </c>
      <c r="FT83" s="8" t="str">
        <f ca="1">OFFSET(Database!$F83,0,COLUMN(Database!FQ83)*2-12)</f>
        <v>n.r.</v>
      </c>
      <c r="FU83" s="8" t="str">
        <f ca="1">OFFSET(Database!$F83,0,COLUMN(Database!FR83)*2-12)</f>
        <v>n.r.</v>
      </c>
      <c r="FV83" s="8" t="str">
        <f ca="1">OFFSET(Database!$F83,0,COLUMN(Database!FS83)*2-12)</f>
        <v>n.r.</v>
      </c>
      <c r="FW83" s="8" t="str">
        <f ca="1">OFFSET(Database!$F83,0,COLUMN(Database!FT83)*2-12)</f>
        <v>n.r.</v>
      </c>
      <c r="FX83" s="8" t="str">
        <f ca="1">OFFSET(Database!$F83,0,COLUMN(Database!FU83)*2-12)</f>
        <v>n.r.</v>
      </c>
      <c r="FY83" s="8" t="str">
        <f ca="1">OFFSET(Database!$F83,0,COLUMN(Database!FV83)*2-12)</f>
        <v>n.r.</v>
      </c>
      <c r="FZ83" s="8" t="str">
        <f ca="1">OFFSET(Database!$F83,0,COLUMN(Database!FW83)*2-12)</f>
        <v>n.r.</v>
      </c>
      <c r="GA83" s="8" t="str">
        <f ca="1">OFFSET(Database!$F83,0,COLUMN(Database!FX83)*2-12)</f>
        <v>n.r.</v>
      </c>
      <c r="GB83" s="8" t="str">
        <f ca="1">OFFSET(Database!$F83,0,COLUMN(Database!FY83)*2-12)</f>
        <v>n.r.</v>
      </c>
      <c r="GC83" s="8" t="str">
        <f ca="1">OFFSET(Database!$F83,0,COLUMN(Database!FZ83)*2-12)</f>
        <v>n.r.</v>
      </c>
      <c r="GD83" s="8" t="str">
        <f ca="1">OFFSET(Database!$F83,0,COLUMN(Database!GA83)*2-12)</f>
        <v>n.r.</v>
      </c>
      <c r="GE83" s="8" t="str">
        <f ca="1">OFFSET(Database!$F83,0,COLUMN(Database!GB83)*2-12)</f>
        <v>n.r.</v>
      </c>
      <c r="GF83" s="8" t="str">
        <f ca="1">OFFSET(Database!$F83,0,COLUMN(Database!GC83)*2-12)</f>
        <v>n.r.</v>
      </c>
      <c r="GG83" s="8" t="str">
        <f ca="1">OFFSET(Database!$F83,0,COLUMN(Database!GD83)*2-12)</f>
        <v>n.r.</v>
      </c>
      <c r="GH83" s="8" t="str">
        <f ca="1">OFFSET(Database!$F83,0,COLUMN(Database!GE83)*2-12)</f>
        <v>n.r.</v>
      </c>
      <c r="GI83" s="8" t="str">
        <f ca="1">OFFSET(Database!$F83,0,COLUMN(Database!GF83)*2-12)</f>
        <v>n.r.</v>
      </c>
      <c r="GJ83" s="8" t="str">
        <f ca="1">OFFSET(Database!$F83,0,COLUMN(Database!GG83)*2-12)</f>
        <v>n.r.</v>
      </c>
      <c r="GK83" s="8" t="str">
        <f ca="1">OFFSET(Database!$F83,0,COLUMN(Database!GH83)*2-12)</f>
        <v>n.r.</v>
      </c>
      <c r="GL83" s="8" t="str">
        <f ca="1">OFFSET(Database!$F83,0,COLUMN(Database!GI83)*2-12)</f>
        <v>n.r.</v>
      </c>
      <c r="GM83" s="8" t="str">
        <f ca="1">OFFSET(Database!$F83,0,COLUMN(Database!GJ83)*2-12)</f>
        <v>n.r.</v>
      </c>
      <c r="GN83" s="8" t="str">
        <f ca="1">OFFSET(Database!$F83,0,COLUMN(Database!GK83)*2-12)</f>
        <v>n.r.</v>
      </c>
      <c r="GO83" s="8" t="str">
        <f ca="1">OFFSET(Database!$F83,0,COLUMN(Database!GL83)*2-12)</f>
        <v>n.d.</v>
      </c>
      <c r="GP83" s="8">
        <f ca="1">OFFSET(Database!$F83,0,COLUMN(Database!GM83)*2-12)</f>
        <v>16.312104941208457</v>
      </c>
    </row>
    <row r="84" spans="1:198" x14ac:dyDescent="0.2">
      <c r="A84" s="50" t="str">
        <f>Database!A84</f>
        <v>D-aminoadipic acid</v>
      </c>
      <c r="B84" s="1" t="s">
        <v>877</v>
      </c>
      <c r="C84" s="4" t="str">
        <f>Database!B84</f>
        <v>ɑ</v>
      </c>
      <c r="D84" s="4" t="str">
        <f>Database!C84</f>
        <v>D</v>
      </c>
      <c r="E84" s="74">
        <f>Database!D84</f>
        <v>1</v>
      </c>
      <c r="F84" s="32" t="s">
        <v>957</v>
      </c>
      <c r="G84" s="1">
        <v>165627</v>
      </c>
      <c r="H84" s="1">
        <f>Database!E84</f>
        <v>161.16999999999999</v>
      </c>
      <c r="I84" s="8" t="str">
        <f ca="1">OFFSET(Database!$F84,0,COLUMN(Database!F84)*2-12)</f>
        <v>n.r.</v>
      </c>
      <c r="J84" s="8" t="str">
        <f ca="1">OFFSET(Database!$F84,0,COLUMN(Database!G84)*2-12)</f>
        <v>n.r.</v>
      </c>
      <c r="K84" s="8" t="str">
        <f ca="1">OFFSET(Database!$F84,0,COLUMN(Database!H84)*2-12)</f>
        <v>n.r.</v>
      </c>
      <c r="L84" s="8" t="str">
        <f ca="1">OFFSET(Database!$F84,0,COLUMN(Database!I84)*2-12)</f>
        <v>n.r.</v>
      </c>
      <c r="M84" s="8" t="str">
        <f ca="1">OFFSET(Database!$F84,0,COLUMN(Database!J84)*2-12)</f>
        <v>n.r.</v>
      </c>
      <c r="N84" s="8" t="str">
        <f ca="1">OFFSET(Database!$F84,0,COLUMN(Database!K84)*2-12)</f>
        <v>n.r.</v>
      </c>
      <c r="O84" s="8" t="str">
        <f ca="1">OFFSET(Database!$F84,0,COLUMN(Database!L84)*2-12)</f>
        <v>n.r.</v>
      </c>
      <c r="P84" s="8" t="str">
        <f ca="1">OFFSET(Database!$F84,0,COLUMN(Database!M84)*2-12)</f>
        <v>n.r.</v>
      </c>
      <c r="Q84" s="8" t="str">
        <f ca="1">OFFSET(Database!$F84,0,COLUMN(Database!N84)*2-12)</f>
        <v>n.r.</v>
      </c>
      <c r="R84" s="8" t="str">
        <f ca="1">OFFSET(Database!$F84,0,COLUMN(Database!O84)*2-12)</f>
        <v>n.r.</v>
      </c>
      <c r="S84" s="8" t="str">
        <f ca="1">OFFSET(Database!$F84,0,COLUMN(Database!P84)*2-12)</f>
        <v>n.r.</v>
      </c>
      <c r="T84" s="8" t="str">
        <f ca="1">OFFSET(Database!$F84,0,COLUMN(Database!Q84)*2-12)</f>
        <v>n.r.</v>
      </c>
      <c r="U84" s="8" t="str">
        <f ca="1">OFFSET(Database!$F84,0,COLUMN(Database!R84)*2-12)</f>
        <v>n.r.</v>
      </c>
      <c r="V84" s="8" t="str">
        <f ca="1">OFFSET(Database!$F84,0,COLUMN(Database!S84)*2-12)</f>
        <v>n.r.</v>
      </c>
      <c r="W84" s="8" t="str">
        <f ca="1">OFFSET(Database!$F84,0,COLUMN(Database!T84)*2-12)</f>
        <v>n.r.</v>
      </c>
      <c r="X84" s="8" t="str">
        <f ca="1">OFFSET(Database!$F84,0,COLUMN(Database!U84)*2-12)</f>
        <v>n.r.</v>
      </c>
      <c r="Y84" s="8" t="str">
        <f ca="1">OFFSET(Database!$F84,0,COLUMN(Database!V84)*2-12)</f>
        <v>n.r.</v>
      </c>
      <c r="Z84" s="8" t="str">
        <f ca="1">OFFSET(Database!$F84,0,COLUMN(Database!W84)*2-12)</f>
        <v>n.r.</v>
      </c>
      <c r="AA84" s="8" t="str">
        <f ca="1">OFFSET(Database!$F84,0,COLUMN(Database!X84)*2-12)</f>
        <v>n.r.</v>
      </c>
      <c r="AB84" s="8">
        <f ca="1">OFFSET(Database!$F84,0,COLUMN(Database!Y84)*2-12)</f>
        <v>0.71353229509213878</v>
      </c>
      <c r="AC84" s="8" t="str">
        <f ca="1">OFFSET(Database!$F84,0,COLUMN(Database!Z84)*2-12)</f>
        <v>n.r.</v>
      </c>
      <c r="AD84" s="8" t="str">
        <f ca="1">OFFSET(Database!$F84,0,COLUMN(Database!AA84)*2-12)</f>
        <v>n.r.</v>
      </c>
      <c r="AE84" s="8" t="str">
        <f ca="1">OFFSET(Database!$F84,0,COLUMN(Database!AB84)*2-12)</f>
        <v>n.r.</v>
      </c>
      <c r="AF84" s="8" t="str">
        <f ca="1">OFFSET(Database!$F84,0,COLUMN(Database!AC84)*2-12)</f>
        <v>n.r.</v>
      </c>
      <c r="AG84" s="8" t="str">
        <f ca="1">OFFSET(Database!$F84,0,COLUMN(Database!AD84)*2-12)</f>
        <v>n.r.</v>
      </c>
      <c r="AH84" s="8" t="str">
        <f ca="1">OFFSET(Database!$F84,0,COLUMN(Database!AE84)*2-12)</f>
        <v>n.r.</v>
      </c>
      <c r="AI84" s="8" t="str">
        <f ca="1">OFFSET(Database!$F84,0,COLUMN(Database!AF84)*2-12)</f>
        <v>n.r.</v>
      </c>
      <c r="AJ84" s="8" t="str">
        <f ca="1">OFFSET(Database!$F84,0,COLUMN(Database!AG84)*2-12)</f>
        <v>n.r.</v>
      </c>
      <c r="AK84" s="8" t="str">
        <f ca="1">OFFSET(Database!$F84,0,COLUMN(Database!AH84)*2-12)</f>
        <v>n.r.</v>
      </c>
      <c r="AL84" s="8" t="str">
        <f ca="1">OFFSET(Database!$F84,0,COLUMN(Database!AI84)*2-12)</f>
        <v>n.r.</v>
      </c>
      <c r="AM84" s="8" t="str">
        <f ca="1">OFFSET(Database!$F84,0,COLUMN(Database!AJ84)*2-12)</f>
        <v>n.r.</v>
      </c>
      <c r="AN84" s="8" t="str">
        <f ca="1">OFFSET(Database!$F84,0,COLUMN(Database!AK84)*2-12)</f>
        <v>n.r.</v>
      </c>
      <c r="AO84" s="8" t="str">
        <f ca="1">OFFSET(Database!$F84,0,COLUMN(Database!AL84)*2-12)</f>
        <v>n.r.</v>
      </c>
      <c r="AP84" s="8" t="str">
        <f ca="1">OFFSET(Database!$F84,0,COLUMN(Database!AM84)*2-12)</f>
        <v>n.r.</v>
      </c>
      <c r="AQ84" s="8" t="str">
        <f ca="1">OFFSET(Database!$F84,0,COLUMN(Database!AN84)*2-12)</f>
        <v>n.r.</v>
      </c>
      <c r="AR84" s="8" t="str">
        <f ca="1">OFFSET(Database!$F84,0,COLUMN(Database!AO84)*2-12)</f>
        <v>n.r.</v>
      </c>
      <c r="AS84" s="8" t="str">
        <f ca="1">OFFSET(Database!$F84,0,COLUMN(Database!AP84)*2-12)</f>
        <v>n.r.</v>
      </c>
      <c r="AT84" s="8" t="str">
        <f ca="1">OFFSET(Database!$F84,0,COLUMN(Database!AQ84)*2-12)</f>
        <v>n.r.</v>
      </c>
      <c r="AU84" s="8" t="str">
        <f ca="1">OFFSET(Database!$F84,0,COLUMN(Database!AR84)*2-12)</f>
        <v>n.r.</v>
      </c>
      <c r="AV84" s="8" t="str">
        <f ca="1">OFFSET(Database!$F84,0,COLUMN(Database!AS84)*2-12)</f>
        <v>n.r.</v>
      </c>
      <c r="AW84" s="8" t="str">
        <f ca="1">OFFSET(Database!$F84,0,COLUMN(Database!AT84)*2-12)</f>
        <v>n.r.</v>
      </c>
      <c r="AX84" s="8" t="str">
        <f ca="1">OFFSET(Database!$F84,0,COLUMN(Database!AU84)*2-12)</f>
        <v>n.r.</v>
      </c>
      <c r="AY84" s="8" t="str">
        <f ca="1">OFFSET(Database!$F84,0,COLUMN(Database!AV84)*2-12)</f>
        <v>n.r.</v>
      </c>
      <c r="AZ84" s="8" t="str">
        <f ca="1">OFFSET(Database!$F84,0,COLUMN(Database!AW84)*2-12)</f>
        <v>n.r.</v>
      </c>
      <c r="BA84" s="8" t="str">
        <f ca="1">OFFSET(Database!$F84,0,COLUMN(Database!AX84)*2-12)</f>
        <v>n.r.</v>
      </c>
      <c r="BB84" s="8" t="str">
        <f ca="1">OFFSET(Database!$F84,0,COLUMN(Database!AY84)*2-12)</f>
        <v>n.r.</v>
      </c>
      <c r="BC84" s="8" t="str">
        <f ca="1">OFFSET(Database!$F84,0,COLUMN(Database!AZ84)*2-12)</f>
        <v>n.r.</v>
      </c>
      <c r="BD84" s="8" t="str">
        <f ca="1">OFFSET(Database!$F84,0,COLUMN(Database!BA84)*2-12)</f>
        <v>n.r.</v>
      </c>
      <c r="BE84" s="8" t="str">
        <f ca="1">OFFSET(Database!$F84,0,COLUMN(Database!BB84)*2-12)</f>
        <v>n.r.</v>
      </c>
      <c r="BF84" s="8" t="str">
        <f ca="1">OFFSET(Database!$F84,0,COLUMN(Database!BC84)*2-12)</f>
        <v>n.r.</v>
      </c>
      <c r="BG84" s="8" t="str">
        <f ca="1">OFFSET(Database!$F84,0,COLUMN(Database!BD84)*2-12)</f>
        <v>n.r.</v>
      </c>
      <c r="BH84" s="8" t="str">
        <f ca="1">OFFSET(Database!$F84,0,COLUMN(Database!BE84)*2-12)</f>
        <v>n.r.</v>
      </c>
      <c r="BI84" s="8" t="str">
        <f ca="1">OFFSET(Database!$F84,0,COLUMN(Database!BF84)*2-12)</f>
        <v>n.r.</v>
      </c>
      <c r="BJ84" s="8" t="str">
        <f ca="1">OFFSET(Database!$F84,0,COLUMN(Database!BG84)*2-12)</f>
        <v>n.r.</v>
      </c>
      <c r="BK84" s="8" t="str">
        <f ca="1">OFFSET(Database!$F84,0,COLUMN(Database!BH84)*2-12)</f>
        <v>n.r.</v>
      </c>
      <c r="BL84" s="8" t="str">
        <f ca="1">OFFSET(Database!$F84,0,COLUMN(Database!BI84)*2-12)</f>
        <v>n.r.</v>
      </c>
      <c r="BM84" s="8" t="str">
        <f ca="1">OFFSET(Database!$F84,0,COLUMN(Database!BJ84)*2-12)</f>
        <v>n.r.</v>
      </c>
      <c r="BN84" s="8" t="str">
        <f ca="1">OFFSET(Database!$F84,0,COLUMN(Database!BK84)*2-12)</f>
        <v>n.r.</v>
      </c>
      <c r="BO84" s="8" t="str">
        <f ca="1">OFFSET(Database!$F84,0,COLUMN(Database!BL84)*2-12)</f>
        <v>n.r.</v>
      </c>
      <c r="BP84" s="8" t="str">
        <f ca="1">OFFSET(Database!$F84,0,COLUMN(Database!BM84)*2-12)</f>
        <v>n.r.</v>
      </c>
      <c r="BQ84" s="8" t="str">
        <f ca="1">OFFSET(Database!$F84,0,COLUMN(Database!BN84)*2-12)</f>
        <v>n.r.</v>
      </c>
      <c r="BR84" s="8" t="str">
        <f ca="1">OFFSET(Database!$F84,0,COLUMN(Database!BO84)*2-12)</f>
        <v>n.r.</v>
      </c>
      <c r="BS84" s="8" t="str">
        <f ca="1">OFFSET(Database!$F84,0,COLUMN(Database!BP84)*2-12)</f>
        <v>n.r.</v>
      </c>
      <c r="BT84" s="8" t="str">
        <f ca="1">OFFSET(Database!$F84,0,COLUMN(Database!BQ84)*2-12)</f>
        <v>n.r.</v>
      </c>
      <c r="BU84" s="8" t="str">
        <f ca="1">OFFSET(Database!$F84,0,COLUMN(Database!BR84)*2-12)</f>
        <v>n.r.</v>
      </c>
      <c r="BV84" s="8" t="str">
        <f ca="1">OFFSET(Database!$F84,0,COLUMN(Database!BS84)*2-12)</f>
        <v>n.r.</v>
      </c>
      <c r="BW84" s="8" t="str">
        <f ca="1">OFFSET(Database!$F84,0,COLUMN(Database!BT84)*2-12)</f>
        <v>n.r.</v>
      </c>
      <c r="BX84" s="8" t="str">
        <f ca="1">OFFSET(Database!$F84,0,COLUMN(Database!BU84)*2-12)</f>
        <v>n.r.</v>
      </c>
      <c r="BY84" s="8" t="str">
        <f ca="1">OFFSET(Database!$F84,0,COLUMN(Database!BV84)*2-12)</f>
        <v>n.r.</v>
      </c>
      <c r="BZ84" s="8" t="str">
        <f ca="1">OFFSET(Database!$F84,0,COLUMN(Database!BW84)*2-12)</f>
        <v>n.r.</v>
      </c>
      <c r="CA84" s="8" t="str">
        <f ca="1">OFFSET(Database!$F84,0,COLUMN(Database!BX84)*2-12)</f>
        <v>n.r.</v>
      </c>
      <c r="CB84" s="8" t="str">
        <f ca="1">OFFSET(Database!$F84,0,COLUMN(Database!BY84)*2-12)</f>
        <v>n.r.</v>
      </c>
      <c r="CC84" s="8" t="str">
        <f ca="1">OFFSET(Database!$F84,0,COLUMN(Database!BZ84)*2-12)</f>
        <v>n.r.</v>
      </c>
      <c r="CD84" s="8" t="str">
        <f ca="1">OFFSET(Database!$F84,0,COLUMN(Database!CA84)*2-12)</f>
        <v>n.r.</v>
      </c>
      <c r="CE84" s="8" t="str">
        <f ca="1">OFFSET(Database!$F84,0,COLUMN(Database!CB84)*2-12)</f>
        <v>n.r.</v>
      </c>
      <c r="CF84" s="8" t="str">
        <f ca="1">OFFSET(Database!$F84,0,COLUMN(Database!CC84)*2-12)</f>
        <v>n.r.</v>
      </c>
      <c r="CG84" s="8" t="str">
        <f ca="1">OFFSET(Database!$F84,0,COLUMN(Database!CD84)*2-12)</f>
        <v>n.r.</v>
      </c>
      <c r="CH84" s="8" t="str">
        <f ca="1">OFFSET(Database!$F84,0,COLUMN(Database!CE84)*2-12)</f>
        <v>n.r.</v>
      </c>
      <c r="CI84" s="8" t="str">
        <f ca="1">OFFSET(Database!$F84,0,COLUMN(Database!CF84)*2-12)</f>
        <v>n.r.</v>
      </c>
      <c r="CJ84" s="8" t="str">
        <f ca="1">OFFSET(Database!$F84,0,COLUMN(Database!CG84)*2-12)</f>
        <v>n.r.</v>
      </c>
      <c r="CK84" s="8" t="str">
        <f ca="1">OFFSET(Database!$F84,0,COLUMN(Database!CH84)*2-12)</f>
        <v>n.r.</v>
      </c>
      <c r="CL84" s="8" t="str">
        <f ca="1">OFFSET(Database!$F84,0,COLUMN(Database!CI84)*2-12)</f>
        <v>n.r.</v>
      </c>
      <c r="CM84" s="8" t="str">
        <f ca="1">OFFSET(Database!$F84,0,COLUMN(Database!CJ84)*2-12)</f>
        <v>n.r.</v>
      </c>
      <c r="CN84" s="8" t="str">
        <f ca="1">OFFSET(Database!$F84,0,COLUMN(Database!CK84)*2-12)</f>
        <v>n.r.</v>
      </c>
      <c r="CO84" s="8" t="str">
        <f ca="1">OFFSET(Database!$F84,0,COLUMN(Database!CL84)*2-12)</f>
        <v>n.r.</v>
      </c>
      <c r="CP84" s="8" t="str">
        <f ca="1">OFFSET(Database!$F84,0,COLUMN(Database!CM84)*2-12)</f>
        <v>n.r.</v>
      </c>
      <c r="CQ84" s="8" t="str">
        <f ca="1">OFFSET(Database!$F84,0,COLUMN(Database!CN84)*2-12)</f>
        <v>n.r.</v>
      </c>
      <c r="CR84" s="8" t="str">
        <f ca="1">OFFSET(Database!$F84,0,COLUMN(Database!CO84)*2-12)</f>
        <v>n.r.</v>
      </c>
      <c r="CS84" s="8" t="str">
        <f ca="1">OFFSET(Database!$F84,0,COLUMN(Database!CP84)*2-12)</f>
        <v>n.r.</v>
      </c>
      <c r="CT84" s="8" t="str">
        <f ca="1">OFFSET(Database!$F84,0,COLUMN(Database!CQ84)*2-12)</f>
        <v>n.r.</v>
      </c>
      <c r="CU84" s="8" t="str">
        <f ca="1">OFFSET(Database!$F84,0,COLUMN(Database!CR84)*2-12)</f>
        <v>n.r.</v>
      </c>
      <c r="CV84" s="8" t="str">
        <f ca="1">OFFSET(Database!$F84,0,COLUMN(Database!CS84)*2-12)</f>
        <v>n.r.</v>
      </c>
      <c r="CW84" s="8" t="str">
        <f ca="1">OFFSET(Database!$F84,0,COLUMN(Database!CT84)*2-12)</f>
        <v>n.r.</v>
      </c>
      <c r="CX84" s="8" t="str">
        <f ca="1">OFFSET(Database!$F84,0,COLUMN(Database!CU84)*2-12)</f>
        <v>n.r.</v>
      </c>
      <c r="CY84" s="8" t="str">
        <f ca="1">OFFSET(Database!$F84,0,COLUMN(Database!CV84)*2-12)</f>
        <v>n.r.</v>
      </c>
      <c r="CZ84" s="8" t="str">
        <f ca="1">OFFSET(Database!$F84,0,COLUMN(Database!CW84)*2-12)</f>
        <v>n.r.</v>
      </c>
      <c r="DA84" s="8" t="str">
        <f ca="1">OFFSET(Database!$F84,0,COLUMN(Database!CX84)*2-12)</f>
        <v>n.r.</v>
      </c>
      <c r="DB84" s="8" t="str">
        <f ca="1">OFFSET(Database!$F84,0,COLUMN(Database!CY84)*2-12)</f>
        <v>n.r.</v>
      </c>
      <c r="DC84" s="8" t="str">
        <f ca="1">OFFSET(Database!$F84,0,COLUMN(Database!CZ84)*2-12)</f>
        <v>n.r.</v>
      </c>
      <c r="DD84" s="8" t="str">
        <f ca="1">OFFSET(Database!$F84,0,COLUMN(Database!DA84)*2-12)</f>
        <v>n.r.</v>
      </c>
      <c r="DE84" s="8" t="str">
        <f ca="1">OFFSET(Database!$F84,0,COLUMN(Database!DB84)*2-12)</f>
        <v>n.r.</v>
      </c>
      <c r="DF84" s="8" t="str">
        <f ca="1">OFFSET(Database!$F84,0,COLUMN(Database!DC84)*2-12)</f>
        <v>n.r.</v>
      </c>
      <c r="DG84" s="8" t="str">
        <f ca="1">OFFSET(Database!$F84,0,COLUMN(Database!DD84)*2-12)</f>
        <v>n.r.</v>
      </c>
      <c r="DH84" s="8" t="str">
        <f ca="1">OFFSET(Database!$F84,0,COLUMN(Database!DE84)*2-12)</f>
        <v>n.r.</v>
      </c>
      <c r="DI84" s="8" t="str">
        <f ca="1">OFFSET(Database!$F84,0,COLUMN(Database!DF84)*2-12)</f>
        <v>n.r.</v>
      </c>
      <c r="DJ84" s="8" t="str">
        <f ca="1">OFFSET(Database!$F84,0,COLUMN(Database!DG84)*2-12)</f>
        <v>n.r.</v>
      </c>
      <c r="DK84" s="8" t="str">
        <f ca="1">OFFSET(Database!$F84,0,COLUMN(Database!DH84)*2-12)</f>
        <v>n.r.</v>
      </c>
      <c r="DL84" s="8" t="str">
        <f ca="1">OFFSET(Database!$F84,0,COLUMN(Database!DI84)*2-12)</f>
        <v>n.r.</v>
      </c>
      <c r="DM84" s="8" t="str">
        <f ca="1">OFFSET(Database!$F84,0,COLUMN(Database!DJ84)*2-12)</f>
        <v>n.r.</v>
      </c>
      <c r="DN84" s="8" t="str">
        <f ca="1">OFFSET(Database!$F84,0,COLUMN(Database!DK84)*2-12)</f>
        <v>n.r.</v>
      </c>
      <c r="DO84" s="8" t="str">
        <f ca="1">OFFSET(Database!$F84,0,COLUMN(Database!DL84)*2-12)</f>
        <v>n.r.</v>
      </c>
      <c r="DP84" s="8" t="str">
        <f ca="1">OFFSET(Database!$F84,0,COLUMN(Database!DM84)*2-12)</f>
        <v>n.r.</v>
      </c>
      <c r="DQ84" s="8" t="str">
        <f ca="1">OFFSET(Database!$F84,0,COLUMN(Database!DN84)*2-12)</f>
        <v>n.r.</v>
      </c>
      <c r="DR84" s="8" t="str">
        <f ca="1">OFFSET(Database!$F84,0,COLUMN(Database!DO84)*2-12)</f>
        <v>n.r.</v>
      </c>
      <c r="DS84" s="8" t="str">
        <f ca="1">OFFSET(Database!$F84,0,COLUMN(Database!DP84)*2-12)</f>
        <v>n.r.</v>
      </c>
      <c r="DT84" s="8" t="str">
        <f ca="1">OFFSET(Database!$F84,0,COLUMN(Database!DQ84)*2-12)</f>
        <v>n.r.</v>
      </c>
      <c r="DU84" s="8" t="str">
        <f ca="1">OFFSET(Database!$F84,0,COLUMN(Database!DR84)*2-12)</f>
        <v>n.r.</v>
      </c>
      <c r="DV84" s="8" t="str">
        <f ca="1">OFFSET(Database!$F84,0,COLUMN(Database!DS84)*2-12)</f>
        <v>n.r.</v>
      </c>
      <c r="DW84" s="8" t="str">
        <f ca="1">OFFSET(Database!$F84,0,COLUMN(Database!DT84)*2-12)</f>
        <v>n.r.</v>
      </c>
      <c r="DX84" s="8" t="str">
        <f ca="1">OFFSET(Database!$F84,0,COLUMN(Database!DU84)*2-12)</f>
        <v>n.r.</v>
      </c>
      <c r="DY84" s="8" t="str">
        <f ca="1">OFFSET(Database!$F84,0,COLUMN(Database!DV84)*2-12)</f>
        <v>n.r.</v>
      </c>
      <c r="DZ84" s="8" t="str">
        <f ca="1">OFFSET(Database!$F84,0,COLUMN(Database!DW84)*2-12)</f>
        <v>n.r.</v>
      </c>
      <c r="EA84" s="8" t="str">
        <f ca="1">OFFSET(Database!$F84,0,COLUMN(Database!DX84)*2-12)</f>
        <v>n.r.</v>
      </c>
      <c r="EB84" s="8" t="str">
        <f ca="1">OFFSET(Database!$F84,0,COLUMN(Database!DY84)*2-12)</f>
        <v>n.r.</v>
      </c>
      <c r="EC84" s="8" t="str">
        <f ca="1">OFFSET(Database!$F84,0,COLUMN(Database!DZ84)*2-12)</f>
        <v>n.r.</v>
      </c>
      <c r="ED84" s="8" t="str">
        <f ca="1">OFFSET(Database!$F84,0,COLUMN(Database!EA84)*2-12)</f>
        <v>n.r.</v>
      </c>
      <c r="EE84" s="8" t="str">
        <f ca="1">OFFSET(Database!$F84,0,COLUMN(Database!EB84)*2-12)</f>
        <v>n.r.</v>
      </c>
      <c r="EF84" s="8" t="str">
        <f ca="1">OFFSET(Database!$F84,0,COLUMN(Database!EC84)*2-12)</f>
        <v>n.r.</v>
      </c>
      <c r="EG84" s="8" t="str">
        <f ca="1">OFFSET(Database!$F84,0,COLUMN(Database!ED84)*2-12)</f>
        <v>n.r.</v>
      </c>
      <c r="EH84" s="8" t="str">
        <f ca="1">OFFSET(Database!$F84,0,COLUMN(Database!EE84)*2-12)</f>
        <v>n.r.</v>
      </c>
      <c r="EI84" s="8" t="str">
        <f ca="1">OFFSET(Database!$F84,0,COLUMN(Database!EF84)*2-12)</f>
        <v>n.r.</v>
      </c>
      <c r="EJ84" s="8" t="str">
        <f ca="1">OFFSET(Database!$F84,0,COLUMN(Database!EG84)*2-12)</f>
        <v>n.r.</v>
      </c>
      <c r="EK84" s="8" t="str">
        <f ca="1">OFFSET(Database!$F84,0,COLUMN(Database!EH84)*2-12)</f>
        <v>n.r.</v>
      </c>
      <c r="EL84" s="8" t="str">
        <f ca="1">OFFSET(Database!$F84,0,COLUMN(Database!EI84)*2-12)</f>
        <v>n.r.</v>
      </c>
      <c r="EM84" s="8" t="str">
        <f ca="1">OFFSET(Database!$F84,0,COLUMN(Database!EJ84)*2-12)</f>
        <v>n.r.</v>
      </c>
      <c r="EN84" s="8" t="str">
        <f ca="1">OFFSET(Database!$F84,0,COLUMN(Database!EK84)*2-12)</f>
        <v>n.r.</v>
      </c>
      <c r="EO84" s="8" t="str">
        <f ca="1">OFFSET(Database!$F84,0,COLUMN(Database!EL84)*2-12)</f>
        <v>n.r.</v>
      </c>
      <c r="EP84" s="8" t="str">
        <f ca="1">OFFSET(Database!$F84,0,COLUMN(Database!EM84)*2-12)</f>
        <v>n.r.</v>
      </c>
      <c r="EQ84" s="8" t="str">
        <f ca="1">OFFSET(Database!$F84,0,COLUMN(Database!EN84)*2-12)</f>
        <v>n.r.</v>
      </c>
      <c r="ER84" s="8" t="str">
        <f ca="1">OFFSET(Database!$F84,0,COLUMN(Database!EO84)*2-12)</f>
        <v>n.r.</v>
      </c>
      <c r="ES84" s="8" t="str">
        <f ca="1">OFFSET(Database!$F84,0,COLUMN(Database!EP84)*2-12)</f>
        <v>n.r.</v>
      </c>
      <c r="ET84" s="8" t="str">
        <f ca="1">OFFSET(Database!$F84,0,COLUMN(Database!EQ84)*2-12)</f>
        <v>n.r.</v>
      </c>
      <c r="EU84" s="8" t="str">
        <f ca="1">OFFSET(Database!$F84,0,COLUMN(Database!ER84)*2-12)</f>
        <v>n.r.</v>
      </c>
      <c r="EV84" s="8" t="str">
        <f ca="1">OFFSET(Database!$F84,0,COLUMN(Database!ES84)*2-12)</f>
        <v>n.r.</v>
      </c>
      <c r="EW84" s="8" t="str">
        <f ca="1">OFFSET(Database!$F84,0,COLUMN(Database!ET84)*2-12)</f>
        <v>n.r.</v>
      </c>
      <c r="EX84" s="8" t="str">
        <f ca="1">OFFSET(Database!$F84,0,COLUMN(Database!EU84)*2-12)</f>
        <v>n.r.</v>
      </c>
      <c r="EY84" s="8" t="str">
        <f ca="1">OFFSET(Database!$F84,0,COLUMN(Database!EV84)*2-12)</f>
        <v>n.r.</v>
      </c>
      <c r="EZ84" s="8" t="str">
        <f ca="1">OFFSET(Database!$F84,0,COLUMN(Database!EW84)*2-12)</f>
        <v>n.r.</v>
      </c>
      <c r="FA84" s="8" t="str">
        <f ca="1">OFFSET(Database!$F84,0,COLUMN(Database!EX84)*2-12)</f>
        <v>n.r.</v>
      </c>
      <c r="FB84" s="8" t="str">
        <f ca="1">OFFSET(Database!$F84,0,COLUMN(Database!EY84)*2-12)</f>
        <v>n.r.</v>
      </c>
      <c r="FC84" s="8" t="str">
        <f ca="1">OFFSET(Database!$F84,0,COLUMN(Database!EZ84)*2-12)</f>
        <v>n.r.</v>
      </c>
      <c r="FD84" s="8" t="str">
        <f ca="1">OFFSET(Database!$F84,0,COLUMN(Database!FA84)*2-12)</f>
        <v>n.r.</v>
      </c>
      <c r="FE84" s="8" t="str">
        <f ca="1">OFFSET(Database!$F84,0,COLUMN(Database!FB84)*2-12)</f>
        <v>n.r.</v>
      </c>
      <c r="FF84" s="8" t="str">
        <f ca="1">OFFSET(Database!$F84,0,COLUMN(Database!FC84)*2-12)</f>
        <v>n.r.</v>
      </c>
      <c r="FG84" s="8" t="str">
        <f ca="1">OFFSET(Database!$F84,0,COLUMN(Database!FD84)*2-12)</f>
        <v>n.r.</v>
      </c>
      <c r="FH84" s="8" t="str">
        <f ca="1">OFFSET(Database!$F84,0,COLUMN(Database!FE84)*2-12)</f>
        <v>n.r.</v>
      </c>
      <c r="FI84" s="8" t="str">
        <f ca="1">OFFSET(Database!$F84,0,COLUMN(Database!FF84)*2-12)</f>
        <v>n.r.</v>
      </c>
      <c r="FJ84" s="8" t="str">
        <f ca="1">OFFSET(Database!$F84,0,COLUMN(Database!FG84)*2-12)</f>
        <v>n.r.</v>
      </c>
      <c r="FK84" s="8" t="str">
        <f ca="1">OFFSET(Database!$F84,0,COLUMN(Database!FH84)*2-12)</f>
        <v>n.r.</v>
      </c>
      <c r="FL84" s="8" t="str">
        <f ca="1">OFFSET(Database!$F84,0,COLUMN(Database!FI84)*2-12)</f>
        <v>n.r.</v>
      </c>
      <c r="FM84" s="8" t="str">
        <f ca="1">OFFSET(Database!$F84,0,COLUMN(Database!FJ84)*2-12)</f>
        <v>n.r.</v>
      </c>
      <c r="FN84" s="8" t="str">
        <f ca="1">OFFSET(Database!$F84,0,COLUMN(Database!FK84)*2-12)</f>
        <v>n.r.</v>
      </c>
      <c r="FO84" s="8" t="str">
        <f ca="1">OFFSET(Database!$F84,0,COLUMN(Database!FL84)*2-12)</f>
        <v>n.r.</v>
      </c>
      <c r="FP84" s="8" t="str">
        <f ca="1">OFFSET(Database!$F84,0,COLUMN(Database!FM84)*2-12)</f>
        <v>n.r.</v>
      </c>
      <c r="FQ84" s="8" t="str">
        <f ca="1">OFFSET(Database!$F84,0,COLUMN(Database!FN84)*2-12)</f>
        <v>n.r.</v>
      </c>
      <c r="FR84" s="8" t="str">
        <f ca="1">OFFSET(Database!$F84,0,COLUMN(Database!FO84)*2-12)</f>
        <v>n.r.</v>
      </c>
      <c r="FS84" s="8" t="str">
        <f ca="1">OFFSET(Database!$F84,0,COLUMN(Database!FP84)*2-12)</f>
        <v>n.r.</v>
      </c>
      <c r="FT84" s="8" t="str">
        <f ca="1">OFFSET(Database!$F84,0,COLUMN(Database!FQ84)*2-12)</f>
        <v>n.r.</v>
      </c>
      <c r="FU84" s="8" t="str">
        <f ca="1">OFFSET(Database!$F84,0,COLUMN(Database!FR84)*2-12)</f>
        <v>n.r.</v>
      </c>
      <c r="FV84" s="8" t="str">
        <f ca="1">OFFSET(Database!$F84,0,COLUMN(Database!FS84)*2-12)</f>
        <v>n.r.</v>
      </c>
      <c r="FW84" s="8" t="str">
        <f ca="1">OFFSET(Database!$F84,0,COLUMN(Database!FT84)*2-12)</f>
        <v>n.r.</v>
      </c>
      <c r="FX84" s="8" t="str">
        <f ca="1">OFFSET(Database!$F84,0,COLUMN(Database!FU84)*2-12)</f>
        <v>n.r.</v>
      </c>
      <c r="FY84" s="8" t="str">
        <f ca="1">OFFSET(Database!$F84,0,COLUMN(Database!FV84)*2-12)</f>
        <v>n.r.</v>
      </c>
      <c r="FZ84" s="8" t="str">
        <f ca="1">OFFSET(Database!$F84,0,COLUMN(Database!FW84)*2-12)</f>
        <v>n.r.</v>
      </c>
      <c r="GA84" s="8" t="str">
        <f ca="1">OFFSET(Database!$F84,0,COLUMN(Database!FX84)*2-12)</f>
        <v>n.r.</v>
      </c>
      <c r="GB84" s="8" t="str">
        <f ca="1">OFFSET(Database!$F84,0,COLUMN(Database!FY84)*2-12)</f>
        <v>n.r.</v>
      </c>
      <c r="GC84" s="8" t="str">
        <f ca="1">OFFSET(Database!$F84,0,COLUMN(Database!FZ84)*2-12)</f>
        <v>n.r.</v>
      </c>
      <c r="GD84" s="8" t="str">
        <f ca="1">OFFSET(Database!$F84,0,COLUMN(Database!GA84)*2-12)</f>
        <v>n.r.</v>
      </c>
      <c r="GE84" s="8" t="str">
        <f ca="1">OFFSET(Database!$F84,0,COLUMN(Database!GB84)*2-12)</f>
        <v>n.r.</v>
      </c>
      <c r="GF84" s="8" t="str">
        <f ca="1">OFFSET(Database!$F84,0,COLUMN(Database!GC84)*2-12)</f>
        <v>n.r.</v>
      </c>
      <c r="GG84" s="8" t="str">
        <f ca="1">OFFSET(Database!$F84,0,COLUMN(Database!GD84)*2-12)</f>
        <v>n.r.</v>
      </c>
      <c r="GH84" s="8" t="str">
        <f ca="1">OFFSET(Database!$F84,0,COLUMN(Database!GE84)*2-12)</f>
        <v>n.r.</v>
      </c>
      <c r="GI84" s="8" t="str">
        <f ca="1">OFFSET(Database!$F84,0,COLUMN(Database!GF84)*2-12)</f>
        <v>n.r.</v>
      </c>
      <c r="GJ84" s="8" t="str">
        <f ca="1">OFFSET(Database!$F84,0,COLUMN(Database!GG84)*2-12)</f>
        <v>n.r.</v>
      </c>
      <c r="GK84" s="8" t="str">
        <f ca="1">OFFSET(Database!$F84,0,COLUMN(Database!GH84)*2-12)</f>
        <v>n.r.</v>
      </c>
      <c r="GL84" s="8" t="str">
        <f ca="1">OFFSET(Database!$F84,0,COLUMN(Database!GI84)*2-12)</f>
        <v>n.r.</v>
      </c>
      <c r="GM84" s="8" t="str">
        <f ca="1">OFFSET(Database!$F84,0,COLUMN(Database!GJ84)*2-12)</f>
        <v>n.r.</v>
      </c>
      <c r="GN84" s="8" t="str">
        <f ca="1">OFFSET(Database!$F84,0,COLUMN(Database!GK84)*2-12)</f>
        <v>n.r.</v>
      </c>
      <c r="GO84" s="8" t="str">
        <f ca="1">OFFSET(Database!$F84,0,COLUMN(Database!GL84)*2-12)</f>
        <v>n.d.</v>
      </c>
      <c r="GP84" s="8" t="str">
        <f ca="1">OFFSET(Database!$F84,0,COLUMN(Database!GM84)*2-12)</f>
        <v>n.d.</v>
      </c>
    </row>
    <row r="85" spans="1:198" x14ac:dyDescent="0.2">
      <c r="A85" s="50" t="str">
        <f>Database!A85</f>
        <v>L-aminoadipic acid</v>
      </c>
      <c r="B85" s="1" t="s">
        <v>877</v>
      </c>
      <c r="C85" s="4" t="str">
        <f>Database!B85</f>
        <v>ɑ</v>
      </c>
      <c r="D85" s="4" t="str">
        <f>Database!C85</f>
        <v>L</v>
      </c>
      <c r="E85" s="74">
        <f>Database!D85</f>
        <v>1</v>
      </c>
      <c r="F85" s="32" t="s">
        <v>958</v>
      </c>
      <c r="G85" s="1">
        <v>92136</v>
      </c>
      <c r="H85" s="1">
        <f>Database!E85</f>
        <v>161.16999999999999</v>
      </c>
      <c r="I85" s="8" t="str">
        <f ca="1">OFFSET(Database!$F85,0,COLUMN(Database!F85)*2-12)</f>
        <v>n.r.</v>
      </c>
      <c r="J85" s="8" t="str">
        <f ca="1">OFFSET(Database!$F85,0,COLUMN(Database!G85)*2-12)</f>
        <v>n.r.</v>
      </c>
      <c r="K85" s="8" t="str">
        <f ca="1">OFFSET(Database!$F85,0,COLUMN(Database!H85)*2-12)</f>
        <v>n.r.</v>
      </c>
      <c r="L85" s="8" t="str">
        <f ca="1">OFFSET(Database!$F85,0,COLUMN(Database!I85)*2-12)</f>
        <v>n.r.</v>
      </c>
      <c r="M85" s="8" t="str">
        <f ca="1">OFFSET(Database!$F85,0,COLUMN(Database!J85)*2-12)</f>
        <v>n.r.</v>
      </c>
      <c r="N85" s="8" t="str">
        <f ca="1">OFFSET(Database!$F85,0,COLUMN(Database!K85)*2-12)</f>
        <v>n.r.</v>
      </c>
      <c r="O85" s="8" t="str">
        <f ca="1">OFFSET(Database!$F85,0,COLUMN(Database!L85)*2-12)</f>
        <v>n.r.</v>
      </c>
      <c r="P85" s="8" t="str">
        <f ca="1">OFFSET(Database!$F85,0,COLUMN(Database!M85)*2-12)</f>
        <v>n.r.</v>
      </c>
      <c r="Q85" s="8" t="str">
        <f ca="1">OFFSET(Database!$F85,0,COLUMN(Database!N85)*2-12)</f>
        <v>n.r.</v>
      </c>
      <c r="R85" s="8" t="str">
        <f ca="1">OFFSET(Database!$F85,0,COLUMN(Database!O85)*2-12)</f>
        <v>n.r.</v>
      </c>
      <c r="S85" s="8" t="str">
        <f ca="1">OFFSET(Database!$F85,0,COLUMN(Database!P85)*2-12)</f>
        <v>n.r.</v>
      </c>
      <c r="T85" s="8" t="str">
        <f ca="1">OFFSET(Database!$F85,0,COLUMN(Database!Q85)*2-12)</f>
        <v>n.r.</v>
      </c>
      <c r="U85" s="8" t="str">
        <f ca="1">OFFSET(Database!$F85,0,COLUMN(Database!R85)*2-12)</f>
        <v>n.r.</v>
      </c>
      <c r="V85" s="8" t="str">
        <f ca="1">OFFSET(Database!$F85,0,COLUMN(Database!S85)*2-12)</f>
        <v>n.r.</v>
      </c>
      <c r="W85" s="8" t="str">
        <f ca="1">OFFSET(Database!$F85,0,COLUMN(Database!T85)*2-12)</f>
        <v>n.r.</v>
      </c>
      <c r="X85" s="8" t="str">
        <f ca="1">OFFSET(Database!$F85,0,COLUMN(Database!U85)*2-12)</f>
        <v>n.r.</v>
      </c>
      <c r="Y85" s="8" t="str">
        <f ca="1">OFFSET(Database!$F85,0,COLUMN(Database!V85)*2-12)</f>
        <v>n.r.</v>
      </c>
      <c r="Z85" s="8" t="str">
        <f ca="1">OFFSET(Database!$F85,0,COLUMN(Database!W85)*2-12)</f>
        <v>n.r.</v>
      </c>
      <c r="AA85" s="8" t="str">
        <f ca="1">OFFSET(Database!$F85,0,COLUMN(Database!X85)*2-12)</f>
        <v>n.r.</v>
      </c>
      <c r="AB85" s="8">
        <f ca="1">OFFSET(Database!$F85,0,COLUMN(Database!Y85)*2-12)</f>
        <v>0.7321461810510641</v>
      </c>
      <c r="AC85" s="8" t="str">
        <f ca="1">OFFSET(Database!$F85,0,COLUMN(Database!Z85)*2-12)</f>
        <v>n.r.</v>
      </c>
      <c r="AD85" s="8" t="str">
        <f ca="1">OFFSET(Database!$F85,0,COLUMN(Database!AA85)*2-12)</f>
        <v>n.r.</v>
      </c>
      <c r="AE85" s="8" t="str">
        <f ca="1">OFFSET(Database!$F85,0,COLUMN(Database!AB85)*2-12)</f>
        <v>n.r.</v>
      </c>
      <c r="AF85" s="8" t="str">
        <f ca="1">OFFSET(Database!$F85,0,COLUMN(Database!AC85)*2-12)</f>
        <v>n.r.</v>
      </c>
      <c r="AG85" s="8" t="str">
        <f ca="1">OFFSET(Database!$F85,0,COLUMN(Database!AD85)*2-12)</f>
        <v>n.r.</v>
      </c>
      <c r="AH85" s="8" t="str">
        <f ca="1">OFFSET(Database!$F85,0,COLUMN(Database!AE85)*2-12)</f>
        <v>n.r.</v>
      </c>
      <c r="AI85" s="8" t="str">
        <f ca="1">OFFSET(Database!$F85,0,COLUMN(Database!AF85)*2-12)</f>
        <v>n.r.</v>
      </c>
      <c r="AJ85" s="8" t="str">
        <f ca="1">OFFSET(Database!$F85,0,COLUMN(Database!AG85)*2-12)</f>
        <v>n.r.</v>
      </c>
      <c r="AK85" s="8" t="str">
        <f ca="1">OFFSET(Database!$F85,0,COLUMN(Database!AH85)*2-12)</f>
        <v>n.r.</v>
      </c>
      <c r="AL85" s="8" t="str">
        <f ca="1">OFFSET(Database!$F85,0,COLUMN(Database!AI85)*2-12)</f>
        <v>n.r.</v>
      </c>
      <c r="AM85" s="8" t="str">
        <f ca="1">OFFSET(Database!$F85,0,COLUMN(Database!AJ85)*2-12)</f>
        <v>n.r.</v>
      </c>
      <c r="AN85" s="8" t="str">
        <f ca="1">OFFSET(Database!$F85,0,COLUMN(Database!AK85)*2-12)</f>
        <v>n.r.</v>
      </c>
      <c r="AO85" s="8" t="str">
        <f ca="1">OFFSET(Database!$F85,0,COLUMN(Database!AL85)*2-12)</f>
        <v>n.r.</v>
      </c>
      <c r="AP85" s="8" t="str">
        <f ca="1">OFFSET(Database!$F85,0,COLUMN(Database!AM85)*2-12)</f>
        <v>n.r.</v>
      </c>
      <c r="AQ85" s="8" t="str">
        <f ca="1">OFFSET(Database!$F85,0,COLUMN(Database!AN85)*2-12)</f>
        <v>n.r.</v>
      </c>
      <c r="AR85" s="8" t="str">
        <f ca="1">OFFSET(Database!$F85,0,COLUMN(Database!AO85)*2-12)</f>
        <v>n.r.</v>
      </c>
      <c r="AS85" s="8" t="str">
        <f ca="1">OFFSET(Database!$F85,0,COLUMN(Database!AP85)*2-12)</f>
        <v>n.r.</v>
      </c>
      <c r="AT85" s="8" t="str">
        <f ca="1">OFFSET(Database!$F85,0,COLUMN(Database!AQ85)*2-12)</f>
        <v>n.r.</v>
      </c>
      <c r="AU85" s="8" t="str">
        <f ca="1">OFFSET(Database!$F85,0,COLUMN(Database!AR85)*2-12)</f>
        <v>n.r.</v>
      </c>
      <c r="AV85" s="8" t="str">
        <f ca="1">OFFSET(Database!$F85,0,COLUMN(Database!AS85)*2-12)</f>
        <v>n.r.</v>
      </c>
      <c r="AW85" s="8" t="str">
        <f ca="1">OFFSET(Database!$F85,0,COLUMN(Database!AT85)*2-12)</f>
        <v>n.r.</v>
      </c>
      <c r="AX85" s="8" t="str">
        <f ca="1">OFFSET(Database!$F85,0,COLUMN(Database!AU85)*2-12)</f>
        <v>n.r.</v>
      </c>
      <c r="AY85" s="8" t="str">
        <f ca="1">OFFSET(Database!$F85,0,COLUMN(Database!AV85)*2-12)</f>
        <v>n.r.</v>
      </c>
      <c r="AZ85" s="8" t="str">
        <f ca="1">OFFSET(Database!$F85,0,COLUMN(Database!AW85)*2-12)</f>
        <v>n.r.</v>
      </c>
      <c r="BA85" s="8" t="str">
        <f ca="1">OFFSET(Database!$F85,0,COLUMN(Database!AX85)*2-12)</f>
        <v>n.r.</v>
      </c>
      <c r="BB85" s="8" t="str">
        <f ca="1">OFFSET(Database!$F85,0,COLUMN(Database!AY85)*2-12)</f>
        <v>n.r.</v>
      </c>
      <c r="BC85" s="8" t="str">
        <f ca="1">OFFSET(Database!$F85,0,COLUMN(Database!AZ85)*2-12)</f>
        <v>n.r.</v>
      </c>
      <c r="BD85" s="8" t="str">
        <f ca="1">OFFSET(Database!$F85,0,COLUMN(Database!BA85)*2-12)</f>
        <v>n.r.</v>
      </c>
      <c r="BE85" s="8" t="str">
        <f ca="1">OFFSET(Database!$F85,0,COLUMN(Database!BB85)*2-12)</f>
        <v>n.r.</v>
      </c>
      <c r="BF85" s="8" t="str">
        <f ca="1">OFFSET(Database!$F85,0,COLUMN(Database!BC85)*2-12)</f>
        <v>n.r.</v>
      </c>
      <c r="BG85" s="8" t="str">
        <f ca="1">OFFSET(Database!$F85,0,COLUMN(Database!BD85)*2-12)</f>
        <v>n.r.</v>
      </c>
      <c r="BH85" s="8" t="str">
        <f ca="1">OFFSET(Database!$F85,0,COLUMN(Database!BE85)*2-12)</f>
        <v>n.r.</v>
      </c>
      <c r="BI85" s="8" t="str">
        <f ca="1">OFFSET(Database!$F85,0,COLUMN(Database!BF85)*2-12)</f>
        <v>n.r.</v>
      </c>
      <c r="BJ85" s="8" t="str">
        <f ca="1">OFFSET(Database!$F85,0,COLUMN(Database!BG85)*2-12)</f>
        <v>n.r.</v>
      </c>
      <c r="BK85" s="8" t="str">
        <f ca="1">OFFSET(Database!$F85,0,COLUMN(Database!BH85)*2-12)</f>
        <v>n.r.</v>
      </c>
      <c r="BL85" s="8" t="str">
        <f ca="1">OFFSET(Database!$F85,0,COLUMN(Database!BI85)*2-12)</f>
        <v>n.r.</v>
      </c>
      <c r="BM85" s="8" t="str">
        <f ca="1">OFFSET(Database!$F85,0,COLUMN(Database!BJ85)*2-12)</f>
        <v>n.r.</v>
      </c>
      <c r="BN85" s="8" t="str">
        <f ca="1">OFFSET(Database!$F85,0,COLUMN(Database!BK85)*2-12)</f>
        <v>n.r.</v>
      </c>
      <c r="BO85" s="8" t="str">
        <f ca="1">OFFSET(Database!$F85,0,COLUMN(Database!BL85)*2-12)</f>
        <v>n.r.</v>
      </c>
      <c r="BP85" s="8" t="str">
        <f ca="1">OFFSET(Database!$F85,0,COLUMN(Database!BM85)*2-12)</f>
        <v>n.r.</v>
      </c>
      <c r="BQ85" s="8" t="str">
        <f ca="1">OFFSET(Database!$F85,0,COLUMN(Database!BN85)*2-12)</f>
        <v>n.r.</v>
      </c>
      <c r="BR85" s="8" t="str">
        <f ca="1">OFFSET(Database!$F85,0,COLUMN(Database!BO85)*2-12)</f>
        <v>n.r.</v>
      </c>
      <c r="BS85" s="8" t="str">
        <f ca="1">OFFSET(Database!$F85,0,COLUMN(Database!BP85)*2-12)</f>
        <v>n.r.</v>
      </c>
      <c r="BT85" s="8" t="str">
        <f ca="1">OFFSET(Database!$F85,0,COLUMN(Database!BQ85)*2-12)</f>
        <v>n.r.</v>
      </c>
      <c r="BU85" s="8" t="str">
        <f ca="1">OFFSET(Database!$F85,0,COLUMN(Database!BR85)*2-12)</f>
        <v>n.r.</v>
      </c>
      <c r="BV85" s="8" t="str">
        <f ca="1">OFFSET(Database!$F85,0,COLUMN(Database!BS85)*2-12)</f>
        <v>n.r.</v>
      </c>
      <c r="BW85" s="8" t="str">
        <f ca="1">OFFSET(Database!$F85,0,COLUMN(Database!BT85)*2-12)</f>
        <v>n.r.</v>
      </c>
      <c r="BX85" s="8" t="str">
        <f ca="1">OFFSET(Database!$F85,0,COLUMN(Database!BU85)*2-12)</f>
        <v>n.r.</v>
      </c>
      <c r="BY85" s="8" t="str">
        <f ca="1">OFFSET(Database!$F85,0,COLUMN(Database!BV85)*2-12)</f>
        <v>n.r.</v>
      </c>
      <c r="BZ85" s="8" t="str">
        <f ca="1">OFFSET(Database!$F85,0,COLUMN(Database!BW85)*2-12)</f>
        <v>n.r.</v>
      </c>
      <c r="CA85" s="8" t="str">
        <f ca="1">OFFSET(Database!$F85,0,COLUMN(Database!BX85)*2-12)</f>
        <v>n.r.</v>
      </c>
      <c r="CB85" s="8" t="str">
        <f ca="1">OFFSET(Database!$F85,0,COLUMN(Database!BY85)*2-12)</f>
        <v>n.r.</v>
      </c>
      <c r="CC85" s="8" t="str">
        <f ca="1">OFFSET(Database!$F85,0,COLUMN(Database!BZ85)*2-12)</f>
        <v>n.r.</v>
      </c>
      <c r="CD85" s="8" t="str">
        <f ca="1">OFFSET(Database!$F85,0,COLUMN(Database!CA85)*2-12)</f>
        <v>n.r.</v>
      </c>
      <c r="CE85" s="8" t="str">
        <f ca="1">OFFSET(Database!$F85,0,COLUMN(Database!CB85)*2-12)</f>
        <v>n.r.</v>
      </c>
      <c r="CF85" s="8" t="str">
        <f ca="1">OFFSET(Database!$F85,0,COLUMN(Database!CC85)*2-12)</f>
        <v>n.r.</v>
      </c>
      <c r="CG85" s="8" t="str">
        <f ca="1">OFFSET(Database!$F85,0,COLUMN(Database!CD85)*2-12)</f>
        <v>n.r.</v>
      </c>
      <c r="CH85" s="8" t="str">
        <f ca="1">OFFSET(Database!$F85,0,COLUMN(Database!CE85)*2-12)</f>
        <v>n.r.</v>
      </c>
      <c r="CI85" s="8" t="str">
        <f ca="1">OFFSET(Database!$F85,0,COLUMN(Database!CF85)*2-12)</f>
        <v>n.r.</v>
      </c>
      <c r="CJ85" s="8" t="str">
        <f ca="1">OFFSET(Database!$F85,0,COLUMN(Database!CG85)*2-12)</f>
        <v>n.r.</v>
      </c>
      <c r="CK85" s="8" t="str">
        <f ca="1">OFFSET(Database!$F85,0,COLUMN(Database!CH85)*2-12)</f>
        <v>n.r.</v>
      </c>
      <c r="CL85" s="8" t="str">
        <f ca="1">OFFSET(Database!$F85,0,COLUMN(Database!CI85)*2-12)</f>
        <v>n.r.</v>
      </c>
      <c r="CM85" s="8" t="str">
        <f ca="1">OFFSET(Database!$F85,0,COLUMN(Database!CJ85)*2-12)</f>
        <v>n.r.</v>
      </c>
      <c r="CN85" s="8" t="str">
        <f ca="1">OFFSET(Database!$F85,0,COLUMN(Database!CK85)*2-12)</f>
        <v>n.r.</v>
      </c>
      <c r="CO85" s="8" t="str">
        <f ca="1">OFFSET(Database!$F85,0,COLUMN(Database!CL85)*2-12)</f>
        <v>n.r.</v>
      </c>
      <c r="CP85" s="8" t="str">
        <f ca="1">OFFSET(Database!$F85,0,COLUMN(Database!CM85)*2-12)</f>
        <v>n.r.</v>
      </c>
      <c r="CQ85" s="8" t="str">
        <f ca="1">OFFSET(Database!$F85,0,COLUMN(Database!CN85)*2-12)</f>
        <v>n.r.</v>
      </c>
      <c r="CR85" s="8" t="str">
        <f ca="1">OFFSET(Database!$F85,0,COLUMN(Database!CO85)*2-12)</f>
        <v>n.r.</v>
      </c>
      <c r="CS85" s="8" t="str">
        <f ca="1">OFFSET(Database!$F85,0,COLUMN(Database!CP85)*2-12)</f>
        <v>n.r.</v>
      </c>
      <c r="CT85" s="8" t="str">
        <f ca="1">OFFSET(Database!$F85,0,COLUMN(Database!CQ85)*2-12)</f>
        <v>n.r.</v>
      </c>
      <c r="CU85" s="8" t="str">
        <f ca="1">OFFSET(Database!$F85,0,COLUMN(Database!CR85)*2-12)</f>
        <v>n.r.</v>
      </c>
      <c r="CV85" s="8" t="str">
        <f ca="1">OFFSET(Database!$F85,0,COLUMN(Database!CS85)*2-12)</f>
        <v>n.r.</v>
      </c>
      <c r="CW85" s="8" t="str">
        <f ca="1">OFFSET(Database!$F85,0,COLUMN(Database!CT85)*2-12)</f>
        <v>n.r.</v>
      </c>
      <c r="CX85" s="8" t="str">
        <f ca="1">OFFSET(Database!$F85,0,COLUMN(Database!CU85)*2-12)</f>
        <v>n.r.</v>
      </c>
      <c r="CY85" s="8" t="str">
        <f ca="1">OFFSET(Database!$F85,0,COLUMN(Database!CV85)*2-12)</f>
        <v>n.r.</v>
      </c>
      <c r="CZ85" s="8" t="str">
        <f ca="1">OFFSET(Database!$F85,0,COLUMN(Database!CW85)*2-12)</f>
        <v>n.r.</v>
      </c>
      <c r="DA85" s="8" t="str">
        <f ca="1">OFFSET(Database!$F85,0,COLUMN(Database!CX85)*2-12)</f>
        <v>n.r.</v>
      </c>
      <c r="DB85" s="8" t="str">
        <f ca="1">OFFSET(Database!$F85,0,COLUMN(Database!CY85)*2-12)</f>
        <v>n.r.</v>
      </c>
      <c r="DC85" s="8" t="str">
        <f ca="1">OFFSET(Database!$F85,0,COLUMN(Database!CZ85)*2-12)</f>
        <v>n.r.</v>
      </c>
      <c r="DD85" s="8" t="str">
        <f ca="1">OFFSET(Database!$F85,0,COLUMN(Database!DA85)*2-12)</f>
        <v>n.r.</v>
      </c>
      <c r="DE85" s="8" t="str">
        <f ca="1">OFFSET(Database!$F85,0,COLUMN(Database!DB85)*2-12)</f>
        <v>n.r.</v>
      </c>
      <c r="DF85" s="8" t="str">
        <f ca="1">OFFSET(Database!$F85,0,COLUMN(Database!DC85)*2-12)</f>
        <v>n.r.</v>
      </c>
      <c r="DG85" s="8" t="str">
        <f ca="1">OFFSET(Database!$F85,0,COLUMN(Database!DD85)*2-12)</f>
        <v>n.r.</v>
      </c>
      <c r="DH85" s="8" t="str">
        <f ca="1">OFFSET(Database!$F85,0,COLUMN(Database!DE85)*2-12)</f>
        <v>n.r.</v>
      </c>
      <c r="DI85" s="8" t="str">
        <f ca="1">OFFSET(Database!$F85,0,COLUMN(Database!DF85)*2-12)</f>
        <v>n.r.</v>
      </c>
      <c r="DJ85" s="8" t="str">
        <f ca="1">OFFSET(Database!$F85,0,COLUMN(Database!DG85)*2-12)</f>
        <v>n.r.</v>
      </c>
      <c r="DK85" s="8" t="str">
        <f ca="1">OFFSET(Database!$F85,0,COLUMN(Database!DH85)*2-12)</f>
        <v>n.r.</v>
      </c>
      <c r="DL85" s="8" t="str">
        <f ca="1">OFFSET(Database!$F85,0,COLUMN(Database!DI85)*2-12)</f>
        <v>n.r.</v>
      </c>
      <c r="DM85" s="8" t="str">
        <f ca="1">OFFSET(Database!$F85,0,COLUMN(Database!DJ85)*2-12)</f>
        <v>n.r.</v>
      </c>
      <c r="DN85" s="8" t="str">
        <f ca="1">OFFSET(Database!$F85,0,COLUMN(Database!DK85)*2-12)</f>
        <v>n.r.</v>
      </c>
      <c r="DO85" s="8" t="str">
        <f ca="1">OFFSET(Database!$F85,0,COLUMN(Database!DL85)*2-12)</f>
        <v>n.r.</v>
      </c>
      <c r="DP85" s="8" t="str">
        <f ca="1">OFFSET(Database!$F85,0,COLUMN(Database!DM85)*2-12)</f>
        <v>n.r.</v>
      </c>
      <c r="DQ85" s="8" t="str">
        <f ca="1">OFFSET(Database!$F85,0,COLUMN(Database!DN85)*2-12)</f>
        <v>n.r.</v>
      </c>
      <c r="DR85" s="8" t="str">
        <f ca="1">OFFSET(Database!$F85,0,COLUMN(Database!DO85)*2-12)</f>
        <v>n.r.</v>
      </c>
      <c r="DS85" s="8" t="str">
        <f ca="1">OFFSET(Database!$F85,0,COLUMN(Database!DP85)*2-12)</f>
        <v>n.r.</v>
      </c>
      <c r="DT85" s="8" t="str">
        <f ca="1">OFFSET(Database!$F85,0,COLUMN(Database!DQ85)*2-12)</f>
        <v>n.r.</v>
      </c>
      <c r="DU85" s="8" t="str">
        <f ca="1">OFFSET(Database!$F85,0,COLUMN(Database!DR85)*2-12)</f>
        <v>n.r.</v>
      </c>
      <c r="DV85" s="8" t="str">
        <f ca="1">OFFSET(Database!$F85,0,COLUMN(Database!DS85)*2-12)</f>
        <v>n.r.</v>
      </c>
      <c r="DW85" s="8" t="str">
        <f ca="1">OFFSET(Database!$F85,0,COLUMN(Database!DT85)*2-12)</f>
        <v>n.r.</v>
      </c>
      <c r="DX85" s="8" t="str">
        <f ca="1">OFFSET(Database!$F85,0,COLUMN(Database!DU85)*2-12)</f>
        <v>n.r.</v>
      </c>
      <c r="DY85" s="8" t="str">
        <f ca="1">OFFSET(Database!$F85,0,COLUMN(Database!DV85)*2-12)</f>
        <v>n.r.</v>
      </c>
      <c r="DZ85" s="8" t="str">
        <f ca="1">OFFSET(Database!$F85,0,COLUMN(Database!DW85)*2-12)</f>
        <v>n.r.</v>
      </c>
      <c r="EA85" s="8" t="str">
        <f ca="1">OFFSET(Database!$F85,0,COLUMN(Database!DX85)*2-12)</f>
        <v>n.r.</v>
      </c>
      <c r="EB85" s="8" t="str">
        <f ca="1">OFFSET(Database!$F85,0,COLUMN(Database!DY85)*2-12)</f>
        <v>n.r.</v>
      </c>
      <c r="EC85" s="8" t="str">
        <f ca="1">OFFSET(Database!$F85,0,COLUMN(Database!DZ85)*2-12)</f>
        <v>n.r.</v>
      </c>
      <c r="ED85" s="8" t="str">
        <f ca="1">OFFSET(Database!$F85,0,COLUMN(Database!EA85)*2-12)</f>
        <v>n.r.</v>
      </c>
      <c r="EE85" s="8" t="str">
        <f ca="1">OFFSET(Database!$F85,0,COLUMN(Database!EB85)*2-12)</f>
        <v>n.r.</v>
      </c>
      <c r="EF85" s="8" t="str">
        <f ca="1">OFFSET(Database!$F85,0,COLUMN(Database!EC85)*2-12)</f>
        <v>n.r.</v>
      </c>
      <c r="EG85" s="8" t="str">
        <f ca="1">OFFSET(Database!$F85,0,COLUMN(Database!ED85)*2-12)</f>
        <v>n.r.</v>
      </c>
      <c r="EH85" s="8" t="str">
        <f ca="1">OFFSET(Database!$F85,0,COLUMN(Database!EE85)*2-12)</f>
        <v>n.r.</v>
      </c>
      <c r="EI85" s="8" t="str">
        <f ca="1">OFFSET(Database!$F85,0,COLUMN(Database!EF85)*2-12)</f>
        <v>n.r.</v>
      </c>
      <c r="EJ85" s="8" t="str">
        <f ca="1">OFFSET(Database!$F85,0,COLUMN(Database!EG85)*2-12)</f>
        <v>n.r.</v>
      </c>
      <c r="EK85" s="8" t="str">
        <f ca="1">OFFSET(Database!$F85,0,COLUMN(Database!EH85)*2-12)</f>
        <v>n.r.</v>
      </c>
      <c r="EL85" s="8" t="str">
        <f ca="1">OFFSET(Database!$F85,0,COLUMN(Database!EI85)*2-12)</f>
        <v>n.r.</v>
      </c>
      <c r="EM85" s="8" t="str">
        <f ca="1">OFFSET(Database!$F85,0,COLUMN(Database!EJ85)*2-12)</f>
        <v>n.r.</v>
      </c>
      <c r="EN85" s="8" t="str">
        <f ca="1">OFFSET(Database!$F85,0,COLUMN(Database!EK85)*2-12)</f>
        <v>n.r.</v>
      </c>
      <c r="EO85" s="8" t="str">
        <f ca="1">OFFSET(Database!$F85,0,COLUMN(Database!EL85)*2-12)</f>
        <v>n.r.</v>
      </c>
      <c r="EP85" s="8" t="str">
        <f ca="1">OFFSET(Database!$F85,0,COLUMN(Database!EM85)*2-12)</f>
        <v>n.r.</v>
      </c>
      <c r="EQ85" s="8" t="str">
        <f ca="1">OFFSET(Database!$F85,0,COLUMN(Database!EN85)*2-12)</f>
        <v>n.r.</v>
      </c>
      <c r="ER85" s="8" t="str">
        <f ca="1">OFFSET(Database!$F85,0,COLUMN(Database!EO85)*2-12)</f>
        <v>n.r.</v>
      </c>
      <c r="ES85" s="8" t="str">
        <f ca="1">OFFSET(Database!$F85,0,COLUMN(Database!EP85)*2-12)</f>
        <v>n.r.</v>
      </c>
      <c r="ET85" s="8" t="str">
        <f ca="1">OFFSET(Database!$F85,0,COLUMN(Database!EQ85)*2-12)</f>
        <v>n.r.</v>
      </c>
      <c r="EU85" s="8" t="str">
        <f ca="1">OFFSET(Database!$F85,0,COLUMN(Database!ER85)*2-12)</f>
        <v>n.r.</v>
      </c>
      <c r="EV85" s="8" t="str">
        <f ca="1">OFFSET(Database!$F85,0,COLUMN(Database!ES85)*2-12)</f>
        <v>n.r.</v>
      </c>
      <c r="EW85" s="8" t="str">
        <f ca="1">OFFSET(Database!$F85,0,COLUMN(Database!ET85)*2-12)</f>
        <v>n.r.</v>
      </c>
      <c r="EX85" s="8" t="str">
        <f ca="1">OFFSET(Database!$F85,0,COLUMN(Database!EU85)*2-12)</f>
        <v>n.r.</v>
      </c>
      <c r="EY85" s="8" t="str">
        <f ca="1">OFFSET(Database!$F85,0,COLUMN(Database!EV85)*2-12)</f>
        <v>n.r.</v>
      </c>
      <c r="EZ85" s="8" t="str">
        <f ca="1">OFFSET(Database!$F85,0,COLUMN(Database!EW85)*2-12)</f>
        <v>n.r.</v>
      </c>
      <c r="FA85" s="8" t="str">
        <f ca="1">OFFSET(Database!$F85,0,COLUMN(Database!EX85)*2-12)</f>
        <v>n.r.</v>
      </c>
      <c r="FB85" s="8" t="str">
        <f ca="1">OFFSET(Database!$F85,0,COLUMN(Database!EY85)*2-12)</f>
        <v>n.r.</v>
      </c>
      <c r="FC85" s="8" t="str">
        <f ca="1">OFFSET(Database!$F85,0,COLUMN(Database!EZ85)*2-12)</f>
        <v>n.r.</v>
      </c>
      <c r="FD85" s="8" t="str">
        <f ca="1">OFFSET(Database!$F85,0,COLUMN(Database!FA85)*2-12)</f>
        <v>n.r.</v>
      </c>
      <c r="FE85" s="8" t="str">
        <f ca="1">OFFSET(Database!$F85,0,COLUMN(Database!FB85)*2-12)</f>
        <v>n.r.</v>
      </c>
      <c r="FF85" s="8" t="str">
        <f ca="1">OFFSET(Database!$F85,0,COLUMN(Database!FC85)*2-12)</f>
        <v>n.r.</v>
      </c>
      <c r="FG85" s="8" t="str">
        <f ca="1">OFFSET(Database!$F85,0,COLUMN(Database!FD85)*2-12)</f>
        <v>n.r.</v>
      </c>
      <c r="FH85" s="8" t="str">
        <f ca="1">OFFSET(Database!$F85,0,COLUMN(Database!FE85)*2-12)</f>
        <v>n.r.</v>
      </c>
      <c r="FI85" s="8" t="str">
        <f ca="1">OFFSET(Database!$F85,0,COLUMN(Database!FF85)*2-12)</f>
        <v>n.r.</v>
      </c>
      <c r="FJ85" s="8" t="str">
        <f ca="1">OFFSET(Database!$F85,0,COLUMN(Database!FG85)*2-12)</f>
        <v>n.r.</v>
      </c>
      <c r="FK85" s="8" t="str">
        <f ca="1">OFFSET(Database!$F85,0,COLUMN(Database!FH85)*2-12)</f>
        <v>n.r.</v>
      </c>
      <c r="FL85" s="8" t="str">
        <f ca="1">OFFSET(Database!$F85,0,COLUMN(Database!FI85)*2-12)</f>
        <v>n.r.</v>
      </c>
      <c r="FM85" s="8" t="str">
        <f ca="1">OFFSET(Database!$F85,0,COLUMN(Database!FJ85)*2-12)</f>
        <v>n.r.</v>
      </c>
      <c r="FN85" s="8" t="str">
        <f ca="1">OFFSET(Database!$F85,0,COLUMN(Database!FK85)*2-12)</f>
        <v>n.r.</v>
      </c>
      <c r="FO85" s="8" t="str">
        <f ca="1">OFFSET(Database!$F85,0,COLUMN(Database!FL85)*2-12)</f>
        <v>n.r.</v>
      </c>
      <c r="FP85" s="8" t="str">
        <f ca="1">OFFSET(Database!$F85,0,COLUMN(Database!FM85)*2-12)</f>
        <v>n.r.</v>
      </c>
      <c r="FQ85" s="8" t="str">
        <f ca="1">OFFSET(Database!$F85,0,COLUMN(Database!FN85)*2-12)</f>
        <v>n.r.</v>
      </c>
      <c r="FR85" s="8" t="str">
        <f ca="1">OFFSET(Database!$F85,0,COLUMN(Database!FO85)*2-12)</f>
        <v>n.r.</v>
      </c>
      <c r="FS85" s="8" t="str">
        <f ca="1">OFFSET(Database!$F85,0,COLUMN(Database!FP85)*2-12)</f>
        <v>n.r.</v>
      </c>
      <c r="FT85" s="8" t="str">
        <f ca="1">OFFSET(Database!$F85,0,COLUMN(Database!FQ85)*2-12)</f>
        <v>n.r.</v>
      </c>
      <c r="FU85" s="8" t="str">
        <f ca="1">OFFSET(Database!$F85,0,COLUMN(Database!FR85)*2-12)</f>
        <v>n.r.</v>
      </c>
      <c r="FV85" s="8" t="str">
        <f ca="1">OFFSET(Database!$F85,0,COLUMN(Database!FS85)*2-12)</f>
        <v>n.r.</v>
      </c>
      <c r="FW85" s="8" t="str">
        <f ca="1">OFFSET(Database!$F85,0,COLUMN(Database!FT85)*2-12)</f>
        <v>n.r.</v>
      </c>
      <c r="FX85" s="8" t="str">
        <f ca="1">OFFSET(Database!$F85,0,COLUMN(Database!FU85)*2-12)</f>
        <v>n.r.</v>
      </c>
      <c r="FY85" s="8" t="str">
        <f ca="1">OFFSET(Database!$F85,0,COLUMN(Database!FV85)*2-12)</f>
        <v>n.r.</v>
      </c>
      <c r="FZ85" s="8" t="str">
        <f ca="1">OFFSET(Database!$F85,0,COLUMN(Database!FW85)*2-12)</f>
        <v>n.r.</v>
      </c>
      <c r="GA85" s="8" t="str">
        <f ca="1">OFFSET(Database!$F85,0,COLUMN(Database!FX85)*2-12)</f>
        <v>n.r.</v>
      </c>
      <c r="GB85" s="8" t="str">
        <f ca="1">OFFSET(Database!$F85,0,COLUMN(Database!FY85)*2-12)</f>
        <v>n.r.</v>
      </c>
      <c r="GC85" s="8" t="str">
        <f ca="1">OFFSET(Database!$F85,0,COLUMN(Database!FZ85)*2-12)</f>
        <v>n.r.</v>
      </c>
      <c r="GD85" s="8" t="str">
        <f ca="1">OFFSET(Database!$F85,0,COLUMN(Database!GA85)*2-12)</f>
        <v>n.r.</v>
      </c>
      <c r="GE85" s="8" t="str">
        <f ca="1">OFFSET(Database!$F85,0,COLUMN(Database!GB85)*2-12)</f>
        <v>n.r.</v>
      </c>
      <c r="GF85" s="8" t="str">
        <f ca="1">OFFSET(Database!$F85,0,COLUMN(Database!GC85)*2-12)</f>
        <v>n.r.</v>
      </c>
      <c r="GG85" s="8" t="str">
        <f ca="1">OFFSET(Database!$F85,0,COLUMN(Database!GD85)*2-12)</f>
        <v>n.r.</v>
      </c>
      <c r="GH85" s="8" t="str">
        <f ca="1">OFFSET(Database!$F85,0,COLUMN(Database!GE85)*2-12)</f>
        <v>n.r.</v>
      </c>
      <c r="GI85" s="8" t="str">
        <f ca="1">OFFSET(Database!$F85,0,COLUMN(Database!GF85)*2-12)</f>
        <v>n.r.</v>
      </c>
      <c r="GJ85" s="8" t="str">
        <f ca="1">OFFSET(Database!$F85,0,COLUMN(Database!GG85)*2-12)</f>
        <v>n.r.</v>
      </c>
      <c r="GK85" s="8" t="str">
        <f ca="1">OFFSET(Database!$F85,0,COLUMN(Database!GH85)*2-12)</f>
        <v>n.r.</v>
      </c>
      <c r="GL85" s="8" t="str">
        <f ca="1">OFFSET(Database!$F85,0,COLUMN(Database!GI85)*2-12)</f>
        <v>n.r.</v>
      </c>
      <c r="GM85" s="8" t="str">
        <f ca="1">OFFSET(Database!$F85,0,COLUMN(Database!GJ85)*2-12)</f>
        <v>n.r.</v>
      </c>
      <c r="GN85" s="8" t="str">
        <f ca="1">OFFSET(Database!$F85,0,COLUMN(Database!GK85)*2-12)</f>
        <v>n.r.</v>
      </c>
      <c r="GO85" s="8" t="str">
        <f ca="1">OFFSET(Database!$F85,0,COLUMN(Database!GL85)*2-12)</f>
        <v>n.d.</v>
      </c>
      <c r="GP85" s="8" t="str">
        <f ca="1">OFFSET(Database!$F85,0,COLUMN(Database!GM85)*2-12)</f>
        <v>n.d.</v>
      </c>
    </row>
    <row r="86" spans="1:198" x14ac:dyDescent="0.2">
      <c r="A86" s="50" t="str">
        <f>Database!A86</f>
        <v>pipeloic acid</v>
      </c>
      <c r="B86" s="1" t="s">
        <v>878</v>
      </c>
      <c r="C86" s="4" t="str">
        <f>Database!B86</f>
        <v>ɑ</v>
      </c>
      <c r="D86" s="4" t="str">
        <f>Database!C86</f>
        <v xml:space="preserve">Both </v>
      </c>
      <c r="E86" s="74">
        <f>Database!D86</f>
        <v>12</v>
      </c>
      <c r="F86" s="32" t="s">
        <v>1067</v>
      </c>
      <c r="G86" s="1" t="s">
        <v>1120</v>
      </c>
      <c r="H86" s="1">
        <f>Database!E86</f>
        <v>129.16</v>
      </c>
      <c r="I86" s="8" t="str">
        <f ca="1">OFFSET(Database!$F86,0,COLUMN(Database!F86)*2-12)</f>
        <v>n.r.</v>
      </c>
      <c r="J86" s="8" t="str">
        <f ca="1">OFFSET(Database!$F86,0,COLUMN(Database!G86)*2-12)</f>
        <v>n.r.</v>
      </c>
      <c r="K86" s="8" t="str">
        <f ca="1">OFFSET(Database!$F86,0,COLUMN(Database!H86)*2-12)</f>
        <v>n.r.</v>
      </c>
      <c r="L86" s="8" t="str">
        <f ca="1">OFFSET(Database!$F86,0,COLUMN(Database!I86)*2-12)</f>
        <v>n.r.</v>
      </c>
      <c r="M86" s="8" t="str">
        <f ca="1">OFFSET(Database!$F86,0,COLUMN(Database!J86)*2-12)</f>
        <v>n.r.</v>
      </c>
      <c r="N86" s="8" t="str">
        <f ca="1">OFFSET(Database!$F86,0,COLUMN(Database!K86)*2-12)</f>
        <v>n.r.</v>
      </c>
      <c r="O86" s="8" t="str">
        <f ca="1">OFFSET(Database!$F86,0,COLUMN(Database!L86)*2-12)</f>
        <v>n.r.</v>
      </c>
      <c r="P86" s="8" t="str">
        <f ca="1">OFFSET(Database!$F86,0,COLUMN(Database!M86)*2-12)</f>
        <v>n.r.</v>
      </c>
      <c r="Q86" s="8" t="str">
        <f ca="1">OFFSET(Database!$F86,0,COLUMN(Database!N86)*2-12)</f>
        <v>n.r.</v>
      </c>
      <c r="R86" s="8" t="str">
        <f ca="1">OFFSET(Database!$F86,0,COLUMN(Database!O86)*2-12)</f>
        <v>n.r.</v>
      </c>
      <c r="S86" s="8" t="str">
        <f ca="1">OFFSET(Database!$F86,0,COLUMN(Database!P86)*2-12)</f>
        <v>n.r.</v>
      </c>
      <c r="T86" s="8" t="str">
        <f ca="1">OFFSET(Database!$F86,0,COLUMN(Database!Q86)*2-12)</f>
        <v>n.r.</v>
      </c>
      <c r="U86" s="8" t="str">
        <f ca="1">OFFSET(Database!$F86,0,COLUMN(Database!R86)*2-12)</f>
        <v>n.r.</v>
      </c>
      <c r="V86" s="8" t="str">
        <f ca="1">OFFSET(Database!$F86,0,COLUMN(Database!S86)*2-12)</f>
        <v>n.r.</v>
      </c>
      <c r="W86" s="8" t="str">
        <f ca="1">OFFSET(Database!$F86,0,COLUMN(Database!T86)*2-12)</f>
        <v>n.r.</v>
      </c>
      <c r="X86" s="8" t="str">
        <f ca="1">OFFSET(Database!$F86,0,COLUMN(Database!U86)*2-12)</f>
        <v>n.r.</v>
      </c>
      <c r="Y86" s="8" t="str">
        <f ca="1">OFFSET(Database!$F86,0,COLUMN(Database!V86)*2-12)</f>
        <v>n.r.</v>
      </c>
      <c r="Z86" s="8" t="str">
        <f ca="1">OFFSET(Database!$F86,0,COLUMN(Database!W86)*2-12)</f>
        <v>n.r.</v>
      </c>
      <c r="AA86" s="8" t="str">
        <f ca="1">OFFSET(Database!$F86,0,COLUMN(Database!X86)*2-12)</f>
        <v>n.r.</v>
      </c>
      <c r="AB86" s="8" t="str">
        <f ca="1">OFFSET(Database!$F86,0,COLUMN(Database!Y86)*2-12)</f>
        <v>n.r.</v>
      </c>
      <c r="AC86" s="8" t="str">
        <f ca="1">OFFSET(Database!$F86,0,COLUMN(Database!Z86)*2-12)</f>
        <v>n.r.</v>
      </c>
      <c r="AD86" s="8" t="str">
        <f ca="1">OFFSET(Database!$F86,0,COLUMN(Database!AA86)*2-12)</f>
        <v>n.r.</v>
      </c>
      <c r="AE86" s="8" t="str">
        <f ca="1">OFFSET(Database!$F86,0,COLUMN(Database!AB86)*2-12)</f>
        <v>n.r.</v>
      </c>
      <c r="AF86" s="8" t="str">
        <f ca="1">OFFSET(Database!$F86,0,COLUMN(Database!AC86)*2-12)</f>
        <v>n.r.</v>
      </c>
      <c r="AG86" s="8" t="str">
        <f ca="1">OFFSET(Database!$F86,0,COLUMN(Database!AD86)*2-12)</f>
        <v>n.r.</v>
      </c>
      <c r="AH86" s="8" t="str">
        <f ca="1">OFFSET(Database!$F86,0,COLUMN(Database!AE86)*2-12)</f>
        <v>n.r.</v>
      </c>
      <c r="AI86" s="8" t="str">
        <f ca="1">OFFSET(Database!$F86,0,COLUMN(Database!AF86)*2-12)</f>
        <v>n.r.</v>
      </c>
      <c r="AJ86" s="8" t="str">
        <f ca="1">OFFSET(Database!$F86,0,COLUMN(Database!AG86)*2-12)</f>
        <v>n.r.</v>
      </c>
      <c r="AK86" s="8" t="str">
        <f ca="1">OFFSET(Database!$F86,0,COLUMN(Database!AH86)*2-12)</f>
        <v>n.r.</v>
      </c>
      <c r="AL86" s="8" t="str">
        <f ca="1">OFFSET(Database!$F86,0,COLUMN(Database!AI86)*2-12)</f>
        <v>n.r.</v>
      </c>
      <c r="AM86" s="8" t="str">
        <f ca="1">OFFSET(Database!$F86,0,COLUMN(Database!AJ86)*2-12)</f>
        <v>n.r.</v>
      </c>
      <c r="AN86" s="8" t="str">
        <f ca="1">OFFSET(Database!$F86,0,COLUMN(Database!AK86)*2-12)</f>
        <v>n.r.</v>
      </c>
      <c r="AO86" s="8" t="str">
        <f ca="1">OFFSET(Database!$F86,0,COLUMN(Database!AL86)*2-12)</f>
        <v>n.r.</v>
      </c>
      <c r="AP86" s="8" t="str">
        <f ca="1">OFFSET(Database!$F86,0,COLUMN(Database!AM86)*2-12)</f>
        <v>n.r.</v>
      </c>
      <c r="AQ86" s="8" t="str">
        <f ca="1">OFFSET(Database!$F86,0,COLUMN(Database!AN86)*2-12)</f>
        <v>n.r.</v>
      </c>
      <c r="AR86" s="8" t="str">
        <f ca="1">OFFSET(Database!$F86,0,COLUMN(Database!AO86)*2-12)</f>
        <v>n.r.</v>
      </c>
      <c r="AS86" s="8" t="str">
        <f ca="1">OFFSET(Database!$F86,0,COLUMN(Database!AP86)*2-12)</f>
        <v>n.r.</v>
      </c>
      <c r="AT86" s="8" t="str">
        <f ca="1">OFFSET(Database!$F86,0,COLUMN(Database!AQ86)*2-12)</f>
        <v>n.r.</v>
      </c>
      <c r="AU86" s="8" t="str">
        <f ca="1">OFFSET(Database!$F86,0,COLUMN(Database!AR86)*2-12)</f>
        <v>n.r.</v>
      </c>
      <c r="AV86" s="8" t="str">
        <f ca="1">OFFSET(Database!$F86,0,COLUMN(Database!AS86)*2-12)</f>
        <v>n.r.</v>
      </c>
      <c r="AW86" s="8" t="str">
        <f ca="1">OFFSET(Database!$F86,0,COLUMN(Database!AT86)*2-12)</f>
        <v>n.r.</v>
      </c>
      <c r="AX86" s="8" t="str">
        <f ca="1">OFFSET(Database!$F86,0,COLUMN(Database!AU86)*2-12)</f>
        <v>n.r.</v>
      </c>
      <c r="AY86" s="8" t="str">
        <f ca="1">OFFSET(Database!$F86,0,COLUMN(Database!AV86)*2-12)</f>
        <v>n.r.</v>
      </c>
      <c r="AZ86" s="8" t="str">
        <f ca="1">OFFSET(Database!$F86,0,COLUMN(Database!AW86)*2-12)</f>
        <v>n.r.</v>
      </c>
      <c r="BA86" s="8" t="str">
        <f ca="1">OFFSET(Database!$F86,0,COLUMN(Database!AX86)*2-12)</f>
        <v>n.r.</v>
      </c>
      <c r="BB86" s="8" t="str">
        <f ca="1">OFFSET(Database!$F86,0,COLUMN(Database!AY86)*2-12)</f>
        <v>n.r.</v>
      </c>
      <c r="BC86" s="8" t="str">
        <f ca="1">OFFSET(Database!$F86,0,COLUMN(Database!AZ86)*2-12)</f>
        <v>n.r.</v>
      </c>
      <c r="BD86" s="8" t="str">
        <f ca="1">OFFSET(Database!$F86,0,COLUMN(Database!BA86)*2-12)</f>
        <v>n.r.</v>
      </c>
      <c r="BE86" s="8" t="str">
        <f ca="1">OFFSET(Database!$F86,0,COLUMN(Database!BB86)*2-12)</f>
        <v>n.r.</v>
      </c>
      <c r="BF86" s="8" t="str">
        <f ca="1">OFFSET(Database!$F86,0,COLUMN(Database!BC86)*2-12)</f>
        <v>n.r.</v>
      </c>
      <c r="BG86" s="8" t="str">
        <f ca="1">OFFSET(Database!$F86,0,COLUMN(Database!BD86)*2-12)</f>
        <v>n.r.</v>
      </c>
      <c r="BH86" s="8" t="str">
        <f ca="1">OFFSET(Database!$F86,0,COLUMN(Database!BE86)*2-12)</f>
        <v>n.r.</v>
      </c>
      <c r="BI86" s="8" t="str">
        <f ca="1">OFFSET(Database!$F86,0,COLUMN(Database!BF86)*2-12)</f>
        <v>n.r.</v>
      </c>
      <c r="BJ86" s="8" t="str">
        <f ca="1">OFFSET(Database!$F86,0,COLUMN(Database!BG86)*2-12)</f>
        <v>n.r.</v>
      </c>
      <c r="BK86" s="8" t="str">
        <f ca="1">OFFSET(Database!$F86,0,COLUMN(Database!BH86)*2-12)</f>
        <v>n.r.</v>
      </c>
      <c r="BL86" s="8" t="str">
        <f ca="1">OFFSET(Database!$F86,0,COLUMN(Database!BI86)*2-12)</f>
        <v>n.r.</v>
      </c>
      <c r="BM86" s="8" t="str">
        <f ca="1">OFFSET(Database!$F86,0,COLUMN(Database!BJ86)*2-12)</f>
        <v>n.r.</v>
      </c>
      <c r="BN86" s="8" t="str">
        <f ca="1">OFFSET(Database!$F86,0,COLUMN(Database!BK86)*2-12)</f>
        <v>n.r.</v>
      </c>
      <c r="BO86" s="8" t="str">
        <f ca="1">OFFSET(Database!$F86,0,COLUMN(Database!BL86)*2-12)</f>
        <v>n.r.</v>
      </c>
      <c r="BP86" s="8" t="str">
        <f ca="1">OFFSET(Database!$F86,0,COLUMN(Database!BM86)*2-12)</f>
        <v>n.r.</v>
      </c>
      <c r="BQ86" s="8" t="str">
        <f ca="1">OFFSET(Database!$F86,0,COLUMN(Database!BN86)*2-12)</f>
        <v>n.r.</v>
      </c>
      <c r="BR86" s="8" t="str">
        <f ca="1">OFFSET(Database!$F86,0,COLUMN(Database!BO86)*2-12)</f>
        <v>n.r.</v>
      </c>
      <c r="BS86" s="8" t="str">
        <f ca="1">OFFSET(Database!$F86,0,COLUMN(Database!BP86)*2-12)</f>
        <v>n.r.</v>
      </c>
      <c r="BT86" s="8" t="str">
        <f ca="1">OFFSET(Database!$F86,0,COLUMN(Database!BQ86)*2-12)</f>
        <v>n.r.</v>
      </c>
      <c r="BU86" s="8" t="str">
        <f ca="1">OFFSET(Database!$F86,0,COLUMN(Database!BR86)*2-12)</f>
        <v>n.r.</v>
      </c>
      <c r="BV86" s="8" t="str">
        <f ca="1">OFFSET(Database!$F86,0,COLUMN(Database!BS86)*2-12)</f>
        <v>n.r.</v>
      </c>
      <c r="BW86" s="8" t="str">
        <f ca="1">OFFSET(Database!$F86,0,COLUMN(Database!BT86)*2-12)</f>
        <v>n.r.</v>
      </c>
      <c r="BX86" s="8" t="str">
        <f ca="1">OFFSET(Database!$F86,0,COLUMN(Database!BU86)*2-12)</f>
        <v>n.r.</v>
      </c>
      <c r="BY86" s="8" t="str">
        <f ca="1">OFFSET(Database!$F86,0,COLUMN(Database!BV86)*2-12)</f>
        <v>n.r.</v>
      </c>
      <c r="BZ86" s="8" t="str">
        <f ca="1">OFFSET(Database!$F86,0,COLUMN(Database!BW86)*2-12)</f>
        <v>n.r.</v>
      </c>
      <c r="CA86" s="8" t="str">
        <f ca="1">OFFSET(Database!$F86,0,COLUMN(Database!BX86)*2-12)</f>
        <v>n.r.</v>
      </c>
      <c r="CB86" s="8" t="str">
        <f ca="1">OFFSET(Database!$F86,0,COLUMN(Database!BY86)*2-12)</f>
        <v>n.r.</v>
      </c>
      <c r="CC86" s="8" t="str">
        <f ca="1">OFFSET(Database!$F86,0,COLUMN(Database!BZ86)*2-12)</f>
        <v>n.r.</v>
      </c>
      <c r="CD86" s="8" t="str">
        <f ca="1">OFFSET(Database!$F86,0,COLUMN(Database!CA86)*2-12)</f>
        <v>n.r.</v>
      </c>
      <c r="CE86" s="8" t="str">
        <f ca="1">OFFSET(Database!$F86,0,COLUMN(Database!CB86)*2-12)</f>
        <v>n.r.</v>
      </c>
      <c r="CF86" s="8" t="str">
        <f ca="1">OFFSET(Database!$F86,0,COLUMN(Database!CC86)*2-12)</f>
        <v>n.r.</v>
      </c>
      <c r="CG86" s="8" t="str">
        <f ca="1">OFFSET(Database!$F86,0,COLUMN(Database!CD86)*2-12)</f>
        <v>n.r.</v>
      </c>
      <c r="CH86" s="8" t="str">
        <f ca="1">OFFSET(Database!$F86,0,COLUMN(Database!CE86)*2-12)</f>
        <v>n.r.</v>
      </c>
      <c r="CI86" s="8" t="str">
        <f ca="1">OFFSET(Database!$F86,0,COLUMN(Database!CF86)*2-12)</f>
        <v>n.r.</v>
      </c>
      <c r="CJ86" s="8" t="str">
        <f ca="1">OFFSET(Database!$F86,0,COLUMN(Database!CG86)*2-12)</f>
        <v>n.r.</v>
      </c>
      <c r="CK86" s="8" t="str">
        <f ca="1">OFFSET(Database!$F86,0,COLUMN(Database!CH86)*2-12)</f>
        <v>n.r.</v>
      </c>
      <c r="CL86" s="8" t="str">
        <f ca="1">OFFSET(Database!$F86,0,COLUMN(Database!CI86)*2-12)</f>
        <v>n.r.</v>
      </c>
      <c r="CM86" s="8" t="str">
        <f ca="1">OFFSET(Database!$F86,0,COLUMN(Database!CJ86)*2-12)</f>
        <v>n.r.</v>
      </c>
      <c r="CN86" s="8" t="str">
        <f ca="1">OFFSET(Database!$F86,0,COLUMN(Database!CK86)*2-12)</f>
        <v>n.r.</v>
      </c>
      <c r="CO86" s="8" t="str">
        <f ca="1">OFFSET(Database!$F86,0,COLUMN(Database!CL86)*2-12)</f>
        <v>n.r.</v>
      </c>
      <c r="CP86" s="8" t="str">
        <f ca="1">OFFSET(Database!$F86,0,COLUMN(Database!CM86)*2-12)</f>
        <v>n.r.</v>
      </c>
      <c r="CQ86" s="8" t="str">
        <f ca="1">OFFSET(Database!$F86,0,COLUMN(Database!CN86)*2-12)</f>
        <v>n.r.</v>
      </c>
      <c r="CR86" s="8" t="str">
        <f ca="1">OFFSET(Database!$F86,0,COLUMN(Database!CO86)*2-12)</f>
        <v>n.r.</v>
      </c>
      <c r="CS86" s="8" t="str">
        <f ca="1">OFFSET(Database!$F86,0,COLUMN(Database!CP86)*2-12)</f>
        <v>n.r.</v>
      </c>
      <c r="CT86" s="8" t="str">
        <f ca="1">OFFSET(Database!$F86,0,COLUMN(Database!CQ86)*2-12)</f>
        <v>n.r.</v>
      </c>
      <c r="CU86" s="8" t="str">
        <f ca="1">OFFSET(Database!$F86,0,COLUMN(Database!CR86)*2-12)</f>
        <v>n.r.</v>
      </c>
      <c r="CV86" s="8" t="str">
        <f ca="1">OFFSET(Database!$F86,0,COLUMN(Database!CS86)*2-12)</f>
        <v>n.r.</v>
      </c>
      <c r="CW86" s="8" t="str">
        <f ca="1">OFFSET(Database!$F86,0,COLUMN(Database!CT86)*2-12)</f>
        <v>n.r.</v>
      </c>
      <c r="CX86" s="8" t="str">
        <f ca="1">OFFSET(Database!$F86,0,COLUMN(Database!CU86)*2-12)</f>
        <v>n.r.</v>
      </c>
      <c r="CY86" s="8" t="str">
        <f ca="1">OFFSET(Database!$F86,0,COLUMN(Database!CV86)*2-12)</f>
        <v>n.r.</v>
      </c>
      <c r="CZ86" s="8" t="str">
        <f ca="1">OFFSET(Database!$F86,0,COLUMN(Database!CW86)*2-12)</f>
        <v>n.r.</v>
      </c>
      <c r="DA86" s="8" t="str">
        <f ca="1">OFFSET(Database!$F86,0,COLUMN(Database!CX86)*2-12)</f>
        <v>n.r.</v>
      </c>
      <c r="DB86" s="8" t="str">
        <f ca="1">OFFSET(Database!$F86,0,COLUMN(Database!CY86)*2-12)</f>
        <v>n.r.</v>
      </c>
      <c r="DC86" s="8" t="str">
        <f ca="1">OFFSET(Database!$F86,0,COLUMN(Database!CZ86)*2-12)</f>
        <v>n.r.</v>
      </c>
      <c r="DD86" s="8" t="str">
        <f ca="1">OFFSET(Database!$F86,0,COLUMN(Database!DA86)*2-12)</f>
        <v>n.r.</v>
      </c>
      <c r="DE86" s="8" t="str">
        <f ca="1">OFFSET(Database!$F86,0,COLUMN(Database!DB86)*2-12)</f>
        <v>n.r.</v>
      </c>
      <c r="DF86" s="8" t="str">
        <f ca="1">OFFSET(Database!$F86,0,COLUMN(Database!DC86)*2-12)</f>
        <v>n.r.</v>
      </c>
      <c r="DG86" s="8" t="str">
        <f ca="1">OFFSET(Database!$F86,0,COLUMN(Database!DD86)*2-12)</f>
        <v>n.r.</v>
      </c>
      <c r="DH86" s="8" t="str">
        <f ca="1">OFFSET(Database!$F86,0,COLUMN(Database!DE86)*2-12)</f>
        <v>n.r.</v>
      </c>
      <c r="DI86" s="8" t="str">
        <f ca="1">OFFSET(Database!$F86,0,COLUMN(Database!DF86)*2-12)</f>
        <v>n.r.</v>
      </c>
      <c r="DJ86" s="8" t="str">
        <f ca="1">OFFSET(Database!$F86,0,COLUMN(Database!DG86)*2-12)</f>
        <v>n.r.</v>
      </c>
      <c r="DK86" s="8" t="str">
        <f ca="1">OFFSET(Database!$F86,0,COLUMN(Database!DH86)*2-12)</f>
        <v>n.r.</v>
      </c>
      <c r="DL86" s="8" t="str">
        <f ca="1">OFFSET(Database!$F86,0,COLUMN(Database!DI86)*2-12)</f>
        <v>n.r.</v>
      </c>
      <c r="DM86" s="8" t="str">
        <f ca="1">OFFSET(Database!$F86,0,COLUMN(Database!DJ86)*2-12)</f>
        <v>n.r.</v>
      </c>
      <c r="DN86" s="8" t="str">
        <f ca="1">OFFSET(Database!$F86,0,COLUMN(Database!DK86)*2-12)</f>
        <v>n.r.</v>
      </c>
      <c r="DO86" s="8" t="str">
        <f ca="1">OFFSET(Database!$F86,0,COLUMN(Database!DL86)*2-12)</f>
        <v>n.r.</v>
      </c>
      <c r="DP86" s="8" t="str">
        <f ca="1">OFFSET(Database!$F86,0,COLUMN(Database!DM86)*2-12)</f>
        <v>n.r.</v>
      </c>
      <c r="DQ86" s="8" t="str">
        <f ca="1">OFFSET(Database!$F86,0,COLUMN(Database!DN86)*2-12)</f>
        <v>n.r.</v>
      </c>
      <c r="DR86" s="8" t="str">
        <f ca="1">OFFSET(Database!$F86,0,COLUMN(Database!DO86)*2-12)</f>
        <v>n.r.</v>
      </c>
      <c r="DS86" s="8" t="str">
        <f ca="1">OFFSET(Database!$F86,0,COLUMN(Database!DP86)*2-12)</f>
        <v>n.r.</v>
      </c>
      <c r="DT86" s="8" t="str">
        <f ca="1">OFFSET(Database!$F86,0,COLUMN(Database!DQ86)*2-12)</f>
        <v>n.r.</v>
      </c>
      <c r="DU86" s="8" t="str">
        <f ca="1">OFFSET(Database!$F86,0,COLUMN(Database!DR86)*2-12)</f>
        <v>n.r.</v>
      </c>
      <c r="DV86" s="8" t="str">
        <f ca="1">OFFSET(Database!$F86,0,COLUMN(Database!DS86)*2-12)</f>
        <v>n.r.</v>
      </c>
      <c r="DW86" s="8" t="str">
        <f ca="1">OFFSET(Database!$F86,0,COLUMN(Database!DT86)*2-12)</f>
        <v>n.r.</v>
      </c>
      <c r="DX86" s="8" t="str">
        <f ca="1">OFFSET(Database!$F86,0,COLUMN(Database!DU86)*2-12)</f>
        <v>n.r.</v>
      </c>
      <c r="DY86" s="8" t="str">
        <f ca="1">OFFSET(Database!$F86,0,COLUMN(Database!DV86)*2-12)</f>
        <v>n.r.</v>
      </c>
      <c r="DZ86" s="8" t="str">
        <f ca="1">OFFSET(Database!$F86,0,COLUMN(Database!DW86)*2-12)</f>
        <v>n.r.</v>
      </c>
      <c r="EA86" s="8" t="str">
        <f ca="1">OFFSET(Database!$F86,0,COLUMN(Database!DX86)*2-12)</f>
        <v>n.r.</v>
      </c>
      <c r="EB86" s="8" t="str">
        <f ca="1">OFFSET(Database!$F86,0,COLUMN(Database!DY86)*2-12)</f>
        <v>n.r.</v>
      </c>
      <c r="EC86" s="8" t="str">
        <f ca="1">OFFSET(Database!$F86,0,COLUMN(Database!DZ86)*2-12)</f>
        <v>n.r.</v>
      </c>
      <c r="ED86" s="8" t="str">
        <f ca="1">OFFSET(Database!$F86,0,COLUMN(Database!EA86)*2-12)</f>
        <v>n.r.</v>
      </c>
      <c r="EE86" s="8" t="str">
        <f ca="1">OFFSET(Database!$F86,0,COLUMN(Database!EB86)*2-12)</f>
        <v>n.r.</v>
      </c>
      <c r="EF86" s="8" t="str">
        <f ca="1">OFFSET(Database!$F86,0,COLUMN(Database!EC86)*2-12)</f>
        <v>n.r.</v>
      </c>
      <c r="EG86" s="8" t="str">
        <f ca="1">OFFSET(Database!$F86,0,COLUMN(Database!ED86)*2-12)</f>
        <v>n.r.</v>
      </c>
      <c r="EH86" s="8" t="str">
        <f ca="1">OFFSET(Database!$F86,0,COLUMN(Database!EE86)*2-12)</f>
        <v>n.r.</v>
      </c>
      <c r="EI86" s="8" t="str">
        <f ca="1">OFFSET(Database!$F86,0,COLUMN(Database!EF86)*2-12)</f>
        <v>n.r.</v>
      </c>
      <c r="EJ86" s="8" t="str">
        <f ca="1">OFFSET(Database!$F86,0,COLUMN(Database!EG86)*2-12)</f>
        <v>n.r.</v>
      </c>
      <c r="EK86" s="8" t="str">
        <f ca="1">OFFSET(Database!$F86,0,COLUMN(Database!EH86)*2-12)</f>
        <v>n.r.</v>
      </c>
      <c r="EL86" s="8" t="str">
        <f ca="1">OFFSET(Database!$F86,0,COLUMN(Database!EI86)*2-12)</f>
        <v>n.r.</v>
      </c>
      <c r="EM86" s="8" t="str">
        <f ca="1">OFFSET(Database!$F86,0,COLUMN(Database!EJ86)*2-12)</f>
        <v>n.r.</v>
      </c>
      <c r="EN86" s="8" t="str">
        <f ca="1">OFFSET(Database!$F86,0,COLUMN(Database!EK86)*2-12)</f>
        <v>n.r.</v>
      </c>
      <c r="EO86" s="8" t="str">
        <f ca="1">OFFSET(Database!$F86,0,COLUMN(Database!EL86)*2-12)</f>
        <v>n.r.</v>
      </c>
      <c r="EP86" s="8" t="str">
        <f ca="1">OFFSET(Database!$F86,0,COLUMN(Database!EM86)*2-12)</f>
        <v>n.r.</v>
      </c>
      <c r="EQ86" s="8" t="str">
        <f ca="1">OFFSET(Database!$F86,0,COLUMN(Database!EN86)*2-12)</f>
        <v>n.r.</v>
      </c>
      <c r="ER86" s="8" t="str">
        <f ca="1">OFFSET(Database!$F86,0,COLUMN(Database!EO86)*2-12)</f>
        <v>n.r.</v>
      </c>
      <c r="ES86" s="8" t="str">
        <f ca="1">OFFSET(Database!$F86,0,COLUMN(Database!EP86)*2-12)</f>
        <v>n.r.</v>
      </c>
      <c r="ET86" s="8" t="str">
        <f ca="1">OFFSET(Database!$F86,0,COLUMN(Database!EQ86)*2-12)</f>
        <v>n.r.</v>
      </c>
      <c r="EU86" s="8" t="str">
        <f ca="1">OFFSET(Database!$F86,0,COLUMN(Database!ER86)*2-12)</f>
        <v>n.r.</v>
      </c>
      <c r="EV86" s="8" t="str">
        <f ca="1">OFFSET(Database!$F86,0,COLUMN(Database!ES86)*2-12)</f>
        <v>n.r.</v>
      </c>
      <c r="EW86" s="8" t="str">
        <f ca="1">OFFSET(Database!$F86,0,COLUMN(Database!ET86)*2-12)</f>
        <v>n.r.</v>
      </c>
      <c r="EX86" s="8" t="str">
        <f ca="1">OFFSET(Database!$F86,0,COLUMN(Database!EU86)*2-12)</f>
        <v>n.r.</v>
      </c>
      <c r="EY86" s="8" t="str">
        <f ca="1">OFFSET(Database!$F86,0,COLUMN(Database!EV86)*2-12)</f>
        <v>n.r.</v>
      </c>
      <c r="EZ86" s="8" t="str">
        <f ca="1">OFFSET(Database!$F86,0,COLUMN(Database!EW86)*2-12)</f>
        <v>n.r.</v>
      </c>
      <c r="FA86" s="8" t="str">
        <f ca="1">OFFSET(Database!$F86,0,COLUMN(Database!EX86)*2-12)</f>
        <v>n.r.</v>
      </c>
      <c r="FB86" s="8" t="str">
        <f ca="1">OFFSET(Database!$F86,0,COLUMN(Database!EY86)*2-12)</f>
        <v>n.r.</v>
      </c>
      <c r="FC86" s="8" t="str">
        <f ca="1">OFFSET(Database!$F86,0,COLUMN(Database!EZ86)*2-12)</f>
        <v>n.r.</v>
      </c>
      <c r="FD86" s="8" t="str">
        <f ca="1">OFFSET(Database!$F86,0,COLUMN(Database!FA86)*2-12)</f>
        <v>n.r.</v>
      </c>
      <c r="FE86" s="8" t="str">
        <f ca="1">OFFSET(Database!$F86,0,COLUMN(Database!FB86)*2-12)</f>
        <v>n.r.</v>
      </c>
      <c r="FF86" s="8" t="str">
        <f ca="1">OFFSET(Database!$F86,0,COLUMN(Database!FC86)*2-12)</f>
        <v>n.r.</v>
      </c>
      <c r="FG86" s="8" t="str">
        <f ca="1">OFFSET(Database!$F86,0,COLUMN(Database!FD86)*2-12)</f>
        <v>n.r.</v>
      </c>
      <c r="FH86" s="8" t="str">
        <f ca="1">OFFSET(Database!$F86,0,COLUMN(Database!FE86)*2-12)</f>
        <v>n.r.</v>
      </c>
      <c r="FI86" s="8" t="str">
        <f ca="1">OFFSET(Database!$F86,0,COLUMN(Database!FF86)*2-12)</f>
        <v>n.r.</v>
      </c>
      <c r="FJ86" s="8" t="str">
        <f ca="1">OFFSET(Database!$F86,0,COLUMN(Database!FG86)*2-12)</f>
        <v>n.r.</v>
      </c>
      <c r="FK86" s="8" t="str">
        <f ca="1">OFFSET(Database!$F86,0,COLUMN(Database!FH86)*2-12)</f>
        <v>n.r.</v>
      </c>
      <c r="FL86" s="8" t="str">
        <f ca="1">OFFSET(Database!$F86,0,COLUMN(Database!FI86)*2-12)</f>
        <v>n.r.</v>
      </c>
      <c r="FM86" s="8" t="str">
        <f ca="1">OFFSET(Database!$F86,0,COLUMN(Database!FJ86)*2-12)</f>
        <v>n.r.</v>
      </c>
      <c r="FN86" s="8" t="str">
        <f ca="1">OFFSET(Database!$F86,0,COLUMN(Database!FK86)*2-12)</f>
        <v>n.r.</v>
      </c>
      <c r="FO86" s="8" t="str">
        <f ca="1">OFFSET(Database!$F86,0,COLUMN(Database!FL86)*2-12)</f>
        <v>n.r.</v>
      </c>
      <c r="FP86" s="8" t="str">
        <f ca="1">OFFSET(Database!$F86,0,COLUMN(Database!FM86)*2-12)</f>
        <v>n.r.</v>
      </c>
      <c r="FQ86" s="8" t="str">
        <f ca="1">OFFSET(Database!$F86,0,COLUMN(Database!FN86)*2-12)</f>
        <v>n.r.</v>
      </c>
      <c r="FR86" s="8" t="str">
        <f ca="1">OFFSET(Database!$F86,0,COLUMN(Database!FO86)*2-12)</f>
        <v>n.r.</v>
      </c>
      <c r="FS86" s="8" t="str">
        <f ca="1">OFFSET(Database!$F86,0,COLUMN(Database!FP86)*2-12)</f>
        <v>n.r.</v>
      </c>
      <c r="FT86" s="8" t="str">
        <f ca="1">OFFSET(Database!$F86,0,COLUMN(Database!FQ86)*2-12)</f>
        <v>n.r.</v>
      </c>
      <c r="FU86" s="8">
        <f ca="1">OFFSET(Database!$F86,0,COLUMN(Database!FR86)*2-12)</f>
        <v>809</v>
      </c>
      <c r="FV86" s="8">
        <f ca="1">OFFSET(Database!$F86,0,COLUMN(Database!FS86)*2-12)</f>
        <v>328</v>
      </c>
      <c r="FW86" s="8">
        <f ca="1">OFFSET(Database!$F86,0,COLUMN(Database!FT86)*2-12)</f>
        <v>580</v>
      </c>
      <c r="FX86" s="8">
        <f ca="1">OFFSET(Database!$F86,0,COLUMN(Database!FU86)*2-12)</f>
        <v>498</v>
      </c>
      <c r="FY86" s="8">
        <f ca="1">OFFSET(Database!$F86,0,COLUMN(Database!FV86)*2-12)</f>
        <v>572</v>
      </c>
      <c r="FZ86" s="8">
        <f ca="1">OFFSET(Database!$F86,0,COLUMN(Database!FW86)*2-12)</f>
        <v>598</v>
      </c>
      <c r="GA86" s="8">
        <f ca="1">OFFSET(Database!$F86,0,COLUMN(Database!FX86)*2-12)</f>
        <v>1202</v>
      </c>
      <c r="GB86" s="8">
        <f ca="1">OFFSET(Database!$F86,0,COLUMN(Database!FY86)*2-12)</f>
        <v>420</v>
      </c>
      <c r="GC86" s="8">
        <f ca="1">OFFSET(Database!$F86,0,COLUMN(Database!FZ86)*2-12)</f>
        <v>616</v>
      </c>
      <c r="GD86" s="8">
        <f ca="1">OFFSET(Database!$F86,0,COLUMN(Database!GA86)*2-12)</f>
        <v>546</v>
      </c>
      <c r="GE86" s="8">
        <f ca="1">OFFSET(Database!$F86,0,COLUMN(Database!GB86)*2-12)</f>
        <v>508</v>
      </c>
      <c r="GF86" s="8">
        <f ca="1">OFFSET(Database!$F86,0,COLUMN(Database!GC86)*2-12)</f>
        <v>1056</v>
      </c>
      <c r="GG86" s="8" t="str">
        <f ca="1">OFFSET(Database!$F86,0,COLUMN(Database!GD86)*2-12)</f>
        <v>n.r.</v>
      </c>
      <c r="GH86" s="8" t="str">
        <f ca="1">OFFSET(Database!$F86,0,COLUMN(Database!GE86)*2-12)</f>
        <v>n.r.</v>
      </c>
      <c r="GI86" s="8" t="str">
        <f ca="1">OFFSET(Database!$F86,0,COLUMN(Database!GF86)*2-12)</f>
        <v>n.r.</v>
      </c>
      <c r="GJ86" s="8" t="str">
        <f ca="1">OFFSET(Database!$F86,0,COLUMN(Database!GG86)*2-12)</f>
        <v>n.r.</v>
      </c>
      <c r="GK86" s="8" t="str">
        <f ca="1">OFFSET(Database!$F86,0,COLUMN(Database!GH86)*2-12)</f>
        <v>n.r.</v>
      </c>
      <c r="GL86" s="8" t="str">
        <f ca="1">OFFSET(Database!$F86,0,COLUMN(Database!GI86)*2-12)</f>
        <v>n.r.</v>
      </c>
      <c r="GM86" s="8" t="str">
        <f ca="1">OFFSET(Database!$F86,0,COLUMN(Database!GJ86)*2-12)</f>
        <v>n.r.</v>
      </c>
      <c r="GN86" s="8" t="str">
        <f ca="1">OFFSET(Database!$F86,0,COLUMN(Database!GK86)*2-12)</f>
        <v>n.r.</v>
      </c>
      <c r="GO86" s="8" t="str">
        <f ca="1">OFFSET(Database!$F86,0,COLUMN(Database!GL86)*2-12)</f>
        <v>n.r.</v>
      </c>
      <c r="GP86" s="8" t="str">
        <f ca="1">OFFSET(Database!$F86,0,COLUMN(Database!GM86)*2-12)</f>
        <v>n.r.</v>
      </c>
    </row>
    <row r="87" spans="1:198" x14ac:dyDescent="0.2">
      <c r="A87" s="50" t="str">
        <f>Database!A87</f>
        <v>trans-5-Hydroxy-L-pipecolic acid</v>
      </c>
      <c r="B87" s="32" t="s">
        <v>1020</v>
      </c>
      <c r="C87" s="4" t="str">
        <f>Database!B87</f>
        <v>ɑ</v>
      </c>
      <c r="D87" s="4" t="str">
        <f>Database!C87</f>
        <v>L</v>
      </c>
      <c r="E87" s="74">
        <f>Database!D87</f>
        <v>12</v>
      </c>
      <c r="F87" s="32" t="s">
        <v>961</v>
      </c>
      <c r="G87" s="1">
        <v>11367380</v>
      </c>
      <c r="H87" s="1">
        <f>Database!E87</f>
        <v>145.16</v>
      </c>
      <c r="I87" s="8" t="str">
        <f ca="1">OFFSET(Database!$F87,0,COLUMN(Database!F87)*2-12)</f>
        <v>n.r.</v>
      </c>
      <c r="J87" s="8" t="str">
        <f ca="1">OFFSET(Database!$F87,0,COLUMN(Database!G87)*2-12)</f>
        <v>n.r.</v>
      </c>
      <c r="K87" s="8" t="str">
        <f ca="1">OFFSET(Database!$F87,0,COLUMN(Database!H87)*2-12)</f>
        <v>n.r.</v>
      </c>
      <c r="L87" s="8" t="str">
        <f ca="1">OFFSET(Database!$F87,0,COLUMN(Database!I87)*2-12)</f>
        <v>n.r.</v>
      </c>
      <c r="M87" s="8" t="str">
        <f ca="1">OFFSET(Database!$F87,0,COLUMN(Database!J87)*2-12)</f>
        <v>n.r.</v>
      </c>
      <c r="N87" s="8" t="str">
        <f ca="1">OFFSET(Database!$F87,0,COLUMN(Database!K87)*2-12)</f>
        <v>n.r.</v>
      </c>
      <c r="O87" s="8" t="str">
        <f ca="1">OFFSET(Database!$F87,0,COLUMN(Database!L87)*2-12)</f>
        <v>n.r.</v>
      </c>
      <c r="P87" s="8" t="str">
        <f ca="1">OFFSET(Database!$F87,0,COLUMN(Database!M87)*2-12)</f>
        <v>n.r.</v>
      </c>
      <c r="Q87" s="8" t="str">
        <f ca="1">OFFSET(Database!$F87,0,COLUMN(Database!N87)*2-12)</f>
        <v>n.r.</v>
      </c>
      <c r="R87" s="8" t="str">
        <f ca="1">OFFSET(Database!$F87,0,COLUMN(Database!O87)*2-12)</f>
        <v>n.r.</v>
      </c>
      <c r="S87" s="8" t="str">
        <f ca="1">OFFSET(Database!$F87,0,COLUMN(Database!P87)*2-12)</f>
        <v>n.r.</v>
      </c>
      <c r="T87" s="8" t="str">
        <f ca="1">OFFSET(Database!$F87,0,COLUMN(Database!Q87)*2-12)</f>
        <v>n.r.</v>
      </c>
      <c r="U87" s="8" t="str">
        <f ca="1">OFFSET(Database!$F87,0,COLUMN(Database!R87)*2-12)</f>
        <v>n.r.</v>
      </c>
      <c r="V87" s="8" t="str">
        <f ca="1">OFFSET(Database!$F87,0,COLUMN(Database!S87)*2-12)</f>
        <v>n.r.</v>
      </c>
      <c r="W87" s="8" t="str">
        <f ca="1">OFFSET(Database!$F87,0,COLUMN(Database!T87)*2-12)</f>
        <v>n.r.</v>
      </c>
      <c r="X87" s="8" t="str">
        <f ca="1">OFFSET(Database!$F87,0,COLUMN(Database!U87)*2-12)</f>
        <v>n.r.</v>
      </c>
      <c r="Y87" s="8" t="str">
        <f ca="1">OFFSET(Database!$F87,0,COLUMN(Database!V87)*2-12)</f>
        <v>n.r.</v>
      </c>
      <c r="Z87" s="8" t="str">
        <f ca="1">OFFSET(Database!$F87,0,COLUMN(Database!W87)*2-12)</f>
        <v>n.r.</v>
      </c>
      <c r="AA87" s="8" t="str">
        <f ca="1">OFFSET(Database!$F87,0,COLUMN(Database!X87)*2-12)</f>
        <v>n.r.</v>
      </c>
      <c r="AB87" s="8" t="str">
        <f ca="1">OFFSET(Database!$F87,0,COLUMN(Database!Y87)*2-12)</f>
        <v>n.r.</v>
      </c>
      <c r="AC87" s="8" t="str">
        <f ca="1">OFFSET(Database!$F87,0,COLUMN(Database!Z87)*2-12)</f>
        <v>n.r.</v>
      </c>
      <c r="AD87" s="8" t="str">
        <f ca="1">OFFSET(Database!$F87,0,COLUMN(Database!AA87)*2-12)</f>
        <v>n.r.</v>
      </c>
      <c r="AE87" s="8" t="str">
        <f ca="1">OFFSET(Database!$F87,0,COLUMN(Database!AB87)*2-12)</f>
        <v>n.r.</v>
      </c>
      <c r="AF87" s="8" t="str">
        <f ca="1">OFFSET(Database!$F87,0,COLUMN(Database!AC87)*2-12)</f>
        <v>n.r.</v>
      </c>
      <c r="AG87" s="8" t="str">
        <f ca="1">OFFSET(Database!$F87,0,COLUMN(Database!AD87)*2-12)</f>
        <v>n.r.</v>
      </c>
      <c r="AH87" s="8" t="str">
        <f ca="1">OFFSET(Database!$F87,0,COLUMN(Database!AE87)*2-12)</f>
        <v>n.r.</v>
      </c>
      <c r="AI87" s="8" t="str">
        <f ca="1">OFFSET(Database!$F87,0,COLUMN(Database!AF87)*2-12)</f>
        <v>n.r.</v>
      </c>
      <c r="AJ87" s="8" t="str">
        <f ca="1">OFFSET(Database!$F87,0,COLUMN(Database!AG87)*2-12)</f>
        <v>n.r.</v>
      </c>
      <c r="AK87" s="8" t="str">
        <f ca="1">OFFSET(Database!$F87,0,COLUMN(Database!AH87)*2-12)</f>
        <v>n.r.</v>
      </c>
      <c r="AL87" s="8" t="str">
        <f ca="1">OFFSET(Database!$F87,0,COLUMN(Database!AI87)*2-12)</f>
        <v>n.r.</v>
      </c>
      <c r="AM87" s="8" t="str">
        <f ca="1">OFFSET(Database!$F87,0,COLUMN(Database!AJ87)*2-12)</f>
        <v>n.r.</v>
      </c>
      <c r="AN87" s="8" t="str">
        <f ca="1">OFFSET(Database!$F87,0,COLUMN(Database!AK87)*2-12)</f>
        <v>n.r.</v>
      </c>
      <c r="AO87" s="8" t="str">
        <f ca="1">OFFSET(Database!$F87,0,COLUMN(Database!AL87)*2-12)</f>
        <v>n.r.</v>
      </c>
      <c r="AP87" s="8" t="str">
        <f ca="1">OFFSET(Database!$F87,0,COLUMN(Database!AM87)*2-12)</f>
        <v>n.r.</v>
      </c>
      <c r="AQ87" s="8" t="str">
        <f ca="1">OFFSET(Database!$F87,0,COLUMN(Database!AN87)*2-12)</f>
        <v>n.r.</v>
      </c>
      <c r="AR87" s="8" t="str">
        <f ca="1">OFFSET(Database!$F87,0,COLUMN(Database!AO87)*2-12)</f>
        <v>n.r.</v>
      </c>
      <c r="AS87" s="8" t="str">
        <f ca="1">OFFSET(Database!$F87,0,COLUMN(Database!AP87)*2-12)</f>
        <v>n.r.</v>
      </c>
      <c r="AT87" s="8" t="str">
        <f ca="1">OFFSET(Database!$F87,0,COLUMN(Database!AQ87)*2-12)</f>
        <v>n.r.</v>
      </c>
      <c r="AU87" s="8" t="str">
        <f ca="1">OFFSET(Database!$F87,0,COLUMN(Database!AR87)*2-12)</f>
        <v>n.r.</v>
      </c>
      <c r="AV87" s="8" t="str">
        <f ca="1">OFFSET(Database!$F87,0,COLUMN(Database!AS87)*2-12)</f>
        <v>n.r.</v>
      </c>
      <c r="AW87" s="8" t="str">
        <f ca="1">OFFSET(Database!$F87,0,COLUMN(Database!AT87)*2-12)</f>
        <v>n.r.</v>
      </c>
      <c r="AX87" s="8" t="str">
        <f ca="1">OFFSET(Database!$F87,0,COLUMN(Database!AU87)*2-12)</f>
        <v>n.r.</v>
      </c>
      <c r="AY87" s="8" t="str">
        <f ca="1">OFFSET(Database!$F87,0,COLUMN(Database!AV87)*2-12)</f>
        <v>n.r.</v>
      </c>
      <c r="AZ87" s="8" t="str">
        <f ca="1">OFFSET(Database!$F87,0,COLUMN(Database!AW87)*2-12)</f>
        <v>n.r.</v>
      </c>
      <c r="BA87" s="8" t="str">
        <f ca="1">OFFSET(Database!$F87,0,COLUMN(Database!AX87)*2-12)</f>
        <v>n.r.</v>
      </c>
      <c r="BB87" s="8" t="str">
        <f ca="1">OFFSET(Database!$F87,0,COLUMN(Database!AY87)*2-12)</f>
        <v>n.r.</v>
      </c>
      <c r="BC87" s="8" t="str">
        <f ca="1">OFFSET(Database!$F87,0,COLUMN(Database!AZ87)*2-12)</f>
        <v>n.r.</v>
      </c>
      <c r="BD87" s="8" t="str">
        <f ca="1">OFFSET(Database!$F87,0,COLUMN(Database!BA87)*2-12)</f>
        <v>n.r.</v>
      </c>
      <c r="BE87" s="8" t="str">
        <f ca="1">OFFSET(Database!$F87,0,COLUMN(Database!BB87)*2-12)</f>
        <v>n.r.</v>
      </c>
      <c r="BF87" s="8" t="str">
        <f ca="1">OFFSET(Database!$F87,0,COLUMN(Database!BC87)*2-12)</f>
        <v>n.r.</v>
      </c>
      <c r="BG87" s="8" t="str">
        <f ca="1">OFFSET(Database!$F87,0,COLUMN(Database!BD87)*2-12)</f>
        <v>n.r.</v>
      </c>
      <c r="BH87" s="8" t="str">
        <f ca="1">OFFSET(Database!$F87,0,COLUMN(Database!BE87)*2-12)</f>
        <v>n.r.</v>
      </c>
      <c r="BI87" s="8" t="str">
        <f ca="1">OFFSET(Database!$F87,0,COLUMN(Database!BF87)*2-12)</f>
        <v>n.r.</v>
      </c>
      <c r="BJ87" s="8" t="str">
        <f ca="1">OFFSET(Database!$F87,0,COLUMN(Database!BG87)*2-12)</f>
        <v>n.r.</v>
      </c>
      <c r="BK87" s="8" t="str">
        <f ca="1">OFFSET(Database!$F87,0,COLUMN(Database!BH87)*2-12)</f>
        <v>n.r.</v>
      </c>
      <c r="BL87" s="8" t="str">
        <f ca="1">OFFSET(Database!$F87,0,COLUMN(Database!BI87)*2-12)</f>
        <v>n.r.</v>
      </c>
      <c r="BM87" s="8" t="str">
        <f ca="1">OFFSET(Database!$F87,0,COLUMN(Database!BJ87)*2-12)</f>
        <v>n.r.</v>
      </c>
      <c r="BN87" s="8" t="str">
        <f ca="1">OFFSET(Database!$F87,0,COLUMN(Database!BK87)*2-12)</f>
        <v>n.r.</v>
      </c>
      <c r="BO87" s="8" t="str">
        <f ca="1">OFFSET(Database!$F87,0,COLUMN(Database!BL87)*2-12)</f>
        <v>n.r.</v>
      </c>
      <c r="BP87" s="8" t="str">
        <f ca="1">OFFSET(Database!$F87,0,COLUMN(Database!BM87)*2-12)</f>
        <v>n.r.</v>
      </c>
      <c r="BQ87" s="8" t="str">
        <f ca="1">OFFSET(Database!$F87,0,COLUMN(Database!BN87)*2-12)</f>
        <v>n.r.</v>
      </c>
      <c r="BR87" s="8" t="str">
        <f ca="1">OFFSET(Database!$F87,0,COLUMN(Database!BO87)*2-12)</f>
        <v>n.r.</v>
      </c>
      <c r="BS87" s="8" t="str">
        <f ca="1">OFFSET(Database!$F87,0,COLUMN(Database!BP87)*2-12)</f>
        <v>n.r.</v>
      </c>
      <c r="BT87" s="8" t="str">
        <f ca="1">OFFSET(Database!$F87,0,COLUMN(Database!BQ87)*2-12)</f>
        <v>n.r.</v>
      </c>
      <c r="BU87" s="8" t="str">
        <f ca="1">OFFSET(Database!$F87,0,COLUMN(Database!BR87)*2-12)</f>
        <v>n.r.</v>
      </c>
      <c r="BV87" s="8" t="str">
        <f ca="1">OFFSET(Database!$F87,0,COLUMN(Database!BS87)*2-12)</f>
        <v>n.r.</v>
      </c>
      <c r="BW87" s="8" t="str">
        <f ca="1">OFFSET(Database!$F87,0,COLUMN(Database!BT87)*2-12)</f>
        <v>n.r.</v>
      </c>
      <c r="BX87" s="8" t="str">
        <f ca="1">OFFSET(Database!$F87,0,COLUMN(Database!BU87)*2-12)</f>
        <v>n.r.</v>
      </c>
      <c r="BY87" s="8" t="str">
        <f ca="1">OFFSET(Database!$F87,0,COLUMN(Database!BV87)*2-12)</f>
        <v>n.r.</v>
      </c>
      <c r="BZ87" s="8" t="str">
        <f ca="1">OFFSET(Database!$F87,0,COLUMN(Database!BW87)*2-12)</f>
        <v>n.r.</v>
      </c>
      <c r="CA87" s="8" t="str">
        <f ca="1">OFFSET(Database!$F87,0,COLUMN(Database!BX87)*2-12)</f>
        <v>n.r.</v>
      </c>
      <c r="CB87" s="8" t="str">
        <f ca="1">OFFSET(Database!$F87,0,COLUMN(Database!BY87)*2-12)</f>
        <v>n.r.</v>
      </c>
      <c r="CC87" s="8" t="str">
        <f ca="1">OFFSET(Database!$F87,0,COLUMN(Database!BZ87)*2-12)</f>
        <v>n.r.</v>
      </c>
      <c r="CD87" s="8" t="str">
        <f ca="1">OFFSET(Database!$F87,0,COLUMN(Database!CA87)*2-12)</f>
        <v>n.r.</v>
      </c>
      <c r="CE87" s="8" t="str">
        <f ca="1">OFFSET(Database!$F87,0,COLUMN(Database!CB87)*2-12)</f>
        <v>n.r.</v>
      </c>
      <c r="CF87" s="8" t="str">
        <f ca="1">OFFSET(Database!$F87,0,COLUMN(Database!CC87)*2-12)</f>
        <v>n.r.</v>
      </c>
      <c r="CG87" s="8" t="str">
        <f ca="1">OFFSET(Database!$F87,0,COLUMN(Database!CD87)*2-12)</f>
        <v>n.r.</v>
      </c>
      <c r="CH87" s="8" t="str">
        <f ca="1">OFFSET(Database!$F87,0,COLUMN(Database!CE87)*2-12)</f>
        <v>n.r.</v>
      </c>
      <c r="CI87" s="8" t="str">
        <f ca="1">OFFSET(Database!$F87,0,COLUMN(Database!CF87)*2-12)</f>
        <v>n.r.</v>
      </c>
      <c r="CJ87" s="8" t="str">
        <f ca="1">OFFSET(Database!$F87,0,COLUMN(Database!CG87)*2-12)</f>
        <v>n.r.</v>
      </c>
      <c r="CK87" s="8" t="str">
        <f ca="1">OFFSET(Database!$F87,0,COLUMN(Database!CH87)*2-12)</f>
        <v>n.r.</v>
      </c>
      <c r="CL87" s="8" t="str">
        <f ca="1">OFFSET(Database!$F87,0,COLUMN(Database!CI87)*2-12)</f>
        <v>n.r.</v>
      </c>
      <c r="CM87" s="8" t="str">
        <f ca="1">OFFSET(Database!$F87,0,COLUMN(Database!CJ87)*2-12)</f>
        <v>n.r.</v>
      </c>
      <c r="CN87" s="8" t="str">
        <f ca="1">OFFSET(Database!$F87,0,COLUMN(Database!CK87)*2-12)</f>
        <v>n.r.</v>
      </c>
      <c r="CO87" s="8" t="str">
        <f ca="1">OFFSET(Database!$F87,0,COLUMN(Database!CL87)*2-12)</f>
        <v>n.r.</v>
      </c>
      <c r="CP87" s="8" t="str">
        <f ca="1">OFFSET(Database!$F87,0,COLUMN(Database!CM87)*2-12)</f>
        <v>n.r.</v>
      </c>
      <c r="CQ87" s="8" t="str">
        <f ca="1">OFFSET(Database!$F87,0,COLUMN(Database!CN87)*2-12)</f>
        <v>n.r.</v>
      </c>
      <c r="CR87" s="8" t="str">
        <f ca="1">OFFSET(Database!$F87,0,COLUMN(Database!CO87)*2-12)</f>
        <v>n.r.</v>
      </c>
      <c r="CS87" s="8" t="str">
        <f ca="1">OFFSET(Database!$F87,0,COLUMN(Database!CP87)*2-12)</f>
        <v>n.r.</v>
      </c>
      <c r="CT87" s="8" t="str">
        <f ca="1">OFFSET(Database!$F87,0,COLUMN(Database!CQ87)*2-12)</f>
        <v>n.r.</v>
      </c>
      <c r="CU87" s="8" t="str">
        <f ca="1">OFFSET(Database!$F87,0,COLUMN(Database!CR87)*2-12)</f>
        <v>n.r.</v>
      </c>
      <c r="CV87" s="8" t="str">
        <f ca="1">OFFSET(Database!$F87,0,COLUMN(Database!CS87)*2-12)</f>
        <v>n.r.</v>
      </c>
      <c r="CW87" s="8" t="str">
        <f ca="1">OFFSET(Database!$F87,0,COLUMN(Database!CT87)*2-12)</f>
        <v>n.r.</v>
      </c>
      <c r="CX87" s="8" t="str">
        <f ca="1">OFFSET(Database!$F87,0,COLUMN(Database!CU87)*2-12)</f>
        <v>n.r.</v>
      </c>
      <c r="CY87" s="8" t="str">
        <f ca="1">OFFSET(Database!$F87,0,COLUMN(Database!CV87)*2-12)</f>
        <v>n.r.</v>
      </c>
      <c r="CZ87" s="8" t="str">
        <f ca="1">OFFSET(Database!$F87,0,COLUMN(Database!CW87)*2-12)</f>
        <v>n.r.</v>
      </c>
      <c r="DA87" s="8" t="str">
        <f ca="1">OFFSET(Database!$F87,0,COLUMN(Database!CX87)*2-12)</f>
        <v>n.r.</v>
      </c>
      <c r="DB87" s="8" t="str">
        <f ca="1">OFFSET(Database!$F87,0,COLUMN(Database!CY87)*2-12)</f>
        <v>n.r.</v>
      </c>
      <c r="DC87" s="8" t="str">
        <f ca="1">OFFSET(Database!$F87,0,COLUMN(Database!CZ87)*2-12)</f>
        <v>n.r.</v>
      </c>
      <c r="DD87" s="8" t="str">
        <f ca="1">OFFSET(Database!$F87,0,COLUMN(Database!DA87)*2-12)</f>
        <v>n.r.</v>
      </c>
      <c r="DE87" s="8" t="str">
        <f ca="1">OFFSET(Database!$F87,0,COLUMN(Database!DB87)*2-12)</f>
        <v>n.r.</v>
      </c>
      <c r="DF87" s="8" t="str">
        <f ca="1">OFFSET(Database!$F87,0,COLUMN(Database!DC87)*2-12)</f>
        <v>n.r.</v>
      </c>
      <c r="DG87" s="8" t="str">
        <f ca="1">OFFSET(Database!$F87,0,COLUMN(Database!DD87)*2-12)</f>
        <v>n.r.</v>
      </c>
      <c r="DH87" s="8" t="str">
        <f ca="1">OFFSET(Database!$F87,0,COLUMN(Database!DE87)*2-12)</f>
        <v>n.r.</v>
      </c>
      <c r="DI87" s="8" t="str">
        <f ca="1">OFFSET(Database!$F87,0,COLUMN(Database!DF87)*2-12)</f>
        <v>n.r.</v>
      </c>
      <c r="DJ87" s="8" t="str">
        <f ca="1">OFFSET(Database!$F87,0,COLUMN(Database!DG87)*2-12)</f>
        <v>n.r.</v>
      </c>
      <c r="DK87" s="8" t="str">
        <f ca="1">OFFSET(Database!$F87,0,COLUMN(Database!DH87)*2-12)</f>
        <v>n.r.</v>
      </c>
      <c r="DL87" s="8" t="str">
        <f ca="1">OFFSET(Database!$F87,0,COLUMN(Database!DI87)*2-12)</f>
        <v>n.r.</v>
      </c>
      <c r="DM87" s="8" t="str">
        <f ca="1">OFFSET(Database!$F87,0,COLUMN(Database!DJ87)*2-12)</f>
        <v>n.r.</v>
      </c>
      <c r="DN87" s="8" t="str">
        <f ca="1">OFFSET(Database!$F87,0,COLUMN(Database!DK87)*2-12)</f>
        <v>n.r.</v>
      </c>
      <c r="DO87" s="8" t="str">
        <f ca="1">OFFSET(Database!$F87,0,COLUMN(Database!DL87)*2-12)</f>
        <v>n.r.</v>
      </c>
      <c r="DP87" s="8" t="str">
        <f ca="1">OFFSET(Database!$F87,0,COLUMN(Database!DM87)*2-12)</f>
        <v>n.r.</v>
      </c>
      <c r="DQ87" s="8" t="str">
        <f ca="1">OFFSET(Database!$F87,0,COLUMN(Database!DN87)*2-12)</f>
        <v>n.r.</v>
      </c>
      <c r="DR87" s="8" t="str">
        <f ca="1">OFFSET(Database!$F87,0,COLUMN(Database!DO87)*2-12)</f>
        <v>n.r.</v>
      </c>
      <c r="DS87" s="8" t="str">
        <f ca="1">OFFSET(Database!$F87,0,COLUMN(Database!DP87)*2-12)</f>
        <v>n.r.</v>
      </c>
      <c r="DT87" s="8" t="str">
        <f ca="1">OFFSET(Database!$F87,0,COLUMN(Database!DQ87)*2-12)</f>
        <v>n.r.</v>
      </c>
      <c r="DU87" s="8" t="str">
        <f ca="1">OFFSET(Database!$F87,0,COLUMN(Database!DR87)*2-12)</f>
        <v>n.r.</v>
      </c>
      <c r="DV87" s="8" t="str">
        <f ca="1">OFFSET(Database!$F87,0,COLUMN(Database!DS87)*2-12)</f>
        <v>n.r.</v>
      </c>
      <c r="DW87" s="8" t="str">
        <f ca="1">OFFSET(Database!$F87,0,COLUMN(Database!DT87)*2-12)</f>
        <v>n.r.</v>
      </c>
      <c r="DX87" s="8" t="str">
        <f ca="1">OFFSET(Database!$F87,0,COLUMN(Database!DU87)*2-12)</f>
        <v>n.r.</v>
      </c>
      <c r="DY87" s="8" t="str">
        <f ca="1">OFFSET(Database!$F87,0,COLUMN(Database!DV87)*2-12)</f>
        <v>n.r.</v>
      </c>
      <c r="DZ87" s="8" t="str">
        <f ca="1">OFFSET(Database!$F87,0,COLUMN(Database!DW87)*2-12)</f>
        <v>n.r.</v>
      </c>
      <c r="EA87" s="8" t="str">
        <f ca="1">OFFSET(Database!$F87,0,COLUMN(Database!DX87)*2-12)</f>
        <v>n.r.</v>
      </c>
      <c r="EB87" s="8" t="str">
        <f ca="1">OFFSET(Database!$F87,0,COLUMN(Database!DY87)*2-12)</f>
        <v>n.r.</v>
      </c>
      <c r="EC87" s="8" t="str">
        <f ca="1">OFFSET(Database!$F87,0,COLUMN(Database!DZ87)*2-12)</f>
        <v>n.r.</v>
      </c>
      <c r="ED87" s="8" t="str">
        <f ca="1">OFFSET(Database!$F87,0,COLUMN(Database!EA87)*2-12)</f>
        <v>n.r.</v>
      </c>
      <c r="EE87" s="8" t="str">
        <f ca="1">OFFSET(Database!$F87,0,COLUMN(Database!EB87)*2-12)</f>
        <v>n.r.</v>
      </c>
      <c r="EF87" s="8" t="str">
        <f ca="1">OFFSET(Database!$F87,0,COLUMN(Database!EC87)*2-12)</f>
        <v>n.r.</v>
      </c>
      <c r="EG87" s="8" t="str">
        <f ca="1">OFFSET(Database!$F87,0,COLUMN(Database!ED87)*2-12)</f>
        <v>n.r.</v>
      </c>
      <c r="EH87" s="8" t="str">
        <f ca="1">OFFSET(Database!$F87,0,COLUMN(Database!EE87)*2-12)</f>
        <v>n.r.</v>
      </c>
      <c r="EI87" s="8" t="str">
        <f ca="1">OFFSET(Database!$F87,0,COLUMN(Database!EF87)*2-12)</f>
        <v>n.r.</v>
      </c>
      <c r="EJ87" s="8" t="str">
        <f ca="1">OFFSET(Database!$F87,0,COLUMN(Database!EG87)*2-12)</f>
        <v>n.r.</v>
      </c>
      <c r="EK87" s="8" t="str">
        <f ca="1">OFFSET(Database!$F87,0,COLUMN(Database!EH87)*2-12)</f>
        <v>n.r.</v>
      </c>
      <c r="EL87" s="8" t="str">
        <f ca="1">OFFSET(Database!$F87,0,COLUMN(Database!EI87)*2-12)</f>
        <v>n.r.</v>
      </c>
      <c r="EM87" s="8" t="str">
        <f ca="1">OFFSET(Database!$F87,0,COLUMN(Database!EJ87)*2-12)</f>
        <v>n.r.</v>
      </c>
      <c r="EN87" s="8" t="str">
        <f ca="1">OFFSET(Database!$F87,0,COLUMN(Database!EK87)*2-12)</f>
        <v>n.r.</v>
      </c>
      <c r="EO87" s="8" t="str">
        <f ca="1">OFFSET(Database!$F87,0,COLUMN(Database!EL87)*2-12)</f>
        <v>n.r.</v>
      </c>
      <c r="EP87" s="8" t="str">
        <f ca="1">OFFSET(Database!$F87,0,COLUMN(Database!EM87)*2-12)</f>
        <v>n.r.</v>
      </c>
      <c r="EQ87" s="8" t="str">
        <f ca="1">OFFSET(Database!$F87,0,COLUMN(Database!EN87)*2-12)</f>
        <v>n.r.</v>
      </c>
      <c r="ER87" s="8" t="str">
        <f ca="1">OFFSET(Database!$F87,0,COLUMN(Database!EO87)*2-12)</f>
        <v>n.r.</v>
      </c>
      <c r="ES87" s="8" t="str">
        <f ca="1">OFFSET(Database!$F87,0,COLUMN(Database!EP87)*2-12)</f>
        <v>n.r.</v>
      </c>
      <c r="ET87" s="8" t="str">
        <f ca="1">OFFSET(Database!$F87,0,COLUMN(Database!EQ87)*2-12)</f>
        <v>n.r.</v>
      </c>
      <c r="EU87" s="8" t="str">
        <f ca="1">OFFSET(Database!$F87,0,COLUMN(Database!ER87)*2-12)</f>
        <v>n.r.</v>
      </c>
      <c r="EV87" s="8" t="str">
        <f ca="1">OFFSET(Database!$F87,0,COLUMN(Database!ES87)*2-12)</f>
        <v>n.r.</v>
      </c>
      <c r="EW87" s="8" t="str">
        <f ca="1">OFFSET(Database!$F87,0,COLUMN(Database!ET87)*2-12)</f>
        <v>n.r.</v>
      </c>
      <c r="EX87" s="8" t="str">
        <f ca="1">OFFSET(Database!$F87,0,COLUMN(Database!EU87)*2-12)</f>
        <v>n.r.</v>
      </c>
      <c r="EY87" s="8" t="str">
        <f ca="1">OFFSET(Database!$F87,0,COLUMN(Database!EV87)*2-12)</f>
        <v>n.r.</v>
      </c>
      <c r="EZ87" s="8" t="str">
        <f ca="1">OFFSET(Database!$F87,0,COLUMN(Database!EW87)*2-12)</f>
        <v>n.r.</v>
      </c>
      <c r="FA87" s="8" t="str">
        <f ca="1">OFFSET(Database!$F87,0,COLUMN(Database!EX87)*2-12)</f>
        <v>n.r.</v>
      </c>
      <c r="FB87" s="8" t="str">
        <f ca="1">OFFSET(Database!$F87,0,COLUMN(Database!EY87)*2-12)</f>
        <v>n.r.</v>
      </c>
      <c r="FC87" s="8" t="str">
        <f ca="1">OFFSET(Database!$F87,0,COLUMN(Database!EZ87)*2-12)</f>
        <v>n.r.</v>
      </c>
      <c r="FD87" s="8" t="str">
        <f ca="1">OFFSET(Database!$F87,0,COLUMN(Database!FA87)*2-12)</f>
        <v>n.r.</v>
      </c>
      <c r="FE87" s="8" t="str">
        <f ca="1">OFFSET(Database!$F87,0,COLUMN(Database!FB87)*2-12)</f>
        <v>n.r.</v>
      </c>
      <c r="FF87" s="8" t="str">
        <f ca="1">OFFSET(Database!$F87,0,COLUMN(Database!FC87)*2-12)</f>
        <v>n.r.</v>
      </c>
      <c r="FG87" s="8" t="str">
        <f ca="1">OFFSET(Database!$F87,0,COLUMN(Database!FD87)*2-12)</f>
        <v>n.r.</v>
      </c>
      <c r="FH87" s="8" t="str">
        <f ca="1">OFFSET(Database!$F87,0,COLUMN(Database!FE87)*2-12)</f>
        <v>n.r.</v>
      </c>
      <c r="FI87" s="8" t="str">
        <f ca="1">OFFSET(Database!$F87,0,COLUMN(Database!FF87)*2-12)</f>
        <v>n.r.</v>
      </c>
      <c r="FJ87" s="8" t="str">
        <f ca="1">OFFSET(Database!$F87,0,COLUMN(Database!FG87)*2-12)</f>
        <v>n.r.</v>
      </c>
      <c r="FK87" s="8" t="str">
        <f ca="1">OFFSET(Database!$F87,0,COLUMN(Database!FH87)*2-12)</f>
        <v>n.r.</v>
      </c>
      <c r="FL87" s="8" t="str">
        <f ca="1">OFFSET(Database!$F87,0,COLUMN(Database!FI87)*2-12)</f>
        <v>n.r.</v>
      </c>
      <c r="FM87" s="8" t="str">
        <f ca="1">OFFSET(Database!$F87,0,COLUMN(Database!FJ87)*2-12)</f>
        <v>n.r.</v>
      </c>
      <c r="FN87" s="8" t="str">
        <f ca="1">OFFSET(Database!$F87,0,COLUMN(Database!FK87)*2-12)</f>
        <v>n.r.</v>
      </c>
      <c r="FO87" s="8" t="str">
        <f ca="1">OFFSET(Database!$F87,0,COLUMN(Database!FL87)*2-12)</f>
        <v>n.r.</v>
      </c>
      <c r="FP87" s="8" t="str">
        <f ca="1">OFFSET(Database!$F87,0,COLUMN(Database!FM87)*2-12)</f>
        <v>n.r.</v>
      </c>
      <c r="FQ87" s="8" t="str">
        <f ca="1">OFFSET(Database!$F87,0,COLUMN(Database!FN87)*2-12)</f>
        <v>n.r.</v>
      </c>
      <c r="FR87" s="8" t="str">
        <f ca="1">OFFSET(Database!$F87,0,COLUMN(Database!FO87)*2-12)</f>
        <v>n.r.</v>
      </c>
      <c r="FS87" s="8" t="str">
        <f ca="1">OFFSET(Database!$F87,0,COLUMN(Database!FP87)*2-12)</f>
        <v>n.r.</v>
      </c>
      <c r="FT87" s="8" t="str">
        <f ca="1">OFFSET(Database!$F87,0,COLUMN(Database!FQ87)*2-12)</f>
        <v>n.r.</v>
      </c>
      <c r="FU87" s="8">
        <f ca="1">OFFSET(Database!$F87,0,COLUMN(Database!FR87)*2-12)</f>
        <v>22532</v>
      </c>
      <c r="FV87" s="8">
        <f ca="1">OFFSET(Database!$F87,0,COLUMN(Database!FS87)*2-12)</f>
        <v>13074</v>
      </c>
      <c r="FW87" s="8">
        <f ca="1">OFFSET(Database!$F87,0,COLUMN(Database!FT87)*2-12)</f>
        <v>18600</v>
      </c>
      <c r="FX87" s="8">
        <f ca="1">OFFSET(Database!$F87,0,COLUMN(Database!FU87)*2-12)</f>
        <v>23316</v>
      </c>
      <c r="FY87" s="8">
        <f ca="1">OFFSET(Database!$F87,0,COLUMN(Database!FV87)*2-12)</f>
        <v>21256</v>
      </c>
      <c r="FZ87" s="8">
        <f ca="1">OFFSET(Database!$F87,0,COLUMN(Database!FW87)*2-12)</f>
        <v>26854</v>
      </c>
      <c r="GA87" s="8">
        <f ca="1">OFFSET(Database!$F87,0,COLUMN(Database!FX87)*2-12)</f>
        <v>19287</v>
      </c>
      <c r="GB87" s="8">
        <f ca="1">OFFSET(Database!$F87,0,COLUMN(Database!FY87)*2-12)</f>
        <v>27678</v>
      </c>
      <c r="GC87" s="8">
        <f ca="1">OFFSET(Database!$F87,0,COLUMN(Database!FZ87)*2-12)</f>
        <v>9661</v>
      </c>
      <c r="GD87" s="8">
        <f ca="1">OFFSET(Database!$F87,0,COLUMN(Database!GA87)*2-12)</f>
        <v>23625</v>
      </c>
      <c r="GE87" s="8">
        <f ca="1">OFFSET(Database!$F87,0,COLUMN(Database!GB87)*2-12)</f>
        <v>16729</v>
      </c>
      <c r="GF87" s="8">
        <f ca="1">OFFSET(Database!$F87,0,COLUMN(Database!GC87)*2-12)</f>
        <v>9806</v>
      </c>
      <c r="GG87" s="8" t="str">
        <f ca="1">OFFSET(Database!$F87,0,COLUMN(Database!GD87)*2-12)</f>
        <v>n.r.</v>
      </c>
      <c r="GH87" s="8" t="str">
        <f ca="1">OFFSET(Database!$F87,0,COLUMN(Database!GE87)*2-12)</f>
        <v>n.r.</v>
      </c>
      <c r="GI87" s="8" t="str">
        <f ca="1">OFFSET(Database!$F87,0,COLUMN(Database!GF87)*2-12)</f>
        <v>n.r.</v>
      </c>
      <c r="GJ87" s="8" t="str">
        <f ca="1">OFFSET(Database!$F87,0,COLUMN(Database!GG87)*2-12)</f>
        <v>n.r.</v>
      </c>
      <c r="GK87" s="8" t="str">
        <f ca="1">OFFSET(Database!$F87,0,COLUMN(Database!GH87)*2-12)</f>
        <v>n.r.</v>
      </c>
      <c r="GL87" s="8" t="str">
        <f ca="1">OFFSET(Database!$F87,0,COLUMN(Database!GI87)*2-12)</f>
        <v>n.r.</v>
      </c>
      <c r="GM87" s="8" t="str">
        <f ca="1">OFFSET(Database!$F87,0,COLUMN(Database!GJ87)*2-12)</f>
        <v>n.r.</v>
      </c>
      <c r="GN87" s="8" t="str">
        <f ca="1">OFFSET(Database!$F87,0,COLUMN(Database!GK87)*2-12)</f>
        <v>n.r.</v>
      </c>
      <c r="GO87" s="8" t="str">
        <f ca="1">OFFSET(Database!$F87,0,COLUMN(Database!GL87)*2-12)</f>
        <v>n.r.</v>
      </c>
      <c r="GP87" s="8" t="str">
        <f ca="1">OFFSET(Database!$F87,0,COLUMN(Database!GM87)*2-12)</f>
        <v>n.r.</v>
      </c>
    </row>
    <row r="88" spans="1:198" x14ac:dyDescent="0.2">
      <c r="A88" s="50" t="str">
        <f>Database!A88</f>
        <v>ε-aminocaproic acid</v>
      </c>
      <c r="B88" s="32" t="s">
        <v>895</v>
      </c>
      <c r="C88" s="4" t="str">
        <f>Database!B88</f>
        <v>ε</v>
      </c>
      <c r="D88" s="4" t="str">
        <f>Database!C88</f>
        <v>Both</v>
      </c>
      <c r="E88" s="74">
        <f>Database!D88</f>
        <v>83</v>
      </c>
      <c r="F88" s="32" t="s">
        <v>962</v>
      </c>
      <c r="G88" s="1">
        <v>564</v>
      </c>
      <c r="H88" s="1">
        <f>Database!E88</f>
        <v>131.16999999999999</v>
      </c>
      <c r="I88" s="8" t="str">
        <f ca="1">OFFSET(Database!$F88,0,COLUMN(Database!F88)*2-12)</f>
        <v>tr</v>
      </c>
      <c r="J88" s="8">
        <f ca="1">OFFSET(Database!$F88,0,COLUMN(Database!G88)*2-12)</f>
        <v>5.0000000000000001E-3</v>
      </c>
      <c r="K88" s="8" t="str">
        <f ca="1">OFFSET(Database!$F88,0,COLUMN(Database!H88)*2-12)</f>
        <v>tr</v>
      </c>
      <c r="L88" s="8">
        <f ca="1">OFFSET(Database!$F88,0,COLUMN(Database!I88)*2-12)</f>
        <v>2.8E-3</v>
      </c>
      <c r="M88" s="8" t="str">
        <f ca="1">OFFSET(Database!$F88,0,COLUMN(Database!J88)*2-12)</f>
        <v>n.d.</v>
      </c>
      <c r="N88" s="8" t="str">
        <f ca="1">OFFSET(Database!$F88,0,COLUMN(Database!K88)*2-12)</f>
        <v>n.r.</v>
      </c>
      <c r="O88" s="8">
        <f ca="1">OFFSET(Database!$F88,0,COLUMN(Database!L88)*2-12)</f>
        <v>30</v>
      </c>
      <c r="P88" s="8">
        <f ca="1">OFFSET(Database!$F88,0,COLUMN(Database!M88)*2-12)</f>
        <v>4.1100000000000003</v>
      </c>
      <c r="Q88" s="8" t="str">
        <f ca="1">OFFSET(Database!$F88,0,COLUMN(Database!N88)*2-12)</f>
        <v>n.s.</v>
      </c>
      <c r="R88" s="8" t="str">
        <f ca="1">OFFSET(Database!$F88,0,COLUMN(Database!O88)*2-12)</f>
        <v>n.r.</v>
      </c>
      <c r="S88" s="8" t="str">
        <f ca="1">OFFSET(Database!$F88,0,COLUMN(Database!P88)*2-12)</f>
        <v>n.r.</v>
      </c>
      <c r="T88" s="8">
        <f ca="1">OFFSET(Database!$F88,0,COLUMN(Database!Q88)*2-12)</f>
        <v>392</v>
      </c>
      <c r="U88" s="8">
        <f ca="1">OFFSET(Database!$F88,0,COLUMN(Database!R88)*2-12)</f>
        <v>19.3</v>
      </c>
      <c r="V88" s="8">
        <f ca="1">OFFSET(Database!$F88,0,COLUMN(Database!S88)*2-12)</f>
        <v>15.354120606846079</v>
      </c>
      <c r="W88" s="8">
        <f ca="1">OFFSET(Database!$F88,0,COLUMN(Database!T88)*2-12)</f>
        <v>7.2730044979797217</v>
      </c>
      <c r="X88" s="8">
        <f ca="1">OFFSET(Database!$F88,0,COLUMN(Database!U88)*2-12)</f>
        <v>3.7356102767401085</v>
      </c>
      <c r="Y88" s="8">
        <f ca="1">OFFSET(Database!$F88,0,COLUMN(Database!V88)*2-12)</f>
        <v>2.2000000000000002</v>
      </c>
      <c r="Z88" s="8">
        <f ca="1">OFFSET(Database!$F88,0,COLUMN(Database!W88)*2-12)</f>
        <v>2.2000000000000002</v>
      </c>
      <c r="AA88" s="8">
        <f ca="1">OFFSET(Database!$F88,0,COLUMN(Database!X88)*2-12)</f>
        <v>5</v>
      </c>
      <c r="AB88" s="8" t="str">
        <f ca="1">OFFSET(Database!$F88,0,COLUMN(Database!Y88)*2-12)</f>
        <v>n.r.</v>
      </c>
      <c r="AC88" s="8">
        <f ca="1">OFFSET(Database!$F88,0,COLUMN(Database!Z88)*2-12)</f>
        <v>2.0431501105435697</v>
      </c>
      <c r="AD88" s="8">
        <f ca="1">OFFSET(Database!$F88,0,COLUMN(Database!AA88)*2-12)</f>
        <v>2.9427460547381266</v>
      </c>
      <c r="AE88" s="8">
        <f ca="1">OFFSET(Database!$F88,0,COLUMN(Database!AB88)*2-12)</f>
        <v>70.633529008157353</v>
      </c>
      <c r="AF88" s="8">
        <f ca="1">OFFSET(Database!$F88,0,COLUMN(Database!AC88)*2-12)</f>
        <v>2</v>
      </c>
      <c r="AG88" s="8">
        <f ca="1">OFFSET(Database!$F88,0,COLUMN(Database!AD88)*2-12)</f>
        <v>2.5000000000000001E-2</v>
      </c>
      <c r="AH88" s="8" t="str">
        <f ca="1">OFFSET(Database!$F88,0,COLUMN(Database!AE88)*2-12)</f>
        <v>n.r.</v>
      </c>
      <c r="AI88" s="8">
        <f ca="1">OFFSET(Database!$F88,0,COLUMN(Database!AF88)*2-12)</f>
        <v>0.74</v>
      </c>
      <c r="AJ88" s="8">
        <f ca="1">OFFSET(Database!$F88,0,COLUMN(Database!AG88)*2-12)</f>
        <v>1.5</v>
      </c>
      <c r="AK88" s="8">
        <f ca="1">OFFSET(Database!$F88,0,COLUMN(Database!AH88)*2-12)</f>
        <v>1.65</v>
      </c>
      <c r="AL88" s="8" t="str">
        <f ca="1">OFFSET(Database!$F88,0,COLUMN(Database!AI88)*2-12)</f>
        <v>&lt;0.01</v>
      </c>
      <c r="AM88" s="8" t="str">
        <f ca="1">OFFSET(Database!$F88,0,COLUMN(Database!AJ88)*2-12)</f>
        <v>n.r.</v>
      </c>
      <c r="AN88" s="8" t="str">
        <f ca="1">OFFSET(Database!$F88,0,COLUMN(Database!AK88)*2-12)</f>
        <v>n.r.</v>
      </c>
      <c r="AO88" s="8">
        <f ca="1">OFFSET(Database!$F88,0,COLUMN(Database!AL88)*2-12)</f>
        <v>0.82335899977128923</v>
      </c>
      <c r="AP88" s="8" t="str">
        <f ca="1">OFFSET(Database!$F88,0,COLUMN(Database!AM88)*2-12)</f>
        <v>n.d.</v>
      </c>
      <c r="AQ88" s="8">
        <f ca="1">OFFSET(Database!$F88,0,COLUMN(Database!AN88)*2-12)</f>
        <v>0.08</v>
      </c>
      <c r="AR88" s="8">
        <f ca="1">OFFSET(Database!$F88,0,COLUMN(Database!AO88)*2-12)</f>
        <v>0.95</v>
      </c>
      <c r="AS88" s="8">
        <f ca="1">OFFSET(Database!$F88,0,COLUMN(Database!AP88)*2-12)</f>
        <v>10.429213997102996</v>
      </c>
      <c r="AT88" s="8">
        <f ca="1">OFFSET(Database!$F88,0,COLUMN(Database!AQ88)*2-12)</f>
        <v>8.0811161088663575</v>
      </c>
      <c r="AU88" s="8">
        <f ca="1">OFFSET(Database!$F88,0,COLUMN(Database!AR88)*2-12)</f>
        <v>7.3187466646336823</v>
      </c>
      <c r="AV88" s="8">
        <f ca="1">OFFSET(Database!$F88,0,COLUMN(Database!AS88)*2-12)</f>
        <v>10.040405580544332</v>
      </c>
      <c r="AW88" s="8">
        <f ca="1">OFFSET(Database!$F88,0,COLUMN(Database!AT88)*2-12)</f>
        <v>5.4128230540519944</v>
      </c>
      <c r="AX88" s="8" t="str">
        <f ca="1">OFFSET(Database!$F88,0,COLUMN(Database!AU88)*2-12)</f>
        <v>&lt;0.0305</v>
      </c>
      <c r="AY88" s="8">
        <f ca="1">OFFSET(Database!$F88,0,COLUMN(Database!AV88)*2-12)</f>
        <v>4.6580773042616457</v>
      </c>
      <c r="AZ88" s="8">
        <f ca="1">OFFSET(Database!$F88,0,COLUMN(Database!AW88)*2-12)</f>
        <v>14.332545551574293</v>
      </c>
      <c r="BA88" s="8">
        <f ca="1">OFFSET(Database!$F88,0,COLUMN(Database!AX88)*2-12)</f>
        <v>11.892963330029733</v>
      </c>
      <c r="BB88" s="8">
        <f ca="1">OFFSET(Database!$F88,0,COLUMN(Database!AY88)*2-12)</f>
        <v>2.4014637493329269</v>
      </c>
      <c r="BC88" s="8">
        <f ca="1">OFFSET(Database!$F88,0,COLUMN(Database!AZ88)*2-12)</f>
        <v>1.6085995273309448</v>
      </c>
      <c r="BD88" s="8">
        <f ca="1">OFFSET(Database!$F88,0,COLUMN(Database!BA88)*2-12)</f>
        <v>0.38118472211633764</v>
      </c>
      <c r="BE88" s="8">
        <f ca="1">OFFSET(Database!$F88,0,COLUMN(Database!BB88)*2-12)</f>
        <v>9.8345658306015107</v>
      </c>
      <c r="BF88" s="8">
        <f ca="1">OFFSET(Database!$F88,0,COLUMN(Database!BC88)*2-12)</f>
        <v>1.448501944042083</v>
      </c>
      <c r="BG88" s="8">
        <f ca="1">OFFSET(Database!$F88,0,COLUMN(Database!BD88)*2-12)</f>
        <v>4.1930319432797134</v>
      </c>
      <c r="BH88" s="8">
        <f ca="1">OFFSET(Database!$F88,0,COLUMN(Database!BE88)*2-12)</f>
        <v>1.3867500190592363</v>
      </c>
      <c r="BI88" s="8">
        <f ca="1">OFFSET(Database!$F88,0,COLUMN(Database!BF88)*2-12)</f>
        <v>3.5861858656705041</v>
      </c>
      <c r="BJ88" s="8">
        <f ca="1">OFFSET(Database!$F88,0,COLUMN(Database!BG88)*2-12)</f>
        <v>29.572310741785472</v>
      </c>
      <c r="BK88" s="8">
        <f ca="1">OFFSET(Database!$F88,0,COLUMN(Database!BH88)*2-12)</f>
        <v>18.647556605931236</v>
      </c>
      <c r="BL88" s="8">
        <f ca="1">OFFSET(Database!$F88,0,COLUMN(Database!BI88)*2-12)</f>
        <v>43.470305710147144</v>
      </c>
      <c r="BM88" s="8">
        <f ca="1">OFFSET(Database!$F88,0,COLUMN(Database!BJ88)*2-12)</f>
        <v>4.0558054433178325</v>
      </c>
      <c r="BN88" s="8">
        <f ca="1">OFFSET(Database!$F88,0,COLUMN(Database!BK88)*2-12)</f>
        <v>21.430205077380499</v>
      </c>
      <c r="BO88" s="8">
        <f ca="1">OFFSET(Database!$F88,0,COLUMN(Database!BL88)*2-12)</f>
        <v>1.8982999161393612</v>
      </c>
      <c r="BP88" s="8">
        <f ca="1">OFFSET(Database!$F88,0,COLUMN(Database!BM88)*2-12)</f>
        <v>0.31257147213539682</v>
      </c>
      <c r="BQ88" s="8">
        <f ca="1">OFFSET(Database!$F88,0,COLUMN(Database!BN88)*2-12)</f>
        <v>0.11435541663490129</v>
      </c>
      <c r="BR88" s="8">
        <f ca="1">OFFSET(Database!$F88,0,COLUMN(Database!BO88)*2-12)</f>
        <v>2.7292826103529775</v>
      </c>
      <c r="BS88" s="8">
        <f ca="1">OFFSET(Database!$F88,0,COLUMN(Database!BP88)*2-12)</f>
        <v>3.4992757490279791</v>
      </c>
      <c r="BT88" s="8">
        <f ca="1">OFFSET(Database!$F88,0,COLUMN(Database!BQ88)*2-12)</f>
        <v>0.10673172219257453</v>
      </c>
      <c r="BU88" s="8">
        <f ca="1">OFFSET(Database!$F88,0,COLUMN(Database!BR88)*2-12)</f>
        <v>3.3086833879698103</v>
      </c>
      <c r="BV88" s="8">
        <f ca="1">OFFSET(Database!$F88,0,COLUMN(Database!BS88)*2-12)</f>
        <v>0.96820919417549756</v>
      </c>
      <c r="BW88" s="8">
        <f ca="1">OFFSET(Database!$F88,0,COLUMN(Database!BT88)*2-12)</f>
        <v>5.9900000000000002E-2</v>
      </c>
      <c r="BX88" s="8">
        <f ca="1">OFFSET(Database!$F88,0,COLUMN(Database!BU88)*2-12)</f>
        <v>2.7600000000000003E-2</v>
      </c>
      <c r="BY88" s="8">
        <f ca="1">OFFSET(Database!$F88,0,COLUMN(Database!BV88)*2-12)</f>
        <v>0.21590000000000001</v>
      </c>
      <c r="BZ88" s="8" t="str">
        <f ca="1">OFFSET(Database!$F88,0,COLUMN(Database!BW88)*2-12)</f>
        <v>n.d.</v>
      </c>
      <c r="CA88" s="8" t="str">
        <f ca="1">OFFSET(Database!$F88,0,COLUMN(Database!BX88)*2-12)</f>
        <v>n.d.</v>
      </c>
      <c r="CB88" s="8">
        <f ca="1">OFFSET(Database!$F88,0,COLUMN(Database!BY88)*2-12)</f>
        <v>0.19059236105816882</v>
      </c>
      <c r="CC88" s="8">
        <f ca="1">OFFSET(Database!$F88,0,COLUMN(Database!BZ88)*2-12)</f>
        <v>8.3860638865594278E-2</v>
      </c>
      <c r="CD88" s="8">
        <f ca="1">OFFSET(Database!$F88,0,COLUMN(Database!CA88)*2-12)</f>
        <v>0.41930319432797136</v>
      </c>
      <c r="CE88" s="8">
        <f ca="1">OFFSET(Database!$F88,0,COLUMN(Database!CB88)*2-12)</f>
        <v>2.9732408325074333</v>
      </c>
      <c r="CF88" s="8">
        <f ca="1">OFFSET(Database!$F88,0,COLUMN(Database!CC88)*2-12)</f>
        <v>0.21346344438514905</v>
      </c>
      <c r="CG88" s="8">
        <f ca="1">OFFSET(Database!$F88,0,COLUMN(Database!CD88)*2-12)</f>
        <v>0.21346344438514905</v>
      </c>
      <c r="CH88" s="8">
        <f ca="1">OFFSET(Database!$F88,0,COLUMN(Database!CE88)*2-12)</f>
        <v>3.354425554623771E-2</v>
      </c>
      <c r="CI88" s="8">
        <f ca="1">OFFSET(Database!$F88,0,COLUMN(Database!CF88)*2-12)</f>
        <v>3.453533582374019</v>
      </c>
      <c r="CJ88" s="8">
        <f ca="1">OFFSET(Database!$F88,0,COLUMN(Database!CG88)*2-12)</f>
        <v>10.436837691545325</v>
      </c>
      <c r="CK88" s="8">
        <f ca="1">OFFSET(Database!$F88,0,COLUMN(Database!CH88)*2-12)</f>
        <v>4.1472897766257528</v>
      </c>
      <c r="CL88" s="8">
        <f ca="1">OFFSET(Database!$F88,0,COLUMN(Database!CI88)*2-12)</f>
        <v>4.3531295265685754</v>
      </c>
      <c r="CM88" s="8">
        <f ca="1">OFFSET(Database!$F88,0,COLUMN(Database!CJ88)*2-12)</f>
        <v>2.8283906381032251</v>
      </c>
      <c r="CN88" s="8">
        <f ca="1">OFFSET(Database!$F88,0,COLUMN(Database!CK88)*2-12)</f>
        <v>2.7826484714492645</v>
      </c>
      <c r="CO88" s="8">
        <f ca="1">OFFSET(Database!$F88,0,COLUMN(Database!CL88)*2-12)</f>
        <v>1.9821605550049557</v>
      </c>
      <c r="CP88" s="8" t="str">
        <f ca="1">OFFSET(Database!$F88,0,COLUMN(Database!CM88)*2-12)</f>
        <v>&lt;0.1</v>
      </c>
      <c r="CQ88" s="8" t="str">
        <f ca="1">OFFSET(Database!$F88,0,COLUMN(Database!CN88)*2-12)</f>
        <v>&lt;0.1</v>
      </c>
      <c r="CR88" s="8">
        <f ca="1">OFFSET(Database!$F88,0,COLUMN(Database!CO88)*2-12)</f>
        <v>3.63</v>
      </c>
      <c r="CS88" s="8">
        <f ca="1">OFFSET(Database!$F88,0,COLUMN(Database!CP88)*2-12)</f>
        <v>0.45</v>
      </c>
      <c r="CT88" s="8" t="str">
        <f ca="1">OFFSET(Database!$F88,0,COLUMN(Database!CQ88)*2-12)</f>
        <v>&lt;0.1</v>
      </c>
      <c r="CU88" s="8">
        <f ca="1">OFFSET(Database!$F88,0,COLUMN(Database!CR88)*2-12)</f>
        <v>0.11</v>
      </c>
      <c r="CV88" s="8">
        <f ca="1">OFFSET(Database!$F88,0,COLUMN(Database!CS88)*2-12)</f>
        <v>14.28</v>
      </c>
      <c r="CW88" s="8">
        <f ca="1">OFFSET(Database!$F88,0,COLUMN(Database!CT88)*2-12)</f>
        <v>18.07</v>
      </c>
      <c r="CX88" s="8">
        <f ca="1">OFFSET(Database!$F88,0,COLUMN(Database!CU88)*2-12)</f>
        <v>15.39</v>
      </c>
      <c r="CY88" s="8">
        <f ca="1">OFFSET(Database!$F88,0,COLUMN(Database!CV88)*2-12)</f>
        <v>63.52</v>
      </c>
      <c r="CZ88" s="8">
        <f ca="1">OFFSET(Database!$F88,0,COLUMN(Database!CW88)*2-12)</f>
        <v>58.86</v>
      </c>
      <c r="DA88" s="8">
        <f ca="1">OFFSET(Database!$F88,0,COLUMN(Database!CX88)*2-12)</f>
        <v>8.25</v>
      </c>
      <c r="DB88" s="8">
        <f ca="1">OFFSET(Database!$F88,0,COLUMN(Database!CY88)*2-12)</f>
        <v>4.5</v>
      </c>
      <c r="DC88" s="8" t="str">
        <f ca="1">OFFSET(Database!$F88,0,COLUMN(Database!CZ88)*2-12)</f>
        <v>&lt;49.9</v>
      </c>
      <c r="DD88" s="8">
        <f ca="1">OFFSET(Database!$F88,0,COLUMN(Database!DA88)*2-12)</f>
        <v>0.19</v>
      </c>
      <c r="DE88" s="8">
        <f ca="1">OFFSET(Database!$F88,0,COLUMN(Database!DB88)*2-12)</f>
        <v>5.2069833041091718</v>
      </c>
      <c r="DF88" s="8" t="str">
        <f ca="1">OFFSET(Database!$F88,0,COLUMN(Database!DC88)*2-12)</f>
        <v>n.r.</v>
      </c>
      <c r="DG88" s="8" t="str">
        <f ca="1">OFFSET(Database!$F88,0,COLUMN(Database!DD88)*2-12)</f>
        <v>n.r.</v>
      </c>
      <c r="DH88" s="8" t="str">
        <f ca="1">OFFSET(Database!$F88,0,COLUMN(Database!DE88)*2-12)</f>
        <v>n.r.</v>
      </c>
      <c r="DI88" s="8" t="str">
        <f ca="1">OFFSET(Database!$F88,0,COLUMN(Database!DF88)*2-12)</f>
        <v>n.r.</v>
      </c>
      <c r="DJ88" s="8" t="str">
        <f ca="1">OFFSET(Database!$F88,0,COLUMN(Database!DG88)*2-12)</f>
        <v>n.r.</v>
      </c>
      <c r="DK88" s="8" t="str">
        <f ca="1">OFFSET(Database!$F88,0,COLUMN(Database!DH88)*2-12)</f>
        <v>n.r.</v>
      </c>
      <c r="DL88" s="8" t="str">
        <f ca="1">OFFSET(Database!$F88,0,COLUMN(Database!DI88)*2-12)</f>
        <v>n.r.</v>
      </c>
      <c r="DM88" s="8" t="str">
        <f ca="1">OFFSET(Database!$F88,0,COLUMN(Database!DJ88)*2-12)</f>
        <v>n.r.</v>
      </c>
      <c r="DN88" s="8" t="str">
        <f ca="1">OFFSET(Database!$F88,0,COLUMN(Database!DK88)*2-12)</f>
        <v>n.r.</v>
      </c>
      <c r="DO88" s="8" t="str">
        <f ca="1">OFFSET(Database!$F88,0,COLUMN(Database!DL88)*2-12)</f>
        <v>n.r.</v>
      </c>
      <c r="DP88" s="8" t="str">
        <f ca="1">OFFSET(Database!$F88,0,COLUMN(Database!DM88)*2-12)</f>
        <v>n.r.</v>
      </c>
      <c r="DQ88" s="8" t="str">
        <f ca="1">OFFSET(Database!$F88,0,COLUMN(Database!DN88)*2-12)</f>
        <v>n.r.</v>
      </c>
      <c r="DR88" s="8" t="str">
        <f ca="1">OFFSET(Database!$F88,0,COLUMN(Database!DO88)*2-12)</f>
        <v>n.r.</v>
      </c>
      <c r="DS88" s="8" t="str">
        <f ca="1">OFFSET(Database!$F88,0,COLUMN(Database!DP88)*2-12)</f>
        <v>n.r.</v>
      </c>
      <c r="DT88" s="8" t="str">
        <f ca="1">OFFSET(Database!$F88,0,COLUMN(Database!DQ88)*2-12)</f>
        <v>n.r.</v>
      </c>
      <c r="DU88" s="8">
        <f ca="1">OFFSET(Database!$F88,0,COLUMN(Database!DR88)*2-12)</f>
        <v>13.386100000000001</v>
      </c>
      <c r="DV88" s="8">
        <f ca="1">OFFSET(Database!$F88,0,COLUMN(Database!DS88)*2-12)</f>
        <v>1.974</v>
      </c>
      <c r="DW88" s="8" t="str">
        <f ca="1">OFFSET(Database!$F88,0,COLUMN(Database!DT88)*2-12)</f>
        <v>n.r.</v>
      </c>
      <c r="DX88" s="8" t="str">
        <f ca="1">OFFSET(Database!$F88,0,COLUMN(Database!DU88)*2-12)</f>
        <v>n.r.</v>
      </c>
      <c r="DY88" s="8" t="str">
        <f ca="1">OFFSET(Database!$F88,0,COLUMN(Database!DV88)*2-12)</f>
        <v>n.r.</v>
      </c>
      <c r="DZ88" s="8" t="str">
        <f ca="1">OFFSET(Database!$F88,0,COLUMN(Database!DW88)*2-12)</f>
        <v>n.r.</v>
      </c>
      <c r="EA88" s="8" t="str">
        <f ca="1">OFFSET(Database!$F88,0,COLUMN(Database!DX88)*2-12)</f>
        <v>n.r.</v>
      </c>
      <c r="EB88" s="8" t="str">
        <f ca="1">OFFSET(Database!$F88,0,COLUMN(Database!DY88)*2-12)</f>
        <v>n.r.</v>
      </c>
      <c r="EC88" s="8" t="str">
        <f ca="1">OFFSET(Database!$F88,0,COLUMN(Database!DZ88)*2-12)</f>
        <v>n.r.</v>
      </c>
      <c r="ED88" s="8" t="str">
        <f ca="1">OFFSET(Database!$F88,0,COLUMN(Database!EA88)*2-12)</f>
        <v>n.r</v>
      </c>
      <c r="EE88" s="8" t="str">
        <f ca="1">OFFSET(Database!$F88,0,COLUMN(Database!EB88)*2-12)</f>
        <v>n.r.</v>
      </c>
      <c r="EF88" s="8" t="str">
        <f ca="1">OFFSET(Database!$F88,0,COLUMN(Database!EC88)*2-12)</f>
        <v>n.r.</v>
      </c>
      <c r="EG88" s="8" t="str">
        <f ca="1">OFFSET(Database!$F88,0,COLUMN(Database!ED88)*2-12)</f>
        <v>n.r.</v>
      </c>
      <c r="EH88" s="8" t="str">
        <f ca="1">OFFSET(Database!$F88,0,COLUMN(Database!EE88)*2-12)</f>
        <v>n.r.</v>
      </c>
      <c r="EI88" s="8" t="str">
        <f ca="1">OFFSET(Database!$F88,0,COLUMN(Database!EF88)*2-12)</f>
        <v>n.r.</v>
      </c>
      <c r="EJ88" s="8" t="str">
        <f ca="1">OFFSET(Database!$F88,0,COLUMN(Database!EG88)*2-12)</f>
        <v>n.r.</v>
      </c>
      <c r="EK88" s="8" t="str">
        <f ca="1">OFFSET(Database!$F88,0,COLUMN(Database!EH88)*2-12)</f>
        <v>n.r.</v>
      </c>
      <c r="EL88" s="8" t="str">
        <f ca="1">OFFSET(Database!$F88,0,COLUMN(Database!EI88)*2-12)</f>
        <v>n.r.</v>
      </c>
      <c r="EM88" s="8" t="str">
        <f ca="1">OFFSET(Database!$F88,0,COLUMN(Database!EJ88)*2-12)</f>
        <v>n.r.</v>
      </c>
      <c r="EN88" s="8" t="str">
        <f ca="1">OFFSET(Database!$F88,0,COLUMN(Database!EK88)*2-12)</f>
        <v>n.r.</v>
      </c>
      <c r="EO88" s="8" t="str">
        <f ca="1">OFFSET(Database!$F88,0,COLUMN(Database!EL88)*2-12)</f>
        <v>n.r.</v>
      </c>
      <c r="EP88" s="8" t="str">
        <f ca="1">OFFSET(Database!$F88,0,COLUMN(Database!EM88)*2-12)</f>
        <v>n.r.</v>
      </c>
      <c r="EQ88" s="8" t="str">
        <f ca="1">OFFSET(Database!$F88,0,COLUMN(Database!EN88)*2-12)</f>
        <v>n.r.</v>
      </c>
      <c r="ER88" s="8" t="str">
        <f ca="1">OFFSET(Database!$F88,0,COLUMN(Database!EO88)*2-12)</f>
        <v>n.r.</v>
      </c>
      <c r="ES88" s="8" t="str">
        <f ca="1">OFFSET(Database!$F88,0,COLUMN(Database!EP88)*2-12)</f>
        <v>n.r.</v>
      </c>
      <c r="ET88" s="8" t="str">
        <f ca="1">OFFSET(Database!$F88,0,COLUMN(Database!EQ88)*2-12)</f>
        <v>n.r.</v>
      </c>
      <c r="EU88" s="8" t="str">
        <f ca="1">OFFSET(Database!$F88,0,COLUMN(Database!ER88)*2-12)</f>
        <v>n.r.</v>
      </c>
      <c r="EV88" s="8" t="str">
        <f ca="1">OFFSET(Database!$F88,0,COLUMN(Database!ES88)*2-12)</f>
        <v>n.r.</v>
      </c>
      <c r="EW88" s="8" t="str">
        <f ca="1">OFFSET(Database!$F88,0,COLUMN(Database!ET88)*2-12)</f>
        <v>n.r.</v>
      </c>
      <c r="EX88" s="8" t="str">
        <f ca="1">OFFSET(Database!$F88,0,COLUMN(Database!EU88)*2-12)</f>
        <v>n.r.</v>
      </c>
      <c r="EY88" s="8" t="str">
        <f ca="1">OFFSET(Database!$F88,0,COLUMN(Database!EV88)*2-12)</f>
        <v>n.r.</v>
      </c>
      <c r="EZ88" s="8" t="str">
        <f ca="1">OFFSET(Database!$F88,0,COLUMN(Database!EW88)*2-12)</f>
        <v>n.r.</v>
      </c>
      <c r="FA88" s="8" t="str">
        <f ca="1">OFFSET(Database!$F88,0,COLUMN(Database!EX88)*2-12)</f>
        <v>n.r.</v>
      </c>
      <c r="FB88" s="8" t="str">
        <f ca="1">OFFSET(Database!$F88,0,COLUMN(Database!EY88)*2-12)</f>
        <v>n.r.</v>
      </c>
      <c r="FC88" s="8" t="str">
        <f ca="1">OFFSET(Database!$F88,0,COLUMN(Database!EZ88)*2-12)</f>
        <v>n.r.</v>
      </c>
      <c r="FD88" s="8" t="str">
        <f ca="1">OFFSET(Database!$F88,0,COLUMN(Database!FA88)*2-12)</f>
        <v>n.r.</v>
      </c>
      <c r="FE88" s="8" t="str">
        <f ca="1">OFFSET(Database!$F88,0,COLUMN(Database!FB88)*2-12)</f>
        <v>n.r.</v>
      </c>
      <c r="FF88" s="8" t="str">
        <f ca="1">OFFSET(Database!$F88,0,COLUMN(Database!FC88)*2-12)</f>
        <v>n.r.</v>
      </c>
      <c r="FG88" s="8" t="str">
        <f ca="1">OFFSET(Database!$F88,0,COLUMN(Database!FD88)*2-12)</f>
        <v>n.r.</v>
      </c>
      <c r="FH88" s="8" t="str">
        <f ca="1">OFFSET(Database!$F88,0,COLUMN(Database!FE88)*2-12)</f>
        <v>n.r.</v>
      </c>
      <c r="FI88" s="8" t="str">
        <f ca="1">OFFSET(Database!$F88,0,COLUMN(Database!FF88)*2-12)</f>
        <v>n.r.</v>
      </c>
      <c r="FJ88" s="8" t="str">
        <f ca="1">OFFSET(Database!$F88,0,COLUMN(Database!FG88)*2-12)</f>
        <v>n.r.</v>
      </c>
      <c r="FK88" s="8" t="str">
        <f ca="1">OFFSET(Database!$F88,0,COLUMN(Database!FH88)*2-12)</f>
        <v>n.r.</v>
      </c>
      <c r="FL88" s="8" t="str">
        <f ca="1">OFFSET(Database!$F88,0,COLUMN(Database!FI88)*2-12)</f>
        <v>n.r.</v>
      </c>
      <c r="FM88" s="8" t="str">
        <f ca="1">OFFSET(Database!$F88,0,COLUMN(Database!FJ88)*2-12)</f>
        <v>n.r.</v>
      </c>
      <c r="FN88" s="8" t="str">
        <f ca="1">OFFSET(Database!$F88,0,COLUMN(Database!FK88)*2-12)</f>
        <v>n.r.</v>
      </c>
      <c r="FO88" s="8" t="str">
        <f ca="1">OFFSET(Database!$F88,0,COLUMN(Database!FL88)*2-12)</f>
        <v>n.r.</v>
      </c>
      <c r="FP88" s="8" t="str">
        <f ca="1">OFFSET(Database!$F88,0,COLUMN(Database!FM88)*2-12)</f>
        <v>n.r.</v>
      </c>
      <c r="FQ88" s="8" t="str">
        <f ca="1">OFFSET(Database!$F88,0,COLUMN(Database!FN88)*2-12)</f>
        <v>n.r.</v>
      </c>
      <c r="FR88" s="8" t="str">
        <f ca="1">OFFSET(Database!$F88,0,COLUMN(Database!FO88)*2-12)</f>
        <v>n.r.</v>
      </c>
      <c r="FS88" s="8" t="str">
        <f ca="1">OFFSET(Database!$F88,0,COLUMN(Database!FP88)*2-12)</f>
        <v>n.r.</v>
      </c>
      <c r="FT88" s="8" t="str">
        <f ca="1">OFFSET(Database!$F88,0,COLUMN(Database!FQ88)*2-12)</f>
        <v>n.r.</v>
      </c>
      <c r="FU88" s="8" t="str">
        <f ca="1">OFFSET(Database!$F88,0,COLUMN(Database!FR88)*2-12)</f>
        <v>n.r.</v>
      </c>
      <c r="FV88" s="8" t="str">
        <f ca="1">OFFSET(Database!$F88,0,COLUMN(Database!FS88)*2-12)</f>
        <v>n.r.</v>
      </c>
      <c r="FW88" s="8" t="str">
        <f ca="1">OFFSET(Database!$F88,0,COLUMN(Database!FT88)*2-12)</f>
        <v>n.r.</v>
      </c>
      <c r="FX88" s="8" t="str">
        <f ca="1">OFFSET(Database!$F88,0,COLUMN(Database!FU88)*2-12)</f>
        <v>n.r.</v>
      </c>
      <c r="FY88" s="8" t="str">
        <f ca="1">OFFSET(Database!$F88,0,COLUMN(Database!FV88)*2-12)</f>
        <v>n.r.</v>
      </c>
      <c r="FZ88" s="8" t="str">
        <f ca="1">OFFSET(Database!$F88,0,COLUMN(Database!FW88)*2-12)</f>
        <v>n.r.</v>
      </c>
      <c r="GA88" s="8" t="str">
        <f ca="1">OFFSET(Database!$F88,0,COLUMN(Database!FX88)*2-12)</f>
        <v>n.r.</v>
      </c>
      <c r="GB88" s="8" t="str">
        <f ca="1">OFFSET(Database!$F88,0,COLUMN(Database!FY88)*2-12)</f>
        <v>n.r.</v>
      </c>
      <c r="GC88" s="8" t="str">
        <f ca="1">OFFSET(Database!$F88,0,COLUMN(Database!FZ88)*2-12)</f>
        <v>n.r.</v>
      </c>
      <c r="GD88" s="8" t="str">
        <f ca="1">OFFSET(Database!$F88,0,COLUMN(Database!GA88)*2-12)</f>
        <v>n.r.</v>
      </c>
      <c r="GE88" s="8" t="str">
        <f ca="1">OFFSET(Database!$F88,0,COLUMN(Database!GB88)*2-12)</f>
        <v>n.r.</v>
      </c>
      <c r="GF88" s="8" t="str">
        <f ca="1">OFFSET(Database!$F88,0,COLUMN(Database!GC88)*2-12)</f>
        <v>n.r.</v>
      </c>
      <c r="GG88" s="8" t="str">
        <f ca="1">OFFSET(Database!$F88,0,COLUMN(Database!GD88)*2-12)</f>
        <v>n.r.</v>
      </c>
      <c r="GH88" s="8" t="str">
        <f ca="1">OFFSET(Database!$F88,0,COLUMN(Database!GE88)*2-12)</f>
        <v>n.r.</v>
      </c>
      <c r="GI88" s="8" t="str">
        <f ca="1">OFFSET(Database!$F88,0,COLUMN(Database!GF88)*2-12)</f>
        <v>n.r.</v>
      </c>
      <c r="GJ88" s="8" t="str">
        <f ca="1">OFFSET(Database!$F88,0,COLUMN(Database!GG88)*2-12)</f>
        <v>n.r.</v>
      </c>
      <c r="GK88" s="8" t="str">
        <f ca="1">OFFSET(Database!$F88,0,COLUMN(Database!GH88)*2-12)</f>
        <v>n.r.</v>
      </c>
      <c r="GL88" s="8" t="str">
        <f ca="1">OFFSET(Database!$F88,0,COLUMN(Database!GI88)*2-12)</f>
        <v>n.r.</v>
      </c>
      <c r="GM88" s="8" t="str">
        <f ca="1">OFFSET(Database!$F88,0,COLUMN(Database!GJ88)*2-12)</f>
        <v>n.r.</v>
      </c>
      <c r="GN88" s="8" t="str">
        <f ca="1">OFFSET(Database!$F88,0,COLUMN(Database!GK88)*2-12)</f>
        <v>n.r.</v>
      </c>
      <c r="GO88" s="8" t="str">
        <f ca="1">OFFSET(Database!$F88,0,COLUMN(Database!GL88)*2-12)</f>
        <v>n.r.</v>
      </c>
      <c r="GP88" s="8" t="str">
        <f ca="1">OFFSET(Database!$F88,0,COLUMN(Database!GM88)*2-12)</f>
        <v>n.r.</v>
      </c>
    </row>
    <row r="89" spans="1:198" x14ac:dyDescent="0.2">
      <c r="A89" s="50" t="str">
        <f>Database!A89</f>
        <v>D-leucine</v>
      </c>
      <c r="B89" s="1" t="s">
        <v>879</v>
      </c>
      <c r="C89" s="4" t="str">
        <f>Database!B89</f>
        <v>ɑ</v>
      </c>
      <c r="D89" s="4" t="str">
        <f>Database!C89</f>
        <v>D</v>
      </c>
      <c r="E89" s="74">
        <f>Database!D89</f>
        <v>15</v>
      </c>
      <c r="F89" s="1" t="s">
        <v>963</v>
      </c>
      <c r="G89" s="1">
        <v>439524</v>
      </c>
      <c r="H89" s="1">
        <f>Database!E89</f>
        <v>131.16999999999999</v>
      </c>
      <c r="I89" s="8" t="str">
        <f ca="1">OFFSET(Database!$F89,0,COLUMN(Database!F89)*2-12)</f>
        <v>tr</v>
      </c>
      <c r="J89" s="8" t="str">
        <f ca="1">OFFSET(Database!$F89,0,COLUMN(Database!G89)*2-12)</f>
        <v>tr</v>
      </c>
      <c r="K89" s="8" t="str">
        <f ca="1">OFFSET(Database!$F89,0,COLUMN(Database!H89)*2-12)</f>
        <v>b.b.</v>
      </c>
      <c r="L89" s="8" t="str">
        <f ca="1">OFFSET(Database!$F89,0,COLUMN(Database!I89)*2-12)</f>
        <v>tr</v>
      </c>
      <c r="M89" s="8" t="str">
        <f ca="1">OFFSET(Database!$F89,0,COLUMN(Database!J89)*2-12)</f>
        <v>tr</v>
      </c>
      <c r="N89" s="8" t="str">
        <f ca="1">OFFSET(Database!$F89,0,COLUMN(Database!K89)*2-12)</f>
        <v>n.r.</v>
      </c>
      <c r="O89" s="8" t="str">
        <f ca="1">OFFSET(Database!$F89,0,COLUMN(Database!L89)*2-12)</f>
        <v>n.r.</v>
      </c>
      <c r="P89" s="8" t="str">
        <f ca="1">OFFSET(Database!$F89,0,COLUMN(Database!M89)*2-12)</f>
        <v>n.r.</v>
      </c>
      <c r="Q89" s="8" t="str">
        <f ca="1">OFFSET(Database!$F89,0,COLUMN(Database!N89)*2-12)</f>
        <v>n.r.</v>
      </c>
      <c r="R89" s="8" t="str">
        <f ca="1">OFFSET(Database!$F89,0,COLUMN(Database!O89)*2-12)</f>
        <v>n.r.</v>
      </c>
      <c r="S89" s="8" t="str">
        <f ca="1">OFFSET(Database!$F89,0,COLUMN(Database!P89)*2-12)</f>
        <v>n.r.</v>
      </c>
      <c r="T89" s="8" t="str">
        <f ca="1">OFFSET(Database!$F89,0,COLUMN(Database!Q89)*2-12)</f>
        <v>n.r.</v>
      </c>
      <c r="U89" s="8" t="str">
        <f ca="1">OFFSET(Database!$F89,0,COLUMN(Database!R89)*2-12)</f>
        <v>n.r.</v>
      </c>
      <c r="V89" s="8" t="str">
        <f ca="1">OFFSET(Database!$F89,0,COLUMN(Database!S89)*2-12)</f>
        <v>n.r.</v>
      </c>
      <c r="W89" s="8" t="str">
        <f ca="1">OFFSET(Database!$F89,0,COLUMN(Database!T89)*2-12)</f>
        <v>n.r.</v>
      </c>
      <c r="X89" s="8" t="str">
        <f ca="1">OFFSET(Database!$F89,0,COLUMN(Database!U89)*2-12)</f>
        <v>n.r.</v>
      </c>
      <c r="Y89" s="8" t="str">
        <f ca="1">OFFSET(Database!$F89,0,COLUMN(Database!V89)*2-12)</f>
        <v>n.r.</v>
      </c>
      <c r="Z89" s="8" t="str">
        <f ca="1">OFFSET(Database!$F89,0,COLUMN(Database!W89)*2-12)</f>
        <v>n.r.</v>
      </c>
      <c r="AA89" s="8" t="str">
        <f ca="1">OFFSET(Database!$F89,0,COLUMN(Database!X89)*2-12)</f>
        <v>n.r.</v>
      </c>
      <c r="AB89" s="8">
        <f ca="1">OFFSET(Database!$F89,0,COLUMN(Database!Y89)*2-12)</f>
        <v>0.12960280551955478</v>
      </c>
      <c r="AC89" s="8" t="str">
        <f ca="1">OFFSET(Database!$F89,0,COLUMN(Database!Z89)*2-12)</f>
        <v>n.r.</v>
      </c>
      <c r="AD89" s="8" t="str">
        <f ca="1">OFFSET(Database!$F89,0,COLUMN(Database!AA89)*2-12)</f>
        <v>n.r.</v>
      </c>
      <c r="AE89" s="8" t="str">
        <f ca="1">OFFSET(Database!$F89,0,COLUMN(Database!AB89)*2-12)</f>
        <v>n.r.</v>
      </c>
      <c r="AF89" s="8" t="str">
        <f ca="1">OFFSET(Database!$F89,0,COLUMN(Database!AC89)*2-12)</f>
        <v>n.r.</v>
      </c>
      <c r="AG89" s="8" t="str">
        <f ca="1">OFFSET(Database!$F89,0,COLUMN(Database!AD89)*2-12)</f>
        <v>n.r.</v>
      </c>
      <c r="AH89" s="8" t="str">
        <f ca="1">OFFSET(Database!$F89,0,COLUMN(Database!AE89)*2-12)</f>
        <v>n.r.</v>
      </c>
      <c r="AI89" s="8" t="str">
        <f ca="1">OFFSET(Database!$F89,0,COLUMN(Database!AF89)*2-12)</f>
        <v>n.r.</v>
      </c>
      <c r="AJ89" s="8" t="str">
        <f ca="1">OFFSET(Database!$F89,0,COLUMN(Database!AG89)*2-12)</f>
        <v>n.r.</v>
      </c>
      <c r="AK89" s="8" t="str">
        <f ca="1">OFFSET(Database!$F89,0,COLUMN(Database!AH89)*2-12)</f>
        <v>n.r.</v>
      </c>
      <c r="AL89" s="8" t="str">
        <f ca="1">OFFSET(Database!$F89,0,COLUMN(Database!AI89)*2-12)</f>
        <v>n.r.</v>
      </c>
      <c r="AM89" s="8" t="str">
        <f ca="1">OFFSET(Database!$F89,0,COLUMN(Database!AJ89)*2-12)</f>
        <v>n.r.</v>
      </c>
      <c r="AN89" s="8" t="str">
        <f ca="1">OFFSET(Database!$F89,0,COLUMN(Database!AK89)*2-12)</f>
        <v>n.r.</v>
      </c>
      <c r="AO89" s="8" t="str">
        <f ca="1">OFFSET(Database!$F89,0,COLUMN(Database!AL89)*2-12)</f>
        <v>n.r.</v>
      </c>
      <c r="AP89" s="8" t="str">
        <f ca="1">OFFSET(Database!$F89,0,COLUMN(Database!AM89)*2-12)</f>
        <v>n.r.</v>
      </c>
      <c r="AQ89" s="8" t="str">
        <f ca="1">OFFSET(Database!$F89,0,COLUMN(Database!AN89)*2-12)</f>
        <v>n.r.</v>
      </c>
      <c r="AR89" s="8" t="str">
        <f ca="1">OFFSET(Database!$F89,0,COLUMN(Database!AO89)*2-12)</f>
        <v>n.r.</v>
      </c>
      <c r="AS89" s="8" t="str">
        <f ca="1">OFFSET(Database!$F89,0,COLUMN(Database!AP89)*2-12)</f>
        <v>n.r.</v>
      </c>
      <c r="AT89" s="8" t="str">
        <f ca="1">OFFSET(Database!$F89,0,COLUMN(Database!AQ89)*2-12)</f>
        <v>n.r.</v>
      </c>
      <c r="AU89" s="8" t="str">
        <f ca="1">OFFSET(Database!$F89,0,COLUMN(Database!AR89)*2-12)</f>
        <v>n.r.</v>
      </c>
      <c r="AV89" s="8" t="str">
        <f ca="1">OFFSET(Database!$F89,0,COLUMN(Database!AS89)*2-12)</f>
        <v>n.r.</v>
      </c>
      <c r="AW89" s="8" t="str">
        <f ca="1">OFFSET(Database!$F89,0,COLUMN(Database!AT89)*2-12)</f>
        <v>n.r.</v>
      </c>
      <c r="AX89" s="8" t="str">
        <f ca="1">OFFSET(Database!$F89,0,COLUMN(Database!AU89)*2-12)</f>
        <v>n.r.</v>
      </c>
      <c r="AY89" s="8" t="str">
        <f ca="1">OFFSET(Database!$F89,0,COLUMN(Database!AV89)*2-12)</f>
        <v>n.r.</v>
      </c>
      <c r="AZ89" s="8" t="str">
        <f ca="1">OFFSET(Database!$F89,0,COLUMN(Database!AW89)*2-12)</f>
        <v>n.r.</v>
      </c>
      <c r="BA89" s="8" t="str">
        <f ca="1">OFFSET(Database!$F89,0,COLUMN(Database!AX89)*2-12)</f>
        <v>n.r.</v>
      </c>
      <c r="BB89" s="8" t="str">
        <f ca="1">OFFSET(Database!$F89,0,COLUMN(Database!AY89)*2-12)</f>
        <v>n.r.</v>
      </c>
      <c r="BC89" s="8" t="str">
        <f ca="1">OFFSET(Database!$F89,0,COLUMN(Database!AZ89)*2-12)</f>
        <v>n.r.</v>
      </c>
      <c r="BD89" s="8" t="str">
        <f ca="1">OFFSET(Database!$F89,0,COLUMN(Database!BA89)*2-12)</f>
        <v>n.r.</v>
      </c>
      <c r="BE89" s="8" t="str">
        <f ca="1">OFFSET(Database!$F89,0,COLUMN(Database!BB89)*2-12)</f>
        <v>n.r.</v>
      </c>
      <c r="BF89" s="8" t="str">
        <f ca="1">OFFSET(Database!$F89,0,COLUMN(Database!BC89)*2-12)</f>
        <v>n.r.</v>
      </c>
      <c r="BG89" s="8" t="str">
        <f ca="1">OFFSET(Database!$F89,0,COLUMN(Database!BD89)*2-12)</f>
        <v>n.r.</v>
      </c>
      <c r="BH89" s="8" t="str">
        <f ca="1">OFFSET(Database!$F89,0,COLUMN(Database!BE89)*2-12)</f>
        <v>n.r.</v>
      </c>
      <c r="BI89" s="8" t="str">
        <f ca="1">OFFSET(Database!$F89,0,COLUMN(Database!BF89)*2-12)</f>
        <v>n.r.</v>
      </c>
      <c r="BJ89" s="8" t="str">
        <f ca="1">OFFSET(Database!$F89,0,COLUMN(Database!BG89)*2-12)</f>
        <v>n.r.</v>
      </c>
      <c r="BK89" s="8" t="str">
        <f ca="1">OFFSET(Database!$F89,0,COLUMN(Database!BH89)*2-12)</f>
        <v>n.r.</v>
      </c>
      <c r="BL89" s="8" t="str">
        <f ca="1">OFFSET(Database!$F89,0,COLUMN(Database!BI89)*2-12)</f>
        <v>n.r.</v>
      </c>
      <c r="BM89" s="8" t="str">
        <f ca="1">OFFSET(Database!$F89,0,COLUMN(Database!BJ89)*2-12)</f>
        <v>n.r.</v>
      </c>
      <c r="BN89" s="8" t="str">
        <f ca="1">OFFSET(Database!$F89,0,COLUMN(Database!BK89)*2-12)</f>
        <v>n.r.</v>
      </c>
      <c r="BO89" s="8" t="str">
        <f ca="1">OFFSET(Database!$F89,0,COLUMN(Database!BL89)*2-12)</f>
        <v>n.r.</v>
      </c>
      <c r="BP89" s="8" t="str">
        <f ca="1">OFFSET(Database!$F89,0,COLUMN(Database!BM89)*2-12)</f>
        <v>n.r.</v>
      </c>
      <c r="BQ89" s="8" t="str">
        <f ca="1">OFFSET(Database!$F89,0,COLUMN(Database!BN89)*2-12)</f>
        <v>n.r.</v>
      </c>
      <c r="BR89" s="8" t="str">
        <f ca="1">OFFSET(Database!$F89,0,COLUMN(Database!BO89)*2-12)</f>
        <v>n.r.</v>
      </c>
      <c r="BS89" s="8" t="str">
        <f ca="1">OFFSET(Database!$F89,0,COLUMN(Database!BP89)*2-12)</f>
        <v>n.r.</v>
      </c>
      <c r="BT89" s="8" t="str">
        <f ca="1">OFFSET(Database!$F89,0,COLUMN(Database!BQ89)*2-12)</f>
        <v>n.r.</v>
      </c>
      <c r="BU89" s="8" t="str">
        <f ca="1">OFFSET(Database!$F89,0,COLUMN(Database!BR89)*2-12)</f>
        <v>n.r.</v>
      </c>
      <c r="BV89" s="8" t="str">
        <f ca="1">OFFSET(Database!$F89,0,COLUMN(Database!BS89)*2-12)</f>
        <v>n.r.</v>
      </c>
      <c r="BW89" s="8" t="str">
        <f ca="1">OFFSET(Database!$F89,0,COLUMN(Database!BT89)*2-12)</f>
        <v>n.r.</v>
      </c>
      <c r="BX89" s="8" t="str">
        <f ca="1">OFFSET(Database!$F89,0,COLUMN(Database!BU89)*2-12)</f>
        <v>n.r.</v>
      </c>
      <c r="BY89" s="8" t="str">
        <f ca="1">OFFSET(Database!$F89,0,COLUMN(Database!BV89)*2-12)</f>
        <v>n.r.</v>
      </c>
      <c r="BZ89" s="8" t="str">
        <f ca="1">OFFSET(Database!$F89,0,COLUMN(Database!BW89)*2-12)</f>
        <v>n.r.</v>
      </c>
      <c r="CA89" s="8" t="str">
        <f ca="1">OFFSET(Database!$F89,0,COLUMN(Database!BX89)*2-12)</f>
        <v>n.r.</v>
      </c>
      <c r="CB89" s="8" t="str">
        <f ca="1">OFFSET(Database!$F89,0,COLUMN(Database!BY89)*2-12)</f>
        <v>n.r.</v>
      </c>
      <c r="CC89" s="8" t="str">
        <f ca="1">OFFSET(Database!$F89,0,COLUMN(Database!BZ89)*2-12)</f>
        <v>n.r.</v>
      </c>
      <c r="CD89" s="8" t="str">
        <f ca="1">OFFSET(Database!$F89,0,COLUMN(Database!CA89)*2-12)</f>
        <v>n.r.</v>
      </c>
      <c r="CE89" s="8" t="str">
        <f ca="1">OFFSET(Database!$F89,0,COLUMN(Database!CB89)*2-12)</f>
        <v>n.r.</v>
      </c>
      <c r="CF89" s="8" t="str">
        <f ca="1">OFFSET(Database!$F89,0,COLUMN(Database!CC89)*2-12)</f>
        <v>n.r.</v>
      </c>
      <c r="CG89" s="8" t="str">
        <f ca="1">OFFSET(Database!$F89,0,COLUMN(Database!CD89)*2-12)</f>
        <v>n.r.</v>
      </c>
      <c r="CH89" s="8" t="str">
        <f ca="1">OFFSET(Database!$F89,0,COLUMN(Database!CE89)*2-12)</f>
        <v>n.r.</v>
      </c>
      <c r="CI89" s="8" t="str">
        <f ca="1">OFFSET(Database!$F89,0,COLUMN(Database!CF89)*2-12)</f>
        <v>n.r.</v>
      </c>
      <c r="CJ89" s="8" t="str">
        <f ca="1">OFFSET(Database!$F89,0,COLUMN(Database!CG89)*2-12)</f>
        <v>n.r.</v>
      </c>
      <c r="CK89" s="8" t="str">
        <f ca="1">OFFSET(Database!$F89,0,COLUMN(Database!CH89)*2-12)</f>
        <v>n.r.</v>
      </c>
      <c r="CL89" s="8" t="str">
        <f ca="1">OFFSET(Database!$F89,0,COLUMN(Database!CI89)*2-12)</f>
        <v>n.r.</v>
      </c>
      <c r="CM89" s="8" t="str">
        <f ca="1">OFFSET(Database!$F89,0,COLUMN(Database!CJ89)*2-12)</f>
        <v>n.r.</v>
      </c>
      <c r="CN89" s="8" t="str">
        <f ca="1">OFFSET(Database!$F89,0,COLUMN(Database!CK89)*2-12)</f>
        <v>n.r.</v>
      </c>
      <c r="CO89" s="8" t="str">
        <f ca="1">OFFSET(Database!$F89,0,COLUMN(Database!CL89)*2-12)</f>
        <v>n.r.</v>
      </c>
      <c r="CP89" s="8" t="str">
        <f ca="1">OFFSET(Database!$F89,0,COLUMN(Database!CM89)*2-12)</f>
        <v>n.r.</v>
      </c>
      <c r="CQ89" s="8" t="str">
        <f ca="1">OFFSET(Database!$F89,0,COLUMN(Database!CN89)*2-12)</f>
        <v>n.r.</v>
      </c>
      <c r="CR89" s="8" t="str">
        <f ca="1">OFFSET(Database!$F89,0,COLUMN(Database!CO89)*2-12)</f>
        <v>n.r.</v>
      </c>
      <c r="CS89" s="8" t="str">
        <f ca="1">OFFSET(Database!$F89,0,COLUMN(Database!CP89)*2-12)</f>
        <v>n.r.</v>
      </c>
      <c r="CT89" s="8" t="str">
        <f ca="1">OFFSET(Database!$F89,0,COLUMN(Database!CQ89)*2-12)</f>
        <v>n.r.</v>
      </c>
      <c r="CU89" s="8" t="str">
        <f ca="1">OFFSET(Database!$F89,0,COLUMN(Database!CR89)*2-12)</f>
        <v>n.r.</v>
      </c>
      <c r="CV89" s="8" t="str">
        <f ca="1">OFFSET(Database!$F89,0,COLUMN(Database!CS89)*2-12)</f>
        <v>n.r.</v>
      </c>
      <c r="CW89" s="8" t="str">
        <f ca="1">OFFSET(Database!$F89,0,COLUMN(Database!CT89)*2-12)</f>
        <v>n.r.</v>
      </c>
      <c r="CX89" s="8" t="str">
        <f ca="1">OFFSET(Database!$F89,0,COLUMN(Database!CU89)*2-12)</f>
        <v>n.r.</v>
      </c>
      <c r="CY89" s="8" t="str">
        <f ca="1">OFFSET(Database!$F89,0,COLUMN(Database!CV89)*2-12)</f>
        <v>n.r.</v>
      </c>
      <c r="CZ89" s="8" t="str">
        <f ca="1">OFFSET(Database!$F89,0,COLUMN(Database!CW89)*2-12)</f>
        <v>n.r.</v>
      </c>
      <c r="DA89" s="8" t="str">
        <f ca="1">OFFSET(Database!$F89,0,COLUMN(Database!CX89)*2-12)</f>
        <v>n.r.</v>
      </c>
      <c r="DB89" s="8" t="str">
        <f ca="1">OFFSET(Database!$F89,0,COLUMN(Database!CY89)*2-12)</f>
        <v>&lt;0.05</v>
      </c>
      <c r="DC89" s="8" t="str">
        <f ca="1">OFFSET(Database!$F89,0,COLUMN(Database!CZ89)*2-12)</f>
        <v>&lt;0.05</v>
      </c>
      <c r="DD89" s="8">
        <f ca="1">OFFSET(Database!$F89,0,COLUMN(Database!DA89)*2-12)</f>
        <v>0.09</v>
      </c>
      <c r="DE89" s="8" t="str">
        <f ca="1">OFFSET(Database!$F89,0,COLUMN(Database!DB89)*2-12)</f>
        <v>n.r.</v>
      </c>
      <c r="DF89" s="8" t="str">
        <f ca="1">OFFSET(Database!$F89,0,COLUMN(Database!DC89)*2-12)</f>
        <v>n.r.</v>
      </c>
      <c r="DG89" s="8" t="str">
        <f ca="1">OFFSET(Database!$F89,0,COLUMN(Database!DD89)*2-12)</f>
        <v>n.r.</v>
      </c>
      <c r="DH89" s="8" t="str">
        <f ca="1">OFFSET(Database!$F89,0,COLUMN(Database!DE89)*2-12)</f>
        <v>n.r.</v>
      </c>
      <c r="DI89" s="8" t="str">
        <f ca="1">OFFSET(Database!$F89,0,COLUMN(Database!DF89)*2-12)</f>
        <v>n.r.</v>
      </c>
      <c r="DJ89" s="8" t="str">
        <f ca="1">OFFSET(Database!$F89,0,COLUMN(Database!DG89)*2-12)</f>
        <v>n.r.</v>
      </c>
      <c r="DK89" s="8" t="str">
        <f ca="1">OFFSET(Database!$F89,0,COLUMN(Database!DH89)*2-12)</f>
        <v>n.r.</v>
      </c>
      <c r="DL89" s="8" t="str">
        <f ca="1">OFFSET(Database!$F89,0,COLUMN(Database!DI89)*2-12)</f>
        <v>n.r.</v>
      </c>
      <c r="DM89" s="8" t="str">
        <f ca="1">OFFSET(Database!$F89,0,COLUMN(Database!DJ89)*2-12)</f>
        <v>n.r.</v>
      </c>
      <c r="DN89" s="8">
        <f ca="1">OFFSET(Database!$F89,0,COLUMN(Database!DK89)*2-12)</f>
        <v>7.7</v>
      </c>
      <c r="DO89" s="8" t="str">
        <f ca="1">OFFSET(Database!$F89,0,COLUMN(Database!DL89)*2-12)</f>
        <v>7.7.</v>
      </c>
      <c r="DP89" s="8">
        <f ca="1">OFFSET(Database!$F89,0,COLUMN(Database!DM89)*2-12)</f>
        <v>0.77</v>
      </c>
      <c r="DQ89" s="8">
        <f ca="1">OFFSET(Database!$F89,0,COLUMN(Database!DN89)*2-12)</f>
        <v>0.56000000000000005</v>
      </c>
      <c r="DR89" s="8" t="str">
        <f ca="1">OFFSET(Database!$F89,0,COLUMN(Database!DO89)*2-12)</f>
        <v>l.o.q.</v>
      </c>
      <c r="DS89" s="8">
        <f ca="1">OFFSET(Database!$F89,0,COLUMN(Database!DP89)*2-12)</f>
        <v>3.7</v>
      </c>
      <c r="DT89" s="8">
        <f ca="1">OFFSET(Database!$F89,0,COLUMN(Database!DQ89)*2-12)</f>
        <v>0.85</v>
      </c>
      <c r="DU89" s="8">
        <f ca="1">OFFSET(Database!$F89,0,COLUMN(Database!DR89)*2-12)</f>
        <v>0.1497</v>
      </c>
      <c r="DV89" s="8" t="str">
        <f ca="1">OFFSET(Database!$F89,0,COLUMN(Database!DS89)*2-12)</f>
        <v>n.dt.</v>
      </c>
      <c r="DW89" s="8" t="str">
        <f ca="1">OFFSET(Database!$F89,0,COLUMN(Database!DT89)*2-12)</f>
        <v>n.r.</v>
      </c>
      <c r="DX89" s="8" t="str">
        <f ca="1">OFFSET(Database!$F89,0,COLUMN(Database!DU89)*2-12)</f>
        <v>n.r.</v>
      </c>
      <c r="DY89" s="8" t="str">
        <f ca="1">OFFSET(Database!$F89,0,COLUMN(Database!DV89)*2-12)</f>
        <v>n.r.</v>
      </c>
      <c r="DZ89" s="8" t="str">
        <f ca="1">OFFSET(Database!$F89,0,COLUMN(Database!DW89)*2-12)</f>
        <v>n.r.</v>
      </c>
      <c r="EA89" s="8" t="str">
        <f ca="1">OFFSET(Database!$F89,0,COLUMN(Database!DX89)*2-12)</f>
        <v>n.r.</v>
      </c>
      <c r="EB89" s="8" t="str">
        <f ca="1">OFFSET(Database!$F89,0,COLUMN(Database!DY89)*2-12)</f>
        <v>n.r.</v>
      </c>
      <c r="EC89" s="8" t="str">
        <f ca="1">OFFSET(Database!$F89,0,COLUMN(Database!DZ89)*2-12)</f>
        <v>n.r.</v>
      </c>
      <c r="ED89" s="8" t="str">
        <f ca="1">OFFSET(Database!$F89,0,COLUMN(Database!EA89)*2-12)</f>
        <v>n.r.</v>
      </c>
      <c r="EE89" s="8" t="str">
        <f ca="1">OFFSET(Database!$F89,0,COLUMN(Database!EB89)*2-12)</f>
        <v>n.r.</v>
      </c>
      <c r="EF89" s="8" t="str">
        <f ca="1">OFFSET(Database!$F89,0,COLUMN(Database!EC89)*2-12)</f>
        <v>n.r.</v>
      </c>
      <c r="EG89" s="8" t="str">
        <f ca="1">OFFSET(Database!$F89,0,COLUMN(Database!ED89)*2-12)</f>
        <v>n.r.</v>
      </c>
      <c r="EH89" s="8" t="str">
        <f ca="1">OFFSET(Database!$F89,0,COLUMN(Database!EE89)*2-12)</f>
        <v>n.r.</v>
      </c>
      <c r="EI89" s="8" t="str">
        <f ca="1">OFFSET(Database!$F89,0,COLUMN(Database!EF89)*2-12)</f>
        <v>n.r.</v>
      </c>
      <c r="EJ89" s="8" t="str">
        <f ca="1">OFFSET(Database!$F89,0,COLUMN(Database!EG89)*2-12)</f>
        <v>n.r.</v>
      </c>
      <c r="EK89" s="8" t="str">
        <f ca="1">OFFSET(Database!$F89,0,COLUMN(Database!EH89)*2-12)</f>
        <v>n.r.</v>
      </c>
      <c r="EL89" s="8" t="str">
        <f ca="1">OFFSET(Database!$F89,0,COLUMN(Database!EI89)*2-12)</f>
        <v>n.r.</v>
      </c>
      <c r="EM89" s="8" t="str">
        <f ca="1">OFFSET(Database!$F89,0,COLUMN(Database!EJ89)*2-12)</f>
        <v>n.r.</v>
      </c>
      <c r="EN89" s="8" t="str">
        <f ca="1">OFFSET(Database!$F89,0,COLUMN(Database!EK89)*2-12)</f>
        <v>n.r.</v>
      </c>
      <c r="EO89" s="8" t="str">
        <f ca="1">OFFSET(Database!$F89,0,COLUMN(Database!EL89)*2-12)</f>
        <v>n.r.</v>
      </c>
      <c r="EP89" s="8" t="str">
        <f ca="1">OFFSET(Database!$F89,0,COLUMN(Database!EM89)*2-12)</f>
        <v>n.r.</v>
      </c>
      <c r="EQ89" s="8" t="str">
        <f ca="1">OFFSET(Database!$F89,0,COLUMN(Database!EN89)*2-12)</f>
        <v>n.r.</v>
      </c>
      <c r="ER89" s="8">
        <f ca="1">OFFSET(Database!$F89,0,COLUMN(Database!EO89)*2-12)</f>
        <v>220.85292875209555</v>
      </c>
      <c r="ES89" s="8">
        <f ca="1">OFFSET(Database!$F89,0,COLUMN(Database!EP89)*2-12)</f>
        <v>341.39732279830332</v>
      </c>
      <c r="ET89" s="8">
        <f ca="1">OFFSET(Database!$F89,0,COLUMN(Database!EQ89)*2-12)</f>
        <v>279.20834971217909</v>
      </c>
      <c r="EU89" s="8">
        <f ca="1">OFFSET(Database!$F89,0,COLUMN(Database!ER89)*2-12)</f>
        <v>257.57327938182726</v>
      </c>
      <c r="EV89" s="8">
        <f ca="1">OFFSET(Database!$F89,0,COLUMN(Database!ES89)*2-12)</f>
        <v>240.52999817092132</v>
      </c>
      <c r="EW89" s="8" t="str">
        <f ca="1">OFFSET(Database!$F89,0,COLUMN(Database!ET89)*2-12)</f>
        <v>n.r.</v>
      </c>
      <c r="EX89" s="8" t="str">
        <f ca="1">OFFSET(Database!$F89,0,COLUMN(Database!EU89)*2-12)</f>
        <v>n.r.</v>
      </c>
      <c r="EY89" s="8" t="str">
        <f ca="1">OFFSET(Database!$F89,0,COLUMN(Database!EV89)*2-12)</f>
        <v>n.r.</v>
      </c>
      <c r="EZ89" s="8" t="str">
        <f ca="1">OFFSET(Database!$F89,0,COLUMN(Database!EW89)*2-12)</f>
        <v>n.r.</v>
      </c>
      <c r="FA89" s="8" t="str">
        <f ca="1">OFFSET(Database!$F89,0,COLUMN(Database!EX89)*2-12)</f>
        <v>n.r.</v>
      </c>
      <c r="FB89" s="8">
        <f ca="1">OFFSET(Database!$F89,0,COLUMN(Database!EY89)*2-12)</f>
        <v>9.11</v>
      </c>
      <c r="FC89" s="8">
        <f ca="1">OFFSET(Database!$F89,0,COLUMN(Database!EZ89)*2-12)</f>
        <v>9.85</v>
      </c>
      <c r="FD89" s="8" t="str">
        <f ca="1">OFFSET(Database!$F89,0,COLUMN(Database!FA89)*2-12)</f>
        <v>n.d.</v>
      </c>
      <c r="FE89" s="8" t="str">
        <f ca="1">OFFSET(Database!$F89,0,COLUMN(Database!FB89)*2-12)</f>
        <v>n.d.</v>
      </c>
      <c r="FF89" s="8" t="str">
        <f ca="1">OFFSET(Database!$F89,0,COLUMN(Database!FC89)*2-12)</f>
        <v>n.d.</v>
      </c>
      <c r="FG89" s="8" t="str">
        <f ca="1">OFFSET(Database!$F89,0,COLUMN(Database!FD89)*2-12)</f>
        <v>n.r.</v>
      </c>
      <c r="FH89" s="8" t="str">
        <f ca="1">OFFSET(Database!$F89,0,COLUMN(Database!FE89)*2-12)</f>
        <v>n.r.</v>
      </c>
      <c r="FI89" s="8" t="str">
        <f ca="1">OFFSET(Database!$F89,0,COLUMN(Database!FF89)*2-12)</f>
        <v>n.r.</v>
      </c>
      <c r="FJ89" s="8" t="str">
        <f ca="1">OFFSET(Database!$F89,0,COLUMN(Database!FG89)*2-12)</f>
        <v>n.r.</v>
      </c>
      <c r="FK89" s="8" t="str">
        <f ca="1">OFFSET(Database!$F89,0,COLUMN(Database!FH89)*2-12)</f>
        <v>n.r.</v>
      </c>
      <c r="FL89" s="8" t="str">
        <f ca="1">OFFSET(Database!$F89,0,COLUMN(Database!FI89)*2-12)</f>
        <v>n.r.</v>
      </c>
      <c r="FM89" s="8" t="str">
        <f ca="1">OFFSET(Database!$F89,0,COLUMN(Database!FJ89)*2-12)</f>
        <v>n.r.</v>
      </c>
      <c r="FN89" s="8" t="str">
        <f ca="1">OFFSET(Database!$F89,0,COLUMN(Database!FK89)*2-12)</f>
        <v>n.r.</v>
      </c>
      <c r="FO89" s="8" t="str">
        <f ca="1">OFFSET(Database!$F89,0,COLUMN(Database!FL89)*2-12)</f>
        <v>n.r.</v>
      </c>
      <c r="FP89" s="8" t="str">
        <f ca="1">OFFSET(Database!$F89,0,COLUMN(Database!FM89)*2-12)</f>
        <v>n.r.</v>
      </c>
      <c r="FQ89" s="8" t="str">
        <f ca="1">OFFSET(Database!$F89,0,COLUMN(Database!FN89)*2-12)</f>
        <v>n.r.</v>
      </c>
      <c r="FR89" s="8" t="str">
        <f ca="1">OFFSET(Database!$F89,0,COLUMN(Database!FO89)*2-12)</f>
        <v>n.r.</v>
      </c>
      <c r="FS89" s="8" t="str">
        <f ca="1">OFFSET(Database!$F89,0,COLUMN(Database!FP89)*2-12)</f>
        <v>n.r.</v>
      </c>
      <c r="FT89" s="8" t="str">
        <f ca="1">OFFSET(Database!$F89,0,COLUMN(Database!FQ89)*2-12)</f>
        <v>n.r.</v>
      </c>
      <c r="FU89" s="8" t="str">
        <f ca="1">OFFSET(Database!$F89,0,COLUMN(Database!FR89)*2-12)</f>
        <v>n.r.</v>
      </c>
      <c r="FV89" s="8" t="str">
        <f ca="1">OFFSET(Database!$F89,0,COLUMN(Database!FS89)*2-12)</f>
        <v>n.r.</v>
      </c>
      <c r="FW89" s="8" t="str">
        <f ca="1">OFFSET(Database!$F89,0,COLUMN(Database!FT89)*2-12)</f>
        <v>n.r.</v>
      </c>
      <c r="FX89" s="8" t="str">
        <f ca="1">OFFSET(Database!$F89,0,COLUMN(Database!FU89)*2-12)</f>
        <v>n.r.</v>
      </c>
      <c r="FY89" s="8" t="str">
        <f ca="1">OFFSET(Database!$F89,0,COLUMN(Database!FV89)*2-12)</f>
        <v>n.r.</v>
      </c>
      <c r="FZ89" s="8" t="str">
        <f ca="1">OFFSET(Database!$F89,0,COLUMN(Database!FW89)*2-12)</f>
        <v>n.r.</v>
      </c>
      <c r="GA89" s="8" t="str">
        <f ca="1">OFFSET(Database!$F89,0,COLUMN(Database!FX89)*2-12)</f>
        <v>n.r.</v>
      </c>
      <c r="GB89" s="8" t="str">
        <f ca="1">OFFSET(Database!$F89,0,COLUMN(Database!FY89)*2-12)</f>
        <v>n.r.</v>
      </c>
      <c r="GC89" s="8" t="str">
        <f ca="1">OFFSET(Database!$F89,0,COLUMN(Database!FZ89)*2-12)</f>
        <v>n.r.</v>
      </c>
      <c r="GD89" s="8" t="str">
        <f ca="1">OFFSET(Database!$F89,0,COLUMN(Database!GA89)*2-12)</f>
        <v>n.r.</v>
      </c>
      <c r="GE89" s="8" t="str">
        <f ca="1">OFFSET(Database!$F89,0,COLUMN(Database!GB89)*2-12)</f>
        <v>n.r.</v>
      </c>
      <c r="GF89" s="8" t="str">
        <f ca="1">OFFSET(Database!$F89,0,COLUMN(Database!GC89)*2-12)</f>
        <v>n.r.</v>
      </c>
      <c r="GG89" s="8" t="str">
        <f ca="1">OFFSET(Database!$F89,0,COLUMN(Database!GD89)*2-12)</f>
        <v>n.r.</v>
      </c>
      <c r="GH89" s="8" t="str">
        <f ca="1">OFFSET(Database!$F89,0,COLUMN(Database!GE89)*2-12)</f>
        <v>n.r.</v>
      </c>
      <c r="GI89" s="8" t="str">
        <f ca="1">OFFSET(Database!$F89,0,COLUMN(Database!GF89)*2-12)</f>
        <v>n.r.</v>
      </c>
      <c r="GJ89" s="8" t="str">
        <f ca="1">OFFSET(Database!$F89,0,COLUMN(Database!GG89)*2-12)</f>
        <v>n.r.</v>
      </c>
      <c r="GK89" s="8" t="str">
        <f ca="1">OFFSET(Database!$F89,0,COLUMN(Database!GH89)*2-12)</f>
        <v>n.r.</v>
      </c>
      <c r="GL89" s="8" t="str">
        <f ca="1">OFFSET(Database!$F89,0,COLUMN(Database!GI89)*2-12)</f>
        <v>n.r.</v>
      </c>
      <c r="GM89" s="8" t="str">
        <f ca="1">OFFSET(Database!$F89,0,COLUMN(Database!GJ89)*2-12)</f>
        <v>n.r.</v>
      </c>
      <c r="GN89" s="8" t="str">
        <f ca="1">OFFSET(Database!$F89,0,COLUMN(Database!GK89)*2-12)</f>
        <v>n.r.</v>
      </c>
      <c r="GO89" s="8" t="str">
        <f ca="1">OFFSET(Database!$F89,0,COLUMN(Database!GL89)*2-12)</f>
        <v>n.d.</v>
      </c>
      <c r="GP89" s="8" t="str">
        <f ca="1">OFFSET(Database!$F89,0,COLUMN(Database!GM89)*2-12)</f>
        <v>n.d.</v>
      </c>
    </row>
    <row r="90" spans="1:198" x14ac:dyDescent="0.2">
      <c r="A90" s="50" t="str">
        <f>Database!A90</f>
        <v>L-leucine</v>
      </c>
      <c r="B90" s="1" t="s">
        <v>879</v>
      </c>
      <c r="C90" s="4" t="str">
        <f>Database!B90</f>
        <v>ɑ</v>
      </c>
      <c r="D90" s="4" t="str">
        <f>Database!C90</f>
        <v>L</v>
      </c>
      <c r="E90" s="74">
        <f>Database!D90</f>
        <v>34</v>
      </c>
      <c r="F90" s="33" t="s">
        <v>964</v>
      </c>
      <c r="G90" s="1">
        <v>6106</v>
      </c>
      <c r="H90" s="1">
        <f>Database!E90</f>
        <v>131.16999999999999</v>
      </c>
      <c r="I90" s="8">
        <f ca="1">OFFSET(Database!$F90,0,COLUMN(Database!F90)*2-12)</f>
        <v>1.6000000000000001E-3</v>
      </c>
      <c r="J90" s="8">
        <f ca="1">OFFSET(Database!$F90,0,COLUMN(Database!G90)*2-12)</f>
        <v>9.5999999999999992E-3</v>
      </c>
      <c r="K90" s="8">
        <f ca="1">OFFSET(Database!$F90,0,COLUMN(Database!H90)*2-12)</f>
        <v>8.0999999999999996E-3</v>
      </c>
      <c r="L90" s="8">
        <f ca="1">OFFSET(Database!$F90,0,COLUMN(Database!I90)*2-12)</f>
        <v>8.9999999999999998E-4</v>
      </c>
      <c r="M90" s="8" t="str">
        <f ca="1">OFFSET(Database!$F90,0,COLUMN(Database!J90)*2-12)</f>
        <v>tr</v>
      </c>
      <c r="N90" s="8" t="str">
        <f ca="1">OFFSET(Database!$F90,0,COLUMN(Database!K90)*2-12)</f>
        <v>n.r.</v>
      </c>
      <c r="O90" s="8" t="str">
        <f ca="1">OFFSET(Database!$F90,0,COLUMN(Database!L90)*2-12)</f>
        <v>n.r.</v>
      </c>
      <c r="P90" s="8" t="str">
        <f ca="1">OFFSET(Database!$F90,0,COLUMN(Database!M90)*2-12)</f>
        <v>n.r.</v>
      </c>
      <c r="Q90" s="8" t="str">
        <f ca="1">OFFSET(Database!$F90,0,COLUMN(Database!N90)*2-12)</f>
        <v>n.r.</v>
      </c>
      <c r="R90" s="8" t="str">
        <f ca="1">OFFSET(Database!$F90,0,COLUMN(Database!O90)*2-12)</f>
        <v>n.r.</v>
      </c>
      <c r="S90" s="8" t="str">
        <f ca="1">OFFSET(Database!$F90,0,COLUMN(Database!P90)*2-12)</f>
        <v>n.r.</v>
      </c>
      <c r="T90" s="8" t="str">
        <f ca="1">OFFSET(Database!$F90,0,COLUMN(Database!Q90)*2-12)</f>
        <v>n.r.</v>
      </c>
      <c r="U90" s="8" t="str">
        <f ca="1">OFFSET(Database!$F90,0,COLUMN(Database!R90)*2-12)</f>
        <v>n.r.</v>
      </c>
      <c r="V90" s="8" t="str">
        <f ca="1">OFFSET(Database!$F90,0,COLUMN(Database!S90)*2-12)</f>
        <v>n.r.</v>
      </c>
      <c r="W90" s="8" t="str">
        <f ca="1">OFFSET(Database!$F90,0,COLUMN(Database!T90)*2-12)</f>
        <v>n.r.</v>
      </c>
      <c r="X90" s="8" t="str">
        <f ca="1">OFFSET(Database!$F90,0,COLUMN(Database!U90)*2-12)</f>
        <v>n.r.</v>
      </c>
      <c r="Y90" s="8" t="str">
        <f ca="1">OFFSET(Database!$F90,0,COLUMN(Database!V90)*2-12)</f>
        <v>n.r.</v>
      </c>
      <c r="Z90" s="8" t="str">
        <f ca="1">OFFSET(Database!$F90,0,COLUMN(Database!W90)*2-12)</f>
        <v>n.r.</v>
      </c>
      <c r="AA90" s="8" t="str">
        <f ca="1">OFFSET(Database!$F90,0,COLUMN(Database!X90)*2-12)</f>
        <v>n.r.</v>
      </c>
      <c r="AB90" s="8">
        <f ca="1">OFFSET(Database!$F90,0,COLUMN(Database!Y90)*2-12)</f>
        <v>1.2960280551955479</v>
      </c>
      <c r="AC90" s="8" t="str">
        <f ca="1">OFFSET(Database!$F90,0,COLUMN(Database!Z90)*2-12)</f>
        <v>n.r.</v>
      </c>
      <c r="AD90" s="8" t="str">
        <f ca="1">OFFSET(Database!$F90,0,COLUMN(Database!AA90)*2-12)</f>
        <v>n.r.</v>
      </c>
      <c r="AE90" s="8" t="str">
        <f ca="1">OFFSET(Database!$F90,0,COLUMN(Database!AB90)*2-12)</f>
        <v>n.r.</v>
      </c>
      <c r="AF90" s="8" t="str">
        <f ca="1">OFFSET(Database!$F90,0,COLUMN(Database!AC90)*2-12)</f>
        <v>n.r.</v>
      </c>
      <c r="AG90" s="8" t="str">
        <f ca="1">OFFSET(Database!$F90,0,COLUMN(Database!AD90)*2-12)</f>
        <v>n.r.</v>
      </c>
      <c r="AH90" s="8">
        <f ca="1">OFFSET(Database!$F90,0,COLUMN(Database!AE90)*2-12)</f>
        <v>2.7</v>
      </c>
      <c r="AI90" s="8" t="str">
        <f ca="1">OFFSET(Database!$F90,0,COLUMN(Database!AF90)*2-12)</f>
        <v>n.r.</v>
      </c>
      <c r="AJ90" s="8" t="str">
        <f ca="1">OFFSET(Database!$F90,0,COLUMN(Database!AG90)*2-12)</f>
        <v>n.r.</v>
      </c>
      <c r="AK90" s="8" t="str">
        <f ca="1">OFFSET(Database!$F90,0,COLUMN(Database!AH90)*2-12)</f>
        <v>n.r.</v>
      </c>
      <c r="AL90" s="8" t="str">
        <f ca="1">OFFSET(Database!$F90,0,COLUMN(Database!AI90)*2-12)</f>
        <v>n.r.</v>
      </c>
      <c r="AM90" s="8" t="str">
        <f ca="1">OFFSET(Database!$F90,0,COLUMN(Database!AJ90)*2-12)</f>
        <v>n.r.</v>
      </c>
      <c r="AN90" s="8" t="str">
        <f ca="1">OFFSET(Database!$F90,0,COLUMN(Database!AK90)*2-12)</f>
        <v>n.r.</v>
      </c>
      <c r="AO90" s="8" t="str">
        <f ca="1">OFFSET(Database!$F90,0,COLUMN(Database!AL90)*2-12)</f>
        <v>n.r.</v>
      </c>
      <c r="AP90" s="8" t="str">
        <f ca="1">OFFSET(Database!$F90,0,COLUMN(Database!AM90)*2-12)</f>
        <v>n.r.</v>
      </c>
      <c r="AQ90" s="8" t="str">
        <f ca="1">OFFSET(Database!$F90,0,COLUMN(Database!AN90)*2-12)</f>
        <v>n.r.</v>
      </c>
      <c r="AR90" s="8" t="str">
        <f ca="1">OFFSET(Database!$F90,0,COLUMN(Database!AO90)*2-12)</f>
        <v>n.r.</v>
      </c>
      <c r="AS90" s="8" t="str">
        <f ca="1">OFFSET(Database!$F90,0,COLUMN(Database!AP90)*2-12)</f>
        <v>n.r.</v>
      </c>
      <c r="AT90" s="8" t="str">
        <f ca="1">OFFSET(Database!$F90,0,COLUMN(Database!AQ90)*2-12)</f>
        <v>n.r.</v>
      </c>
      <c r="AU90" s="8" t="str">
        <f ca="1">OFFSET(Database!$F90,0,COLUMN(Database!AR90)*2-12)</f>
        <v>n.r.</v>
      </c>
      <c r="AV90" s="8" t="str">
        <f ca="1">OFFSET(Database!$F90,0,COLUMN(Database!AS90)*2-12)</f>
        <v>n.r.</v>
      </c>
      <c r="AW90" s="8" t="str">
        <f ca="1">OFFSET(Database!$F90,0,COLUMN(Database!AT90)*2-12)</f>
        <v>n.r.</v>
      </c>
      <c r="AX90" s="8" t="str">
        <f ca="1">OFFSET(Database!$F90,0,COLUMN(Database!AU90)*2-12)</f>
        <v>n.r.</v>
      </c>
      <c r="AY90" s="8" t="str">
        <f ca="1">OFFSET(Database!$F90,0,COLUMN(Database!AV90)*2-12)</f>
        <v>n.r.</v>
      </c>
      <c r="AZ90" s="8" t="str">
        <f ca="1">OFFSET(Database!$F90,0,COLUMN(Database!AW90)*2-12)</f>
        <v>n.r.</v>
      </c>
      <c r="BA90" s="8" t="str">
        <f ca="1">OFFSET(Database!$F90,0,COLUMN(Database!AX90)*2-12)</f>
        <v>n.r.</v>
      </c>
      <c r="BB90" s="8" t="str">
        <f ca="1">OFFSET(Database!$F90,0,COLUMN(Database!AY90)*2-12)</f>
        <v>n.r.</v>
      </c>
      <c r="BC90" s="8" t="str">
        <f ca="1">OFFSET(Database!$F90,0,COLUMN(Database!AZ90)*2-12)</f>
        <v>n.r.</v>
      </c>
      <c r="BD90" s="8" t="str">
        <f ca="1">OFFSET(Database!$F90,0,COLUMN(Database!BA90)*2-12)</f>
        <v>n.r.</v>
      </c>
      <c r="BE90" s="8" t="str">
        <f ca="1">OFFSET(Database!$F90,0,COLUMN(Database!BB90)*2-12)</f>
        <v>n.r.</v>
      </c>
      <c r="BF90" s="8" t="str">
        <f ca="1">OFFSET(Database!$F90,0,COLUMN(Database!BC90)*2-12)</f>
        <v>n.r.</v>
      </c>
      <c r="BG90" s="8" t="str">
        <f ca="1">OFFSET(Database!$F90,0,COLUMN(Database!BD90)*2-12)</f>
        <v>n.r.</v>
      </c>
      <c r="BH90" s="8" t="str">
        <f ca="1">OFFSET(Database!$F90,0,COLUMN(Database!BE90)*2-12)</f>
        <v>n.r.</v>
      </c>
      <c r="BI90" s="8" t="str">
        <f ca="1">OFFSET(Database!$F90,0,COLUMN(Database!BF90)*2-12)</f>
        <v>n.r.</v>
      </c>
      <c r="BJ90" s="8" t="str">
        <f ca="1">OFFSET(Database!$F90,0,COLUMN(Database!BG90)*2-12)</f>
        <v>n.r.</v>
      </c>
      <c r="BK90" s="8" t="str">
        <f ca="1">OFFSET(Database!$F90,0,COLUMN(Database!BH90)*2-12)</f>
        <v>n.r.</v>
      </c>
      <c r="BL90" s="8" t="str">
        <f ca="1">OFFSET(Database!$F90,0,COLUMN(Database!BI90)*2-12)</f>
        <v>n.r.</v>
      </c>
      <c r="BM90" s="8" t="str">
        <f ca="1">OFFSET(Database!$F90,0,COLUMN(Database!BJ90)*2-12)</f>
        <v>n.r.</v>
      </c>
      <c r="BN90" s="8" t="str">
        <f ca="1">OFFSET(Database!$F90,0,COLUMN(Database!BK90)*2-12)</f>
        <v>n.r.</v>
      </c>
      <c r="BO90" s="8" t="str">
        <f ca="1">OFFSET(Database!$F90,0,COLUMN(Database!BL90)*2-12)</f>
        <v>n.r.</v>
      </c>
      <c r="BP90" s="8" t="str">
        <f ca="1">OFFSET(Database!$F90,0,COLUMN(Database!BM90)*2-12)</f>
        <v>n.r.</v>
      </c>
      <c r="BQ90" s="8" t="str">
        <f ca="1">OFFSET(Database!$F90,0,COLUMN(Database!BN90)*2-12)</f>
        <v>n.r.</v>
      </c>
      <c r="BR90" s="8" t="str">
        <f ca="1">OFFSET(Database!$F90,0,COLUMN(Database!BO90)*2-12)</f>
        <v>n.r.</v>
      </c>
      <c r="BS90" s="8" t="str">
        <f ca="1">OFFSET(Database!$F90,0,COLUMN(Database!BP90)*2-12)</f>
        <v>n.r.</v>
      </c>
      <c r="BT90" s="8" t="str">
        <f ca="1">OFFSET(Database!$F90,0,COLUMN(Database!BQ90)*2-12)</f>
        <v>n.r.</v>
      </c>
      <c r="BU90" s="8" t="str">
        <f ca="1">OFFSET(Database!$F90,0,COLUMN(Database!BR90)*2-12)</f>
        <v>n.r.</v>
      </c>
      <c r="BV90" s="8" t="str">
        <f ca="1">OFFSET(Database!$F90,0,COLUMN(Database!BS90)*2-12)</f>
        <v>n.r.</v>
      </c>
      <c r="BW90" s="8" t="str">
        <f ca="1">OFFSET(Database!$F90,0,COLUMN(Database!BT90)*2-12)</f>
        <v>n.r.</v>
      </c>
      <c r="BX90" s="8" t="str">
        <f ca="1">OFFSET(Database!$F90,0,COLUMN(Database!BU90)*2-12)</f>
        <v>n.r.</v>
      </c>
      <c r="BY90" s="8" t="str">
        <f ca="1">OFFSET(Database!$F90,0,COLUMN(Database!BV90)*2-12)</f>
        <v>n.r.</v>
      </c>
      <c r="BZ90" s="8" t="str">
        <f ca="1">OFFSET(Database!$F90,0,COLUMN(Database!BW90)*2-12)</f>
        <v>n.r.</v>
      </c>
      <c r="CA90" s="8" t="str">
        <f ca="1">OFFSET(Database!$F90,0,COLUMN(Database!BX90)*2-12)</f>
        <v>n.r.</v>
      </c>
      <c r="CB90" s="8" t="str">
        <f ca="1">OFFSET(Database!$F90,0,COLUMN(Database!BY90)*2-12)</f>
        <v>n.r.</v>
      </c>
      <c r="CC90" s="8" t="str">
        <f ca="1">OFFSET(Database!$F90,0,COLUMN(Database!BZ90)*2-12)</f>
        <v>n.r.</v>
      </c>
      <c r="CD90" s="8" t="str">
        <f ca="1">OFFSET(Database!$F90,0,COLUMN(Database!CA90)*2-12)</f>
        <v>n.r.</v>
      </c>
      <c r="CE90" s="8" t="str">
        <f ca="1">OFFSET(Database!$F90,0,COLUMN(Database!CB90)*2-12)</f>
        <v>n.r.</v>
      </c>
      <c r="CF90" s="8" t="str">
        <f ca="1">OFFSET(Database!$F90,0,COLUMN(Database!CC90)*2-12)</f>
        <v>n.r.</v>
      </c>
      <c r="CG90" s="8" t="str">
        <f ca="1">OFFSET(Database!$F90,0,COLUMN(Database!CD90)*2-12)</f>
        <v>n.r.</v>
      </c>
      <c r="CH90" s="8" t="str">
        <f ca="1">OFFSET(Database!$F90,0,COLUMN(Database!CE90)*2-12)</f>
        <v>n.r.</v>
      </c>
      <c r="CI90" s="8" t="str">
        <f ca="1">OFFSET(Database!$F90,0,COLUMN(Database!CF90)*2-12)</f>
        <v>n.r.</v>
      </c>
      <c r="CJ90" s="8" t="str">
        <f ca="1">OFFSET(Database!$F90,0,COLUMN(Database!CG90)*2-12)</f>
        <v>n.r.</v>
      </c>
      <c r="CK90" s="8" t="str">
        <f ca="1">OFFSET(Database!$F90,0,COLUMN(Database!CH90)*2-12)</f>
        <v>n.r.</v>
      </c>
      <c r="CL90" s="8" t="str">
        <f ca="1">OFFSET(Database!$F90,0,COLUMN(Database!CI90)*2-12)</f>
        <v>n.r.</v>
      </c>
      <c r="CM90" s="8" t="str">
        <f ca="1">OFFSET(Database!$F90,0,COLUMN(Database!CJ90)*2-12)</f>
        <v>n.r.</v>
      </c>
      <c r="CN90" s="8" t="str">
        <f ca="1">OFFSET(Database!$F90,0,COLUMN(Database!CK90)*2-12)</f>
        <v>n.r.</v>
      </c>
      <c r="CO90" s="8" t="str">
        <f ca="1">OFFSET(Database!$F90,0,COLUMN(Database!CL90)*2-12)</f>
        <v>n.r.</v>
      </c>
      <c r="CP90" s="8" t="str">
        <f ca="1">OFFSET(Database!$F90,0,COLUMN(Database!CM90)*2-12)</f>
        <v>n.r.</v>
      </c>
      <c r="CQ90" s="8" t="str">
        <f ca="1">OFFSET(Database!$F90,0,COLUMN(Database!CN90)*2-12)</f>
        <v>n.r.</v>
      </c>
      <c r="CR90" s="8" t="str">
        <f ca="1">OFFSET(Database!$F90,0,COLUMN(Database!CO90)*2-12)</f>
        <v>n.r.</v>
      </c>
      <c r="CS90" s="8" t="str">
        <f ca="1">OFFSET(Database!$F90,0,COLUMN(Database!CP90)*2-12)</f>
        <v>n.r.</v>
      </c>
      <c r="CT90" s="8" t="str">
        <f ca="1">OFFSET(Database!$F90,0,COLUMN(Database!CQ90)*2-12)</f>
        <v>n.r.</v>
      </c>
      <c r="CU90" s="8" t="str">
        <f ca="1">OFFSET(Database!$F90,0,COLUMN(Database!CR90)*2-12)</f>
        <v>n.r.</v>
      </c>
      <c r="CV90" s="8" t="str">
        <f ca="1">OFFSET(Database!$F90,0,COLUMN(Database!CS90)*2-12)</f>
        <v>n.r.</v>
      </c>
      <c r="CW90" s="8" t="str">
        <f ca="1">OFFSET(Database!$F90,0,COLUMN(Database!CT90)*2-12)</f>
        <v>n.r.</v>
      </c>
      <c r="CX90" s="8" t="str">
        <f ca="1">OFFSET(Database!$F90,0,COLUMN(Database!CU90)*2-12)</f>
        <v>n.r.</v>
      </c>
      <c r="CY90" s="8" t="str">
        <f ca="1">OFFSET(Database!$F90,0,COLUMN(Database!CV90)*2-12)</f>
        <v>n.r.</v>
      </c>
      <c r="CZ90" s="8" t="str">
        <f ca="1">OFFSET(Database!$F90,0,COLUMN(Database!CW90)*2-12)</f>
        <v>n.r.</v>
      </c>
      <c r="DA90" s="8" t="str">
        <f ca="1">OFFSET(Database!$F90,0,COLUMN(Database!CX90)*2-12)</f>
        <v>n.r.</v>
      </c>
      <c r="DB90" s="8" t="str">
        <f ca="1">OFFSET(Database!$F90,0,COLUMN(Database!CY90)*2-12)</f>
        <v>&lt;0.06</v>
      </c>
      <c r="DC90" s="8" t="str">
        <f ca="1">OFFSET(Database!$F90,0,COLUMN(Database!CZ90)*2-12)</f>
        <v xml:space="preserve">&lt;0.06 </v>
      </c>
      <c r="DD90" s="8" t="str">
        <f ca="1">OFFSET(Database!$F90,0,COLUMN(Database!DA90)*2-12)</f>
        <v>&lt;0.3</v>
      </c>
      <c r="DE90" s="8" t="str">
        <f ca="1">OFFSET(Database!$F90,0,COLUMN(Database!DB90)*2-12)</f>
        <v>n.r.</v>
      </c>
      <c r="DF90" s="8">
        <f ca="1">OFFSET(Database!$F90,0,COLUMN(Database!DC90)*2-12)</f>
        <v>25.4313</v>
      </c>
      <c r="DG90" s="8">
        <f ca="1">OFFSET(Database!$F90,0,COLUMN(Database!DD90)*2-12)</f>
        <v>40.970199999999998</v>
      </c>
      <c r="DH90" s="8">
        <f ca="1">OFFSET(Database!$F90,0,COLUMN(Database!DE90)*2-12)</f>
        <v>70.5916</v>
      </c>
      <c r="DI90" s="8">
        <f ca="1">OFFSET(Database!$F90,0,COLUMN(Database!DF90)*2-12)</f>
        <v>49.627299999999998</v>
      </c>
      <c r="DJ90" s="8">
        <f ca="1">OFFSET(Database!$F90,0,COLUMN(Database!DG90)*2-12)</f>
        <v>27.464099999999998</v>
      </c>
      <c r="DK90" s="8" t="str">
        <f ca="1">OFFSET(Database!$F90,0,COLUMN(Database!DH90)*2-12)</f>
        <v>b.b.</v>
      </c>
      <c r="DL90" s="8">
        <f ca="1">OFFSET(Database!$F90,0,COLUMN(Database!DI90)*2-12)</f>
        <v>22.084800000000001</v>
      </c>
      <c r="DM90" s="8">
        <f ca="1">OFFSET(Database!$F90,0,COLUMN(Database!DJ90)*2-12)</f>
        <v>12.010999999999999</v>
      </c>
      <c r="DN90" s="8">
        <f ca="1">OFFSET(Database!$F90,0,COLUMN(Database!DK90)*2-12)</f>
        <v>237</v>
      </c>
      <c r="DO90" s="8">
        <f ca="1">OFFSET(Database!$F90,0,COLUMN(Database!DL90)*2-12)</f>
        <v>237</v>
      </c>
      <c r="DP90" s="8">
        <f ca="1">OFFSET(Database!$F90,0,COLUMN(Database!DM90)*2-12)</f>
        <v>25</v>
      </c>
      <c r="DQ90" s="8">
        <f ca="1">OFFSET(Database!$F90,0,COLUMN(Database!DN90)*2-12)</f>
        <v>19.8</v>
      </c>
      <c r="DR90" s="8">
        <f ca="1">OFFSET(Database!$F90,0,COLUMN(Database!DO90)*2-12)</f>
        <v>1.69</v>
      </c>
      <c r="DS90" s="8">
        <f ca="1">OFFSET(Database!$F90,0,COLUMN(Database!DP90)*2-12)</f>
        <v>113</v>
      </c>
      <c r="DT90" s="8">
        <f ca="1">OFFSET(Database!$F90,0,COLUMN(Database!DQ90)*2-12)</f>
        <v>26.1</v>
      </c>
      <c r="DU90" s="8">
        <f ca="1">OFFSET(Database!$F90,0,COLUMN(Database!DR90)*2-12)</f>
        <v>2.1057000000000001</v>
      </c>
      <c r="DV90" s="8" t="str">
        <f ca="1">OFFSET(Database!$F90,0,COLUMN(Database!DS90)*2-12)</f>
        <v>b.b.</v>
      </c>
      <c r="DW90" s="8" t="str">
        <f ca="1">OFFSET(Database!$F90,0,COLUMN(Database!DT90)*2-12)</f>
        <v>n.r.</v>
      </c>
      <c r="DX90" s="8" t="str">
        <f ca="1">OFFSET(Database!$F90,0,COLUMN(Database!DU90)*2-12)</f>
        <v>n.r.</v>
      </c>
      <c r="DY90" s="8" t="str">
        <f ca="1">OFFSET(Database!$F90,0,COLUMN(Database!DV90)*2-12)</f>
        <v>n.r.</v>
      </c>
      <c r="DZ90" s="8" t="str">
        <f ca="1">OFFSET(Database!$F90,0,COLUMN(Database!DW90)*2-12)</f>
        <v>n.r.</v>
      </c>
      <c r="EA90" s="8" t="str">
        <f ca="1">OFFSET(Database!$F90,0,COLUMN(Database!DX90)*2-12)</f>
        <v>n.r.</v>
      </c>
      <c r="EB90" s="8" t="str">
        <f ca="1">OFFSET(Database!$F90,0,COLUMN(Database!DY90)*2-12)</f>
        <v>n.r.</v>
      </c>
      <c r="EC90" s="8" t="str">
        <f ca="1">OFFSET(Database!$F90,0,COLUMN(Database!DZ90)*2-12)</f>
        <v>n.r.</v>
      </c>
      <c r="ED90" s="8" t="str">
        <f ca="1">OFFSET(Database!$F90,0,COLUMN(Database!EA90)*2-12)</f>
        <v>n.r.</v>
      </c>
      <c r="EE90" s="8" t="str">
        <f ca="1">OFFSET(Database!$F90,0,COLUMN(Database!EB90)*2-12)</f>
        <v>n.r.</v>
      </c>
      <c r="EF90" s="8" t="str">
        <f ca="1">OFFSET(Database!$F90,0,COLUMN(Database!EC90)*2-12)</f>
        <v>n.r.</v>
      </c>
      <c r="EG90" s="8" t="str">
        <f ca="1">OFFSET(Database!$F90,0,COLUMN(Database!ED90)*2-12)</f>
        <v>n.r.</v>
      </c>
      <c r="EH90" s="8" t="str">
        <f ca="1">OFFSET(Database!$F90,0,COLUMN(Database!EE90)*2-12)</f>
        <v>n.r.</v>
      </c>
      <c r="EI90" s="8" t="str">
        <f ca="1">OFFSET(Database!$F90,0,COLUMN(Database!EF90)*2-12)</f>
        <v>n.r.</v>
      </c>
      <c r="EJ90" s="8" t="str">
        <f ca="1">OFFSET(Database!$F90,0,COLUMN(Database!EG90)*2-12)</f>
        <v>n.r.</v>
      </c>
      <c r="EK90" s="8" t="str">
        <f ca="1">OFFSET(Database!$F90,0,COLUMN(Database!EH90)*2-12)</f>
        <v>n.r.</v>
      </c>
      <c r="EL90" s="8" t="str">
        <f ca="1">OFFSET(Database!$F90,0,COLUMN(Database!EI90)*2-12)</f>
        <v>n.r.</v>
      </c>
      <c r="EM90" s="8" t="str">
        <f ca="1">OFFSET(Database!$F90,0,COLUMN(Database!EJ90)*2-12)</f>
        <v>n.r.</v>
      </c>
      <c r="EN90" s="8" t="str">
        <f ca="1">OFFSET(Database!$F90,0,COLUMN(Database!EK90)*2-12)</f>
        <v>n.r.</v>
      </c>
      <c r="EO90" s="8" t="str">
        <f ca="1">OFFSET(Database!$F90,0,COLUMN(Database!EL90)*2-12)</f>
        <v>n.r.</v>
      </c>
      <c r="EP90" s="8" t="str">
        <f ca="1">OFFSET(Database!$F90,0,COLUMN(Database!EM90)*2-12)</f>
        <v>n.r.</v>
      </c>
      <c r="EQ90" s="8" t="str">
        <f ca="1">OFFSET(Database!$F90,0,COLUMN(Database!EN90)*2-12)</f>
        <v>n.r.</v>
      </c>
      <c r="ER90" s="8">
        <f ca="1">OFFSET(Database!$F90,0,COLUMN(Database!EO90)*2-12)</f>
        <v>45239.035636269349</v>
      </c>
      <c r="ES90" s="8">
        <f ca="1">OFFSET(Database!$F90,0,COLUMN(Database!EP90)*2-12)</f>
        <v>44860.983101398357</v>
      </c>
      <c r="ET90" s="8">
        <f ca="1">OFFSET(Database!$F90,0,COLUMN(Database!EQ90)*2-12)</f>
        <v>41996.377224002565</v>
      </c>
      <c r="EU90" s="8">
        <f ca="1">OFFSET(Database!$F90,0,COLUMN(Database!ER90)*2-12)</f>
        <v>27061.272423764265</v>
      </c>
      <c r="EV90" s="8">
        <f ca="1">OFFSET(Database!$F90,0,COLUMN(Database!ES90)*2-12)</f>
        <v>40636.664918038216</v>
      </c>
      <c r="EW90" s="8" t="str">
        <f ca="1">OFFSET(Database!$F90,0,COLUMN(Database!ET90)*2-12)</f>
        <v>n.r.</v>
      </c>
      <c r="EX90" s="8" t="str">
        <f ca="1">OFFSET(Database!$F90,0,COLUMN(Database!EU90)*2-12)</f>
        <v>n.r.</v>
      </c>
      <c r="EY90" s="8" t="str">
        <f ca="1">OFFSET(Database!$F90,0,COLUMN(Database!EV90)*2-12)</f>
        <v>n.r.</v>
      </c>
      <c r="EZ90" s="8" t="str">
        <f ca="1">OFFSET(Database!$F90,0,COLUMN(Database!EW90)*2-12)</f>
        <v>n.r.</v>
      </c>
      <c r="FA90" s="8" t="str">
        <f ca="1">OFFSET(Database!$F90,0,COLUMN(Database!EX90)*2-12)</f>
        <v>n.r.</v>
      </c>
      <c r="FB90" s="8">
        <f ca="1">OFFSET(Database!$F90,0,COLUMN(Database!EY90)*2-12)</f>
        <v>121</v>
      </c>
      <c r="FC90" s="8">
        <f ca="1">OFFSET(Database!$F90,0,COLUMN(Database!EZ90)*2-12)</f>
        <v>61.9</v>
      </c>
      <c r="FD90" s="8">
        <f ca="1">OFFSET(Database!$F90,0,COLUMN(Database!FA90)*2-12)</f>
        <v>1686.4</v>
      </c>
      <c r="FE90" s="8">
        <f ca="1">OFFSET(Database!$F90,0,COLUMN(Database!FB90)*2-12)</f>
        <v>4093.9</v>
      </c>
      <c r="FF90" s="8">
        <f ca="1">OFFSET(Database!$F90,0,COLUMN(Database!FC90)*2-12)</f>
        <v>3037.6</v>
      </c>
      <c r="FG90" s="8" t="str">
        <f ca="1">OFFSET(Database!$F90,0,COLUMN(Database!FD90)*2-12)</f>
        <v>n.r.</v>
      </c>
      <c r="FH90" s="8">
        <f ca="1">OFFSET(Database!$F90,0,COLUMN(Database!FE90)*2-12)</f>
        <v>700</v>
      </c>
      <c r="FI90" s="8">
        <f ca="1">OFFSET(Database!$F90,0,COLUMN(Database!FF90)*2-12)</f>
        <v>300</v>
      </c>
      <c r="FJ90" s="8">
        <f ca="1">OFFSET(Database!$F90,0,COLUMN(Database!FG90)*2-12)</f>
        <v>680</v>
      </c>
      <c r="FK90" s="8" t="str">
        <f ca="1">OFFSET(Database!$F90,0,COLUMN(Database!FH90)*2-12)</f>
        <v>n.r.</v>
      </c>
      <c r="FL90" s="8" t="str">
        <f ca="1">OFFSET(Database!$F90,0,COLUMN(Database!FI90)*2-12)</f>
        <v>n.r.</v>
      </c>
      <c r="FM90" s="8" t="str">
        <f ca="1">OFFSET(Database!$F90,0,COLUMN(Database!FJ90)*2-12)</f>
        <v>n.r.</v>
      </c>
      <c r="FN90" s="8" t="str">
        <f ca="1">OFFSET(Database!$F90,0,COLUMN(Database!FK90)*2-12)</f>
        <v>n.r.</v>
      </c>
      <c r="FO90" s="8" t="str">
        <f ca="1">OFFSET(Database!$F90,0,COLUMN(Database!FL90)*2-12)</f>
        <v>n.r.</v>
      </c>
      <c r="FP90" s="8" t="str">
        <f ca="1">OFFSET(Database!$F90,0,COLUMN(Database!FM90)*2-12)</f>
        <v>n.r.</v>
      </c>
      <c r="FQ90" s="8" t="str">
        <f ca="1">OFFSET(Database!$F90,0,COLUMN(Database!FN90)*2-12)</f>
        <v>n.r.</v>
      </c>
      <c r="FR90" s="8" t="str">
        <f ca="1">OFFSET(Database!$F90,0,COLUMN(Database!FO90)*2-12)</f>
        <v>n.r.</v>
      </c>
      <c r="FS90" s="8" t="str">
        <f ca="1">OFFSET(Database!$F90,0,COLUMN(Database!FP90)*2-12)</f>
        <v>n.r.</v>
      </c>
      <c r="FT90" s="8" t="str">
        <f ca="1">OFFSET(Database!$F90,0,COLUMN(Database!FQ90)*2-12)</f>
        <v>n.r.</v>
      </c>
      <c r="FU90" s="8" t="str">
        <f ca="1">OFFSET(Database!$F90,0,COLUMN(Database!FR90)*2-12)</f>
        <v>n.r.</v>
      </c>
      <c r="FV90" s="8" t="str">
        <f ca="1">OFFSET(Database!$F90,0,COLUMN(Database!FS90)*2-12)</f>
        <v>n.r.</v>
      </c>
      <c r="FW90" s="8" t="str">
        <f ca="1">OFFSET(Database!$F90,0,COLUMN(Database!FT90)*2-12)</f>
        <v>n.r.</v>
      </c>
      <c r="FX90" s="8" t="str">
        <f ca="1">OFFSET(Database!$F90,0,COLUMN(Database!FU90)*2-12)</f>
        <v>n.r.</v>
      </c>
      <c r="FY90" s="8" t="str">
        <f ca="1">OFFSET(Database!$F90,0,COLUMN(Database!FV90)*2-12)</f>
        <v>n.r.</v>
      </c>
      <c r="FZ90" s="8" t="str">
        <f ca="1">OFFSET(Database!$F90,0,COLUMN(Database!FW90)*2-12)</f>
        <v>n.r.</v>
      </c>
      <c r="GA90" s="8" t="str">
        <f ca="1">OFFSET(Database!$F90,0,COLUMN(Database!FX90)*2-12)</f>
        <v>n.r.</v>
      </c>
      <c r="GB90" s="8" t="str">
        <f ca="1">OFFSET(Database!$F90,0,COLUMN(Database!FY90)*2-12)</f>
        <v>n.r.</v>
      </c>
      <c r="GC90" s="8" t="str">
        <f ca="1">OFFSET(Database!$F90,0,COLUMN(Database!FZ90)*2-12)</f>
        <v>n.r.</v>
      </c>
      <c r="GD90" s="8" t="str">
        <f ca="1">OFFSET(Database!$F90,0,COLUMN(Database!GA90)*2-12)</f>
        <v>n.r.</v>
      </c>
      <c r="GE90" s="8" t="str">
        <f ca="1">OFFSET(Database!$F90,0,COLUMN(Database!GB90)*2-12)</f>
        <v>n.r.</v>
      </c>
      <c r="GF90" s="8" t="str">
        <f ca="1">OFFSET(Database!$F90,0,COLUMN(Database!GC90)*2-12)</f>
        <v>n.r.</v>
      </c>
      <c r="GG90" s="8" t="str">
        <f ca="1">OFFSET(Database!$F90,0,COLUMN(Database!GD90)*2-12)</f>
        <v>n.r.</v>
      </c>
      <c r="GH90" s="8" t="str">
        <f ca="1">OFFSET(Database!$F90,0,COLUMN(Database!GE90)*2-12)</f>
        <v>n.r.</v>
      </c>
      <c r="GI90" s="8" t="str">
        <f ca="1">OFFSET(Database!$F90,0,COLUMN(Database!GF90)*2-12)</f>
        <v>n.r.</v>
      </c>
      <c r="GJ90" s="8" t="str">
        <f ca="1">OFFSET(Database!$F90,0,COLUMN(Database!GG90)*2-12)</f>
        <v>n.r.</v>
      </c>
      <c r="GK90" s="8" t="str">
        <f ca="1">OFFSET(Database!$F90,0,COLUMN(Database!GH90)*2-12)</f>
        <v>n.r.</v>
      </c>
      <c r="GL90" s="8" t="str">
        <f ca="1">OFFSET(Database!$F90,0,COLUMN(Database!GI90)*2-12)</f>
        <v>n.r.</v>
      </c>
      <c r="GM90" s="8" t="str">
        <f ca="1">OFFSET(Database!$F90,0,COLUMN(Database!GJ90)*2-12)</f>
        <v>n.r.</v>
      </c>
      <c r="GN90" s="8" t="str">
        <f ca="1">OFFSET(Database!$F90,0,COLUMN(Database!GK90)*2-12)</f>
        <v>n.r.</v>
      </c>
      <c r="GO90" s="8" t="str">
        <f ca="1">OFFSET(Database!$F90,0,COLUMN(Database!GL90)*2-12)</f>
        <v>n.d.</v>
      </c>
      <c r="GP90" s="8" t="str">
        <f ca="1">OFFSET(Database!$F90,0,COLUMN(Database!GM90)*2-12)</f>
        <v>tr.</v>
      </c>
    </row>
    <row r="91" spans="1:198" x14ac:dyDescent="0.2">
      <c r="A91" s="50" t="str">
        <f>Database!A91</f>
        <v>leucine</v>
      </c>
      <c r="B91" s="1" t="s">
        <v>879</v>
      </c>
      <c r="C91" s="4" t="str">
        <f>Database!B91</f>
        <v>ɑ</v>
      </c>
      <c r="D91" s="4" t="str">
        <f>Database!C91</f>
        <v xml:space="preserve">Both </v>
      </c>
      <c r="E91" s="74">
        <f>Database!D91</f>
        <v>54</v>
      </c>
      <c r="F91" s="1" t="s">
        <v>859</v>
      </c>
      <c r="G91" s="1" t="s">
        <v>1119</v>
      </c>
      <c r="H91" s="1">
        <f>Database!E91</f>
        <v>131.16999999999999</v>
      </c>
      <c r="I91" s="8" t="str">
        <f ca="1">OFFSET(Database!$F91,0,COLUMN(Database!F91)*2-12)</f>
        <v>n.r.</v>
      </c>
      <c r="J91" s="8" t="str">
        <f ca="1">OFFSET(Database!$F91,0,COLUMN(Database!G91)*2-12)</f>
        <v>n.r.</v>
      </c>
      <c r="K91" s="8" t="str">
        <f ca="1">OFFSET(Database!$F91,0,COLUMN(Database!H91)*2-12)</f>
        <v>n.r.</v>
      </c>
      <c r="L91" s="8" t="str">
        <f ca="1">OFFSET(Database!$F91,0,COLUMN(Database!I91)*2-12)</f>
        <v>n.r.</v>
      </c>
      <c r="M91" s="8" t="str">
        <f ca="1">OFFSET(Database!$F91,0,COLUMN(Database!J91)*2-12)</f>
        <v>n.r.</v>
      </c>
      <c r="N91" s="8" t="str">
        <f ca="1">OFFSET(Database!$F91,0,COLUMN(Database!K91)*2-12)</f>
        <v>n.r.</v>
      </c>
      <c r="O91" s="8" t="str">
        <f ca="1">OFFSET(Database!$F91,0,COLUMN(Database!L91)*2-12)</f>
        <v>n.r.</v>
      </c>
      <c r="P91" s="8" t="str">
        <f ca="1">OFFSET(Database!$F91,0,COLUMN(Database!M91)*2-12)</f>
        <v>n.r.</v>
      </c>
      <c r="Q91" s="8" t="str">
        <f ca="1">OFFSET(Database!$F91,0,COLUMN(Database!N91)*2-12)</f>
        <v>n.r.</v>
      </c>
      <c r="R91" s="8" t="str">
        <f ca="1">OFFSET(Database!$F91,0,COLUMN(Database!O91)*2-12)</f>
        <v>n.r.</v>
      </c>
      <c r="S91" s="8" t="str">
        <f ca="1">OFFSET(Database!$F91,0,COLUMN(Database!P91)*2-12)</f>
        <v>n.r.</v>
      </c>
      <c r="T91" s="8" t="str">
        <f ca="1">OFFSET(Database!$F91,0,COLUMN(Database!Q91)*2-12)</f>
        <v>n.r.</v>
      </c>
      <c r="U91" s="8" t="str">
        <f ca="1">OFFSET(Database!$F91,0,COLUMN(Database!R91)*2-12)</f>
        <v>n.r.</v>
      </c>
      <c r="V91" s="8" t="str">
        <f ca="1">OFFSET(Database!$F91,0,COLUMN(Database!S91)*2-12)</f>
        <v>n.r.</v>
      </c>
      <c r="W91" s="8" t="str">
        <f ca="1">OFFSET(Database!$F91,0,COLUMN(Database!T91)*2-12)</f>
        <v>n.r.</v>
      </c>
      <c r="X91" s="8" t="str">
        <f ca="1">OFFSET(Database!$F91,0,COLUMN(Database!U91)*2-12)</f>
        <v>n.r.</v>
      </c>
      <c r="Y91" s="8" t="str">
        <f ca="1">OFFSET(Database!$F91,0,COLUMN(Database!V91)*2-12)</f>
        <v>n.d.</v>
      </c>
      <c r="Z91" s="8" t="str">
        <f ca="1">OFFSET(Database!$F91,0,COLUMN(Database!W91)*2-12)</f>
        <v>n.r.</v>
      </c>
      <c r="AA91" s="8" t="str">
        <f ca="1">OFFSET(Database!$F91,0,COLUMN(Database!X91)*2-12)</f>
        <v>n.r.</v>
      </c>
      <c r="AB91" s="8" t="str">
        <f ca="1">OFFSET(Database!$F91,0,COLUMN(Database!Y91)*2-12)</f>
        <v>n.r.</v>
      </c>
      <c r="AC91" s="8" t="str">
        <f ca="1">OFFSET(Database!$F91,0,COLUMN(Database!Z91)*2-12)</f>
        <v>n.r.</v>
      </c>
      <c r="AD91" s="8" t="str">
        <f ca="1">OFFSET(Database!$F91,0,COLUMN(Database!AA91)*2-12)</f>
        <v>n.r.</v>
      </c>
      <c r="AE91" s="8" t="str">
        <f ca="1">OFFSET(Database!$F91,0,COLUMN(Database!AB91)*2-12)</f>
        <v>n.r.</v>
      </c>
      <c r="AF91" s="8" t="str">
        <f ca="1">OFFSET(Database!$F91,0,COLUMN(Database!AC91)*2-12)</f>
        <v>n.d.</v>
      </c>
      <c r="AG91" s="8" t="str">
        <f ca="1">OFFSET(Database!$F91,0,COLUMN(Database!AD91)*2-12)</f>
        <v>n.d.</v>
      </c>
      <c r="AH91" s="8" t="str">
        <f ca="1">OFFSET(Database!$F91,0,COLUMN(Database!AE91)*2-12)</f>
        <v>n.r.</v>
      </c>
      <c r="AI91" s="8" t="str">
        <f ca="1">OFFSET(Database!$F91,0,COLUMN(Database!AF91)*2-12)</f>
        <v>n.r.</v>
      </c>
      <c r="AJ91" s="8" t="str">
        <f ca="1">OFFSET(Database!$F91,0,COLUMN(Database!AG91)*2-12)</f>
        <v>n.r.</v>
      </c>
      <c r="AK91" s="8" t="str">
        <f ca="1">OFFSET(Database!$F91,0,COLUMN(Database!AH91)*2-12)</f>
        <v>n.r.</v>
      </c>
      <c r="AL91" s="8" t="str">
        <f ca="1">OFFSET(Database!$F91,0,COLUMN(Database!AI91)*2-12)</f>
        <v>&lt;0.01</v>
      </c>
      <c r="AM91" s="8" t="str">
        <f ca="1">OFFSET(Database!$F91,0,COLUMN(Database!AJ91)*2-12)</f>
        <v>n.r.</v>
      </c>
      <c r="AN91" s="8" t="str">
        <f ca="1">OFFSET(Database!$F91,0,COLUMN(Database!AK91)*2-12)</f>
        <v>n.r.</v>
      </c>
      <c r="AO91" s="8" t="str">
        <f ca="1">OFFSET(Database!$F91,0,COLUMN(Database!AL91)*2-12)</f>
        <v>n.r.</v>
      </c>
      <c r="AP91" s="8" t="str">
        <f ca="1">OFFSET(Database!$F91,0,COLUMN(Database!AM91)*2-12)</f>
        <v>n.r.</v>
      </c>
      <c r="AQ91" s="8" t="str">
        <f ca="1">OFFSET(Database!$F91,0,COLUMN(Database!AN91)*2-12)</f>
        <v>n.r.</v>
      </c>
      <c r="AR91" s="8" t="str">
        <f ca="1">OFFSET(Database!$F91,0,COLUMN(Database!AO91)*2-12)</f>
        <v>n.r.</v>
      </c>
      <c r="AS91" s="8" t="str">
        <f ca="1">OFFSET(Database!$F91,0,COLUMN(Database!AP91)*2-12)</f>
        <v>n.r.</v>
      </c>
      <c r="AT91" s="8" t="str">
        <f ca="1">OFFSET(Database!$F91,0,COLUMN(Database!AQ91)*2-12)</f>
        <v>n.r.</v>
      </c>
      <c r="AU91" s="8" t="str">
        <f ca="1">OFFSET(Database!$F91,0,COLUMN(Database!AR91)*2-12)</f>
        <v>n.r.</v>
      </c>
      <c r="AV91" s="8" t="str">
        <f ca="1">OFFSET(Database!$F91,0,COLUMN(Database!AS91)*2-12)</f>
        <v>n.r.</v>
      </c>
      <c r="AW91" s="8" t="str">
        <f ca="1">OFFSET(Database!$F91,0,COLUMN(Database!AT91)*2-12)</f>
        <v>n.r.</v>
      </c>
      <c r="AX91" s="8" t="str">
        <f ca="1">OFFSET(Database!$F91,0,COLUMN(Database!AU91)*2-12)</f>
        <v>n.r.</v>
      </c>
      <c r="AY91" s="8" t="str">
        <f ca="1">OFFSET(Database!$F91,0,COLUMN(Database!AV91)*2-12)</f>
        <v>n.r.</v>
      </c>
      <c r="AZ91" s="8" t="str">
        <f ca="1">OFFSET(Database!$F91,0,COLUMN(Database!AW91)*2-12)</f>
        <v>n.r.</v>
      </c>
      <c r="BA91" s="8" t="str">
        <f ca="1">OFFSET(Database!$F91,0,COLUMN(Database!AX91)*2-12)</f>
        <v>n.r.</v>
      </c>
      <c r="BB91" s="8" t="str">
        <f ca="1">OFFSET(Database!$F91,0,COLUMN(Database!AY91)*2-12)</f>
        <v>n.r.</v>
      </c>
      <c r="BC91" s="8" t="str">
        <f ca="1">OFFSET(Database!$F91,0,COLUMN(Database!AZ91)*2-12)</f>
        <v>n.r.</v>
      </c>
      <c r="BD91" s="8" t="str">
        <f ca="1">OFFSET(Database!$F91,0,COLUMN(Database!BA91)*2-12)</f>
        <v>n.r.</v>
      </c>
      <c r="BE91" s="8" t="str">
        <f ca="1">OFFSET(Database!$F91,0,COLUMN(Database!BB91)*2-12)</f>
        <v>n.r.</v>
      </c>
      <c r="BF91" s="8" t="str">
        <f ca="1">OFFSET(Database!$F91,0,COLUMN(Database!BC91)*2-12)</f>
        <v>n.r.</v>
      </c>
      <c r="BG91" s="8" t="str">
        <f ca="1">OFFSET(Database!$F91,0,COLUMN(Database!BD91)*2-12)</f>
        <v>n.r.</v>
      </c>
      <c r="BH91" s="8" t="str">
        <f ca="1">OFFSET(Database!$F91,0,COLUMN(Database!BE91)*2-12)</f>
        <v>n.r.</v>
      </c>
      <c r="BI91" s="8" t="str">
        <f ca="1">OFFSET(Database!$F91,0,COLUMN(Database!BF91)*2-12)</f>
        <v>n.r.</v>
      </c>
      <c r="BJ91" s="8" t="str">
        <f ca="1">OFFSET(Database!$F91,0,COLUMN(Database!BG91)*2-12)</f>
        <v>n.r.</v>
      </c>
      <c r="BK91" s="8" t="str">
        <f ca="1">OFFSET(Database!$F91,0,COLUMN(Database!BH91)*2-12)</f>
        <v>n.r.</v>
      </c>
      <c r="BL91" s="8" t="str">
        <f ca="1">OFFSET(Database!$F91,0,COLUMN(Database!BI91)*2-12)</f>
        <v>n.r.</v>
      </c>
      <c r="BM91" s="8" t="str">
        <f ca="1">OFFSET(Database!$F91,0,COLUMN(Database!BJ91)*2-12)</f>
        <v>n.r.</v>
      </c>
      <c r="BN91" s="8" t="str">
        <f ca="1">OFFSET(Database!$F91,0,COLUMN(Database!BK91)*2-12)</f>
        <v>n.r.</v>
      </c>
      <c r="BO91" s="8" t="str">
        <f ca="1">OFFSET(Database!$F91,0,COLUMN(Database!BL91)*2-12)</f>
        <v>n.r.</v>
      </c>
      <c r="BP91" s="8" t="str">
        <f ca="1">OFFSET(Database!$F91,0,COLUMN(Database!BM91)*2-12)</f>
        <v>n.r.</v>
      </c>
      <c r="BQ91" s="8" t="str">
        <f ca="1">OFFSET(Database!$F91,0,COLUMN(Database!BN91)*2-12)</f>
        <v>n.r.</v>
      </c>
      <c r="BR91" s="8" t="str">
        <f ca="1">OFFSET(Database!$F91,0,COLUMN(Database!BO91)*2-12)</f>
        <v>n.r.</v>
      </c>
      <c r="BS91" s="8" t="str">
        <f ca="1">OFFSET(Database!$F91,0,COLUMN(Database!BP91)*2-12)</f>
        <v>n.r.</v>
      </c>
      <c r="BT91" s="8" t="str">
        <f ca="1">OFFSET(Database!$F91,0,COLUMN(Database!BQ91)*2-12)</f>
        <v>n.r.</v>
      </c>
      <c r="BU91" s="8" t="str">
        <f ca="1">OFFSET(Database!$F91,0,COLUMN(Database!BR91)*2-12)</f>
        <v>n.r.</v>
      </c>
      <c r="BV91" s="8" t="str">
        <f ca="1">OFFSET(Database!$F91,0,COLUMN(Database!BS91)*2-12)</f>
        <v>n.r.</v>
      </c>
      <c r="BW91" s="8" t="str">
        <f ca="1">OFFSET(Database!$F91,0,COLUMN(Database!BT91)*2-12)</f>
        <v>n.r.</v>
      </c>
      <c r="BX91" s="8" t="str">
        <f ca="1">OFFSET(Database!$F91,0,COLUMN(Database!BU91)*2-12)</f>
        <v>n.r.</v>
      </c>
      <c r="BY91" s="8" t="str">
        <f ca="1">OFFSET(Database!$F91,0,COLUMN(Database!BV91)*2-12)</f>
        <v>n.r.</v>
      </c>
      <c r="BZ91" s="8" t="str">
        <f ca="1">OFFSET(Database!$F91,0,COLUMN(Database!BW91)*2-12)</f>
        <v>n.r.</v>
      </c>
      <c r="CA91" s="8" t="str">
        <f ca="1">OFFSET(Database!$F91,0,COLUMN(Database!BX91)*2-12)</f>
        <v>n.r.</v>
      </c>
      <c r="CB91" s="8" t="str">
        <f ca="1">OFFSET(Database!$F91,0,COLUMN(Database!BY91)*2-12)</f>
        <v>n.r.</v>
      </c>
      <c r="CC91" s="8" t="str">
        <f ca="1">OFFSET(Database!$F91,0,COLUMN(Database!BZ91)*2-12)</f>
        <v>n.r.</v>
      </c>
      <c r="CD91" s="8" t="str">
        <f ca="1">OFFSET(Database!$F91,0,COLUMN(Database!CA91)*2-12)</f>
        <v>n.r.</v>
      </c>
      <c r="CE91" s="8" t="str">
        <f ca="1">OFFSET(Database!$F91,0,COLUMN(Database!CB91)*2-12)</f>
        <v>n.r.</v>
      </c>
      <c r="CF91" s="8" t="str">
        <f ca="1">OFFSET(Database!$F91,0,COLUMN(Database!CC91)*2-12)</f>
        <v>n.r.</v>
      </c>
      <c r="CG91" s="8" t="str">
        <f ca="1">OFFSET(Database!$F91,0,COLUMN(Database!CD91)*2-12)</f>
        <v>n.r.</v>
      </c>
      <c r="CH91" s="8" t="str">
        <f ca="1">OFFSET(Database!$F91,0,COLUMN(Database!CE91)*2-12)</f>
        <v>n.r.</v>
      </c>
      <c r="CI91" s="8" t="str">
        <f ca="1">OFFSET(Database!$F91,0,COLUMN(Database!CF91)*2-12)</f>
        <v>n.r.</v>
      </c>
      <c r="CJ91" s="8" t="str">
        <f ca="1">OFFSET(Database!$F91,0,COLUMN(Database!CG91)*2-12)</f>
        <v>n.r.</v>
      </c>
      <c r="CK91" s="8" t="str">
        <f ca="1">OFFSET(Database!$F91,0,COLUMN(Database!CH91)*2-12)</f>
        <v>n.r.</v>
      </c>
      <c r="CL91" s="8" t="str">
        <f ca="1">OFFSET(Database!$F91,0,COLUMN(Database!CI91)*2-12)</f>
        <v>n.r.</v>
      </c>
      <c r="CM91" s="8" t="str">
        <f ca="1">OFFSET(Database!$F91,0,COLUMN(Database!CJ91)*2-12)</f>
        <v>n.r.</v>
      </c>
      <c r="CN91" s="8" t="str">
        <f ca="1">OFFSET(Database!$F91,0,COLUMN(Database!CK91)*2-12)</f>
        <v>n.r.</v>
      </c>
      <c r="CO91" s="8" t="str">
        <f ca="1">OFFSET(Database!$F91,0,COLUMN(Database!CL91)*2-12)</f>
        <v>n.r.</v>
      </c>
      <c r="CP91" s="8" t="str">
        <f ca="1">OFFSET(Database!$F91,0,COLUMN(Database!CM91)*2-12)</f>
        <v>&lt;0.1</v>
      </c>
      <c r="CQ91" s="8" t="str">
        <f ca="1">OFFSET(Database!$F91,0,COLUMN(Database!CN91)*2-12)</f>
        <v>&lt;0.1</v>
      </c>
      <c r="CR91" s="8" t="str">
        <f ca="1">OFFSET(Database!$F91,0,COLUMN(Database!CO91)*2-12)</f>
        <v>&lt;0.1</v>
      </c>
      <c r="CS91" s="8" t="str">
        <f ca="1">OFFSET(Database!$F91,0,COLUMN(Database!CP91)*2-12)</f>
        <v>&lt;0.1</v>
      </c>
      <c r="CT91" s="8" t="str">
        <f ca="1">OFFSET(Database!$F91,0,COLUMN(Database!CQ91)*2-12)</f>
        <v>&lt;0.1</v>
      </c>
      <c r="CU91" s="8" t="str">
        <f ca="1">OFFSET(Database!$F91,0,COLUMN(Database!CR91)*2-12)</f>
        <v>&lt;0.1</v>
      </c>
      <c r="CV91" s="8" t="str">
        <f ca="1">OFFSET(Database!$F91,0,COLUMN(Database!CS91)*2-12)</f>
        <v>&lt;0.1</v>
      </c>
      <c r="CW91" s="8" t="str">
        <f ca="1">OFFSET(Database!$F91,0,COLUMN(Database!CT91)*2-12)</f>
        <v>&lt;0.1</v>
      </c>
      <c r="CX91" s="8">
        <f ca="1">OFFSET(Database!$F91,0,COLUMN(Database!CU91)*2-12)</f>
        <v>0.21</v>
      </c>
      <c r="CY91" s="8" t="str">
        <f ca="1">OFFSET(Database!$F91,0,COLUMN(Database!CV91)*2-12)</f>
        <v>&lt;0.1</v>
      </c>
      <c r="CZ91" s="8" t="str">
        <f ca="1">OFFSET(Database!$F91,0,COLUMN(Database!CW91)*2-12)</f>
        <v>&lt;0.1</v>
      </c>
      <c r="DA91" s="8" t="str">
        <f ca="1">OFFSET(Database!$F91,0,COLUMN(Database!CX91)*2-12)</f>
        <v>&lt;0.1</v>
      </c>
      <c r="DB91" s="8" t="str">
        <f ca="1">OFFSET(Database!$F91,0,COLUMN(Database!CY91)*2-12)</f>
        <v>n.r.</v>
      </c>
      <c r="DC91" s="8" t="str">
        <f ca="1">OFFSET(Database!$F91,0,COLUMN(Database!CZ91)*2-12)</f>
        <v>n.r.</v>
      </c>
      <c r="DD91" s="8" t="str">
        <f ca="1">OFFSET(Database!$F91,0,COLUMN(Database!DA91)*2-12)</f>
        <v>n.r.</v>
      </c>
      <c r="DE91" s="8" t="str">
        <f ca="1">OFFSET(Database!$F91,0,COLUMN(Database!DB91)*2-12)</f>
        <v>n.r.</v>
      </c>
      <c r="DF91" s="8" t="str">
        <f ca="1">OFFSET(Database!$F91,0,COLUMN(Database!DC91)*2-12)</f>
        <v>n.r.</v>
      </c>
      <c r="DG91" s="8" t="str">
        <f ca="1">OFFSET(Database!$F91,0,COLUMN(Database!DD91)*2-12)</f>
        <v>n.r.</v>
      </c>
      <c r="DH91" s="8" t="str">
        <f ca="1">OFFSET(Database!$F91,0,COLUMN(Database!DE91)*2-12)</f>
        <v>n.r.</v>
      </c>
      <c r="DI91" s="8" t="str">
        <f ca="1">OFFSET(Database!$F91,0,COLUMN(Database!DF91)*2-12)</f>
        <v>n.r.</v>
      </c>
      <c r="DJ91" s="8" t="str">
        <f ca="1">OFFSET(Database!$F91,0,COLUMN(Database!DG91)*2-12)</f>
        <v>n.r.</v>
      </c>
      <c r="DK91" s="8" t="str">
        <f ca="1">OFFSET(Database!$F91,0,COLUMN(Database!DH91)*2-12)</f>
        <v>n.r.</v>
      </c>
      <c r="DL91" s="8" t="str">
        <f ca="1">OFFSET(Database!$F91,0,COLUMN(Database!DI91)*2-12)</f>
        <v>n.r.</v>
      </c>
      <c r="DM91" s="8" t="str">
        <f ca="1">OFFSET(Database!$F91,0,COLUMN(Database!DJ91)*2-12)</f>
        <v>n.r.</v>
      </c>
      <c r="DN91" s="8" t="str">
        <f ca="1">OFFSET(Database!$F91,0,COLUMN(Database!DK91)*2-12)</f>
        <v>n.r.</v>
      </c>
      <c r="DO91" s="8" t="str">
        <f ca="1">OFFSET(Database!$F91,0,COLUMN(Database!DL91)*2-12)</f>
        <v>n.r.</v>
      </c>
      <c r="DP91" s="8" t="str">
        <f ca="1">OFFSET(Database!$F91,0,COLUMN(Database!DM91)*2-12)</f>
        <v>n.r.</v>
      </c>
      <c r="DQ91" s="8" t="str">
        <f ca="1">OFFSET(Database!$F91,0,COLUMN(Database!DN91)*2-12)</f>
        <v>n.r.</v>
      </c>
      <c r="DR91" s="8" t="str">
        <f ca="1">OFFSET(Database!$F91,0,COLUMN(Database!DO91)*2-12)</f>
        <v>n.r.</v>
      </c>
      <c r="DS91" s="8" t="str">
        <f ca="1">OFFSET(Database!$F91,0,COLUMN(Database!DP91)*2-12)</f>
        <v>n.r.</v>
      </c>
      <c r="DT91" s="8" t="str">
        <f ca="1">OFFSET(Database!$F91,0,COLUMN(Database!DQ91)*2-12)</f>
        <v>n.r.</v>
      </c>
      <c r="DU91" s="8" t="str">
        <f ca="1">OFFSET(Database!$F91,0,COLUMN(Database!DR91)*2-12)</f>
        <v>n.r.</v>
      </c>
      <c r="DV91" s="8" t="str">
        <f ca="1">OFFSET(Database!$F91,0,COLUMN(Database!DS91)*2-12)</f>
        <v>n.r.</v>
      </c>
      <c r="DW91" s="8">
        <f ca="1">OFFSET(Database!$F91,0,COLUMN(Database!DT91)*2-12)</f>
        <v>3.3</v>
      </c>
      <c r="DX91" s="8">
        <f ca="1">OFFSET(Database!$F91,0,COLUMN(Database!DU91)*2-12)</f>
        <v>3.3</v>
      </c>
      <c r="DY91" s="8">
        <f ca="1">OFFSET(Database!$F91,0,COLUMN(Database!DV91)*2-12)</f>
        <v>1.3</v>
      </c>
      <c r="DZ91" s="8">
        <f ca="1">OFFSET(Database!$F91,0,COLUMN(Database!DW91)*2-12)</f>
        <v>6.1</v>
      </c>
      <c r="EA91" s="8">
        <f ca="1">OFFSET(Database!$F91,0,COLUMN(Database!DX91)*2-12)</f>
        <v>125</v>
      </c>
      <c r="EB91" s="8">
        <f ca="1">OFFSET(Database!$F91,0,COLUMN(Database!DY91)*2-12)</f>
        <v>2.9</v>
      </c>
      <c r="EC91" s="8" t="str">
        <f ca="1">OFFSET(Database!$F91,0,COLUMN(Database!DZ91)*2-12)</f>
        <v>n.r.</v>
      </c>
      <c r="ED91" s="8">
        <f ca="1">OFFSET(Database!$F91,0,COLUMN(Database!EA91)*2-12)</f>
        <v>12.31</v>
      </c>
      <c r="EE91" s="8">
        <f ca="1">OFFSET(Database!$F91,0,COLUMN(Database!EB91)*2-12)</f>
        <v>10</v>
      </c>
      <c r="EF91" s="8">
        <f ca="1">OFFSET(Database!$F91,0,COLUMN(Database!EC91)*2-12)</f>
        <v>20</v>
      </c>
      <c r="EG91" s="8">
        <f ca="1">OFFSET(Database!$F91,0,COLUMN(Database!ED91)*2-12)</f>
        <v>350</v>
      </c>
      <c r="EH91" s="8">
        <f ca="1">OFFSET(Database!$F91,0,COLUMN(Database!EE91)*2-12)</f>
        <v>70</v>
      </c>
      <c r="EI91" s="8">
        <f ca="1">OFFSET(Database!$F91,0,COLUMN(Database!EF91)*2-12)</f>
        <v>0.13600000000000001</v>
      </c>
      <c r="EJ91" s="8">
        <f ca="1">OFFSET(Database!$F91,0,COLUMN(Database!EG91)*2-12)</f>
        <v>0.11700000000000001</v>
      </c>
      <c r="EK91" s="8">
        <f ca="1">OFFSET(Database!$F91,0,COLUMN(Database!EH91)*2-12)</f>
        <v>0.158</v>
      </c>
      <c r="EL91" s="8">
        <f ca="1">OFFSET(Database!$F91,0,COLUMN(Database!EI91)*2-12)</f>
        <v>0.55000000000000004</v>
      </c>
      <c r="EM91" s="8">
        <f ca="1">OFFSET(Database!$F91,0,COLUMN(Database!EJ91)*2-12)</f>
        <v>0.439</v>
      </c>
      <c r="EN91" s="8">
        <f ca="1">OFFSET(Database!$F91,0,COLUMN(Database!EK91)*2-12)</f>
        <v>0.32900000000000001</v>
      </c>
      <c r="EO91" s="8">
        <f ca="1">OFFSET(Database!$F91,0,COLUMN(Database!EL91)*2-12)</f>
        <v>0.41</v>
      </c>
      <c r="EP91" s="8">
        <f ca="1">OFFSET(Database!$F91,0,COLUMN(Database!EM91)*2-12)</f>
        <v>0.39300000000000002</v>
      </c>
      <c r="EQ91" s="8">
        <f ca="1">OFFSET(Database!$F91,0,COLUMN(Database!EN91)*2-12)</f>
        <v>30.05</v>
      </c>
      <c r="ER91" s="8" t="str">
        <f ca="1">OFFSET(Database!$F91,0,COLUMN(Database!EO91)*2-12)</f>
        <v>n.r.</v>
      </c>
      <c r="ES91" s="8" t="str">
        <f ca="1">OFFSET(Database!$F91,0,COLUMN(Database!EP91)*2-12)</f>
        <v>n.r.</v>
      </c>
      <c r="ET91" s="8" t="str">
        <f ca="1">OFFSET(Database!$F91,0,COLUMN(Database!EQ91)*2-12)</f>
        <v>n.r.</v>
      </c>
      <c r="EU91" s="8" t="str">
        <f ca="1">OFFSET(Database!$F91,0,COLUMN(Database!ER91)*2-12)</f>
        <v>n.r.</v>
      </c>
      <c r="EV91" s="8" t="str">
        <f ca="1">OFFSET(Database!$F91,0,COLUMN(Database!ES91)*2-12)</f>
        <v>n.r.</v>
      </c>
      <c r="EW91" s="8">
        <f ca="1">OFFSET(Database!$F91,0,COLUMN(Database!ET91)*2-12)</f>
        <v>90300</v>
      </c>
      <c r="EX91" s="8">
        <f ca="1">OFFSET(Database!$F91,0,COLUMN(Database!EU91)*2-12)</f>
        <v>966800</v>
      </c>
      <c r="EY91" s="8">
        <f ca="1">OFFSET(Database!$F91,0,COLUMN(Database!EV91)*2-12)</f>
        <v>107600</v>
      </c>
      <c r="EZ91" s="8">
        <f ca="1">OFFSET(Database!$F91,0,COLUMN(Database!EW91)*2-12)</f>
        <v>46000</v>
      </c>
      <c r="FA91" s="8">
        <f ca="1">OFFSET(Database!$F91,0,COLUMN(Database!EX91)*2-12)</f>
        <v>360200</v>
      </c>
      <c r="FB91" s="8" t="str">
        <f ca="1">OFFSET(Database!$F91,0,COLUMN(Database!EY91)*2-12)</f>
        <v>n.r.</v>
      </c>
      <c r="FC91" s="8" t="str">
        <f ca="1">OFFSET(Database!$F91,0,COLUMN(Database!EZ91)*2-12)</f>
        <v>n.r.</v>
      </c>
      <c r="FD91" s="8" t="str">
        <f ca="1">OFFSET(Database!$F91,0,COLUMN(Database!FA91)*2-12)</f>
        <v>n.r.</v>
      </c>
      <c r="FE91" s="8" t="str">
        <f ca="1">OFFSET(Database!$F91,0,COLUMN(Database!FB91)*2-12)</f>
        <v>n.r.</v>
      </c>
      <c r="FF91" s="8" t="str">
        <f ca="1">OFFSET(Database!$F91,0,COLUMN(Database!FC91)*2-12)</f>
        <v>n.r.</v>
      </c>
      <c r="FG91" s="8">
        <f ca="1">OFFSET(Database!$F91,0,COLUMN(Database!FD91)*2-12)</f>
        <v>205839.74994282235</v>
      </c>
      <c r="FH91" s="8" t="str">
        <f ca="1">OFFSET(Database!$F91,0,COLUMN(Database!FE91)*2-12)</f>
        <v>n.r.</v>
      </c>
      <c r="FI91" s="8" t="str">
        <f ca="1">OFFSET(Database!$F91,0,COLUMN(Database!FF91)*2-12)</f>
        <v>n.r.</v>
      </c>
      <c r="FJ91" s="8" t="str">
        <f ca="1">OFFSET(Database!$F91,0,COLUMN(Database!FG91)*2-12)</f>
        <v>n.r.</v>
      </c>
      <c r="FK91" s="8">
        <f ca="1">OFFSET(Database!$F91,0,COLUMN(Database!FH91)*2-12)</f>
        <v>641915.07204391249</v>
      </c>
      <c r="FL91" s="8">
        <f ca="1">OFFSET(Database!$F91,0,COLUMN(Database!FI91)*2-12)</f>
        <v>525272.54707631317</v>
      </c>
      <c r="FM91" s="8">
        <f ca="1">OFFSET(Database!$F91,0,COLUMN(Database!FJ91)*2-12)</f>
        <v>58702.447205915989</v>
      </c>
      <c r="FN91" s="8">
        <f ca="1">OFFSET(Database!$F91,0,COLUMN(Database!FK91)*2-12)</f>
        <v>623618.20538232836</v>
      </c>
      <c r="FO91" s="8">
        <f ca="1">OFFSET(Database!$F91,0,COLUMN(Database!FL91)*2-12)</f>
        <v>571014.71373027388</v>
      </c>
      <c r="FP91" s="8">
        <f ca="1">OFFSET(Database!$F91,0,COLUMN(Database!FM91)*2-12)</f>
        <v>433788.21376839228</v>
      </c>
      <c r="FQ91" s="8">
        <f ca="1">OFFSET(Database!$F91,0,COLUMN(Database!FN91)*2-12)</f>
        <v>10596.935274834186</v>
      </c>
      <c r="FR91" s="8">
        <f ca="1">OFFSET(Database!$F91,0,COLUMN(Database!FO91)*2-12)</f>
        <v>10825.646108103989</v>
      </c>
      <c r="FS91" s="8">
        <f ca="1">OFFSET(Database!$F91,0,COLUMN(Database!FP91)*2-12)</f>
        <v>11664.252496759931</v>
      </c>
      <c r="FT91" s="8">
        <f ca="1">OFFSET(Database!$F91,0,COLUMN(Database!FQ91)*2-12)</f>
        <v>10139.513608294581</v>
      </c>
      <c r="FU91" s="8">
        <f ca="1">OFFSET(Database!$F91,0,COLUMN(Database!FR91)*2-12)</f>
        <v>8604</v>
      </c>
      <c r="FV91" s="8">
        <f ca="1">OFFSET(Database!$F91,0,COLUMN(Database!FS91)*2-12)</f>
        <v>7654</v>
      </c>
      <c r="FW91" s="8">
        <f ca="1">OFFSET(Database!$F91,0,COLUMN(Database!FT91)*2-12)</f>
        <v>7066</v>
      </c>
      <c r="FX91" s="8">
        <f ca="1">OFFSET(Database!$F91,0,COLUMN(Database!FU91)*2-12)</f>
        <v>6807</v>
      </c>
      <c r="FY91" s="8">
        <f ca="1">OFFSET(Database!$F91,0,COLUMN(Database!FV91)*2-12)</f>
        <v>8462</v>
      </c>
      <c r="FZ91" s="8">
        <f ca="1">OFFSET(Database!$F91,0,COLUMN(Database!FW91)*2-12)</f>
        <v>8572</v>
      </c>
      <c r="GA91" s="8">
        <f ca="1">OFFSET(Database!$F91,0,COLUMN(Database!FX91)*2-12)</f>
        <v>9381</v>
      </c>
      <c r="GB91" s="8">
        <f ca="1">OFFSET(Database!$F91,0,COLUMN(Database!FY91)*2-12)</f>
        <v>9078</v>
      </c>
      <c r="GC91" s="8">
        <f ca="1">OFFSET(Database!$F91,0,COLUMN(Database!FZ91)*2-12)</f>
        <v>10084</v>
      </c>
      <c r="GD91" s="8">
        <f ca="1">OFFSET(Database!$F91,0,COLUMN(Database!GA91)*2-12)</f>
        <v>8683</v>
      </c>
      <c r="GE91" s="8">
        <f ca="1">OFFSET(Database!$F91,0,COLUMN(Database!GB91)*2-12)</f>
        <v>8218</v>
      </c>
      <c r="GF91" s="8">
        <f ca="1">OFFSET(Database!$F91,0,COLUMN(Database!GC91)*2-12)</f>
        <v>9554</v>
      </c>
      <c r="GG91" s="8" t="str">
        <f ca="1">OFFSET(Database!$F91,0,COLUMN(Database!GD91)*2-12)</f>
        <v>l.o.q.</v>
      </c>
      <c r="GH91" s="8" t="str">
        <f ca="1">OFFSET(Database!$F91,0,COLUMN(Database!GE91)*2-12)</f>
        <v>l.o.q.</v>
      </c>
      <c r="GI91" s="8">
        <f ca="1">OFFSET(Database!$F91,0,COLUMN(Database!GF91)*2-12)</f>
        <v>8157.3530532896248</v>
      </c>
      <c r="GJ91" s="8">
        <f ca="1">OFFSET(Database!$F91,0,COLUMN(Database!GG91)*2-12)</f>
        <v>1562.8573606769842</v>
      </c>
      <c r="GK91" s="8">
        <f ca="1">OFFSET(Database!$F91,0,COLUMN(Database!GH91)*2-12)</f>
        <v>61142.029427460555</v>
      </c>
      <c r="GL91" s="8" t="str">
        <f ca="1">OFFSET(Database!$F91,0,COLUMN(Database!GI91)*2-12)</f>
        <v>l.o.d.</v>
      </c>
      <c r="GM91" s="8">
        <f ca="1">OFFSET(Database!$F91,0,COLUMN(Database!GJ91)*2-12)</f>
        <v>287.41328047571858</v>
      </c>
      <c r="GN91" s="8">
        <f ca="1">OFFSET(Database!$F91,0,COLUMN(Database!GK91)*2-12)</f>
        <v>465045.36098193191</v>
      </c>
      <c r="GO91" s="8" t="str">
        <f ca="1">OFFSET(Database!$F91,0,COLUMN(Database!GL91)*2-12)</f>
        <v>n.r.</v>
      </c>
      <c r="GP91" s="8" t="str">
        <f ca="1">OFFSET(Database!$F91,0,COLUMN(Database!GM91)*2-12)</f>
        <v>n.r.</v>
      </c>
    </row>
    <row r="92" spans="1:198" x14ac:dyDescent="0.2">
      <c r="A92" s="50" t="str">
        <f>Database!A92</f>
        <v>D-isoleucine</v>
      </c>
      <c r="B92" s="1" t="s">
        <v>880</v>
      </c>
      <c r="C92" s="4" t="str">
        <f>Database!B92</f>
        <v>ɑ</v>
      </c>
      <c r="D92" s="4" t="str">
        <f>Database!C92</f>
        <v>D</v>
      </c>
      <c r="E92" s="74">
        <f>Database!D92</f>
        <v>8</v>
      </c>
      <c r="F92" s="1" t="s">
        <v>965</v>
      </c>
      <c r="G92" s="1">
        <v>76551</v>
      </c>
      <c r="H92" s="1">
        <f>Database!E92</f>
        <v>131.16999999999999</v>
      </c>
      <c r="I92" s="8" t="str">
        <f ca="1">OFFSET(Database!$F92,0,COLUMN(Database!F92)*2-12)</f>
        <v>tr</v>
      </c>
      <c r="J92" s="8" t="str">
        <f ca="1">OFFSET(Database!$F92,0,COLUMN(Database!G92)*2-12)</f>
        <v>tr</v>
      </c>
      <c r="K92" s="8" t="str">
        <f ca="1">OFFSET(Database!$F92,0,COLUMN(Database!H92)*2-12)</f>
        <v>b.b.</v>
      </c>
      <c r="L92" s="8" t="str">
        <f ca="1">OFFSET(Database!$F92,0,COLUMN(Database!I92)*2-12)</f>
        <v>tr</v>
      </c>
      <c r="M92" s="8" t="str">
        <f ca="1">OFFSET(Database!$F92,0,COLUMN(Database!J92)*2-12)</f>
        <v>b.b.</v>
      </c>
      <c r="N92" s="8" t="str">
        <f ca="1">OFFSET(Database!$F92,0,COLUMN(Database!K92)*2-12)</f>
        <v>n.r.</v>
      </c>
      <c r="O92" s="8" t="str">
        <f ca="1">OFFSET(Database!$F92,0,COLUMN(Database!L92)*2-12)</f>
        <v>n.r.</v>
      </c>
      <c r="P92" s="8" t="str">
        <f ca="1">OFFSET(Database!$F92,0,COLUMN(Database!M92)*2-12)</f>
        <v>n.r.</v>
      </c>
      <c r="Q92" s="8" t="str">
        <f ca="1">OFFSET(Database!$F92,0,COLUMN(Database!N92)*2-12)</f>
        <v>n.r.</v>
      </c>
      <c r="R92" s="8" t="str">
        <f ca="1">OFFSET(Database!$F92,0,COLUMN(Database!O92)*2-12)</f>
        <v>n.r.</v>
      </c>
      <c r="S92" s="8" t="str">
        <f ca="1">OFFSET(Database!$F92,0,COLUMN(Database!P92)*2-12)</f>
        <v>n.r.</v>
      </c>
      <c r="T92" s="8" t="str">
        <f ca="1">OFFSET(Database!$F92,0,COLUMN(Database!Q92)*2-12)</f>
        <v>n.r.</v>
      </c>
      <c r="U92" s="8" t="str">
        <f ca="1">OFFSET(Database!$F92,0,COLUMN(Database!R92)*2-12)</f>
        <v>n.r.</v>
      </c>
      <c r="V92" s="8" t="str">
        <f ca="1">OFFSET(Database!$F92,0,COLUMN(Database!S92)*2-12)</f>
        <v>n.r.</v>
      </c>
      <c r="W92" s="8" t="str">
        <f ca="1">OFFSET(Database!$F92,0,COLUMN(Database!T92)*2-12)</f>
        <v>n.r.</v>
      </c>
      <c r="X92" s="8" t="str">
        <f ca="1">OFFSET(Database!$F92,0,COLUMN(Database!U92)*2-12)</f>
        <v>n.r.</v>
      </c>
      <c r="Y92" s="8" t="str">
        <f ca="1">OFFSET(Database!$F92,0,COLUMN(Database!V92)*2-12)</f>
        <v>n.r.</v>
      </c>
      <c r="Z92" s="8" t="str">
        <f ca="1">OFFSET(Database!$F92,0,COLUMN(Database!W92)*2-12)</f>
        <v>n.r.</v>
      </c>
      <c r="AA92" s="8" t="str">
        <f ca="1">OFFSET(Database!$F92,0,COLUMN(Database!X92)*2-12)</f>
        <v>n.r.</v>
      </c>
      <c r="AB92" s="8">
        <f ca="1">OFFSET(Database!$F92,0,COLUMN(Database!Y92)*2-12)</f>
        <v>0.76999313867500196</v>
      </c>
      <c r="AC92" s="8" t="str">
        <f ca="1">OFFSET(Database!$F92,0,COLUMN(Database!Z92)*2-12)</f>
        <v>n.r.</v>
      </c>
      <c r="AD92" s="8" t="str">
        <f ca="1">OFFSET(Database!$F92,0,COLUMN(Database!AA92)*2-12)</f>
        <v>n.r.</v>
      </c>
      <c r="AE92" s="8" t="str">
        <f ca="1">OFFSET(Database!$F92,0,COLUMN(Database!AB92)*2-12)</f>
        <v>n.r.</v>
      </c>
      <c r="AF92" s="8" t="str">
        <f ca="1">OFFSET(Database!$F92,0,COLUMN(Database!AC92)*2-12)</f>
        <v>n.r.</v>
      </c>
      <c r="AG92" s="8" t="str">
        <f ca="1">OFFSET(Database!$F92,0,COLUMN(Database!AD92)*2-12)</f>
        <v>n.r.</v>
      </c>
      <c r="AH92" s="8" t="str">
        <f ca="1">OFFSET(Database!$F92,0,COLUMN(Database!AE92)*2-12)</f>
        <v>n.r.</v>
      </c>
      <c r="AI92" s="8" t="str">
        <f ca="1">OFFSET(Database!$F92,0,COLUMN(Database!AF92)*2-12)</f>
        <v>n.r.</v>
      </c>
      <c r="AJ92" s="8" t="str">
        <f ca="1">OFFSET(Database!$F92,0,COLUMN(Database!AG92)*2-12)</f>
        <v>n.r.</v>
      </c>
      <c r="AK92" s="8" t="str">
        <f ca="1">OFFSET(Database!$F92,0,COLUMN(Database!AH92)*2-12)</f>
        <v>n.r.</v>
      </c>
      <c r="AL92" s="8" t="str">
        <f ca="1">OFFSET(Database!$F92,0,COLUMN(Database!AI92)*2-12)</f>
        <v>n.r.</v>
      </c>
      <c r="AM92" s="8" t="str">
        <f ca="1">OFFSET(Database!$F92,0,COLUMN(Database!AJ92)*2-12)</f>
        <v>n.r.</v>
      </c>
      <c r="AN92" s="8" t="str">
        <f ca="1">OFFSET(Database!$F92,0,COLUMN(Database!AK92)*2-12)</f>
        <v>n.r.</v>
      </c>
      <c r="AO92" s="8" t="str">
        <f ca="1">OFFSET(Database!$F92,0,COLUMN(Database!AL92)*2-12)</f>
        <v>n.r.</v>
      </c>
      <c r="AP92" s="8" t="str">
        <f ca="1">OFFSET(Database!$F92,0,COLUMN(Database!AM92)*2-12)</f>
        <v>n.r.</v>
      </c>
      <c r="AQ92" s="8" t="str">
        <f ca="1">OFFSET(Database!$F92,0,COLUMN(Database!AN92)*2-12)</f>
        <v>n.r.</v>
      </c>
      <c r="AR92" s="8" t="str">
        <f ca="1">OFFSET(Database!$F92,0,COLUMN(Database!AO92)*2-12)</f>
        <v>n.r.</v>
      </c>
      <c r="AS92" s="8" t="str">
        <f ca="1">OFFSET(Database!$F92,0,COLUMN(Database!AP92)*2-12)</f>
        <v>n.r.</v>
      </c>
      <c r="AT92" s="8" t="str">
        <f ca="1">OFFSET(Database!$F92,0,COLUMN(Database!AQ92)*2-12)</f>
        <v>n.r.</v>
      </c>
      <c r="AU92" s="8" t="str">
        <f ca="1">OFFSET(Database!$F92,0,COLUMN(Database!AR92)*2-12)</f>
        <v>n.r.</v>
      </c>
      <c r="AV92" s="8" t="str">
        <f ca="1">OFFSET(Database!$F92,0,COLUMN(Database!AS92)*2-12)</f>
        <v>n.r.</v>
      </c>
      <c r="AW92" s="8" t="str">
        <f ca="1">OFFSET(Database!$F92,0,COLUMN(Database!AT92)*2-12)</f>
        <v>n.r.</v>
      </c>
      <c r="AX92" s="8" t="str">
        <f ca="1">OFFSET(Database!$F92,0,COLUMN(Database!AU92)*2-12)</f>
        <v>n.r.</v>
      </c>
      <c r="AY92" s="8" t="str">
        <f ca="1">OFFSET(Database!$F92,0,COLUMN(Database!AV92)*2-12)</f>
        <v>n.r.</v>
      </c>
      <c r="AZ92" s="8" t="str">
        <f ca="1">OFFSET(Database!$F92,0,COLUMN(Database!AW92)*2-12)</f>
        <v>n.r.</v>
      </c>
      <c r="BA92" s="8" t="str">
        <f ca="1">OFFSET(Database!$F92,0,COLUMN(Database!AX92)*2-12)</f>
        <v>n.r.</v>
      </c>
      <c r="BB92" s="8" t="str">
        <f ca="1">OFFSET(Database!$F92,0,COLUMN(Database!AY92)*2-12)</f>
        <v>n.r.</v>
      </c>
      <c r="BC92" s="8" t="str">
        <f ca="1">OFFSET(Database!$F92,0,COLUMN(Database!AZ92)*2-12)</f>
        <v>n.r.</v>
      </c>
      <c r="BD92" s="8" t="str">
        <f ca="1">OFFSET(Database!$F92,0,COLUMN(Database!BA92)*2-12)</f>
        <v>n.r.</v>
      </c>
      <c r="BE92" s="8" t="str">
        <f ca="1">OFFSET(Database!$F92,0,COLUMN(Database!BB92)*2-12)</f>
        <v>n.r.</v>
      </c>
      <c r="BF92" s="8" t="str">
        <f ca="1">OFFSET(Database!$F92,0,COLUMN(Database!BC92)*2-12)</f>
        <v>n.r.</v>
      </c>
      <c r="BG92" s="8" t="str">
        <f ca="1">OFFSET(Database!$F92,0,COLUMN(Database!BD92)*2-12)</f>
        <v>n.r.</v>
      </c>
      <c r="BH92" s="8" t="str">
        <f ca="1">OFFSET(Database!$F92,0,COLUMN(Database!BE92)*2-12)</f>
        <v>n.r.</v>
      </c>
      <c r="BI92" s="8" t="str">
        <f ca="1">OFFSET(Database!$F92,0,COLUMN(Database!BF92)*2-12)</f>
        <v>n.r.</v>
      </c>
      <c r="BJ92" s="8" t="str">
        <f ca="1">OFFSET(Database!$F92,0,COLUMN(Database!BG92)*2-12)</f>
        <v>n.r.</v>
      </c>
      <c r="BK92" s="8" t="str">
        <f ca="1">OFFSET(Database!$F92,0,COLUMN(Database!BH92)*2-12)</f>
        <v>n.r.</v>
      </c>
      <c r="BL92" s="8" t="str">
        <f ca="1">OFFSET(Database!$F92,0,COLUMN(Database!BI92)*2-12)</f>
        <v>n.r.</v>
      </c>
      <c r="BM92" s="8" t="str">
        <f ca="1">OFFSET(Database!$F92,0,COLUMN(Database!BJ92)*2-12)</f>
        <v>n.r.</v>
      </c>
      <c r="BN92" s="8" t="str">
        <f ca="1">OFFSET(Database!$F92,0,COLUMN(Database!BK92)*2-12)</f>
        <v>n.r.</v>
      </c>
      <c r="BO92" s="8" t="str">
        <f ca="1">OFFSET(Database!$F92,0,COLUMN(Database!BL92)*2-12)</f>
        <v>n.r.</v>
      </c>
      <c r="BP92" s="8" t="str">
        <f ca="1">OFFSET(Database!$F92,0,COLUMN(Database!BM92)*2-12)</f>
        <v>n.r.</v>
      </c>
      <c r="BQ92" s="8" t="str">
        <f ca="1">OFFSET(Database!$F92,0,COLUMN(Database!BN92)*2-12)</f>
        <v>n.r.</v>
      </c>
      <c r="BR92" s="8" t="str">
        <f ca="1">OFFSET(Database!$F92,0,COLUMN(Database!BO92)*2-12)</f>
        <v>n.r.</v>
      </c>
      <c r="BS92" s="8" t="str">
        <f ca="1">OFFSET(Database!$F92,0,COLUMN(Database!BP92)*2-12)</f>
        <v>n.r.</v>
      </c>
      <c r="BT92" s="8" t="str">
        <f ca="1">OFFSET(Database!$F92,0,COLUMN(Database!BQ92)*2-12)</f>
        <v>n.r.</v>
      </c>
      <c r="BU92" s="8" t="str">
        <f ca="1">OFFSET(Database!$F92,0,COLUMN(Database!BR92)*2-12)</f>
        <v>n.r.</v>
      </c>
      <c r="BV92" s="8" t="str">
        <f ca="1">OFFSET(Database!$F92,0,COLUMN(Database!BS92)*2-12)</f>
        <v>n.r.</v>
      </c>
      <c r="BW92" s="8" t="str">
        <f ca="1">OFFSET(Database!$F92,0,COLUMN(Database!BT92)*2-12)</f>
        <v>n.r.</v>
      </c>
      <c r="BX92" s="8" t="str">
        <f ca="1">OFFSET(Database!$F92,0,COLUMN(Database!BU92)*2-12)</f>
        <v>n.r.</v>
      </c>
      <c r="BY92" s="8" t="str">
        <f ca="1">OFFSET(Database!$F92,0,COLUMN(Database!BV92)*2-12)</f>
        <v>n.r.</v>
      </c>
      <c r="BZ92" s="8" t="str">
        <f ca="1">OFFSET(Database!$F92,0,COLUMN(Database!BW92)*2-12)</f>
        <v>n.r.</v>
      </c>
      <c r="CA92" s="8" t="str">
        <f ca="1">OFFSET(Database!$F92,0,COLUMN(Database!BX92)*2-12)</f>
        <v>n.r.</v>
      </c>
      <c r="CB92" s="8" t="str">
        <f ca="1">OFFSET(Database!$F92,0,COLUMN(Database!BY92)*2-12)</f>
        <v>n.r.</v>
      </c>
      <c r="CC92" s="8" t="str">
        <f ca="1">OFFSET(Database!$F92,0,COLUMN(Database!BZ92)*2-12)</f>
        <v>n.r.</v>
      </c>
      <c r="CD92" s="8" t="str">
        <f ca="1">OFFSET(Database!$F92,0,COLUMN(Database!CA92)*2-12)</f>
        <v>n.r.</v>
      </c>
      <c r="CE92" s="8" t="str">
        <f ca="1">OFFSET(Database!$F92,0,COLUMN(Database!CB92)*2-12)</f>
        <v>n.r.</v>
      </c>
      <c r="CF92" s="8" t="str">
        <f ca="1">OFFSET(Database!$F92,0,COLUMN(Database!CC92)*2-12)</f>
        <v>n.r.</v>
      </c>
      <c r="CG92" s="8" t="str">
        <f ca="1">OFFSET(Database!$F92,0,COLUMN(Database!CD92)*2-12)</f>
        <v>n.r.</v>
      </c>
      <c r="CH92" s="8" t="str">
        <f ca="1">OFFSET(Database!$F92,0,COLUMN(Database!CE92)*2-12)</f>
        <v>n.r.</v>
      </c>
      <c r="CI92" s="8" t="str">
        <f ca="1">OFFSET(Database!$F92,0,COLUMN(Database!CF92)*2-12)</f>
        <v>n.r.</v>
      </c>
      <c r="CJ92" s="8" t="str">
        <f ca="1">OFFSET(Database!$F92,0,COLUMN(Database!CG92)*2-12)</f>
        <v>n.r.</v>
      </c>
      <c r="CK92" s="8" t="str">
        <f ca="1">OFFSET(Database!$F92,0,COLUMN(Database!CH92)*2-12)</f>
        <v>n.r.</v>
      </c>
      <c r="CL92" s="8" t="str">
        <f ca="1">OFFSET(Database!$F92,0,COLUMN(Database!CI92)*2-12)</f>
        <v>n.r.</v>
      </c>
      <c r="CM92" s="8" t="str">
        <f ca="1">OFFSET(Database!$F92,0,COLUMN(Database!CJ92)*2-12)</f>
        <v>n.r.</v>
      </c>
      <c r="CN92" s="8" t="str">
        <f ca="1">OFFSET(Database!$F92,0,COLUMN(Database!CK92)*2-12)</f>
        <v>n.r.</v>
      </c>
      <c r="CO92" s="8" t="str">
        <f ca="1">OFFSET(Database!$F92,0,COLUMN(Database!CL92)*2-12)</f>
        <v>n.r.</v>
      </c>
      <c r="CP92" s="8" t="str">
        <f ca="1">OFFSET(Database!$F92,0,COLUMN(Database!CM92)*2-12)</f>
        <v>n.r.</v>
      </c>
      <c r="CQ92" s="8" t="str">
        <f ca="1">OFFSET(Database!$F92,0,COLUMN(Database!CN92)*2-12)</f>
        <v>n.r.</v>
      </c>
      <c r="CR92" s="8" t="str">
        <f ca="1">OFFSET(Database!$F92,0,COLUMN(Database!CO92)*2-12)</f>
        <v>n.r.</v>
      </c>
      <c r="CS92" s="8" t="str">
        <f ca="1">OFFSET(Database!$F92,0,COLUMN(Database!CP92)*2-12)</f>
        <v>n.r.</v>
      </c>
      <c r="CT92" s="8" t="str">
        <f ca="1">OFFSET(Database!$F92,0,COLUMN(Database!CQ92)*2-12)</f>
        <v>n.r.</v>
      </c>
      <c r="CU92" s="8" t="str">
        <f ca="1">OFFSET(Database!$F92,0,COLUMN(Database!CR92)*2-12)</f>
        <v>n.r.</v>
      </c>
      <c r="CV92" s="8" t="str">
        <f ca="1">OFFSET(Database!$F92,0,COLUMN(Database!CS92)*2-12)</f>
        <v>n.r.</v>
      </c>
      <c r="CW92" s="8" t="str">
        <f ca="1">OFFSET(Database!$F92,0,COLUMN(Database!CT92)*2-12)</f>
        <v>n.r.</v>
      </c>
      <c r="CX92" s="8" t="str">
        <f ca="1">OFFSET(Database!$F92,0,COLUMN(Database!CU92)*2-12)</f>
        <v>n.r.</v>
      </c>
      <c r="CY92" s="8" t="str">
        <f ca="1">OFFSET(Database!$F92,0,COLUMN(Database!CV92)*2-12)</f>
        <v>n.r.</v>
      </c>
      <c r="CZ92" s="8" t="str">
        <f ca="1">OFFSET(Database!$F92,0,COLUMN(Database!CW92)*2-12)</f>
        <v>n.r.</v>
      </c>
      <c r="DA92" s="8" t="str">
        <f ca="1">OFFSET(Database!$F92,0,COLUMN(Database!CX92)*2-12)</f>
        <v>n.r.</v>
      </c>
      <c r="DB92" s="8" t="str">
        <f ca="1">OFFSET(Database!$F92,0,COLUMN(Database!CY92)*2-12)</f>
        <v>&lt;0.04</v>
      </c>
      <c r="DC92" s="8" t="str">
        <f ca="1">OFFSET(Database!$F92,0,COLUMN(Database!CZ92)*2-12)</f>
        <v>&lt;0.04</v>
      </c>
      <c r="DD92" s="8">
        <f ca="1">OFFSET(Database!$F92,0,COLUMN(Database!DA92)*2-12)</f>
        <v>6.9000000000000006E-2</v>
      </c>
      <c r="DE92" s="8" t="str">
        <f ca="1">OFFSET(Database!$F92,0,COLUMN(Database!DB92)*2-12)</f>
        <v>n.r.</v>
      </c>
      <c r="DF92" s="8" t="str">
        <f ca="1">OFFSET(Database!$F92,0,COLUMN(Database!DC92)*2-12)</f>
        <v>n.r.</v>
      </c>
      <c r="DG92" s="8" t="str">
        <f ca="1">OFFSET(Database!$F92,0,COLUMN(Database!DD92)*2-12)</f>
        <v>n.r.</v>
      </c>
      <c r="DH92" s="8" t="str">
        <f ca="1">OFFSET(Database!$F92,0,COLUMN(Database!DE92)*2-12)</f>
        <v>n.r.</v>
      </c>
      <c r="DI92" s="8" t="str">
        <f ca="1">OFFSET(Database!$F92,0,COLUMN(Database!DF92)*2-12)</f>
        <v>n.r.</v>
      </c>
      <c r="DJ92" s="8" t="str">
        <f ca="1">OFFSET(Database!$F92,0,COLUMN(Database!DG92)*2-12)</f>
        <v>n.r.</v>
      </c>
      <c r="DK92" s="8" t="str">
        <f ca="1">OFFSET(Database!$F92,0,COLUMN(Database!DH92)*2-12)</f>
        <v>n.r.</v>
      </c>
      <c r="DL92" s="8" t="str">
        <f ca="1">OFFSET(Database!$F92,0,COLUMN(Database!DI92)*2-12)</f>
        <v>n.r.</v>
      </c>
      <c r="DM92" s="8" t="str">
        <f ca="1">OFFSET(Database!$F92,0,COLUMN(Database!DJ92)*2-12)</f>
        <v>n.r.</v>
      </c>
      <c r="DN92" s="8">
        <f ca="1">OFFSET(Database!$F92,0,COLUMN(Database!DK92)*2-12)</f>
        <v>5</v>
      </c>
      <c r="DO92" s="8">
        <f ca="1">OFFSET(Database!$F92,0,COLUMN(Database!DL92)*2-12)</f>
        <v>4.9000000000000004</v>
      </c>
      <c r="DP92" s="8">
        <f ca="1">OFFSET(Database!$F92,0,COLUMN(Database!DM92)*2-12)</f>
        <v>0.65</v>
      </c>
      <c r="DQ92" s="8">
        <f ca="1">OFFSET(Database!$F92,0,COLUMN(Database!DN92)*2-12)</f>
        <v>0.4</v>
      </c>
      <c r="DR92" s="8" t="str">
        <f ca="1">OFFSET(Database!$F92,0,COLUMN(Database!DO92)*2-12)</f>
        <v>l.o.q.</v>
      </c>
      <c r="DS92" s="8">
        <f ca="1">OFFSET(Database!$F92,0,COLUMN(Database!DP92)*2-12)</f>
        <v>2.44</v>
      </c>
      <c r="DT92" s="8" t="str">
        <f ca="1">OFFSET(Database!$F92,0,COLUMN(Database!DQ92)*2-12)</f>
        <v>l.o.q.</v>
      </c>
      <c r="DU92" s="8">
        <f ca="1">OFFSET(Database!$F92,0,COLUMN(Database!DR92)*2-12)</f>
        <v>9.8299999999999998E-2</v>
      </c>
      <c r="DV92" s="8" t="str">
        <f ca="1">OFFSET(Database!$F92,0,COLUMN(Database!DS92)*2-12)</f>
        <v>n.dt.</v>
      </c>
      <c r="DW92" s="8" t="str">
        <f ca="1">OFFSET(Database!$F92,0,COLUMN(Database!DT92)*2-12)</f>
        <v>n.r.</v>
      </c>
      <c r="DX92" s="8" t="str">
        <f ca="1">OFFSET(Database!$F92,0,COLUMN(Database!DU92)*2-12)</f>
        <v>n.r.</v>
      </c>
      <c r="DY92" s="8" t="str">
        <f ca="1">OFFSET(Database!$F92,0,COLUMN(Database!DV92)*2-12)</f>
        <v>n.r.</v>
      </c>
      <c r="DZ92" s="8" t="str">
        <f ca="1">OFFSET(Database!$F92,0,COLUMN(Database!DW92)*2-12)</f>
        <v>n.r.</v>
      </c>
      <c r="EA92" s="8" t="str">
        <f ca="1">OFFSET(Database!$F92,0,COLUMN(Database!DX92)*2-12)</f>
        <v>n.r.</v>
      </c>
      <c r="EB92" s="8" t="str">
        <f ca="1">OFFSET(Database!$F92,0,COLUMN(Database!DY92)*2-12)</f>
        <v>n.r.</v>
      </c>
      <c r="EC92" s="8" t="str">
        <f ca="1">OFFSET(Database!$F92,0,COLUMN(Database!DZ92)*2-12)</f>
        <v>n.r.</v>
      </c>
      <c r="ED92" s="8" t="str">
        <f ca="1">OFFSET(Database!$F92,0,COLUMN(Database!EA92)*2-12)</f>
        <v>n.r.</v>
      </c>
      <c r="EE92" s="8" t="str">
        <f ca="1">OFFSET(Database!$F92,0,COLUMN(Database!EB92)*2-12)</f>
        <v>n.r.</v>
      </c>
      <c r="EF92" s="8" t="str">
        <f ca="1">OFFSET(Database!$F92,0,COLUMN(Database!EC92)*2-12)</f>
        <v>n.r.</v>
      </c>
      <c r="EG92" s="8" t="str">
        <f ca="1">OFFSET(Database!$F92,0,COLUMN(Database!ED92)*2-12)</f>
        <v>n.r.</v>
      </c>
      <c r="EH92" s="8" t="str">
        <f ca="1">OFFSET(Database!$F92,0,COLUMN(Database!EE92)*2-12)</f>
        <v>n.r.</v>
      </c>
      <c r="EI92" s="8" t="str">
        <f ca="1">OFFSET(Database!$F92,0,COLUMN(Database!EF92)*2-12)</f>
        <v>n.r.</v>
      </c>
      <c r="EJ92" s="8" t="str">
        <f ca="1">OFFSET(Database!$F92,0,COLUMN(Database!EG92)*2-12)</f>
        <v>n.r.</v>
      </c>
      <c r="EK92" s="8" t="str">
        <f ca="1">OFFSET(Database!$F92,0,COLUMN(Database!EH92)*2-12)</f>
        <v>n.r.</v>
      </c>
      <c r="EL92" s="8" t="str">
        <f ca="1">OFFSET(Database!$F92,0,COLUMN(Database!EI92)*2-12)</f>
        <v>n.r.</v>
      </c>
      <c r="EM92" s="8" t="str">
        <f ca="1">OFFSET(Database!$F92,0,COLUMN(Database!EJ92)*2-12)</f>
        <v>n.r.</v>
      </c>
      <c r="EN92" s="8" t="str">
        <f ca="1">OFFSET(Database!$F92,0,COLUMN(Database!EK92)*2-12)</f>
        <v>n.r.</v>
      </c>
      <c r="EO92" s="8" t="str">
        <f ca="1">OFFSET(Database!$F92,0,COLUMN(Database!EL92)*2-12)</f>
        <v>n.r.</v>
      </c>
      <c r="EP92" s="8" t="str">
        <f ca="1">OFFSET(Database!$F92,0,COLUMN(Database!EM92)*2-12)</f>
        <v>n.r.</v>
      </c>
      <c r="EQ92" s="8" t="str">
        <f ca="1">OFFSET(Database!$F92,0,COLUMN(Database!EN92)*2-12)</f>
        <v>n.r.</v>
      </c>
      <c r="ER92" s="8" t="str">
        <f ca="1">OFFSET(Database!$F92,0,COLUMN(Database!EO92)*2-12)</f>
        <v>n.s.</v>
      </c>
      <c r="ES92" s="8" t="str">
        <f ca="1">OFFSET(Database!$F92,0,COLUMN(Database!EP92)*2-12)</f>
        <v>n.s.</v>
      </c>
      <c r="ET92" s="8" t="str">
        <f ca="1">OFFSET(Database!$F92,0,COLUMN(Database!EQ92)*2-12)</f>
        <v>n.s.</v>
      </c>
      <c r="EU92" s="8" t="str">
        <f ca="1">OFFSET(Database!$F92,0,COLUMN(Database!ER92)*2-12)</f>
        <v>n.s.</v>
      </c>
      <c r="EV92" s="8" t="str">
        <f ca="1">OFFSET(Database!$F92,0,COLUMN(Database!ES92)*2-12)</f>
        <v>n.s.</v>
      </c>
      <c r="EW92" s="8" t="str">
        <f ca="1">OFFSET(Database!$F92,0,COLUMN(Database!ET92)*2-12)</f>
        <v>n.r.</v>
      </c>
      <c r="EX92" s="8" t="str">
        <f ca="1">OFFSET(Database!$F92,0,COLUMN(Database!EU92)*2-12)</f>
        <v>n.r.</v>
      </c>
      <c r="EY92" s="8" t="str">
        <f ca="1">OFFSET(Database!$F92,0,COLUMN(Database!EV92)*2-12)</f>
        <v>n.r.</v>
      </c>
      <c r="EZ92" s="8" t="str">
        <f ca="1">OFFSET(Database!$F92,0,COLUMN(Database!EW92)*2-12)</f>
        <v>n.r.</v>
      </c>
      <c r="FA92" s="8" t="str">
        <f ca="1">OFFSET(Database!$F92,0,COLUMN(Database!EX92)*2-12)</f>
        <v>n.r.</v>
      </c>
      <c r="FB92" s="8" t="str">
        <f ca="1">OFFSET(Database!$F92,0,COLUMN(Database!EY92)*2-12)</f>
        <v>n.r.</v>
      </c>
      <c r="FC92" s="8" t="str">
        <f ca="1">OFFSET(Database!$F92,0,COLUMN(Database!EZ92)*2-12)</f>
        <v>n.r.</v>
      </c>
      <c r="FD92" s="8" t="str">
        <f ca="1">OFFSET(Database!$F92,0,COLUMN(Database!FA92)*2-12)</f>
        <v>n.d.</v>
      </c>
      <c r="FE92" s="8" t="str">
        <f ca="1">OFFSET(Database!$F92,0,COLUMN(Database!FB92)*2-12)</f>
        <v>n.d.</v>
      </c>
      <c r="FF92" s="8" t="str">
        <f ca="1">OFFSET(Database!$F92,0,COLUMN(Database!FC92)*2-12)</f>
        <v>n.d.</v>
      </c>
      <c r="FG92" s="8" t="str">
        <f ca="1">OFFSET(Database!$F92,0,COLUMN(Database!FD92)*2-12)</f>
        <v>n.r.</v>
      </c>
      <c r="FH92" s="8" t="str">
        <f ca="1">OFFSET(Database!$F92,0,COLUMN(Database!FE92)*2-12)</f>
        <v>n.r.</v>
      </c>
      <c r="FI92" s="8" t="str">
        <f ca="1">OFFSET(Database!$F92,0,COLUMN(Database!FF92)*2-12)</f>
        <v>n.r.</v>
      </c>
      <c r="FJ92" s="8" t="str">
        <f ca="1">OFFSET(Database!$F92,0,COLUMN(Database!FG92)*2-12)</f>
        <v>n.r.</v>
      </c>
      <c r="FK92" s="8" t="str">
        <f ca="1">OFFSET(Database!$F92,0,COLUMN(Database!FH92)*2-12)</f>
        <v>n.r.</v>
      </c>
      <c r="FL92" s="8" t="str">
        <f ca="1">OFFSET(Database!$F92,0,COLUMN(Database!FI92)*2-12)</f>
        <v>n.r.</v>
      </c>
      <c r="FM92" s="8" t="str">
        <f ca="1">OFFSET(Database!$F92,0,COLUMN(Database!FJ92)*2-12)</f>
        <v>n.r.</v>
      </c>
      <c r="FN92" s="8" t="str">
        <f ca="1">OFFSET(Database!$F92,0,COLUMN(Database!FK92)*2-12)</f>
        <v>n.r.</v>
      </c>
      <c r="FO92" s="8" t="str">
        <f ca="1">OFFSET(Database!$F92,0,COLUMN(Database!FL92)*2-12)</f>
        <v>n.r.</v>
      </c>
      <c r="FP92" s="8" t="str">
        <f ca="1">OFFSET(Database!$F92,0,COLUMN(Database!FM92)*2-12)</f>
        <v>n.r.</v>
      </c>
      <c r="FQ92" s="8" t="str">
        <f ca="1">OFFSET(Database!$F92,0,COLUMN(Database!FN92)*2-12)</f>
        <v>n.r.</v>
      </c>
      <c r="FR92" s="8" t="str">
        <f ca="1">OFFSET(Database!$F92,0,COLUMN(Database!FO92)*2-12)</f>
        <v>n.r.</v>
      </c>
      <c r="FS92" s="8" t="str">
        <f ca="1">OFFSET(Database!$F92,0,COLUMN(Database!FP92)*2-12)</f>
        <v>n.r.</v>
      </c>
      <c r="FT92" s="8" t="str">
        <f ca="1">OFFSET(Database!$F92,0,COLUMN(Database!FQ92)*2-12)</f>
        <v>n.r.</v>
      </c>
      <c r="FU92" s="8" t="str">
        <f ca="1">OFFSET(Database!$F92,0,COLUMN(Database!FR92)*2-12)</f>
        <v>n.r.</v>
      </c>
      <c r="FV92" s="8" t="str">
        <f ca="1">OFFSET(Database!$F92,0,COLUMN(Database!FS92)*2-12)</f>
        <v>n.r.</v>
      </c>
      <c r="FW92" s="8" t="str">
        <f ca="1">OFFSET(Database!$F92,0,COLUMN(Database!FT92)*2-12)</f>
        <v>n.r.</v>
      </c>
      <c r="FX92" s="8" t="str">
        <f ca="1">OFFSET(Database!$F92,0,COLUMN(Database!FU92)*2-12)</f>
        <v>n.r.</v>
      </c>
      <c r="FY92" s="8" t="str">
        <f ca="1">OFFSET(Database!$F92,0,COLUMN(Database!FV92)*2-12)</f>
        <v>n.r.</v>
      </c>
      <c r="FZ92" s="8" t="str">
        <f ca="1">OFFSET(Database!$F92,0,COLUMN(Database!FW92)*2-12)</f>
        <v>n.r.</v>
      </c>
      <c r="GA92" s="8" t="str">
        <f ca="1">OFFSET(Database!$F92,0,COLUMN(Database!FX92)*2-12)</f>
        <v>n.r.</v>
      </c>
      <c r="GB92" s="8" t="str">
        <f ca="1">OFFSET(Database!$F92,0,COLUMN(Database!FY92)*2-12)</f>
        <v>n.r.</v>
      </c>
      <c r="GC92" s="8" t="str">
        <f ca="1">OFFSET(Database!$F92,0,COLUMN(Database!FZ92)*2-12)</f>
        <v>n.r.</v>
      </c>
      <c r="GD92" s="8" t="str">
        <f ca="1">OFFSET(Database!$F92,0,COLUMN(Database!GA92)*2-12)</f>
        <v>n.r.</v>
      </c>
      <c r="GE92" s="8" t="str">
        <f ca="1">OFFSET(Database!$F92,0,COLUMN(Database!GB92)*2-12)</f>
        <v>n.r.</v>
      </c>
      <c r="GF92" s="8" t="str">
        <f ca="1">OFFSET(Database!$F92,0,COLUMN(Database!GC92)*2-12)</f>
        <v>n.r.</v>
      </c>
      <c r="GG92" s="8" t="str">
        <f ca="1">OFFSET(Database!$F92,0,COLUMN(Database!GD92)*2-12)</f>
        <v>n.r.</v>
      </c>
      <c r="GH92" s="8" t="str">
        <f ca="1">OFFSET(Database!$F92,0,COLUMN(Database!GE92)*2-12)</f>
        <v>n.r.</v>
      </c>
      <c r="GI92" s="8" t="str">
        <f ca="1">OFFSET(Database!$F92,0,COLUMN(Database!GF92)*2-12)</f>
        <v>n.r.</v>
      </c>
      <c r="GJ92" s="8" t="str">
        <f ca="1">OFFSET(Database!$F92,0,COLUMN(Database!GG92)*2-12)</f>
        <v>n.r.</v>
      </c>
      <c r="GK92" s="8" t="str">
        <f ca="1">OFFSET(Database!$F92,0,COLUMN(Database!GH92)*2-12)</f>
        <v>n.r.</v>
      </c>
      <c r="GL92" s="8" t="str">
        <f ca="1">OFFSET(Database!$F92,0,COLUMN(Database!GI92)*2-12)</f>
        <v>n.r.</v>
      </c>
      <c r="GM92" s="8" t="str">
        <f ca="1">OFFSET(Database!$F92,0,COLUMN(Database!GJ92)*2-12)</f>
        <v>n.r.</v>
      </c>
      <c r="GN92" s="8" t="str">
        <f ca="1">OFFSET(Database!$F92,0,COLUMN(Database!GK92)*2-12)</f>
        <v>n.r.</v>
      </c>
      <c r="GO92" s="8" t="str">
        <f ca="1">OFFSET(Database!$F92,0,COLUMN(Database!GL92)*2-12)</f>
        <v>n.d.</v>
      </c>
      <c r="GP92" s="8" t="str">
        <f ca="1">OFFSET(Database!$F92,0,COLUMN(Database!GM92)*2-12)</f>
        <v>n.r.</v>
      </c>
    </row>
    <row r="93" spans="1:198" x14ac:dyDescent="0.2">
      <c r="A93" s="50" t="str">
        <f>Database!A93</f>
        <v>L-isoleucine</v>
      </c>
      <c r="B93" s="1" t="s">
        <v>880</v>
      </c>
      <c r="C93" s="4" t="str">
        <f>Database!B93</f>
        <v>ɑ</v>
      </c>
      <c r="D93" s="4" t="str">
        <f>Database!C93</f>
        <v>L</v>
      </c>
      <c r="E93" s="74">
        <f>Database!D93</f>
        <v>25</v>
      </c>
      <c r="F93" s="1" t="s">
        <v>966</v>
      </c>
      <c r="G93" s="1">
        <v>6306</v>
      </c>
      <c r="H93" s="1">
        <f>Database!E93</f>
        <v>131.16999999999999</v>
      </c>
      <c r="I93" s="8">
        <f ca="1">OFFSET(Database!$F93,0,COLUMN(Database!F93)*2-12)</f>
        <v>1.8E-3</v>
      </c>
      <c r="J93" s="8">
        <f ca="1">OFFSET(Database!$F93,0,COLUMN(Database!G93)*2-12)</f>
        <v>1.49E-2</v>
      </c>
      <c r="K93" s="8">
        <f ca="1">OFFSET(Database!$F93,0,COLUMN(Database!H93)*2-12)</f>
        <v>1.3100000000000001E-2</v>
      </c>
      <c r="L93" s="8">
        <f ca="1">OFFSET(Database!$F93,0,COLUMN(Database!I93)*2-12)</f>
        <v>1.4E-3</v>
      </c>
      <c r="M93" s="8" t="str">
        <f ca="1">OFFSET(Database!$F93,0,COLUMN(Database!J93)*2-12)</f>
        <v>tr</v>
      </c>
      <c r="N93" s="8" t="str">
        <f ca="1">OFFSET(Database!$F93,0,COLUMN(Database!K93)*2-12)</f>
        <v>n.r.</v>
      </c>
      <c r="O93" s="8" t="str">
        <f ca="1">OFFSET(Database!$F93,0,COLUMN(Database!L93)*2-12)</f>
        <v>n.r.</v>
      </c>
      <c r="P93" s="8" t="str">
        <f ca="1">OFFSET(Database!$F93,0,COLUMN(Database!M93)*2-12)</f>
        <v>n.r.</v>
      </c>
      <c r="Q93" s="8" t="str">
        <f ca="1">OFFSET(Database!$F93,0,COLUMN(Database!N93)*2-12)</f>
        <v>n.r.</v>
      </c>
      <c r="R93" s="8" t="str">
        <f ca="1">OFFSET(Database!$F93,0,COLUMN(Database!O93)*2-12)</f>
        <v>n.r.</v>
      </c>
      <c r="S93" s="8" t="str">
        <f ca="1">OFFSET(Database!$F93,0,COLUMN(Database!P93)*2-12)</f>
        <v>n.r.</v>
      </c>
      <c r="T93" s="8" t="str">
        <f ca="1">OFFSET(Database!$F93,0,COLUMN(Database!Q93)*2-12)</f>
        <v>n.r.</v>
      </c>
      <c r="U93" s="8" t="str">
        <f ca="1">OFFSET(Database!$F93,0,COLUMN(Database!R93)*2-12)</f>
        <v>n.r.</v>
      </c>
      <c r="V93" s="8" t="str">
        <f ca="1">OFFSET(Database!$F93,0,COLUMN(Database!S93)*2-12)</f>
        <v>n.r.</v>
      </c>
      <c r="W93" s="8" t="str">
        <f ca="1">OFFSET(Database!$F93,0,COLUMN(Database!T93)*2-12)</f>
        <v>n.r.</v>
      </c>
      <c r="X93" s="8" t="str">
        <f ca="1">OFFSET(Database!$F93,0,COLUMN(Database!U93)*2-12)</f>
        <v>n.r.</v>
      </c>
      <c r="Y93" s="8" t="str">
        <f ca="1">OFFSET(Database!$F93,0,COLUMN(Database!V93)*2-12)</f>
        <v>n.r.</v>
      </c>
      <c r="Z93" s="8" t="str">
        <f ca="1">OFFSET(Database!$F93,0,COLUMN(Database!W93)*2-12)</f>
        <v>n.r.</v>
      </c>
      <c r="AA93" s="8" t="str">
        <f ca="1">OFFSET(Database!$F93,0,COLUMN(Database!X93)*2-12)</f>
        <v>n.r.</v>
      </c>
      <c r="AB93" s="8">
        <f ca="1">OFFSET(Database!$F93,0,COLUMN(Database!Y93)*2-12)</f>
        <v>1.9135473050240148</v>
      </c>
      <c r="AC93" s="8" t="str">
        <f ca="1">OFFSET(Database!$F93,0,COLUMN(Database!Z93)*2-12)</f>
        <v>n.r.</v>
      </c>
      <c r="AD93" s="8" t="str">
        <f ca="1">OFFSET(Database!$F93,0,COLUMN(Database!AA93)*2-12)</f>
        <v>n.r.</v>
      </c>
      <c r="AE93" s="8" t="str">
        <f ca="1">OFFSET(Database!$F93,0,COLUMN(Database!AB93)*2-12)</f>
        <v>n.r.</v>
      </c>
      <c r="AF93" s="8" t="str">
        <f ca="1">OFFSET(Database!$F93,0,COLUMN(Database!AC93)*2-12)</f>
        <v>n.r.</v>
      </c>
      <c r="AG93" s="8" t="str">
        <f ca="1">OFFSET(Database!$F93,0,COLUMN(Database!AD93)*2-12)</f>
        <v>n.r.</v>
      </c>
      <c r="AH93" s="8">
        <f ca="1">OFFSET(Database!$F93,0,COLUMN(Database!AE93)*2-12)</f>
        <v>2</v>
      </c>
      <c r="AI93" s="8" t="str">
        <f ca="1">OFFSET(Database!$F93,0,COLUMN(Database!AF93)*2-12)</f>
        <v>n.r.</v>
      </c>
      <c r="AJ93" s="8" t="str">
        <f ca="1">OFFSET(Database!$F93,0,COLUMN(Database!AG93)*2-12)</f>
        <v>n.r.</v>
      </c>
      <c r="AK93" s="8" t="str">
        <f ca="1">OFFSET(Database!$F93,0,COLUMN(Database!AH93)*2-12)</f>
        <v>n.r.</v>
      </c>
      <c r="AL93" s="8" t="str">
        <f ca="1">OFFSET(Database!$F93,0,COLUMN(Database!AI93)*2-12)</f>
        <v>n.r.</v>
      </c>
      <c r="AM93" s="8" t="str">
        <f ca="1">OFFSET(Database!$F93,0,COLUMN(Database!AJ93)*2-12)</f>
        <v>n.r.</v>
      </c>
      <c r="AN93" s="8" t="str">
        <f ca="1">OFFSET(Database!$F93,0,COLUMN(Database!AK93)*2-12)</f>
        <v>n.r.</v>
      </c>
      <c r="AO93" s="8" t="str">
        <f ca="1">OFFSET(Database!$F93,0,COLUMN(Database!AL93)*2-12)</f>
        <v>n.r.</v>
      </c>
      <c r="AP93" s="8" t="str">
        <f ca="1">OFFSET(Database!$F93,0,COLUMN(Database!AM93)*2-12)</f>
        <v>n.r.</v>
      </c>
      <c r="AQ93" s="8" t="str">
        <f ca="1">OFFSET(Database!$F93,0,COLUMN(Database!AN93)*2-12)</f>
        <v>n.r.</v>
      </c>
      <c r="AR93" s="8" t="str">
        <f ca="1">OFFSET(Database!$F93,0,COLUMN(Database!AO93)*2-12)</f>
        <v>n.r.</v>
      </c>
      <c r="AS93" s="8" t="str">
        <f ca="1">OFFSET(Database!$F93,0,COLUMN(Database!AP93)*2-12)</f>
        <v>n.r.</v>
      </c>
      <c r="AT93" s="8" t="str">
        <f ca="1">OFFSET(Database!$F93,0,COLUMN(Database!AQ93)*2-12)</f>
        <v>n.r.</v>
      </c>
      <c r="AU93" s="8" t="str">
        <f ca="1">OFFSET(Database!$F93,0,COLUMN(Database!AR93)*2-12)</f>
        <v>n.r.</v>
      </c>
      <c r="AV93" s="8" t="str">
        <f ca="1">OFFSET(Database!$F93,0,COLUMN(Database!AS93)*2-12)</f>
        <v>n.r.</v>
      </c>
      <c r="AW93" s="8" t="str">
        <f ca="1">OFFSET(Database!$F93,0,COLUMN(Database!AT93)*2-12)</f>
        <v>n.r.</v>
      </c>
      <c r="AX93" s="8" t="str">
        <f ca="1">OFFSET(Database!$F93,0,COLUMN(Database!AU93)*2-12)</f>
        <v>n.r.</v>
      </c>
      <c r="AY93" s="8" t="str">
        <f ca="1">OFFSET(Database!$F93,0,COLUMN(Database!AV93)*2-12)</f>
        <v>n.r.</v>
      </c>
      <c r="AZ93" s="8" t="str">
        <f ca="1">OFFSET(Database!$F93,0,COLUMN(Database!AW93)*2-12)</f>
        <v>n.r.</v>
      </c>
      <c r="BA93" s="8" t="str">
        <f ca="1">OFFSET(Database!$F93,0,COLUMN(Database!AX93)*2-12)</f>
        <v>n.r.</v>
      </c>
      <c r="BB93" s="8" t="str">
        <f ca="1">OFFSET(Database!$F93,0,COLUMN(Database!AY93)*2-12)</f>
        <v>n.r.</v>
      </c>
      <c r="BC93" s="8" t="str">
        <f ca="1">OFFSET(Database!$F93,0,COLUMN(Database!AZ93)*2-12)</f>
        <v>n.r.</v>
      </c>
      <c r="BD93" s="8" t="str">
        <f ca="1">OFFSET(Database!$F93,0,COLUMN(Database!BA93)*2-12)</f>
        <v>n.r.</v>
      </c>
      <c r="BE93" s="8" t="str">
        <f ca="1">OFFSET(Database!$F93,0,COLUMN(Database!BB93)*2-12)</f>
        <v>n.r.</v>
      </c>
      <c r="BF93" s="8" t="str">
        <f ca="1">OFFSET(Database!$F93,0,COLUMN(Database!BC93)*2-12)</f>
        <v>n.r.</v>
      </c>
      <c r="BG93" s="8" t="str">
        <f ca="1">OFFSET(Database!$F93,0,COLUMN(Database!BD93)*2-12)</f>
        <v>n.r.</v>
      </c>
      <c r="BH93" s="8" t="str">
        <f ca="1">OFFSET(Database!$F93,0,COLUMN(Database!BE93)*2-12)</f>
        <v>n.r.</v>
      </c>
      <c r="BI93" s="8" t="str">
        <f ca="1">OFFSET(Database!$F93,0,COLUMN(Database!BF93)*2-12)</f>
        <v>n.r.</v>
      </c>
      <c r="BJ93" s="8" t="str">
        <f ca="1">OFFSET(Database!$F93,0,COLUMN(Database!BG93)*2-12)</f>
        <v>n.r.</v>
      </c>
      <c r="BK93" s="8" t="str">
        <f ca="1">OFFSET(Database!$F93,0,COLUMN(Database!BH93)*2-12)</f>
        <v>n.r.</v>
      </c>
      <c r="BL93" s="8" t="str">
        <f ca="1">OFFSET(Database!$F93,0,COLUMN(Database!BI93)*2-12)</f>
        <v>n.r.</v>
      </c>
      <c r="BM93" s="8" t="str">
        <f ca="1">OFFSET(Database!$F93,0,COLUMN(Database!BJ93)*2-12)</f>
        <v>n.r.</v>
      </c>
      <c r="BN93" s="8" t="str">
        <f ca="1">OFFSET(Database!$F93,0,COLUMN(Database!BK93)*2-12)</f>
        <v>n.r.</v>
      </c>
      <c r="BO93" s="8" t="str">
        <f ca="1">OFFSET(Database!$F93,0,COLUMN(Database!BL93)*2-12)</f>
        <v>n.r.</v>
      </c>
      <c r="BP93" s="8" t="str">
        <f ca="1">OFFSET(Database!$F93,0,COLUMN(Database!BM93)*2-12)</f>
        <v>n.r.</v>
      </c>
      <c r="BQ93" s="8" t="str">
        <f ca="1">OFFSET(Database!$F93,0,COLUMN(Database!BN93)*2-12)</f>
        <v>n.r.</v>
      </c>
      <c r="BR93" s="8" t="str">
        <f ca="1">OFFSET(Database!$F93,0,COLUMN(Database!BO93)*2-12)</f>
        <v>n.r.</v>
      </c>
      <c r="BS93" s="8" t="str">
        <f ca="1">OFFSET(Database!$F93,0,COLUMN(Database!BP93)*2-12)</f>
        <v>n.r.</v>
      </c>
      <c r="BT93" s="8" t="str">
        <f ca="1">OFFSET(Database!$F93,0,COLUMN(Database!BQ93)*2-12)</f>
        <v>n.r.</v>
      </c>
      <c r="BU93" s="8" t="str">
        <f ca="1">OFFSET(Database!$F93,0,COLUMN(Database!BR93)*2-12)</f>
        <v>n.r.</v>
      </c>
      <c r="BV93" s="8" t="str">
        <f ca="1">OFFSET(Database!$F93,0,COLUMN(Database!BS93)*2-12)</f>
        <v>n.r.</v>
      </c>
      <c r="BW93" s="8" t="str">
        <f ca="1">OFFSET(Database!$F93,0,COLUMN(Database!BT93)*2-12)</f>
        <v>n.r.</v>
      </c>
      <c r="BX93" s="8" t="str">
        <f ca="1">OFFSET(Database!$F93,0,COLUMN(Database!BU93)*2-12)</f>
        <v>n.r.</v>
      </c>
      <c r="BY93" s="8" t="str">
        <f ca="1">OFFSET(Database!$F93,0,COLUMN(Database!BV93)*2-12)</f>
        <v>n.r.</v>
      </c>
      <c r="BZ93" s="8" t="str">
        <f ca="1">OFFSET(Database!$F93,0,COLUMN(Database!BW93)*2-12)</f>
        <v>n.r.</v>
      </c>
      <c r="CA93" s="8" t="str">
        <f ca="1">OFFSET(Database!$F93,0,COLUMN(Database!BX93)*2-12)</f>
        <v>n.r.</v>
      </c>
      <c r="CB93" s="8" t="str">
        <f ca="1">OFFSET(Database!$F93,0,COLUMN(Database!BY93)*2-12)</f>
        <v>n.r.</v>
      </c>
      <c r="CC93" s="8" t="str">
        <f ca="1">OFFSET(Database!$F93,0,COLUMN(Database!BZ93)*2-12)</f>
        <v>n.r.</v>
      </c>
      <c r="CD93" s="8" t="str">
        <f ca="1">OFFSET(Database!$F93,0,COLUMN(Database!CA93)*2-12)</f>
        <v>n.r.</v>
      </c>
      <c r="CE93" s="8" t="str">
        <f ca="1">OFFSET(Database!$F93,0,COLUMN(Database!CB93)*2-12)</f>
        <v>n.r.</v>
      </c>
      <c r="CF93" s="8" t="str">
        <f ca="1">OFFSET(Database!$F93,0,COLUMN(Database!CC93)*2-12)</f>
        <v>n.r.</v>
      </c>
      <c r="CG93" s="8" t="str">
        <f ca="1">OFFSET(Database!$F93,0,COLUMN(Database!CD93)*2-12)</f>
        <v>n.r.</v>
      </c>
      <c r="CH93" s="8" t="str">
        <f ca="1">OFFSET(Database!$F93,0,COLUMN(Database!CE93)*2-12)</f>
        <v>n.r.</v>
      </c>
      <c r="CI93" s="8" t="str">
        <f ca="1">OFFSET(Database!$F93,0,COLUMN(Database!CF93)*2-12)</f>
        <v>n.r.</v>
      </c>
      <c r="CJ93" s="8" t="str">
        <f ca="1">OFFSET(Database!$F93,0,COLUMN(Database!CG93)*2-12)</f>
        <v>n.r.</v>
      </c>
      <c r="CK93" s="8" t="str">
        <f ca="1">OFFSET(Database!$F93,0,COLUMN(Database!CH93)*2-12)</f>
        <v>n.r.</v>
      </c>
      <c r="CL93" s="8" t="str">
        <f ca="1">OFFSET(Database!$F93,0,COLUMN(Database!CI93)*2-12)</f>
        <v>n.r.</v>
      </c>
      <c r="CM93" s="8" t="str">
        <f ca="1">OFFSET(Database!$F93,0,COLUMN(Database!CJ93)*2-12)</f>
        <v>n.r.</v>
      </c>
      <c r="CN93" s="8" t="str">
        <f ca="1">OFFSET(Database!$F93,0,COLUMN(Database!CK93)*2-12)</f>
        <v>n.r.</v>
      </c>
      <c r="CO93" s="8" t="str">
        <f ca="1">OFFSET(Database!$F93,0,COLUMN(Database!CL93)*2-12)</f>
        <v>n.r.</v>
      </c>
      <c r="CP93" s="8" t="str">
        <f ca="1">OFFSET(Database!$F93,0,COLUMN(Database!CM93)*2-12)</f>
        <v>n.r.</v>
      </c>
      <c r="CQ93" s="8" t="str">
        <f ca="1">OFFSET(Database!$F93,0,COLUMN(Database!CN93)*2-12)</f>
        <v>n.r.</v>
      </c>
      <c r="CR93" s="8" t="str">
        <f ca="1">OFFSET(Database!$F93,0,COLUMN(Database!CO93)*2-12)</f>
        <v>n.r.</v>
      </c>
      <c r="CS93" s="8" t="str">
        <f ca="1">OFFSET(Database!$F93,0,COLUMN(Database!CP93)*2-12)</f>
        <v>n.r.</v>
      </c>
      <c r="CT93" s="8" t="str">
        <f ca="1">OFFSET(Database!$F93,0,COLUMN(Database!CQ93)*2-12)</f>
        <v>n.r.</v>
      </c>
      <c r="CU93" s="8" t="str">
        <f ca="1">OFFSET(Database!$F93,0,COLUMN(Database!CR93)*2-12)</f>
        <v>n.r.</v>
      </c>
      <c r="CV93" s="8" t="str">
        <f ca="1">OFFSET(Database!$F93,0,COLUMN(Database!CS93)*2-12)</f>
        <v>n.r.</v>
      </c>
      <c r="CW93" s="8" t="str">
        <f ca="1">OFFSET(Database!$F93,0,COLUMN(Database!CT93)*2-12)</f>
        <v>n.r.</v>
      </c>
      <c r="CX93" s="8" t="str">
        <f ca="1">OFFSET(Database!$F93,0,COLUMN(Database!CU93)*2-12)</f>
        <v>n.r.</v>
      </c>
      <c r="CY93" s="8" t="str">
        <f ca="1">OFFSET(Database!$F93,0,COLUMN(Database!CV93)*2-12)</f>
        <v>n.r.</v>
      </c>
      <c r="CZ93" s="8" t="str">
        <f ca="1">OFFSET(Database!$F93,0,COLUMN(Database!CW93)*2-12)</f>
        <v>n.r.</v>
      </c>
      <c r="DA93" s="8" t="str">
        <f ca="1">OFFSET(Database!$F93,0,COLUMN(Database!CX93)*2-12)</f>
        <v>n.r.</v>
      </c>
      <c r="DB93" s="8" t="str">
        <f ca="1">OFFSET(Database!$F93,0,COLUMN(Database!CY93)*2-12)</f>
        <v>&lt;0.04</v>
      </c>
      <c r="DC93" s="8" t="str">
        <f ca="1">OFFSET(Database!$F93,0,COLUMN(Database!CZ93)*2-12)</f>
        <v>&lt;0.04</v>
      </c>
      <c r="DD93" s="8" t="str">
        <f ca="1">OFFSET(Database!$F93,0,COLUMN(Database!DA93)*2-12)</f>
        <v>&lt;0.4</v>
      </c>
      <c r="DE93" s="8" t="str">
        <f ca="1">OFFSET(Database!$F93,0,COLUMN(Database!DB93)*2-12)</f>
        <v>n.r.</v>
      </c>
      <c r="DF93" s="8">
        <f ca="1">OFFSET(Database!$F93,0,COLUMN(Database!DC93)*2-12)</f>
        <v>30.1724</v>
      </c>
      <c r="DG93" s="8" t="str">
        <f ca="1">OFFSET(Database!$F93,0,COLUMN(Database!DD93)*2-12)</f>
        <v>l.o.q.</v>
      </c>
      <c r="DH93" s="8">
        <f ca="1">OFFSET(Database!$F93,0,COLUMN(Database!DE93)*2-12)</f>
        <v>22.8995</v>
      </c>
      <c r="DI93" s="8">
        <f ca="1">OFFSET(Database!$F93,0,COLUMN(Database!DF93)*2-12)</f>
        <v>21.241700000000002</v>
      </c>
      <c r="DJ93" s="8" t="str">
        <f ca="1">OFFSET(Database!$F93,0,COLUMN(Database!DG93)*2-12)</f>
        <v>b.b.</v>
      </c>
      <c r="DK93" s="8">
        <f ca="1">OFFSET(Database!$F93,0,COLUMN(Database!DH93)*2-12)</f>
        <v>27.811199999999999</v>
      </c>
      <c r="DL93" s="8" t="str">
        <f ca="1">OFFSET(Database!$F93,0,COLUMN(Database!DI93)*2-12)</f>
        <v>b.b.</v>
      </c>
      <c r="DM93" s="8">
        <f ca="1">OFFSET(Database!$F93,0,COLUMN(Database!DJ93)*2-12)</f>
        <v>28.4878</v>
      </c>
      <c r="DN93" s="8">
        <f ca="1">OFFSET(Database!$F93,0,COLUMN(Database!DK93)*2-12)</f>
        <v>159</v>
      </c>
      <c r="DO93" s="8">
        <f ca="1">OFFSET(Database!$F93,0,COLUMN(Database!DL93)*2-12)</f>
        <v>159</v>
      </c>
      <c r="DP93" s="8">
        <f ca="1">OFFSET(Database!$F93,0,COLUMN(Database!DM93)*2-12)</f>
        <v>20</v>
      </c>
      <c r="DQ93" s="8">
        <f ca="1">OFFSET(Database!$F93,0,COLUMN(Database!DN93)*2-12)</f>
        <v>14.1</v>
      </c>
      <c r="DR93" s="8">
        <f ca="1">OFFSET(Database!$F93,0,COLUMN(Database!DO93)*2-12)</f>
        <v>3.7</v>
      </c>
      <c r="DS93" s="8">
        <f ca="1">OFFSET(Database!$F93,0,COLUMN(Database!DP93)*2-12)</f>
        <v>96</v>
      </c>
      <c r="DT93" s="8">
        <f ca="1">OFFSET(Database!$F93,0,COLUMN(Database!DQ93)*2-12)</f>
        <v>20.7</v>
      </c>
      <c r="DU93" s="8">
        <f ca="1">OFFSET(Database!$F93,0,COLUMN(Database!DR93)*2-12)</f>
        <v>2.5284</v>
      </c>
      <c r="DV93" s="8" t="str">
        <f ca="1">OFFSET(Database!$F93,0,COLUMN(Database!DS93)*2-12)</f>
        <v>b.b.</v>
      </c>
      <c r="DW93" s="8" t="str">
        <f ca="1">OFFSET(Database!$F93,0,COLUMN(Database!DT93)*2-12)</f>
        <v>n.r.</v>
      </c>
      <c r="DX93" s="8" t="str">
        <f ca="1">OFFSET(Database!$F93,0,COLUMN(Database!DU93)*2-12)</f>
        <v>n.r.</v>
      </c>
      <c r="DY93" s="8" t="str">
        <f ca="1">OFFSET(Database!$F93,0,COLUMN(Database!DV93)*2-12)</f>
        <v>n.r.</v>
      </c>
      <c r="DZ93" s="8" t="str">
        <f ca="1">OFFSET(Database!$F93,0,COLUMN(Database!DW93)*2-12)</f>
        <v>n.r.</v>
      </c>
      <c r="EA93" s="8" t="str">
        <f ca="1">OFFSET(Database!$F93,0,COLUMN(Database!DX93)*2-12)</f>
        <v>n.r.</v>
      </c>
      <c r="EB93" s="8" t="str">
        <f ca="1">OFFSET(Database!$F93,0,COLUMN(Database!DY93)*2-12)</f>
        <v>n.r.</v>
      </c>
      <c r="EC93" s="8" t="str">
        <f ca="1">OFFSET(Database!$F93,0,COLUMN(Database!DZ93)*2-12)</f>
        <v>n.r.</v>
      </c>
      <c r="ED93" s="8" t="str">
        <f ca="1">OFFSET(Database!$F93,0,COLUMN(Database!EA93)*2-12)</f>
        <v>n.r.</v>
      </c>
      <c r="EE93" s="8" t="str">
        <f ca="1">OFFSET(Database!$F93,0,COLUMN(Database!EB93)*2-12)</f>
        <v>n.r.</v>
      </c>
      <c r="EF93" s="8" t="str">
        <f ca="1">OFFSET(Database!$F93,0,COLUMN(Database!EC93)*2-12)</f>
        <v>n.r.</v>
      </c>
      <c r="EG93" s="8" t="str">
        <f ca="1">OFFSET(Database!$F93,0,COLUMN(Database!ED93)*2-12)</f>
        <v>n.r.</v>
      </c>
      <c r="EH93" s="8" t="str">
        <f ca="1">OFFSET(Database!$F93,0,COLUMN(Database!EE93)*2-12)</f>
        <v>n.r.</v>
      </c>
      <c r="EI93" s="8" t="str">
        <f ca="1">OFFSET(Database!$F93,0,COLUMN(Database!EF93)*2-12)</f>
        <v>n.r.</v>
      </c>
      <c r="EJ93" s="8" t="str">
        <f ca="1">OFFSET(Database!$F93,0,COLUMN(Database!EG93)*2-12)</f>
        <v>n.r.</v>
      </c>
      <c r="EK93" s="8" t="str">
        <f ca="1">OFFSET(Database!$F93,0,COLUMN(Database!EH93)*2-12)</f>
        <v>n.r.</v>
      </c>
      <c r="EL93" s="8" t="str">
        <f ca="1">OFFSET(Database!$F93,0,COLUMN(Database!EI93)*2-12)</f>
        <v>n.r.</v>
      </c>
      <c r="EM93" s="8" t="str">
        <f ca="1">OFFSET(Database!$F93,0,COLUMN(Database!EJ93)*2-12)</f>
        <v>n.r.</v>
      </c>
      <c r="EN93" s="8" t="str">
        <f ca="1">OFFSET(Database!$F93,0,COLUMN(Database!EK93)*2-12)</f>
        <v>n.r.</v>
      </c>
      <c r="EO93" s="8" t="str">
        <f ca="1">OFFSET(Database!$F93,0,COLUMN(Database!EL93)*2-12)</f>
        <v>n.r.</v>
      </c>
      <c r="EP93" s="8" t="str">
        <f ca="1">OFFSET(Database!$F93,0,COLUMN(Database!EM93)*2-12)</f>
        <v>n.r.</v>
      </c>
      <c r="EQ93" s="8" t="str">
        <f ca="1">OFFSET(Database!$F93,0,COLUMN(Database!EN93)*2-12)</f>
        <v>n.r.</v>
      </c>
      <c r="ER93" s="8" t="str">
        <f ca="1">OFFSET(Database!$F93,0,COLUMN(Database!EO93)*2-12)</f>
        <v>n.s.</v>
      </c>
      <c r="ES93" s="8" t="str">
        <f ca="1">OFFSET(Database!$F93,0,COLUMN(Database!EP93)*2-12)</f>
        <v>n.s.</v>
      </c>
      <c r="ET93" s="8" t="str">
        <f ca="1">OFFSET(Database!$F93,0,COLUMN(Database!EQ93)*2-12)</f>
        <v>n.s.</v>
      </c>
      <c r="EU93" s="8" t="str">
        <f ca="1">OFFSET(Database!$F93,0,COLUMN(Database!ER93)*2-12)</f>
        <v>n.s.</v>
      </c>
      <c r="EV93" s="8" t="str">
        <f ca="1">OFFSET(Database!$F93,0,COLUMN(Database!ES93)*2-12)</f>
        <v>n.s.</v>
      </c>
      <c r="EW93" s="8" t="str">
        <f ca="1">OFFSET(Database!$F93,0,COLUMN(Database!ET93)*2-12)</f>
        <v>n.r.</v>
      </c>
      <c r="EX93" s="8" t="str">
        <f ca="1">OFFSET(Database!$F93,0,COLUMN(Database!EU93)*2-12)</f>
        <v>n.r.</v>
      </c>
      <c r="EY93" s="8" t="str">
        <f ca="1">OFFSET(Database!$F93,0,COLUMN(Database!EV93)*2-12)</f>
        <v>n.r.</v>
      </c>
      <c r="EZ93" s="8" t="str">
        <f ca="1">OFFSET(Database!$F93,0,COLUMN(Database!EW93)*2-12)</f>
        <v>n.r.</v>
      </c>
      <c r="FA93" s="8" t="str">
        <f ca="1">OFFSET(Database!$F93,0,COLUMN(Database!EX93)*2-12)</f>
        <v>n.r.</v>
      </c>
      <c r="FB93" s="8" t="str">
        <f ca="1">OFFSET(Database!$F93,0,COLUMN(Database!EY93)*2-12)</f>
        <v>n.r.</v>
      </c>
      <c r="FC93" s="8" t="str">
        <f ca="1">OFFSET(Database!$F93,0,COLUMN(Database!EZ93)*2-12)</f>
        <v>n.r.</v>
      </c>
      <c r="FD93" s="8">
        <f ca="1">OFFSET(Database!$F93,0,COLUMN(Database!FA93)*2-12)</f>
        <v>363.1</v>
      </c>
      <c r="FE93" s="8">
        <f ca="1">OFFSET(Database!$F93,0,COLUMN(Database!FB93)*2-12)</f>
        <v>1641.5</v>
      </c>
      <c r="FF93" s="8">
        <f ca="1">OFFSET(Database!$F93,0,COLUMN(Database!FC93)*2-12)</f>
        <v>1266.5999999999999</v>
      </c>
      <c r="FG93" s="8" t="str">
        <f ca="1">OFFSET(Database!$F93,0,COLUMN(Database!FD93)*2-12)</f>
        <v>n.r.</v>
      </c>
      <c r="FH93" s="8">
        <f ca="1">OFFSET(Database!$F93,0,COLUMN(Database!FE93)*2-12)</f>
        <v>600</v>
      </c>
      <c r="FI93" s="8">
        <f ca="1">OFFSET(Database!$F93,0,COLUMN(Database!FF93)*2-12)</f>
        <v>230</v>
      </c>
      <c r="FJ93" s="8">
        <f ca="1">OFFSET(Database!$F93,0,COLUMN(Database!FG93)*2-12)</f>
        <v>310</v>
      </c>
      <c r="FK93" s="8" t="str">
        <f ca="1">OFFSET(Database!$F93,0,COLUMN(Database!FH93)*2-12)</f>
        <v>n.r.</v>
      </c>
      <c r="FL93" s="8" t="str">
        <f ca="1">OFFSET(Database!$F93,0,COLUMN(Database!FI93)*2-12)</f>
        <v>n.r.</v>
      </c>
      <c r="FM93" s="8" t="str">
        <f ca="1">OFFSET(Database!$F93,0,COLUMN(Database!FJ93)*2-12)</f>
        <v>n.r.</v>
      </c>
      <c r="FN93" s="8" t="str">
        <f ca="1">OFFSET(Database!$F93,0,COLUMN(Database!FK93)*2-12)</f>
        <v>n.r.</v>
      </c>
      <c r="FO93" s="8" t="str">
        <f ca="1">OFFSET(Database!$F93,0,COLUMN(Database!FL93)*2-12)</f>
        <v>n.r.</v>
      </c>
      <c r="FP93" s="8" t="str">
        <f ca="1">OFFSET(Database!$F93,0,COLUMN(Database!FM93)*2-12)</f>
        <v>n.r.</v>
      </c>
      <c r="FQ93" s="8" t="str">
        <f ca="1">OFFSET(Database!$F93,0,COLUMN(Database!FN93)*2-12)</f>
        <v>n.r.</v>
      </c>
      <c r="FR93" s="8" t="str">
        <f ca="1">OFFSET(Database!$F93,0,COLUMN(Database!FO93)*2-12)</f>
        <v>n.r.</v>
      </c>
      <c r="FS93" s="8" t="str">
        <f ca="1">OFFSET(Database!$F93,0,COLUMN(Database!FP93)*2-12)</f>
        <v>n.r.</v>
      </c>
      <c r="FT93" s="8" t="str">
        <f ca="1">OFFSET(Database!$F93,0,COLUMN(Database!FQ93)*2-12)</f>
        <v>n.r.</v>
      </c>
      <c r="FU93" s="8" t="str">
        <f ca="1">OFFSET(Database!$F93,0,COLUMN(Database!FR93)*2-12)</f>
        <v>n.r.</v>
      </c>
      <c r="FV93" s="8" t="str">
        <f ca="1">OFFSET(Database!$F93,0,COLUMN(Database!FS93)*2-12)</f>
        <v>n.r.</v>
      </c>
      <c r="FW93" s="8" t="str">
        <f ca="1">OFFSET(Database!$F93,0,COLUMN(Database!FT93)*2-12)</f>
        <v>n.r.</v>
      </c>
      <c r="FX93" s="8" t="str">
        <f ca="1">OFFSET(Database!$F93,0,COLUMN(Database!FU93)*2-12)</f>
        <v>n.r.</v>
      </c>
      <c r="FY93" s="8" t="str">
        <f ca="1">OFFSET(Database!$F93,0,COLUMN(Database!FV93)*2-12)</f>
        <v>n.r.</v>
      </c>
      <c r="FZ93" s="8" t="str">
        <f ca="1">OFFSET(Database!$F93,0,COLUMN(Database!FW93)*2-12)</f>
        <v>n.r.</v>
      </c>
      <c r="GA93" s="8" t="str">
        <f ca="1">OFFSET(Database!$F93,0,COLUMN(Database!FX93)*2-12)</f>
        <v>n.r.</v>
      </c>
      <c r="GB93" s="8" t="str">
        <f ca="1">OFFSET(Database!$F93,0,COLUMN(Database!FY93)*2-12)</f>
        <v>n.r.</v>
      </c>
      <c r="GC93" s="8" t="str">
        <f ca="1">OFFSET(Database!$F93,0,COLUMN(Database!FZ93)*2-12)</f>
        <v>n.r.</v>
      </c>
      <c r="GD93" s="8" t="str">
        <f ca="1">OFFSET(Database!$F93,0,COLUMN(Database!GA93)*2-12)</f>
        <v>n.r.</v>
      </c>
      <c r="GE93" s="8" t="str">
        <f ca="1">OFFSET(Database!$F93,0,COLUMN(Database!GB93)*2-12)</f>
        <v>n.r.</v>
      </c>
      <c r="GF93" s="8" t="str">
        <f ca="1">OFFSET(Database!$F93,0,COLUMN(Database!GC93)*2-12)</f>
        <v>n.r.</v>
      </c>
      <c r="GG93" s="8" t="str">
        <f ca="1">OFFSET(Database!$F93,0,COLUMN(Database!GD93)*2-12)</f>
        <v>n.r.</v>
      </c>
      <c r="GH93" s="8" t="str">
        <f ca="1">OFFSET(Database!$F93,0,COLUMN(Database!GE93)*2-12)</f>
        <v>n.r.</v>
      </c>
      <c r="GI93" s="8" t="str">
        <f ca="1">OFFSET(Database!$F93,0,COLUMN(Database!GF93)*2-12)</f>
        <v>n.r.</v>
      </c>
      <c r="GJ93" s="8" t="str">
        <f ca="1">OFFSET(Database!$F93,0,COLUMN(Database!GG93)*2-12)</f>
        <v>n.r.</v>
      </c>
      <c r="GK93" s="8" t="str">
        <f ca="1">OFFSET(Database!$F93,0,COLUMN(Database!GH93)*2-12)</f>
        <v>n.r.</v>
      </c>
      <c r="GL93" s="8" t="str">
        <f ca="1">OFFSET(Database!$F93,0,COLUMN(Database!GI93)*2-12)</f>
        <v>n.r.</v>
      </c>
      <c r="GM93" s="8" t="str">
        <f ca="1">OFFSET(Database!$F93,0,COLUMN(Database!GJ93)*2-12)</f>
        <v>n.r.</v>
      </c>
      <c r="GN93" s="8" t="str">
        <f ca="1">OFFSET(Database!$F93,0,COLUMN(Database!GK93)*2-12)</f>
        <v>n.r.</v>
      </c>
      <c r="GO93" s="8" t="str">
        <f ca="1">OFFSET(Database!$F93,0,COLUMN(Database!GL93)*2-12)</f>
        <v>n.d.</v>
      </c>
      <c r="GP93" s="8" t="str">
        <f ca="1">OFFSET(Database!$F93,0,COLUMN(Database!GM93)*2-12)</f>
        <v>tr.</v>
      </c>
    </row>
    <row r="94" spans="1:198" x14ac:dyDescent="0.2">
      <c r="A94" s="50" t="str">
        <f>Database!A94</f>
        <v>isoleucine</v>
      </c>
      <c r="B94" s="1" t="s">
        <v>880</v>
      </c>
      <c r="C94" s="4" t="str">
        <f>Database!B94</f>
        <v>ɑ</v>
      </c>
      <c r="D94" s="4" t="str">
        <f>Database!C94</f>
        <v xml:space="preserve">Both </v>
      </c>
      <c r="E94" s="74">
        <f>Database!D94</f>
        <v>57</v>
      </c>
      <c r="F94" s="32" t="s">
        <v>1028</v>
      </c>
      <c r="G94" s="1" t="s">
        <v>1118</v>
      </c>
      <c r="H94" s="1">
        <f>Database!E94</f>
        <v>131.16999999999999</v>
      </c>
      <c r="I94" s="8" t="str">
        <f ca="1">OFFSET(Database!$F94,0,COLUMN(Database!F94)*2-12)</f>
        <v>n.r.</v>
      </c>
      <c r="J94" s="8" t="str">
        <f ca="1">OFFSET(Database!$F94,0,COLUMN(Database!G94)*2-12)</f>
        <v>n.r.</v>
      </c>
      <c r="K94" s="8" t="str">
        <f ca="1">OFFSET(Database!$F94,0,COLUMN(Database!H94)*2-12)</f>
        <v>n.r.</v>
      </c>
      <c r="L94" s="8" t="str">
        <f ca="1">OFFSET(Database!$F94,0,COLUMN(Database!I94)*2-12)</f>
        <v>n.r.</v>
      </c>
      <c r="M94" s="8" t="str">
        <f ca="1">OFFSET(Database!$F94,0,COLUMN(Database!J94)*2-12)</f>
        <v>n.r.</v>
      </c>
      <c r="N94" s="8" t="str">
        <f ca="1">OFFSET(Database!$F94,0,COLUMN(Database!K94)*2-12)</f>
        <v>n.r.</v>
      </c>
      <c r="O94" s="8" t="str">
        <f ca="1">OFFSET(Database!$F94,0,COLUMN(Database!L94)*2-12)</f>
        <v>n.r.</v>
      </c>
      <c r="P94" s="8" t="str">
        <f ca="1">OFFSET(Database!$F94,0,COLUMN(Database!M94)*2-12)</f>
        <v>n.r.</v>
      </c>
      <c r="Q94" s="8" t="str">
        <f ca="1">OFFSET(Database!$F94,0,COLUMN(Database!N94)*2-12)</f>
        <v>n.r.</v>
      </c>
      <c r="R94" s="8" t="str">
        <f ca="1">OFFSET(Database!$F94,0,COLUMN(Database!O94)*2-12)</f>
        <v>n.r.</v>
      </c>
      <c r="S94" s="8" t="str">
        <f ca="1">OFFSET(Database!$F94,0,COLUMN(Database!P94)*2-12)</f>
        <v>n.r.</v>
      </c>
      <c r="T94" s="8" t="str">
        <f ca="1">OFFSET(Database!$F94,0,COLUMN(Database!Q94)*2-12)</f>
        <v>n.r.</v>
      </c>
      <c r="U94" s="8" t="str">
        <f ca="1">OFFSET(Database!$F94,0,COLUMN(Database!R94)*2-12)</f>
        <v>n.r.</v>
      </c>
      <c r="V94" s="8" t="str">
        <f ca="1">OFFSET(Database!$F94,0,COLUMN(Database!S94)*2-12)</f>
        <v>n.r.</v>
      </c>
      <c r="W94" s="8" t="str">
        <f ca="1">OFFSET(Database!$F94,0,COLUMN(Database!T94)*2-12)</f>
        <v>n.r.</v>
      </c>
      <c r="X94" s="8" t="str">
        <f ca="1">OFFSET(Database!$F94,0,COLUMN(Database!U94)*2-12)</f>
        <v>n.r.</v>
      </c>
      <c r="Y94" s="8" t="str">
        <f ca="1">OFFSET(Database!$F94,0,COLUMN(Database!V94)*2-12)</f>
        <v>n.d.</v>
      </c>
      <c r="Z94" s="8" t="str">
        <f ca="1">OFFSET(Database!$F94,0,COLUMN(Database!W94)*2-12)</f>
        <v>n.r.</v>
      </c>
      <c r="AA94" s="8" t="str">
        <f ca="1">OFFSET(Database!$F94,0,COLUMN(Database!X94)*2-12)</f>
        <v>n.r.</v>
      </c>
      <c r="AB94" s="8" t="str">
        <f ca="1">OFFSET(Database!$F94,0,COLUMN(Database!Y94)*2-12)</f>
        <v>n.r.</v>
      </c>
      <c r="AC94" s="8" t="str">
        <f ca="1">OFFSET(Database!$F94,0,COLUMN(Database!Z94)*2-12)</f>
        <v>n.r.</v>
      </c>
      <c r="AD94" s="8" t="str">
        <f ca="1">OFFSET(Database!$F94,0,COLUMN(Database!AA94)*2-12)</f>
        <v>n.r.</v>
      </c>
      <c r="AE94" s="8" t="str">
        <f ca="1">OFFSET(Database!$F94,0,COLUMN(Database!AB94)*2-12)</f>
        <v>n.r.</v>
      </c>
      <c r="AF94" s="8" t="str">
        <f ca="1">OFFSET(Database!$F94,0,COLUMN(Database!AC94)*2-12)</f>
        <v>n.d.</v>
      </c>
      <c r="AG94" s="8" t="str">
        <f ca="1">OFFSET(Database!$F94,0,COLUMN(Database!AD94)*2-12)</f>
        <v>n.d.</v>
      </c>
      <c r="AH94" s="8" t="str">
        <f ca="1">OFFSET(Database!$F94,0,COLUMN(Database!AE94)*2-12)</f>
        <v>n.r.</v>
      </c>
      <c r="AI94" s="8" t="str">
        <f ca="1">OFFSET(Database!$F94,0,COLUMN(Database!AF94)*2-12)</f>
        <v>n.r.</v>
      </c>
      <c r="AJ94" s="8" t="str">
        <f ca="1">OFFSET(Database!$F94,0,COLUMN(Database!AG94)*2-12)</f>
        <v>n.r.</v>
      </c>
      <c r="AK94" s="8" t="str">
        <f ca="1">OFFSET(Database!$F94,0,COLUMN(Database!AH94)*2-12)</f>
        <v>n.r.</v>
      </c>
      <c r="AL94" s="8" t="str">
        <f ca="1">OFFSET(Database!$F94,0,COLUMN(Database!AI94)*2-12)</f>
        <v>n.r.</v>
      </c>
      <c r="AM94" s="8" t="str">
        <f ca="1">OFFSET(Database!$F94,0,COLUMN(Database!AJ94)*2-12)</f>
        <v>n.r.</v>
      </c>
      <c r="AN94" s="8" t="str">
        <f ca="1">OFFSET(Database!$F94,0,COLUMN(Database!AK94)*2-12)</f>
        <v>n.r.</v>
      </c>
      <c r="AO94" s="8" t="str">
        <f ca="1">OFFSET(Database!$F94,0,COLUMN(Database!AL94)*2-12)</f>
        <v>n.r.</v>
      </c>
      <c r="AP94" s="8" t="str">
        <f ca="1">OFFSET(Database!$F94,0,COLUMN(Database!AM94)*2-12)</f>
        <v>n.r.</v>
      </c>
      <c r="AQ94" s="8" t="str">
        <f ca="1">OFFSET(Database!$F94,0,COLUMN(Database!AN94)*2-12)</f>
        <v>n.r.</v>
      </c>
      <c r="AR94" s="8" t="str">
        <f ca="1">OFFSET(Database!$F94,0,COLUMN(Database!AO94)*2-12)</f>
        <v>n.r.</v>
      </c>
      <c r="AS94" s="8" t="str">
        <f ca="1">OFFSET(Database!$F94,0,COLUMN(Database!AP94)*2-12)</f>
        <v>n.r.</v>
      </c>
      <c r="AT94" s="8" t="str">
        <f ca="1">OFFSET(Database!$F94,0,COLUMN(Database!AQ94)*2-12)</f>
        <v>n.r.</v>
      </c>
      <c r="AU94" s="8" t="str">
        <f ca="1">OFFSET(Database!$F94,0,COLUMN(Database!AR94)*2-12)</f>
        <v>n.r.</v>
      </c>
      <c r="AV94" s="8" t="str">
        <f ca="1">OFFSET(Database!$F94,0,COLUMN(Database!AS94)*2-12)</f>
        <v>n.r.</v>
      </c>
      <c r="AW94" s="8" t="str">
        <f ca="1">OFFSET(Database!$F94,0,COLUMN(Database!AT94)*2-12)</f>
        <v>n.r.</v>
      </c>
      <c r="AX94" s="8" t="str">
        <f ca="1">OFFSET(Database!$F94,0,COLUMN(Database!AU94)*2-12)</f>
        <v>n.r.</v>
      </c>
      <c r="AY94" s="8" t="str">
        <f ca="1">OFFSET(Database!$F94,0,COLUMN(Database!AV94)*2-12)</f>
        <v>n.r.</v>
      </c>
      <c r="AZ94" s="8" t="str">
        <f ca="1">OFFSET(Database!$F94,0,COLUMN(Database!AW94)*2-12)</f>
        <v>n.r.</v>
      </c>
      <c r="BA94" s="8" t="str">
        <f ca="1">OFFSET(Database!$F94,0,COLUMN(Database!AX94)*2-12)</f>
        <v>n.r.</v>
      </c>
      <c r="BB94" s="8" t="str">
        <f ca="1">OFFSET(Database!$F94,0,COLUMN(Database!AY94)*2-12)</f>
        <v>n.r.</v>
      </c>
      <c r="BC94" s="8" t="str">
        <f ca="1">OFFSET(Database!$F94,0,COLUMN(Database!AZ94)*2-12)</f>
        <v>n.r.</v>
      </c>
      <c r="BD94" s="8" t="str">
        <f ca="1">OFFSET(Database!$F94,0,COLUMN(Database!BA94)*2-12)</f>
        <v>n.r.</v>
      </c>
      <c r="BE94" s="8" t="str">
        <f ca="1">OFFSET(Database!$F94,0,COLUMN(Database!BB94)*2-12)</f>
        <v>n.r.</v>
      </c>
      <c r="BF94" s="8" t="str">
        <f ca="1">OFFSET(Database!$F94,0,COLUMN(Database!BC94)*2-12)</f>
        <v>n.r.</v>
      </c>
      <c r="BG94" s="8" t="str">
        <f ca="1">OFFSET(Database!$F94,0,COLUMN(Database!BD94)*2-12)</f>
        <v>n.r.</v>
      </c>
      <c r="BH94" s="8" t="str">
        <f ca="1">OFFSET(Database!$F94,0,COLUMN(Database!BE94)*2-12)</f>
        <v>n.r.</v>
      </c>
      <c r="BI94" s="8" t="str">
        <f ca="1">OFFSET(Database!$F94,0,COLUMN(Database!BF94)*2-12)</f>
        <v>n.r.</v>
      </c>
      <c r="BJ94" s="8" t="str">
        <f ca="1">OFFSET(Database!$F94,0,COLUMN(Database!BG94)*2-12)</f>
        <v>n.r.</v>
      </c>
      <c r="BK94" s="8" t="str">
        <f ca="1">OFFSET(Database!$F94,0,COLUMN(Database!BH94)*2-12)</f>
        <v>n.r.</v>
      </c>
      <c r="BL94" s="8" t="str">
        <f ca="1">OFFSET(Database!$F94,0,COLUMN(Database!BI94)*2-12)</f>
        <v>n.r.</v>
      </c>
      <c r="BM94" s="8" t="str">
        <f ca="1">OFFSET(Database!$F94,0,COLUMN(Database!BJ94)*2-12)</f>
        <v>n.r.</v>
      </c>
      <c r="BN94" s="8" t="str">
        <f ca="1">OFFSET(Database!$F94,0,COLUMN(Database!BK94)*2-12)</f>
        <v>n.r.</v>
      </c>
      <c r="BO94" s="8" t="str">
        <f ca="1">OFFSET(Database!$F94,0,COLUMN(Database!BL94)*2-12)</f>
        <v>n.r.</v>
      </c>
      <c r="BP94" s="8" t="str">
        <f ca="1">OFFSET(Database!$F94,0,COLUMN(Database!BM94)*2-12)</f>
        <v>n.r.</v>
      </c>
      <c r="BQ94" s="8" t="str">
        <f ca="1">OFFSET(Database!$F94,0,COLUMN(Database!BN94)*2-12)</f>
        <v>n.r.</v>
      </c>
      <c r="BR94" s="8" t="str">
        <f ca="1">OFFSET(Database!$F94,0,COLUMN(Database!BO94)*2-12)</f>
        <v>n.r.</v>
      </c>
      <c r="BS94" s="8" t="str">
        <f ca="1">OFFSET(Database!$F94,0,COLUMN(Database!BP94)*2-12)</f>
        <v>n.r.</v>
      </c>
      <c r="BT94" s="8" t="str">
        <f ca="1">OFFSET(Database!$F94,0,COLUMN(Database!BQ94)*2-12)</f>
        <v>n.r.</v>
      </c>
      <c r="BU94" s="8" t="str">
        <f ca="1">OFFSET(Database!$F94,0,COLUMN(Database!BR94)*2-12)</f>
        <v>n.r.</v>
      </c>
      <c r="BV94" s="8" t="str">
        <f ca="1">OFFSET(Database!$F94,0,COLUMN(Database!BS94)*2-12)</f>
        <v>n.r.</v>
      </c>
      <c r="BW94" s="8" t="str">
        <f ca="1">OFFSET(Database!$F94,0,COLUMN(Database!BT94)*2-12)</f>
        <v>n.r.</v>
      </c>
      <c r="BX94" s="8" t="str">
        <f ca="1">OFFSET(Database!$F94,0,COLUMN(Database!BU94)*2-12)</f>
        <v>n.r.</v>
      </c>
      <c r="BY94" s="8" t="str">
        <f ca="1">OFFSET(Database!$F94,0,COLUMN(Database!BV94)*2-12)</f>
        <v>n.r.</v>
      </c>
      <c r="BZ94" s="8" t="str">
        <f ca="1">OFFSET(Database!$F94,0,COLUMN(Database!BW94)*2-12)</f>
        <v>n.r.</v>
      </c>
      <c r="CA94" s="8" t="str">
        <f ca="1">OFFSET(Database!$F94,0,COLUMN(Database!BX94)*2-12)</f>
        <v>n.r.</v>
      </c>
      <c r="CB94" s="8" t="str">
        <f ca="1">OFFSET(Database!$F94,0,COLUMN(Database!BY94)*2-12)</f>
        <v>n.r.</v>
      </c>
      <c r="CC94" s="8" t="str">
        <f ca="1">OFFSET(Database!$F94,0,COLUMN(Database!BZ94)*2-12)</f>
        <v>n.r.</v>
      </c>
      <c r="CD94" s="8" t="str">
        <f ca="1">OFFSET(Database!$F94,0,COLUMN(Database!CA94)*2-12)</f>
        <v>n.r.</v>
      </c>
      <c r="CE94" s="8" t="str">
        <f ca="1">OFFSET(Database!$F94,0,COLUMN(Database!CB94)*2-12)</f>
        <v>n.r.</v>
      </c>
      <c r="CF94" s="8" t="str">
        <f ca="1">OFFSET(Database!$F94,0,COLUMN(Database!CC94)*2-12)</f>
        <v>n.r.</v>
      </c>
      <c r="CG94" s="8" t="str">
        <f ca="1">OFFSET(Database!$F94,0,COLUMN(Database!CD94)*2-12)</f>
        <v>n.r.</v>
      </c>
      <c r="CH94" s="8" t="str">
        <f ca="1">OFFSET(Database!$F94,0,COLUMN(Database!CE94)*2-12)</f>
        <v>n.r.</v>
      </c>
      <c r="CI94" s="8" t="str">
        <f ca="1">OFFSET(Database!$F94,0,COLUMN(Database!CF94)*2-12)</f>
        <v>n.r.</v>
      </c>
      <c r="CJ94" s="8" t="str">
        <f ca="1">OFFSET(Database!$F94,0,COLUMN(Database!CG94)*2-12)</f>
        <v>n.r.</v>
      </c>
      <c r="CK94" s="8" t="str">
        <f ca="1">OFFSET(Database!$F94,0,COLUMN(Database!CH94)*2-12)</f>
        <v>n.r.</v>
      </c>
      <c r="CL94" s="8" t="str">
        <f ca="1">OFFSET(Database!$F94,0,COLUMN(Database!CI94)*2-12)</f>
        <v>n.r.</v>
      </c>
      <c r="CM94" s="8" t="str">
        <f ca="1">OFFSET(Database!$F94,0,COLUMN(Database!CJ94)*2-12)</f>
        <v>n.r.</v>
      </c>
      <c r="CN94" s="8" t="str">
        <f ca="1">OFFSET(Database!$F94,0,COLUMN(Database!CK94)*2-12)</f>
        <v>n.r.</v>
      </c>
      <c r="CO94" s="8" t="str">
        <f ca="1">OFFSET(Database!$F94,0,COLUMN(Database!CL94)*2-12)</f>
        <v>n.r.</v>
      </c>
      <c r="CP94" s="8" t="str">
        <f ca="1">OFFSET(Database!$F94,0,COLUMN(Database!CM94)*2-12)</f>
        <v>&lt;0.1</v>
      </c>
      <c r="CQ94" s="8" t="str">
        <f ca="1">OFFSET(Database!$F94,0,COLUMN(Database!CN94)*2-12)</f>
        <v>&lt;0.1</v>
      </c>
      <c r="CR94" s="8" t="str">
        <f ca="1">OFFSET(Database!$F94,0,COLUMN(Database!CO94)*2-12)</f>
        <v>&lt;0.1</v>
      </c>
      <c r="CS94" s="8" t="str">
        <f ca="1">OFFSET(Database!$F94,0,COLUMN(Database!CP94)*2-12)</f>
        <v>&lt;0.1</v>
      </c>
      <c r="CT94" s="8" t="str">
        <f ca="1">OFFSET(Database!$F94,0,COLUMN(Database!CQ94)*2-12)</f>
        <v>&lt;0.1</v>
      </c>
      <c r="CU94" s="8" t="str">
        <f ca="1">OFFSET(Database!$F94,0,COLUMN(Database!CR94)*2-12)</f>
        <v>&lt;0.1</v>
      </c>
      <c r="CV94" s="8" t="str">
        <f ca="1">OFFSET(Database!$F94,0,COLUMN(Database!CS94)*2-12)</f>
        <v>&lt;0.1</v>
      </c>
      <c r="CW94" s="8" t="str">
        <f ca="1">OFFSET(Database!$F94,0,COLUMN(Database!CT94)*2-12)</f>
        <v>&lt;0.1</v>
      </c>
      <c r="CX94" s="8">
        <f ca="1">OFFSET(Database!$F94,0,COLUMN(Database!CU94)*2-12)</f>
        <v>2.91</v>
      </c>
      <c r="CY94" s="8" t="str">
        <f ca="1">OFFSET(Database!$F94,0,COLUMN(Database!CV94)*2-12)</f>
        <v>&lt;0.1</v>
      </c>
      <c r="CZ94" s="8" t="str">
        <f ca="1">OFFSET(Database!$F94,0,COLUMN(Database!CW94)*2-12)</f>
        <v>&lt;0.1</v>
      </c>
      <c r="DA94" s="8" t="str">
        <f ca="1">OFFSET(Database!$F94,0,COLUMN(Database!CX94)*2-12)</f>
        <v>&lt;0.1</v>
      </c>
      <c r="DB94" s="8" t="str">
        <f ca="1">OFFSET(Database!$F94,0,COLUMN(Database!CY94)*2-12)</f>
        <v>&lt;0.04</v>
      </c>
      <c r="DC94" s="8" t="str">
        <f ca="1">OFFSET(Database!$F94,0,COLUMN(Database!CZ94)*2-12)</f>
        <v>&lt;0.04</v>
      </c>
      <c r="DD94" s="8" t="str">
        <f ca="1">OFFSET(Database!$F94,0,COLUMN(Database!DA94)*2-12)</f>
        <v>n.r.</v>
      </c>
      <c r="DE94" s="8" t="str">
        <f ca="1">OFFSET(Database!$F94,0,COLUMN(Database!DB94)*2-12)</f>
        <v>n.r.</v>
      </c>
      <c r="DF94" s="8" t="str">
        <f ca="1">OFFSET(Database!$F94,0,COLUMN(Database!DC94)*2-12)</f>
        <v>n.r.</v>
      </c>
      <c r="DG94" s="8" t="str">
        <f ca="1">OFFSET(Database!$F94,0,COLUMN(Database!DD94)*2-12)</f>
        <v>n.r.</v>
      </c>
      <c r="DH94" s="8" t="str">
        <f ca="1">OFFSET(Database!$F94,0,COLUMN(Database!DE94)*2-12)</f>
        <v>n.r.</v>
      </c>
      <c r="DI94" s="8" t="str">
        <f ca="1">OFFSET(Database!$F94,0,COLUMN(Database!DF94)*2-12)</f>
        <v>n.r.</v>
      </c>
      <c r="DJ94" s="8" t="str">
        <f ca="1">OFFSET(Database!$F94,0,COLUMN(Database!DG94)*2-12)</f>
        <v>n.r.</v>
      </c>
      <c r="DK94" s="8" t="str">
        <f ca="1">OFFSET(Database!$F94,0,COLUMN(Database!DH94)*2-12)</f>
        <v>n.r.</v>
      </c>
      <c r="DL94" s="8" t="str">
        <f ca="1">OFFSET(Database!$F94,0,COLUMN(Database!DI94)*2-12)</f>
        <v>n.r.</v>
      </c>
      <c r="DM94" s="8" t="str">
        <f ca="1">OFFSET(Database!$F94,0,COLUMN(Database!DJ94)*2-12)</f>
        <v>n.r.</v>
      </c>
      <c r="DN94" s="8" t="str">
        <f ca="1">OFFSET(Database!$F94,0,COLUMN(Database!DK94)*2-12)</f>
        <v>n.r.</v>
      </c>
      <c r="DO94" s="8" t="str">
        <f ca="1">OFFSET(Database!$F94,0,COLUMN(Database!DL94)*2-12)</f>
        <v>n.r.</v>
      </c>
      <c r="DP94" s="8" t="str">
        <f ca="1">OFFSET(Database!$F94,0,COLUMN(Database!DM94)*2-12)</f>
        <v>n.r.</v>
      </c>
      <c r="DQ94" s="8" t="str">
        <f ca="1">OFFSET(Database!$F94,0,COLUMN(Database!DN94)*2-12)</f>
        <v>n.r.</v>
      </c>
      <c r="DR94" s="8" t="str">
        <f ca="1">OFFSET(Database!$F94,0,COLUMN(Database!DO94)*2-12)</f>
        <v>n.r.</v>
      </c>
      <c r="DS94" s="8" t="str">
        <f ca="1">OFFSET(Database!$F94,0,COLUMN(Database!DP94)*2-12)</f>
        <v>n.r.</v>
      </c>
      <c r="DT94" s="8" t="str">
        <f ca="1">OFFSET(Database!$F94,0,COLUMN(Database!DQ94)*2-12)</f>
        <v>n.r.</v>
      </c>
      <c r="DU94" s="8" t="str">
        <f ca="1">OFFSET(Database!$F94,0,COLUMN(Database!DR94)*2-12)</f>
        <v>n.r.</v>
      </c>
      <c r="DV94" s="8" t="str">
        <f ca="1">OFFSET(Database!$F94,0,COLUMN(Database!DS94)*2-12)</f>
        <v>n.r.</v>
      </c>
      <c r="DW94" s="8">
        <f ca="1">OFFSET(Database!$F94,0,COLUMN(Database!DT94)*2-12)</f>
        <v>1.6</v>
      </c>
      <c r="DX94" s="8">
        <f ca="1">OFFSET(Database!$F94,0,COLUMN(Database!DU94)*2-12)</f>
        <v>1.3</v>
      </c>
      <c r="DY94" s="8">
        <f ca="1">OFFSET(Database!$F94,0,COLUMN(Database!DV94)*2-12)</f>
        <v>0.5</v>
      </c>
      <c r="DZ94" s="8">
        <f ca="1">OFFSET(Database!$F94,0,COLUMN(Database!DW94)*2-12)</f>
        <v>1.3</v>
      </c>
      <c r="EA94" s="8">
        <f ca="1">OFFSET(Database!$F94,0,COLUMN(Database!DX94)*2-12)</f>
        <v>67</v>
      </c>
      <c r="EB94" s="8">
        <f ca="1">OFFSET(Database!$F94,0,COLUMN(Database!DY94)*2-12)</f>
        <v>1.8</v>
      </c>
      <c r="EC94" s="8" t="str">
        <f ca="1">OFFSET(Database!$F94,0,COLUMN(Database!DZ94)*2-12)</f>
        <v>n.r.</v>
      </c>
      <c r="ED94" s="8">
        <f ca="1">OFFSET(Database!$F94,0,COLUMN(Database!EA94)*2-12)</f>
        <v>7.7</v>
      </c>
      <c r="EE94" s="8">
        <f ca="1">OFFSET(Database!$F94,0,COLUMN(Database!EB94)*2-12)</f>
        <v>870</v>
      </c>
      <c r="EF94" s="8">
        <f ca="1">OFFSET(Database!$F94,0,COLUMN(Database!EC94)*2-12)</f>
        <v>680</v>
      </c>
      <c r="EG94" s="8">
        <f ca="1">OFFSET(Database!$F94,0,COLUMN(Database!ED94)*2-12)</f>
        <v>400</v>
      </c>
      <c r="EH94" s="8">
        <f ca="1">OFFSET(Database!$F94,0,COLUMN(Database!EE94)*2-12)</f>
        <v>50</v>
      </c>
      <c r="EI94" s="8">
        <f ca="1">OFFSET(Database!$F94,0,COLUMN(Database!EF94)*2-12)</f>
        <v>8.3000000000000004E-2</v>
      </c>
      <c r="EJ94" s="8">
        <f ca="1">OFFSET(Database!$F94,0,COLUMN(Database!EG94)*2-12)</f>
        <v>7.8E-2</v>
      </c>
      <c r="EK94" s="8">
        <f ca="1">OFFSET(Database!$F94,0,COLUMN(Database!EH94)*2-12)</f>
        <v>9.9000000000000005E-2</v>
      </c>
      <c r="EL94" s="8">
        <f ca="1">OFFSET(Database!$F94,0,COLUMN(Database!EI94)*2-12)</f>
        <v>0.316</v>
      </c>
      <c r="EM94" s="8">
        <f ca="1">OFFSET(Database!$F94,0,COLUMN(Database!EJ94)*2-12)</f>
        <v>0.28999999999999998</v>
      </c>
      <c r="EN94" s="8">
        <f ca="1">OFFSET(Database!$F94,0,COLUMN(Database!EK94)*2-12)</f>
        <v>0.214</v>
      </c>
      <c r="EO94" s="8">
        <f ca="1">OFFSET(Database!$F94,0,COLUMN(Database!EL94)*2-12)</f>
        <v>0.34699999999999998</v>
      </c>
      <c r="EP94" s="8">
        <f ca="1">OFFSET(Database!$F94,0,COLUMN(Database!EM94)*2-12)</f>
        <v>0.23599999999999999</v>
      </c>
      <c r="EQ94" s="8">
        <f ca="1">OFFSET(Database!$F94,0,COLUMN(Database!EN94)*2-12)</f>
        <v>18.18</v>
      </c>
      <c r="ER94" s="8" t="str">
        <f ca="1">OFFSET(Database!$F94,0,COLUMN(Database!EO94)*2-12)</f>
        <v>n.r.</v>
      </c>
      <c r="ES94" s="8" t="str">
        <f ca="1">OFFSET(Database!$F94,0,COLUMN(Database!EP94)*2-12)</f>
        <v>n.r.</v>
      </c>
      <c r="ET94" s="8" t="str">
        <f ca="1">OFFSET(Database!$F94,0,COLUMN(Database!EQ94)*2-12)</f>
        <v>n.r.</v>
      </c>
      <c r="EU94" s="8" t="str">
        <f ca="1">OFFSET(Database!$F94,0,COLUMN(Database!ER94)*2-12)</f>
        <v>n.r.</v>
      </c>
      <c r="EV94" s="8" t="str">
        <f ca="1">OFFSET(Database!$F94,0,COLUMN(Database!ES94)*2-12)</f>
        <v>n.r.</v>
      </c>
      <c r="EW94" s="8">
        <f ca="1">OFFSET(Database!$F94,0,COLUMN(Database!ET94)*2-12)</f>
        <v>43600</v>
      </c>
      <c r="EX94" s="8">
        <f ca="1">OFFSET(Database!$F94,0,COLUMN(Database!EU94)*2-12)</f>
        <v>498000</v>
      </c>
      <c r="EY94" s="8">
        <f ca="1">OFFSET(Database!$F94,0,COLUMN(Database!EV94)*2-12)</f>
        <v>33700</v>
      </c>
      <c r="EZ94" s="8">
        <f ca="1">OFFSET(Database!$F94,0,COLUMN(Database!EW94)*2-12)</f>
        <v>112000</v>
      </c>
      <c r="FA94" s="8">
        <f ca="1">OFFSET(Database!$F94,0,COLUMN(Database!EX94)*2-12)</f>
        <v>156400</v>
      </c>
      <c r="FB94" s="8" t="str">
        <f ca="1">OFFSET(Database!$F94,0,COLUMN(Database!EY94)*2-12)</f>
        <v>n.r.</v>
      </c>
      <c r="FC94" s="8" t="str">
        <f ca="1">OFFSET(Database!$F94,0,COLUMN(Database!EZ94)*2-12)</f>
        <v>n.r.</v>
      </c>
      <c r="FD94" s="8" t="str">
        <f ca="1">OFFSET(Database!$F94,0,COLUMN(Database!FA94)*2-12)</f>
        <v>n.r.</v>
      </c>
      <c r="FE94" s="8" t="str">
        <f ca="1">OFFSET(Database!$F94,0,COLUMN(Database!FB94)*2-12)</f>
        <v>n.r.</v>
      </c>
      <c r="FF94" s="8" t="str">
        <f ca="1">OFFSET(Database!$F94,0,COLUMN(Database!FC94)*2-12)</f>
        <v>n.r.</v>
      </c>
      <c r="FG94" s="8">
        <f ca="1">OFFSET(Database!$F94,0,COLUMN(Database!FD94)*2-12)</f>
        <v>112068.30830220325</v>
      </c>
      <c r="FH94" s="8" t="str">
        <f ca="1">OFFSET(Database!$F94,0,COLUMN(Database!FE94)*2-12)</f>
        <v>n.r.</v>
      </c>
      <c r="FI94" s="8" t="str">
        <f ca="1">OFFSET(Database!$F94,0,COLUMN(Database!FF94)*2-12)</f>
        <v>n.r.</v>
      </c>
      <c r="FJ94" s="8" t="str">
        <f ca="1">OFFSET(Database!$F94,0,COLUMN(Database!FG94)*2-12)</f>
        <v>n.r.</v>
      </c>
      <c r="FK94" s="8">
        <f ca="1">OFFSET(Database!$F94,0,COLUMN(Database!FH94)*2-12)</f>
        <v>240146.37493329271</v>
      </c>
      <c r="FL94" s="8">
        <f ca="1">OFFSET(Database!$F94,0,COLUMN(Database!FI94)*2-12)</f>
        <v>256156.13326217889</v>
      </c>
      <c r="FM94" s="8">
        <f ca="1">OFFSET(Database!$F94,0,COLUMN(Database!FJ94)*2-12)</f>
        <v>26682.930548143628</v>
      </c>
      <c r="FN94" s="8">
        <f ca="1">OFFSET(Database!$F94,0,COLUMN(Database!FK94)*2-12)</f>
        <v>319432.79713349097</v>
      </c>
      <c r="FO94" s="8">
        <f ca="1">OFFSET(Database!$F94,0,COLUMN(Database!FL94)*2-12)</f>
        <v>324007.01379888697</v>
      </c>
      <c r="FP94" s="8">
        <f ca="1">OFFSET(Database!$F94,0,COLUMN(Database!FM94)*2-12)</f>
        <v>227948.46382556992</v>
      </c>
      <c r="FQ94" s="8">
        <f ca="1">OFFSET(Database!$F94,0,COLUMN(Database!FN94)*2-12)</f>
        <v>6251.4294427079367</v>
      </c>
      <c r="FR94" s="8">
        <f ca="1">OFFSET(Database!$F94,0,COLUMN(Database!FO94)*2-12)</f>
        <v>6480.1402759777393</v>
      </c>
      <c r="FS94" s="8">
        <f ca="1">OFFSET(Database!$F94,0,COLUMN(Database!FP94)*2-12)</f>
        <v>6937.5619425173445</v>
      </c>
      <c r="FT94" s="8">
        <f ca="1">OFFSET(Database!$F94,0,COLUMN(Database!FQ94)*2-12)</f>
        <v>6022.7186094381341</v>
      </c>
      <c r="FU94" s="8">
        <f ca="1">OFFSET(Database!$F94,0,COLUMN(Database!FR94)*2-12)</f>
        <v>5403</v>
      </c>
      <c r="FV94" s="8">
        <f ca="1">OFFSET(Database!$F94,0,COLUMN(Database!FS94)*2-12)</f>
        <v>4615</v>
      </c>
      <c r="FW94" s="8">
        <f ca="1">OFFSET(Database!$F94,0,COLUMN(Database!FT94)*2-12)</f>
        <v>4382</v>
      </c>
      <c r="FX94" s="8">
        <f ca="1">OFFSET(Database!$F94,0,COLUMN(Database!FU94)*2-12)</f>
        <v>4217</v>
      </c>
      <c r="FY94" s="8">
        <f ca="1">OFFSET(Database!$F94,0,COLUMN(Database!FV94)*2-12)</f>
        <v>5164</v>
      </c>
      <c r="FZ94" s="8">
        <f ca="1">OFFSET(Database!$F94,0,COLUMN(Database!FW94)*2-12)</f>
        <v>4564</v>
      </c>
      <c r="GA94" s="8">
        <f ca="1">OFFSET(Database!$F94,0,COLUMN(Database!FX94)*2-12)</f>
        <v>5181</v>
      </c>
      <c r="GB94" s="8">
        <f ca="1">OFFSET(Database!$F94,0,COLUMN(Database!FY94)*2-12)</f>
        <v>5511</v>
      </c>
      <c r="GC94" s="8">
        <f ca="1">OFFSET(Database!$F94,0,COLUMN(Database!FZ94)*2-12)</f>
        <v>6076</v>
      </c>
      <c r="GD94" s="8">
        <f ca="1">OFFSET(Database!$F94,0,COLUMN(Database!GA94)*2-12)</f>
        <v>5229</v>
      </c>
      <c r="GE94" s="8">
        <f ca="1">OFFSET(Database!$F94,0,COLUMN(Database!GB94)*2-12)</f>
        <v>4736</v>
      </c>
      <c r="GF94" s="8">
        <f ca="1">OFFSET(Database!$F94,0,COLUMN(Database!GC94)*2-12)</f>
        <v>5733</v>
      </c>
      <c r="GG94" s="8">
        <f ca="1">OFFSET(Database!$F94,0,COLUMN(Database!GD94)*2-12)</f>
        <v>3606.0074712205537</v>
      </c>
      <c r="GH94" s="8">
        <f ca="1">OFFSET(Database!$F94,0,COLUMN(Database!GE94)*2-12)</f>
        <v>21498.818327361441</v>
      </c>
      <c r="GI94" s="8">
        <f ca="1">OFFSET(Database!$F94,0,COLUMN(Database!GF94)*2-12)</f>
        <v>10063.276663871313</v>
      </c>
      <c r="GJ94" s="8">
        <f ca="1">OFFSET(Database!$F94,0,COLUMN(Database!GG94)*2-12)</f>
        <v>4985.8961652816961</v>
      </c>
      <c r="GK94" s="8">
        <f ca="1">OFFSET(Database!$F94,0,COLUMN(Database!GH94)*2-12)</f>
        <v>24624.53304871541</v>
      </c>
      <c r="GL94" s="8">
        <f ca="1">OFFSET(Database!$F94,0,COLUMN(Database!GI94)*2-12)</f>
        <v>3514.5231379126326</v>
      </c>
      <c r="GM94" s="8">
        <f ca="1">OFFSET(Database!$F94,0,COLUMN(Database!GJ94)*2-12)</f>
        <v>13.722649996188155</v>
      </c>
      <c r="GN94" s="8">
        <f ca="1">OFFSET(Database!$F94,0,COLUMN(Database!GK94)*2-12)</f>
        <v>266829.30548143631</v>
      </c>
      <c r="GO94" s="8" t="str">
        <f ca="1">OFFSET(Database!$F94,0,COLUMN(Database!GL94)*2-12)</f>
        <v>n.r.</v>
      </c>
      <c r="GP94" s="8" t="str">
        <f ca="1">OFFSET(Database!$F94,0,COLUMN(Database!GM94)*2-12)</f>
        <v>n.r.</v>
      </c>
    </row>
    <row r="95" spans="1:198" x14ac:dyDescent="0.2">
      <c r="A95" s="50" t="str">
        <f>Database!A95</f>
        <v>alloisoleucine</v>
      </c>
      <c r="B95" s="1" t="s">
        <v>881</v>
      </c>
      <c r="C95" s="4" t="str">
        <f>Database!B95</f>
        <v>ɑ</v>
      </c>
      <c r="D95" s="4" t="str">
        <f>Database!C95</f>
        <v>Both</v>
      </c>
      <c r="E95" s="74">
        <f>Database!D95</f>
        <v>9</v>
      </c>
      <c r="F95" s="32" t="s">
        <v>1068</v>
      </c>
      <c r="G95" s="1" t="s">
        <v>1117</v>
      </c>
      <c r="H95" s="1">
        <f>Database!E95</f>
        <v>131.16999999999999</v>
      </c>
      <c r="I95" s="8" t="str">
        <f ca="1">OFFSET(Database!$F95,0,COLUMN(Database!F95)*2-12)</f>
        <v>n.r.</v>
      </c>
      <c r="J95" s="8" t="str">
        <f ca="1">OFFSET(Database!$F95,0,COLUMN(Database!G95)*2-12)</f>
        <v>n.r.</v>
      </c>
      <c r="K95" s="8" t="str">
        <f ca="1">OFFSET(Database!$F95,0,COLUMN(Database!H95)*2-12)</f>
        <v>n.r.</v>
      </c>
      <c r="L95" s="8" t="str">
        <f ca="1">OFFSET(Database!$F95,0,COLUMN(Database!I95)*2-12)</f>
        <v>n.r.</v>
      </c>
      <c r="M95" s="8" t="str">
        <f ca="1">OFFSET(Database!$F95,0,COLUMN(Database!J95)*2-12)</f>
        <v>n.r.</v>
      </c>
      <c r="N95" s="8" t="str">
        <f ca="1">OFFSET(Database!$F95,0,COLUMN(Database!K95)*2-12)</f>
        <v>n.r.</v>
      </c>
      <c r="O95" s="8" t="str">
        <f ca="1">OFFSET(Database!$F95,0,COLUMN(Database!L95)*2-12)</f>
        <v>n.r.</v>
      </c>
      <c r="P95" s="8" t="str">
        <f ca="1">OFFSET(Database!$F95,0,COLUMN(Database!M95)*2-12)</f>
        <v>n.r.</v>
      </c>
      <c r="Q95" s="8" t="str">
        <f ca="1">OFFSET(Database!$F95,0,COLUMN(Database!N95)*2-12)</f>
        <v>n.r.</v>
      </c>
      <c r="R95" s="8" t="str">
        <f ca="1">OFFSET(Database!$F95,0,COLUMN(Database!O95)*2-12)</f>
        <v>n.r.</v>
      </c>
      <c r="S95" s="8" t="str">
        <f ca="1">OFFSET(Database!$F95,0,COLUMN(Database!P95)*2-12)</f>
        <v>n.r.</v>
      </c>
      <c r="T95" s="8" t="str">
        <f ca="1">OFFSET(Database!$F95,0,COLUMN(Database!Q95)*2-12)</f>
        <v>n.r.</v>
      </c>
      <c r="U95" s="8" t="str">
        <f ca="1">OFFSET(Database!$F95,0,COLUMN(Database!R95)*2-12)</f>
        <v>n.r.</v>
      </c>
      <c r="V95" s="8" t="str">
        <f ca="1">OFFSET(Database!$F95,0,COLUMN(Database!S95)*2-12)</f>
        <v>n.r.</v>
      </c>
      <c r="W95" s="8" t="str">
        <f ca="1">OFFSET(Database!$F95,0,COLUMN(Database!T95)*2-12)</f>
        <v>n.r.</v>
      </c>
      <c r="X95" s="8" t="str">
        <f ca="1">OFFSET(Database!$F95,0,COLUMN(Database!U95)*2-12)</f>
        <v>n.r.</v>
      </c>
      <c r="Y95" s="8" t="str">
        <f ca="1">OFFSET(Database!$F95,0,COLUMN(Database!V95)*2-12)</f>
        <v>n.r.</v>
      </c>
      <c r="Z95" s="8" t="str">
        <f ca="1">OFFSET(Database!$F95,0,COLUMN(Database!W95)*2-12)</f>
        <v>n.r.</v>
      </c>
      <c r="AA95" s="8" t="str">
        <f ca="1">OFFSET(Database!$F95,0,COLUMN(Database!X95)*2-12)</f>
        <v>n.r.</v>
      </c>
      <c r="AB95" s="8" t="str">
        <f ca="1">OFFSET(Database!$F95,0,COLUMN(Database!Y95)*2-12)</f>
        <v>n.r.</v>
      </c>
      <c r="AC95" s="8" t="str">
        <f ca="1">OFFSET(Database!$F95,0,COLUMN(Database!Z95)*2-12)</f>
        <v>n.r.</v>
      </c>
      <c r="AD95" s="8" t="str">
        <f ca="1">OFFSET(Database!$F95,0,COLUMN(Database!AA95)*2-12)</f>
        <v>n.r.</v>
      </c>
      <c r="AE95" s="8" t="str">
        <f ca="1">OFFSET(Database!$F95,0,COLUMN(Database!AB95)*2-12)</f>
        <v>n.r.</v>
      </c>
      <c r="AF95" s="8" t="str">
        <f ca="1">OFFSET(Database!$F95,0,COLUMN(Database!AC95)*2-12)</f>
        <v>n.r.</v>
      </c>
      <c r="AG95" s="8" t="str">
        <f ca="1">OFFSET(Database!$F95,0,COLUMN(Database!AD95)*2-12)</f>
        <v>n.r.</v>
      </c>
      <c r="AH95" s="8" t="str">
        <f ca="1">OFFSET(Database!$F95,0,COLUMN(Database!AE95)*2-12)</f>
        <v>n.r.</v>
      </c>
      <c r="AI95" s="8" t="str">
        <f ca="1">OFFSET(Database!$F95,0,COLUMN(Database!AF95)*2-12)</f>
        <v>n.r.</v>
      </c>
      <c r="AJ95" s="8" t="str">
        <f ca="1">OFFSET(Database!$F95,0,COLUMN(Database!AG95)*2-12)</f>
        <v>n.r.</v>
      </c>
      <c r="AK95" s="8" t="str">
        <f ca="1">OFFSET(Database!$F95,0,COLUMN(Database!AH95)*2-12)</f>
        <v>n.r.</v>
      </c>
      <c r="AL95" s="8" t="str">
        <f ca="1">OFFSET(Database!$F95,0,COLUMN(Database!AI95)*2-12)</f>
        <v>n.r.</v>
      </c>
      <c r="AM95" s="8" t="str">
        <f ca="1">OFFSET(Database!$F95,0,COLUMN(Database!AJ95)*2-12)</f>
        <v>n.r.</v>
      </c>
      <c r="AN95" s="8" t="str">
        <f ca="1">OFFSET(Database!$F95,0,COLUMN(Database!AK95)*2-12)</f>
        <v>n.r.</v>
      </c>
      <c r="AO95" s="8" t="str">
        <f ca="1">OFFSET(Database!$F95,0,COLUMN(Database!AL95)*2-12)</f>
        <v>n.r.</v>
      </c>
      <c r="AP95" s="8" t="str">
        <f ca="1">OFFSET(Database!$F95,0,COLUMN(Database!AM95)*2-12)</f>
        <v>n.r.</v>
      </c>
      <c r="AQ95" s="8" t="str">
        <f ca="1">OFFSET(Database!$F95,0,COLUMN(Database!AN95)*2-12)</f>
        <v>n.r.</v>
      </c>
      <c r="AR95" s="8" t="str">
        <f ca="1">OFFSET(Database!$F95,0,COLUMN(Database!AO95)*2-12)</f>
        <v>n.r.</v>
      </c>
      <c r="AS95" s="8" t="str">
        <f ca="1">OFFSET(Database!$F95,0,COLUMN(Database!AP95)*2-12)</f>
        <v>n.r.</v>
      </c>
      <c r="AT95" s="8" t="str">
        <f ca="1">OFFSET(Database!$F95,0,COLUMN(Database!AQ95)*2-12)</f>
        <v>n.r.</v>
      </c>
      <c r="AU95" s="8" t="str">
        <f ca="1">OFFSET(Database!$F95,0,COLUMN(Database!AR95)*2-12)</f>
        <v>n.r.</v>
      </c>
      <c r="AV95" s="8" t="str">
        <f ca="1">OFFSET(Database!$F95,0,COLUMN(Database!AS95)*2-12)</f>
        <v>n.r.</v>
      </c>
      <c r="AW95" s="8" t="str">
        <f ca="1">OFFSET(Database!$F95,0,COLUMN(Database!AT95)*2-12)</f>
        <v>n.r.</v>
      </c>
      <c r="AX95" s="8" t="str">
        <f ca="1">OFFSET(Database!$F95,0,COLUMN(Database!AU95)*2-12)</f>
        <v>n.r.</v>
      </c>
      <c r="AY95" s="8" t="str">
        <f ca="1">OFFSET(Database!$F95,0,COLUMN(Database!AV95)*2-12)</f>
        <v>n.r.</v>
      </c>
      <c r="AZ95" s="8" t="str">
        <f ca="1">OFFSET(Database!$F95,0,COLUMN(Database!AW95)*2-12)</f>
        <v>n.r.</v>
      </c>
      <c r="BA95" s="8" t="str">
        <f ca="1">OFFSET(Database!$F95,0,COLUMN(Database!AX95)*2-12)</f>
        <v>n.r.</v>
      </c>
      <c r="BB95" s="8" t="str">
        <f ca="1">OFFSET(Database!$F95,0,COLUMN(Database!AY95)*2-12)</f>
        <v>n.r.</v>
      </c>
      <c r="BC95" s="8" t="str">
        <f ca="1">OFFSET(Database!$F95,0,COLUMN(Database!AZ95)*2-12)</f>
        <v>n.r.</v>
      </c>
      <c r="BD95" s="8" t="str">
        <f ca="1">OFFSET(Database!$F95,0,COLUMN(Database!BA95)*2-12)</f>
        <v>n.r.</v>
      </c>
      <c r="BE95" s="8" t="str">
        <f ca="1">OFFSET(Database!$F95,0,COLUMN(Database!BB95)*2-12)</f>
        <v>n.r.</v>
      </c>
      <c r="BF95" s="8" t="str">
        <f ca="1">OFFSET(Database!$F95,0,COLUMN(Database!BC95)*2-12)</f>
        <v>n.r.</v>
      </c>
      <c r="BG95" s="8" t="str">
        <f ca="1">OFFSET(Database!$F95,0,COLUMN(Database!BD95)*2-12)</f>
        <v>n.r.</v>
      </c>
      <c r="BH95" s="8" t="str">
        <f ca="1">OFFSET(Database!$F95,0,COLUMN(Database!BE95)*2-12)</f>
        <v>n.r.</v>
      </c>
      <c r="BI95" s="8" t="str">
        <f ca="1">OFFSET(Database!$F95,0,COLUMN(Database!BF95)*2-12)</f>
        <v>n.r.</v>
      </c>
      <c r="BJ95" s="8" t="str">
        <f ca="1">OFFSET(Database!$F95,0,COLUMN(Database!BG95)*2-12)</f>
        <v>n.r.</v>
      </c>
      <c r="BK95" s="8" t="str">
        <f ca="1">OFFSET(Database!$F95,0,COLUMN(Database!BH95)*2-12)</f>
        <v>n.r.</v>
      </c>
      <c r="BL95" s="8" t="str">
        <f ca="1">OFFSET(Database!$F95,0,COLUMN(Database!BI95)*2-12)</f>
        <v>n.r.</v>
      </c>
      <c r="BM95" s="8" t="str">
        <f ca="1">OFFSET(Database!$F95,0,COLUMN(Database!BJ95)*2-12)</f>
        <v>n.r.</v>
      </c>
      <c r="BN95" s="8" t="str">
        <f ca="1">OFFSET(Database!$F95,0,COLUMN(Database!BK95)*2-12)</f>
        <v>n.r.</v>
      </c>
      <c r="BO95" s="8" t="str">
        <f ca="1">OFFSET(Database!$F95,0,COLUMN(Database!BL95)*2-12)</f>
        <v>n.r.</v>
      </c>
      <c r="BP95" s="8" t="str">
        <f ca="1">OFFSET(Database!$F95,0,COLUMN(Database!BM95)*2-12)</f>
        <v>n.r.</v>
      </c>
      <c r="BQ95" s="8" t="str">
        <f ca="1">OFFSET(Database!$F95,0,COLUMN(Database!BN95)*2-12)</f>
        <v>n.r.</v>
      </c>
      <c r="BR95" s="8" t="str">
        <f ca="1">OFFSET(Database!$F95,0,COLUMN(Database!BO95)*2-12)</f>
        <v>n.r.</v>
      </c>
      <c r="BS95" s="8" t="str">
        <f ca="1">OFFSET(Database!$F95,0,COLUMN(Database!BP95)*2-12)</f>
        <v>n.r.</v>
      </c>
      <c r="BT95" s="8" t="str">
        <f ca="1">OFFSET(Database!$F95,0,COLUMN(Database!BQ95)*2-12)</f>
        <v>n.r.</v>
      </c>
      <c r="BU95" s="8" t="str">
        <f ca="1">OFFSET(Database!$F95,0,COLUMN(Database!BR95)*2-12)</f>
        <v>n.r.</v>
      </c>
      <c r="BV95" s="8" t="str">
        <f ca="1">OFFSET(Database!$F95,0,COLUMN(Database!BS95)*2-12)</f>
        <v>n.r.</v>
      </c>
      <c r="BW95" s="8" t="str">
        <f ca="1">OFFSET(Database!$F95,0,COLUMN(Database!BT95)*2-12)</f>
        <v>n.r.</v>
      </c>
      <c r="BX95" s="8" t="str">
        <f ca="1">OFFSET(Database!$F95,0,COLUMN(Database!BU95)*2-12)</f>
        <v>n.r.</v>
      </c>
      <c r="BY95" s="8" t="str">
        <f ca="1">OFFSET(Database!$F95,0,COLUMN(Database!BV95)*2-12)</f>
        <v>n.r.</v>
      </c>
      <c r="BZ95" s="8" t="str">
        <f ca="1">OFFSET(Database!$F95,0,COLUMN(Database!BW95)*2-12)</f>
        <v>n.r.</v>
      </c>
      <c r="CA95" s="8" t="str">
        <f ca="1">OFFSET(Database!$F95,0,COLUMN(Database!BX95)*2-12)</f>
        <v>n.r.</v>
      </c>
      <c r="CB95" s="8" t="str">
        <f ca="1">OFFSET(Database!$F95,0,COLUMN(Database!BY95)*2-12)</f>
        <v>n.r.</v>
      </c>
      <c r="CC95" s="8" t="str">
        <f ca="1">OFFSET(Database!$F95,0,COLUMN(Database!BZ95)*2-12)</f>
        <v>n.r.</v>
      </c>
      <c r="CD95" s="8" t="str">
        <f ca="1">OFFSET(Database!$F95,0,COLUMN(Database!CA95)*2-12)</f>
        <v>n.r.</v>
      </c>
      <c r="CE95" s="8" t="str">
        <f ca="1">OFFSET(Database!$F95,0,COLUMN(Database!CB95)*2-12)</f>
        <v>n.r.</v>
      </c>
      <c r="CF95" s="8" t="str">
        <f ca="1">OFFSET(Database!$F95,0,COLUMN(Database!CC95)*2-12)</f>
        <v>n.r.</v>
      </c>
      <c r="CG95" s="8" t="str">
        <f ca="1">OFFSET(Database!$F95,0,COLUMN(Database!CD95)*2-12)</f>
        <v>n.r.</v>
      </c>
      <c r="CH95" s="8" t="str">
        <f ca="1">OFFSET(Database!$F95,0,COLUMN(Database!CE95)*2-12)</f>
        <v>n.r.</v>
      </c>
      <c r="CI95" s="8" t="str">
        <f ca="1">OFFSET(Database!$F95,0,COLUMN(Database!CF95)*2-12)</f>
        <v>n.r.</v>
      </c>
      <c r="CJ95" s="8" t="str">
        <f ca="1">OFFSET(Database!$F95,0,COLUMN(Database!CG95)*2-12)</f>
        <v>n.r.</v>
      </c>
      <c r="CK95" s="8" t="str">
        <f ca="1">OFFSET(Database!$F95,0,COLUMN(Database!CH95)*2-12)</f>
        <v>n.r.</v>
      </c>
      <c r="CL95" s="8" t="str">
        <f ca="1">OFFSET(Database!$F95,0,COLUMN(Database!CI95)*2-12)</f>
        <v>n.r.</v>
      </c>
      <c r="CM95" s="8" t="str">
        <f ca="1">OFFSET(Database!$F95,0,COLUMN(Database!CJ95)*2-12)</f>
        <v>n.r.</v>
      </c>
      <c r="CN95" s="8" t="str">
        <f ca="1">OFFSET(Database!$F95,0,COLUMN(Database!CK95)*2-12)</f>
        <v>n.r.</v>
      </c>
      <c r="CO95" s="8" t="str">
        <f ca="1">OFFSET(Database!$F95,0,COLUMN(Database!CL95)*2-12)</f>
        <v>n.r.</v>
      </c>
      <c r="CP95" s="8" t="str">
        <f ca="1">OFFSET(Database!$F95,0,COLUMN(Database!CM95)*2-12)</f>
        <v>n.r.</v>
      </c>
      <c r="CQ95" s="8" t="str">
        <f ca="1">OFFSET(Database!$F95,0,COLUMN(Database!CN95)*2-12)</f>
        <v>n.r.</v>
      </c>
      <c r="CR95" s="8" t="str">
        <f ca="1">OFFSET(Database!$F95,0,COLUMN(Database!CO95)*2-12)</f>
        <v>n.r.</v>
      </c>
      <c r="CS95" s="8" t="str">
        <f ca="1">OFFSET(Database!$F95,0,COLUMN(Database!CP95)*2-12)</f>
        <v>n.r.</v>
      </c>
      <c r="CT95" s="8" t="str">
        <f ca="1">OFFSET(Database!$F95,0,COLUMN(Database!CQ95)*2-12)</f>
        <v>n.r.</v>
      </c>
      <c r="CU95" s="8" t="str">
        <f ca="1">OFFSET(Database!$F95,0,COLUMN(Database!CR95)*2-12)</f>
        <v>n.r.</v>
      </c>
      <c r="CV95" s="8" t="str">
        <f ca="1">OFFSET(Database!$F95,0,COLUMN(Database!CS95)*2-12)</f>
        <v>n.r.</v>
      </c>
      <c r="CW95" s="8" t="str">
        <f ca="1">OFFSET(Database!$F95,0,COLUMN(Database!CT95)*2-12)</f>
        <v>n.r.</v>
      </c>
      <c r="CX95" s="8" t="str">
        <f ca="1">OFFSET(Database!$F95,0,COLUMN(Database!CU95)*2-12)</f>
        <v>n.r.</v>
      </c>
      <c r="CY95" s="8" t="str">
        <f ca="1">OFFSET(Database!$F95,0,COLUMN(Database!CV95)*2-12)</f>
        <v>n.r.</v>
      </c>
      <c r="CZ95" s="8" t="str">
        <f ca="1">OFFSET(Database!$F95,0,COLUMN(Database!CW95)*2-12)</f>
        <v>n.r.</v>
      </c>
      <c r="DA95" s="8" t="str">
        <f ca="1">OFFSET(Database!$F95,0,COLUMN(Database!CX95)*2-12)</f>
        <v>n.r.</v>
      </c>
      <c r="DB95" s="8" t="str">
        <f ca="1">OFFSET(Database!$F95,0,COLUMN(Database!CY95)*2-12)</f>
        <v>n.r.</v>
      </c>
      <c r="DC95" s="8" t="str">
        <f ca="1">OFFSET(Database!$F95,0,COLUMN(Database!CZ95)*2-12)</f>
        <v>n.r.</v>
      </c>
      <c r="DD95" s="8" t="str">
        <f ca="1">OFFSET(Database!$F95,0,COLUMN(Database!DA95)*2-12)</f>
        <v>n.r.</v>
      </c>
      <c r="DE95" s="8" t="str">
        <f ca="1">OFFSET(Database!$F95,0,COLUMN(Database!DB95)*2-12)</f>
        <v>n.r.</v>
      </c>
      <c r="DF95" s="8" t="str">
        <f ca="1">OFFSET(Database!$F95,0,COLUMN(Database!DC95)*2-12)</f>
        <v>n.r.</v>
      </c>
      <c r="DG95" s="8" t="str">
        <f ca="1">OFFSET(Database!$F95,0,COLUMN(Database!DD95)*2-12)</f>
        <v>n.r.</v>
      </c>
      <c r="DH95" s="8" t="str">
        <f ca="1">OFFSET(Database!$F95,0,COLUMN(Database!DE95)*2-12)</f>
        <v>n.r.</v>
      </c>
      <c r="DI95" s="8" t="str">
        <f ca="1">OFFSET(Database!$F95,0,COLUMN(Database!DF95)*2-12)</f>
        <v>n.r.</v>
      </c>
      <c r="DJ95" s="8" t="str">
        <f ca="1">OFFSET(Database!$F95,0,COLUMN(Database!DG95)*2-12)</f>
        <v>n.r.</v>
      </c>
      <c r="DK95" s="8" t="str">
        <f ca="1">OFFSET(Database!$F95,0,COLUMN(Database!DH95)*2-12)</f>
        <v>n.r.</v>
      </c>
      <c r="DL95" s="8" t="str">
        <f ca="1">OFFSET(Database!$F95,0,COLUMN(Database!DI95)*2-12)</f>
        <v>n.r.</v>
      </c>
      <c r="DM95" s="8" t="str">
        <f ca="1">OFFSET(Database!$F95,0,COLUMN(Database!DJ95)*2-12)</f>
        <v>n.r.</v>
      </c>
      <c r="DN95" s="8" t="str">
        <f ca="1">OFFSET(Database!$F95,0,COLUMN(Database!DK95)*2-12)</f>
        <v>n.r.</v>
      </c>
      <c r="DO95" s="8" t="str">
        <f ca="1">OFFSET(Database!$F95,0,COLUMN(Database!DL95)*2-12)</f>
        <v>n.r.</v>
      </c>
      <c r="DP95" s="8" t="str">
        <f ca="1">OFFSET(Database!$F95,0,COLUMN(Database!DM95)*2-12)</f>
        <v>n.r.</v>
      </c>
      <c r="DQ95" s="8" t="str">
        <f ca="1">OFFSET(Database!$F95,0,COLUMN(Database!DN95)*2-12)</f>
        <v>n.r.</v>
      </c>
      <c r="DR95" s="8" t="str">
        <f ca="1">OFFSET(Database!$F95,0,COLUMN(Database!DO95)*2-12)</f>
        <v>n.r.</v>
      </c>
      <c r="DS95" s="8" t="str">
        <f ca="1">OFFSET(Database!$F95,0,COLUMN(Database!DP95)*2-12)</f>
        <v>n.r.</v>
      </c>
      <c r="DT95" s="8" t="str">
        <f ca="1">OFFSET(Database!$F95,0,COLUMN(Database!DQ95)*2-12)</f>
        <v>n.r.</v>
      </c>
      <c r="DU95" s="8" t="str">
        <f ca="1">OFFSET(Database!$F95,0,COLUMN(Database!DR95)*2-12)</f>
        <v>n.r.</v>
      </c>
      <c r="DV95" s="8" t="str">
        <f ca="1">OFFSET(Database!$F95,0,COLUMN(Database!DS95)*2-12)</f>
        <v>n.r.</v>
      </c>
      <c r="DW95" s="8" t="str">
        <f ca="1">OFFSET(Database!$F95,0,COLUMN(Database!DT95)*2-12)</f>
        <v>n.r.</v>
      </c>
      <c r="DX95" s="8" t="str">
        <f ca="1">OFFSET(Database!$F95,0,COLUMN(Database!DU95)*2-12)</f>
        <v>n.r.</v>
      </c>
      <c r="DY95" s="8" t="str">
        <f ca="1">OFFSET(Database!$F95,0,COLUMN(Database!DV95)*2-12)</f>
        <v>n.r.</v>
      </c>
      <c r="DZ95" s="8" t="str">
        <f ca="1">OFFSET(Database!$F95,0,COLUMN(Database!DW95)*2-12)</f>
        <v>n.r.</v>
      </c>
      <c r="EA95" s="8" t="str">
        <f ca="1">OFFSET(Database!$F95,0,COLUMN(Database!DX95)*2-12)</f>
        <v>n.r.</v>
      </c>
      <c r="EB95" s="8" t="str">
        <f ca="1">OFFSET(Database!$F95,0,COLUMN(Database!DY95)*2-12)</f>
        <v>n.r.</v>
      </c>
      <c r="EC95" s="8" t="str">
        <f ca="1">OFFSET(Database!$F95,0,COLUMN(Database!DZ95)*2-12)</f>
        <v>n.r.</v>
      </c>
      <c r="ED95" s="8" t="str">
        <f ca="1">OFFSET(Database!$F95,0,COLUMN(Database!EA95)*2-12)</f>
        <v>n.r.</v>
      </c>
      <c r="EE95" s="8" t="str">
        <f ca="1">OFFSET(Database!$F95,0,COLUMN(Database!EB95)*2-12)</f>
        <v>n.r.</v>
      </c>
      <c r="EF95" s="8" t="str">
        <f ca="1">OFFSET(Database!$F95,0,COLUMN(Database!EC95)*2-12)</f>
        <v>n.r.</v>
      </c>
      <c r="EG95" s="8" t="str">
        <f ca="1">OFFSET(Database!$F95,0,COLUMN(Database!ED95)*2-12)</f>
        <v>n.r.</v>
      </c>
      <c r="EH95" s="8" t="str">
        <f ca="1">OFFSET(Database!$F95,0,COLUMN(Database!EE95)*2-12)</f>
        <v>n.r.</v>
      </c>
      <c r="EI95" s="8" t="str">
        <f ca="1">OFFSET(Database!$F95,0,COLUMN(Database!EF95)*2-12)</f>
        <v>n.r.</v>
      </c>
      <c r="EJ95" s="8" t="str">
        <f ca="1">OFFSET(Database!$F95,0,COLUMN(Database!EG95)*2-12)</f>
        <v>n.r.</v>
      </c>
      <c r="EK95" s="8" t="str">
        <f ca="1">OFFSET(Database!$F95,0,COLUMN(Database!EH95)*2-12)</f>
        <v>n.r.</v>
      </c>
      <c r="EL95" s="8" t="str">
        <f ca="1">OFFSET(Database!$F95,0,COLUMN(Database!EI95)*2-12)</f>
        <v>n.r.</v>
      </c>
      <c r="EM95" s="8" t="str">
        <f ca="1">OFFSET(Database!$F95,0,COLUMN(Database!EJ95)*2-12)</f>
        <v>n.r.</v>
      </c>
      <c r="EN95" s="8" t="str">
        <f ca="1">OFFSET(Database!$F95,0,COLUMN(Database!EK95)*2-12)</f>
        <v>n.r.</v>
      </c>
      <c r="EO95" s="8" t="str">
        <f ca="1">OFFSET(Database!$F95,0,COLUMN(Database!EL95)*2-12)</f>
        <v>n.r.</v>
      </c>
      <c r="EP95" s="8" t="str">
        <f ca="1">OFFSET(Database!$F95,0,COLUMN(Database!EM95)*2-12)</f>
        <v>n.r.</v>
      </c>
      <c r="EQ95" s="8" t="str">
        <f ca="1">OFFSET(Database!$F95,0,COLUMN(Database!EN95)*2-12)</f>
        <v>n.r.</v>
      </c>
      <c r="ER95" s="8" t="str">
        <f ca="1">OFFSET(Database!$F95,0,COLUMN(Database!EO95)*2-12)</f>
        <v>n.r.</v>
      </c>
      <c r="ES95" s="8" t="str">
        <f ca="1">OFFSET(Database!$F95,0,COLUMN(Database!EP95)*2-12)</f>
        <v>n.r.</v>
      </c>
      <c r="ET95" s="8" t="str">
        <f ca="1">OFFSET(Database!$F95,0,COLUMN(Database!EQ95)*2-12)</f>
        <v>n.r.</v>
      </c>
      <c r="EU95" s="8" t="str">
        <f ca="1">OFFSET(Database!$F95,0,COLUMN(Database!ER95)*2-12)</f>
        <v>n.r.</v>
      </c>
      <c r="EV95" s="8" t="str">
        <f ca="1">OFFSET(Database!$F95,0,COLUMN(Database!ES95)*2-12)</f>
        <v>n.r.</v>
      </c>
      <c r="EW95" s="8" t="str">
        <f ca="1">OFFSET(Database!$F95,0,COLUMN(Database!ET95)*2-12)</f>
        <v>n.r.</v>
      </c>
      <c r="EX95" s="8" t="str">
        <f ca="1">OFFSET(Database!$F95,0,COLUMN(Database!EU95)*2-12)</f>
        <v>n.r.</v>
      </c>
      <c r="EY95" s="8" t="str">
        <f ca="1">OFFSET(Database!$F95,0,COLUMN(Database!EV95)*2-12)</f>
        <v>n.r.</v>
      </c>
      <c r="EZ95" s="8" t="str">
        <f ca="1">OFFSET(Database!$F95,0,COLUMN(Database!EW95)*2-12)</f>
        <v>n.r.</v>
      </c>
      <c r="FA95" s="8" t="str">
        <f ca="1">OFFSET(Database!$F95,0,COLUMN(Database!EX95)*2-12)</f>
        <v>n.r.</v>
      </c>
      <c r="FB95" s="8" t="str">
        <f ca="1">OFFSET(Database!$F95,0,COLUMN(Database!EY95)*2-12)</f>
        <v>n.r.</v>
      </c>
      <c r="FC95" s="8" t="str">
        <f ca="1">OFFSET(Database!$F95,0,COLUMN(Database!EZ95)*2-12)</f>
        <v>n.r.</v>
      </c>
      <c r="FD95" s="8" t="str">
        <f ca="1">OFFSET(Database!$F95,0,COLUMN(Database!FA95)*2-12)</f>
        <v>n.r.</v>
      </c>
      <c r="FE95" s="8" t="str">
        <f ca="1">OFFSET(Database!$F95,0,COLUMN(Database!FB95)*2-12)</f>
        <v>n.r.</v>
      </c>
      <c r="FF95" s="8" t="str">
        <f ca="1">OFFSET(Database!$F95,0,COLUMN(Database!FC95)*2-12)</f>
        <v>n.r.</v>
      </c>
      <c r="FG95" s="8" t="str">
        <f ca="1">OFFSET(Database!$F95,0,COLUMN(Database!FD95)*2-12)</f>
        <v>n.r.</v>
      </c>
      <c r="FH95" s="8" t="str">
        <f ca="1">OFFSET(Database!$F95,0,COLUMN(Database!FE95)*2-12)</f>
        <v>n.r.</v>
      </c>
      <c r="FI95" s="8" t="str">
        <f ca="1">OFFSET(Database!$F95,0,COLUMN(Database!FF95)*2-12)</f>
        <v>n.r.</v>
      </c>
      <c r="FJ95" s="8" t="str">
        <f ca="1">OFFSET(Database!$F95,0,COLUMN(Database!FG95)*2-12)</f>
        <v>n.r.</v>
      </c>
      <c r="FK95" s="8" t="str">
        <f ca="1">OFFSET(Database!$F95,0,COLUMN(Database!FH95)*2-12)</f>
        <v>n.r.</v>
      </c>
      <c r="FL95" s="8" t="str">
        <f ca="1">OFFSET(Database!$F95,0,COLUMN(Database!FI95)*2-12)</f>
        <v>n.r.</v>
      </c>
      <c r="FM95" s="8" t="str">
        <f ca="1">OFFSET(Database!$F95,0,COLUMN(Database!FJ95)*2-12)</f>
        <v>n.r.</v>
      </c>
      <c r="FN95" s="8" t="str">
        <f ca="1">OFFSET(Database!$F95,0,COLUMN(Database!FK95)*2-12)</f>
        <v>n.r.</v>
      </c>
      <c r="FO95" s="8" t="str">
        <f ca="1">OFFSET(Database!$F95,0,COLUMN(Database!FL95)*2-12)</f>
        <v>n.r.</v>
      </c>
      <c r="FP95" s="8" t="str">
        <f ca="1">OFFSET(Database!$F95,0,COLUMN(Database!FM95)*2-12)</f>
        <v>n.r.</v>
      </c>
      <c r="FQ95" s="8" t="str">
        <f ca="1">OFFSET(Database!$F95,0,COLUMN(Database!FN95)*2-12)</f>
        <v>n.r.</v>
      </c>
      <c r="FR95" s="8" t="str">
        <f ca="1">OFFSET(Database!$F95,0,COLUMN(Database!FO95)*2-12)</f>
        <v>n.r.</v>
      </c>
      <c r="FS95" s="8" t="str">
        <f ca="1">OFFSET(Database!$F95,0,COLUMN(Database!FP95)*2-12)</f>
        <v>n.r.</v>
      </c>
      <c r="FT95" s="8" t="str">
        <f ca="1">OFFSET(Database!$F95,0,COLUMN(Database!FQ95)*2-12)</f>
        <v>n.r.</v>
      </c>
      <c r="FU95" s="8" t="str">
        <f ca="1">OFFSET(Database!$F95,0,COLUMN(Database!FR95)*2-12)</f>
        <v>b.d.</v>
      </c>
      <c r="FV95" s="8" t="str">
        <f ca="1">OFFSET(Database!$F95,0,COLUMN(Database!FS95)*2-12)</f>
        <v>b.d.</v>
      </c>
      <c r="FW95" s="8" t="str">
        <f ca="1">OFFSET(Database!$F95,0,COLUMN(Database!FT95)*2-12)</f>
        <v>b.d.</v>
      </c>
      <c r="FX95" s="8">
        <f ca="1">OFFSET(Database!$F95,0,COLUMN(Database!FU95)*2-12)</f>
        <v>53</v>
      </c>
      <c r="FY95" s="8">
        <f ca="1">OFFSET(Database!$F95,0,COLUMN(Database!FV95)*2-12)</f>
        <v>80</v>
      </c>
      <c r="FZ95" s="8">
        <f ca="1">OFFSET(Database!$F95,0,COLUMN(Database!FW95)*2-12)</f>
        <v>55</v>
      </c>
      <c r="GA95" s="8">
        <f ca="1">OFFSET(Database!$F95,0,COLUMN(Database!FX95)*2-12)</f>
        <v>57</v>
      </c>
      <c r="GB95" s="8">
        <f ca="1">OFFSET(Database!$F95,0,COLUMN(Database!FY95)*2-12)</f>
        <v>83</v>
      </c>
      <c r="GC95" s="8">
        <f ca="1">OFFSET(Database!$F95,0,COLUMN(Database!FZ95)*2-12)</f>
        <v>83</v>
      </c>
      <c r="GD95" s="8">
        <f ca="1">OFFSET(Database!$F95,0,COLUMN(Database!GA95)*2-12)</f>
        <v>71</v>
      </c>
      <c r="GE95" s="8">
        <f ca="1">OFFSET(Database!$F95,0,COLUMN(Database!GB95)*2-12)</f>
        <v>76</v>
      </c>
      <c r="GF95" s="8">
        <f ca="1">OFFSET(Database!$F95,0,COLUMN(Database!GC95)*2-12)</f>
        <v>67</v>
      </c>
      <c r="GG95" s="8" t="str">
        <f ca="1">OFFSET(Database!$F95,0,COLUMN(Database!GD95)*2-12)</f>
        <v>n.r.</v>
      </c>
      <c r="GH95" s="8" t="str">
        <f ca="1">OFFSET(Database!$F95,0,COLUMN(Database!GE95)*2-12)</f>
        <v>n.r.</v>
      </c>
      <c r="GI95" s="8" t="str">
        <f ca="1">OFFSET(Database!$F95,0,COLUMN(Database!GF95)*2-12)</f>
        <v>n.r.</v>
      </c>
      <c r="GJ95" s="8" t="str">
        <f ca="1">OFFSET(Database!$F95,0,COLUMN(Database!GG95)*2-12)</f>
        <v>n.r.</v>
      </c>
      <c r="GK95" s="8" t="str">
        <f ca="1">OFFSET(Database!$F95,0,COLUMN(Database!GH95)*2-12)</f>
        <v>n.r.</v>
      </c>
      <c r="GL95" s="8" t="str">
        <f ca="1">OFFSET(Database!$F95,0,COLUMN(Database!GI95)*2-12)</f>
        <v>n.r.</v>
      </c>
      <c r="GM95" s="8" t="str">
        <f ca="1">OFFSET(Database!$F95,0,COLUMN(Database!GJ95)*2-12)</f>
        <v>n.r.</v>
      </c>
      <c r="GN95" s="8" t="str">
        <f ca="1">OFFSET(Database!$F95,0,COLUMN(Database!GK95)*2-12)</f>
        <v>n.r.</v>
      </c>
      <c r="GO95" s="8" t="str">
        <f ca="1">OFFSET(Database!$F95,0,COLUMN(Database!GL95)*2-12)</f>
        <v>n.r.</v>
      </c>
      <c r="GP95" s="8" t="str">
        <f ca="1">OFFSET(Database!$F95,0,COLUMN(Database!GM95)*2-12)</f>
        <v>n.r.</v>
      </c>
    </row>
    <row r="96" spans="1:198" x14ac:dyDescent="0.2">
      <c r="A96" s="50" t="str">
        <f>Database!A96</f>
        <v>D-lysine</v>
      </c>
      <c r="B96" s="1" t="s">
        <v>882</v>
      </c>
      <c r="C96" s="4" t="str">
        <f>Database!B96</f>
        <v>ɑ</v>
      </c>
      <c r="D96" s="4" t="str">
        <f>Database!C96</f>
        <v>D</v>
      </c>
      <c r="E96" s="74">
        <f>Database!D96</f>
        <v>5</v>
      </c>
      <c r="F96" s="1" t="s">
        <v>969</v>
      </c>
      <c r="G96" s="1">
        <v>57449</v>
      </c>
      <c r="H96" s="1">
        <f>Database!E96</f>
        <v>146.19</v>
      </c>
      <c r="I96" s="8" t="str">
        <f ca="1">OFFSET(Database!$F96,0,COLUMN(Database!F96)*2-12)</f>
        <v>n.r.</v>
      </c>
      <c r="J96" s="8" t="str">
        <f ca="1">OFFSET(Database!$F96,0,COLUMN(Database!G96)*2-12)</f>
        <v>n.r.</v>
      </c>
      <c r="K96" s="8" t="str">
        <f ca="1">OFFSET(Database!$F96,0,COLUMN(Database!H96)*2-12)</f>
        <v>n.r.</v>
      </c>
      <c r="L96" s="8" t="str">
        <f ca="1">OFFSET(Database!$F96,0,COLUMN(Database!I96)*2-12)</f>
        <v>n.r.</v>
      </c>
      <c r="M96" s="8" t="str">
        <f ca="1">OFFSET(Database!$F96,0,COLUMN(Database!J96)*2-12)</f>
        <v>n.r.</v>
      </c>
      <c r="N96" s="8" t="str">
        <f ca="1">OFFSET(Database!$F96,0,COLUMN(Database!K96)*2-12)</f>
        <v>n.r.</v>
      </c>
      <c r="O96" s="8" t="str">
        <f ca="1">OFFSET(Database!$F96,0,COLUMN(Database!L96)*2-12)</f>
        <v>n.r.</v>
      </c>
      <c r="P96" s="8" t="str">
        <f ca="1">OFFSET(Database!$F96,0,COLUMN(Database!M96)*2-12)</f>
        <v>n.r.</v>
      </c>
      <c r="Q96" s="8" t="str">
        <f ca="1">OFFSET(Database!$F96,0,COLUMN(Database!N96)*2-12)</f>
        <v>n.r.</v>
      </c>
      <c r="R96" s="8" t="str">
        <f ca="1">OFFSET(Database!$F96,0,COLUMN(Database!O96)*2-12)</f>
        <v>n.r.</v>
      </c>
      <c r="S96" s="8" t="str">
        <f ca="1">OFFSET(Database!$F96,0,COLUMN(Database!P96)*2-12)</f>
        <v>n.r.</v>
      </c>
      <c r="T96" s="8" t="str">
        <f ca="1">OFFSET(Database!$F96,0,COLUMN(Database!Q96)*2-12)</f>
        <v>n.r.</v>
      </c>
      <c r="U96" s="8" t="str">
        <f ca="1">OFFSET(Database!$F96,0,COLUMN(Database!R96)*2-12)</f>
        <v>n.r.</v>
      </c>
      <c r="V96" s="8" t="str">
        <f ca="1">OFFSET(Database!$F96,0,COLUMN(Database!S96)*2-12)</f>
        <v>n.r.</v>
      </c>
      <c r="W96" s="8" t="str">
        <f ca="1">OFFSET(Database!$F96,0,COLUMN(Database!T96)*2-12)</f>
        <v>n.r.</v>
      </c>
      <c r="X96" s="8" t="str">
        <f ca="1">OFFSET(Database!$F96,0,COLUMN(Database!U96)*2-12)</f>
        <v>n.r.</v>
      </c>
      <c r="Y96" s="8" t="str">
        <f ca="1">OFFSET(Database!$F96,0,COLUMN(Database!V96)*2-12)</f>
        <v>n.r.</v>
      </c>
      <c r="Z96" s="8" t="str">
        <f ca="1">OFFSET(Database!$F96,0,COLUMN(Database!W96)*2-12)</f>
        <v>n.r.</v>
      </c>
      <c r="AA96" s="8" t="str">
        <f ca="1">OFFSET(Database!$F96,0,COLUMN(Database!X96)*2-12)</f>
        <v>n.r.</v>
      </c>
      <c r="AB96" s="8" t="str">
        <f ca="1">OFFSET(Database!$F96,0,COLUMN(Database!Y96)*2-12)</f>
        <v>n.r.</v>
      </c>
      <c r="AC96" s="8" t="str">
        <f ca="1">OFFSET(Database!$F96,0,COLUMN(Database!Z96)*2-12)</f>
        <v>n.r.</v>
      </c>
      <c r="AD96" s="8" t="str">
        <f ca="1">OFFSET(Database!$F96,0,COLUMN(Database!AA96)*2-12)</f>
        <v>n.r.</v>
      </c>
      <c r="AE96" s="8" t="str">
        <f ca="1">OFFSET(Database!$F96,0,COLUMN(Database!AB96)*2-12)</f>
        <v>n.r.</v>
      </c>
      <c r="AF96" s="8" t="str">
        <f ca="1">OFFSET(Database!$F96,0,COLUMN(Database!AC96)*2-12)</f>
        <v>n.r.</v>
      </c>
      <c r="AG96" s="8" t="str">
        <f ca="1">OFFSET(Database!$F96,0,COLUMN(Database!AD96)*2-12)</f>
        <v>n.r.</v>
      </c>
      <c r="AH96" s="8" t="str">
        <f ca="1">OFFSET(Database!$F96,0,COLUMN(Database!AE96)*2-12)</f>
        <v>n.r.</v>
      </c>
      <c r="AI96" s="8" t="str">
        <f ca="1">OFFSET(Database!$F96,0,COLUMN(Database!AF96)*2-12)</f>
        <v>n.r.</v>
      </c>
      <c r="AJ96" s="8" t="str">
        <f ca="1">OFFSET(Database!$F96,0,COLUMN(Database!AG96)*2-12)</f>
        <v>n.r.</v>
      </c>
      <c r="AK96" s="8" t="str">
        <f ca="1">OFFSET(Database!$F96,0,COLUMN(Database!AH96)*2-12)</f>
        <v>n.r.</v>
      </c>
      <c r="AL96" s="8" t="str">
        <f ca="1">OFFSET(Database!$F96,0,COLUMN(Database!AI96)*2-12)</f>
        <v>n.r.</v>
      </c>
      <c r="AM96" s="8" t="str">
        <f ca="1">OFFSET(Database!$F96,0,COLUMN(Database!AJ96)*2-12)</f>
        <v>n.r.</v>
      </c>
      <c r="AN96" s="8" t="str">
        <f ca="1">OFFSET(Database!$F96,0,COLUMN(Database!AK96)*2-12)</f>
        <v>n.r.</v>
      </c>
      <c r="AO96" s="8" t="str">
        <f ca="1">OFFSET(Database!$F96,0,COLUMN(Database!AL96)*2-12)</f>
        <v>n.r.</v>
      </c>
      <c r="AP96" s="8" t="str">
        <f ca="1">OFFSET(Database!$F96,0,COLUMN(Database!AM96)*2-12)</f>
        <v>n.r.</v>
      </c>
      <c r="AQ96" s="8" t="str">
        <f ca="1">OFFSET(Database!$F96,0,COLUMN(Database!AN96)*2-12)</f>
        <v>n.r.</v>
      </c>
      <c r="AR96" s="8" t="str">
        <f ca="1">OFFSET(Database!$F96,0,COLUMN(Database!AO96)*2-12)</f>
        <v>n.r.</v>
      </c>
      <c r="AS96" s="8" t="str">
        <f ca="1">OFFSET(Database!$F96,0,COLUMN(Database!AP96)*2-12)</f>
        <v>n.r.</v>
      </c>
      <c r="AT96" s="8" t="str">
        <f ca="1">OFFSET(Database!$F96,0,COLUMN(Database!AQ96)*2-12)</f>
        <v>n.r.</v>
      </c>
      <c r="AU96" s="8" t="str">
        <f ca="1">OFFSET(Database!$F96,0,COLUMN(Database!AR96)*2-12)</f>
        <v>n.r.</v>
      </c>
      <c r="AV96" s="8" t="str">
        <f ca="1">OFFSET(Database!$F96,0,COLUMN(Database!AS96)*2-12)</f>
        <v>n.r.</v>
      </c>
      <c r="AW96" s="8" t="str">
        <f ca="1">OFFSET(Database!$F96,0,COLUMN(Database!AT96)*2-12)</f>
        <v>n.r.</v>
      </c>
      <c r="AX96" s="8" t="str">
        <f ca="1">OFFSET(Database!$F96,0,COLUMN(Database!AU96)*2-12)</f>
        <v>n.r.</v>
      </c>
      <c r="AY96" s="8" t="str">
        <f ca="1">OFFSET(Database!$F96,0,COLUMN(Database!AV96)*2-12)</f>
        <v>n.r.</v>
      </c>
      <c r="AZ96" s="8" t="str">
        <f ca="1">OFFSET(Database!$F96,0,COLUMN(Database!AW96)*2-12)</f>
        <v>n.r.</v>
      </c>
      <c r="BA96" s="8" t="str">
        <f ca="1">OFFSET(Database!$F96,0,COLUMN(Database!AX96)*2-12)</f>
        <v>n.r.</v>
      </c>
      <c r="BB96" s="8" t="str">
        <f ca="1">OFFSET(Database!$F96,0,COLUMN(Database!AY96)*2-12)</f>
        <v>n.r.</v>
      </c>
      <c r="BC96" s="8" t="str">
        <f ca="1">OFFSET(Database!$F96,0,COLUMN(Database!AZ96)*2-12)</f>
        <v>n.r.</v>
      </c>
      <c r="BD96" s="8" t="str">
        <f ca="1">OFFSET(Database!$F96,0,COLUMN(Database!BA96)*2-12)</f>
        <v>n.r.</v>
      </c>
      <c r="BE96" s="8" t="str">
        <f ca="1">OFFSET(Database!$F96,0,COLUMN(Database!BB96)*2-12)</f>
        <v>n.r.</v>
      </c>
      <c r="BF96" s="8" t="str">
        <f ca="1">OFFSET(Database!$F96,0,COLUMN(Database!BC96)*2-12)</f>
        <v>n.r.</v>
      </c>
      <c r="BG96" s="8" t="str">
        <f ca="1">OFFSET(Database!$F96,0,COLUMN(Database!BD96)*2-12)</f>
        <v>n.r.</v>
      </c>
      <c r="BH96" s="8" t="str">
        <f ca="1">OFFSET(Database!$F96,0,COLUMN(Database!BE96)*2-12)</f>
        <v>n.r.</v>
      </c>
      <c r="BI96" s="8" t="str">
        <f ca="1">OFFSET(Database!$F96,0,COLUMN(Database!BF96)*2-12)</f>
        <v>n.r.</v>
      </c>
      <c r="BJ96" s="8" t="str">
        <f ca="1">OFFSET(Database!$F96,0,COLUMN(Database!BG96)*2-12)</f>
        <v>n.r.</v>
      </c>
      <c r="BK96" s="8" t="str">
        <f ca="1">OFFSET(Database!$F96,0,COLUMN(Database!BH96)*2-12)</f>
        <v>n.r.</v>
      </c>
      <c r="BL96" s="8" t="str">
        <f ca="1">OFFSET(Database!$F96,0,COLUMN(Database!BI96)*2-12)</f>
        <v>n.r.</v>
      </c>
      <c r="BM96" s="8" t="str">
        <f ca="1">OFFSET(Database!$F96,0,COLUMN(Database!BJ96)*2-12)</f>
        <v>n.r.</v>
      </c>
      <c r="BN96" s="8" t="str">
        <f ca="1">OFFSET(Database!$F96,0,COLUMN(Database!BK96)*2-12)</f>
        <v>n.r.</v>
      </c>
      <c r="BO96" s="8" t="str">
        <f ca="1">OFFSET(Database!$F96,0,COLUMN(Database!BL96)*2-12)</f>
        <v>n.r.</v>
      </c>
      <c r="BP96" s="8" t="str">
        <f ca="1">OFFSET(Database!$F96,0,COLUMN(Database!BM96)*2-12)</f>
        <v>n.r.</v>
      </c>
      <c r="BQ96" s="8" t="str">
        <f ca="1">OFFSET(Database!$F96,0,COLUMN(Database!BN96)*2-12)</f>
        <v>n.r.</v>
      </c>
      <c r="BR96" s="8" t="str">
        <f ca="1">OFFSET(Database!$F96,0,COLUMN(Database!BO96)*2-12)</f>
        <v>n.r.</v>
      </c>
      <c r="BS96" s="8" t="str">
        <f ca="1">OFFSET(Database!$F96,0,COLUMN(Database!BP96)*2-12)</f>
        <v>n.r.</v>
      </c>
      <c r="BT96" s="8" t="str">
        <f ca="1">OFFSET(Database!$F96,0,COLUMN(Database!BQ96)*2-12)</f>
        <v>n.r.</v>
      </c>
      <c r="BU96" s="8" t="str">
        <f ca="1">OFFSET(Database!$F96,0,COLUMN(Database!BR96)*2-12)</f>
        <v>n.r.</v>
      </c>
      <c r="BV96" s="8" t="str">
        <f ca="1">OFFSET(Database!$F96,0,COLUMN(Database!BS96)*2-12)</f>
        <v>n.r.</v>
      </c>
      <c r="BW96" s="8" t="str">
        <f ca="1">OFFSET(Database!$F96,0,COLUMN(Database!BT96)*2-12)</f>
        <v>n.r.</v>
      </c>
      <c r="BX96" s="8" t="str">
        <f ca="1">OFFSET(Database!$F96,0,COLUMN(Database!BU96)*2-12)</f>
        <v>n.r.</v>
      </c>
      <c r="BY96" s="8" t="str">
        <f ca="1">OFFSET(Database!$F96,0,COLUMN(Database!BV96)*2-12)</f>
        <v>n.r.</v>
      </c>
      <c r="BZ96" s="8" t="str">
        <f ca="1">OFFSET(Database!$F96,0,COLUMN(Database!BW96)*2-12)</f>
        <v>n.r.</v>
      </c>
      <c r="CA96" s="8" t="str">
        <f ca="1">OFFSET(Database!$F96,0,COLUMN(Database!BX96)*2-12)</f>
        <v>n.r.</v>
      </c>
      <c r="CB96" s="8" t="str">
        <f ca="1">OFFSET(Database!$F96,0,COLUMN(Database!BY96)*2-12)</f>
        <v>n.r.</v>
      </c>
      <c r="CC96" s="8" t="str">
        <f ca="1">OFFSET(Database!$F96,0,COLUMN(Database!BZ96)*2-12)</f>
        <v>n.r.</v>
      </c>
      <c r="CD96" s="8" t="str">
        <f ca="1">OFFSET(Database!$F96,0,COLUMN(Database!CA96)*2-12)</f>
        <v>n.r.</v>
      </c>
      <c r="CE96" s="8" t="str">
        <f ca="1">OFFSET(Database!$F96,0,COLUMN(Database!CB96)*2-12)</f>
        <v>n.r.</v>
      </c>
      <c r="CF96" s="8" t="str">
        <f ca="1">OFFSET(Database!$F96,0,COLUMN(Database!CC96)*2-12)</f>
        <v>n.r.</v>
      </c>
      <c r="CG96" s="8" t="str">
        <f ca="1">OFFSET(Database!$F96,0,COLUMN(Database!CD96)*2-12)</f>
        <v>n.r.</v>
      </c>
      <c r="CH96" s="8" t="str">
        <f ca="1">OFFSET(Database!$F96,0,COLUMN(Database!CE96)*2-12)</f>
        <v>n.r.</v>
      </c>
      <c r="CI96" s="8" t="str">
        <f ca="1">OFFSET(Database!$F96,0,COLUMN(Database!CF96)*2-12)</f>
        <v>n.r.</v>
      </c>
      <c r="CJ96" s="8" t="str">
        <f ca="1">OFFSET(Database!$F96,0,COLUMN(Database!CG96)*2-12)</f>
        <v>n.r.</v>
      </c>
      <c r="CK96" s="8" t="str">
        <f ca="1">OFFSET(Database!$F96,0,COLUMN(Database!CH96)*2-12)</f>
        <v>n.r.</v>
      </c>
      <c r="CL96" s="8" t="str">
        <f ca="1">OFFSET(Database!$F96,0,COLUMN(Database!CI96)*2-12)</f>
        <v>n.r.</v>
      </c>
      <c r="CM96" s="8" t="str">
        <f ca="1">OFFSET(Database!$F96,0,COLUMN(Database!CJ96)*2-12)</f>
        <v>n.r.</v>
      </c>
      <c r="CN96" s="8" t="str">
        <f ca="1">OFFSET(Database!$F96,0,COLUMN(Database!CK96)*2-12)</f>
        <v>n.r.</v>
      </c>
      <c r="CO96" s="8" t="str">
        <f ca="1">OFFSET(Database!$F96,0,COLUMN(Database!CL96)*2-12)</f>
        <v>n.r.</v>
      </c>
      <c r="CP96" s="8" t="str">
        <f ca="1">OFFSET(Database!$F96,0,COLUMN(Database!CM96)*2-12)</f>
        <v>n.r.</v>
      </c>
      <c r="CQ96" s="8" t="str">
        <f ca="1">OFFSET(Database!$F96,0,COLUMN(Database!CN96)*2-12)</f>
        <v>n.r.</v>
      </c>
      <c r="CR96" s="8" t="str">
        <f ca="1">OFFSET(Database!$F96,0,COLUMN(Database!CO96)*2-12)</f>
        <v>n.r.</v>
      </c>
      <c r="CS96" s="8" t="str">
        <f ca="1">OFFSET(Database!$F96,0,COLUMN(Database!CP96)*2-12)</f>
        <v>n.r.</v>
      </c>
      <c r="CT96" s="8" t="str">
        <f ca="1">OFFSET(Database!$F96,0,COLUMN(Database!CQ96)*2-12)</f>
        <v>n.r.</v>
      </c>
      <c r="CU96" s="8" t="str">
        <f ca="1">OFFSET(Database!$F96,0,COLUMN(Database!CR96)*2-12)</f>
        <v>n.r.</v>
      </c>
      <c r="CV96" s="8" t="str">
        <f ca="1">OFFSET(Database!$F96,0,COLUMN(Database!CS96)*2-12)</f>
        <v>n.r.</v>
      </c>
      <c r="CW96" s="8" t="str">
        <f ca="1">OFFSET(Database!$F96,0,COLUMN(Database!CT96)*2-12)</f>
        <v>n.r.</v>
      </c>
      <c r="CX96" s="8" t="str">
        <f ca="1">OFFSET(Database!$F96,0,COLUMN(Database!CU96)*2-12)</f>
        <v>n.r.</v>
      </c>
      <c r="CY96" s="8" t="str">
        <f ca="1">OFFSET(Database!$F96,0,COLUMN(Database!CV96)*2-12)</f>
        <v>n.r.</v>
      </c>
      <c r="CZ96" s="8" t="str">
        <f ca="1">OFFSET(Database!$F96,0,COLUMN(Database!CW96)*2-12)</f>
        <v>n.r.</v>
      </c>
      <c r="DA96" s="8" t="str">
        <f ca="1">OFFSET(Database!$F96,0,COLUMN(Database!CX96)*2-12)</f>
        <v>n.r.</v>
      </c>
      <c r="DB96" s="8" t="str">
        <f ca="1">OFFSET(Database!$F96,0,COLUMN(Database!CY96)*2-12)</f>
        <v>n.r.</v>
      </c>
      <c r="DC96" s="8" t="str">
        <f ca="1">OFFSET(Database!$F96,0,COLUMN(Database!CZ96)*2-12)</f>
        <v>n.r.</v>
      </c>
      <c r="DD96" s="8" t="str">
        <f ca="1">OFFSET(Database!$F96,0,COLUMN(Database!DA96)*2-12)</f>
        <v>n.r.</v>
      </c>
      <c r="DE96" s="8" t="str">
        <f ca="1">OFFSET(Database!$F96,0,COLUMN(Database!DB96)*2-12)</f>
        <v>n.r.</v>
      </c>
      <c r="DF96" s="8" t="str">
        <f ca="1">OFFSET(Database!$F96,0,COLUMN(Database!DC96)*2-12)</f>
        <v>n.r.</v>
      </c>
      <c r="DG96" s="8" t="str">
        <f ca="1">OFFSET(Database!$F96,0,COLUMN(Database!DD96)*2-12)</f>
        <v>n.r.</v>
      </c>
      <c r="DH96" s="8" t="str">
        <f ca="1">OFFSET(Database!$F96,0,COLUMN(Database!DE96)*2-12)</f>
        <v>n.r.</v>
      </c>
      <c r="DI96" s="8" t="str">
        <f ca="1">OFFSET(Database!$F96,0,COLUMN(Database!DF96)*2-12)</f>
        <v>n.r.</v>
      </c>
      <c r="DJ96" s="8" t="str">
        <f ca="1">OFFSET(Database!$F96,0,COLUMN(Database!DG96)*2-12)</f>
        <v>n.r.</v>
      </c>
      <c r="DK96" s="8" t="str">
        <f ca="1">OFFSET(Database!$F96,0,COLUMN(Database!DH96)*2-12)</f>
        <v>n.r.</v>
      </c>
      <c r="DL96" s="8" t="str">
        <f ca="1">OFFSET(Database!$F96,0,COLUMN(Database!DI96)*2-12)</f>
        <v>n.r.</v>
      </c>
      <c r="DM96" s="8" t="str">
        <f ca="1">OFFSET(Database!$F96,0,COLUMN(Database!DJ96)*2-12)</f>
        <v>n.r.</v>
      </c>
      <c r="DN96" s="8" t="str">
        <f ca="1">OFFSET(Database!$F96,0,COLUMN(Database!DK96)*2-12)</f>
        <v>n.r.</v>
      </c>
      <c r="DO96" s="8" t="str">
        <f ca="1">OFFSET(Database!$F96,0,COLUMN(Database!DL96)*2-12)</f>
        <v>n.r.</v>
      </c>
      <c r="DP96" s="8" t="str">
        <f ca="1">OFFSET(Database!$F96,0,COLUMN(Database!DM96)*2-12)</f>
        <v>n.r.</v>
      </c>
      <c r="DQ96" s="8" t="str">
        <f ca="1">OFFSET(Database!$F96,0,COLUMN(Database!DN96)*2-12)</f>
        <v>n.r.</v>
      </c>
      <c r="DR96" s="8" t="str">
        <f ca="1">OFFSET(Database!$F96,0,COLUMN(Database!DO96)*2-12)</f>
        <v>n.r.</v>
      </c>
      <c r="DS96" s="8" t="str">
        <f ca="1">OFFSET(Database!$F96,0,COLUMN(Database!DP96)*2-12)</f>
        <v>n.r.</v>
      </c>
      <c r="DT96" s="8" t="str">
        <f ca="1">OFFSET(Database!$F96,0,COLUMN(Database!DQ96)*2-12)</f>
        <v>n.r.</v>
      </c>
      <c r="DU96" s="8" t="str">
        <f ca="1">OFFSET(Database!$F96,0,COLUMN(Database!DR96)*2-12)</f>
        <v>n.r.</v>
      </c>
      <c r="DV96" s="8" t="str">
        <f ca="1">OFFSET(Database!$F96,0,COLUMN(Database!DS96)*2-12)</f>
        <v>n.r.</v>
      </c>
      <c r="DW96" s="8" t="str">
        <f ca="1">OFFSET(Database!$F96,0,COLUMN(Database!DT96)*2-12)</f>
        <v>n.r.</v>
      </c>
      <c r="DX96" s="8" t="str">
        <f ca="1">OFFSET(Database!$F96,0,COLUMN(Database!DU96)*2-12)</f>
        <v>n.r.</v>
      </c>
      <c r="DY96" s="8" t="str">
        <f ca="1">OFFSET(Database!$F96,0,COLUMN(Database!DV96)*2-12)</f>
        <v>n.r.</v>
      </c>
      <c r="DZ96" s="8" t="str">
        <f ca="1">OFFSET(Database!$F96,0,COLUMN(Database!DW96)*2-12)</f>
        <v>n.r.</v>
      </c>
      <c r="EA96" s="8" t="str">
        <f ca="1">OFFSET(Database!$F96,0,COLUMN(Database!DX96)*2-12)</f>
        <v>n.r.</v>
      </c>
      <c r="EB96" s="8" t="str">
        <f ca="1">OFFSET(Database!$F96,0,COLUMN(Database!DY96)*2-12)</f>
        <v>n.r.</v>
      </c>
      <c r="EC96" s="8" t="str">
        <f ca="1">OFFSET(Database!$F96,0,COLUMN(Database!DZ96)*2-12)</f>
        <v>n.r.</v>
      </c>
      <c r="ED96" s="8" t="str">
        <f ca="1">OFFSET(Database!$F96,0,COLUMN(Database!EA96)*2-12)</f>
        <v>n.r.</v>
      </c>
      <c r="EE96" s="8" t="str">
        <f ca="1">OFFSET(Database!$F96,0,COLUMN(Database!EB96)*2-12)</f>
        <v>n.r.</v>
      </c>
      <c r="EF96" s="8" t="str">
        <f ca="1">OFFSET(Database!$F96,0,COLUMN(Database!EC96)*2-12)</f>
        <v>n.r.</v>
      </c>
      <c r="EG96" s="8" t="str">
        <f ca="1">OFFSET(Database!$F96,0,COLUMN(Database!ED96)*2-12)</f>
        <v>n.r.</v>
      </c>
      <c r="EH96" s="8" t="str">
        <f ca="1">OFFSET(Database!$F96,0,COLUMN(Database!EE96)*2-12)</f>
        <v>n.r.</v>
      </c>
      <c r="EI96" s="8" t="str">
        <f ca="1">OFFSET(Database!$F96,0,COLUMN(Database!EF96)*2-12)</f>
        <v>n.r.</v>
      </c>
      <c r="EJ96" s="8" t="str">
        <f ca="1">OFFSET(Database!$F96,0,COLUMN(Database!EG96)*2-12)</f>
        <v>n.r.</v>
      </c>
      <c r="EK96" s="8" t="str">
        <f ca="1">OFFSET(Database!$F96,0,COLUMN(Database!EH96)*2-12)</f>
        <v>n.r.</v>
      </c>
      <c r="EL96" s="8" t="str">
        <f ca="1">OFFSET(Database!$F96,0,COLUMN(Database!EI96)*2-12)</f>
        <v>n.r.</v>
      </c>
      <c r="EM96" s="8" t="str">
        <f ca="1">OFFSET(Database!$F96,0,COLUMN(Database!EJ96)*2-12)</f>
        <v>n.r.</v>
      </c>
      <c r="EN96" s="8" t="str">
        <f ca="1">OFFSET(Database!$F96,0,COLUMN(Database!EK96)*2-12)</f>
        <v>n.r.</v>
      </c>
      <c r="EO96" s="8" t="str">
        <f ca="1">OFFSET(Database!$F96,0,COLUMN(Database!EL96)*2-12)</f>
        <v>n.r.</v>
      </c>
      <c r="EP96" s="8" t="str">
        <f ca="1">OFFSET(Database!$F96,0,COLUMN(Database!EM96)*2-12)</f>
        <v>n.r.</v>
      </c>
      <c r="EQ96" s="8" t="str">
        <f ca="1">OFFSET(Database!$F96,0,COLUMN(Database!EN96)*2-12)</f>
        <v>n.r.</v>
      </c>
      <c r="ER96" s="8">
        <f ca="1">OFFSET(Database!$F96,0,COLUMN(Database!EO96)*2-12)</f>
        <v>215.54518632857591</v>
      </c>
      <c r="ES96" s="8">
        <f ca="1">OFFSET(Database!$F96,0,COLUMN(Database!EP96)*2-12)</f>
        <v>225.48687508130649</v>
      </c>
      <c r="ET96" s="8">
        <f ca="1">OFFSET(Database!$F96,0,COLUMN(Database!EQ96)*2-12)</f>
        <v>341.3220052849922</v>
      </c>
      <c r="EU96" s="8">
        <f ca="1">OFFSET(Database!$F96,0,COLUMN(Database!ER96)*2-12)</f>
        <v>100.98109928412522</v>
      </c>
      <c r="EV96" s="8">
        <f ca="1">OFFSET(Database!$F96,0,COLUMN(Database!ES96)*2-12)</f>
        <v>225.60314048960754</v>
      </c>
      <c r="EW96" s="8" t="str">
        <f ca="1">OFFSET(Database!$F96,0,COLUMN(Database!ET96)*2-12)</f>
        <v>n.r.</v>
      </c>
      <c r="EX96" s="8" t="str">
        <f ca="1">OFFSET(Database!$F96,0,COLUMN(Database!EU96)*2-12)</f>
        <v>n.r.</v>
      </c>
      <c r="EY96" s="8" t="str">
        <f ca="1">OFFSET(Database!$F96,0,COLUMN(Database!EV96)*2-12)</f>
        <v>n.r.</v>
      </c>
      <c r="EZ96" s="8" t="str">
        <f ca="1">OFFSET(Database!$F96,0,COLUMN(Database!EW96)*2-12)</f>
        <v>n.r.</v>
      </c>
      <c r="FA96" s="8" t="str">
        <f ca="1">OFFSET(Database!$F96,0,COLUMN(Database!EX96)*2-12)</f>
        <v>n.r.</v>
      </c>
      <c r="FB96" s="8" t="str">
        <f ca="1">OFFSET(Database!$F96,0,COLUMN(Database!EY96)*2-12)</f>
        <v>b.l.q.</v>
      </c>
      <c r="FC96" s="8" t="str">
        <f ca="1">OFFSET(Database!$F96,0,COLUMN(Database!EZ96)*2-12)</f>
        <v>n.d.</v>
      </c>
      <c r="FD96" s="8" t="str">
        <f ca="1">OFFSET(Database!$F96,0,COLUMN(Database!FA96)*2-12)</f>
        <v>n.d.</v>
      </c>
      <c r="FE96" s="8" t="str">
        <f ca="1">OFFSET(Database!$F96,0,COLUMN(Database!FB96)*2-12)</f>
        <v>n.d.</v>
      </c>
      <c r="FF96" s="8" t="str">
        <f ca="1">OFFSET(Database!$F96,0,COLUMN(Database!FC96)*2-12)</f>
        <v>n.d.</v>
      </c>
      <c r="FG96" s="8" t="str">
        <f ca="1">OFFSET(Database!$F96,0,COLUMN(Database!FD96)*2-12)</f>
        <v>n.r.</v>
      </c>
      <c r="FH96" s="8" t="str">
        <f ca="1">OFFSET(Database!$F96,0,COLUMN(Database!FE96)*2-12)</f>
        <v>n.r.</v>
      </c>
      <c r="FI96" s="8" t="str">
        <f ca="1">OFFSET(Database!$F96,0,COLUMN(Database!FF96)*2-12)</f>
        <v>n.r.</v>
      </c>
      <c r="FJ96" s="8" t="str">
        <f ca="1">OFFSET(Database!$F96,0,COLUMN(Database!FG96)*2-12)</f>
        <v>n.r.</v>
      </c>
      <c r="FK96" s="8" t="str">
        <f ca="1">OFFSET(Database!$F96,0,COLUMN(Database!FH96)*2-12)</f>
        <v>n.r.</v>
      </c>
      <c r="FL96" s="8" t="str">
        <f ca="1">OFFSET(Database!$F96,0,COLUMN(Database!FI96)*2-12)</f>
        <v>n.r.</v>
      </c>
      <c r="FM96" s="8" t="str">
        <f ca="1">OFFSET(Database!$F96,0,COLUMN(Database!FJ96)*2-12)</f>
        <v>n.r.</v>
      </c>
      <c r="FN96" s="8" t="str">
        <f ca="1">OFFSET(Database!$F96,0,COLUMN(Database!FK96)*2-12)</f>
        <v>n.r.</v>
      </c>
      <c r="FO96" s="8" t="str">
        <f ca="1">OFFSET(Database!$F96,0,COLUMN(Database!FL96)*2-12)</f>
        <v>n.r.</v>
      </c>
      <c r="FP96" s="8" t="str">
        <f ca="1">OFFSET(Database!$F96,0,COLUMN(Database!FM96)*2-12)</f>
        <v>n.r.</v>
      </c>
      <c r="FQ96" s="8" t="str">
        <f ca="1">OFFSET(Database!$F96,0,COLUMN(Database!FN96)*2-12)</f>
        <v>n.r.</v>
      </c>
      <c r="FR96" s="8" t="str">
        <f ca="1">OFFSET(Database!$F96,0,COLUMN(Database!FO96)*2-12)</f>
        <v>n.r.</v>
      </c>
      <c r="FS96" s="8" t="str">
        <f ca="1">OFFSET(Database!$F96,0,COLUMN(Database!FP96)*2-12)</f>
        <v>n.r.</v>
      </c>
      <c r="FT96" s="8" t="str">
        <f ca="1">OFFSET(Database!$F96,0,COLUMN(Database!FQ96)*2-12)</f>
        <v>n.r.</v>
      </c>
      <c r="FU96" s="8" t="str">
        <f ca="1">OFFSET(Database!$F96,0,COLUMN(Database!FR96)*2-12)</f>
        <v>n.r.</v>
      </c>
      <c r="FV96" s="8" t="str">
        <f ca="1">OFFSET(Database!$F96,0,COLUMN(Database!FS96)*2-12)</f>
        <v>n.r.</v>
      </c>
      <c r="FW96" s="8" t="str">
        <f ca="1">OFFSET(Database!$F96,0,COLUMN(Database!FT96)*2-12)</f>
        <v>n.r.</v>
      </c>
      <c r="FX96" s="8" t="str">
        <f ca="1">OFFSET(Database!$F96,0,COLUMN(Database!FU96)*2-12)</f>
        <v>n.r.</v>
      </c>
      <c r="FY96" s="8" t="str">
        <f ca="1">OFFSET(Database!$F96,0,COLUMN(Database!FV96)*2-12)</f>
        <v>n.r.</v>
      </c>
      <c r="FZ96" s="8" t="str">
        <f ca="1">OFFSET(Database!$F96,0,COLUMN(Database!FW96)*2-12)</f>
        <v>n.r.</v>
      </c>
      <c r="GA96" s="8" t="str">
        <f ca="1">OFFSET(Database!$F96,0,COLUMN(Database!FX96)*2-12)</f>
        <v>n.r.</v>
      </c>
      <c r="GB96" s="8" t="str">
        <f ca="1">OFFSET(Database!$F96,0,COLUMN(Database!FY96)*2-12)</f>
        <v>n.r.</v>
      </c>
      <c r="GC96" s="8" t="str">
        <f ca="1">OFFSET(Database!$F96,0,COLUMN(Database!FZ96)*2-12)</f>
        <v>n.r.</v>
      </c>
      <c r="GD96" s="8" t="str">
        <f ca="1">OFFSET(Database!$F96,0,COLUMN(Database!GA96)*2-12)</f>
        <v>n.r.</v>
      </c>
      <c r="GE96" s="8" t="str">
        <f ca="1">OFFSET(Database!$F96,0,COLUMN(Database!GB96)*2-12)</f>
        <v>n.r.</v>
      </c>
      <c r="GF96" s="8" t="str">
        <f ca="1">OFFSET(Database!$F96,0,COLUMN(Database!GC96)*2-12)</f>
        <v>n.r.</v>
      </c>
      <c r="GG96" s="8" t="str">
        <f ca="1">OFFSET(Database!$F96,0,COLUMN(Database!GD96)*2-12)</f>
        <v>n.r.</v>
      </c>
      <c r="GH96" s="8" t="str">
        <f ca="1">OFFSET(Database!$F96,0,COLUMN(Database!GE96)*2-12)</f>
        <v>n.r.</v>
      </c>
      <c r="GI96" s="8" t="str">
        <f ca="1">OFFSET(Database!$F96,0,COLUMN(Database!GF96)*2-12)</f>
        <v>n.r.</v>
      </c>
      <c r="GJ96" s="8" t="str">
        <f ca="1">OFFSET(Database!$F96,0,COLUMN(Database!GG96)*2-12)</f>
        <v>n.r.</v>
      </c>
      <c r="GK96" s="8" t="str">
        <f ca="1">OFFSET(Database!$F96,0,COLUMN(Database!GH96)*2-12)</f>
        <v>n.r.</v>
      </c>
      <c r="GL96" s="8" t="str">
        <f ca="1">OFFSET(Database!$F96,0,COLUMN(Database!GI96)*2-12)</f>
        <v>n.r.</v>
      </c>
      <c r="GM96" s="8" t="str">
        <f ca="1">OFFSET(Database!$F96,0,COLUMN(Database!GJ96)*2-12)</f>
        <v>n.r.</v>
      </c>
      <c r="GN96" s="8" t="str">
        <f ca="1">OFFSET(Database!$F96,0,COLUMN(Database!GK96)*2-12)</f>
        <v>n.r.</v>
      </c>
      <c r="GO96" s="8" t="str">
        <f ca="1">OFFSET(Database!$F96,0,COLUMN(Database!GL96)*2-12)</f>
        <v>n.r.</v>
      </c>
      <c r="GP96" s="8" t="str">
        <f ca="1">OFFSET(Database!$F96,0,COLUMN(Database!GM96)*2-12)</f>
        <v>n.r.</v>
      </c>
    </row>
    <row r="97" spans="1:198" x14ac:dyDescent="0.2">
      <c r="A97" s="50" t="str">
        <f>Database!A97</f>
        <v>L-lysine</v>
      </c>
      <c r="B97" s="1" t="s">
        <v>882</v>
      </c>
      <c r="C97" s="4" t="str">
        <f>Database!B97</f>
        <v>ɑ</v>
      </c>
      <c r="D97" s="4" t="str">
        <f>Database!C97</f>
        <v>L</v>
      </c>
      <c r="E97" s="74">
        <f>Database!D97</f>
        <v>19</v>
      </c>
      <c r="F97" s="33" t="s">
        <v>970</v>
      </c>
      <c r="G97" s="1">
        <v>5962</v>
      </c>
      <c r="H97" s="1">
        <f>Database!E97</f>
        <v>146.19</v>
      </c>
      <c r="I97" s="8" t="str">
        <f ca="1">OFFSET(Database!$F97,0,COLUMN(Database!F97)*2-12)</f>
        <v>n.r.</v>
      </c>
      <c r="J97" s="8" t="str">
        <f ca="1">OFFSET(Database!$F97,0,COLUMN(Database!G97)*2-12)</f>
        <v>n.r.</v>
      </c>
      <c r="K97" s="8" t="str">
        <f ca="1">OFFSET(Database!$F97,0,COLUMN(Database!H97)*2-12)</f>
        <v>n.r.</v>
      </c>
      <c r="L97" s="8" t="str">
        <f ca="1">OFFSET(Database!$F97,0,COLUMN(Database!I97)*2-12)</f>
        <v>n.r.</v>
      </c>
      <c r="M97" s="8" t="str">
        <f ca="1">OFFSET(Database!$F97,0,COLUMN(Database!J97)*2-12)</f>
        <v>n.r.</v>
      </c>
      <c r="N97" s="8" t="str">
        <f ca="1">OFFSET(Database!$F97,0,COLUMN(Database!K97)*2-12)</f>
        <v>n.r.</v>
      </c>
      <c r="O97" s="8" t="str">
        <f ca="1">OFFSET(Database!$F97,0,COLUMN(Database!L97)*2-12)</f>
        <v>n.r.</v>
      </c>
      <c r="P97" s="8" t="str">
        <f ca="1">OFFSET(Database!$F97,0,COLUMN(Database!M97)*2-12)</f>
        <v>n.r.</v>
      </c>
      <c r="Q97" s="8" t="str">
        <f ca="1">OFFSET(Database!$F97,0,COLUMN(Database!N97)*2-12)</f>
        <v>n.r.</v>
      </c>
      <c r="R97" s="8" t="str">
        <f ca="1">OFFSET(Database!$F97,0,COLUMN(Database!O97)*2-12)</f>
        <v>n.r.</v>
      </c>
      <c r="S97" s="8" t="str">
        <f ca="1">OFFSET(Database!$F97,0,COLUMN(Database!P97)*2-12)</f>
        <v>n.r.</v>
      </c>
      <c r="T97" s="8" t="str">
        <f ca="1">OFFSET(Database!$F97,0,COLUMN(Database!Q97)*2-12)</f>
        <v>n.r.</v>
      </c>
      <c r="U97" s="8" t="str">
        <f ca="1">OFFSET(Database!$F97,0,COLUMN(Database!R97)*2-12)</f>
        <v>n.r.</v>
      </c>
      <c r="V97" s="8" t="str">
        <f ca="1">OFFSET(Database!$F97,0,COLUMN(Database!S97)*2-12)</f>
        <v>n.r.</v>
      </c>
      <c r="W97" s="8" t="str">
        <f ca="1">OFFSET(Database!$F97,0,COLUMN(Database!T97)*2-12)</f>
        <v>n.r.</v>
      </c>
      <c r="X97" s="8" t="str">
        <f ca="1">OFFSET(Database!$F97,0,COLUMN(Database!U97)*2-12)</f>
        <v>n.r.</v>
      </c>
      <c r="Y97" s="8" t="str">
        <f ca="1">OFFSET(Database!$F97,0,COLUMN(Database!V97)*2-12)</f>
        <v>n.r.</v>
      </c>
      <c r="Z97" s="8" t="str">
        <f ca="1">OFFSET(Database!$F97,0,COLUMN(Database!W97)*2-12)</f>
        <v>n.r.</v>
      </c>
      <c r="AA97" s="8" t="str">
        <f ca="1">OFFSET(Database!$F97,0,COLUMN(Database!X97)*2-12)</f>
        <v>n.r.</v>
      </c>
      <c r="AB97" s="8" t="str">
        <f ca="1">OFFSET(Database!$F97,0,COLUMN(Database!Y97)*2-12)</f>
        <v>n.r.</v>
      </c>
      <c r="AC97" s="8" t="str">
        <f ca="1">OFFSET(Database!$F97,0,COLUMN(Database!Z97)*2-12)</f>
        <v>n.r.</v>
      </c>
      <c r="AD97" s="8" t="str">
        <f ca="1">OFFSET(Database!$F97,0,COLUMN(Database!AA97)*2-12)</f>
        <v>n.r.</v>
      </c>
      <c r="AE97" s="8" t="str">
        <f ca="1">OFFSET(Database!$F97,0,COLUMN(Database!AB97)*2-12)</f>
        <v>n.r.</v>
      </c>
      <c r="AF97" s="8" t="str">
        <f ca="1">OFFSET(Database!$F97,0,COLUMN(Database!AC97)*2-12)</f>
        <v>n.r.</v>
      </c>
      <c r="AG97" s="8" t="str">
        <f ca="1">OFFSET(Database!$F97,0,COLUMN(Database!AD97)*2-12)</f>
        <v>n.r.</v>
      </c>
      <c r="AH97" s="8" t="str">
        <f ca="1">OFFSET(Database!$F97,0,COLUMN(Database!AE97)*2-12)</f>
        <v>n.r.</v>
      </c>
      <c r="AI97" s="8" t="str">
        <f ca="1">OFFSET(Database!$F97,0,COLUMN(Database!AF97)*2-12)</f>
        <v>n.r.</v>
      </c>
      <c r="AJ97" s="8" t="str">
        <f ca="1">OFFSET(Database!$F97,0,COLUMN(Database!AG97)*2-12)</f>
        <v>n.r.</v>
      </c>
      <c r="AK97" s="8" t="str">
        <f ca="1">OFFSET(Database!$F97,0,COLUMN(Database!AH97)*2-12)</f>
        <v>n.r.</v>
      </c>
      <c r="AL97" s="8" t="str">
        <f ca="1">OFFSET(Database!$F97,0,COLUMN(Database!AI97)*2-12)</f>
        <v>n.r.</v>
      </c>
      <c r="AM97" s="8" t="str">
        <f ca="1">OFFSET(Database!$F97,0,COLUMN(Database!AJ97)*2-12)</f>
        <v>n.r.</v>
      </c>
      <c r="AN97" s="8" t="str">
        <f ca="1">OFFSET(Database!$F97,0,COLUMN(Database!AK97)*2-12)</f>
        <v>n.r.</v>
      </c>
      <c r="AO97" s="8" t="str">
        <f ca="1">OFFSET(Database!$F97,0,COLUMN(Database!AL97)*2-12)</f>
        <v>n.r.</v>
      </c>
      <c r="AP97" s="8" t="str">
        <f ca="1">OFFSET(Database!$F97,0,COLUMN(Database!AM97)*2-12)</f>
        <v>n.r.</v>
      </c>
      <c r="AQ97" s="8" t="str">
        <f ca="1">OFFSET(Database!$F97,0,COLUMN(Database!AN97)*2-12)</f>
        <v>n.r.</v>
      </c>
      <c r="AR97" s="8" t="str">
        <f ca="1">OFFSET(Database!$F97,0,COLUMN(Database!AO97)*2-12)</f>
        <v>n.r.</v>
      </c>
      <c r="AS97" s="8" t="str">
        <f ca="1">OFFSET(Database!$F97,0,COLUMN(Database!AP97)*2-12)</f>
        <v>n.r.</v>
      </c>
      <c r="AT97" s="8" t="str">
        <f ca="1">OFFSET(Database!$F97,0,COLUMN(Database!AQ97)*2-12)</f>
        <v>n.r.</v>
      </c>
      <c r="AU97" s="8" t="str">
        <f ca="1">OFFSET(Database!$F97,0,COLUMN(Database!AR97)*2-12)</f>
        <v>n.r.</v>
      </c>
      <c r="AV97" s="8" t="str">
        <f ca="1">OFFSET(Database!$F97,0,COLUMN(Database!AS97)*2-12)</f>
        <v>n.r.</v>
      </c>
      <c r="AW97" s="8" t="str">
        <f ca="1">OFFSET(Database!$F97,0,COLUMN(Database!AT97)*2-12)</f>
        <v>n.r.</v>
      </c>
      <c r="AX97" s="8" t="str">
        <f ca="1">OFFSET(Database!$F97,0,COLUMN(Database!AU97)*2-12)</f>
        <v>n.r.</v>
      </c>
      <c r="AY97" s="8" t="str">
        <f ca="1">OFFSET(Database!$F97,0,COLUMN(Database!AV97)*2-12)</f>
        <v>n.r.</v>
      </c>
      <c r="AZ97" s="8" t="str">
        <f ca="1">OFFSET(Database!$F97,0,COLUMN(Database!AW97)*2-12)</f>
        <v>n.r.</v>
      </c>
      <c r="BA97" s="8" t="str">
        <f ca="1">OFFSET(Database!$F97,0,COLUMN(Database!AX97)*2-12)</f>
        <v>n.r.</v>
      </c>
      <c r="BB97" s="8" t="str">
        <f ca="1">OFFSET(Database!$F97,0,COLUMN(Database!AY97)*2-12)</f>
        <v>n.r.</v>
      </c>
      <c r="BC97" s="8" t="str">
        <f ca="1">OFFSET(Database!$F97,0,COLUMN(Database!AZ97)*2-12)</f>
        <v>n.r.</v>
      </c>
      <c r="BD97" s="8" t="str">
        <f ca="1">OFFSET(Database!$F97,0,COLUMN(Database!BA97)*2-12)</f>
        <v>n.r.</v>
      </c>
      <c r="BE97" s="8" t="str">
        <f ca="1">OFFSET(Database!$F97,0,COLUMN(Database!BB97)*2-12)</f>
        <v>n.r.</v>
      </c>
      <c r="BF97" s="8" t="str">
        <f ca="1">OFFSET(Database!$F97,0,COLUMN(Database!BC97)*2-12)</f>
        <v>n.r.</v>
      </c>
      <c r="BG97" s="8" t="str">
        <f ca="1">OFFSET(Database!$F97,0,COLUMN(Database!BD97)*2-12)</f>
        <v>n.r.</v>
      </c>
      <c r="BH97" s="8" t="str">
        <f ca="1">OFFSET(Database!$F97,0,COLUMN(Database!BE97)*2-12)</f>
        <v>n.r.</v>
      </c>
      <c r="BI97" s="8" t="str">
        <f ca="1">OFFSET(Database!$F97,0,COLUMN(Database!BF97)*2-12)</f>
        <v>n.r.</v>
      </c>
      <c r="BJ97" s="8" t="str">
        <f ca="1">OFFSET(Database!$F97,0,COLUMN(Database!BG97)*2-12)</f>
        <v>n.r.</v>
      </c>
      <c r="BK97" s="8" t="str">
        <f ca="1">OFFSET(Database!$F97,0,COLUMN(Database!BH97)*2-12)</f>
        <v>n.r.</v>
      </c>
      <c r="BL97" s="8" t="str">
        <f ca="1">OFFSET(Database!$F97,0,COLUMN(Database!BI97)*2-12)</f>
        <v>n.r.</v>
      </c>
      <c r="BM97" s="8" t="str">
        <f ca="1">OFFSET(Database!$F97,0,COLUMN(Database!BJ97)*2-12)</f>
        <v>n.r.</v>
      </c>
      <c r="BN97" s="8" t="str">
        <f ca="1">OFFSET(Database!$F97,0,COLUMN(Database!BK97)*2-12)</f>
        <v>n.r.</v>
      </c>
      <c r="BO97" s="8" t="str">
        <f ca="1">OFFSET(Database!$F97,0,COLUMN(Database!BL97)*2-12)</f>
        <v>n.r.</v>
      </c>
      <c r="BP97" s="8" t="str">
        <f ca="1">OFFSET(Database!$F97,0,COLUMN(Database!BM97)*2-12)</f>
        <v>n.r.</v>
      </c>
      <c r="BQ97" s="8" t="str">
        <f ca="1">OFFSET(Database!$F97,0,COLUMN(Database!BN97)*2-12)</f>
        <v>n.r.</v>
      </c>
      <c r="BR97" s="8" t="str">
        <f ca="1">OFFSET(Database!$F97,0,COLUMN(Database!BO97)*2-12)</f>
        <v>n.r.</v>
      </c>
      <c r="BS97" s="8" t="str">
        <f ca="1">OFFSET(Database!$F97,0,COLUMN(Database!BP97)*2-12)</f>
        <v>n.r.</v>
      </c>
      <c r="BT97" s="8" t="str">
        <f ca="1">OFFSET(Database!$F97,0,COLUMN(Database!BQ97)*2-12)</f>
        <v>n.r.</v>
      </c>
      <c r="BU97" s="8" t="str">
        <f ca="1">OFFSET(Database!$F97,0,COLUMN(Database!BR97)*2-12)</f>
        <v>n.r.</v>
      </c>
      <c r="BV97" s="8" t="str">
        <f ca="1">OFFSET(Database!$F97,0,COLUMN(Database!BS97)*2-12)</f>
        <v>n.r.</v>
      </c>
      <c r="BW97" s="8" t="str">
        <f ca="1">OFFSET(Database!$F97,0,COLUMN(Database!BT97)*2-12)</f>
        <v>n.r.</v>
      </c>
      <c r="BX97" s="8" t="str">
        <f ca="1">OFFSET(Database!$F97,0,COLUMN(Database!BU97)*2-12)</f>
        <v>n.r.</v>
      </c>
      <c r="BY97" s="8" t="str">
        <f ca="1">OFFSET(Database!$F97,0,COLUMN(Database!BV97)*2-12)</f>
        <v>n.r.</v>
      </c>
      <c r="BZ97" s="8" t="str">
        <f ca="1">OFFSET(Database!$F97,0,COLUMN(Database!BW97)*2-12)</f>
        <v>n.r.</v>
      </c>
      <c r="CA97" s="8" t="str">
        <f ca="1">OFFSET(Database!$F97,0,COLUMN(Database!BX97)*2-12)</f>
        <v>n.r.</v>
      </c>
      <c r="CB97" s="8" t="str">
        <f ca="1">OFFSET(Database!$F97,0,COLUMN(Database!BY97)*2-12)</f>
        <v>n.r.</v>
      </c>
      <c r="CC97" s="8" t="str">
        <f ca="1">OFFSET(Database!$F97,0,COLUMN(Database!BZ97)*2-12)</f>
        <v>n.r.</v>
      </c>
      <c r="CD97" s="8" t="str">
        <f ca="1">OFFSET(Database!$F97,0,COLUMN(Database!CA97)*2-12)</f>
        <v>n.r.</v>
      </c>
      <c r="CE97" s="8" t="str">
        <f ca="1">OFFSET(Database!$F97,0,COLUMN(Database!CB97)*2-12)</f>
        <v>n.r.</v>
      </c>
      <c r="CF97" s="8" t="str">
        <f ca="1">OFFSET(Database!$F97,0,COLUMN(Database!CC97)*2-12)</f>
        <v>n.r.</v>
      </c>
      <c r="CG97" s="8" t="str">
        <f ca="1">OFFSET(Database!$F97,0,COLUMN(Database!CD97)*2-12)</f>
        <v>n.r.</v>
      </c>
      <c r="CH97" s="8" t="str">
        <f ca="1">OFFSET(Database!$F97,0,COLUMN(Database!CE97)*2-12)</f>
        <v>n.r.</v>
      </c>
      <c r="CI97" s="8" t="str">
        <f ca="1">OFFSET(Database!$F97,0,COLUMN(Database!CF97)*2-12)</f>
        <v>n.r.</v>
      </c>
      <c r="CJ97" s="8" t="str">
        <f ca="1">OFFSET(Database!$F97,0,COLUMN(Database!CG97)*2-12)</f>
        <v>n.r.</v>
      </c>
      <c r="CK97" s="8" t="str">
        <f ca="1">OFFSET(Database!$F97,0,COLUMN(Database!CH97)*2-12)</f>
        <v>n.r.</v>
      </c>
      <c r="CL97" s="8" t="str">
        <f ca="1">OFFSET(Database!$F97,0,COLUMN(Database!CI97)*2-12)</f>
        <v>n.r.</v>
      </c>
      <c r="CM97" s="8" t="str">
        <f ca="1">OFFSET(Database!$F97,0,COLUMN(Database!CJ97)*2-12)</f>
        <v>n.r.</v>
      </c>
      <c r="CN97" s="8" t="str">
        <f ca="1">OFFSET(Database!$F97,0,COLUMN(Database!CK97)*2-12)</f>
        <v>n.r.</v>
      </c>
      <c r="CO97" s="8" t="str">
        <f ca="1">OFFSET(Database!$F97,0,COLUMN(Database!CL97)*2-12)</f>
        <v>n.r.</v>
      </c>
      <c r="CP97" s="8" t="str">
        <f ca="1">OFFSET(Database!$F97,0,COLUMN(Database!CM97)*2-12)</f>
        <v>n.r.</v>
      </c>
      <c r="CQ97" s="8" t="str">
        <f ca="1">OFFSET(Database!$F97,0,COLUMN(Database!CN97)*2-12)</f>
        <v>n.r.</v>
      </c>
      <c r="CR97" s="8" t="str">
        <f ca="1">OFFSET(Database!$F97,0,COLUMN(Database!CO97)*2-12)</f>
        <v>n.r.</v>
      </c>
      <c r="CS97" s="8" t="str">
        <f ca="1">OFFSET(Database!$F97,0,COLUMN(Database!CP97)*2-12)</f>
        <v>n.r.</v>
      </c>
      <c r="CT97" s="8" t="str">
        <f ca="1">OFFSET(Database!$F97,0,COLUMN(Database!CQ97)*2-12)</f>
        <v>n.r.</v>
      </c>
      <c r="CU97" s="8" t="str">
        <f ca="1">OFFSET(Database!$F97,0,COLUMN(Database!CR97)*2-12)</f>
        <v>n.r.</v>
      </c>
      <c r="CV97" s="8" t="str">
        <f ca="1">OFFSET(Database!$F97,0,COLUMN(Database!CS97)*2-12)</f>
        <v>n.r.</v>
      </c>
      <c r="CW97" s="8" t="str">
        <f ca="1">OFFSET(Database!$F97,0,COLUMN(Database!CT97)*2-12)</f>
        <v>n.r.</v>
      </c>
      <c r="CX97" s="8" t="str">
        <f ca="1">OFFSET(Database!$F97,0,COLUMN(Database!CU97)*2-12)</f>
        <v>n.r.</v>
      </c>
      <c r="CY97" s="8" t="str">
        <f ca="1">OFFSET(Database!$F97,0,COLUMN(Database!CV97)*2-12)</f>
        <v>n.r.</v>
      </c>
      <c r="CZ97" s="8" t="str">
        <f ca="1">OFFSET(Database!$F97,0,COLUMN(Database!CW97)*2-12)</f>
        <v>n.r.</v>
      </c>
      <c r="DA97" s="8" t="str">
        <f ca="1">OFFSET(Database!$F97,0,COLUMN(Database!CX97)*2-12)</f>
        <v>n.r.</v>
      </c>
      <c r="DB97" s="8" t="str">
        <f ca="1">OFFSET(Database!$F97,0,COLUMN(Database!CY97)*2-12)</f>
        <v>n.r.</v>
      </c>
      <c r="DC97" s="8" t="str">
        <f ca="1">OFFSET(Database!$F97,0,COLUMN(Database!CZ97)*2-12)</f>
        <v>n.r.</v>
      </c>
      <c r="DD97" s="8" t="str">
        <f ca="1">OFFSET(Database!$F97,0,COLUMN(Database!DA97)*2-12)</f>
        <v>n.r.</v>
      </c>
      <c r="DE97" s="8" t="str">
        <f ca="1">OFFSET(Database!$F97,0,COLUMN(Database!DB97)*2-12)</f>
        <v>n.r.</v>
      </c>
      <c r="DF97" s="8">
        <f ca="1">OFFSET(Database!$F97,0,COLUMN(Database!DC97)*2-12)</f>
        <v>26.9343</v>
      </c>
      <c r="DG97" s="8">
        <f ca="1">OFFSET(Database!$F97,0,COLUMN(Database!DD97)*2-12)</f>
        <v>179.667</v>
      </c>
      <c r="DH97" s="8">
        <f ca="1">OFFSET(Database!$F97,0,COLUMN(Database!DE97)*2-12)</f>
        <v>183.37819999999999</v>
      </c>
      <c r="DI97" s="8">
        <f ca="1">OFFSET(Database!$F97,0,COLUMN(Database!DF97)*2-12)</f>
        <v>6.3372000000000002</v>
      </c>
      <c r="DJ97" s="8">
        <f ca="1">OFFSET(Database!$F97,0,COLUMN(Database!DG97)*2-12)</f>
        <v>92.419399999999996</v>
      </c>
      <c r="DK97" s="8" t="str">
        <f ca="1">OFFSET(Database!$F97,0,COLUMN(Database!DH97)*2-12)</f>
        <v>b.b.</v>
      </c>
      <c r="DL97" s="8" t="str">
        <f ca="1">OFFSET(Database!$F97,0,COLUMN(Database!DI97)*2-12)</f>
        <v>b.b.</v>
      </c>
      <c r="DM97" s="8">
        <f ca="1">OFFSET(Database!$F97,0,COLUMN(Database!DJ97)*2-12)</f>
        <v>61.966000000000001</v>
      </c>
      <c r="DN97" s="8" t="str">
        <f ca="1">OFFSET(Database!$F97,0,COLUMN(Database!DK97)*2-12)</f>
        <v>n.r.</v>
      </c>
      <c r="DO97" s="8" t="str">
        <f ca="1">OFFSET(Database!$F97,0,COLUMN(Database!DL97)*2-12)</f>
        <v>n.r.</v>
      </c>
      <c r="DP97" s="8" t="str">
        <f ca="1">OFFSET(Database!$F97,0,COLUMN(Database!DM97)*2-12)</f>
        <v>n.r.</v>
      </c>
      <c r="DQ97" s="8" t="str">
        <f ca="1">OFFSET(Database!$F97,0,COLUMN(Database!DN97)*2-12)</f>
        <v>n.r.</v>
      </c>
      <c r="DR97" s="8" t="str">
        <f ca="1">OFFSET(Database!$F97,0,COLUMN(Database!DO97)*2-12)</f>
        <v>n.r.</v>
      </c>
      <c r="DS97" s="8" t="str">
        <f ca="1">OFFSET(Database!$F97,0,COLUMN(Database!DP97)*2-12)</f>
        <v>n.r.</v>
      </c>
      <c r="DT97" s="8" t="str">
        <f ca="1">OFFSET(Database!$F97,0,COLUMN(Database!DQ97)*2-12)</f>
        <v>n.r.</v>
      </c>
      <c r="DU97" s="8" t="str">
        <f ca="1">OFFSET(Database!$F97,0,COLUMN(Database!DR97)*2-12)</f>
        <v>n.r.</v>
      </c>
      <c r="DV97" s="8" t="str">
        <f ca="1">OFFSET(Database!$F97,0,COLUMN(Database!DS97)*2-12)</f>
        <v>n.r.</v>
      </c>
      <c r="DW97" s="8" t="str">
        <f ca="1">OFFSET(Database!$F97,0,COLUMN(Database!DT97)*2-12)</f>
        <v>n.r.</v>
      </c>
      <c r="DX97" s="8" t="str">
        <f ca="1">OFFSET(Database!$F97,0,COLUMN(Database!DU97)*2-12)</f>
        <v>n.r.</v>
      </c>
      <c r="DY97" s="8" t="str">
        <f ca="1">OFFSET(Database!$F97,0,COLUMN(Database!DV97)*2-12)</f>
        <v>n.r.</v>
      </c>
      <c r="DZ97" s="8" t="str">
        <f ca="1">OFFSET(Database!$F97,0,COLUMN(Database!DW97)*2-12)</f>
        <v>n.r.</v>
      </c>
      <c r="EA97" s="8" t="str">
        <f ca="1">OFFSET(Database!$F97,0,COLUMN(Database!DX97)*2-12)</f>
        <v>n.r.</v>
      </c>
      <c r="EB97" s="8" t="str">
        <f ca="1">OFFSET(Database!$F97,0,COLUMN(Database!DY97)*2-12)</f>
        <v>n.r.</v>
      </c>
      <c r="EC97" s="8" t="str">
        <f ca="1">OFFSET(Database!$F97,0,COLUMN(Database!DZ97)*2-12)</f>
        <v>n.r.</v>
      </c>
      <c r="ED97" s="8" t="str">
        <f ca="1">OFFSET(Database!$F97,0,COLUMN(Database!EA97)*2-12)</f>
        <v>n.r.</v>
      </c>
      <c r="EE97" s="8" t="str">
        <f ca="1">OFFSET(Database!$F97,0,COLUMN(Database!EB97)*2-12)</f>
        <v>n.r.</v>
      </c>
      <c r="EF97" s="8" t="str">
        <f ca="1">OFFSET(Database!$F97,0,COLUMN(Database!EC97)*2-12)</f>
        <v>n.r.</v>
      </c>
      <c r="EG97" s="8" t="str">
        <f ca="1">OFFSET(Database!$F97,0,COLUMN(Database!ED97)*2-12)</f>
        <v>n.r.</v>
      </c>
      <c r="EH97" s="8" t="str">
        <f ca="1">OFFSET(Database!$F97,0,COLUMN(Database!EE97)*2-12)</f>
        <v>n.r.</v>
      </c>
      <c r="EI97" s="8" t="str">
        <f ca="1">OFFSET(Database!$F97,0,COLUMN(Database!EF97)*2-12)</f>
        <v>n.r.</v>
      </c>
      <c r="EJ97" s="8" t="str">
        <f ca="1">OFFSET(Database!$F97,0,COLUMN(Database!EG97)*2-12)</f>
        <v>n.r.</v>
      </c>
      <c r="EK97" s="8" t="str">
        <f ca="1">OFFSET(Database!$F97,0,COLUMN(Database!EH97)*2-12)</f>
        <v>n.r.</v>
      </c>
      <c r="EL97" s="8" t="str">
        <f ca="1">OFFSET(Database!$F97,0,COLUMN(Database!EI97)*2-12)</f>
        <v>n.r.</v>
      </c>
      <c r="EM97" s="8" t="str">
        <f ca="1">OFFSET(Database!$F97,0,COLUMN(Database!EJ97)*2-12)</f>
        <v>n.r.</v>
      </c>
      <c r="EN97" s="8" t="str">
        <f ca="1">OFFSET(Database!$F97,0,COLUMN(Database!EK97)*2-12)</f>
        <v>n.r.</v>
      </c>
      <c r="EO97" s="8" t="str">
        <f ca="1">OFFSET(Database!$F97,0,COLUMN(Database!EL97)*2-12)</f>
        <v>n.r.</v>
      </c>
      <c r="EP97" s="8" t="str">
        <f ca="1">OFFSET(Database!$F97,0,COLUMN(Database!EM97)*2-12)</f>
        <v>n.r.</v>
      </c>
      <c r="EQ97" s="8" t="str">
        <f ca="1">OFFSET(Database!$F97,0,COLUMN(Database!EN97)*2-12)</f>
        <v>n.r.</v>
      </c>
      <c r="ER97" s="8">
        <f ca="1">OFFSET(Database!$F97,0,COLUMN(Database!EO97)*2-12)</f>
        <v>23178.91974502524</v>
      </c>
      <c r="ES97" s="8">
        <f ca="1">OFFSET(Database!$F97,0,COLUMN(Database!EP97)*2-12)</f>
        <v>21972.30235985135</v>
      </c>
      <c r="ET97" s="8">
        <f ca="1">OFFSET(Database!$F97,0,COLUMN(Database!EQ97)*2-12)</f>
        <v>36762.685894716436</v>
      </c>
      <c r="EU97" s="8">
        <f ca="1">OFFSET(Database!$F97,0,COLUMN(Database!ER97)*2-12)</f>
        <v>18543.354496000498</v>
      </c>
      <c r="EV97" s="8">
        <f ca="1">OFFSET(Database!$F97,0,COLUMN(Database!ES97)*2-12)</f>
        <v>37659.930684994761</v>
      </c>
      <c r="EW97" s="8" t="str">
        <f ca="1">OFFSET(Database!$F97,0,COLUMN(Database!ET97)*2-12)</f>
        <v>n.r.</v>
      </c>
      <c r="EX97" s="8" t="str">
        <f ca="1">OFFSET(Database!$F97,0,COLUMN(Database!EU97)*2-12)</f>
        <v>n.r.</v>
      </c>
      <c r="EY97" s="8" t="str">
        <f ca="1">OFFSET(Database!$F97,0,COLUMN(Database!EV97)*2-12)</f>
        <v>n.r.</v>
      </c>
      <c r="EZ97" s="8" t="str">
        <f ca="1">OFFSET(Database!$F97,0,COLUMN(Database!EW97)*2-12)</f>
        <v>n.r.</v>
      </c>
      <c r="FA97" s="8" t="str">
        <f ca="1">OFFSET(Database!$F97,0,COLUMN(Database!EX97)*2-12)</f>
        <v>n.r.</v>
      </c>
      <c r="FB97" s="8">
        <f ca="1">OFFSET(Database!$F97,0,COLUMN(Database!EY97)*2-12)</f>
        <v>91.4</v>
      </c>
      <c r="FC97" s="8">
        <f ca="1">OFFSET(Database!$F97,0,COLUMN(Database!EZ97)*2-12)</f>
        <v>21.2</v>
      </c>
      <c r="FD97" s="8">
        <f ca="1">OFFSET(Database!$F97,0,COLUMN(Database!FA97)*2-12)</f>
        <v>1153.9000000000001</v>
      </c>
      <c r="FE97" s="8">
        <f ca="1">OFFSET(Database!$F97,0,COLUMN(Database!FB97)*2-12)</f>
        <v>2197.1999999999998</v>
      </c>
      <c r="FF97" s="8">
        <f ca="1">OFFSET(Database!$F97,0,COLUMN(Database!FC97)*2-12)</f>
        <v>2263.1</v>
      </c>
      <c r="FG97" s="8" t="str">
        <f ca="1">OFFSET(Database!$F97,0,COLUMN(Database!FD97)*2-12)</f>
        <v>n.r.</v>
      </c>
      <c r="FH97" s="8">
        <f ca="1">OFFSET(Database!$F97,0,COLUMN(Database!FE97)*2-12)</f>
        <v>400</v>
      </c>
      <c r="FI97" s="8">
        <f ca="1">OFFSET(Database!$F97,0,COLUMN(Database!FF97)*2-12)</f>
        <v>350</v>
      </c>
      <c r="FJ97" s="8">
        <f ca="1">OFFSET(Database!$F97,0,COLUMN(Database!FG97)*2-12)</f>
        <v>440</v>
      </c>
      <c r="FK97" s="8" t="str">
        <f ca="1">OFFSET(Database!$F97,0,COLUMN(Database!FH97)*2-12)</f>
        <v>n.r.</v>
      </c>
      <c r="FL97" s="8" t="str">
        <f ca="1">OFFSET(Database!$F97,0,COLUMN(Database!FI97)*2-12)</f>
        <v>n.r.</v>
      </c>
      <c r="FM97" s="8" t="str">
        <f ca="1">OFFSET(Database!$F97,0,COLUMN(Database!FJ97)*2-12)</f>
        <v>n.r.</v>
      </c>
      <c r="FN97" s="8" t="str">
        <f ca="1">OFFSET(Database!$F97,0,COLUMN(Database!FK97)*2-12)</f>
        <v>n.r.</v>
      </c>
      <c r="FO97" s="8" t="str">
        <f ca="1">OFFSET(Database!$F97,0,COLUMN(Database!FL97)*2-12)</f>
        <v>n.r.</v>
      </c>
      <c r="FP97" s="8" t="str">
        <f ca="1">OFFSET(Database!$F97,0,COLUMN(Database!FM97)*2-12)</f>
        <v>n.r.</v>
      </c>
      <c r="FQ97" s="8" t="str">
        <f ca="1">OFFSET(Database!$F97,0,COLUMN(Database!FN97)*2-12)</f>
        <v>n.r.</v>
      </c>
      <c r="FR97" s="8" t="str">
        <f ca="1">OFFSET(Database!$F97,0,COLUMN(Database!FO97)*2-12)</f>
        <v>n.r.</v>
      </c>
      <c r="FS97" s="8" t="str">
        <f ca="1">OFFSET(Database!$F97,0,COLUMN(Database!FP97)*2-12)</f>
        <v>n.r.</v>
      </c>
      <c r="FT97" s="8" t="str">
        <f ca="1">OFFSET(Database!$F97,0,COLUMN(Database!FQ97)*2-12)</f>
        <v>n.r.</v>
      </c>
      <c r="FU97" s="8" t="str">
        <f ca="1">OFFSET(Database!$F97,0,COLUMN(Database!FR97)*2-12)</f>
        <v>n.r.</v>
      </c>
      <c r="FV97" s="8" t="str">
        <f ca="1">OFFSET(Database!$F97,0,COLUMN(Database!FS97)*2-12)</f>
        <v>n.r.</v>
      </c>
      <c r="FW97" s="8" t="str">
        <f ca="1">OFFSET(Database!$F97,0,COLUMN(Database!FT97)*2-12)</f>
        <v>n.r.</v>
      </c>
      <c r="FX97" s="8" t="str">
        <f ca="1">OFFSET(Database!$F97,0,COLUMN(Database!FU97)*2-12)</f>
        <v>n.r.</v>
      </c>
      <c r="FY97" s="8" t="str">
        <f ca="1">OFFSET(Database!$F97,0,COLUMN(Database!FV97)*2-12)</f>
        <v>n.r.</v>
      </c>
      <c r="FZ97" s="8" t="str">
        <f ca="1">OFFSET(Database!$F97,0,COLUMN(Database!FW97)*2-12)</f>
        <v>n.r.</v>
      </c>
      <c r="GA97" s="8" t="str">
        <f ca="1">OFFSET(Database!$F97,0,COLUMN(Database!FX97)*2-12)</f>
        <v>n.r.</v>
      </c>
      <c r="GB97" s="8" t="str">
        <f ca="1">OFFSET(Database!$F97,0,COLUMN(Database!FY97)*2-12)</f>
        <v>n.r.</v>
      </c>
      <c r="GC97" s="8" t="str">
        <f ca="1">OFFSET(Database!$F97,0,COLUMN(Database!FZ97)*2-12)</f>
        <v>n.r.</v>
      </c>
      <c r="GD97" s="8" t="str">
        <f ca="1">OFFSET(Database!$F97,0,COLUMN(Database!GA97)*2-12)</f>
        <v>n.r.</v>
      </c>
      <c r="GE97" s="8" t="str">
        <f ca="1">OFFSET(Database!$F97,0,COLUMN(Database!GB97)*2-12)</f>
        <v>n.r.</v>
      </c>
      <c r="GF97" s="8" t="str">
        <f ca="1">OFFSET(Database!$F97,0,COLUMN(Database!GC97)*2-12)</f>
        <v>n.r.</v>
      </c>
      <c r="GG97" s="8" t="str">
        <f ca="1">OFFSET(Database!$F97,0,COLUMN(Database!GD97)*2-12)</f>
        <v>n.r.</v>
      </c>
      <c r="GH97" s="8" t="str">
        <f ca="1">OFFSET(Database!$F97,0,COLUMN(Database!GE97)*2-12)</f>
        <v>n.r.</v>
      </c>
      <c r="GI97" s="8" t="str">
        <f ca="1">OFFSET(Database!$F97,0,COLUMN(Database!GF97)*2-12)</f>
        <v>n.r.</v>
      </c>
      <c r="GJ97" s="8" t="str">
        <f ca="1">OFFSET(Database!$F97,0,COLUMN(Database!GG97)*2-12)</f>
        <v>n.r.</v>
      </c>
      <c r="GK97" s="8" t="str">
        <f ca="1">OFFSET(Database!$F97,0,COLUMN(Database!GH97)*2-12)</f>
        <v>n.r.</v>
      </c>
      <c r="GL97" s="8" t="str">
        <f ca="1">OFFSET(Database!$F97,0,COLUMN(Database!GI97)*2-12)</f>
        <v>n.r.</v>
      </c>
      <c r="GM97" s="8" t="str">
        <f ca="1">OFFSET(Database!$F97,0,COLUMN(Database!GJ97)*2-12)</f>
        <v>n.r.</v>
      </c>
      <c r="GN97" s="8" t="str">
        <f ca="1">OFFSET(Database!$F97,0,COLUMN(Database!GK97)*2-12)</f>
        <v>n.r.</v>
      </c>
      <c r="GO97" s="8" t="str">
        <f ca="1">OFFSET(Database!$F97,0,COLUMN(Database!GL97)*2-12)</f>
        <v>n.r.</v>
      </c>
      <c r="GP97" s="8" t="str">
        <f ca="1">OFFSET(Database!$F97,0,COLUMN(Database!GM97)*2-12)</f>
        <v>n.r.</v>
      </c>
    </row>
    <row r="98" spans="1:198" x14ac:dyDescent="0.2">
      <c r="A98" s="50" t="str">
        <f>Database!A98</f>
        <v>lysine</v>
      </c>
      <c r="B98" s="1" t="s">
        <v>882</v>
      </c>
      <c r="C98" s="4" t="str">
        <f>Database!B98</f>
        <v>ɑ</v>
      </c>
      <c r="D98" s="4" t="str">
        <f>Database!C98</f>
        <v>Both</v>
      </c>
      <c r="E98" s="74">
        <f>Database!D98</f>
        <v>49</v>
      </c>
      <c r="F98" s="1" t="s">
        <v>1029</v>
      </c>
      <c r="G98" s="1" t="s">
        <v>1116</v>
      </c>
      <c r="H98" s="1">
        <f>Database!E98</f>
        <v>146.19</v>
      </c>
      <c r="I98" s="8" t="str">
        <f ca="1">OFFSET(Database!$F98,0,COLUMN(Database!F98)*2-12)</f>
        <v>n.r.</v>
      </c>
      <c r="J98" s="8" t="str">
        <f ca="1">OFFSET(Database!$F98,0,COLUMN(Database!G98)*2-12)</f>
        <v>n.r.</v>
      </c>
      <c r="K98" s="8" t="str">
        <f ca="1">OFFSET(Database!$F98,0,COLUMN(Database!H98)*2-12)</f>
        <v>n.r.</v>
      </c>
      <c r="L98" s="8" t="str">
        <f ca="1">OFFSET(Database!$F98,0,COLUMN(Database!I98)*2-12)</f>
        <v>n.r.</v>
      </c>
      <c r="M98" s="8" t="str">
        <f ca="1">OFFSET(Database!$F98,0,COLUMN(Database!J98)*2-12)</f>
        <v>n.r.</v>
      </c>
      <c r="N98" s="8" t="str">
        <f ca="1">OFFSET(Database!$F98,0,COLUMN(Database!K98)*2-12)</f>
        <v>n.r.</v>
      </c>
      <c r="O98" s="8" t="str">
        <f ca="1">OFFSET(Database!$F98,0,COLUMN(Database!L98)*2-12)</f>
        <v>n.r.</v>
      </c>
      <c r="P98" s="8" t="str">
        <f ca="1">OFFSET(Database!$F98,0,COLUMN(Database!M98)*2-12)</f>
        <v>n.r.</v>
      </c>
      <c r="Q98" s="8" t="str">
        <f ca="1">OFFSET(Database!$F98,0,COLUMN(Database!N98)*2-12)</f>
        <v>n.r.</v>
      </c>
      <c r="R98" s="8" t="str">
        <f ca="1">OFFSET(Database!$F98,0,COLUMN(Database!O98)*2-12)</f>
        <v>n.r.</v>
      </c>
      <c r="S98" s="8" t="str">
        <f ca="1">OFFSET(Database!$F98,0,COLUMN(Database!P98)*2-12)</f>
        <v>n.r.</v>
      </c>
      <c r="T98" s="8" t="str">
        <f ca="1">OFFSET(Database!$F98,0,COLUMN(Database!Q98)*2-12)</f>
        <v>n.r.</v>
      </c>
      <c r="U98" s="8" t="str">
        <f ca="1">OFFSET(Database!$F98,0,COLUMN(Database!R98)*2-12)</f>
        <v>n.r.</v>
      </c>
      <c r="V98" s="8" t="str">
        <f ca="1">OFFSET(Database!$F98,0,COLUMN(Database!S98)*2-12)</f>
        <v>n.r.</v>
      </c>
      <c r="W98" s="8" t="str">
        <f ca="1">OFFSET(Database!$F98,0,COLUMN(Database!T98)*2-12)</f>
        <v>n.r.</v>
      </c>
      <c r="X98" s="8" t="str">
        <f ca="1">OFFSET(Database!$F98,0,COLUMN(Database!U98)*2-12)</f>
        <v>n.r.</v>
      </c>
      <c r="Y98" s="8" t="str">
        <f ca="1">OFFSET(Database!$F98,0,COLUMN(Database!V98)*2-12)</f>
        <v>n.r.</v>
      </c>
      <c r="Z98" s="8" t="str">
        <f ca="1">OFFSET(Database!$F98,0,COLUMN(Database!W98)*2-12)</f>
        <v>n.r.</v>
      </c>
      <c r="AA98" s="8" t="str">
        <f ca="1">OFFSET(Database!$F98,0,COLUMN(Database!X98)*2-12)</f>
        <v>n.r.</v>
      </c>
      <c r="AB98" s="8" t="str">
        <f ca="1">OFFSET(Database!$F98,0,COLUMN(Database!Y98)*2-12)</f>
        <v>n.r.</v>
      </c>
      <c r="AC98" s="8" t="str">
        <f ca="1">OFFSET(Database!$F98,0,COLUMN(Database!Z98)*2-12)</f>
        <v>n.r.</v>
      </c>
      <c r="AD98" s="8" t="str">
        <f ca="1">OFFSET(Database!$F98,0,COLUMN(Database!AA98)*2-12)</f>
        <v>n.r.</v>
      </c>
      <c r="AE98" s="8" t="str">
        <f ca="1">OFFSET(Database!$F98,0,COLUMN(Database!AB98)*2-12)</f>
        <v>n.r.</v>
      </c>
      <c r="AF98" s="8" t="str">
        <f ca="1">OFFSET(Database!$F98,0,COLUMN(Database!AC98)*2-12)</f>
        <v>n.r.</v>
      </c>
      <c r="AG98" s="8" t="str">
        <f ca="1">OFFSET(Database!$F98,0,COLUMN(Database!AD98)*2-12)</f>
        <v>n.r.</v>
      </c>
      <c r="AH98" s="8" t="str">
        <f ca="1">OFFSET(Database!$F98,0,COLUMN(Database!AE98)*2-12)</f>
        <v>n.r.</v>
      </c>
      <c r="AI98" s="8" t="str">
        <f ca="1">OFFSET(Database!$F98,0,COLUMN(Database!AF98)*2-12)</f>
        <v>n.r.</v>
      </c>
      <c r="AJ98" s="8" t="str">
        <f ca="1">OFFSET(Database!$F98,0,COLUMN(Database!AG98)*2-12)</f>
        <v>n.r.</v>
      </c>
      <c r="AK98" s="8" t="str">
        <f ca="1">OFFSET(Database!$F98,0,COLUMN(Database!AH98)*2-12)</f>
        <v>n.r.</v>
      </c>
      <c r="AL98" s="8" t="str">
        <f ca="1">OFFSET(Database!$F98,0,COLUMN(Database!AI98)*2-12)</f>
        <v>n.r.</v>
      </c>
      <c r="AM98" s="8" t="str">
        <f ca="1">OFFSET(Database!$F98,0,COLUMN(Database!AJ98)*2-12)</f>
        <v>n.r.</v>
      </c>
      <c r="AN98" s="8" t="str">
        <f ca="1">OFFSET(Database!$F98,0,COLUMN(Database!AK98)*2-12)</f>
        <v>n.r.</v>
      </c>
      <c r="AO98" s="8" t="str">
        <f ca="1">OFFSET(Database!$F98,0,COLUMN(Database!AL98)*2-12)</f>
        <v>n.r.</v>
      </c>
      <c r="AP98" s="8" t="str">
        <f ca="1">OFFSET(Database!$F98,0,COLUMN(Database!AM98)*2-12)</f>
        <v>n.r.</v>
      </c>
      <c r="AQ98" s="8" t="str">
        <f ca="1">OFFSET(Database!$F98,0,COLUMN(Database!AN98)*2-12)</f>
        <v>n.r.</v>
      </c>
      <c r="AR98" s="8" t="str">
        <f ca="1">OFFSET(Database!$F98,0,COLUMN(Database!AO98)*2-12)</f>
        <v>n.r.</v>
      </c>
      <c r="AS98" s="8" t="str">
        <f ca="1">OFFSET(Database!$F98,0,COLUMN(Database!AP98)*2-12)</f>
        <v>n.r.</v>
      </c>
      <c r="AT98" s="8" t="str">
        <f ca="1">OFFSET(Database!$F98,0,COLUMN(Database!AQ98)*2-12)</f>
        <v>n.r.</v>
      </c>
      <c r="AU98" s="8" t="str">
        <f ca="1">OFFSET(Database!$F98,0,COLUMN(Database!AR98)*2-12)</f>
        <v>n.r.</v>
      </c>
      <c r="AV98" s="8" t="str">
        <f ca="1">OFFSET(Database!$F98,0,COLUMN(Database!AS98)*2-12)</f>
        <v>n.r.</v>
      </c>
      <c r="AW98" s="8" t="str">
        <f ca="1">OFFSET(Database!$F98,0,COLUMN(Database!AT98)*2-12)</f>
        <v>n.r.</v>
      </c>
      <c r="AX98" s="8" t="str">
        <f ca="1">OFFSET(Database!$F98,0,COLUMN(Database!AU98)*2-12)</f>
        <v>n.r.</v>
      </c>
      <c r="AY98" s="8" t="str">
        <f ca="1">OFFSET(Database!$F98,0,COLUMN(Database!AV98)*2-12)</f>
        <v>n.r.</v>
      </c>
      <c r="AZ98" s="8" t="str">
        <f ca="1">OFFSET(Database!$F98,0,COLUMN(Database!AW98)*2-12)</f>
        <v>n.r.</v>
      </c>
      <c r="BA98" s="8" t="str">
        <f ca="1">OFFSET(Database!$F98,0,COLUMN(Database!AX98)*2-12)</f>
        <v>n.r.</v>
      </c>
      <c r="BB98" s="8" t="str">
        <f ca="1">OFFSET(Database!$F98,0,COLUMN(Database!AY98)*2-12)</f>
        <v>n.r.</v>
      </c>
      <c r="BC98" s="8" t="str">
        <f ca="1">OFFSET(Database!$F98,0,COLUMN(Database!AZ98)*2-12)</f>
        <v>n.r.</v>
      </c>
      <c r="BD98" s="8" t="str">
        <f ca="1">OFFSET(Database!$F98,0,COLUMN(Database!BA98)*2-12)</f>
        <v>n.r.</v>
      </c>
      <c r="BE98" s="8" t="str">
        <f ca="1">OFFSET(Database!$F98,0,COLUMN(Database!BB98)*2-12)</f>
        <v>n.r.</v>
      </c>
      <c r="BF98" s="8" t="str">
        <f ca="1">OFFSET(Database!$F98,0,COLUMN(Database!BC98)*2-12)</f>
        <v>n.r.</v>
      </c>
      <c r="BG98" s="8" t="str">
        <f ca="1">OFFSET(Database!$F98,0,COLUMN(Database!BD98)*2-12)</f>
        <v>n.r.</v>
      </c>
      <c r="BH98" s="8" t="str">
        <f ca="1">OFFSET(Database!$F98,0,COLUMN(Database!BE98)*2-12)</f>
        <v>n.r.</v>
      </c>
      <c r="BI98" s="8" t="str">
        <f ca="1">OFFSET(Database!$F98,0,COLUMN(Database!BF98)*2-12)</f>
        <v>n.r.</v>
      </c>
      <c r="BJ98" s="8" t="str">
        <f ca="1">OFFSET(Database!$F98,0,COLUMN(Database!BG98)*2-12)</f>
        <v>n.r.</v>
      </c>
      <c r="BK98" s="8" t="str">
        <f ca="1">OFFSET(Database!$F98,0,COLUMN(Database!BH98)*2-12)</f>
        <v>n.r.</v>
      </c>
      <c r="BL98" s="8" t="str">
        <f ca="1">OFFSET(Database!$F98,0,COLUMN(Database!BI98)*2-12)</f>
        <v>n.r.</v>
      </c>
      <c r="BM98" s="8" t="str">
        <f ca="1">OFFSET(Database!$F98,0,COLUMN(Database!BJ98)*2-12)</f>
        <v>n.r.</v>
      </c>
      <c r="BN98" s="8" t="str">
        <f ca="1">OFFSET(Database!$F98,0,COLUMN(Database!BK98)*2-12)</f>
        <v>n.r.</v>
      </c>
      <c r="BO98" s="8" t="str">
        <f ca="1">OFFSET(Database!$F98,0,COLUMN(Database!BL98)*2-12)</f>
        <v>n.r.</v>
      </c>
      <c r="BP98" s="8" t="str">
        <f ca="1">OFFSET(Database!$F98,0,COLUMN(Database!BM98)*2-12)</f>
        <v>n.r.</v>
      </c>
      <c r="BQ98" s="8" t="str">
        <f ca="1">OFFSET(Database!$F98,0,COLUMN(Database!BN98)*2-12)</f>
        <v>n.r.</v>
      </c>
      <c r="BR98" s="8" t="str">
        <f ca="1">OFFSET(Database!$F98,0,COLUMN(Database!BO98)*2-12)</f>
        <v>n.r.</v>
      </c>
      <c r="BS98" s="8" t="str">
        <f ca="1">OFFSET(Database!$F98,0,COLUMN(Database!BP98)*2-12)</f>
        <v>n.r.</v>
      </c>
      <c r="BT98" s="8" t="str">
        <f ca="1">OFFSET(Database!$F98,0,COLUMN(Database!BQ98)*2-12)</f>
        <v>n.r.</v>
      </c>
      <c r="BU98" s="8" t="str">
        <f ca="1">OFFSET(Database!$F98,0,COLUMN(Database!BR98)*2-12)</f>
        <v>n.r.</v>
      </c>
      <c r="BV98" s="8" t="str">
        <f ca="1">OFFSET(Database!$F98,0,COLUMN(Database!BS98)*2-12)</f>
        <v>n.r.</v>
      </c>
      <c r="BW98" s="8" t="str">
        <f ca="1">OFFSET(Database!$F98,0,COLUMN(Database!BT98)*2-12)</f>
        <v>n.r.</v>
      </c>
      <c r="BX98" s="8" t="str">
        <f ca="1">OFFSET(Database!$F98,0,COLUMN(Database!BU98)*2-12)</f>
        <v>n.r.</v>
      </c>
      <c r="BY98" s="8" t="str">
        <f ca="1">OFFSET(Database!$F98,0,COLUMN(Database!BV98)*2-12)</f>
        <v>n.r.</v>
      </c>
      <c r="BZ98" s="8" t="str">
        <f ca="1">OFFSET(Database!$F98,0,COLUMN(Database!BW98)*2-12)</f>
        <v>n.r.</v>
      </c>
      <c r="CA98" s="8" t="str">
        <f ca="1">OFFSET(Database!$F98,0,COLUMN(Database!BX98)*2-12)</f>
        <v>n.r.</v>
      </c>
      <c r="CB98" s="8" t="str">
        <f ca="1">OFFSET(Database!$F98,0,COLUMN(Database!BY98)*2-12)</f>
        <v>n.r.</v>
      </c>
      <c r="CC98" s="8" t="str">
        <f ca="1">OFFSET(Database!$F98,0,COLUMN(Database!BZ98)*2-12)</f>
        <v>n.r.</v>
      </c>
      <c r="CD98" s="8" t="str">
        <f ca="1">OFFSET(Database!$F98,0,COLUMN(Database!CA98)*2-12)</f>
        <v>n.r.</v>
      </c>
      <c r="CE98" s="8" t="str">
        <f ca="1">OFFSET(Database!$F98,0,COLUMN(Database!CB98)*2-12)</f>
        <v>n.r.</v>
      </c>
      <c r="CF98" s="8" t="str">
        <f ca="1">OFFSET(Database!$F98,0,COLUMN(Database!CC98)*2-12)</f>
        <v>n.r.</v>
      </c>
      <c r="CG98" s="8" t="str">
        <f ca="1">OFFSET(Database!$F98,0,COLUMN(Database!CD98)*2-12)</f>
        <v>n.r.</v>
      </c>
      <c r="CH98" s="8" t="str">
        <f ca="1">OFFSET(Database!$F98,0,COLUMN(Database!CE98)*2-12)</f>
        <v>n.r.</v>
      </c>
      <c r="CI98" s="8" t="str">
        <f ca="1">OFFSET(Database!$F98,0,COLUMN(Database!CF98)*2-12)</f>
        <v>n.r.</v>
      </c>
      <c r="CJ98" s="8" t="str">
        <f ca="1">OFFSET(Database!$F98,0,COLUMN(Database!CG98)*2-12)</f>
        <v>n.r.</v>
      </c>
      <c r="CK98" s="8" t="str">
        <f ca="1">OFFSET(Database!$F98,0,COLUMN(Database!CH98)*2-12)</f>
        <v>n.r.</v>
      </c>
      <c r="CL98" s="8" t="str">
        <f ca="1">OFFSET(Database!$F98,0,COLUMN(Database!CI98)*2-12)</f>
        <v>n.r.</v>
      </c>
      <c r="CM98" s="8" t="str">
        <f ca="1">OFFSET(Database!$F98,0,COLUMN(Database!CJ98)*2-12)</f>
        <v>n.r.</v>
      </c>
      <c r="CN98" s="8" t="str">
        <f ca="1">OFFSET(Database!$F98,0,COLUMN(Database!CK98)*2-12)</f>
        <v>n.r.</v>
      </c>
      <c r="CO98" s="8" t="str">
        <f ca="1">OFFSET(Database!$F98,0,COLUMN(Database!CL98)*2-12)</f>
        <v>n.r.</v>
      </c>
      <c r="CP98" s="8" t="str">
        <f ca="1">OFFSET(Database!$F98,0,COLUMN(Database!CM98)*2-12)</f>
        <v>n.r.</v>
      </c>
      <c r="CQ98" s="8" t="str">
        <f ca="1">OFFSET(Database!$F98,0,COLUMN(Database!CN98)*2-12)</f>
        <v>n.r.</v>
      </c>
      <c r="CR98" s="8" t="str">
        <f ca="1">OFFSET(Database!$F98,0,COLUMN(Database!CO98)*2-12)</f>
        <v>n.r.</v>
      </c>
      <c r="CS98" s="8" t="str">
        <f ca="1">OFFSET(Database!$F98,0,COLUMN(Database!CP98)*2-12)</f>
        <v>n.r.</v>
      </c>
      <c r="CT98" s="8" t="str">
        <f ca="1">OFFSET(Database!$F98,0,COLUMN(Database!CQ98)*2-12)</f>
        <v>n.r.</v>
      </c>
      <c r="CU98" s="8" t="str">
        <f ca="1">OFFSET(Database!$F98,0,COLUMN(Database!CR98)*2-12)</f>
        <v>n.r.</v>
      </c>
      <c r="CV98" s="8" t="str">
        <f ca="1">OFFSET(Database!$F98,0,COLUMN(Database!CS98)*2-12)</f>
        <v>n.r.</v>
      </c>
      <c r="CW98" s="8" t="str">
        <f ca="1">OFFSET(Database!$F98,0,COLUMN(Database!CT98)*2-12)</f>
        <v>n.r.</v>
      </c>
      <c r="CX98" s="8" t="str">
        <f ca="1">OFFSET(Database!$F98,0,COLUMN(Database!CU98)*2-12)</f>
        <v>n.r.</v>
      </c>
      <c r="CY98" s="8" t="str">
        <f ca="1">OFFSET(Database!$F98,0,COLUMN(Database!CV98)*2-12)</f>
        <v>n.r.</v>
      </c>
      <c r="CZ98" s="8" t="str">
        <f ca="1">OFFSET(Database!$F98,0,COLUMN(Database!CW98)*2-12)</f>
        <v>n.r.</v>
      </c>
      <c r="DA98" s="8" t="str">
        <f ca="1">OFFSET(Database!$F98,0,COLUMN(Database!CX98)*2-12)</f>
        <v>n.r.</v>
      </c>
      <c r="DB98" s="8" t="str">
        <f ca="1">OFFSET(Database!$F98,0,COLUMN(Database!CY98)*2-12)</f>
        <v>n.r.</v>
      </c>
      <c r="DC98" s="8" t="str">
        <f ca="1">OFFSET(Database!$F98,0,COLUMN(Database!CZ98)*2-12)</f>
        <v>n.r.</v>
      </c>
      <c r="DD98" s="8" t="str">
        <f ca="1">OFFSET(Database!$F98,0,COLUMN(Database!DA98)*2-12)</f>
        <v>n.r.</v>
      </c>
      <c r="DE98" s="8" t="str">
        <f ca="1">OFFSET(Database!$F98,0,COLUMN(Database!DB98)*2-12)</f>
        <v>n.r.</v>
      </c>
      <c r="DF98" s="8" t="str">
        <f ca="1">OFFSET(Database!$F98,0,COLUMN(Database!DC98)*2-12)</f>
        <v>n.r.</v>
      </c>
      <c r="DG98" s="8" t="str">
        <f ca="1">OFFSET(Database!$F98,0,COLUMN(Database!DD98)*2-12)</f>
        <v>n.r.</v>
      </c>
      <c r="DH98" s="8" t="str">
        <f ca="1">OFFSET(Database!$F98,0,COLUMN(Database!DE98)*2-12)</f>
        <v>n.r.</v>
      </c>
      <c r="DI98" s="8" t="str">
        <f ca="1">OFFSET(Database!$F98,0,COLUMN(Database!DF98)*2-12)</f>
        <v>n.r.</v>
      </c>
      <c r="DJ98" s="8" t="str">
        <f ca="1">OFFSET(Database!$F98,0,COLUMN(Database!DG98)*2-12)</f>
        <v>n.r.</v>
      </c>
      <c r="DK98" s="8" t="str">
        <f ca="1">OFFSET(Database!$F98,0,COLUMN(Database!DH98)*2-12)</f>
        <v>n.r.</v>
      </c>
      <c r="DL98" s="8" t="str">
        <f ca="1">OFFSET(Database!$F98,0,COLUMN(Database!DI98)*2-12)</f>
        <v>n.r.</v>
      </c>
      <c r="DM98" s="8" t="str">
        <f ca="1">OFFSET(Database!$F98,0,COLUMN(Database!DJ98)*2-12)</f>
        <v>n.r.</v>
      </c>
      <c r="DN98" s="8" t="str">
        <f ca="1">OFFSET(Database!$F98,0,COLUMN(Database!DK98)*2-12)</f>
        <v>n.r.</v>
      </c>
      <c r="DO98" s="8" t="str">
        <f ca="1">OFFSET(Database!$F98,0,COLUMN(Database!DL98)*2-12)</f>
        <v>n.r.</v>
      </c>
      <c r="DP98" s="8" t="str">
        <f ca="1">OFFSET(Database!$F98,0,COLUMN(Database!DM98)*2-12)</f>
        <v>n.r.</v>
      </c>
      <c r="DQ98" s="8" t="str">
        <f ca="1">OFFSET(Database!$F98,0,COLUMN(Database!DN98)*2-12)</f>
        <v>n.r.</v>
      </c>
      <c r="DR98" s="8" t="str">
        <f ca="1">OFFSET(Database!$F98,0,COLUMN(Database!DO98)*2-12)</f>
        <v>n.r.</v>
      </c>
      <c r="DS98" s="8" t="str">
        <f ca="1">OFFSET(Database!$F98,0,COLUMN(Database!DP98)*2-12)</f>
        <v>n.r.</v>
      </c>
      <c r="DT98" s="8" t="str">
        <f ca="1">OFFSET(Database!$F98,0,COLUMN(Database!DQ98)*2-12)</f>
        <v>n.r.</v>
      </c>
      <c r="DU98" s="8" t="str">
        <f ca="1">OFFSET(Database!$F98,0,COLUMN(Database!DR98)*2-12)</f>
        <v>n.r.</v>
      </c>
      <c r="DV98" s="8" t="str">
        <f ca="1">OFFSET(Database!$F98,0,COLUMN(Database!DS98)*2-12)</f>
        <v>n.r.</v>
      </c>
      <c r="DW98" s="8" t="str">
        <f ca="1">OFFSET(Database!$F98,0,COLUMN(Database!DT98)*2-12)</f>
        <v>n.r.</v>
      </c>
      <c r="DX98" s="8" t="str">
        <f ca="1">OFFSET(Database!$F98,0,COLUMN(Database!DU98)*2-12)</f>
        <v>n.r.</v>
      </c>
      <c r="DY98" s="8" t="str">
        <f ca="1">OFFSET(Database!$F98,0,COLUMN(Database!DV98)*2-12)</f>
        <v>n.r.</v>
      </c>
      <c r="DZ98" s="8" t="str">
        <f ca="1">OFFSET(Database!$F98,0,COLUMN(Database!DW98)*2-12)</f>
        <v>n.r.</v>
      </c>
      <c r="EA98" s="8" t="str">
        <f ca="1">OFFSET(Database!$F98,0,COLUMN(Database!DX98)*2-12)</f>
        <v>n.r.</v>
      </c>
      <c r="EB98" s="8">
        <f ca="1">OFFSET(Database!$F98,0,COLUMN(Database!DY98)*2-12)</f>
        <v>0.8</v>
      </c>
      <c r="EC98" s="8" t="str">
        <f ca="1">OFFSET(Database!$F98,0,COLUMN(Database!DZ98)*2-12)</f>
        <v>n.r.</v>
      </c>
      <c r="ED98" s="8">
        <f ca="1">OFFSET(Database!$F98,0,COLUMN(Database!EA98)*2-12)</f>
        <v>2.95</v>
      </c>
      <c r="EE98" s="8">
        <f ca="1">OFFSET(Database!$F98,0,COLUMN(Database!EB98)*2-12)</f>
        <v>810</v>
      </c>
      <c r="EF98" s="8">
        <f ca="1">OFFSET(Database!$F98,0,COLUMN(Database!EC98)*2-12)</f>
        <v>200</v>
      </c>
      <c r="EG98" s="8">
        <f ca="1">OFFSET(Database!$F98,0,COLUMN(Database!ED98)*2-12)</f>
        <v>400</v>
      </c>
      <c r="EH98" s="8">
        <f ca="1">OFFSET(Database!$F98,0,COLUMN(Database!EE98)*2-12)</f>
        <v>110</v>
      </c>
      <c r="EI98" s="8">
        <f ca="1">OFFSET(Database!$F98,0,COLUMN(Database!EF98)*2-12)</f>
        <v>0.115</v>
      </c>
      <c r="EJ98" s="8">
        <f ca="1">OFFSET(Database!$F98,0,COLUMN(Database!EG98)*2-12)</f>
        <v>8.7999999999999995E-2</v>
      </c>
      <c r="EK98" s="8">
        <f ca="1">OFFSET(Database!$F98,0,COLUMN(Database!EH98)*2-12)</f>
        <v>0.14799999999999999</v>
      </c>
      <c r="EL98" s="8">
        <f ca="1">OFFSET(Database!$F98,0,COLUMN(Database!EI98)*2-12)</f>
        <v>0.40600000000000003</v>
      </c>
      <c r="EM98" s="8">
        <f ca="1">OFFSET(Database!$F98,0,COLUMN(Database!EJ98)*2-12)</f>
        <v>0.28199999999999997</v>
      </c>
      <c r="EN98" s="8">
        <f ca="1">OFFSET(Database!$F98,0,COLUMN(Database!EK98)*2-12)</f>
        <v>0.20499999999999999</v>
      </c>
      <c r="EO98" s="8">
        <f ca="1">OFFSET(Database!$F98,0,COLUMN(Database!EL98)*2-12)</f>
        <v>0.45200000000000001</v>
      </c>
      <c r="EP98" s="8">
        <f ca="1">OFFSET(Database!$F98,0,COLUMN(Database!EM98)*2-12)</f>
        <v>0.28100000000000003</v>
      </c>
      <c r="EQ98" s="8">
        <f ca="1">OFFSET(Database!$F98,0,COLUMN(Database!EN98)*2-12)</f>
        <v>18.32</v>
      </c>
      <c r="ER98" s="8" t="str">
        <f ca="1">OFFSET(Database!$F98,0,COLUMN(Database!EO98)*2-12)</f>
        <v>n.r.</v>
      </c>
      <c r="ES98" s="8" t="str">
        <f ca="1">OFFSET(Database!$F98,0,COLUMN(Database!EP98)*2-12)</f>
        <v>n.r.</v>
      </c>
      <c r="ET98" s="8" t="str">
        <f ca="1">OFFSET(Database!$F98,0,COLUMN(Database!EQ98)*2-12)</f>
        <v>n.r.</v>
      </c>
      <c r="EU98" s="8" t="str">
        <f ca="1">OFFSET(Database!$F98,0,COLUMN(Database!ER98)*2-12)</f>
        <v>n.r.</v>
      </c>
      <c r="EV98" s="8" t="str">
        <f ca="1">OFFSET(Database!$F98,0,COLUMN(Database!ES98)*2-12)</f>
        <v>n.r.</v>
      </c>
      <c r="EW98" s="8">
        <f ca="1">OFFSET(Database!$F98,0,COLUMN(Database!ET98)*2-12)</f>
        <v>144600</v>
      </c>
      <c r="EX98" s="8">
        <f ca="1">OFFSET(Database!$F98,0,COLUMN(Database!EU98)*2-12)</f>
        <v>228300</v>
      </c>
      <c r="EY98" s="8">
        <f ca="1">OFFSET(Database!$F98,0,COLUMN(Database!EV98)*2-12)</f>
        <v>96200</v>
      </c>
      <c r="EZ98" s="8">
        <f ca="1">OFFSET(Database!$F98,0,COLUMN(Database!EW98)*2-12)</f>
        <v>137300</v>
      </c>
      <c r="FA98" s="8">
        <f ca="1">OFFSET(Database!$F98,0,COLUMN(Database!EX98)*2-12)</f>
        <v>351500</v>
      </c>
      <c r="FB98" s="8" t="str">
        <f ca="1">OFFSET(Database!$F98,0,COLUMN(Database!EY98)*2-12)</f>
        <v>n.r.</v>
      </c>
      <c r="FC98" s="8" t="str">
        <f ca="1">OFFSET(Database!$F98,0,COLUMN(Database!EZ98)*2-12)</f>
        <v>n.r.</v>
      </c>
      <c r="FD98" s="8" t="str">
        <f ca="1">OFFSET(Database!$F98,0,COLUMN(Database!FA98)*2-12)</f>
        <v>n.r.</v>
      </c>
      <c r="FE98" s="8" t="str">
        <f ca="1">OFFSET(Database!$F98,0,COLUMN(Database!FB98)*2-12)</f>
        <v>n.r.</v>
      </c>
      <c r="FF98" s="8" t="str">
        <f ca="1">OFFSET(Database!$F98,0,COLUMN(Database!FC98)*2-12)</f>
        <v>n.r.</v>
      </c>
      <c r="FG98" s="8">
        <f ca="1">OFFSET(Database!$F98,0,COLUMN(Database!FD98)*2-12)</f>
        <v>157329.50270196321</v>
      </c>
      <c r="FH98" s="8" t="str">
        <f ca="1">OFFSET(Database!$F98,0,COLUMN(Database!FE98)*2-12)</f>
        <v>n.r.</v>
      </c>
      <c r="FI98" s="8" t="str">
        <f ca="1">OFFSET(Database!$F98,0,COLUMN(Database!FF98)*2-12)</f>
        <v>n.r.</v>
      </c>
      <c r="FJ98" s="8" t="str">
        <f ca="1">OFFSET(Database!$F98,0,COLUMN(Database!FG98)*2-12)</f>
        <v>n.r.</v>
      </c>
      <c r="FK98" s="8">
        <f ca="1">OFFSET(Database!$F98,0,COLUMN(Database!FH98)*2-12)</f>
        <v>578698.95341678651</v>
      </c>
      <c r="FL98" s="8">
        <f ca="1">OFFSET(Database!$F98,0,COLUMN(Database!FI98)*2-12)</f>
        <v>519187.35891647858</v>
      </c>
      <c r="FM98" s="8">
        <f ca="1">OFFSET(Database!$F98,0,COLUMN(Database!FJ98)*2-12)</f>
        <v>36938.23106915658</v>
      </c>
      <c r="FN98" s="8">
        <f ca="1">OFFSET(Database!$F98,0,COLUMN(Database!FK98)*2-12)</f>
        <v>154593.33743758124</v>
      </c>
      <c r="FO98" s="8">
        <f ca="1">OFFSET(Database!$F98,0,COLUMN(Database!FL98)*2-12)</f>
        <v>521923.52418086055</v>
      </c>
      <c r="FP98" s="8">
        <f ca="1">OFFSET(Database!$F98,0,COLUMN(Database!FM98)*2-12)</f>
        <v>370066.35200766125</v>
      </c>
      <c r="FQ98" s="8">
        <f ca="1">OFFSET(Database!$F98,0,COLUMN(Database!FN98)*2-12)</f>
        <v>8618.9205828032009</v>
      </c>
      <c r="FR98" s="8">
        <f ca="1">OFFSET(Database!$F98,0,COLUMN(Database!FO98)*2-12)</f>
        <v>8687.3247144127508</v>
      </c>
      <c r="FS98" s="8">
        <f ca="1">OFFSET(Database!$F98,0,COLUMN(Database!FP98)*2-12)</f>
        <v>9781.7908201655373</v>
      </c>
      <c r="FT98" s="8">
        <f ca="1">OFFSET(Database!$F98,0,COLUMN(Database!FQ98)*2-12)</f>
        <v>8345.3040563650047</v>
      </c>
      <c r="FU98" s="8">
        <f ca="1">OFFSET(Database!$F98,0,COLUMN(Database!FR98)*2-12)</f>
        <v>5862</v>
      </c>
      <c r="FV98" s="8">
        <f ca="1">OFFSET(Database!$F98,0,COLUMN(Database!FS98)*2-12)</f>
        <v>6706</v>
      </c>
      <c r="FW98" s="8">
        <f ca="1">OFFSET(Database!$F98,0,COLUMN(Database!FT98)*2-12)</f>
        <v>6267</v>
      </c>
      <c r="FX98" s="8">
        <f ca="1">OFFSET(Database!$F98,0,COLUMN(Database!FU98)*2-12)</f>
        <v>5494</v>
      </c>
      <c r="FY98" s="8">
        <f ca="1">OFFSET(Database!$F98,0,COLUMN(Database!FV98)*2-12)</f>
        <v>6918</v>
      </c>
      <c r="FZ98" s="8">
        <f ca="1">OFFSET(Database!$F98,0,COLUMN(Database!FW98)*2-12)</f>
        <v>7821</v>
      </c>
      <c r="GA98" s="8">
        <f ca="1">OFFSET(Database!$F98,0,COLUMN(Database!FX98)*2-12)</f>
        <v>7628</v>
      </c>
      <c r="GB98" s="8">
        <f ca="1">OFFSET(Database!$F98,0,COLUMN(Database!FY98)*2-12)</f>
        <v>7103</v>
      </c>
      <c r="GC98" s="8">
        <f ca="1">OFFSET(Database!$F98,0,COLUMN(Database!FZ98)*2-12)</f>
        <v>7184</v>
      </c>
      <c r="GD98" s="8">
        <f ca="1">OFFSET(Database!$F98,0,COLUMN(Database!GA98)*2-12)</f>
        <v>5839</v>
      </c>
      <c r="GE98" s="8">
        <f ca="1">OFFSET(Database!$F98,0,COLUMN(Database!GB98)*2-12)</f>
        <v>5150</v>
      </c>
      <c r="GF98" s="8">
        <f ca="1">OFFSET(Database!$F98,0,COLUMN(Database!GC98)*2-12)</f>
        <v>6070</v>
      </c>
      <c r="GG98" s="8" t="str">
        <f ca="1">OFFSET(Database!$F98,0,COLUMN(Database!GD98)*2-12)</f>
        <v>l.o.q.</v>
      </c>
      <c r="GH98" s="8">
        <f ca="1">OFFSET(Database!$F98,0,COLUMN(Database!GE98)*2-12)</f>
        <v>3235.5154251316781</v>
      </c>
      <c r="GI98" s="8">
        <f ca="1">OFFSET(Database!$F98,0,COLUMN(Database!GF98)*2-12)</f>
        <v>12107.531294890212</v>
      </c>
      <c r="GJ98" s="8">
        <f ca="1">OFFSET(Database!$F98,0,COLUMN(Database!GG98)*2-12)</f>
        <v>7045.6255557835693</v>
      </c>
      <c r="GK98" s="8">
        <f ca="1">OFFSET(Database!$F98,0,COLUMN(Database!GH98)*2-12)</f>
        <v>62247.759764689785</v>
      </c>
      <c r="GL98" s="8" t="str">
        <f ca="1">OFFSET(Database!$F98,0,COLUMN(Database!GI98)*2-12)</f>
        <v>l.o.q.</v>
      </c>
      <c r="GM98" s="8">
        <f ca="1">OFFSET(Database!$F98,0,COLUMN(Database!GJ98)*2-12)</f>
        <v>722.34762979683978</v>
      </c>
      <c r="GN98" s="8">
        <f ca="1">OFFSET(Database!$F98,0,COLUMN(Database!GK98)*2-12)</f>
        <v>116287.02373623368</v>
      </c>
      <c r="GO98" s="8" t="str">
        <f ca="1">OFFSET(Database!$F98,0,COLUMN(Database!GL98)*2-12)</f>
        <v>n.r.</v>
      </c>
      <c r="GP98" s="8" t="str">
        <f ca="1">OFFSET(Database!$F98,0,COLUMN(Database!GM98)*2-12)</f>
        <v>n.r.</v>
      </c>
    </row>
    <row r="99" spans="1:198" x14ac:dyDescent="0.2">
      <c r="A99" s="50" t="str">
        <f>Database!A99</f>
        <v>hydroxylysine</v>
      </c>
      <c r="B99" s="1" t="s">
        <v>883</v>
      </c>
      <c r="C99" s="4" t="str">
        <f>Database!B99</f>
        <v>ɑ</v>
      </c>
      <c r="D99" s="4" t="str">
        <f>Database!C99</f>
        <v>Both</v>
      </c>
      <c r="E99" s="74">
        <f>Database!D99</f>
        <v>12</v>
      </c>
      <c r="F99" s="1" t="s">
        <v>1069</v>
      </c>
      <c r="G99" s="1" t="s">
        <v>1114</v>
      </c>
      <c r="H99" s="1">
        <f>Database!E99</f>
        <v>162.19</v>
      </c>
      <c r="I99" s="8" t="str">
        <f ca="1">OFFSET(Database!$F99,0,COLUMN(Database!F99)*2-12)</f>
        <v>n.r.</v>
      </c>
      <c r="J99" s="8" t="str">
        <f ca="1">OFFSET(Database!$F99,0,COLUMN(Database!G99)*2-12)</f>
        <v>n.r.</v>
      </c>
      <c r="K99" s="8" t="str">
        <f ca="1">OFFSET(Database!$F99,0,COLUMN(Database!H99)*2-12)</f>
        <v>n.r.</v>
      </c>
      <c r="L99" s="8" t="str">
        <f ca="1">OFFSET(Database!$F99,0,COLUMN(Database!I99)*2-12)</f>
        <v>n.r.</v>
      </c>
      <c r="M99" s="8" t="str">
        <f ca="1">OFFSET(Database!$F99,0,COLUMN(Database!J99)*2-12)</f>
        <v>n.r.</v>
      </c>
      <c r="N99" s="8" t="str">
        <f ca="1">OFFSET(Database!$F99,0,COLUMN(Database!K99)*2-12)</f>
        <v>n.r.</v>
      </c>
      <c r="O99" s="8" t="str">
        <f ca="1">OFFSET(Database!$F99,0,COLUMN(Database!L99)*2-12)</f>
        <v>n.r.</v>
      </c>
      <c r="P99" s="8" t="str">
        <f ca="1">OFFSET(Database!$F99,0,COLUMN(Database!M99)*2-12)</f>
        <v>n.r.</v>
      </c>
      <c r="Q99" s="8" t="str">
        <f ca="1">OFFSET(Database!$F99,0,COLUMN(Database!N99)*2-12)</f>
        <v>n.r.</v>
      </c>
      <c r="R99" s="8" t="str">
        <f ca="1">OFFSET(Database!$F99,0,COLUMN(Database!O99)*2-12)</f>
        <v>n.r.</v>
      </c>
      <c r="S99" s="8" t="str">
        <f ca="1">OFFSET(Database!$F99,0,COLUMN(Database!P99)*2-12)</f>
        <v>n.r.</v>
      </c>
      <c r="T99" s="8" t="str">
        <f ca="1">OFFSET(Database!$F99,0,COLUMN(Database!Q99)*2-12)</f>
        <v>n.r.</v>
      </c>
      <c r="U99" s="8" t="str">
        <f ca="1">OFFSET(Database!$F99,0,COLUMN(Database!R99)*2-12)</f>
        <v>n.r.</v>
      </c>
      <c r="V99" s="8" t="str">
        <f ca="1">OFFSET(Database!$F99,0,COLUMN(Database!S99)*2-12)</f>
        <v>n.r.</v>
      </c>
      <c r="W99" s="8" t="str">
        <f ca="1">OFFSET(Database!$F99,0,COLUMN(Database!T99)*2-12)</f>
        <v>n.r.</v>
      </c>
      <c r="X99" s="8" t="str">
        <f ca="1">OFFSET(Database!$F99,0,COLUMN(Database!U99)*2-12)</f>
        <v>n.r.</v>
      </c>
      <c r="Y99" s="8" t="str">
        <f ca="1">OFFSET(Database!$F99,0,COLUMN(Database!V99)*2-12)</f>
        <v>n.r.</v>
      </c>
      <c r="Z99" s="8" t="str">
        <f ca="1">OFFSET(Database!$F99,0,COLUMN(Database!W99)*2-12)</f>
        <v>n.r.</v>
      </c>
      <c r="AA99" s="8" t="str">
        <f ca="1">OFFSET(Database!$F99,0,COLUMN(Database!X99)*2-12)</f>
        <v>n.r.</v>
      </c>
      <c r="AB99" s="8" t="str">
        <f ca="1">OFFSET(Database!$F99,0,COLUMN(Database!Y99)*2-12)</f>
        <v>n.r.</v>
      </c>
      <c r="AC99" s="8" t="str">
        <f ca="1">OFFSET(Database!$F99,0,COLUMN(Database!Z99)*2-12)</f>
        <v>n.r.</v>
      </c>
      <c r="AD99" s="8" t="str">
        <f ca="1">OFFSET(Database!$F99,0,COLUMN(Database!AA99)*2-12)</f>
        <v>n.r.</v>
      </c>
      <c r="AE99" s="8" t="str">
        <f ca="1">OFFSET(Database!$F99,0,COLUMN(Database!AB99)*2-12)</f>
        <v>n.r.</v>
      </c>
      <c r="AF99" s="8" t="str">
        <f ca="1">OFFSET(Database!$F99,0,COLUMN(Database!AC99)*2-12)</f>
        <v>n.r.</v>
      </c>
      <c r="AG99" s="8" t="str">
        <f ca="1">OFFSET(Database!$F99,0,COLUMN(Database!AD99)*2-12)</f>
        <v>n.r.</v>
      </c>
      <c r="AH99" s="8" t="str">
        <f ca="1">OFFSET(Database!$F99,0,COLUMN(Database!AE99)*2-12)</f>
        <v>n.r.</v>
      </c>
      <c r="AI99" s="8" t="str">
        <f ca="1">OFFSET(Database!$F99,0,COLUMN(Database!AF99)*2-12)</f>
        <v>n.r.</v>
      </c>
      <c r="AJ99" s="8" t="str">
        <f ca="1">OFFSET(Database!$F99,0,COLUMN(Database!AG99)*2-12)</f>
        <v>n.r.</v>
      </c>
      <c r="AK99" s="8" t="str">
        <f ca="1">OFFSET(Database!$F99,0,COLUMN(Database!AH99)*2-12)</f>
        <v>n.r.</v>
      </c>
      <c r="AL99" s="8" t="str">
        <f ca="1">OFFSET(Database!$F99,0,COLUMN(Database!AI99)*2-12)</f>
        <v>n.r.</v>
      </c>
      <c r="AM99" s="8" t="str">
        <f ca="1">OFFSET(Database!$F99,0,COLUMN(Database!AJ99)*2-12)</f>
        <v>n.r.</v>
      </c>
      <c r="AN99" s="8" t="str">
        <f ca="1">OFFSET(Database!$F99,0,COLUMN(Database!AK99)*2-12)</f>
        <v>n.r.</v>
      </c>
      <c r="AO99" s="8" t="str">
        <f ca="1">OFFSET(Database!$F99,0,COLUMN(Database!AL99)*2-12)</f>
        <v>n.r.</v>
      </c>
      <c r="AP99" s="8" t="str">
        <f ca="1">OFFSET(Database!$F99,0,COLUMN(Database!AM99)*2-12)</f>
        <v>n.r.</v>
      </c>
      <c r="AQ99" s="8" t="str">
        <f ca="1">OFFSET(Database!$F99,0,COLUMN(Database!AN99)*2-12)</f>
        <v>n.r.</v>
      </c>
      <c r="AR99" s="8" t="str">
        <f ca="1">OFFSET(Database!$F99,0,COLUMN(Database!AO99)*2-12)</f>
        <v>n.r.</v>
      </c>
      <c r="AS99" s="8" t="str">
        <f ca="1">OFFSET(Database!$F99,0,COLUMN(Database!AP99)*2-12)</f>
        <v>n.r.</v>
      </c>
      <c r="AT99" s="8" t="str">
        <f ca="1">OFFSET(Database!$F99,0,COLUMN(Database!AQ99)*2-12)</f>
        <v>n.r.</v>
      </c>
      <c r="AU99" s="8" t="str">
        <f ca="1">OFFSET(Database!$F99,0,COLUMN(Database!AR99)*2-12)</f>
        <v>n.r.</v>
      </c>
      <c r="AV99" s="8" t="str">
        <f ca="1">OFFSET(Database!$F99,0,COLUMN(Database!AS99)*2-12)</f>
        <v>n.r.</v>
      </c>
      <c r="AW99" s="8" t="str">
        <f ca="1">OFFSET(Database!$F99,0,COLUMN(Database!AT99)*2-12)</f>
        <v>n.r.</v>
      </c>
      <c r="AX99" s="8" t="str">
        <f ca="1">OFFSET(Database!$F99,0,COLUMN(Database!AU99)*2-12)</f>
        <v>n.r.</v>
      </c>
      <c r="AY99" s="8" t="str">
        <f ca="1">OFFSET(Database!$F99,0,COLUMN(Database!AV99)*2-12)</f>
        <v>n.r.</v>
      </c>
      <c r="AZ99" s="8" t="str">
        <f ca="1">OFFSET(Database!$F99,0,COLUMN(Database!AW99)*2-12)</f>
        <v>n.r.</v>
      </c>
      <c r="BA99" s="8" t="str">
        <f ca="1">OFFSET(Database!$F99,0,COLUMN(Database!AX99)*2-12)</f>
        <v>n.r.</v>
      </c>
      <c r="BB99" s="8" t="str">
        <f ca="1">OFFSET(Database!$F99,0,COLUMN(Database!AY99)*2-12)</f>
        <v>n.r.</v>
      </c>
      <c r="BC99" s="8" t="str">
        <f ca="1">OFFSET(Database!$F99,0,COLUMN(Database!AZ99)*2-12)</f>
        <v>n.r.</v>
      </c>
      <c r="BD99" s="8" t="str">
        <f ca="1">OFFSET(Database!$F99,0,COLUMN(Database!BA99)*2-12)</f>
        <v>n.r.</v>
      </c>
      <c r="BE99" s="8" t="str">
        <f ca="1">OFFSET(Database!$F99,0,COLUMN(Database!BB99)*2-12)</f>
        <v>n.r.</v>
      </c>
      <c r="BF99" s="8" t="str">
        <f ca="1">OFFSET(Database!$F99,0,COLUMN(Database!BC99)*2-12)</f>
        <v>n.r.</v>
      </c>
      <c r="BG99" s="8" t="str">
        <f ca="1">OFFSET(Database!$F99,0,COLUMN(Database!BD99)*2-12)</f>
        <v>n.r.</v>
      </c>
      <c r="BH99" s="8" t="str">
        <f ca="1">OFFSET(Database!$F99,0,COLUMN(Database!BE99)*2-12)</f>
        <v>n.r.</v>
      </c>
      <c r="BI99" s="8" t="str">
        <f ca="1">OFFSET(Database!$F99,0,COLUMN(Database!BF99)*2-12)</f>
        <v>n.r.</v>
      </c>
      <c r="BJ99" s="8" t="str">
        <f ca="1">OFFSET(Database!$F99,0,COLUMN(Database!BG99)*2-12)</f>
        <v>n.r.</v>
      </c>
      <c r="BK99" s="8" t="str">
        <f ca="1">OFFSET(Database!$F99,0,COLUMN(Database!BH99)*2-12)</f>
        <v>n.r.</v>
      </c>
      <c r="BL99" s="8" t="str">
        <f ca="1">OFFSET(Database!$F99,0,COLUMN(Database!BI99)*2-12)</f>
        <v>n.r.</v>
      </c>
      <c r="BM99" s="8" t="str">
        <f ca="1">OFFSET(Database!$F99,0,COLUMN(Database!BJ99)*2-12)</f>
        <v>n.r.</v>
      </c>
      <c r="BN99" s="8" t="str">
        <f ca="1">OFFSET(Database!$F99,0,COLUMN(Database!BK99)*2-12)</f>
        <v>n.r.</v>
      </c>
      <c r="BO99" s="8" t="str">
        <f ca="1">OFFSET(Database!$F99,0,COLUMN(Database!BL99)*2-12)</f>
        <v>n.r.</v>
      </c>
      <c r="BP99" s="8" t="str">
        <f ca="1">OFFSET(Database!$F99,0,COLUMN(Database!BM99)*2-12)</f>
        <v>n.r.</v>
      </c>
      <c r="BQ99" s="8" t="str">
        <f ca="1">OFFSET(Database!$F99,0,COLUMN(Database!BN99)*2-12)</f>
        <v>n.r.</v>
      </c>
      <c r="BR99" s="8" t="str">
        <f ca="1">OFFSET(Database!$F99,0,COLUMN(Database!BO99)*2-12)</f>
        <v>n.r.</v>
      </c>
      <c r="BS99" s="8" t="str">
        <f ca="1">OFFSET(Database!$F99,0,COLUMN(Database!BP99)*2-12)</f>
        <v>n.r.</v>
      </c>
      <c r="BT99" s="8" t="str">
        <f ca="1">OFFSET(Database!$F99,0,COLUMN(Database!BQ99)*2-12)</f>
        <v>n.r.</v>
      </c>
      <c r="BU99" s="8" t="str">
        <f ca="1">OFFSET(Database!$F99,0,COLUMN(Database!BR99)*2-12)</f>
        <v>n.r.</v>
      </c>
      <c r="BV99" s="8" t="str">
        <f ca="1">OFFSET(Database!$F99,0,COLUMN(Database!BS99)*2-12)</f>
        <v>n.r.</v>
      </c>
      <c r="BW99" s="8" t="str">
        <f ca="1">OFFSET(Database!$F99,0,COLUMN(Database!BT99)*2-12)</f>
        <v>n.r.</v>
      </c>
      <c r="BX99" s="8" t="str">
        <f ca="1">OFFSET(Database!$F99,0,COLUMN(Database!BU99)*2-12)</f>
        <v>n.r.</v>
      </c>
      <c r="BY99" s="8" t="str">
        <f ca="1">OFFSET(Database!$F99,0,COLUMN(Database!BV99)*2-12)</f>
        <v>n.r.</v>
      </c>
      <c r="BZ99" s="8" t="str">
        <f ca="1">OFFSET(Database!$F99,0,COLUMN(Database!BW99)*2-12)</f>
        <v>n.r.</v>
      </c>
      <c r="CA99" s="8" t="str">
        <f ca="1">OFFSET(Database!$F99,0,COLUMN(Database!BX99)*2-12)</f>
        <v>n.r.</v>
      </c>
      <c r="CB99" s="8" t="str">
        <f ca="1">OFFSET(Database!$F99,0,COLUMN(Database!BY99)*2-12)</f>
        <v>n.r.</v>
      </c>
      <c r="CC99" s="8" t="str">
        <f ca="1">OFFSET(Database!$F99,0,COLUMN(Database!BZ99)*2-12)</f>
        <v>n.r.</v>
      </c>
      <c r="CD99" s="8" t="str">
        <f ca="1">OFFSET(Database!$F99,0,COLUMN(Database!CA99)*2-12)</f>
        <v>n.r.</v>
      </c>
      <c r="CE99" s="8" t="str">
        <f ca="1">OFFSET(Database!$F99,0,COLUMN(Database!CB99)*2-12)</f>
        <v>n.r.</v>
      </c>
      <c r="CF99" s="8" t="str">
        <f ca="1">OFFSET(Database!$F99,0,COLUMN(Database!CC99)*2-12)</f>
        <v>n.r.</v>
      </c>
      <c r="CG99" s="8" t="str">
        <f ca="1">OFFSET(Database!$F99,0,COLUMN(Database!CD99)*2-12)</f>
        <v>n.r.</v>
      </c>
      <c r="CH99" s="8" t="str">
        <f ca="1">OFFSET(Database!$F99,0,COLUMN(Database!CE99)*2-12)</f>
        <v>n.r.</v>
      </c>
      <c r="CI99" s="8" t="str">
        <f ca="1">OFFSET(Database!$F99,0,COLUMN(Database!CF99)*2-12)</f>
        <v>n.r.</v>
      </c>
      <c r="CJ99" s="8" t="str">
        <f ca="1">OFFSET(Database!$F99,0,COLUMN(Database!CG99)*2-12)</f>
        <v>n.r.</v>
      </c>
      <c r="CK99" s="8" t="str">
        <f ca="1">OFFSET(Database!$F99,0,COLUMN(Database!CH99)*2-12)</f>
        <v>n.r.</v>
      </c>
      <c r="CL99" s="8" t="str">
        <f ca="1">OFFSET(Database!$F99,0,COLUMN(Database!CI99)*2-12)</f>
        <v>n.r.</v>
      </c>
      <c r="CM99" s="8" t="str">
        <f ca="1">OFFSET(Database!$F99,0,COLUMN(Database!CJ99)*2-12)</f>
        <v>n.r.</v>
      </c>
      <c r="CN99" s="8" t="str">
        <f ca="1">OFFSET(Database!$F99,0,COLUMN(Database!CK99)*2-12)</f>
        <v>n.r.</v>
      </c>
      <c r="CO99" s="8" t="str">
        <f ca="1">OFFSET(Database!$F99,0,COLUMN(Database!CL99)*2-12)</f>
        <v>n.r.</v>
      </c>
      <c r="CP99" s="8" t="str">
        <f ca="1">OFFSET(Database!$F99,0,COLUMN(Database!CM99)*2-12)</f>
        <v>n.r.</v>
      </c>
      <c r="CQ99" s="8" t="str">
        <f ca="1">OFFSET(Database!$F99,0,COLUMN(Database!CN99)*2-12)</f>
        <v>n.r.</v>
      </c>
      <c r="CR99" s="8" t="str">
        <f ca="1">OFFSET(Database!$F99,0,COLUMN(Database!CO99)*2-12)</f>
        <v>n.r.</v>
      </c>
      <c r="CS99" s="8" t="str">
        <f ca="1">OFFSET(Database!$F99,0,COLUMN(Database!CP99)*2-12)</f>
        <v>n.r.</v>
      </c>
      <c r="CT99" s="8" t="str">
        <f ca="1">OFFSET(Database!$F99,0,COLUMN(Database!CQ99)*2-12)</f>
        <v>n.r.</v>
      </c>
      <c r="CU99" s="8" t="str">
        <f ca="1">OFFSET(Database!$F99,0,COLUMN(Database!CR99)*2-12)</f>
        <v>n.r.</v>
      </c>
      <c r="CV99" s="8" t="str">
        <f ca="1">OFFSET(Database!$F99,0,COLUMN(Database!CS99)*2-12)</f>
        <v>n.r.</v>
      </c>
      <c r="CW99" s="8" t="str">
        <f ca="1">OFFSET(Database!$F99,0,COLUMN(Database!CT99)*2-12)</f>
        <v>n.r.</v>
      </c>
      <c r="CX99" s="8" t="str">
        <f ca="1">OFFSET(Database!$F99,0,COLUMN(Database!CU99)*2-12)</f>
        <v>n.r.</v>
      </c>
      <c r="CY99" s="8" t="str">
        <f ca="1">OFFSET(Database!$F99,0,COLUMN(Database!CV99)*2-12)</f>
        <v>n.r.</v>
      </c>
      <c r="CZ99" s="8" t="str">
        <f ca="1">OFFSET(Database!$F99,0,COLUMN(Database!CW99)*2-12)</f>
        <v>n.r.</v>
      </c>
      <c r="DA99" s="8" t="str">
        <f ca="1">OFFSET(Database!$F99,0,COLUMN(Database!CX99)*2-12)</f>
        <v>n.r.</v>
      </c>
      <c r="DB99" s="8" t="str">
        <f ca="1">OFFSET(Database!$F99,0,COLUMN(Database!CY99)*2-12)</f>
        <v>n.r.</v>
      </c>
      <c r="DC99" s="8" t="str">
        <f ca="1">OFFSET(Database!$F99,0,COLUMN(Database!CZ99)*2-12)</f>
        <v>n.r.</v>
      </c>
      <c r="DD99" s="8" t="str">
        <f ca="1">OFFSET(Database!$F99,0,COLUMN(Database!DA99)*2-12)</f>
        <v>n.r.</v>
      </c>
      <c r="DE99" s="8" t="str">
        <f ca="1">OFFSET(Database!$F99,0,COLUMN(Database!DB99)*2-12)</f>
        <v>n.r.</v>
      </c>
      <c r="DF99" s="8" t="str">
        <f ca="1">OFFSET(Database!$F99,0,COLUMN(Database!DC99)*2-12)</f>
        <v>n.r.</v>
      </c>
      <c r="DG99" s="8" t="str">
        <f ca="1">OFFSET(Database!$F99,0,COLUMN(Database!DD99)*2-12)</f>
        <v>n.r.</v>
      </c>
      <c r="DH99" s="8" t="str">
        <f ca="1">OFFSET(Database!$F99,0,COLUMN(Database!DE99)*2-12)</f>
        <v>n.r.</v>
      </c>
      <c r="DI99" s="8" t="str">
        <f ca="1">OFFSET(Database!$F99,0,COLUMN(Database!DF99)*2-12)</f>
        <v>n.r.</v>
      </c>
      <c r="DJ99" s="8" t="str">
        <f ca="1">OFFSET(Database!$F99,0,COLUMN(Database!DG99)*2-12)</f>
        <v>n.r.</v>
      </c>
      <c r="DK99" s="8" t="str">
        <f ca="1">OFFSET(Database!$F99,0,COLUMN(Database!DH99)*2-12)</f>
        <v>n.r.</v>
      </c>
      <c r="DL99" s="8" t="str">
        <f ca="1">OFFSET(Database!$F99,0,COLUMN(Database!DI99)*2-12)</f>
        <v>n.r.</v>
      </c>
      <c r="DM99" s="8" t="str">
        <f ca="1">OFFSET(Database!$F99,0,COLUMN(Database!DJ99)*2-12)</f>
        <v>n.r.</v>
      </c>
      <c r="DN99" s="8" t="str">
        <f ca="1">OFFSET(Database!$F99,0,COLUMN(Database!DK99)*2-12)</f>
        <v>n.r.</v>
      </c>
      <c r="DO99" s="8" t="str">
        <f ca="1">OFFSET(Database!$F99,0,COLUMN(Database!DL99)*2-12)</f>
        <v>n.r.</v>
      </c>
      <c r="DP99" s="8" t="str">
        <f ca="1">OFFSET(Database!$F99,0,COLUMN(Database!DM99)*2-12)</f>
        <v>n.r.</v>
      </c>
      <c r="DQ99" s="8" t="str">
        <f ca="1">OFFSET(Database!$F99,0,COLUMN(Database!DN99)*2-12)</f>
        <v>n.r.</v>
      </c>
      <c r="DR99" s="8" t="str">
        <f ca="1">OFFSET(Database!$F99,0,COLUMN(Database!DO99)*2-12)</f>
        <v>n.r.</v>
      </c>
      <c r="DS99" s="8" t="str">
        <f ca="1">OFFSET(Database!$F99,0,COLUMN(Database!DP99)*2-12)</f>
        <v>n.r.</v>
      </c>
      <c r="DT99" s="8" t="str">
        <f ca="1">OFFSET(Database!$F99,0,COLUMN(Database!DQ99)*2-12)</f>
        <v>n.r.</v>
      </c>
      <c r="DU99" s="8" t="str">
        <f ca="1">OFFSET(Database!$F99,0,COLUMN(Database!DR99)*2-12)</f>
        <v>n.r.</v>
      </c>
      <c r="DV99" s="8" t="str">
        <f ca="1">OFFSET(Database!$F99,0,COLUMN(Database!DS99)*2-12)</f>
        <v>n.r.</v>
      </c>
      <c r="DW99" s="8" t="str">
        <f ca="1">OFFSET(Database!$F99,0,COLUMN(Database!DT99)*2-12)</f>
        <v>n.r.</v>
      </c>
      <c r="DX99" s="8" t="str">
        <f ca="1">OFFSET(Database!$F99,0,COLUMN(Database!DU99)*2-12)</f>
        <v>n.r.</v>
      </c>
      <c r="DY99" s="8" t="str">
        <f ca="1">OFFSET(Database!$F99,0,COLUMN(Database!DV99)*2-12)</f>
        <v>n.r.</v>
      </c>
      <c r="DZ99" s="8" t="str">
        <f ca="1">OFFSET(Database!$F99,0,COLUMN(Database!DW99)*2-12)</f>
        <v>n.r.</v>
      </c>
      <c r="EA99" s="8" t="str">
        <f ca="1">OFFSET(Database!$F99,0,COLUMN(Database!DX99)*2-12)</f>
        <v>n.r.</v>
      </c>
      <c r="EB99" s="8" t="str">
        <f ca="1">OFFSET(Database!$F99,0,COLUMN(Database!DY99)*2-12)</f>
        <v>n.r.</v>
      </c>
      <c r="EC99" s="8" t="str">
        <f ca="1">OFFSET(Database!$F99,0,COLUMN(Database!DZ99)*2-12)</f>
        <v>n.r.</v>
      </c>
      <c r="ED99" s="8" t="str">
        <f ca="1">OFFSET(Database!$F99,0,COLUMN(Database!EA99)*2-12)</f>
        <v>n.r.</v>
      </c>
      <c r="EE99" s="8" t="str">
        <f ca="1">OFFSET(Database!$F99,0,COLUMN(Database!EB99)*2-12)</f>
        <v>n.r.</v>
      </c>
      <c r="EF99" s="8" t="str">
        <f ca="1">OFFSET(Database!$F99,0,COLUMN(Database!EC99)*2-12)</f>
        <v>n.r.</v>
      </c>
      <c r="EG99" s="8" t="str">
        <f ca="1">OFFSET(Database!$F99,0,COLUMN(Database!ED99)*2-12)</f>
        <v>n.r.</v>
      </c>
      <c r="EH99" s="8" t="str">
        <f ca="1">OFFSET(Database!$F99,0,COLUMN(Database!EE99)*2-12)</f>
        <v>n.r.</v>
      </c>
      <c r="EI99" s="8" t="str">
        <f ca="1">OFFSET(Database!$F99,0,COLUMN(Database!EF99)*2-12)</f>
        <v>n.r.</v>
      </c>
      <c r="EJ99" s="8" t="str">
        <f ca="1">OFFSET(Database!$F99,0,COLUMN(Database!EG99)*2-12)</f>
        <v>n.r.</v>
      </c>
      <c r="EK99" s="8" t="str">
        <f ca="1">OFFSET(Database!$F99,0,COLUMN(Database!EH99)*2-12)</f>
        <v>n.r.</v>
      </c>
      <c r="EL99" s="8" t="str">
        <f ca="1">OFFSET(Database!$F99,0,COLUMN(Database!EI99)*2-12)</f>
        <v>n.r.</v>
      </c>
      <c r="EM99" s="8" t="str">
        <f ca="1">OFFSET(Database!$F99,0,COLUMN(Database!EJ99)*2-12)</f>
        <v>n.r.</v>
      </c>
      <c r="EN99" s="8" t="str">
        <f ca="1">OFFSET(Database!$F99,0,COLUMN(Database!EK99)*2-12)</f>
        <v>n.r.</v>
      </c>
      <c r="EO99" s="8" t="str">
        <f ca="1">OFFSET(Database!$F99,0,COLUMN(Database!EL99)*2-12)</f>
        <v>n.r.</v>
      </c>
      <c r="EP99" s="8" t="str">
        <f ca="1">OFFSET(Database!$F99,0,COLUMN(Database!EM99)*2-12)</f>
        <v>n.r.</v>
      </c>
      <c r="EQ99" s="8" t="str">
        <f ca="1">OFFSET(Database!$F99,0,COLUMN(Database!EN99)*2-12)</f>
        <v>n.r.</v>
      </c>
      <c r="ER99" s="8" t="str">
        <f ca="1">OFFSET(Database!$F99,0,COLUMN(Database!EO99)*2-12)</f>
        <v>n.r.</v>
      </c>
      <c r="ES99" s="8" t="str">
        <f ca="1">OFFSET(Database!$F99,0,COLUMN(Database!EP99)*2-12)</f>
        <v>n.r.</v>
      </c>
      <c r="ET99" s="8" t="str">
        <f ca="1">OFFSET(Database!$F99,0,COLUMN(Database!EQ99)*2-12)</f>
        <v>n.r.</v>
      </c>
      <c r="EU99" s="8" t="str">
        <f ca="1">OFFSET(Database!$F99,0,COLUMN(Database!ER99)*2-12)</f>
        <v>n.r.</v>
      </c>
      <c r="EV99" s="8" t="str">
        <f ca="1">OFFSET(Database!$F99,0,COLUMN(Database!ES99)*2-12)</f>
        <v>n.r.</v>
      </c>
      <c r="EW99" s="8" t="str">
        <f ca="1">OFFSET(Database!$F99,0,COLUMN(Database!ET99)*2-12)</f>
        <v>n.r.</v>
      </c>
      <c r="EX99" s="8" t="str">
        <f ca="1">OFFSET(Database!$F99,0,COLUMN(Database!EU99)*2-12)</f>
        <v>n.r.</v>
      </c>
      <c r="EY99" s="8" t="str">
        <f ca="1">OFFSET(Database!$F99,0,COLUMN(Database!EV99)*2-12)</f>
        <v>n.r.</v>
      </c>
      <c r="EZ99" s="8" t="str">
        <f ca="1">OFFSET(Database!$F99,0,COLUMN(Database!EW99)*2-12)</f>
        <v>n.r.</v>
      </c>
      <c r="FA99" s="8" t="str">
        <f ca="1">OFFSET(Database!$F99,0,COLUMN(Database!EX99)*2-12)</f>
        <v>n.r.</v>
      </c>
      <c r="FB99" s="8" t="str">
        <f ca="1">OFFSET(Database!$F99,0,COLUMN(Database!EY99)*2-12)</f>
        <v>n.r.</v>
      </c>
      <c r="FC99" s="8" t="str">
        <f ca="1">OFFSET(Database!$F99,0,COLUMN(Database!EZ99)*2-12)</f>
        <v>n.r.</v>
      </c>
      <c r="FD99" s="8" t="str">
        <f ca="1">OFFSET(Database!$F99,0,COLUMN(Database!FA99)*2-12)</f>
        <v>n.r.</v>
      </c>
      <c r="FE99" s="8" t="str">
        <f ca="1">OFFSET(Database!$F99,0,COLUMN(Database!FB99)*2-12)</f>
        <v>n.r.</v>
      </c>
      <c r="FF99" s="8" t="str">
        <f ca="1">OFFSET(Database!$F99,0,COLUMN(Database!FC99)*2-12)</f>
        <v>n.r.</v>
      </c>
      <c r="FG99" s="8" t="str">
        <f ca="1">OFFSET(Database!$F99,0,COLUMN(Database!FD99)*2-12)</f>
        <v>n.r.</v>
      </c>
      <c r="FH99" s="8" t="str">
        <f ca="1">OFFSET(Database!$F99,0,COLUMN(Database!FE99)*2-12)</f>
        <v>n.r.</v>
      </c>
      <c r="FI99" s="8" t="str">
        <f ca="1">OFFSET(Database!$F99,0,COLUMN(Database!FF99)*2-12)</f>
        <v>n.r.</v>
      </c>
      <c r="FJ99" s="8" t="str">
        <f ca="1">OFFSET(Database!$F99,0,COLUMN(Database!FG99)*2-12)</f>
        <v>n.r.</v>
      </c>
      <c r="FK99" s="8" t="str">
        <f ca="1">OFFSET(Database!$F99,0,COLUMN(Database!FH99)*2-12)</f>
        <v>n.r.</v>
      </c>
      <c r="FL99" s="8" t="str">
        <f ca="1">OFFSET(Database!$F99,0,COLUMN(Database!FI99)*2-12)</f>
        <v>n.r.</v>
      </c>
      <c r="FM99" s="8" t="str">
        <f ca="1">OFFSET(Database!$F99,0,COLUMN(Database!FJ99)*2-12)</f>
        <v>n.r.</v>
      </c>
      <c r="FN99" s="8" t="str">
        <f ca="1">OFFSET(Database!$F99,0,COLUMN(Database!FK99)*2-12)</f>
        <v>n.r.</v>
      </c>
      <c r="FO99" s="8" t="str">
        <f ca="1">OFFSET(Database!$F99,0,COLUMN(Database!FL99)*2-12)</f>
        <v>n.r.</v>
      </c>
      <c r="FP99" s="8" t="str">
        <f ca="1">OFFSET(Database!$F99,0,COLUMN(Database!FM99)*2-12)</f>
        <v>n.r.</v>
      </c>
      <c r="FQ99" s="8" t="str">
        <f ca="1">OFFSET(Database!$F99,0,COLUMN(Database!FN99)*2-12)</f>
        <v>n.r.</v>
      </c>
      <c r="FR99" s="8" t="str">
        <f ca="1">OFFSET(Database!$F99,0,COLUMN(Database!FO99)*2-12)</f>
        <v>n.r.</v>
      </c>
      <c r="FS99" s="8" t="str">
        <f ca="1">OFFSET(Database!$F99,0,COLUMN(Database!FP99)*2-12)</f>
        <v>n.r.</v>
      </c>
      <c r="FT99" s="8" t="str">
        <f ca="1">OFFSET(Database!$F99,0,COLUMN(Database!FQ99)*2-12)</f>
        <v>n.r.</v>
      </c>
      <c r="FU99" s="8">
        <f ca="1">OFFSET(Database!$F99,0,COLUMN(Database!FR99)*2-12)</f>
        <v>153</v>
      </c>
      <c r="FV99" s="8">
        <f ca="1">OFFSET(Database!$F99,0,COLUMN(Database!FS99)*2-12)</f>
        <v>178</v>
      </c>
      <c r="FW99" s="8">
        <f ca="1">OFFSET(Database!$F99,0,COLUMN(Database!FT99)*2-12)</f>
        <v>155</v>
      </c>
      <c r="FX99" s="8">
        <f ca="1">OFFSET(Database!$F99,0,COLUMN(Database!FU99)*2-12)</f>
        <v>166</v>
      </c>
      <c r="FY99" s="8">
        <f ca="1">OFFSET(Database!$F99,0,COLUMN(Database!FV99)*2-12)</f>
        <v>240</v>
      </c>
      <c r="FZ99" s="8">
        <f ca="1">OFFSET(Database!$F99,0,COLUMN(Database!FW99)*2-12)</f>
        <v>366</v>
      </c>
      <c r="GA99" s="8">
        <f ca="1">OFFSET(Database!$F99,0,COLUMN(Database!FX99)*2-12)</f>
        <v>266</v>
      </c>
      <c r="GB99" s="8">
        <f ca="1">OFFSET(Database!$F99,0,COLUMN(Database!FY99)*2-12)</f>
        <v>256</v>
      </c>
      <c r="GC99" s="8">
        <f ca="1">OFFSET(Database!$F99,0,COLUMN(Database!FZ99)*2-12)</f>
        <v>252</v>
      </c>
      <c r="GD99" s="8">
        <f ca="1">OFFSET(Database!$F99,0,COLUMN(Database!GA99)*2-12)</f>
        <v>186</v>
      </c>
      <c r="GE99" s="8">
        <f ca="1">OFFSET(Database!$F99,0,COLUMN(Database!GB99)*2-12)</f>
        <v>146</v>
      </c>
      <c r="GF99" s="8">
        <f ca="1">OFFSET(Database!$F99,0,COLUMN(Database!GC99)*2-12)</f>
        <v>225</v>
      </c>
      <c r="GG99" s="8" t="str">
        <f ca="1">OFFSET(Database!$F99,0,COLUMN(Database!GD99)*2-12)</f>
        <v>n.r.</v>
      </c>
      <c r="GH99" s="8" t="str">
        <f ca="1">OFFSET(Database!$F99,0,COLUMN(Database!GE99)*2-12)</f>
        <v>n.r.</v>
      </c>
      <c r="GI99" s="8" t="str">
        <f ca="1">OFFSET(Database!$F99,0,COLUMN(Database!GF99)*2-12)</f>
        <v>n.r.</v>
      </c>
      <c r="GJ99" s="8" t="str">
        <f ca="1">OFFSET(Database!$F99,0,COLUMN(Database!GG99)*2-12)</f>
        <v>n.r.</v>
      </c>
      <c r="GK99" s="8" t="str">
        <f ca="1">OFFSET(Database!$F99,0,COLUMN(Database!GH99)*2-12)</f>
        <v>n.r.</v>
      </c>
      <c r="GL99" s="8" t="str">
        <f ca="1">OFFSET(Database!$F99,0,COLUMN(Database!GI99)*2-12)</f>
        <v>n.r.</v>
      </c>
      <c r="GM99" s="8" t="str">
        <f ca="1">OFFSET(Database!$F99,0,COLUMN(Database!GJ99)*2-12)</f>
        <v>n.r.</v>
      </c>
      <c r="GN99" s="8" t="str">
        <f ca="1">OFFSET(Database!$F99,0,COLUMN(Database!GK99)*2-12)</f>
        <v>n.r.</v>
      </c>
      <c r="GO99" s="8" t="str">
        <f ca="1">OFFSET(Database!$F99,0,COLUMN(Database!GL99)*2-12)</f>
        <v>n.r.</v>
      </c>
      <c r="GP99" s="8" t="str">
        <f ca="1">OFFSET(Database!$F99,0,COLUMN(Database!GM99)*2-12)</f>
        <v>n.r.</v>
      </c>
    </row>
    <row r="100" spans="1:198" x14ac:dyDescent="0.2">
      <c r="A100" s="50" t="str">
        <f>Database!A100</f>
        <v>L-histidine</v>
      </c>
      <c r="B100" s="1" t="s">
        <v>884</v>
      </c>
      <c r="C100" s="4" t="str">
        <f>Database!B100</f>
        <v>ɑ</v>
      </c>
      <c r="D100" s="4" t="str">
        <f>Database!C100</f>
        <v>L</v>
      </c>
      <c r="E100" s="74">
        <f>Database!D100</f>
        <v>6</v>
      </c>
      <c r="F100" s="33" t="s">
        <v>974</v>
      </c>
      <c r="G100" s="1">
        <v>6274</v>
      </c>
      <c r="H100" s="1">
        <f>Database!E100</f>
        <v>155.15</v>
      </c>
      <c r="I100" s="8" t="str">
        <f ca="1">OFFSET(Database!$F100,0,COLUMN(Database!F100)*2-12)</f>
        <v>n.r.</v>
      </c>
      <c r="J100" s="8" t="str">
        <f ca="1">OFFSET(Database!$F100,0,COLUMN(Database!G100)*2-12)</f>
        <v>n.r.</v>
      </c>
      <c r="K100" s="8" t="str">
        <f ca="1">OFFSET(Database!$F100,0,COLUMN(Database!H100)*2-12)</f>
        <v>n.r.</v>
      </c>
      <c r="L100" s="8" t="str">
        <f ca="1">OFFSET(Database!$F100,0,COLUMN(Database!I100)*2-12)</f>
        <v>n.r.</v>
      </c>
      <c r="M100" s="8" t="str">
        <f ca="1">OFFSET(Database!$F100,0,COLUMN(Database!J100)*2-12)</f>
        <v>n.r.</v>
      </c>
      <c r="N100" s="8" t="str">
        <f ca="1">OFFSET(Database!$F100,0,COLUMN(Database!K100)*2-12)</f>
        <v>n.r.</v>
      </c>
      <c r="O100" s="8" t="str">
        <f ca="1">OFFSET(Database!$F100,0,COLUMN(Database!L100)*2-12)</f>
        <v>n.r.</v>
      </c>
      <c r="P100" s="8" t="str">
        <f ca="1">OFFSET(Database!$F100,0,COLUMN(Database!M100)*2-12)</f>
        <v>n.r.</v>
      </c>
      <c r="Q100" s="8" t="str">
        <f ca="1">OFFSET(Database!$F100,0,COLUMN(Database!N100)*2-12)</f>
        <v>n.r.</v>
      </c>
      <c r="R100" s="8" t="str">
        <f ca="1">OFFSET(Database!$F100,0,COLUMN(Database!O100)*2-12)</f>
        <v>n.r.</v>
      </c>
      <c r="S100" s="8" t="str">
        <f ca="1">OFFSET(Database!$F100,0,COLUMN(Database!P100)*2-12)</f>
        <v>n.r.</v>
      </c>
      <c r="T100" s="8" t="str">
        <f ca="1">OFFSET(Database!$F100,0,COLUMN(Database!Q100)*2-12)</f>
        <v>n.r.</v>
      </c>
      <c r="U100" s="8" t="str">
        <f ca="1">OFFSET(Database!$F100,0,COLUMN(Database!R100)*2-12)</f>
        <v>n.r.</v>
      </c>
      <c r="V100" s="8" t="str">
        <f ca="1">OFFSET(Database!$F100,0,COLUMN(Database!S100)*2-12)</f>
        <v>n.r.</v>
      </c>
      <c r="W100" s="8" t="str">
        <f ca="1">OFFSET(Database!$F100,0,COLUMN(Database!T100)*2-12)</f>
        <v>n.r.</v>
      </c>
      <c r="X100" s="8" t="str">
        <f ca="1">OFFSET(Database!$F100,0,COLUMN(Database!U100)*2-12)</f>
        <v>n.r.</v>
      </c>
      <c r="Y100" s="8" t="str">
        <f ca="1">OFFSET(Database!$F100,0,COLUMN(Database!V100)*2-12)</f>
        <v>n.r.</v>
      </c>
      <c r="Z100" s="8" t="str">
        <f ca="1">OFFSET(Database!$F100,0,COLUMN(Database!W100)*2-12)</f>
        <v>n.r.</v>
      </c>
      <c r="AA100" s="8" t="str">
        <f ca="1">OFFSET(Database!$F100,0,COLUMN(Database!X100)*2-12)</f>
        <v>n.r.</v>
      </c>
      <c r="AB100" s="8" t="str">
        <f ca="1">OFFSET(Database!$F100,0,COLUMN(Database!Y100)*2-12)</f>
        <v>n.r.</v>
      </c>
      <c r="AC100" s="8" t="str">
        <f ca="1">OFFSET(Database!$F100,0,COLUMN(Database!Z100)*2-12)</f>
        <v>n.r.</v>
      </c>
      <c r="AD100" s="8" t="str">
        <f ca="1">OFFSET(Database!$F100,0,COLUMN(Database!AA100)*2-12)</f>
        <v>n.r.</v>
      </c>
      <c r="AE100" s="8" t="str">
        <f ca="1">OFFSET(Database!$F100,0,COLUMN(Database!AB100)*2-12)</f>
        <v>n.r.</v>
      </c>
      <c r="AF100" s="8" t="str">
        <f ca="1">OFFSET(Database!$F100,0,COLUMN(Database!AC100)*2-12)</f>
        <v>n.r.</v>
      </c>
      <c r="AG100" s="8" t="str">
        <f ca="1">OFFSET(Database!$F100,0,COLUMN(Database!AD100)*2-12)</f>
        <v>n.r.</v>
      </c>
      <c r="AH100" s="8" t="str">
        <f ca="1">OFFSET(Database!$F100,0,COLUMN(Database!AE100)*2-12)</f>
        <v>n.r.</v>
      </c>
      <c r="AI100" s="8" t="str">
        <f ca="1">OFFSET(Database!$F100,0,COLUMN(Database!AF100)*2-12)</f>
        <v>n.r.</v>
      </c>
      <c r="AJ100" s="8" t="str">
        <f ca="1">OFFSET(Database!$F100,0,COLUMN(Database!AG100)*2-12)</f>
        <v>n.r.</v>
      </c>
      <c r="AK100" s="8" t="str">
        <f ca="1">OFFSET(Database!$F100,0,COLUMN(Database!AH100)*2-12)</f>
        <v>n.r.</v>
      </c>
      <c r="AL100" s="8" t="str">
        <f ca="1">OFFSET(Database!$F100,0,COLUMN(Database!AI100)*2-12)</f>
        <v>n.r.</v>
      </c>
      <c r="AM100" s="8" t="str">
        <f ca="1">OFFSET(Database!$F100,0,COLUMN(Database!AJ100)*2-12)</f>
        <v>n.r.</v>
      </c>
      <c r="AN100" s="8" t="str">
        <f ca="1">OFFSET(Database!$F100,0,COLUMN(Database!AK100)*2-12)</f>
        <v>n.r.</v>
      </c>
      <c r="AO100" s="8" t="str">
        <f ca="1">OFFSET(Database!$F100,0,COLUMN(Database!AL100)*2-12)</f>
        <v>n.r.</v>
      </c>
      <c r="AP100" s="8" t="str">
        <f ca="1">OFFSET(Database!$F100,0,COLUMN(Database!AM100)*2-12)</f>
        <v>n.r.</v>
      </c>
      <c r="AQ100" s="8" t="str">
        <f ca="1">OFFSET(Database!$F100,0,COLUMN(Database!AN100)*2-12)</f>
        <v>n.r.</v>
      </c>
      <c r="AR100" s="8" t="str">
        <f ca="1">OFFSET(Database!$F100,0,COLUMN(Database!AO100)*2-12)</f>
        <v>n.r.</v>
      </c>
      <c r="AS100" s="8" t="str">
        <f ca="1">OFFSET(Database!$F100,0,COLUMN(Database!AP100)*2-12)</f>
        <v>n.r.</v>
      </c>
      <c r="AT100" s="8" t="str">
        <f ca="1">OFFSET(Database!$F100,0,COLUMN(Database!AQ100)*2-12)</f>
        <v>n.r.</v>
      </c>
      <c r="AU100" s="8" t="str">
        <f ca="1">OFFSET(Database!$F100,0,COLUMN(Database!AR100)*2-12)</f>
        <v>n.r.</v>
      </c>
      <c r="AV100" s="8" t="str">
        <f ca="1">OFFSET(Database!$F100,0,COLUMN(Database!AS100)*2-12)</f>
        <v>n.r.</v>
      </c>
      <c r="AW100" s="8" t="str">
        <f ca="1">OFFSET(Database!$F100,0,COLUMN(Database!AT100)*2-12)</f>
        <v>n.r.</v>
      </c>
      <c r="AX100" s="8" t="str">
        <f ca="1">OFFSET(Database!$F100,0,COLUMN(Database!AU100)*2-12)</f>
        <v>n.r.</v>
      </c>
      <c r="AY100" s="8" t="str">
        <f ca="1">OFFSET(Database!$F100,0,COLUMN(Database!AV100)*2-12)</f>
        <v>n.r.</v>
      </c>
      <c r="AZ100" s="8" t="str">
        <f ca="1">OFFSET(Database!$F100,0,COLUMN(Database!AW100)*2-12)</f>
        <v>n.r.</v>
      </c>
      <c r="BA100" s="8" t="str">
        <f ca="1">OFFSET(Database!$F100,0,COLUMN(Database!AX100)*2-12)</f>
        <v>n.r.</v>
      </c>
      <c r="BB100" s="8" t="str">
        <f ca="1">OFFSET(Database!$F100,0,COLUMN(Database!AY100)*2-12)</f>
        <v>n.r.</v>
      </c>
      <c r="BC100" s="8" t="str">
        <f ca="1">OFFSET(Database!$F100,0,COLUMN(Database!AZ100)*2-12)</f>
        <v>n.r.</v>
      </c>
      <c r="BD100" s="8" t="str">
        <f ca="1">OFFSET(Database!$F100,0,COLUMN(Database!BA100)*2-12)</f>
        <v>n.r.</v>
      </c>
      <c r="BE100" s="8" t="str">
        <f ca="1">OFFSET(Database!$F100,0,COLUMN(Database!BB100)*2-12)</f>
        <v>n.r.</v>
      </c>
      <c r="BF100" s="8" t="str">
        <f ca="1">OFFSET(Database!$F100,0,COLUMN(Database!BC100)*2-12)</f>
        <v>n.r.</v>
      </c>
      <c r="BG100" s="8" t="str">
        <f ca="1">OFFSET(Database!$F100,0,COLUMN(Database!BD100)*2-12)</f>
        <v>n.r.</v>
      </c>
      <c r="BH100" s="8" t="str">
        <f ca="1">OFFSET(Database!$F100,0,COLUMN(Database!BE100)*2-12)</f>
        <v>n.r.</v>
      </c>
      <c r="BI100" s="8" t="str">
        <f ca="1">OFFSET(Database!$F100,0,COLUMN(Database!BF100)*2-12)</f>
        <v>n.r.</v>
      </c>
      <c r="BJ100" s="8" t="str">
        <f ca="1">OFFSET(Database!$F100,0,COLUMN(Database!BG100)*2-12)</f>
        <v>n.r.</v>
      </c>
      <c r="BK100" s="8" t="str">
        <f ca="1">OFFSET(Database!$F100,0,COLUMN(Database!BH100)*2-12)</f>
        <v>n.r.</v>
      </c>
      <c r="BL100" s="8" t="str">
        <f ca="1">OFFSET(Database!$F100,0,COLUMN(Database!BI100)*2-12)</f>
        <v>n.r.</v>
      </c>
      <c r="BM100" s="8" t="str">
        <f ca="1">OFFSET(Database!$F100,0,COLUMN(Database!BJ100)*2-12)</f>
        <v>n.r.</v>
      </c>
      <c r="BN100" s="8" t="str">
        <f ca="1">OFFSET(Database!$F100,0,COLUMN(Database!BK100)*2-12)</f>
        <v>n.r.</v>
      </c>
      <c r="BO100" s="8" t="str">
        <f ca="1">OFFSET(Database!$F100,0,COLUMN(Database!BL100)*2-12)</f>
        <v>n.r.</v>
      </c>
      <c r="BP100" s="8" t="str">
        <f ca="1">OFFSET(Database!$F100,0,COLUMN(Database!BM100)*2-12)</f>
        <v>n.r.</v>
      </c>
      <c r="BQ100" s="8" t="str">
        <f ca="1">OFFSET(Database!$F100,0,COLUMN(Database!BN100)*2-12)</f>
        <v>n.r.</v>
      </c>
      <c r="BR100" s="8" t="str">
        <f ca="1">OFFSET(Database!$F100,0,COLUMN(Database!BO100)*2-12)</f>
        <v>n.r.</v>
      </c>
      <c r="BS100" s="8" t="str">
        <f ca="1">OFFSET(Database!$F100,0,COLUMN(Database!BP100)*2-12)</f>
        <v>n.r.</v>
      </c>
      <c r="BT100" s="8" t="str">
        <f ca="1">OFFSET(Database!$F100,0,COLUMN(Database!BQ100)*2-12)</f>
        <v>n.r.</v>
      </c>
      <c r="BU100" s="8" t="str">
        <f ca="1">OFFSET(Database!$F100,0,COLUMN(Database!BR100)*2-12)</f>
        <v>n.r.</v>
      </c>
      <c r="BV100" s="8" t="str">
        <f ca="1">OFFSET(Database!$F100,0,COLUMN(Database!BS100)*2-12)</f>
        <v>n.r.</v>
      </c>
      <c r="BW100" s="8" t="str">
        <f ca="1">OFFSET(Database!$F100,0,COLUMN(Database!BT100)*2-12)</f>
        <v>n.r.</v>
      </c>
      <c r="BX100" s="8" t="str">
        <f ca="1">OFFSET(Database!$F100,0,COLUMN(Database!BU100)*2-12)</f>
        <v>n.r.</v>
      </c>
      <c r="BY100" s="8" t="str">
        <f ca="1">OFFSET(Database!$F100,0,COLUMN(Database!BV100)*2-12)</f>
        <v>n.r.</v>
      </c>
      <c r="BZ100" s="8" t="str">
        <f ca="1">OFFSET(Database!$F100,0,COLUMN(Database!BW100)*2-12)</f>
        <v>n.r.</v>
      </c>
      <c r="CA100" s="8" t="str">
        <f ca="1">OFFSET(Database!$F100,0,COLUMN(Database!BX100)*2-12)</f>
        <v>n.r.</v>
      </c>
      <c r="CB100" s="8" t="str">
        <f ca="1">OFFSET(Database!$F100,0,COLUMN(Database!BY100)*2-12)</f>
        <v>n.r.</v>
      </c>
      <c r="CC100" s="8" t="str">
        <f ca="1">OFFSET(Database!$F100,0,COLUMN(Database!BZ100)*2-12)</f>
        <v>n.r.</v>
      </c>
      <c r="CD100" s="8" t="str">
        <f ca="1">OFFSET(Database!$F100,0,COLUMN(Database!CA100)*2-12)</f>
        <v>n.r.</v>
      </c>
      <c r="CE100" s="8" t="str">
        <f ca="1">OFFSET(Database!$F100,0,COLUMN(Database!CB100)*2-12)</f>
        <v>n.r.</v>
      </c>
      <c r="CF100" s="8" t="str">
        <f ca="1">OFFSET(Database!$F100,0,COLUMN(Database!CC100)*2-12)</f>
        <v>n.r.</v>
      </c>
      <c r="CG100" s="8" t="str">
        <f ca="1">OFFSET(Database!$F100,0,COLUMN(Database!CD100)*2-12)</f>
        <v>n.r.</v>
      </c>
      <c r="CH100" s="8" t="str">
        <f ca="1">OFFSET(Database!$F100,0,COLUMN(Database!CE100)*2-12)</f>
        <v>n.r.</v>
      </c>
      <c r="CI100" s="8" t="str">
        <f ca="1">OFFSET(Database!$F100,0,COLUMN(Database!CF100)*2-12)</f>
        <v>n.r.</v>
      </c>
      <c r="CJ100" s="8" t="str">
        <f ca="1">OFFSET(Database!$F100,0,COLUMN(Database!CG100)*2-12)</f>
        <v>n.r.</v>
      </c>
      <c r="CK100" s="8" t="str">
        <f ca="1">OFFSET(Database!$F100,0,COLUMN(Database!CH100)*2-12)</f>
        <v>n.r.</v>
      </c>
      <c r="CL100" s="8" t="str">
        <f ca="1">OFFSET(Database!$F100,0,COLUMN(Database!CI100)*2-12)</f>
        <v>n.r.</v>
      </c>
      <c r="CM100" s="8" t="str">
        <f ca="1">OFFSET(Database!$F100,0,COLUMN(Database!CJ100)*2-12)</f>
        <v>n.r.</v>
      </c>
      <c r="CN100" s="8" t="str">
        <f ca="1">OFFSET(Database!$F100,0,COLUMN(Database!CK100)*2-12)</f>
        <v>n.r.</v>
      </c>
      <c r="CO100" s="8" t="str">
        <f ca="1">OFFSET(Database!$F100,0,COLUMN(Database!CL100)*2-12)</f>
        <v>n.r.</v>
      </c>
      <c r="CP100" s="8" t="str">
        <f ca="1">OFFSET(Database!$F100,0,COLUMN(Database!CM100)*2-12)</f>
        <v>n.r.</v>
      </c>
      <c r="CQ100" s="8" t="str">
        <f ca="1">OFFSET(Database!$F100,0,COLUMN(Database!CN100)*2-12)</f>
        <v>n.r.</v>
      </c>
      <c r="CR100" s="8" t="str">
        <f ca="1">OFFSET(Database!$F100,0,COLUMN(Database!CO100)*2-12)</f>
        <v>n.r.</v>
      </c>
      <c r="CS100" s="8" t="str">
        <f ca="1">OFFSET(Database!$F100,0,COLUMN(Database!CP100)*2-12)</f>
        <v>n.r.</v>
      </c>
      <c r="CT100" s="8" t="str">
        <f ca="1">OFFSET(Database!$F100,0,COLUMN(Database!CQ100)*2-12)</f>
        <v>n.r.</v>
      </c>
      <c r="CU100" s="8" t="str">
        <f ca="1">OFFSET(Database!$F100,0,COLUMN(Database!CR100)*2-12)</f>
        <v>n.r.</v>
      </c>
      <c r="CV100" s="8" t="str">
        <f ca="1">OFFSET(Database!$F100,0,COLUMN(Database!CS100)*2-12)</f>
        <v>n.r.</v>
      </c>
      <c r="CW100" s="8" t="str">
        <f ca="1">OFFSET(Database!$F100,0,COLUMN(Database!CT100)*2-12)</f>
        <v>n.r.</v>
      </c>
      <c r="CX100" s="8" t="str">
        <f ca="1">OFFSET(Database!$F100,0,COLUMN(Database!CU100)*2-12)</f>
        <v>n.r.</v>
      </c>
      <c r="CY100" s="8" t="str">
        <f ca="1">OFFSET(Database!$F100,0,COLUMN(Database!CV100)*2-12)</f>
        <v>n.r.</v>
      </c>
      <c r="CZ100" s="8" t="str">
        <f ca="1">OFFSET(Database!$F100,0,COLUMN(Database!CW100)*2-12)</f>
        <v>n.r.</v>
      </c>
      <c r="DA100" s="8" t="str">
        <f ca="1">OFFSET(Database!$F100,0,COLUMN(Database!CX100)*2-12)</f>
        <v>n.r.</v>
      </c>
      <c r="DB100" s="8" t="str">
        <f ca="1">OFFSET(Database!$F100,0,COLUMN(Database!CY100)*2-12)</f>
        <v>n.r.</v>
      </c>
      <c r="DC100" s="8" t="str">
        <f ca="1">OFFSET(Database!$F100,0,COLUMN(Database!CZ100)*2-12)</f>
        <v>n.r.</v>
      </c>
      <c r="DD100" s="8" t="str">
        <f ca="1">OFFSET(Database!$F100,0,COLUMN(Database!DA100)*2-12)</f>
        <v>n.r.</v>
      </c>
      <c r="DE100" s="8" t="str">
        <f ca="1">OFFSET(Database!$F100,0,COLUMN(Database!DB100)*2-12)</f>
        <v>n.r.</v>
      </c>
      <c r="DF100" s="8" t="str">
        <f ca="1">OFFSET(Database!$F100,0,COLUMN(Database!DC100)*2-12)</f>
        <v>n.r.</v>
      </c>
      <c r="DG100" s="8" t="str">
        <f ca="1">OFFSET(Database!$F100,0,COLUMN(Database!DD100)*2-12)</f>
        <v>n.r.</v>
      </c>
      <c r="DH100" s="8" t="str">
        <f ca="1">OFFSET(Database!$F100,0,COLUMN(Database!DE100)*2-12)</f>
        <v>n.r.</v>
      </c>
      <c r="DI100" s="8" t="str">
        <f ca="1">OFFSET(Database!$F100,0,COLUMN(Database!DF100)*2-12)</f>
        <v>n.r.</v>
      </c>
      <c r="DJ100" s="8" t="str">
        <f ca="1">OFFSET(Database!$F100,0,COLUMN(Database!DG100)*2-12)</f>
        <v>n.r.</v>
      </c>
      <c r="DK100" s="8" t="str">
        <f ca="1">OFFSET(Database!$F100,0,COLUMN(Database!DH100)*2-12)</f>
        <v>n.r.</v>
      </c>
      <c r="DL100" s="8" t="str">
        <f ca="1">OFFSET(Database!$F100,0,COLUMN(Database!DI100)*2-12)</f>
        <v>n.r.</v>
      </c>
      <c r="DM100" s="8" t="str">
        <f ca="1">OFFSET(Database!$F100,0,COLUMN(Database!DJ100)*2-12)</f>
        <v>n.r.</v>
      </c>
      <c r="DN100" s="8" t="str">
        <f ca="1">OFFSET(Database!$F100,0,COLUMN(Database!DK100)*2-12)</f>
        <v>n.r.</v>
      </c>
      <c r="DO100" s="8" t="str">
        <f ca="1">OFFSET(Database!$F100,0,COLUMN(Database!DL100)*2-12)</f>
        <v>n.r.</v>
      </c>
      <c r="DP100" s="8" t="str">
        <f ca="1">OFFSET(Database!$F100,0,COLUMN(Database!DM100)*2-12)</f>
        <v>n.r.</v>
      </c>
      <c r="DQ100" s="8" t="str">
        <f ca="1">OFFSET(Database!$F100,0,COLUMN(Database!DN100)*2-12)</f>
        <v>n.r.</v>
      </c>
      <c r="DR100" s="8" t="str">
        <f ca="1">OFFSET(Database!$F100,0,COLUMN(Database!DO100)*2-12)</f>
        <v>n.r.</v>
      </c>
      <c r="DS100" s="8" t="str">
        <f ca="1">OFFSET(Database!$F100,0,COLUMN(Database!DP100)*2-12)</f>
        <v>n.r.</v>
      </c>
      <c r="DT100" s="8" t="str">
        <f ca="1">OFFSET(Database!$F100,0,COLUMN(Database!DQ100)*2-12)</f>
        <v>n.r.</v>
      </c>
      <c r="DU100" s="8" t="str">
        <f ca="1">OFFSET(Database!$F100,0,COLUMN(Database!DR100)*2-12)</f>
        <v>n.r.</v>
      </c>
      <c r="DV100" s="8" t="str">
        <f ca="1">OFFSET(Database!$F100,0,COLUMN(Database!DS100)*2-12)</f>
        <v>n.r.</v>
      </c>
      <c r="DW100" s="8" t="str">
        <f ca="1">OFFSET(Database!$F100,0,COLUMN(Database!DT100)*2-12)</f>
        <v>n.r.</v>
      </c>
      <c r="DX100" s="8" t="str">
        <f ca="1">OFFSET(Database!$F100,0,COLUMN(Database!DU100)*2-12)</f>
        <v>n.r.</v>
      </c>
      <c r="DY100" s="8" t="str">
        <f ca="1">OFFSET(Database!$F100,0,COLUMN(Database!DV100)*2-12)</f>
        <v>n.r.</v>
      </c>
      <c r="DZ100" s="8" t="str">
        <f ca="1">OFFSET(Database!$F100,0,COLUMN(Database!DW100)*2-12)</f>
        <v>n.r.</v>
      </c>
      <c r="EA100" s="8" t="str">
        <f ca="1">OFFSET(Database!$F100,0,COLUMN(Database!DX100)*2-12)</f>
        <v>n.r.</v>
      </c>
      <c r="EB100" s="8" t="str">
        <f ca="1">OFFSET(Database!$F100,0,COLUMN(Database!DY100)*2-12)</f>
        <v>n.r.</v>
      </c>
      <c r="EC100" s="8" t="str">
        <f ca="1">OFFSET(Database!$F100,0,COLUMN(Database!DZ100)*2-12)</f>
        <v>n.r.</v>
      </c>
      <c r="ED100" s="8" t="str">
        <f ca="1">OFFSET(Database!$F100,0,COLUMN(Database!EA100)*2-12)</f>
        <v>n.r.</v>
      </c>
      <c r="EE100" s="8" t="str">
        <f ca="1">OFFSET(Database!$F100,0,COLUMN(Database!EB100)*2-12)</f>
        <v>n.r.</v>
      </c>
      <c r="EF100" s="8" t="str">
        <f ca="1">OFFSET(Database!$F100,0,COLUMN(Database!EC100)*2-12)</f>
        <v>n.r.</v>
      </c>
      <c r="EG100" s="8" t="str">
        <f ca="1">OFFSET(Database!$F100,0,COLUMN(Database!ED100)*2-12)</f>
        <v>n.r.</v>
      </c>
      <c r="EH100" s="8" t="str">
        <f ca="1">OFFSET(Database!$F100,0,COLUMN(Database!EE100)*2-12)</f>
        <v>n.r.</v>
      </c>
      <c r="EI100" s="8" t="str">
        <f ca="1">OFFSET(Database!$F100,0,COLUMN(Database!EF100)*2-12)</f>
        <v>n.r.</v>
      </c>
      <c r="EJ100" s="8" t="str">
        <f ca="1">OFFSET(Database!$F100,0,COLUMN(Database!EG100)*2-12)</f>
        <v>n.r.</v>
      </c>
      <c r="EK100" s="8" t="str">
        <f ca="1">OFFSET(Database!$F100,0,COLUMN(Database!EH100)*2-12)</f>
        <v>n.r.</v>
      </c>
      <c r="EL100" s="8" t="str">
        <f ca="1">OFFSET(Database!$F100,0,COLUMN(Database!EI100)*2-12)</f>
        <v>n.r.</v>
      </c>
      <c r="EM100" s="8" t="str">
        <f ca="1">OFFSET(Database!$F100,0,COLUMN(Database!EJ100)*2-12)</f>
        <v>n.r.</v>
      </c>
      <c r="EN100" s="8" t="str">
        <f ca="1">OFFSET(Database!$F100,0,COLUMN(Database!EK100)*2-12)</f>
        <v>n.r.</v>
      </c>
      <c r="EO100" s="8" t="str">
        <f ca="1">OFFSET(Database!$F100,0,COLUMN(Database!EL100)*2-12)</f>
        <v>n.r.</v>
      </c>
      <c r="EP100" s="8" t="str">
        <f ca="1">OFFSET(Database!$F100,0,COLUMN(Database!EM100)*2-12)</f>
        <v>n.r.</v>
      </c>
      <c r="EQ100" s="8" t="str">
        <f ca="1">OFFSET(Database!$F100,0,COLUMN(Database!EN100)*2-12)</f>
        <v>n.r.</v>
      </c>
      <c r="ER100" s="8" t="str">
        <f ca="1">OFFSET(Database!$F100,0,COLUMN(Database!EO100)*2-12)</f>
        <v>n.r.</v>
      </c>
      <c r="ES100" s="8" t="str">
        <f ca="1">OFFSET(Database!$F100,0,COLUMN(Database!EP100)*2-12)</f>
        <v>n.r.</v>
      </c>
      <c r="ET100" s="8" t="str">
        <f ca="1">OFFSET(Database!$F100,0,COLUMN(Database!EQ100)*2-12)</f>
        <v>n.r.</v>
      </c>
      <c r="EU100" s="8" t="str">
        <f ca="1">OFFSET(Database!$F100,0,COLUMN(Database!ER100)*2-12)</f>
        <v>n.r.</v>
      </c>
      <c r="EV100" s="8" t="str">
        <f ca="1">OFFSET(Database!$F100,0,COLUMN(Database!ES100)*2-12)</f>
        <v>n.r.</v>
      </c>
      <c r="EW100" s="8" t="str">
        <f ca="1">OFFSET(Database!$F100,0,COLUMN(Database!ET100)*2-12)</f>
        <v>n.r.</v>
      </c>
      <c r="EX100" s="8" t="str">
        <f ca="1">OFFSET(Database!$F100,0,COLUMN(Database!EU100)*2-12)</f>
        <v>n.r.</v>
      </c>
      <c r="EY100" s="8" t="str">
        <f ca="1">OFFSET(Database!$F100,0,COLUMN(Database!EV100)*2-12)</f>
        <v>n.r.</v>
      </c>
      <c r="EZ100" s="8" t="str">
        <f ca="1">OFFSET(Database!$F100,0,COLUMN(Database!EW100)*2-12)</f>
        <v>n.r.</v>
      </c>
      <c r="FA100" s="8" t="str">
        <f ca="1">OFFSET(Database!$F100,0,COLUMN(Database!EX100)*2-12)</f>
        <v>n.r.</v>
      </c>
      <c r="FB100" s="8" t="str">
        <f ca="1">OFFSET(Database!$F100,0,COLUMN(Database!EY100)*2-12)</f>
        <v>n.r.</v>
      </c>
      <c r="FC100" s="8" t="str">
        <f ca="1">OFFSET(Database!$F100,0,COLUMN(Database!EZ100)*2-12)</f>
        <v>n.r.</v>
      </c>
      <c r="FD100" s="8">
        <f ca="1">OFFSET(Database!$F100,0,COLUMN(Database!FA100)*2-12)</f>
        <v>406.2</v>
      </c>
      <c r="FE100" s="8">
        <f ca="1">OFFSET(Database!$F100,0,COLUMN(Database!FB100)*2-12)</f>
        <v>751.8</v>
      </c>
      <c r="FF100" s="8">
        <f ca="1">OFFSET(Database!$F100,0,COLUMN(Database!FC100)*2-12)</f>
        <v>582.29999999999995</v>
      </c>
      <c r="FG100" s="8" t="str">
        <f ca="1">OFFSET(Database!$F100,0,COLUMN(Database!FD100)*2-12)</f>
        <v>n.r.</v>
      </c>
      <c r="FH100" s="8">
        <f ca="1">OFFSET(Database!$F100,0,COLUMN(Database!FE100)*2-12)</f>
        <v>2600</v>
      </c>
      <c r="FI100" s="8">
        <f ca="1">OFFSET(Database!$F100,0,COLUMN(Database!FF100)*2-12)</f>
        <v>300</v>
      </c>
      <c r="FJ100" s="8">
        <f ca="1">OFFSET(Database!$F100,0,COLUMN(Database!FG100)*2-12)</f>
        <v>410</v>
      </c>
      <c r="FK100" s="8" t="str">
        <f ca="1">OFFSET(Database!$F100,0,COLUMN(Database!FH100)*2-12)</f>
        <v>n.r.</v>
      </c>
      <c r="FL100" s="8" t="str">
        <f ca="1">OFFSET(Database!$F100,0,COLUMN(Database!FI100)*2-12)</f>
        <v>n.r.</v>
      </c>
      <c r="FM100" s="8" t="str">
        <f ca="1">OFFSET(Database!$F100,0,COLUMN(Database!FJ100)*2-12)</f>
        <v>n.r.</v>
      </c>
      <c r="FN100" s="8" t="str">
        <f ca="1">OFFSET(Database!$F100,0,COLUMN(Database!FK100)*2-12)</f>
        <v>n.r.</v>
      </c>
      <c r="FO100" s="8" t="str">
        <f ca="1">OFFSET(Database!$F100,0,COLUMN(Database!FL100)*2-12)</f>
        <v>n.r.</v>
      </c>
      <c r="FP100" s="8" t="str">
        <f ca="1">OFFSET(Database!$F100,0,COLUMN(Database!FM100)*2-12)</f>
        <v>n.r.</v>
      </c>
      <c r="FQ100" s="8" t="str">
        <f ca="1">OFFSET(Database!$F100,0,COLUMN(Database!FN100)*2-12)</f>
        <v>n.r.</v>
      </c>
      <c r="FR100" s="8" t="str">
        <f ca="1">OFFSET(Database!$F100,0,COLUMN(Database!FO100)*2-12)</f>
        <v>n.r.</v>
      </c>
      <c r="FS100" s="8" t="str">
        <f ca="1">OFFSET(Database!$F100,0,COLUMN(Database!FP100)*2-12)</f>
        <v>n.r.</v>
      </c>
      <c r="FT100" s="8" t="str">
        <f ca="1">OFFSET(Database!$F100,0,COLUMN(Database!FQ100)*2-12)</f>
        <v>n.r.</v>
      </c>
      <c r="FU100" s="8" t="str">
        <f ca="1">OFFSET(Database!$F100,0,COLUMN(Database!FR100)*2-12)</f>
        <v>n.r.</v>
      </c>
      <c r="FV100" s="8" t="str">
        <f ca="1">OFFSET(Database!$F100,0,COLUMN(Database!FS100)*2-12)</f>
        <v>n.r.</v>
      </c>
      <c r="FW100" s="8" t="str">
        <f ca="1">OFFSET(Database!$F100,0,COLUMN(Database!FT100)*2-12)</f>
        <v>n.r.</v>
      </c>
      <c r="FX100" s="8" t="str">
        <f ca="1">OFFSET(Database!$F100,0,COLUMN(Database!FU100)*2-12)</f>
        <v>n.r.</v>
      </c>
      <c r="FY100" s="8" t="str">
        <f ca="1">OFFSET(Database!$F100,0,COLUMN(Database!FV100)*2-12)</f>
        <v>n.r.</v>
      </c>
      <c r="FZ100" s="8" t="str">
        <f ca="1">OFFSET(Database!$F100,0,COLUMN(Database!FW100)*2-12)</f>
        <v>n.r.</v>
      </c>
      <c r="GA100" s="8" t="str">
        <f ca="1">OFFSET(Database!$F100,0,COLUMN(Database!FX100)*2-12)</f>
        <v>n.r.</v>
      </c>
      <c r="GB100" s="8" t="str">
        <f ca="1">OFFSET(Database!$F100,0,COLUMN(Database!FY100)*2-12)</f>
        <v>n.r.</v>
      </c>
      <c r="GC100" s="8" t="str">
        <f ca="1">OFFSET(Database!$F100,0,COLUMN(Database!FZ100)*2-12)</f>
        <v>n.r.</v>
      </c>
      <c r="GD100" s="8" t="str">
        <f ca="1">OFFSET(Database!$F100,0,COLUMN(Database!GA100)*2-12)</f>
        <v>n.r.</v>
      </c>
      <c r="GE100" s="8" t="str">
        <f ca="1">OFFSET(Database!$F100,0,COLUMN(Database!GB100)*2-12)</f>
        <v>n.r.</v>
      </c>
      <c r="GF100" s="8" t="str">
        <f ca="1">OFFSET(Database!$F100,0,COLUMN(Database!GC100)*2-12)</f>
        <v>n.r.</v>
      </c>
      <c r="GG100" s="8" t="str">
        <f ca="1">OFFSET(Database!$F100,0,COLUMN(Database!GD100)*2-12)</f>
        <v>n.r.</v>
      </c>
      <c r="GH100" s="8" t="str">
        <f ca="1">OFFSET(Database!$F100,0,COLUMN(Database!GE100)*2-12)</f>
        <v>n.r.</v>
      </c>
      <c r="GI100" s="8" t="str">
        <f ca="1">OFFSET(Database!$F100,0,COLUMN(Database!GF100)*2-12)</f>
        <v>n.r.</v>
      </c>
      <c r="GJ100" s="8" t="str">
        <f ca="1">OFFSET(Database!$F100,0,COLUMN(Database!GG100)*2-12)</f>
        <v>n.r.</v>
      </c>
      <c r="GK100" s="8" t="str">
        <f ca="1">OFFSET(Database!$F100,0,COLUMN(Database!GH100)*2-12)</f>
        <v>n.r.</v>
      </c>
      <c r="GL100" s="8" t="str">
        <f ca="1">OFFSET(Database!$F100,0,COLUMN(Database!GI100)*2-12)</f>
        <v>n.r.</v>
      </c>
      <c r="GM100" s="8" t="str">
        <f ca="1">OFFSET(Database!$F100,0,COLUMN(Database!GJ100)*2-12)</f>
        <v>n.r.</v>
      </c>
      <c r="GN100" s="8" t="str">
        <f ca="1">OFFSET(Database!$F100,0,COLUMN(Database!GK100)*2-12)</f>
        <v>n.r.</v>
      </c>
      <c r="GO100" s="8" t="str">
        <f ca="1">OFFSET(Database!$F100,0,COLUMN(Database!GL100)*2-12)</f>
        <v>n.r.</v>
      </c>
      <c r="GP100" s="8" t="str">
        <f ca="1">OFFSET(Database!$F100,0,COLUMN(Database!GM100)*2-12)</f>
        <v>n.r.</v>
      </c>
    </row>
    <row r="101" spans="1:198" x14ac:dyDescent="0.2">
      <c r="A101" s="50" t="str">
        <f>Database!A101</f>
        <v>histidine</v>
      </c>
      <c r="B101" s="1" t="s">
        <v>884</v>
      </c>
      <c r="C101" s="4" t="str">
        <f>Database!B101</f>
        <v>ɑ</v>
      </c>
      <c r="D101" s="4" t="str">
        <f>Database!C101</f>
        <v>Both</v>
      </c>
      <c r="E101" s="74">
        <f>Database!D101</f>
        <v>52</v>
      </c>
      <c r="F101" s="33" t="s">
        <v>1030</v>
      </c>
      <c r="G101" s="1" t="s">
        <v>1115</v>
      </c>
      <c r="H101" s="1">
        <f>Database!E101</f>
        <v>155.15</v>
      </c>
      <c r="I101" s="8" t="str">
        <f ca="1">OFFSET(Database!$F101,0,COLUMN(Database!F101)*2-12)</f>
        <v>n.r.</v>
      </c>
      <c r="J101" s="8" t="str">
        <f ca="1">OFFSET(Database!$F101,0,COLUMN(Database!G101)*2-12)</f>
        <v>n.r.</v>
      </c>
      <c r="K101" s="8" t="str">
        <f ca="1">OFFSET(Database!$F101,0,COLUMN(Database!H101)*2-12)</f>
        <v>n.r.</v>
      </c>
      <c r="L101" s="8" t="str">
        <f ca="1">OFFSET(Database!$F101,0,COLUMN(Database!I101)*2-12)</f>
        <v>n.r.</v>
      </c>
      <c r="M101" s="8" t="str">
        <f ca="1">OFFSET(Database!$F101,0,COLUMN(Database!J101)*2-12)</f>
        <v>n.r.</v>
      </c>
      <c r="N101" s="8" t="str">
        <f ca="1">OFFSET(Database!$F101,0,COLUMN(Database!K101)*2-12)</f>
        <v>n.r.</v>
      </c>
      <c r="O101" s="8" t="str">
        <f ca="1">OFFSET(Database!$F101,0,COLUMN(Database!L101)*2-12)</f>
        <v>n.r.</v>
      </c>
      <c r="P101" s="8" t="str">
        <f ca="1">OFFSET(Database!$F101,0,COLUMN(Database!M101)*2-12)</f>
        <v>n.r.</v>
      </c>
      <c r="Q101" s="8" t="str">
        <f ca="1">OFFSET(Database!$F101,0,COLUMN(Database!N101)*2-12)</f>
        <v>n.r.</v>
      </c>
      <c r="R101" s="8" t="str">
        <f ca="1">OFFSET(Database!$F101,0,COLUMN(Database!O101)*2-12)</f>
        <v>n.r.</v>
      </c>
      <c r="S101" s="8" t="str">
        <f ca="1">OFFSET(Database!$F101,0,COLUMN(Database!P101)*2-12)</f>
        <v>n.r.</v>
      </c>
      <c r="T101" s="8" t="str">
        <f ca="1">OFFSET(Database!$F101,0,COLUMN(Database!Q101)*2-12)</f>
        <v>n.r.</v>
      </c>
      <c r="U101" s="8" t="str">
        <f ca="1">OFFSET(Database!$F101,0,COLUMN(Database!R101)*2-12)</f>
        <v>n.r.</v>
      </c>
      <c r="V101" s="8" t="str">
        <f ca="1">OFFSET(Database!$F101,0,COLUMN(Database!S101)*2-12)</f>
        <v>n.r.</v>
      </c>
      <c r="W101" s="8" t="str">
        <f ca="1">OFFSET(Database!$F101,0,COLUMN(Database!T101)*2-12)</f>
        <v>n.r.</v>
      </c>
      <c r="X101" s="8" t="str">
        <f ca="1">OFFSET(Database!$F101,0,COLUMN(Database!U101)*2-12)</f>
        <v>n.r.</v>
      </c>
      <c r="Y101" s="8" t="str">
        <f ca="1">OFFSET(Database!$F101,0,COLUMN(Database!V101)*2-12)</f>
        <v>n.r.</v>
      </c>
      <c r="Z101" s="8" t="str">
        <f ca="1">OFFSET(Database!$F101,0,COLUMN(Database!W101)*2-12)</f>
        <v>n.r.</v>
      </c>
      <c r="AA101" s="8" t="str">
        <f ca="1">OFFSET(Database!$F101,0,COLUMN(Database!X101)*2-12)</f>
        <v>n.r.</v>
      </c>
      <c r="AB101" s="8" t="str">
        <f ca="1">OFFSET(Database!$F101,0,COLUMN(Database!Y101)*2-12)</f>
        <v>n.r.</v>
      </c>
      <c r="AC101" s="8" t="str">
        <f ca="1">OFFSET(Database!$F101,0,COLUMN(Database!Z101)*2-12)</f>
        <v>n.r.</v>
      </c>
      <c r="AD101" s="8" t="str">
        <f ca="1">OFFSET(Database!$F101,0,COLUMN(Database!AA101)*2-12)</f>
        <v>n.r.</v>
      </c>
      <c r="AE101" s="8" t="str">
        <f ca="1">OFFSET(Database!$F101,0,COLUMN(Database!AB101)*2-12)</f>
        <v>n.r.</v>
      </c>
      <c r="AF101" s="8" t="str">
        <f ca="1">OFFSET(Database!$F101,0,COLUMN(Database!AC101)*2-12)</f>
        <v>n.r.</v>
      </c>
      <c r="AG101" s="8" t="str">
        <f ca="1">OFFSET(Database!$F101,0,COLUMN(Database!AD101)*2-12)</f>
        <v>n.r.</v>
      </c>
      <c r="AH101" s="8" t="str">
        <f ca="1">OFFSET(Database!$F101,0,COLUMN(Database!AE101)*2-12)</f>
        <v>n.r.</v>
      </c>
      <c r="AI101" s="8" t="str">
        <f ca="1">OFFSET(Database!$F101,0,COLUMN(Database!AF101)*2-12)</f>
        <v>n.r.</v>
      </c>
      <c r="AJ101" s="8" t="str">
        <f ca="1">OFFSET(Database!$F101,0,COLUMN(Database!AG101)*2-12)</f>
        <v>n.r.</v>
      </c>
      <c r="AK101" s="8" t="str">
        <f ca="1">OFFSET(Database!$F101,0,COLUMN(Database!AH101)*2-12)</f>
        <v>n.r.</v>
      </c>
      <c r="AL101" s="8" t="str">
        <f ca="1">OFFSET(Database!$F101,0,COLUMN(Database!AI101)*2-12)</f>
        <v>n.r.</v>
      </c>
      <c r="AM101" s="8" t="str">
        <f ca="1">OFFSET(Database!$F101,0,COLUMN(Database!AJ101)*2-12)</f>
        <v>n.r.</v>
      </c>
      <c r="AN101" s="8" t="str">
        <f ca="1">OFFSET(Database!$F101,0,COLUMN(Database!AK101)*2-12)</f>
        <v>n.r.</v>
      </c>
      <c r="AO101" s="8" t="str">
        <f ca="1">OFFSET(Database!$F101,0,COLUMN(Database!AL101)*2-12)</f>
        <v>n.r.</v>
      </c>
      <c r="AP101" s="8" t="str">
        <f ca="1">OFFSET(Database!$F101,0,COLUMN(Database!AM101)*2-12)</f>
        <v>n.r.</v>
      </c>
      <c r="AQ101" s="8" t="str">
        <f ca="1">OFFSET(Database!$F101,0,COLUMN(Database!AN101)*2-12)</f>
        <v>n.r.</v>
      </c>
      <c r="AR101" s="8" t="str">
        <f ca="1">OFFSET(Database!$F101,0,COLUMN(Database!AO101)*2-12)</f>
        <v>n.r.</v>
      </c>
      <c r="AS101" s="8" t="str">
        <f ca="1">OFFSET(Database!$F101,0,COLUMN(Database!AP101)*2-12)</f>
        <v>n.r.</v>
      </c>
      <c r="AT101" s="8" t="str">
        <f ca="1">OFFSET(Database!$F101,0,COLUMN(Database!AQ101)*2-12)</f>
        <v>n.r.</v>
      </c>
      <c r="AU101" s="8" t="str">
        <f ca="1">OFFSET(Database!$F101,0,COLUMN(Database!AR101)*2-12)</f>
        <v>n.r.</v>
      </c>
      <c r="AV101" s="8" t="str">
        <f ca="1">OFFSET(Database!$F101,0,COLUMN(Database!AS101)*2-12)</f>
        <v>n.r.</v>
      </c>
      <c r="AW101" s="8" t="str">
        <f ca="1">OFFSET(Database!$F101,0,COLUMN(Database!AT101)*2-12)</f>
        <v>n.r.</v>
      </c>
      <c r="AX101" s="8" t="str">
        <f ca="1">OFFSET(Database!$F101,0,COLUMN(Database!AU101)*2-12)</f>
        <v>n.r.</v>
      </c>
      <c r="AY101" s="8" t="str">
        <f ca="1">OFFSET(Database!$F101,0,COLUMN(Database!AV101)*2-12)</f>
        <v>n.r.</v>
      </c>
      <c r="AZ101" s="8" t="str">
        <f ca="1">OFFSET(Database!$F101,0,COLUMN(Database!AW101)*2-12)</f>
        <v>n.r.</v>
      </c>
      <c r="BA101" s="8" t="str">
        <f ca="1">OFFSET(Database!$F101,0,COLUMN(Database!AX101)*2-12)</f>
        <v>n.r.</v>
      </c>
      <c r="BB101" s="8" t="str">
        <f ca="1">OFFSET(Database!$F101,0,COLUMN(Database!AY101)*2-12)</f>
        <v>n.r.</v>
      </c>
      <c r="BC101" s="8" t="str">
        <f ca="1">OFFSET(Database!$F101,0,COLUMN(Database!AZ101)*2-12)</f>
        <v>n.r.</v>
      </c>
      <c r="BD101" s="8" t="str">
        <f ca="1">OFFSET(Database!$F101,0,COLUMN(Database!BA101)*2-12)</f>
        <v>n.r.</v>
      </c>
      <c r="BE101" s="8" t="str">
        <f ca="1">OFFSET(Database!$F101,0,COLUMN(Database!BB101)*2-12)</f>
        <v>n.r.</v>
      </c>
      <c r="BF101" s="8" t="str">
        <f ca="1">OFFSET(Database!$F101,0,COLUMN(Database!BC101)*2-12)</f>
        <v>n.r.</v>
      </c>
      <c r="BG101" s="8" t="str">
        <f ca="1">OFFSET(Database!$F101,0,COLUMN(Database!BD101)*2-12)</f>
        <v>n.r.</v>
      </c>
      <c r="BH101" s="8" t="str">
        <f ca="1">OFFSET(Database!$F101,0,COLUMN(Database!BE101)*2-12)</f>
        <v>n.r.</v>
      </c>
      <c r="BI101" s="8" t="str">
        <f ca="1">OFFSET(Database!$F101,0,COLUMN(Database!BF101)*2-12)</f>
        <v>n.r.</v>
      </c>
      <c r="BJ101" s="8" t="str">
        <f ca="1">OFFSET(Database!$F101,0,COLUMN(Database!BG101)*2-12)</f>
        <v>n.r.</v>
      </c>
      <c r="BK101" s="8" t="str">
        <f ca="1">OFFSET(Database!$F101,0,COLUMN(Database!BH101)*2-12)</f>
        <v>n.r.</v>
      </c>
      <c r="BL101" s="8" t="str">
        <f ca="1">OFFSET(Database!$F101,0,COLUMN(Database!BI101)*2-12)</f>
        <v>n.r.</v>
      </c>
      <c r="BM101" s="8" t="str">
        <f ca="1">OFFSET(Database!$F101,0,COLUMN(Database!BJ101)*2-12)</f>
        <v>n.r.</v>
      </c>
      <c r="BN101" s="8" t="str">
        <f ca="1">OFFSET(Database!$F101,0,COLUMN(Database!BK101)*2-12)</f>
        <v>n.r.</v>
      </c>
      <c r="BO101" s="8" t="str">
        <f ca="1">OFFSET(Database!$F101,0,COLUMN(Database!BL101)*2-12)</f>
        <v>n.r.</v>
      </c>
      <c r="BP101" s="8" t="str">
        <f ca="1">OFFSET(Database!$F101,0,COLUMN(Database!BM101)*2-12)</f>
        <v>n.r.</v>
      </c>
      <c r="BQ101" s="8" t="str">
        <f ca="1">OFFSET(Database!$F101,0,COLUMN(Database!BN101)*2-12)</f>
        <v>n.r.</v>
      </c>
      <c r="BR101" s="8" t="str">
        <f ca="1">OFFSET(Database!$F101,0,COLUMN(Database!BO101)*2-12)</f>
        <v>n.r.</v>
      </c>
      <c r="BS101" s="8" t="str">
        <f ca="1">OFFSET(Database!$F101,0,COLUMN(Database!BP101)*2-12)</f>
        <v>n.r.</v>
      </c>
      <c r="BT101" s="8" t="str">
        <f ca="1">OFFSET(Database!$F101,0,COLUMN(Database!BQ101)*2-12)</f>
        <v>n.r.</v>
      </c>
      <c r="BU101" s="8" t="str">
        <f ca="1">OFFSET(Database!$F101,0,COLUMN(Database!BR101)*2-12)</f>
        <v>n.r.</v>
      </c>
      <c r="BV101" s="8" t="str">
        <f ca="1">OFFSET(Database!$F101,0,COLUMN(Database!BS101)*2-12)</f>
        <v>n.r.</v>
      </c>
      <c r="BW101" s="8" t="str">
        <f ca="1">OFFSET(Database!$F101,0,COLUMN(Database!BT101)*2-12)</f>
        <v>n.r.</v>
      </c>
      <c r="BX101" s="8" t="str">
        <f ca="1">OFFSET(Database!$F101,0,COLUMN(Database!BU101)*2-12)</f>
        <v>n.r.</v>
      </c>
      <c r="BY101" s="8" t="str">
        <f ca="1">OFFSET(Database!$F101,0,COLUMN(Database!BV101)*2-12)</f>
        <v>n.r.</v>
      </c>
      <c r="BZ101" s="8" t="str">
        <f ca="1">OFFSET(Database!$F101,0,COLUMN(Database!BW101)*2-12)</f>
        <v>n.r.</v>
      </c>
      <c r="CA101" s="8" t="str">
        <f ca="1">OFFSET(Database!$F101,0,COLUMN(Database!BX101)*2-12)</f>
        <v>n.r.</v>
      </c>
      <c r="CB101" s="8" t="str">
        <f ca="1">OFFSET(Database!$F101,0,COLUMN(Database!BY101)*2-12)</f>
        <v>n.r.</v>
      </c>
      <c r="CC101" s="8" t="str">
        <f ca="1">OFFSET(Database!$F101,0,COLUMN(Database!BZ101)*2-12)</f>
        <v>n.r.</v>
      </c>
      <c r="CD101" s="8" t="str">
        <f ca="1">OFFSET(Database!$F101,0,COLUMN(Database!CA101)*2-12)</f>
        <v>n.r.</v>
      </c>
      <c r="CE101" s="8" t="str">
        <f ca="1">OFFSET(Database!$F101,0,COLUMN(Database!CB101)*2-12)</f>
        <v>n.r.</v>
      </c>
      <c r="CF101" s="8" t="str">
        <f ca="1">OFFSET(Database!$F101,0,COLUMN(Database!CC101)*2-12)</f>
        <v>n.r.</v>
      </c>
      <c r="CG101" s="8" t="str">
        <f ca="1">OFFSET(Database!$F101,0,COLUMN(Database!CD101)*2-12)</f>
        <v>n.r.</v>
      </c>
      <c r="CH101" s="8" t="str">
        <f ca="1">OFFSET(Database!$F101,0,COLUMN(Database!CE101)*2-12)</f>
        <v>n.r.</v>
      </c>
      <c r="CI101" s="8" t="str">
        <f ca="1">OFFSET(Database!$F101,0,COLUMN(Database!CF101)*2-12)</f>
        <v>n.r.</v>
      </c>
      <c r="CJ101" s="8" t="str">
        <f ca="1">OFFSET(Database!$F101,0,COLUMN(Database!CG101)*2-12)</f>
        <v>n.r.</v>
      </c>
      <c r="CK101" s="8" t="str">
        <f ca="1">OFFSET(Database!$F101,0,COLUMN(Database!CH101)*2-12)</f>
        <v>n.r.</v>
      </c>
      <c r="CL101" s="8" t="str">
        <f ca="1">OFFSET(Database!$F101,0,COLUMN(Database!CI101)*2-12)</f>
        <v>n.r.</v>
      </c>
      <c r="CM101" s="8" t="str">
        <f ca="1">OFFSET(Database!$F101,0,COLUMN(Database!CJ101)*2-12)</f>
        <v>n.r.</v>
      </c>
      <c r="CN101" s="8" t="str">
        <f ca="1">OFFSET(Database!$F101,0,COLUMN(Database!CK101)*2-12)</f>
        <v>n.r.</v>
      </c>
      <c r="CO101" s="8" t="str">
        <f ca="1">OFFSET(Database!$F101,0,COLUMN(Database!CL101)*2-12)</f>
        <v>n.r.</v>
      </c>
      <c r="CP101" s="8" t="str">
        <f ca="1">OFFSET(Database!$F101,0,COLUMN(Database!CM101)*2-12)</f>
        <v>n.r.</v>
      </c>
      <c r="CQ101" s="8" t="str">
        <f ca="1">OFFSET(Database!$F101,0,COLUMN(Database!CN101)*2-12)</f>
        <v>n.r.</v>
      </c>
      <c r="CR101" s="8" t="str">
        <f ca="1">OFFSET(Database!$F101,0,COLUMN(Database!CO101)*2-12)</f>
        <v>n.r.</v>
      </c>
      <c r="CS101" s="8" t="str">
        <f ca="1">OFFSET(Database!$F101,0,COLUMN(Database!CP101)*2-12)</f>
        <v>n.r.</v>
      </c>
      <c r="CT101" s="8" t="str">
        <f ca="1">OFFSET(Database!$F101,0,COLUMN(Database!CQ101)*2-12)</f>
        <v>n.r.</v>
      </c>
      <c r="CU101" s="8" t="str">
        <f ca="1">OFFSET(Database!$F101,0,COLUMN(Database!CR101)*2-12)</f>
        <v>n.r.</v>
      </c>
      <c r="CV101" s="8" t="str">
        <f ca="1">OFFSET(Database!$F101,0,COLUMN(Database!CS101)*2-12)</f>
        <v>n.r.</v>
      </c>
      <c r="CW101" s="8" t="str">
        <f ca="1">OFFSET(Database!$F101,0,COLUMN(Database!CT101)*2-12)</f>
        <v>n.r.</v>
      </c>
      <c r="CX101" s="8" t="str">
        <f ca="1">OFFSET(Database!$F101,0,COLUMN(Database!CU101)*2-12)</f>
        <v>n.r.</v>
      </c>
      <c r="CY101" s="8" t="str">
        <f ca="1">OFFSET(Database!$F101,0,COLUMN(Database!CV101)*2-12)</f>
        <v>n.r.</v>
      </c>
      <c r="CZ101" s="8" t="str">
        <f ca="1">OFFSET(Database!$F101,0,COLUMN(Database!CW101)*2-12)</f>
        <v>n.r.</v>
      </c>
      <c r="DA101" s="8" t="str">
        <f ca="1">OFFSET(Database!$F101,0,COLUMN(Database!CX101)*2-12)</f>
        <v>n.r.</v>
      </c>
      <c r="DB101" s="8" t="str">
        <f ca="1">OFFSET(Database!$F101,0,COLUMN(Database!CY101)*2-12)</f>
        <v>n.r.</v>
      </c>
      <c r="DC101" s="8" t="str">
        <f ca="1">OFFSET(Database!$F101,0,COLUMN(Database!CZ101)*2-12)</f>
        <v>n.r.</v>
      </c>
      <c r="DD101" s="8" t="str">
        <f ca="1">OFFSET(Database!$F101,0,COLUMN(Database!DA101)*2-12)</f>
        <v>n.r.</v>
      </c>
      <c r="DE101" s="8" t="str">
        <f ca="1">OFFSET(Database!$F101,0,COLUMN(Database!DB101)*2-12)</f>
        <v>n.r.</v>
      </c>
      <c r="DF101" s="8" t="str">
        <f ca="1">OFFSET(Database!$F101,0,COLUMN(Database!DC101)*2-12)</f>
        <v>n.r.</v>
      </c>
      <c r="DG101" s="8" t="str">
        <f ca="1">OFFSET(Database!$F101,0,COLUMN(Database!DD101)*2-12)</f>
        <v>n.r.</v>
      </c>
      <c r="DH101" s="8" t="str">
        <f ca="1">OFFSET(Database!$F101,0,COLUMN(Database!DE101)*2-12)</f>
        <v>n.r.</v>
      </c>
      <c r="DI101" s="8" t="str">
        <f ca="1">OFFSET(Database!$F101,0,COLUMN(Database!DF101)*2-12)</f>
        <v>n.r.</v>
      </c>
      <c r="DJ101" s="8" t="str">
        <f ca="1">OFFSET(Database!$F101,0,COLUMN(Database!DG101)*2-12)</f>
        <v>n.r.</v>
      </c>
      <c r="DK101" s="8" t="str">
        <f ca="1">OFFSET(Database!$F101,0,COLUMN(Database!DH101)*2-12)</f>
        <v>n.r.</v>
      </c>
      <c r="DL101" s="8" t="str">
        <f ca="1">OFFSET(Database!$F101,0,COLUMN(Database!DI101)*2-12)</f>
        <v>n.r.</v>
      </c>
      <c r="DM101" s="8" t="str">
        <f ca="1">OFFSET(Database!$F101,0,COLUMN(Database!DJ101)*2-12)</f>
        <v>n.r.</v>
      </c>
      <c r="DN101" s="8" t="str">
        <f ca="1">OFFSET(Database!$F101,0,COLUMN(Database!DK101)*2-12)</f>
        <v>n.r.</v>
      </c>
      <c r="DO101" s="8" t="str">
        <f ca="1">OFFSET(Database!$F101,0,COLUMN(Database!DL101)*2-12)</f>
        <v>n.r.</v>
      </c>
      <c r="DP101" s="8" t="str">
        <f ca="1">OFFSET(Database!$F101,0,COLUMN(Database!DM101)*2-12)</f>
        <v>n.r.</v>
      </c>
      <c r="DQ101" s="8" t="str">
        <f ca="1">OFFSET(Database!$F101,0,COLUMN(Database!DN101)*2-12)</f>
        <v>n.r.</v>
      </c>
      <c r="DR101" s="8" t="str">
        <f ca="1">OFFSET(Database!$F101,0,COLUMN(Database!DO101)*2-12)</f>
        <v>n.r.</v>
      </c>
      <c r="DS101" s="8" t="str">
        <f ca="1">OFFSET(Database!$F101,0,COLUMN(Database!DP101)*2-12)</f>
        <v>n.r.</v>
      </c>
      <c r="DT101" s="8" t="str">
        <f ca="1">OFFSET(Database!$F101,0,COLUMN(Database!DQ101)*2-12)</f>
        <v>n.r.</v>
      </c>
      <c r="DU101" s="8" t="str">
        <f ca="1">OFFSET(Database!$F101,0,COLUMN(Database!DR101)*2-12)</f>
        <v>n.r.</v>
      </c>
      <c r="DV101" s="8" t="str">
        <f ca="1">OFFSET(Database!$F101,0,COLUMN(Database!DS101)*2-12)</f>
        <v>n.r.</v>
      </c>
      <c r="DW101" s="8" t="str">
        <f ca="1">OFFSET(Database!$F101,0,COLUMN(Database!DT101)*2-12)</f>
        <v>n.r.</v>
      </c>
      <c r="DX101" s="8" t="str">
        <f ca="1">OFFSET(Database!$F101,0,COLUMN(Database!DU101)*2-12)</f>
        <v>n.r.</v>
      </c>
      <c r="DY101" s="8" t="str">
        <f ca="1">OFFSET(Database!$F101,0,COLUMN(Database!DV101)*2-12)</f>
        <v>n.r.</v>
      </c>
      <c r="DZ101" s="8" t="str">
        <f ca="1">OFFSET(Database!$F101,0,COLUMN(Database!DW101)*2-12)</f>
        <v>n.r.</v>
      </c>
      <c r="EA101" s="8" t="str">
        <f ca="1">OFFSET(Database!$F101,0,COLUMN(Database!DX101)*2-12)</f>
        <v>n.r.</v>
      </c>
      <c r="EB101" s="8" t="str">
        <f ca="1">OFFSET(Database!$F101,0,COLUMN(Database!DY101)*2-12)</f>
        <v>n.r.</v>
      </c>
      <c r="EC101" s="8" t="str">
        <f ca="1">OFFSET(Database!$F101,0,COLUMN(Database!DZ101)*2-12)</f>
        <v>n.r.</v>
      </c>
      <c r="ED101" s="8" t="str">
        <f ca="1">OFFSET(Database!$F101,0,COLUMN(Database!EA101)*2-12)</f>
        <v>n.r.</v>
      </c>
      <c r="EE101" s="8">
        <f ca="1">OFFSET(Database!$F101,0,COLUMN(Database!EB101)*2-12)</f>
        <v>200</v>
      </c>
      <c r="EF101" s="8">
        <f ca="1">OFFSET(Database!$F101,0,COLUMN(Database!EC101)*2-12)</f>
        <v>100</v>
      </c>
      <c r="EG101" s="8">
        <f ca="1">OFFSET(Database!$F101,0,COLUMN(Database!ED101)*2-12)</f>
        <v>140</v>
      </c>
      <c r="EH101" s="8">
        <f ca="1">OFFSET(Database!$F101,0,COLUMN(Database!EE101)*2-12)</f>
        <v>60</v>
      </c>
      <c r="EI101" s="8">
        <f ca="1">OFFSET(Database!$F101,0,COLUMN(Database!EF101)*2-12)</f>
        <v>2.1000000000000001E-2</v>
      </c>
      <c r="EJ101" s="8">
        <f ca="1">OFFSET(Database!$F101,0,COLUMN(Database!EG101)*2-12)</f>
        <v>0.01</v>
      </c>
      <c r="EK101" s="8">
        <f ca="1">OFFSET(Database!$F101,0,COLUMN(Database!EH101)*2-12)</f>
        <v>0.02</v>
      </c>
      <c r="EL101" s="8">
        <f ca="1">OFFSET(Database!$F101,0,COLUMN(Database!EI101)*2-12)</f>
        <v>3.5999999999999997E-2</v>
      </c>
      <c r="EM101" s="8">
        <f ca="1">OFFSET(Database!$F101,0,COLUMN(Database!EJ101)*2-12)</f>
        <v>2.4E-2</v>
      </c>
      <c r="EN101" s="8">
        <f ca="1">OFFSET(Database!$F101,0,COLUMN(Database!EK101)*2-12)</f>
        <v>2.7E-2</v>
      </c>
      <c r="EO101" s="8">
        <f ca="1">OFFSET(Database!$F101,0,COLUMN(Database!EL101)*2-12)</f>
        <v>7.3999999999999996E-2</v>
      </c>
      <c r="EP101" s="8">
        <f ca="1">OFFSET(Database!$F101,0,COLUMN(Database!EM101)*2-12)</f>
        <v>3.4000000000000002E-2</v>
      </c>
      <c r="EQ101" s="8" t="str">
        <f ca="1">OFFSET(Database!$F101,0,COLUMN(Database!EN101)*2-12)</f>
        <v>tr</v>
      </c>
      <c r="ER101" s="8">
        <f ca="1">OFFSET(Database!$F101,0,COLUMN(Database!EO101)*2-12)</f>
        <v>23105.049131119817</v>
      </c>
      <c r="ES101" s="8">
        <f ca="1">OFFSET(Database!$F101,0,COLUMN(Database!EP101)*2-12)</f>
        <v>23753.991589397996</v>
      </c>
      <c r="ET101" s="8">
        <f ca="1">OFFSET(Database!$F101,0,COLUMN(Database!EQ101)*2-12)</f>
        <v>48629.675708901574</v>
      </c>
      <c r="EU101" s="8">
        <f ca="1">OFFSET(Database!$F101,0,COLUMN(Database!ER101)*2-12)</f>
        <v>37438.412623808974</v>
      </c>
      <c r="EV101" s="8">
        <f ca="1">OFFSET(Database!$F101,0,COLUMN(Database!ES101)*2-12)</f>
        <v>108422.03912664282</v>
      </c>
      <c r="EW101" s="8">
        <f ca="1">OFFSET(Database!$F101,0,COLUMN(Database!ET101)*2-12)</f>
        <v>40700</v>
      </c>
      <c r="EX101" s="8">
        <f ca="1">OFFSET(Database!$F101,0,COLUMN(Database!EU101)*2-12)</f>
        <v>59900</v>
      </c>
      <c r="EY101" s="8">
        <f ca="1">OFFSET(Database!$F101,0,COLUMN(Database!EV101)*2-12)</f>
        <v>25700</v>
      </c>
      <c r="EZ101" s="8">
        <f ca="1">OFFSET(Database!$F101,0,COLUMN(Database!EW101)*2-12)</f>
        <v>20100</v>
      </c>
      <c r="FA101" s="8">
        <f ca="1">OFFSET(Database!$F101,0,COLUMN(Database!EX101)*2-12)</f>
        <v>94400</v>
      </c>
      <c r="FB101" s="8" t="str">
        <f ca="1">OFFSET(Database!$F101,0,COLUMN(Database!EY101)*2-12)</f>
        <v>n.r.</v>
      </c>
      <c r="FC101" s="8" t="str">
        <f ca="1">OFFSET(Database!$F101,0,COLUMN(Database!EZ101)*2-12)</f>
        <v>n.r.</v>
      </c>
      <c r="FD101" s="8" t="str">
        <f ca="1">OFFSET(Database!$F101,0,COLUMN(Database!FA101)*2-12)</f>
        <v>n.r.</v>
      </c>
      <c r="FE101" s="8" t="str">
        <f ca="1">OFFSET(Database!$F101,0,COLUMN(Database!FB101)*2-12)</f>
        <v>n.r.</v>
      </c>
      <c r="FF101" s="8" t="str">
        <f ca="1">OFFSET(Database!$F101,0,COLUMN(Database!FC101)*2-12)</f>
        <v>n.r.</v>
      </c>
      <c r="FG101" s="8">
        <f ca="1">OFFSET(Database!$F101,0,COLUMN(Database!FD101)*2-12)</f>
        <v>75410.89268449886</v>
      </c>
      <c r="FH101" s="8" t="str">
        <f ca="1">OFFSET(Database!$F101,0,COLUMN(Database!FE101)*2-12)</f>
        <v>n.r.</v>
      </c>
      <c r="FI101" s="8" t="str">
        <f ca="1">OFFSET(Database!$F101,0,COLUMN(Database!FF101)*2-12)</f>
        <v>n.r.</v>
      </c>
      <c r="FJ101" s="8" t="str">
        <f ca="1">OFFSET(Database!$F101,0,COLUMN(Database!FG101)*2-12)</f>
        <v>n.r.</v>
      </c>
      <c r="FK101" s="8">
        <f ca="1">OFFSET(Database!$F101,0,COLUMN(Database!FH101)*2-12)</f>
        <v>78633.580406058638</v>
      </c>
      <c r="FL101" s="8" t="str">
        <f ca="1">OFFSET(Database!$F101,0,COLUMN(Database!FI101)*2-12)</f>
        <v>n.d.</v>
      </c>
      <c r="FM101" s="8">
        <f ca="1">OFFSET(Database!$F101,0,COLUMN(Database!FJ101)*2-12)</f>
        <v>132774.73412826296</v>
      </c>
      <c r="FN101" s="8">
        <f ca="1">OFFSET(Database!$F101,0,COLUMN(Database!FK101)*2-12)</f>
        <v>1005478.5691266516</v>
      </c>
      <c r="FO101" s="8">
        <f ca="1">OFFSET(Database!$F101,0,COLUMN(Database!FL101)*2-12)</f>
        <v>175314.21205285209</v>
      </c>
      <c r="FP101" s="8">
        <f ca="1">OFFSET(Database!$F101,0,COLUMN(Database!FM101)*2-12)</f>
        <v>92813.40638092169</v>
      </c>
      <c r="FQ101" s="8">
        <f ca="1">OFFSET(Database!$F101,0,COLUMN(Database!FN101)*2-12)</f>
        <v>4189.4940380277149</v>
      </c>
      <c r="FR101" s="8">
        <f ca="1">OFFSET(Database!$F101,0,COLUMN(Database!FO101)*2-12)</f>
        <v>3480.5027392845632</v>
      </c>
      <c r="FS101" s="8">
        <f ca="1">OFFSET(Database!$F101,0,COLUMN(Database!FP101)*2-12)</f>
        <v>3738.3177570093458</v>
      </c>
      <c r="FT101" s="8">
        <f ca="1">OFFSET(Database!$F101,0,COLUMN(Database!FQ101)*2-12)</f>
        <v>3609.4102481469545</v>
      </c>
      <c r="FU101" s="8">
        <f ca="1">OFFSET(Database!$F101,0,COLUMN(Database!FR101)*2-12)</f>
        <v>2487</v>
      </c>
      <c r="FV101" s="8">
        <f ca="1">OFFSET(Database!$F101,0,COLUMN(Database!FS101)*2-12)</f>
        <v>2765</v>
      </c>
      <c r="FW101" s="8">
        <f ca="1">OFFSET(Database!$F101,0,COLUMN(Database!FT101)*2-12)</f>
        <v>2714</v>
      </c>
      <c r="FX101" s="8">
        <f ca="1">OFFSET(Database!$F101,0,COLUMN(Database!FU101)*2-12)</f>
        <v>2604</v>
      </c>
      <c r="FY101" s="8">
        <f ca="1">OFFSET(Database!$F101,0,COLUMN(Database!FV101)*2-12)</f>
        <v>2847</v>
      </c>
      <c r="FZ101" s="8">
        <f ca="1">OFFSET(Database!$F101,0,COLUMN(Database!FW101)*2-12)</f>
        <v>3438</v>
      </c>
      <c r="GA101" s="8">
        <f ca="1">OFFSET(Database!$F101,0,COLUMN(Database!FX101)*2-12)</f>
        <v>3462</v>
      </c>
      <c r="GB101" s="8">
        <f ca="1">OFFSET(Database!$F101,0,COLUMN(Database!FY101)*2-12)</f>
        <v>3144</v>
      </c>
      <c r="GC101" s="8">
        <f ca="1">OFFSET(Database!$F101,0,COLUMN(Database!FZ101)*2-12)</f>
        <v>3250</v>
      </c>
      <c r="GD101" s="8">
        <f ca="1">OFFSET(Database!$F101,0,COLUMN(Database!GA101)*2-12)</f>
        <v>2540</v>
      </c>
      <c r="GE101" s="8">
        <f ca="1">OFFSET(Database!$F101,0,COLUMN(Database!GB101)*2-12)</f>
        <v>2320</v>
      </c>
      <c r="GF101" s="8">
        <f ca="1">OFFSET(Database!$F101,0,COLUMN(Database!GC101)*2-12)</f>
        <v>2646</v>
      </c>
      <c r="GG101" s="8">
        <f ca="1">OFFSET(Database!$F101,0,COLUMN(Database!GD101)*2-12)</f>
        <v>773.44505317434732</v>
      </c>
      <c r="GH101" s="8">
        <f ca="1">OFFSET(Database!$F101,0,COLUMN(Database!GE101)*2-12)</f>
        <v>1514.663229133097</v>
      </c>
      <c r="GI101" s="8">
        <f ca="1">OFFSET(Database!$F101,0,COLUMN(Database!GF101)*2-12)</f>
        <v>1160.167579761521</v>
      </c>
      <c r="GJ101" s="8">
        <f ca="1">OFFSET(Database!$F101,0,COLUMN(Database!GG101)*2-12)</f>
        <v>18304.866258459555</v>
      </c>
      <c r="GK101" s="8">
        <f ca="1">OFFSET(Database!$F101,0,COLUMN(Database!GH101)*2-12)</f>
        <v>143087.33483725425</v>
      </c>
      <c r="GL101" s="8">
        <f ca="1">OFFSET(Database!$F101,0,COLUMN(Database!GI101)*2-12)</f>
        <v>9281.3406380921679</v>
      </c>
      <c r="GM101" s="8">
        <f ca="1">OFFSET(Database!$F101,0,COLUMN(Database!GJ101)*2-12)</f>
        <v>183.04866258459552</v>
      </c>
      <c r="GN101" s="8">
        <f ca="1">OFFSET(Database!$F101,0,COLUMN(Database!GK101)*2-12)</f>
        <v>36738.640025781504</v>
      </c>
      <c r="GO101" s="8" t="str">
        <f ca="1">OFFSET(Database!$F101,0,COLUMN(Database!GL101)*2-12)</f>
        <v>n.r.</v>
      </c>
      <c r="GP101" s="8" t="str">
        <f ca="1">OFFSET(Database!$F101,0,COLUMN(Database!GM101)*2-12)</f>
        <v>n.r.</v>
      </c>
    </row>
    <row r="102" spans="1:198" x14ac:dyDescent="0.2">
      <c r="A102" s="50" t="str">
        <f>Database!A102</f>
        <v>D-arginine</v>
      </c>
      <c r="B102" s="1" t="s">
        <v>885</v>
      </c>
      <c r="C102" s="4" t="str">
        <f>Database!B102</f>
        <v>ɑ</v>
      </c>
      <c r="D102" s="4" t="str">
        <f>Database!C102</f>
        <v>D</v>
      </c>
      <c r="E102" s="74">
        <f>Database!D102</f>
        <v>5</v>
      </c>
      <c r="F102" s="1" t="s">
        <v>975</v>
      </c>
      <c r="G102" s="1">
        <v>71070</v>
      </c>
      <c r="H102" s="1">
        <f>Database!E102</f>
        <v>174.2</v>
      </c>
      <c r="I102" s="8" t="str">
        <f ca="1">OFFSET(Database!$F102,0,COLUMN(Database!F102)*2-12)</f>
        <v>n.r.</v>
      </c>
      <c r="J102" s="8" t="str">
        <f ca="1">OFFSET(Database!$F102,0,COLUMN(Database!G102)*2-12)</f>
        <v>n.r.</v>
      </c>
      <c r="K102" s="8" t="str">
        <f ca="1">OFFSET(Database!$F102,0,COLUMN(Database!H102)*2-12)</f>
        <v>n.r.</v>
      </c>
      <c r="L102" s="8" t="str">
        <f ca="1">OFFSET(Database!$F102,0,COLUMN(Database!I102)*2-12)</f>
        <v>n.r.</v>
      </c>
      <c r="M102" s="8" t="str">
        <f ca="1">OFFSET(Database!$F102,0,COLUMN(Database!J102)*2-12)</f>
        <v>n.r.</v>
      </c>
      <c r="N102" s="8" t="str">
        <f ca="1">OFFSET(Database!$F102,0,COLUMN(Database!K102)*2-12)</f>
        <v>n.r.</v>
      </c>
      <c r="O102" s="8" t="str">
        <f ca="1">OFFSET(Database!$F102,0,COLUMN(Database!L102)*2-12)</f>
        <v>n.r.</v>
      </c>
      <c r="P102" s="8" t="str">
        <f ca="1">OFFSET(Database!$F102,0,COLUMN(Database!M102)*2-12)</f>
        <v>n.r.</v>
      </c>
      <c r="Q102" s="8" t="str">
        <f ca="1">OFFSET(Database!$F102,0,COLUMN(Database!N102)*2-12)</f>
        <v>n.r.</v>
      </c>
      <c r="R102" s="8" t="str">
        <f ca="1">OFFSET(Database!$F102,0,COLUMN(Database!O102)*2-12)</f>
        <v>n.r.</v>
      </c>
      <c r="S102" s="8" t="str">
        <f ca="1">OFFSET(Database!$F102,0,COLUMN(Database!P102)*2-12)</f>
        <v>n.r.</v>
      </c>
      <c r="T102" s="8" t="str">
        <f ca="1">OFFSET(Database!$F102,0,COLUMN(Database!Q102)*2-12)</f>
        <v>n.r.</v>
      </c>
      <c r="U102" s="8" t="str">
        <f ca="1">OFFSET(Database!$F102,0,COLUMN(Database!R102)*2-12)</f>
        <v>n.r.</v>
      </c>
      <c r="V102" s="8" t="str">
        <f ca="1">OFFSET(Database!$F102,0,COLUMN(Database!S102)*2-12)</f>
        <v>n.r.</v>
      </c>
      <c r="W102" s="8" t="str">
        <f ca="1">OFFSET(Database!$F102,0,COLUMN(Database!T102)*2-12)</f>
        <v>n.r.</v>
      </c>
      <c r="X102" s="8" t="str">
        <f ca="1">OFFSET(Database!$F102,0,COLUMN(Database!U102)*2-12)</f>
        <v>n.r.</v>
      </c>
      <c r="Y102" s="8" t="str">
        <f ca="1">OFFSET(Database!$F102,0,COLUMN(Database!V102)*2-12)</f>
        <v>n.r.</v>
      </c>
      <c r="Z102" s="8" t="str">
        <f ca="1">OFFSET(Database!$F102,0,COLUMN(Database!W102)*2-12)</f>
        <v>n.r.</v>
      </c>
      <c r="AA102" s="8" t="str">
        <f ca="1">OFFSET(Database!$F102,0,COLUMN(Database!X102)*2-12)</f>
        <v>n.r.</v>
      </c>
      <c r="AB102" s="8" t="str">
        <f ca="1">OFFSET(Database!$F102,0,COLUMN(Database!Y102)*2-12)</f>
        <v>n.r.</v>
      </c>
      <c r="AC102" s="8" t="str">
        <f ca="1">OFFSET(Database!$F102,0,COLUMN(Database!Z102)*2-12)</f>
        <v>n.r.</v>
      </c>
      <c r="AD102" s="8" t="str">
        <f ca="1">OFFSET(Database!$F102,0,COLUMN(Database!AA102)*2-12)</f>
        <v>n.r.</v>
      </c>
      <c r="AE102" s="8" t="str">
        <f ca="1">OFFSET(Database!$F102,0,COLUMN(Database!AB102)*2-12)</f>
        <v>n.r.</v>
      </c>
      <c r="AF102" s="8" t="str">
        <f ca="1">OFFSET(Database!$F102,0,COLUMN(Database!AC102)*2-12)</f>
        <v>n.r.</v>
      </c>
      <c r="AG102" s="8" t="str">
        <f ca="1">OFFSET(Database!$F102,0,COLUMN(Database!AD102)*2-12)</f>
        <v>n.r.</v>
      </c>
      <c r="AH102" s="8" t="str">
        <f ca="1">OFFSET(Database!$F102,0,COLUMN(Database!AE102)*2-12)</f>
        <v>n.r.</v>
      </c>
      <c r="AI102" s="8" t="str">
        <f ca="1">OFFSET(Database!$F102,0,COLUMN(Database!AF102)*2-12)</f>
        <v>n.r.</v>
      </c>
      <c r="AJ102" s="8" t="str">
        <f ca="1">OFFSET(Database!$F102,0,COLUMN(Database!AG102)*2-12)</f>
        <v>n.r.</v>
      </c>
      <c r="AK102" s="8" t="str">
        <f ca="1">OFFSET(Database!$F102,0,COLUMN(Database!AH102)*2-12)</f>
        <v>n.r.</v>
      </c>
      <c r="AL102" s="8" t="str">
        <f ca="1">OFFSET(Database!$F102,0,COLUMN(Database!AI102)*2-12)</f>
        <v>n.r.</v>
      </c>
      <c r="AM102" s="8" t="str">
        <f ca="1">OFFSET(Database!$F102,0,COLUMN(Database!AJ102)*2-12)</f>
        <v>n.r.</v>
      </c>
      <c r="AN102" s="8" t="str">
        <f ca="1">OFFSET(Database!$F102,0,COLUMN(Database!AK102)*2-12)</f>
        <v>n.r.</v>
      </c>
      <c r="AO102" s="8" t="str">
        <f ca="1">OFFSET(Database!$F102,0,COLUMN(Database!AL102)*2-12)</f>
        <v>n.r.</v>
      </c>
      <c r="AP102" s="8" t="str">
        <f ca="1">OFFSET(Database!$F102,0,COLUMN(Database!AM102)*2-12)</f>
        <v>n.r.</v>
      </c>
      <c r="AQ102" s="8" t="str">
        <f ca="1">OFFSET(Database!$F102,0,COLUMN(Database!AN102)*2-12)</f>
        <v>n.r.</v>
      </c>
      <c r="AR102" s="8" t="str">
        <f ca="1">OFFSET(Database!$F102,0,COLUMN(Database!AO102)*2-12)</f>
        <v>n.r.</v>
      </c>
      <c r="AS102" s="8" t="str">
        <f ca="1">OFFSET(Database!$F102,0,COLUMN(Database!AP102)*2-12)</f>
        <v>n.r.</v>
      </c>
      <c r="AT102" s="8" t="str">
        <f ca="1">OFFSET(Database!$F102,0,COLUMN(Database!AQ102)*2-12)</f>
        <v>n.r.</v>
      </c>
      <c r="AU102" s="8" t="str">
        <f ca="1">OFFSET(Database!$F102,0,COLUMN(Database!AR102)*2-12)</f>
        <v>n.r.</v>
      </c>
      <c r="AV102" s="8" t="str">
        <f ca="1">OFFSET(Database!$F102,0,COLUMN(Database!AS102)*2-12)</f>
        <v>n.r.</v>
      </c>
      <c r="AW102" s="8" t="str">
        <f ca="1">OFFSET(Database!$F102,0,COLUMN(Database!AT102)*2-12)</f>
        <v>n.r.</v>
      </c>
      <c r="AX102" s="8" t="str">
        <f ca="1">OFFSET(Database!$F102,0,COLUMN(Database!AU102)*2-12)</f>
        <v>n.r.</v>
      </c>
      <c r="AY102" s="8" t="str">
        <f ca="1">OFFSET(Database!$F102,0,COLUMN(Database!AV102)*2-12)</f>
        <v>n.r.</v>
      </c>
      <c r="AZ102" s="8" t="str">
        <f ca="1">OFFSET(Database!$F102,0,COLUMN(Database!AW102)*2-12)</f>
        <v>n.r.</v>
      </c>
      <c r="BA102" s="8" t="str">
        <f ca="1">OFFSET(Database!$F102,0,COLUMN(Database!AX102)*2-12)</f>
        <v>n.r.</v>
      </c>
      <c r="BB102" s="8" t="str">
        <f ca="1">OFFSET(Database!$F102,0,COLUMN(Database!AY102)*2-12)</f>
        <v>n.r.</v>
      </c>
      <c r="BC102" s="8" t="str">
        <f ca="1">OFFSET(Database!$F102,0,COLUMN(Database!AZ102)*2-12)</f>
        <v>n.r.</v>
      </c>
      <c r="BD102" s="8" t="str">
        <f ca="1">OFFSET(Database!$F102,0,COLUMN(Database!BA102)*2-12)</f>
        <v>n.r.</v>
      </c>
      <c r="BE102" s="8" t="str">
        <f ca="1">OFFSET(Database!$F102,0,COLUMN(Database!BB102)*2-12)</f>
        <v>n.r.</v>
      </c>
      <c r="BF102" s="8" t="str">
        <f ca="1">OFFSET(Database!$F102,0,COLUMN(Database!BC102)*2-12)</f>
        <v>n.r.</v>
      </c>
      <c r="BG102" s="8" t="str">
        <f ca="1">OFFSET(Database!$F102,0,COLUMN(Database!BD102)*2-12)</f>
        <v>n.r.</v>
      </c>
      <c r="BH102" s="8" t="str">
        <f ca="1">OFFSET(Database!$F102,0,COLUMN(Database!BE102)*2-12)</f>
        <v>n.r.</v>
      </c>
      <c r="BI102" s="8" t="str">
        <f ca="1">OFFSET(Database!$F102,0,COLUMN(Database!BF102)*2-12)</f>
        <v>n.r.</v>
      </c>
      <c r="BJ102" s="8" t="str">
        <f ca="1">OFFSET(Database!$F102,0,COLUMN(Database!BG102)*2-12)</f>
        <v>n.r.</v>
      </c>
      <c r="BK102" s="8" t="str">
        <f ca="1">OFFSET(Database!$F102,0,COLUMN(Database!BH102)*2-12)</f>
        <v>n.r.</v>
      </c>
      <c r="BL102" s="8" t="str">
        <f ca="1">OFFSET(Database!$F102,0,COLUMN(Database!BI102)*2-12)</f>
        <v>n.r.</v>
      </c>
      <c r="BM102" s="8" t="str">
        <f ca="1">OFFSET(Database!$F102,0,COLUMN(Database!BJ102)*2-12)</f>
        <v>n.r.</v>
      </c>
      <c r="BN102" s="8" t="str">
        <f ca="1">OFFSET(Database!$F102,0,COLUMN(Database!BK102)*2-12)</f>
        <v>n.r.</v>
      </c>
      <c r="BO102" s="8" t="str">
        <f ca="1">OFFSET(Database!$F102,0,COLUMN(Database!BL102)*2-12)</f>
        <v>n.r.</v>
      </c>
      <c r="BP102" s="8" t="str">
        <f ca="1">OFFSET(Database!$F102,0,COLUMN(Database!BM102)*2-12)</f>
        <v>n.r.</v>
      </c>
      <c r="BQ102" s="8" t="str">
        <f ca="1">OFFSET(Database!$F102,0,COLUMN(Database!BN102)*2-12)</f>
        <v>n.r.</v>
      </c>
      <c r="BR102" s="8" t="str">
        <f ca="1">OFFSET(Database!$F102,0,COLUMN(Database!BO102)*2-12)</f>
        <v>n.r.</v>
      </c>
      <c r="BS102" s="8" t="str">
        <f ca="1">OFFSET(Database!$F102,0,COLUMN(Database!BP102)*2-12)</f>
        <v>n.r.</v>
      </c>
      <c r="BT102" s="8" t="str">
        <f ca="1">OFFSET(Database!$F102,0,COLUMN(Database!BQ102)*2-12)</f>
        <v>n.r.</v>
      </c>
      <c r="BU102" s="8" t="str">
        <f ca="1">OFFSET(Database!$F102,0,COLUMN(Database!BR102)*2-12)</f>
        <v>n.r.</v>
      </c>
      <c r="BV102" s="8" t="str">
        <f ca="1">OFFSET(Database!$F102,0,COLUMN(Database!BS102)*2-12)</f>
        <v>n.r.</v>
      </c>
      <c r="BW102" s="8" t="str">
        <f ca="1">OFFSET(Database!$F102,0,COLUMN(Database!BT102)*2-12)</f>
        <v>n.r.</v>
      </c>
      <c r="BX102" s="8" t="str">
        <f ca="1">OFFSET(Database!$F102,0,COLUMN(Database!BU102)*2-12)</f>
        <v>n.r.</v>
      </c>
      <c r="BY102" s="8" t="str">
        <f ca="1">OFFSET(Database!$F102,0,COLUMN(Database!BV102)*2-12)</f>
        <v>n.r.</v>
      </c>
      <c r="BZ102" s="8" t="str">
        <f ca="1">OFFSET(Database!$F102,0,COLUMN(Database!BW102)*2-12)</f>
        <v>n.r.</v>
      </c>
      <c r="CA102" s="8" t="str">
        <f ca="1">OFFSET(Database!$F102,0,COLUMN(Database!BX102)*2-12)</f>
        <v>n.r.</v>
      </c>
      <c r="CB102" s="8" t="str">
        <f ca="1">OFFSET(Database!$F102,0,COLUMN(Database!BY102)*2-12)</f>
        <v>n.r.</v>
      </c>
      <c r="CC102" s="8" t="str">
        <f ca="1">OFFSET(Database!$F102,0,COLUMN(Database!BZ102)*2-12)</f>
        <v>n.r.</v>
      </c>
      <c r="CD102" s="8" t="str">
        <f ca="1">OFFSET(Database!$F102,0,COLUMN(Database!CA102)*2-12)</f>
        <v>n.r.</v>
      </c>
      <c r="CE102" s="8" t="str">
        <f ca="1">OFFSET(Database!$F102,0,COLUMN(Database!CB102)*2-12)</f>
        <v>n.r.</v>
      </c>
      <c r="CF102" s="8" t="str">
        <f ca="1">OFFSET(Database!$F102,0,COLUMN(Database!CC102)*2-12)</f>
        <v>n.r.</v>
      </c>
      <c r="CG102" s="8" t="str">
        <f ca="1">OFFSET(Database!$F102,0,COLUMN(Database!CD102)*2-12)</f>
        <v>n.r.</v>
      </c>
      <c r="CH102" s="8" t="str">
        <f ca="1">OFFSET(Database!$F102,0,COLUMN(Database!CE102)*2-12)</f>
        <v>n.r.</v>
      </c>
      <c r="CI102" s="8" t="str">
        <f ca="1">OFFSET(Database!$F102,0,COLUMN(Database!CF102)*2-12)</f>
        <v>n.r.</v>
      </c>
      <c r="CJ102" s="8" t="str">
        <f ca="1">OFFSET(Database!$F102,0,COLUMN(Database!CG102)*2-12)</f>
        <v>n.r.</v>
      </c>
      <c r="CK102" s="8" t="str">
        <f ca="1">OFFSET(Database!$F102,0,COLUMN(Database!CH102)*2-12)</f>
        <v>n.r.</v>
      </c>
      <c r="CL102" s="8" t="str">
        <f ca="1">OFFSET(Database!$F102,0,COLUMN(Database!CI102)*2-12)</f>
        <v>n.r.</v>
      </c>
      <c r="CM102" s="8" t="str">
        <f ca="1">OFFSET(Database!$F102,0,COLUMN(Database!CJ102)*2-12)</f>
        <v>n.r.</v>
      </c>
      <c r="CN102" s="8" t="str">
        <f ca="1">OFFSET(Database!$F102,0,COLUMN(Database!CK102)*2-12)</f>
        <v>n.r.</v>
      </c>
      <c r="CO102" s="8" t="str">
        <f ca="1">OFFSET(Database!$F102,0,COLUMN(Database!CL102)*2-12)</f>
        <v>n.r.</v>
      </c>
      <c r="CP102" s="8" t="str">
        <f ca="1">OFFSET(Database!$F102,0,COLUMN(Database!CM102)*2-12)</f>
        <v>n.r.</v>
      </c>
      <c r="CQ102" s="8" t="str">
        <f ca="1">OFFSET(Database!$F102,0,COLUMN(Database!CN102)*2-12)</f>
        <v>n.r.</v>
      </c>
      <c r="CR102" s="8" t="str">
        <f ca="1">OFFSET(Database!$F102,0,COLUMN(Database!CO102)*2-12)</f>
        <v>n.r.</v>
      </c>
      <c r="CS102" s="8" t="str">
        <f ca="1">OFFSET(Database!$F102,0,COLUMN(Database!CP102)*2-12)</f>
        <v>n.r.</v>
      </c>
      <c r="CT102" s="8" t="str">
        <f ca="1">OFFSET(Database!$F102,0,COLUMN(Database!CQ102)*2-12)</f>
        <v>n.r.</v>
      </c>
      <c r="CU102" s="8" t="str">
        <f ca="1">OFFSET(Database!$F102,0,COLUMN(Database!CR102)*2-12)</f>
        <v>n.r.</v>
      </c>
      <c r="CV102" s="8" t="str">
        <f ca="1">OFFSET(Database!$F102,0,COLUMN(Database!CS102)*2-12)</f>
        <v>n.r.</v>
      </c>
      <c r="CW102" s="8" t="str">
        <f ca="1">OFFSET(Database!$F102,0,COLUMN(Database!CT102)*2-12)</f>
        <v>n.r.</v>
      </c>
      <c r="CX102" s="8" t="str">
        <f ca="1">OFFSET(Database!$F102,0,COLUMN(Database!CU102)*2-12)</f>
        <v>n.r.</v>
      </c>
      <c r="CY102" s="8" t="str">
        <f ca="1">OFFSET(Database!$F102,0,COLUMN(Database!CV102)*2-12)</f>
        <v>n.r.</v>
      </c>
      <c r="CZ102" s="8" t="str">
        <f ca="1">OFFSET(Database!$F102,0,COLUMN(Database!CW102)*2-12)</f>
        <v>n.r.</v>
      </c>
      <c r="DA102" s="8" t="str">
        <f ca="1">OFFSET(Database!$F102,0,COLUMN(Database!CX102)*2-12)</f>
        <v>n.r.</v>
      </c>
      <c r="DB102" s="8" t="str">
        <f ca="1">OFFSET(Database!$F102,0,COLUMN(Database!CY102)*2-12)</f>
        <v>n.r.</v>
      </c>
      <c r="DC102" s="8" t="str">
        <f ca="1">OFFSET(Database!$F102,0,COLUMN(Database!CZ102)*2-12)</f>
        <v>n.r.</v>
      </c>
      <c r="DD102" s="8" t="str">
        <f ca="1">OFFSET(Database!$F102,0,COLUMN(Database!DA102)*2-12)</f>
        <v>n.r.</v>
      </c>
      <c r="DE102" s="8" t="str">
        <f ca="1">OFFSET(Database!$F102,0,COLUMN(Database!DB102)*2-12)</f>
        <v>n.r.</v>
      </c>
      <c r="DF102" s="8" t="str">
        <f ca="1">OFFSET(Database!$F102,0,COLUMN(Database!DC102)*2-12)</f>
        <v>n.r.</v>
      </c>
      <c r="DG102" s="8" t="str">
        <f ca="1">OFFSET(Database!$F102,0,COLUMN(Database!DD102)*2-12)</f>
        <v>n.r.</v>
      </c>
      <c r="DH102" s="8" t="str">
        <f ca="1">OFFSET(Database!$F102,0,COLUMN(Database!DE102)*2-12)</f>
        <v>n.r.</v>
      </c>
      <c r="DI102" s="8" t="str">
        <f ca="1">OFFSET(Database!$F102,0,COLUMN(Database!DF102)*2-12)</f>
        <v>n.r.</v>
      </c>
      <c r="DJ102" s="8" t="str">
        <f ca="1">OFFSET(Database!$F102,0,COLUMN(Database!DG102)*2-12)</f>
        <v>n.r.</v>
      </c>
      <c r="DK102" s="8" t="str">
        <f ca="1">OFFSET(Database!$F102,0,COLUMN(Database!DH102)*2-12)</f>
        <v>n.r.</v>
      </c>
      <c r="DL102" s="8" t="str">
        <f ca="1">OFFSET(Database!$F102,0,COLUMN(Database!DI102)*2-12)</f>
        <v>n.r.</v>
      </c>
      <c r="DM102" s="8" t="str">
        <f ca="1">OFFSET(Database!$F102,0,COLUMN(Database!DJ102)*2-12)</f>
        <v>n.r.</v>
      </c>
      <c r="DN102" s="8" t="str">
        <f ca="1">OFFSET(Database!$F102,0,COLUMN(Database!DK102)*2-12)</f>
        <v>n.r.</v>
      </c>
      <c r="DO102" s="8" t="str">
        <f ca="1">OFFSET(Database!$F102,0,COLUMN(Database!DL102)*2-12)</f>
        <v>n.r.</v>
      </c>
      <c r="DP102" s="8" t="str">
        <f ca="1">OFFSET(Database!$F102,0,COLUMN(Database!DM102)*2-12)</f>
        <v>n.r.</v>
      </c>
      <c r="DQ102" s="8" t="str">
        <f ca="1">OFFSET(Database!$F102,0,COLUMN(Database!DN102)*2-12)</f>
        <v>n.r.</v>
      </c>
      <c r="DR102" s="8" t="str">
        <f ca="1">OFFSET(Database!$F102,0,COLUMN(Database!DO102)*2-12)</f>
        <v>n.r.</v>
      </c>
      <c r="DS102" s="8" t="str">
        <f ca="1">OFFSET(Database!$F102,0,COLUMN(Database!DP102)*2-12)</f>
        <v>n.r.</v>
      </c>
      <c r="DT102" s="8" t="str">
        <f ca="1">OFFSET(Database!$F102,0,COLUMN(Database!DQ102)*2-12)</f>
        <v>n.r.</v>
      </c>
      <c r="DU102" s="8" t="str">
        <f ca="1">OFFSET(Database!$F102,0,COLUMN(Database!DR102)*2-12)</f>
        <v>n.r.</v>
      </c>
      <c r="DV102" s="8" t="str">
        <f ca="1">OFFSET(Database!$F102,0,COLUMN(Database!DS102)*2-12)</f>
        <v>n.r.</v>
      </c>
      <c r="DW102" s="8" t="str">
        <f ca="1">OFFSET(Database!$F102,0,COLUMN(Database!DT102)*2-12)</f>
        <v>n.r.</v>
      </c>
      <c r="DX102" s="8" t="str">
        <f ca="1">OFFSET(Database!$F102,0,COLUMN(Database!DU102)*2-12)</f>
        <v>n.r.</v>
      </c>
      <c r="DY102" s="8" t="str">
        <f ca="1">OFFSET(Database!$F102,0,COLUMN(Database!DV102)*2-12)</f>
        <v>n.r.</v>
      </c>
      <c r="DZ102" s="8" t="str">
        <f ca="1">OFFSET(Database!$F102,0,COLUMN(Database!DW102)*2-12)</f>
        <v>n.r.</v>
      </c>
      <c r="EA102" s="8" t="str">
        <f ca="1">OFFSET(Database!$F102,0,COLUMN(Database!DX102)*2-12)</f>
        <v>n.r.</v>
      </c>
      <c r="EB102" s="8" t="str">
        <f ca="1">OFFSET(Database!$F102,0,COLUMN(Database!DY102)*2-12)</f>
        <v>n.r.</v>
      </c>
      <c r="EC102" s="8" t="str">
        <f ca="1">OFFSET(Database!$F102,0,COLUMN(Database!DZ102)*2-12)</f>
        <v>n.r.</v>
      </c>
      <c r="ED102" s="8" t="str">
        <f ca="1">OFFSET(Database!$F102,0,COLUMN(Database!EA102)*2-12)</f>
        <v>n.r.</v>
      </c>
      <c r="EE102" s="8" t="str">
        <f ca="1">OFFSET(Database!$F102,0,COLUMN(Database!EB102)*2-12)</f>
        <v>n.r.</v>
      </c>
      <c r="EF102" s="8" t="str">
        <f ca="1">OFFSET(Database!$F102,0,COLUMN(Database!EC102)*2-12)</f>
        <v>n.r.</v>
      </c>
      <c r="EG102" s="8" t="str">
        <f ca="1">OFFSET(Database!$F102,0,COLUMN(Database!ED102)*2-12)</f>
        <v>n.r.</v>
      </c>
      <c r="EH102" s="8" t="str">
        <f ca="1">OFFSET(Database!$F102,0,COLUMN(Database!EE102)*2-12)</f>
        <v>n.r.</v>
      </c>
      <c r="EI102" s="8" t="str">
        <f ca="1">OFFSET(Database!$F102,0,COLUMN(Database!EF102)*2-12)</f>
        <v>n.r.</v>
      </c>
      <c r="EJ102" s="8" t="str">
        <f ca="1">OFFSET(Database!$F102,0,COLUMN(Database!EG102)*2-12)</f>
        <v>n.r.</v>
      </c>
      <c r="EK102" s="8" t="str">
        <f ca="1">OFFSET(Database!$F102,0,COLUMN(Database!EH102)*2-12)</f>
        <v>n.r.</v>
      </c>
      <c r="EL102" s="8" t="str">
        <f ca="1">OFFSET(Database!$F102,0,COLUMN(Database!EI102)*2-12)</f>
        <v>n.r.</v>
      </c>
      <c r="EM102" s="8" t="str">
        <f ca="1">OFFSET(Database!$F102,0,COLUMN(Database!EJ102)*2-12)</f>
        <v>n.r.</v>
      </c>
      <c r="EN102" s="8" t="str">
        <f ca="1">OFFSET(Database!$F102,0,COLUMN(Database!EK102)*2-12)</f>
        <v>n.r.</v>
      </c>
      <c r="EO102" s="8" t="str">
        <f ca="1">OFFSET(Database!$F102,0,COLUMN(Database!EL102)*2-12)</f>
        <v>n.r.</v>
      </c>
      <c r="EP102" s="8" t="str">
        <f ca="1">OFFSET(Database!$F102,0,COLUMN(Database!EM102)*2-12)</f>
        <v>n.r.</v>
      </c>
      <c r="EQ102" s="8" t="str">
        <f ca="1">OFFSET(Database!$F102,0,COLUMN(Database!EN102)*2-12)</f>
        <v>n.r.</v>
      </c>
      <c r="ER102" s="8">
        <f ca="1">OFFSET(Database!$F102,0,COLUMN(Database!EO102)*2-12)</f>
        <v>450.04099324351336</v>
      </c>
      <c r="ES102" s="8">
        <f ca="1">OFFSET(Database!$F102,0,COLUMN(Database!EP102)*2-12)</f>
        <v>384.02839184163503</v>
      </c>
      <c r="ET102" s="8">
        <f ca="1">OFFSET(Database!$F102,0,COLUMN(Database!EQ102)*2-12)</f>
        <v>701.1690295629254</v>
      </c>
      <c r="EU102" s="8">
        <f ca="1">OFFSET(Database!$F102,0,COLUMN(Database!ER102)*2-12)</f>
        <v>335.19283051832434</v>
      </c>
      <c r="EV102" s="8">
        <f ca="1">OFFSET(Database!$F102,0,COLUMN(Database!ES102)*2-12)</f>
        <v>534.71693937645284</v>
      </c>
      <c r="EW102" s="8" t="str">
        <f ca="1">OFFSET(Database!$F102,0,COLUMN(Database!ET102)*2-12)</f>
        <v>n.r</v>
      </c>
      <c r="EX102" s="8" t="str">
        <f ca="1">OFFSET(Database!$F102,0,COLUMN(Database!EU102)*2-12)</f>
        <v>n.r</v>
      </c>
      <c r="EY102" s="8" t="str">
        <f ca="1">OFFSET(Database!$F102,0,COLUMN(Database!EV102)*2-12)</f>
        <v>n.r</v>
      </c>
      <c r="EZ102" s="8" t="str">
        <f ca="1">OFFSET(Database!$F102,0,COLUMN(Database!EW102)*2-12)</f>
        <v>n.r</v>
      </c>
      <c r="FA102" s="8" t="str">
        <f ca="1">OFFSET(Database!$F102,0,COLUMN(Database!EX102)*2-12)</f>
        <v>n.r</v>
      </c>
      <c r="FB102" s="8" t="str">
        <f ca="1">OFFSET(Database!$F102,0,COLUMN(Database!EY102)*2-12)</f>
        <v>n.r.</v>
      </c>
      <c r="FC102" s="8" t="str">
        <f ca="1">OFFSET(Database!$F102,0,COLUMN(Database!EZ102)*2-12)</f>
        <v>n.r.</v>
      </c>
      <c r="FD102" s="8" t="str">
        <f ca="1">OFFSET(Database!$F102,0,COLUMN(Database!FA102)*2-12)</f>
        <v>tr</v>
      </c>
      <c r="FE102" s="8" t="str">
        <f ca="1">OFFSET(Database!$F102,0,COLUMN(Database!FB102)*2-12)</f>
        <v>tr</v>
      </c>
      <c r="FF102" s="8" t="str">
        <f ca="1">OFFSET(Database!$F102,0,COLUMN(Database!FC102)*2-12)</f>
        <v>tr</v>
      </c>
      <c r="FG102" s="8" t="str">
        <f ca="1">OFFSET(Database!$F102,0,COLUMN(Database!FD102)*2-12)</f>
        <v>n.r.</v>
      </c>
      <c r="FH102" s="8" t="str">
        <f ca="1">OFFSET(Database!$F102,0,COLUMN(Database!FE102)*2-12)</f>
        <v>n.r.</v>
      </c>
      <c r="FI102" s="8" t="str">
        <f ca="1">OFFSET(Database!$F102,0,COLUMN(Database!FF102)*2-12)</f>
        <v>n.r.</v>
      </c>
      <c r="FJ102" s="8" t="str">
        <f ca="1">OFFSET(Database!$F102,0,COLUMN(Database!FG102)*2-12)</f>
        <v>n.r.</v>
      </c>
      <c r="FK102" s="8" t="str">
        <f ca="1">OFFSET(Database!$F102,0,COLUMN(Database!FH102)*2-12)</f>
        <v>n.r.</v>
      </c>
      <c r="FL102" s="8" t="str">
        <f ca="1">OFFSET(Database!$F102,0,COLUMN(Database!FI102)*2-12)</f>
        <v>n.r.</v>
      </c>
      <c r="FM102" s="8" t="str">
        <f ca="1">OFFSET(Database!$F102,0,COLUMN(Database!FJ102)*2-12)</f>
        <v>n.r.</v>
      </c>
      <c r="FN102" s="8" t="str">
        <f ca="1">OFFSET(Database!$F102,0,COLUMN(Database!FK102)*2-12)</f>
        <v>n.r.</v>
      </c>
      <c r="FO102" s="8" t="str">
        <f ca="1">OFFSET(Database!$F102,0,COLUMN(Database!FL102)*2-12)</f>
        <v>n.r.</v>
      </c>
      <c r="FP102" s="8" t="str">
        <f ca="1">OFFSET(Database!$F102,0,COLUMN(Database!FM102)*2-12)</f>
        <v>n.r.</v>
      </c>
      <c r="FQ102" s="8" t="str">
        <f ca="1">OFFSET(Database!$F102,0,COLUMN(Database!FN102)*2-12)</f>
        <v>n.r.</v>
      </c>
      <c r="FR102" s="8" t="str">
        <f ca="1">OFFSET(Database!$F102,0,COLUMN(Database!FO102)*2-12)</f>
        <v>n.r.</v>
      </c>
      <c r="FS102" s="8" t="str">
        <f ca="1">OFFSET(Database!$F102,0,COLUMN(Database!FP102)*2-12)</f>
        <v>n.r.</v>
      </c>
      <c r="FT102" s="8" t="str">
        <f ca="1">OFFSET(Database!$F102,0,COLUMN(Database!FQ102)*2-12)</f>
        <v>n.r.</v>
      </c>
      <c r="FU102" s="8" t="str">
        <f ca="1">OFFSET(Database!$F102,0,COLUMN(Database!FR102)*2-12)</f>
        <v>n.r.</v>
      </c>
      <c r="FV102" s="8" t="str">
        <f ca="1">OFFSET(Database!$F102,0,COLUMN(Database!FS102)*2-12)</f>
        <v>n.r.</v>
      </c>
      <c r="FW102" s="8" t="str">
        <f ca="1">OFFSET(Database!$F102,0,COLUMN(Database!FT102)*2-12)</f>
        <v>n.r.</v>
      </c>
      <c r="FX102" s="8" t="str">
        <f ca="1">OFFSET(Database!$F102,0,COLUMN(Database!FU102)*2-12)</f>
        <v>n.r.</v>
      </c>
      <c r="FY102" s="8" t="str">
        <f ca="1">OFFSET(Database!$F102,0,COLUMN(Database!FV102)*2-12)</f>
        <v>n.r.</v>
      </c>
      <c r="FZ102" s="8" t="str">
        <f ca="1">OFFSET(Database!$F102,0,COLUMN(Database!FW102)*2-12)</f>
        <v>n.r.</v>
      </c>
      <c r="GA102" s="8" t="str">
        <f ca="1">OFFSET(Database!$F102,0,COLUMN(Database!FX102)*2-12)</f>
        <v>n.r.</v>
      </c>
      <c r="GB102" s="8" t="str">
        <f ca="1">OFFSET(Database!$F102,0,COLUMN(Database!FY102)*2-12)</f>
        <v>n.r.</v>
      </c>
      <c r="GC102" s="8" t="str">
        <f ca="1">OFFSET(Database!$F102,0,COLUMN(Database!FZ102)*2-12)</f>
        <v>n.r.</v>
      </c>
      <c r="GD102" s="8" t="str">
        <f ca="1">OFFSET(Database!$F102,0,COLUMN(Database!GA102)*2-12)</f>
        <v>n.r.</v>
      </c>
      <c r="GE102" s="8" t="str">
        <f ca="1">OFFSET(Database!$F102,0,COLUMN(Database!GB102)*2-12)</f>
        <v>n.r.</v>
      </c>
      <c r="GF102" s="8" t="str">
        <f ca="1">OFFSET(Database!$F102,0,COLUMN(Database!GC102)*2-12)</f>
        <v>n.r.</v>
      </c>
      <c r="GG102" s="8" t="str">
        <f ca="1">OFFSET(Database!$F102,0,COLUMN(Database!GD102)*2-12)</f>
        <v>n.r.</v>
      </c>
      <c r="GH102" s="8" t="str">
        <f ca="1">OFFSET(Database!$F102,0,COLUMN(Database!GE102)*2-12)</f>
        <v>n.r.</v>
      </c>
      <c r="GI102" s="8" t="str">
        <f ca="1">OFFSET(Database!$F102,0,COLUMN(Database!GF102)*2-12)</f>
        <v>n.r.</v>
      </c>
      <c r="GJ102" s="8" t="str">
        <f ca="1">OFFSET(Database!$F102,0,COLUMN(Database!GG102)*2-12)</f>
        <v>n.r.</v>
      </c>
      <c r="GK102" s="8" t="str">
        <f ca="1">OFFSET(Database!$F102,0,COLUMN(Database!GH102)*2-12)</f>
        <v>n.r.</v>
      </c>
      <c r="GL102" s="8" t="str">
        <f ca="1">OFFSET(Database!$F102,0,COLUMN(Database!GI102)*2-12)</f>
        <v>n.r.</v>
      </c>
      <c r="GM102" s="8" t="str">
        <f ca="1">OFFSET(Database!$F102,0,COLUMN(Database!GJ102)*2-12)</f>
        <v>n.r.</v>
      </c>
      <c r="GN102" s="8" t="str">
        <f ca="1">OFFSET(Database!$F102,0,COLUMN(Database!GK102)*2-12)</f>
        <v>n.r.</v>
      </c>
      <c r="GO102" s="8" t="str">
        <f ca="1">OFFSET(Database!$F102,0,COLUMN(Database!GL102)*2-12)</f>
        <v>n.r.</v>
      </c>
      <c r="GP102" s="8" t="str">
        <f ca="1">OFFSET(Database!$F102,0,COLUMN(Database!GM102)*2-12)</f>
        <v>n.r.</v>
      </c>
    </row>
    <row r="103" spans="1:198" x14ac:dyDescent="0.2">
      <c r="A103" s="50" t="str">
        <f>Database!A103</f>
        <v>L-arginine</v>
      </c>
      <c r="B103" s="1" t="s">
        <v>885</v>
      </c>
      <c r="C103" s="4" t="str">
        <f>Database!B103</f>
        <v>ɑ</v>
      </c>
      <c r="D103" s="4" t="str">
        <f>Database!C103</f>
        <v>L</v>
      </c>
      <c r="E103" s="74">
        <f>Database!D103</f>
        <v>11</v>
      </c>
      <c r="F103" s="1" t="s">
        <v>976</v>
      </c>
      <c r="G103" s="1">
        <v>6322</v>
      </c>
      <c r="H103" s="1">
        <f>Database!E103</f>
        <v>174.2</v>
      </c>
      <c r="I103" s="8" t="str">
        <f ca="1">OFFSET(Database!$F103,0,COLUMN(Database!F103)*2-12)</f>
        <v>n.r.</v>
      </c>
      <c r="J103" s="8" t="str">
        <f ca="1">OFFSET(Database!$F103,0,COLUMN(Database!G103)*2-12)</f>
        <v>n.r.</v>
      </c>
      <c r="K103" s="8" t="str">
        <f ca="1">OFFSET(Database!$F103,0,COLUMN(Database!H103)*2-12)</f>
        <v>n.r.</v>
      </c>
      <c r="L103" s="8" t="str">
        <f ca="1">OFFSET(Database!$F103,0,COLUMN(Database!I103)*2-12)</f>
        <v>n.r.</v>
      </c>
      <c r="M103" s="8" t="str">
        <f ca="1">OFFSET(Database!$F103,0,COLUMN(Database!J103)*2-12)</f>
        <v>n.r.</v>
      </c>
      <c r="N103" s="8" t="str">
        <f ca="1">OFFSET(Database!$F103,0,COLUMN(Database!K103)*2-12)</f>
        <v>n.r.</v>
      </c>
      <c r="O103" s="8" t="str">
        <f ca="1">OFFSET(Database!$F103,0,COLUMN(Database!L103)*2-12)</f>
        <v>n.r.</v>
      </c>
      <c r="P103" s="8" t="str">
        <f ca="1">OFFSET(Database!$F103,0,COLUMN(Database!M103)*2-12)</f>
        <v>n.r.</v>
      </c>
      <c r="Q103" s="8" t="str">
        <f ca="1">OFFSET(Database!$F103,0,COLUMN(Database!N103)*2-12)</f>
        <v>n.r.</v>
      </c>
      <c r="R103" s="8" t="str">
        <f ca="1">OFFSET(Database!$F103,0,COLUMN(Database!O103)*2-12)</f>
        <v>n.r.</v>
      </c>
      <c r="S103" s="8" t="str">
        <f ca="1">OFFSET(Database!$F103,0,COLUMN(Database!P103)*2-12)</f>
        <v>n.r.</v>
      </c>
      <c r="T103" s="8" t="str">
        <f ca="1">OFFSET(Database!$F103,0,COLUMN(Database!Q103)*2-12)</f>
        <v>n.r.</v>
      </c>
      <c r="U103" s="8" t="str">
        <f ca="1">OFFSET(Database!$F103,0,COLUMN(Database!R103)*2-12)</f>
        <v>n.r.</v>
      </c>
      <c r="V103" s="8" t="str">
        <f ca="1">OFFSET(Database!$F103,0,COLUMN(Database!S103)*2-12)</f>
        <v>n.r.</v>
      </c>
      <c r="W103" s="8" t="str">
        <f ca="1">OFFSET(Database!$F103,0,COLUMN(Database!T103)*2-12)</f>
        <v>n.r.</v>
      </c>
      <c r="X103" s="8" t="str">
        <f ca="1">OFFSET(Database!$F103,0,COLUMN(Database!U103)*2-12)</f>
        <v>n.r.</v>
      </c>
      <c r="Y103" s="8" t="str">
        <f ca="1">OFFSET(Database!$F103,0,COLUMN(Database!V103)*2-12)</f>
        <v>n.r.</v>
      </c>
      <c r="Z103" s="8" t="str">
        <f ca="1">OFFSET(Database!$F103,0,COLUMN(Database!W103)*2-12)</f>
        <v>n.r.</v>
      </c>
      <c r="AA103" s="8" t="str">
        <f ca="1">OFFSET(Database!$F103,0,COLUMN(Database!X103)*2-12)</f>
        <v>n.r.</v>
      </c>
      <c r="AB103" s="8" t="str">
        <f ca="1">OFFSET(Database!$F103,0,COLUMN(Database!Y103)*2-12)</f>
        <v>n.r.</v>
      </c>
      <c r="AC103" s="8" t="str">
        <f ca="1">OFFSET(Database!$F103,0,COLUMN(Database!Z103)*2-12)</f>
        <v>n.r.</v>
      </c>
      <c r="AD103" s="8" t="str">
        <f ca="1">OFFSET(Database!$F103,0,COLUMN(Database!AA103)*2-12)</f>
        <v>n.r.</v>
      </c>
      <c r="AE103" s="8" t="str">
        <f ca="1">OFFSET(Database!$F103,0,COLUMN(Database!AB103)*2-12)</f>
        <v>n.r.</v>
      </c>
      <c r="AF103" s="8" t="str">
        <f ca="1">OFFSET(Database!$F103,0,COLUMN(Database!AC103)*2-12)</f>
        <v>n.r.</v>
      </c>
      <c r="AG103" s="8" t="str">
        <f ca="1">OFFSET(Database!$F103,0,COLUMN(Database!AD103)*2-12)</f>
        <v>n.r.</v>
      </c>
      <c r="AH103" s="8" t="str">
        <f ca="1">OFFSET(Database!$F103,0,COLUMN(Database!AE103)*2-12)</f>
        <v>n.r.</v>
      </c>
      <c r="AI103" s="8" t="str">
        <f ca="1">OFFSET(Database!$F103,0,COLUMN(Database!AF103)*2-12)</f>
        <v>n.r.</v>
      </c>
      <c r="AJ103" s="8" t="str">
        <f ca="1">OFFSET(Database!$F103,0,COLUMN(Database!AG103)*2-12)</f>
        <v>n.r.</v>
      </c>
      <c r="AK103" s="8" t="str">
        <f ca="1">OFFSET(Database!$F103,0,COLUMN(Database!AH103)*2-12)</f>
        <v>n.r.</v>
      </c>
      <c r="AL103" s="8" t="str">
        <f ca="1">OFFSET(Database!$F103,0,COLUMN(Database!AI103)*2-12)</f>
        <v>n.r.</v>
      </c>
      <c r="AM103" s="8" t="str">
        <f ca="1">OFFSET(Database!$F103,0,COLUMN(Database!AJ103)*2-12)</f>
        <v>n.r.</v>
      </c>
      <c r="AN103" s="8" t="str">
        <f ca="1">OFFSET(Database!$F103,0,COLUMN(Database!AK103)*2-12)</f>
        <v>n.r.</v>
      </c>
      <c r="AO103" s="8" t="str">
        <f ca="1">OFFSET(Database!$F103,0,COLUMN(Database!AL103)*2-12)</f>
        <v>n.r.</v>
      </c>
      <c r="AP103" s="8" t="str">
        <f ca="1">OFFSET(Database!$F103,0,COLUMN(Database!AM103)*2-12)</f>
        <v>n.r.</v>
      </c>
      <c r="AQ103" s="8" t="str">
        <f ca="1">OFFSET(Database!$F103,0,COLUMN(Database!AN103)*2-12)</f>
        <v>n.r.</v>
      </c>
      <c r="AR103" s="8" t="str">
        <f ca="1">OFFSET(Database!$F103,0,COLUMN(Database!AO103)*2-12)</f>
        <v>n.r.</v>
      </c>
      <c r="AS103" s="8" t="str">
        <f ca="1">OFFSET(Database!$F103,0,COLUMN(Database!AP103)*2-12)</f>
        <v>n.r.</v>
      </c>
      <c r="AT103" s="8" t="str">
        <f ca="1">OFFSET(Database!$F103,0,COLUMN(Database!AQ103)*2-12)</f>
        <v>n.r.</v>
      </c>
      <c r="AU103" s="8" t="str">
        <f ca="1">OFFSET(Database!$F103,0,COLUMN(Database!AR103)*2-12)</f>
        <v>n.r.</v>
      </c>
      <c r="AV103" s="8" t="str">
        <f ca="1">OFFSET(Database!$F103,0,COLUMN(Database!AS103)*2-12)</f>
        <v>n.r.</v>
      </c>
      <c r="AW103" s="8" t="str">
        <f ca="1">OFFSET(Database!$F103,0,COLUMN(Database!AT103)*2-12)</f>
        <v>n.r.</v>
      </c>
      <c r="AX103" s="8" t="str">
        <f ca="1">OFFSET(Database!$F103,0,COLUMN(Database!AU103)*2-12)</f>
        <v>n.r.</v>
      </c>
      <c r="AY103" s="8" t="str">
        <f ca="1">OFFSET(Database!$F103,0,COLUMN(Database!AV103)*2-12)</f>
        <v>n.r.</v>
      </c>
      <c r="AZ103" s="8" t="str">
        <f ca="1">OFFSET(Database!$F103,0,COLUMN(Database!AW103)*2-12)</f>
        <v>n.r.</v>
      </c>
      <c r="BA103" s="8" t="str">
        <f ca="1">OFFSET(Database!$F103,0,COLUMN(Database!AX103)*2-12)</f>
        <v>n.r.</v>
      </c>
      <c r="BB103" s="8" t="str">
        <f ca="1">OFFSET(Database!$F103,0,COLUMN(Database!AY103)*2-12)</f>
        <v>n.r.</v>
      </c>
      <c r="BC103" s="8" t="str">
        <f ca="1">OFFSET(Database!$F103,0,COLUMN(Database!AZ103)*2-12)</f>
        <v>n.r.</v>
      </c>
      <c r="BD103" s="8" t="str">
        <f ca="1">OFFSET(Database!$F103,0,COLUMN(Database!BA103)*2-12)</f>
        <v>n.r.</v>
      </c>
      <c r="BE103" s="8" t="str">
        <f ca="1">OFFSET(Database!$F103,0,COLUMN(Database!BB103)*2-12)</f>
        <v>n.r.</v>
      </c>
      <c r="BF103" s="8" t="str">
        <f ca="1">OFFSET(Database!$F103,0,COLUMN(Database!BC103)*2-12)</f>
        <v>n.r.</v>
      </c>
      <c r="BG103" s="8" t="str">
        <f ca="1">OFFSET(Database!$F103,0,COLUMN(Database!BD103)*2-12)</f>
        <v>n.r.</v>
      </c>
      <c r="BH103" s="8" t="str">
        <f ca="1">OFFSET(Database!$F103,0,COLUMN(Database!BE103)*2-12)</f>
        <v>n.r.</v>
      </c>
      <c r="BI103" s="8" t="str">
        <f ca="1">OFFSET(Database!$F103,0,COLUMN(Database!BF103)*2-12)</f>
        <v>n.r.</v>
      </c>
      <c r="BJ103" s="8" t="str">
        <f ca="1">OFFSET(Database!$F103,0,COLUMN(Database!BG103)*2-12)</f>
        <v>n.r.</v>
      </c>
      <c r="BK103" s="8" t="str">
        <f ca="1">OFFSET(Database!$F103,0,COLUMN(Database!BH103)*2-12)</f>
        <v>n.r.</v>
      </c>
      <c r="BL103" s="8" t="str">
        <f ca="1">OFFSET(Database!$F103,0,COLUMN(Database!BI103)*2-12)</f>
        <v>n.r.</v>
      </c>
      <c r="BM103" s="8" t="str">
        <f ca="1">OFFSET(Database!$F103,0,COLUMN(Database!BJ103)*2-12)</f>
        <v>n.r.</v>
      </c>
      <c r="BN103" s="8" t="str">
        <f ca="1">OFFSET(Database!$F103,0,COLUMN(Database!BK103)*2-12)</f>
        <v>n.r.</v>
      </c>
      <c r="BO103" s="8" t="str">
        <f ca="1">OFFSET(Database!$F103,0,COLUMN(Database!BL103)*2-12)</f>
        <v>n.r.</v>
      </c>
      <c r="BP103" s="8" t="str">
        <f ca="1">OFFSET(Database!$F103,0,COLUMN(Database!BM103)*2-12)</f>
        <v>n.r.</v>
      </c>
      <c r="BQ103" s="8" t="str">
        <f ca="1">OFFSET(Database!$F103,0,COLUMN(Database!BN103)*2-12)</f>
        <v>n.r.</v>
      </c>
      <c r="BR103" s="8" t="str">
        <f ca="1">OFFSET(Database!$F103,0,COLUMN(Database!BO103)*2-12)</f>
        <v>n.r.</v>
      </c>
      <c r="BS103" s="8" t="str">
        <f ca="1">OFFSET(Database!$F103,0,COLUMN(Database!BP103)*2-12)</f>
        <v>n.r.</v>
      </c>
      <c r="BT103" s="8" t="str">
        <f ca="1">OFFSET(Database!$F103,0,COLUMN(Database!BQ103)*2-12)</f>
        <v>n.r.</v>
      </c>
      <c r="BU103" s="8" t="str">
        <f ca="1">OFFSET(Database!$F103,0,COLUMN(Database!BR103)*2-12)</f>
        <v>n.r.</v>
      </c>
      <c r="BV103" s="8" t="str">
        <f ca="1">OFFSET(Database!$F103,0,COLUMN(Database!BS103)*2-12)</f>
        <v>n.r.</v>
      </c>
      <c r="BW103" s="8" t="str">
        <f ca="1">OFFSET(Database!$F103,0,COLUMN(Database!BT103)*2-12)</f>
        <v>n.r.</v>
      </c>
      <c r="BX103" s="8" t="str">
        <f ca="1">OFFSET(Database!$F103,0,COLUMN(Database!BU103)*2-12)</f>
        <v>n.r.</v>
      </c>
      <c r="BY103" s="8" t="str">
        <f ca="1">OFFSET(Database!$F103,0,COLUMN(Database!BV103)*2-12)</f>
        <v>n.r.</v>
      </c>
      <c r="BZ103" s="8" t="str">
        <f ca="1">OFFSET(Database!$F103,0,COLUMN(Database!BW103)*2-12)</f>
        <v>n.r.</v>
      </c>
      <c r="CA103" s="8" t="str">
        <f ca="1">OFFSET(Database!$F103,0,COLUMN(Database!BX103)*2-12)</f>
        <v>n.r.</v>
      </c>
      <c r="CB103" s="8" t="str">
        <f ca="1">OFFSET(Database!$F103,0,COLUMN(Database!BY103)*2-12)</f>
        <v>n.r.</v>
      </c>
      <c r="CC103" s="8" t="str">
        <f ca="1">OFFSET(Database!$F103,0,COLUMN(Database!BZ103)*2-12)</f>
        <v>n.r.</v>
      </c>
      <c r="CD103" s="8" t="str">
        <f ca="1">OFFSET(Database!$F103,0,COLUMN(Database!CA103)*2-12)</f>
        <v>n.r.</v>
      </c>
      <c r="CE103" s="8" t="str">
        <f ca="1">OFFSET(Database!$F103,0,COLUMN(Database!CB103)*2-12)</f>
        <v>n.r.</v>
      </c>
      <c r="CF103" s="8" t="str">
        <f ca="1">OFFSET(Database!$F103,0,COLUMN(Database!CC103)*2-12)</f>
        <v>n.r.</v>
      </c>
      <c r="CG103" s="8" t="str">
        <f ca="1">OFFSET(Database!$F103,0,COLUMN(Database!CD103)*2-12)</f>
        <v>n.r.</v>
      </c>
      <c r="CH103" s="8" t="str">
        <f ca="1">OFFSET(Database!$F103,0,COLUMN(Database!CE103)*2-12)</f>
        <v>n.r.</v>
      </c>
      <c r="CI103" s="8" t="str">
        <f ca="1">OFFSET(Database!$F103,0,COLUMN(Database!CF103)*2-12)</f>
        <v>n.r.</v>
      </c>
      <c r="CJ103" s="8" t="str">
        <f ca="1">OFFSET(Database!$F103,0,COLUMN(Database!CG103)*2-12)</f>
        <v>n.r.</v>
      </c>
      <c r="CK103" s="8" t="str">
        <f ca="1">OFFSET(Database!$F103,0,COLUMN(Database!CH103)*2-12)</f>
        <v>n.r.</v>
      </c>
      <c r="CL103" s="8" t="str">
        <f ca="1">OFFSET(Database!$F103,0,COLUMN(Database!CI103)*2-12)</f>
        <v>n.r.</v>
      </c>
      <c r="CM103" s="8" t="str">
        <f ca="1">OFFSET(Database!$F103,0,COLUMN(Database!CJ103)*2-12)</f>
        <v>n.r.</v>
      </c>
      <c r="CN103" s="8" t="str">
        <f ca="1">OFFSET(Database!$F103,0,COLUMN(Database!CK103)*2-12)</f>
        <v>n.r.</v>
      </c>
      <c r="CO103" s="8" t="str">
        <f ca="1">OFFSET(Database!$F103,0,COLUMN(Database!CL103)*2-12)</f>
        <v>n.r.</v>
      </c>
      <c r="CP103" s="8" t="str">
        <f ca="1">OFFSET(Database!$F103,0,COLUMN(Database!CM103)*2-12)</f>
        <v>n.r.</v>
      </c>
      <c r="CQ103" s="8" t="str">
        <f ca="1">OFFSET(Database!$F103,0,COLUMN(Database!CN103)*2-12)</f>
        <v>n.r.</v>
      </c>
      <c r="CR103" s="8" t="str">
        <f ca="1">OFFSET(Database!$F103,0,COLUMN(Database!CO103)*2-12)</f>
        <v>n.r.</v>
      </c>
      <c r="CS103" s="8" t="str">
        <f ca="1">OFFSET(Database!$F103,0,COLUMN(Database!CP103)*2-12)</f>
        <v>n.r.</v>
      </c>
      <c r="CT103" s="8" t="str">
        <f ca="1">OFFSET(Database!$F103,0,COLUMN(Database!CQ103)*2-12)</f>
        <v>n.r.</v>
      </c>
      <c r="CU103" s="8" t="str">
        <f ca="1">OFFSET(Database!$F103,0,COLUMN(Database!CR103)*2-12)</f>
        <v>n.r.</v>
      </c>
      <c r="CV103" s="8" t="str">
        <f ca="1">OFFSET(Database!$F103,0,COLUMN(Database!CS103)*2-12)</f>
        <v>n.r.</v>
      </c>
      <c r="CW103" s="8" t="str">
        <f ca="1">OFFSET(Database!$F103,0,COLUMN(Database!CT103)*2-12)</f>
        <v>n.r.</v>
      </c>
      <c r="CX103" s="8" t="str">
        <f ca="1">OFFSET(Database!$F103,0,COLUMN(Database!CU103)*2-12)</f>
        <v>n.r.</v>
      </c>
      <c r="CY103" s="8" t="str">
        <f ca="1">OFFSET(Database!$F103,0,COLUMN(Database!CV103)*2-12)</f>
        <v>n.r.</v>
      </c>
      <c r="CZ103" s="8" t="str">
        <f ca="1">OFFSET(Database!$F103,0,COLUMN(Database!CW103)*2-12)</f>
        <v>n.r.</v>
      </c>
      <c r="DA103" s="8" t="str">
        <f ca="1">OFFSET(Database!$F103,0,COLUMN(Database!CX103)*2-12)</f>
        <v>n.r.</v>
      </c>
      <c r="DB103" s="8" t="str">
        <f ca="1">OFFSET(Database!$F103,0,COLUMN(Database!CY103)*2-12)</f>
        <v>n.r.</v>
      </c>
      <c r="DC103" s="8" t="str">
        <f ca="1">OFFSET(Database!$F103,0,COLUMN(Database!CZ103)*2-12)</f>
        <v>n.r.</v>
      </c>
      <c r="DD103" s="8" t="str">
        <f ca="1">OFFSET(Database!$F103,0,COLUMN(Database!DA103)*2-12)</f>
        <v>n.r.</v>
      </c>
      <c r="DE103" s="8" t="str">
        <f ca="1">OFFSET(Database!$F103,0,COLUMN(Database!DB103)*2-12)</f>
        <v>n.r.</v>
      </c>
      <c r="DF103" s="8" t="str">
        <f ca="1">OFFSET(Database!$F103,0,COLUMN(Database!DC103)*2-12)</f>
        <v>n.r.</v>
      </c>
      <c r="DG103" s="8" t="str">
        <f ca="1">OFFSET(Database!$F103,0,COLUMN(Database!DD103)*2-12)</f>
        <v>n.r.</v>
      </c>
      <c r="DH103" s="8" t="str">
        <f ca="1">OFFSET(Database!$F103,0,COLUMN(Database!DE103)*2-12)</f>
        <v>n.r.</v>
      </c>
      <c r="DI103" s="8" t="str">
        <f ca="1">OFFSET(Database!$F103,0,COLUMN(Database!DF103)*2-12)</f>
        <v>n.r.</v>
      </c>
      <c r="DJ103" s="8" t="str">
        <f ca="1">OFFSET(Database!$F103,0,COLUMN(Database!DG103)*2-12)</f>
        <v>n.r.</v>
      </c>
      <c r="DK103" s="8" t="str">
        <f ca="1">OFFSET(Database!$F103,0,COLUMN(Database!DH103)*2-12)</f>
        <v>n.r.</v>
      </c>
      <c r="DL103" s="8" t="str">
        <f ca="1">OFFSET(Database!$F103,0,COLUMN(Database!DI103)*2-12)</f>
        <v>n.r.</v>
      </c>
      <c r="DM103" s="8" t="str">
        <f ca="1">OFFSET(Database!$F103,0,COLUMN(Database!DJ103)*2-12)</f>
        <v>n.r.</v>
      </c>
      <c r="DN103" s="8" t="str">
        <f ca="1">OFFSET(Database!$F103,0,COLUMN(Database!DK103)*2-12)</f>
        <v>n.r.</v>
      </c>
      <c r="DO103" s="8" t="str">
        <f ca="1">OFFSET(Database!$F103,0,COLUMN(Database!DL103)*2-12)</f>
        <v>n.r.</v>
      </c>
      <c r="DP103" s="8" t="str">
        <f ca="1">OFFSET(Database!$F103,0,COLUMN(Database!DM103)*2-12)</f>
        <v>n.r.</v>
      </c>
      <c r="DQ103" s="8" t="str">
        <f ca="1">OFFSET(Database!$F103,0,COLUMN(Database!DN103)*2-12)</f>
        <v>n.r.</v>
      </c>
      <c r="DR103" s="8" t="str">
        <f ca="1">OFFSET(Database!$F103,0,COLUMN(Database!DO103)*2-12)</f>
        <v>n.r.</v>
      </c>
      <c r="DS103" s="8" t="str">
        <f ca="1">OFFSET(Database!$F103,0,COLUMN(Database!DP103)*2-12)</f>
        <v>n.r.</v>
      </c>
      <c r="DT103" s="8" t="str">
        <f ca="1">OFFSET(Database!$F103,0,COLUMN(Database!DQ103)*2-12)</f>
        <v>n.r.</v>
      </c>
      <c r="DU103" s="8" t="str">
        <f ca="1">OFFSET(Database!$F103,0,COLUMN(Database!DR103)*2-12)</f>
        <v>n.r.</v>
      </c>
      <c r="DV103" s="8" t="str">
        <f ca="1">OFFSET(Database!$F103,0,COLUMN(Database!DS103)*2-12)</f>
        <v>n.r.</v>
      </c>
      <c r="DW103" s="8" t="str">
        <f ca="1">OFFSET(Database!$F103,0,COLUMN(Database!DT103)*2-12)</f>
        <v>n.r.</v>
      </c>
      <c r="DX103" s="8" t="str">
        <f ca="1">OFFSET(Database!$F103,0,COLUMN(Database!DU103)*2-12)</f>
        <v>n.r.</v>
      </c>
      <c r="DY103" s="8" t="str">
        <f ca="1">OFFSET(Database!$F103,0,COLUMN(Database!DV103)*2-12)</f>
        <v>n.r.</v>
      </c>
      <c r="DZ103" s="8" t="str">
        <f ca="1">OFFSET(Database!$F103,0,COLUMN(Database!DW103)*2-12)</f>
        <v>n.r.</v>
      </c>
      <c r="EA103" s="8" t="str">
        <f ca="1">OFFSET(Database!$F103,0,COLUMN(Database!DX103)*2-12)</f>
        <v>n.r.</v>
      </c>
      <c r="EB103" s="8" t="str">
        <f ca="1">OFFSET(Database!$F103,0,COLUMN(Database!DY103)*2-12)</f>
        <v>n.r.</v>
      </c>
      <c r="EC103" s="8" t="str">
        <f ca="1">OFFSET(Database!$F103,0,COLUMN(Database!DZ103)*2-12)</f>
        <v>n.r.</v>
      </c>
      <c r="ED103" s="8" t="str">
        <f ca="1">OFFSET(Database!$F103,0,COLUMN(Database!EA103)*2-12)</f>
        <v>n.r.</v>
      </c>
      <c r="EE103" s="8" t="str">
        <f ca="1">OFFSET(Database!$F103,0,COLUMN(Database!EB103)*2-12)</f>
        <v>n.r.</v>
      </c>
      <c r="EF103" s="8" t="str">
        <f ca="1">OFFSET(Database!$F103,0,COLUMN(Database!EC103)*2-12)</f>
        <v>n.r.</v>
      </c>
      <c r="EG103" s="8" t="str">
        <f ca="1">OFFSET(Database!$F103,0,COLUMN(Database!ED103)*2-12)</f>
        <v>n.r.</v>
      </c>
      <c r="EH103" s="8" t="str">
        <f ca="1">OFFSET(Database!$F103,0,COLUMN(Database!EE103)*2-12)</f>
        <v>n.r.</v>
      </c>
      <c r="EI103" s="8" t="str">
        <f ca="1">OFFSET(Database!$F103,0,COLUMN(Database!EF103)*2-12)</f>
        <v>n.r.</v>
      </c>
      <c r="EJ103" s="8" t="str">
        <f ca="1">OFFSET(Database!$F103,0,COLUMN(Database!EG103)*2-12)</f>
        <v>n.r.</v>
      </c>
      <c r="EK103" s="8" t="str">
        <f ca="1">OFFSET(Database!$F103,0,COLUMN(Database!EH103)*2-12)</f>
        <v>n.r.</v>
      </c>
      <c r="EL103" s="8" t="str">
        <f ca="1">OFFSET(Database!$F103,0,COLUMN(Database!EI103)*2-12)</f>
        <v>n.r.</v>
      </c>
      <c r="EM103" s="8" t="str">
        <f ca="1">OFFSET(Database!$F103,0,COLUMN(Database!EJ103)*2-12)</f>
        <v>n.r.</v>
      </c>
      <c r="EN103" s="8" t="str">
        <f ca="1">OFFSET(Database!$F103,0,COLUMN(Database!EK103)*2-12)</f>
        <v>n.r.</v>
      </c>
      <c r="EO103" s="8" t="str">
        <f ca="1">OFFSET(Database!$F103,0,COLUMN(Database!EL103)*2-12)</f>
        <v>n.r.</v>
      </c>
      <c r="EP103" s="8" t="str">
        <f ca="1">OFFSET(Database!$F103,0,COLUMN(Database!EM103)*2-12)</f>
        <v>n.r.</v>
      </c>
      <c r="EQ103" s="8" t="str">
        <f ca="1">OFFSET(Database!$F103,0,COLUMN(Database!EN103)*2-12)</f>
        <v>n.r.</v>
      </c>
      <c r="ER103" s="8">
        <f ca="1">OFFSET(Database!$F103,0,COLUMN(Database!EO103)*2-12)</f>
        <v>10556.239611533218</v>
      </c>
      <c r="ES103" s="8">
        <f ca="1">OFFSET(Database!$F103,0,COLUMN(Database!EP103)*2-12)</f>
        <v>11160.395778985578</v>
      </c>
      <c r="ET103" s="8">
        <f ca="1">OFFSET(Database!$F103,0,COLUMN(Database!EQ103)*2-12)</f>
        <v>19469.469394286371</v>
      </c>
      <c r="EU103" s="8">
        <f ca="1">OFFSET(Database!$F103,0,COLUMN(Database!ER103)*2-12)</f>
        <v>10994.03856325444</v>
      </c>
      <c r="EV103" s="8">
        <f ca="1">OFFSET(Database!$F103,0,COLUMN(Database!ES103)*2-12)</f>
        <v>23509.438654726498</v>
      </c>
      <c r="EW103" s="8" t="str">
        <f ca="1">OFFSET(Database!$F103,0,COLUMN(Database!ET103)*2-12)</f>
        <v>n.r.</v>
      </c>
      <c r="EX103" s="8" t="str">
        <f ca="1">OFFSET(Database!$F103,0,COLUMN(Database!EU103)*2-12)</f>
        <v>n.r.</v>
      </c>
      <c r="EY103" s="8" t="str">
        <f ca="1">OFFSET(Database!$F103,0,COLUMN(Database!EV103)*2-12)</f>
        <v>n.r.</v>
      </c>
      <c r="EZ103" s="8" t="str">
        <f ca="1">OFFSET(Database!$F103,0,COLUMN(Database!EW103)*2-12)</f>
        <v>n.r.</v>
      </c>
      <c r="FA103" s="8" t="str">
        <f ca="1">OFFSET(Database!$F103,0,COLUMN(Database!EX103)*2-12)</f>
        <v>n.r.</v>
      </c>
      <c r="FB103" s="8" t="str">
        <f ca="1">OFFSET(Database!$F103,0,COLUMN(Database!EY103)*2-12)</f>
        <v>n.r.</v>
      </c>
      <c r="FC103" s="8" t="str">
        <f ca="1">OFFSET(Database!$F103,0,COLUMN(Database!EZ103)*2-12)</f>
        <v>n.r.</v>
      </c>
      <c r="FD103" s="8">
        <f ca="1">OFFSET(Database!$F103,0,COLUMN(Database!FA103)*2-12)</f>
        <v>309.60000000000002</v>
      </c>
      <c r="FE103" s="8">
        <f ca="1">OFFSET(Database!$F103,0,COLUMN(Database!FB103)*2-12)</f>
        <v>4547.1000000000004</v>
      </c>
      <c r="FF103" s="8">
        <f ca="1">OFFSET(Database!$F103,0,COLUMN(Database!FC103)*2-12)</f>
        <v>2678.5</v>
      </c>
      <c r="FG103" s="8" t="str">
        <f ca="1">OFFSET(Database!$F103,0,COLUMN(Database!FD103)*2-12)</f>
        <v>n.r.</v>
      </c>
      <c r="FH103" s="8">
        <f ca="1">OFFSET(Database!$F103,0,COLUMN(Database!FE103)*2-12)</f>
        <v>2800</v>
      </c>
      <c r="FI103" s="8">
        <f ca="1">OFFSET(Database!$F103,0,COLUMN(Database!FF103)*2-12)</f>
        <v>380</v>
      </c>
      <c r="FJ103" s="8">
        <f ca="1">OFFSET(Database!$F103,0,COLUMN(Database!FG103)*2-12)</f>
        <v>330</v>
      </c>
      <c r="FK103" s="8" t="str">
        <f ca="1">OFFSET(Database!$F103,0,COLUMN(Database!FH103)*2-12)</f>
        <v>n.r.</v>
      </c>
      <c r="FL103" s="8" t="str">
        <f ca="1">OFFSET(Database!$F103,0,COLUMN(Database!FI103)*2-12)</f>
        <v>n.r.</v>
      </c>
      <c r="FM103" s="8" t="str">
        <f ca="1">OFFSET(Database!$F103,0,COLUMN(Database!FJ103)*2-12)</f>
        <v>n.r.</v>
      </c>
      <c r="FN103" s="8" t="str">
        <f ca="1">OFFSET(Database!$F103,0,COLUMN(Database!FK103)*2-12)</f>
        <v>n.r.</v>
      </c>
      <c r="FO103" s="8" t="str">
        <f ca="1">OFFSET(Database!$F103,0,COLUMN(Database!FL103)*2-12)</f>
        <v>n.r.</v>
      </c>
      <c r="FP103" s="8" t="str">
        <f ca="1">OFFSET(Database!$F103,0,COLUMN(Database!FM103)*2-12)</f>
        <v>n.r.</v>
      </c>
      <c r="FQ103" s="8" t="str">
        <f ca="1">OFFSET(Database!$F103,0,COLUMN(Database!FN103)*2-12)</f>
        <v>n.r.</v>
      </c>
      <c r="FR103" s="8" t="str">
        <f ca="1">OFFSET(Database!$F103,0,COLUMN(Database!FO103)*2-12)</f>
        <v>n.r.</v>
      </c>
      <c r="FS103" s="8" t="str">
        <f ca="1">OFFSET(Database!$F103,0,COLUMN(Database!FP103)*2-12)</f>
        <v>n.r.</v>
      </c>
      <c r="FT103" s="8" t="str">
        <f ca="1">OFFSET(Database!$F103,0,COLUMN(Database!FQ103)*2-12)</f>
        <v>n.r.</v>
      </c>
      <c r="FU103" s="8" t="str">
        <f ca="1">OFFSET(Database!$F103,0,COLUMN(Database!FR103)*2-12)</f>
        <v>n.r.</v>
      </c>
      <c r="FV103" s="8" t="str">
        <f ca="1">OFFSET(Database!$F103,0,COLUMN(Database!FS103)*2-12)</f>
        <v>n.r.</v>
      </c>
      <c r="FW103" s="8" t="str">
        <f ca="1">OFFSET(Database!$F103,0,COLUMN(Database!FT103)*2-12)</f>
        <v>n.r.</v>
      </c>
      <c r="FX103" s="8" t="str">
        <f ca="1">OFFSET(Database!$F103,0,COLUMN(Database!FU103)*2-12)</f>
        <v>n.r.</v>
      </c>
      <c r="FY103" s="8" t="str">
        <f ca="1">OFFSET(Database!$F103,0,COLUMN(Database!FV103)*2-12)</f>
        <v>n.r.</v>
      </c>
      <c r="FZ103" s="8" t="str">
        <f ca="1">OFFSET(Database!$F103,0,COLUMN(Database!FW103)*2-12)</f>
        <v>n.r.</v>
      </c>
      <c r="GA103" s="8" t="str">
        <f ca="1">OFFSET(Database!$F103,0,COLUMN(Database!FX103)*2-12)</f>
        <v>n.r.</v>
      </c>
      <c r="GB103" s="8" t="str">
        <f ca="1">OFFSET(Database!$F103,0,COLUMN(Database!FY103)*2-12)</f>
        <v>n.r.</v>
      </c>
      <c r="GC103" s="8" t="str">
        <f ca="1">OFFSET(Database!$F103,0,COLUMN(Database!FZ103)*2-12)</f>
        <v>n.r.</v>
      </c>
      <c r="GD103" s="8" t="str">
        <f ca="1">OFFSET(Database!$F103,0,COLUMN(Database!GA103)*2-12)</f>
        <v>n.r.</v>
      </c>
      <c r="GE103" s="8" t="str">
        <f ca="1">OFFSET(Database!$F103,0,COLUMN(Database!GB103)*2-12)</f>
        <v>n.r.</v>
      </c>
      <c r="GF103" s="8" t="str">
        <f ca="1">OFFSET(Database!$F103,0,COLUMN(Database!GC103)*2-12)</f>
        <v>n.r.</v>
      </c>
      <c r="GG103" s="8" t="str">
        <f ca="1">OFFSET(Database!$F103,0,COLUMN(Database!GD103)*2-12)</f>
        <v>n.r.</v>
      </c>
      <c r="GH103" s="8" t="str">
        <f ca="1">OFFSET(Database!$F103,0,COLUMN(Database!GE103)*2-12)</f>
        <v>n.r.</v>
      </c>
      <c r="GI103" s="8" t="str">
        <f ca="1">OFFSET(Database!$F103,0,COLUMN(Database!GF103)*2-12)</f>
        <v>n.r.</v>
      </c>
      <c r="GJ103" s="8" t="str">
        <f ca="1">OFFSET(Database!$F103,0,COLUMN(Database!GG103)*2-12)</f>
        <v>n.r.</v>
      </c>
      <c r="GK103" s="8" t="str">
        <f ca="1">OFFSET(Database!$F103,0,COLUMN(Database!GH103)*2-12)</f>
        <v>n.r.</v>
      </c>
      <c r="GL103" s="8" t="str">
        <f ca="1">OFFSET(Database!$F103,0,COLUMN(Database!GI103)*2-12)</f>
        <v>n.r.</v>
      </c>
      <c r="GM103" s="8" t="str">
        <f ca="1">OFFSET(Database!$F103,0,COLUMN(Database!GJ103)*2-12)</f>
        <v>n.r.</v>
      </c>
      <c r="GN103" s="8" t="str">
        <f ca="1">OFFSET(Database!$F103,0,COLUMN(Database!GK103)*2-12)</f>
        <v>n.r.</v>
      </c>
      <c r="GO103" s="8" t="str">
        <f ca="1">OFFSET(Database!$F103,0,COLUMN(Database!GL103)*2-12)</f>
        <v>n.r.</v>
      </c>
      <c r="GP103" s="8" t="str">
        <f ca="1">OFFSET(Database!$F103,0,COLUMN(Database!GM103)*2-12)</f>
        <v>n.r.</v>
      </c>
    </row>
    <row r="104" spans="1:198" x14ac:dyDescent="0.2">
      <c r="A104" s="50" t="str">
        <f>Database!A104</f>
        <v>arginine</v>
      </c>
      <c r="B104" s="1" t="s">
        <v>885</v>
      </c>
      <c r="C104" s="4" t="str">
        <f>Database!B104</f>
        <v>ɑ</v>
      </c>
      <c r="D104" s="4" t="str">
        <f>Database!C104</f>
        <v>Both</v>
      </c>
      <c r="E104" s="74">
        <f>Database!D104</f>
        <v>48</v>
      </c>
      <c r="F104" s="1" t="s">
        <v>1031</v>
      </c>
      <c r="G104" s="1" t="s">
        <v>1113</v>
      </c>
      <c r="H104" s="1">
        <f>Database!E104</f>
        <v>174.2</v>
      </c>
      <c r="I104" s="8" t="str">
        <f ca="1">OFFSET(Database!$F104,0,COLUMN(Database!F104)*2-12)</f>
        <v>n.r.</v>
      </c>
      <c r="J104" s="8" t="str">
        <f ca="1">OFFSET(Database!$F104,0,COLUMN(Database!G104)*2-12)</f>
        <v>n.r.</v>
      </c>
      <c r="K104" s="8" t="str">
        <f ca="1">OFFSET(Database!$F104,0,COLUMN(Database!H104)*2-12)</f>
        <v>n.r.</v>
      </c>
      <c r="L104" s="8" t="str">
        <f ca="1">OFFSET(Database!$F104,0,COLUMN(Database!I104)*2-12)</f>
        <v>n.r.</v>
      </c>
      <c r="M104" s="8" t="str">
        <f ca="1">OFFSET(Database!$F104,0,COLUMN(Database!J104)*2-12)</f>
        <v>n.r.</v>
      </c>
      <c r="N104" s="8" t="str">
        <f ca="1">OFFSET(Database!$F104,0,COLUMN(Database!K104)*2-12)</f>
        <v>n.r.</v>
      </c>
      <c r="O104" s="8" t="str">
        <f ca="1">OFFSET(Database!$F104,0,COLUMN(Database!L104)*2-12)</f>
        <v>n.r.</v>
      </c>
      <c r="P104" s="8" t="str">
        <f ca="1">OFFSET(Database!$F104,0,COLUMN(Database!M104)*2-12)</f>
        <v>n.r.</v>
      </c>
      <c r="Q104" s="8" t="str">
        <f ca="1">OFFSET(Database!$F104,0,COLUMN(Database!N104)*2-12)</f>
        <v>n.r.</v>
      </c>
      <c r="R104" s="8" t="str">
        <f ca="1">OFFSET(Database!$F104,0,COLUMN(Database!O104)*2-12)</f>
        <v>n.r.</v>
      </c>
      <c r="S104" s="8" t="str">
        <f ca="1">OFFSET(Database!$F104,0,COLUMN(Database!P104)*2-12)</f>
        <v>n.r.</v>
      </c>
      <c r="T104" s="8" t="str">
        <f ca="1">OFFSET(Database!$F104,0,COLUMN(Database!Q104)*2-12)</f>
        <v>n.r.</v>
      </c>
      <c r="U104" s="8" t="str">
        <f ca="1">OFFSET(Database!$F104,0,COLUMN(Database!R104)*2-12)</f>
        <v>n.r.</v>
      </c>
      <c r="V104" s="8" t="str">
        <f ca="1">OFFSET(Database!$F104,0,COLUMN(Database!S104)*2-12)</f>
        <v>n.r.</v>
      </c>
      <c r="W104" s="8" t="str">
        <f ca="1">OFFSET(Database!$F104,0,COLUMN(Database!T104)*2-12)</f>
        <v>n.r.</v>
      </c>
      <c r="X104" s="8" t="str">
        <f ca="1">OFFSET(Database!$F104,0,COLUMN(Database!U104)*2-12)</f>
        <v>n.r.</v>
      </c>
      <c r="Y104" s="8" t="str">
        <f ca="1">OFFSET(Database!$F104,0,COLUMN(Database!V104)*2-12)</f>
        <v>n.r.</v>
      </c>
      <c r="Z104" s="8" t="str">
        <f ca="1">OFFSET(Database!$F104,0,COLUMN(Database!W104)*2-12)</f>
        <v>n.r.</v>
      </c>
      <c r="AA104" s="8" t="str">
        <f ca="1">OFFSET(Database!$F104,0,COLUMN(Database!X104)*2-12)</f>
        <v>n.r.</v>
      </c>
      <c r="AB104" s="8" t="str">
        <f ca="1">OFFSET(Database!$F104,0,COLUMN(Database!Y104)*2-12)</f>
        <v>n.r.</v>
      </c>
      <c r="AC104" s="8" t="str">
        <f ca="1">OFFSET(Database!$F104,0,COLUMN(Database!Z104)*2-12)</f>
        <v>n.r.</v>
      </c>
      <c r="AD104" s="8" t="str">
        <f ca="1">OFFSET(Database!$F104,0,COLUMN(Database!AA104)*2-12)</f>
        <v>n.r.</v>
      </c>
      <c r="AE104" s="8" t="str">
        <f ca="1">OFFSET(Database!$F104,0,COLUMN(Database!AB104)*2-12)</f>
        <v>n.r.</v>
      </c>
      <c r="AF104" s="8" t="str">
        <f ca="1">OFFSET(Database!$F104,0,COLUMN(Database!AC104)*2-12)</f>
        <v>n.r.</v>
      </c>
      <c r="AG104" s="8" t="str">
        <f ca="1">OFFSET(Database!$F104,0,COLUMN(Database!AD104)*2-12)</f>
        <v>n.r.</v>
      </c>
      <c r="AH104" s="8" t="str">
        <f ca="1">OFFSET(Database!$F104,0,COLUMN(Database!AE104)*2-12)</f>
        <v>n.r.</v>
      </c>
      <c r="AI104" s="8" t="str">
        <f ca="1">OFFSET(Database!$F104,0,COLUMN(Database!AF104)*2-12)</f>
        <v>n.r.</v>
      </c>
      <c r="AJ104" s="8" t="str">
        <f ca="1">OFFSET(Database!$F104,0,COLUMN(Database!AG104)*2-12)</f>
        <v>n.r.</v>
      </c>
      <c r="AK104" s="8" t="str">
        <f ca="1">OFFSET(Database!$F104,0,COLUMN(Database!AH104)*2-12)</f>
        <v>n.r.</v>
      </c>
      <c r="AL104" s="8" t="str">
        <f ca="1">OFFSET(Database!$F104,0,COLUMN(Database!AI104)*2-12)</f>
        <v>n.r.</v>
      </c>
      <c r="AM104" s="8" t="str">
        <f ca="1">OFFSET(Database!$F104,0,COLUMN(Database!AJ104)*2-12)</f>
        <v>n.r.</v>
      </c>
      <c r="AN104" s="8" t="str">
        <f ca="1">OFFSET(Database!$F104,0,COLUMN(Database!AK104)*2-12)</f>
        <v>n.r.</v>
      </c>
      <c r="AO104" s="8" t="str">
        <f ca="1">OFFSET(Database!$F104,0,COLUMN(Database!AL104)*2-12)</f>
        <v>n.r.</v>
      </c>
      <c r="AP104" s="8" t="str">
        <f ca="1">OFFSET(Database!$F104,0,COLUMN(Database!AM104)*2-12)</f>
        <v>n.r.</v>
      </c>
      <c r="AQ104" s="8" t="str">
        <f ca="1">OFFSET(Database!$F104,0,COLUMN(Database!AN104)*2-12)</f>
        <v>n.r.</v>
      </c>
      <c r="AR104" s="8" t="str">
        <f ca="1">OFFSET(Database!$F104,0,COLUMN(Database!AO104)*2-12)</f>
        <v>n.r.</v>
      </c>
      <c r="AS104" s="8" t="str">
        <f ca="1">OFFSET(Database!$F104,0,COLUMN(Database!AP104)*2-12)</f>
        <v>n.r.</v>
      </c>
      <c r="AT104" s="8" t="str">
        <f ca="1">OFFSET(Database!$F104,0,COLUMN(Database!AQ104)*2-12)</f>
        <v>n.r.</v>
      </c>
      <c r="AU104" s="8" t="str">
        <f ca="1">OFFSET(Database!$F104,0,COLUMN(Database!AR104)*2-12)</f>
        <v>n.r.</v>
      </c>
      <c r="AV104" s="8" t="str">
        <f ca="1">OFFSET(Database!$F104,0,COLUMN(Database!AS104)*2-12)</f>
        <v>n.r.</v>
      </c>
      <c r="AW104" s="8" t="str">
        <f ca="1">OFFSET(Database!$F104,0,COLUMN(Database!AT104)*2-12)</f>
        <v>n.r.</v>
      </c>
      <c r="AX104" s="8" t="str">
        <f ca="1">OFFSET(Database!$F104,0,COLUMN(Database!AU104)*2-12)</f>
        <v>n.r.</v>
      </c>
      <c r="AY104" s="8" t="str">
        <f ca="1">OFFSET(Database!$F104,0,COLUMN(Database!AV104)*2-12)</f>
        <v>n.r.</v>
      </c>
      <c r="AZ104" s="8" t="str">
        <f ca="1">OFFSET(Database!$F104,0,COLUMN(Database!AW104)*2-12)</f>
        <v>n.r.</v>
      </c>
      <c r="BA104" s="8" t="str">
        <f ca="1">OFFSET(Database!$F104,0,COLUMN(Database!AX104)*2-12)</f>
        <v>n.r.</v>
      </c>
      <c r="BB104" s="8" t="str">
        <f ca="1">OFFSET(Database!$F104,0,COLUMN(Database!AY104)*2-12)</f>
        <v>n.r.</v>
      </c>
      <c r="BC104" s="8" t="str">
        <f ca="1">OFFSET(Database!$F104,0,COLUMN(Database!AZ104)*2-12)</f>
        <v>n.r.</v>
      </c>
      <c r="BD104" s="8" t="str">
        <f ca="1">OFFSET(Database!$F104,0,COLUMN(Database!BA104)*2-12)</f>
        <v>n.r.</v>
      </c>
      <c r="BE104" s="8" t="str">
        <f ca="1">OFFSET(Database!$F104,0,COLUMN(Database!BB104)*2-12)</f>
        <v>n.r.</v>
      </c>
      <c r="BF104" s="8" t="str">
        <f ca="1">OFFSET(Database!$F104,0,COLUMN(Database!BC104)*2-12)</f>
        <v>n.r.</v>
      </c>
      <c r="BG104" s="8" t="str">
        <f ca="1">OFFSET(Database!$F104,0,COLUMN(Database!BD104)*2-12)</f>
        <v>n.r.</v>
      </c>
      <c r="BH104" s="8" t="str">
        <f ca="1">OFFSET(Database!$F104,0,COLUMN(Database!BE104)*2-12)</f>
        <v>n.r.</v>
      </c>
      <c r="BI104" s="8" t="str">
        <f ca="1">OFFSET(Database!$F104,0,COLUMN(Database!BF104)*2-12)</f>
        <v>n.r.</v>
      </c>
      <c r="BJ104" s="8" t="str">
        <f ca="1">OFFSET(Database!$F104,0,COLUMN(Database!BG104)*2-12)</f>
        <v>n.r.</v>
      </c>
      <c r="BK104" s="8" t="str">
        <f ca="1">OFFSET(Database!$F104,0,COLUMN(Database!BH104)*2-12)</f>
        <v>n.r.</v>
      </c>
      <c r="BL104" s="8" t="str">
        <f ca="1">OFFSET(Database!$F104,0,COLUMN(Database!BI104)*2-12)</f>
        <v>n.r.</v>
      </c>
      <c r="BM104" s="8" t="str">
        <f ca="1">OFFSET(Database!$F104,0,COLUMN(Database!BJ104)*2-12)</f>
        <v>n.r.</v>
      </c>
      <c r="BN104" s="8" t="str">
        <f ca="1">OFFSET(Database!$F104,0,COLUMN(Database!BK104)*2-12)</f>
        <v>n.r.</v>
      </c>
      <c r="BO104" s="8" t="str">
        <f ca="1">OFFSET(Database!$F104,0,COLUMN(Database!BL104)*2-12)</f>
        <v>n.r.</v>
      </c>
      <c r="BP104" s="8" t="str">
        <f ca="1">OFFSET(Database!$F104,0,COLUMN(Database!BM104)*2-12)</f>
        <v>n.r.</v>
      </c>
      <c r="BQ104" s="8" t="str">
        <f ca="1">OFFSET(Database!$F104,0,COLUMN(Database!BN104)*2-12)</f>
        <v>n.r.</v>
      </c>
      <c r="BR104" s="8" t="str">
        <f ca="1">OFFSET(Database!$F104,0,COLUMN(Database!BO104)*2-12)</f>
        <v>n.r.</v>
      </c>
      <c r="BS104" s="8" t="str">
        <f ca="1">OFFSET(Database!$F104,0,COLUMN(Database!BP104)*2-12)</f>
        <v>n.r.</v>
      </c>
      <c r="BT104" s="8" t="str">
        <f ca="1">OFFSET(Database!$F104,0,COLUMN(Database!BQ104)*2-12)</f>
        <v>n.r.</v>
      </c>
      <c r="BU104" s="8" t="str">
        <f ca="1">OFFSET(Database!$F104,0,COLUMN(Database!BR104)*2-12)</f>
        <v>n.r.</v>
      </c>
      <c r="BV104" s="8" t="str">
        <f ca="1">OFFSET(Database!$F104,0,COLUMN(Database!BS104)*2-12)</f>
        <v>n.r.</v>
      </c>
      <c r="BW104" s="8" t="str">
        <f ca="1">OFFSET(Database!$F104,0,COLUMN(Database!BT104)*2-12)</f>
        <v>n.r.</v>
      </c>
      <c r="BX104" s="8" t="str">
        <f ca="1">OFFSET(Database!$F104,0,COLUMN(Database!BU104)*2-12)</f>
        <v>n.r.</v>
      </c>
      <c r="BY104" s="8" t="str">
        <f ca="1">OFFSET(Database!$F104,0,COLUMN(Database!BV104)*2-12)</f>
        <v>n.r.</v>
      </c>
      <c r="BZ104" s="8" t="str">
        <f ca="1">OFFSET(Database!$F104,0,COLUMN(Database!BW104)*2-12)</f>
        <v>n.r.</v>
      </c>
      <c r="CA104" s="8" t="str">
        <f ca="1">OFFSET(Database!$F104,0,COLUMN(Database!BX104)*2-12)</f>
        <v>n.r.</v>
      </c>
      <c r="CB104" s="8" t="str">
        <f ca="1">OFFSET(Database!$F104,0,COLUMN(Database!BY104)*2-12)</f>
        <v>n.r.</v>
      </c>
      <c r="CC104" s="8" t="str">
        <f ca="1">OFFSET(Database!$F104,0,COLUMN(Database!BZ104)*2-12)</f>
        <v>n.r.</v>
      </c>
      <c r="CD104" s="8" t="str">
        <f ca="1">OFFSET(Database!$F104,0,COLUMN(Database!CA104)*2-12)</f>
        <v>n.r.</v>
      </c>
      <c r="CE104" s="8" t="str">
        <f ca="1">OFFSET(Database!$F104,0,COLUMN(Database!CB104)*2-12)</f>
        <v>n.r.</v>
      </c>
      <c r="CF104" s="8" t="str">
        <f ca="1">OFFSET(Database!$F104,0,COLUMN(Database!CC104)*2-12)</f>
        <v>n.r.</v>
      </c>
      <c r="CG104" s="8" t="str">
        <f ca="1">OFFSET(Database!$F104,0,COLUMN(Database!CD104)*2-12)</f>
        <v>n.r.</v>
      </c>
      <c r="CH104" s="8" t="str">
        <f ca="1">OFFSET(Database!$F104,0,COLUMN(Database!CE104)*2-12)</f>
        <v>n.r.</v>
      </c>
      <c r="CI104" s="8" t="str">
        <f ca="1">OFFSET(Database!$F104,0,COLUMN(Database!CF104)*2-12)</f>
        <v>n.r.</v>
      </c>
      <c r="CJ104" s="8" t="str">
        <f ca="1">OFFSET(Database!$F104,0,COLUMN(Database!CG104)*2-12)</f>
        <v>n.r.</v>
      </c>
      <c r="CK104" s="8" t="str">
        <f ca="1">OFFSET(Database!$F104,0,COLUMN(Database!CH104)*2-12)</f>
        <v>n.r.</v>
      </c>
      <c r="CL104" s="8" t="str">
        <f ca="1">OFFSET(Database!$F104,0,COLUMN(Database!CI104)*2-12)</f>
        <v>n.r.</v>
      </c>
      <c r="CM104" s="8" t="str">
        <f ca="1">OFFSET(Database!$F104,0,COLUMN(Database!CJ104)*2-12)</f>
        <v>n.r.</v>
      </c>
      <c r="CN104" s="8" t="str">
        <f ca="1">OFFSET(Database!$F104,0,COLUMN(Database!CK104)*2-12)</f>
        <v>n.r.</v>
      </c>
      <c r="CO104" s="8" t="str">
        <f ca="1">OFFSET(Database!$F104,0,COLUMN(Database!CL104)*2-12)</f>
        <v>n.r.</v>
      </c>
      <c r="CP104" s="8" t="str">
        <f ca="1">OFFSET(Database!$F104,0,COLUMN(Database!CM104)*2-12)</f>
        <v>n.r.</v>
      </c>
      <c r="CQ104" s="8" t="str">
        <f ca="1">OFFSET(Database!$F104,0,COLUMN(Database!CN104)*2-12)</f>
        <v>n.r.</v>
      </c>
      <c r="CR104" s="8" t="str">
        <f ca="1">OFFSET(Database!$F104,0,COLUMN(Database!CO104)*2-12)</f>
        <v>n.r.</v>
      </c>
      <c r="CS104" s="8" t="str">
        <f ca="1">OFFSET(Database!$F104,0,COLUMN(Database!CP104)*2-12)</f>
        <v>n.r.</v>
      </c>
      <c r="CT104" s="8" t="str">
        <f ca="1">OFFSET(Database!$F104,0,COLUMN(Database!CQ104)*2-12)</f>
        <v>n.r.</v>
      </c>
      <c r="CU104" s="8" t="str">
        <f ca="1">OFFSET(Database!$F104,0,COLUMN(Database!CR104)*2-12)</f>
        <v>n.r.</v>
      </c>
      <c r="CV104" s="8" t="str">
        <f ca="1">OFFSET(Database!$F104,0,COLUMN(Database!CS104)*2-12)</f>
        <v>n.r.</v>
      </c>
      <c r="CW104" s="8" t="str">
        <f ca="1">OFFSET(Database!$F104,0,COLUMN(Database!CT104)*2-12)</f>
        <v>n.r.</v>
      </c>
      <c r="CX104" s="8" t="str">
        <f ca="1">OFFSET(Database!$F104,0,COLUMN(Database!CU104)*2-12)</f>
        <v>n.r.</v>
      </c>
      <c r="CY104" s="8" t="str">
        <f ca="1">OFFSET(Database!$F104,0,COLUMN(Database!CV104)*2-12)</f>
        <v>n.r.</v>
      </c>
      <c r="CZ104" s="8" t="str">
        <f ca="1">OFFSET(Database!$F104,0,COLUMN(Database!CW104)*2-12)</f>
        <v>n.r.</v>
      </c>
      <c r="DA104" s="8" t="str">
        <f ca="1">OFFSET(Database!$F104,0,COLUMN(Database!CX104)*2-12)</f>
        <v>n.r.</v>
      </c>
      <c r="DB104" s="8" t="str">
        <f ca="1">OFFSET(Database!$F104,0,COLUMN(Database!CY104)*2-12)</f>
        <v>n.r.</v>
      </c>
      <c r="DC104" s="8" t="str">
        <f ca="1">OFFSET(Database!$F104,0,COLUMN(Database!CZ104)*2-12)</f>
        <v>n.r.</v>
      </c>
      <c r="DD104" s="8" t="str">
        <f ca="1">OFFSET(Database!$F104,0,COLUMN(Database!DA104)*2-12)</f>
        <v>n.r.</v>
      </c>
      <c r="DE104" s="8" t="str">
        <f ca="1">OFFSET(Database!$F104,0,COLUMN(Database!DB104)*2-12)</f>
        <v>n.r.</v>
      </c>
      <c r="DF104" s="8" t="str">
        <f ca="1">OFFSET(Database!$F104,0,COLUMN(Database!DC104)*2-12)</f>
        <v>n.r.</v>
      </c>
      <c r="DG104" s="8" t="str">
        <f ca="1">OFFSET(Database!$F104,0,COLUMN(Database!DD104)*2-12)</f>
        <v>n.r.</v>
      </c>
      <c r="DH104" s="8" t="str">
        <f ca="1">OFFSET(Database!$F104,0,COLUMN(Database!DE104)*2-12)</f>
        <v>n.r.</v>
      </c>
      <c r="DI104" s="8" t="str">
        <f ca="1">OFFSET(Database!$F104,0,COLUMN(Database!DF104)*2-12)</f>
        <v>n.r.</v>
      </c>
      <c r="DJ104" s="8" t="str">
        <f ca="1">OFFSET(Database!$F104,0,COLUMN(Database!DG104)*2-12)</f>
        <v>n.r.</v>
      </c>
      <c r="DK104" s="8" t="str">
        <f ca="1">OFFSET(Database!$F104,0,COLUMN(Database!DH104)*2-12)</f>
        <v>n.r.</v>
      </c>
      <c r="DL104" s="8" t="str">
        <f ca="1">OFFSET(Database!$F104,0,COLUMN(Database!DI104)*2-12)</f>
        <v>n.r.</v>
      </c>
      <c r="DM104" s="8" t="str">
        <f ca="1">OFFSET(Database!$F104,0,COLUMN(Database!DJ104)*2-12)</f>
        <v>n.r.</v>
      </c>
      <c r="DN104" s="8" t="str">
        <f ca="1">OFFSET(Database!$F104,0,COLUMN(Database!DK104)*2-12)</f>
        <v>n.r.</v>
      </c>
      <c r="DO104" s="8" t="str">
        <f ca="1">OFFSET(Database!$F104,0,COLUMN(Database!DL104)*2-12)</f>
        <v>n.r.</v>
      </c>
      <c r="DP104" s="8" t="str">
        <f ca="1">OFFSET(Database!$F104,0,COLUMN(Database!DM104)*2-12)</f>
        <v>n.r.</v>
      </c>
      <c r="DQ104" s="8" t="str">
        <f ca="1">OFFSET(Database!$F104,0,COLUMN(Database!DN104)*2-12)</f>
        <v>n.r.</v>
      </c>
      <c r="DR104" s="8" t="str">
        <f ca="1">OFFSET(Database!$F104,0,COLUMN(Database!DO104)*2-12)</f>
        <v>n.r.</v>
      </c>
      <c r="DS104" s="8" t="str">
        <f ca="1">OFFSET(Database!$F104,0,COLUMN(Database!DP104)*2-12)</f>
        <v>n.r.</v>
      </c>
      <c r="DT104" s="8" t="str">
        <f ca="1">OFFSET(Database!$F104,0,COLUMN(Database!DQ104)*2-12)</f>
        <v>n.r.</v>
      </c>
      <c r="DU104" s="8" t="str">
        <f ca="1">OFFSET(Database!$F104,0,COLUMN(Database!DR104)*2-12)</f>
        <v>n.r.</v>
      </c>
      <c r="DV104" s="8" t="str">
        <f ca="1">OFFSET(Database!$F104,0,COLUMN(Database!DS104)*2-12)</f>
        <v>n.r.</v>
      </c>
      <c r="DW104" s="8" t="str">
        <f ca="1">OFFSET(Database!$F104,0,COLUMN(Database!DT104)*2-12)</f>
        <v>n.r.</v>
      </c>
      <c r="DX104" s="8" t="str">
        <f ca="1">OFFSET(Database!$F104,0,COLUMN(Database!DU104)*2-12)</f>
        <v>n.r.</v>
      </c>
      <c r="DY104" s="8" t="str">
        <f ca="1">OFFSET(Database!$F104,0,COLUMN(Database!DV104)*2-12)</f>
        <v>n.r.</v>
      </c>
      <c r="DZ104" s="8" t="str">
        <f ca="1">OFFSET(Database!$F104,0,COLUMN(Database!DW104)*2-12)</f>
        <v>n.r.</v>
      </c>
      <c r="EA104" s="8" t="str">
        <f ca="1">OFFSET(Database!$F104,0,COLUMN(Database!DX104)*2-12)</f>
        <v>n.r.</v>
      </c>
      <c r="EB104" s="8" t="str">
        <f ca="1">OFFSET(Database!$F104,0,COLUMN(Database!DY104)*2-12)</f>
        <v>n.r.</v>
      </c>
      <c r="EC104" s="8" t="str">
        <f ca="1">OFFSET(Database!$F104,0,COLUMN(Database!DZ104)*2-12)</f>
        <v>n.r.</v>
      </c>
      <c r="ED104" s="8">
        <f ca="1">OFFSET(Database!$F104,0,COLUMN(Database!EA104)*2-12)</f>
        <v>0.45</v>
      </c>
      <c r="EE104" s="8">
        <f ca="1">OFFSET(Database!$F104,0,COLUMN(Database!EB104)*2-12)</f>
        <v>590</v>
      </c>
      <c r="EF104" s="8">
        <f ca="1">OFFSET(Database!$F104,0,COLUMN(Database!EC104)*2-12)</f>
        <v>100</v>
      </c>
      <c r="EG104" s="8">
        <f ca="1">OFFSET(Database!$F104,0,COLUMN(Database!ED104)*2-12)</f>
        <v>280</v>
      </c>
      <c r="EH104" s="8">
        <f ca="1">OFFSET(Database!$F104,0,COLUMN(Database!EE104)*2-12)</f>
        <v>60</v>
      </c>
      <c r="EI104" s="8">
        <f ca="1">OFFSET(Database!$F104,0,COLUMN(Database!EF104)*2-12)</f>
        <v>0.13600000000000001</v>
      </c>
      <c r="EJ104" s="8">
        <f ca="1">OFFSET(Database!$F104,0,COLUMN(Database!EG104)*2-12)</f>
        <v>0.108</v>
      </c>
      <c r="EK104" s="8">
        <f ca="1">OFFSET(Database!$F104,0,COLUMN(Database!EH104)*2-12)</f>
        <v>0.158</v>
      </c>
      <c r="EL104" s="8">
        <f ca="1">OFFSET(Database!$F104,0,COLUMN(Database!EI104)*2-12)</f>
        <v>0.63100000000000001</v>
      </c>
      <c r="EM104" s="8">
        <f ca="1">OFFSET(Database!$F104,0,COLUMN(Database!EJ104)*2-12)</f>
        <v>0.41099999999999998</v>
      </c>
      <c r="EN104" s="8">
        <f ca="1">OFFSET(Database!$F104,0,COLUMN(Database!EK104)*2-12)</f>
        <v>0.27600000000000002</v>
      </c>
      <c r="EO104" s="8">
        <f ca="1">OFFSET(Database!$F104,0,COLUMN(Database!EL104)*2-12)</f>
        <v>0.38900000000000001</v>
      </c>
      <c r="EP104" s="8">
        <f ca="1">OFFSET(Database!$F104,0,COLUMN(Database!EM104)*2-12)</f>
        <v>0.38200000000000001</v>
      </c>
      <c r="EQ104" s="8">
        <f ca="1">OFFSET(Database!$F104,0,COLUMN(Database!EN104)*2-12)</f>
        <v>15.36</v>
      </c>
      <c r="ER104" s="8" t="str">
        <f ca="1">OFFSET(Database!$F104,0,COLUMN(Database!EO104)*2-12)</f>
        <v>n.r.</v>
      </c>
      <c r="ES104" s="8" t="str">
        <f ca="1">OFFSET(Database!$F104,0,COLUMN(Database!EP104)*2-12)</f>
        <v>n.r.</v>
      </c>
      <c r="ET104" s="8" t="str">
        <f ca="1">OFFSET(Database!$F104,0,COLUMN(Database!EQ104)*2-12)</f>
        <v>n.r.</v>
      </c>
      <c r="EU104" s="8" t="str">
        <f ca="1">OFFSET(Database!$F104,0,COLUMN(Database!ER104)*2-12)</f>
        <v>n.r.</v>
      </c>
      <c r="EV104" s="8" t="str">
        <f ca="1">OFFSET(Database!$F104,0,COLUMN(Database!ES104)*2-12)</f>
        <v>n.r.</v>
      </c>
      <c r="EW104" s="8">
        <f ca="1">OFFSET(Database!$F104,0,COLUMN(Database!ET104)*2-12)</f>
        <v>70200</v>
      </c>
      <c r="EX104" s="8">
        <f ca="1">OFFSET(Database!$F104,0,COLUMN(Database!EU104)*2-12)</f>
        <v>226100</v>
      </c>
      <c r="EY104" s="8">
        <f ca="1">OFFSET(Database!$F104,0,COLUMN(Database!EV104)*2-12)</f>
        <v>58500</v>
      </c>
      <c r="EZ104" s="8">
        <f ca="1">OFFSET(Database!$F104,0,COLUMN(Database!EW104)*2-12)</f>
        <v>98100</v>
      </c>
      <c r="FA104" s="8">
        <f ca="1">OFFSET(Database!$F104,0,COLUMN(Database!EX104)*2-12)</f>
        <v>251500</v>
      </c>
      <c r="FB104" s="8" t="str">
        <f ca="1">OFFSET(Database!$F104,0,COLUMN(Database!EY104)*2-12)</f>
        <v>n.r.</v>
      </c>
      <c r="FC104" s="8" t="str">
        <f ca="1">OFFSET(Database!$F104,0,COLUMN(Database!EZ104)*2-12)</f>
        <v>n.r.</v>
      </c>
      <c r="FD104" s="8" t="str">
        <f ca="1">OFFSET(Database!$F104,0,COLUMN(Database!FA104)*2-12)</f>
        <v>n.r.</v>
      </c>
      <c r="FE104" s="8" t="str">
        <f ca="1">OFFSET(Database!$F104,0,COLUMN(Database!FB104)*2-12)</f>
        <v>n.r.</v>
      </c>
      <c r="FF104" s="8" t="str">
        <f ca="1">OFFSET(Database!$F104,0,COLUMN(Database!FC104)*2-12)</f>
        <v>n.r.</v>
      </c>
      <c r="FG104" s="8">
        <f ca="1">OFFSET(Database!$F104,0,COLUMN(Database!FD104)*2-12)</f>
        <v>112514.35132032148</v>
      </c>
      <c r="FH104" s="8" t="str">
        <f ca="1">OFFSET(Database!$F104,0,COLUMN(Database!FE104)*2-12)</f>
        <v>n.r.</v>
      </c>
      <c r="FI104" s="8" t="str">
        <f ca="1">OFFSET(Database!$F104,0,COLUMN(Database!FF104)*2-12)</f>
        <v>n.r.</v>
      </c>
      <c r="FJ104" s="8" t="str">
        <f ca="1">OFFSET(Database!$F104,0,COLUMN(Database!FG104)*2-12)</f>
        <v>n.r.</v>
      </c>
      <c r="FK104" s="8">
        <f ca="1">OFFSET(Database!$F104,0,COLUMN(Database!FH104)*2-12)</f>
        <v>405281.28587830084</v>
      </c>
      <c r="FL104" s="8">
        <f ca="1">OFFSET(Database!$F104,0,COLUMN(Database!FI104)*2-12)</f>
        <v>281859.93111366249</v>
      </c>
      <c r="FM104" s="8">
        <f ca="1">OFFSET(Database!$F104,0,COLUMN(Database!FJ104)*2-12)</f>
        <v>158438.57634902411</v>
      </c>
      <c r="FN104" s="8">
        <f ca="1">OFFSET(Database!$F104,0,COLUMN(Database!FK104)*2-12)</f>
        <v>895522.38805970154</v>
      </c>
      <c r="FO104" s="8">
        <f ca="1">OFFSET(Database!$F104,0,COLUMN(Database!FL104)*2-12)</f>
        <v>325487.94489092997</v>
      </c>
      <c r="FP104" s="8">
        <f ca="1">OFFSET(Database!$F104,0,COLUMN(Database!FM104)*2-12)</f>
        <v>371412.16991963261</v>
      </c>
      <c r="FQ104" s="8">
        <f ca="1">OFFSET(Database!$F104,0,COLUMN(Database!FN104)*2-12)</f>
        <v>10275.545350172217</v>
      </c>
      <c r="FR104" s="8">
        <f ca="1">OFFSET(Database!$F104,0,COLUMN(Database!FO104)*2-12)</f>
        <v>6199.7703788748568</v>
      </c>
      <c r="FS104" s="8">
        <f ca="1">OFFSET(Database!$F104,0,COLUMN(Database!FP104)*2-12)</f>
        <v>6659.0126291618835</v>
      </c>
      <c r="FT104" s="8">
        <f ca="1">OFFSET(Database!$F104,0,COLUMN(Database!FQ104)*2-12)</f>
        <v>7290.4707233065446</v>
      </c>
      <c r="FU104" s="8">
        <f ca="1">OFFSET(Database!$F104,0,COLUMN(Database!FR104)*2-12)</f>
        <v>4376</v>
      </c>
      <c r="FV104" s="8">
        <f ca="1">OFFSET(Database!$F104,0,COLUMN(Database!FS104)*2-12)</f>
        <v>5991</v>
      </c>
      <c r="FW104" s="8">
        <f ca="1">OFFSET(Database!$F104,0,COLUMN(Database!FT104)*2-12)</f>
        <v>2557</v>
      </c>
      <c r="FX104" s="8">
        <f ca="1">OFFSET(Database!$F104,0,COLUMN(Database!FU104)*2-12)</f>
        <v>5000</v>
      </c>
      <c r="FY104" s="8">
        <f ca="1">OFFSET(Database!$F104,0,COLUMN(Database!FV104)*2-12)</f>
        <v>5388</v>
      </c>
      <c r="FZ104" s="8">
        <f ca="1">OFFSET(Database!$F104,0,COLUMN(Database!FW104)*2-12)</f>
        <v>7088</v>
      </c>
      <c r="GA104" s="8">
        <f ca="1">OFFSET(Database!$F104,0,COLUMN(Database!FX104)*2-12)</f>
        <v>6701</v>
      </c>
      <c r="GB104" s="8">
        <f ca="1">OFFSET(Database!$F104,0,COLUMN(Database!FY104)*2-12)</f>
        <v>6123</v>
      </c>
      <c r="GC104" s="8">
        <f ca="1">OFFSET(Database!$F104,0,COLUMN(Database!FZ104)*2-12)</f>
        <v>4434</v>
      </c>
      <c r="GD104" s="8">
        <f ca="1">OFFSET(Database!$F104,0,COLUMN(Database!GA104)*2-12)</f>
        <v>3808</v>
      </c>
      <c r="GE104" s="8">
        <f ca="1">OFFSET(Database!$F104,0,COLUMN(Database!GB104)*2-12)</f>
        <v>3327</v>
      </c>
      <c r="GF104" s="8">
        <f ca="1">OFFSET(Database!$F104,0,COLUMN(Database!GC104)*2-12)</f>
        <v>4070</v>
      </c>
      <c r="GG104" s="8" t="str">
        <f ca="1">OFFSET(Database!$F104,0,COLUMN(Database!GD104)*2-12)</f>
        <v>l.o.q.</v>
      </c>
      <c r="GH104" s="8">
        <f ca="1">OFFSET(Database!$F104,0,COLUMN(Database!GE104)*2-12)</f>
        <v>1435.1320321469577</v>
      </c>
      <c r="GI104" s="8">
        <f ca="1">OFFSET(Database!$F104,0,COLUMN(Database!GF104)*2-12)</f>
        <v>7118.2548794489094</v>
      </c>
      <c r="GJ104" s="8">
        <f ca="1">OFFSET(Database!$F104,0,COLUMN(Database!GG104)*2-12)</f>
        <v>5361.6532721010335</v>
      </c>
      <c r="GK104" s="8">
        <f ca="1">OFFSET(Database!$F104,0,COLUMN(Database!GH104)*2-12)</f>
        <v>43168.771526980483</v>
      </c>
      <c r="GL104" s="8" t="str">
        <f ca="1">OFFSET(Database!$F104,0,COLUMN(Database!GI104)*2-12)</f>
        <v>l.o.d.</v>
      </c>
      <c r="GM104" s="8">
        <f ca="1">OFFSET(Database!$F104,0,COLUMN(Database!GJ104)*2-12)</f>
        <v>3609.6440872560279</v>
      </c>
      <c r="GN104" s="8">
        <f ca="1">OFFSET(Database!$F104,0,COLUMN(Database!GK104)*2-12)</f>
        <v>105051.6647531573</v>
      </c>
      <c r="GO104" s="8" t="str">
        <f ca="1">OFFSET(Database!$F104,0,COLUMN(Database!GL104)*2-12)</f>
        <v>n.r.</v>
      </c>
      <c r="GP104" s="8" t="str">
        <f ca="1">OFFSET(Database!$F104,0,COLUMN(Database!GM104)*2-12)</f>
        <v>n.r.</v>
      </c>
    </row>
    <row r="105" spans="1:198" x14ac:dyDescent="0.2">
      <c r="A105" s="50" t="str">
        <f>Database!A105</f>
        <v>D-phenylalanine</v>
      </c>
      <c r="B105" s="1" t="s">
        <v>1055</v>
      </c>
      <c r="C105" s="4" t="str">
        <f>Database!B105</f>
        <v>ɑ</v>
      </c>
      <c r="D105" s="4" t="str">
        <f>Database!C105</f>
        <v>D</v>
      </c>
      <c r="E105" s="74">
        <f>Database!D105</f>
        <v>10</v>
      </c>
      <c r="F105" s="1" t="s">
        <v>977</v>
      </c>
      <c r="G105" s="1">
        <v>71567</v>
      </c>
      <c r="H105" s="1">
        <f>Database!E105</f>
        <v>165.19</v>
      </c>
      <c r="I105" s="8" t="str">
        <f ca="1">OFFSET(Database!$F105,0,COLUMN(Database!F105)*2-12)</f>
        <v>n.r.</v>
      </c>
      <c r="J105" s="8" t="str">
        <f ca="1">OFFSET(Database!$F105,0,COLUMN(Database!G105)*2-12)</f>
        <v>n.r.</v>
      </c>
      <c r="K105" s="8" t="str">
        <f ca="1">OFFSET(Database!$F105,0,COLUMN(Database!H105)*2-12)</f>
        <v>n.r.</v>
      </c>
      <c r="L105" s="8" t="str">
        <f ca="1">OFFSET(Database!$F105,0,COLUMN(Database!I105)*2-12)</f>
        <v>n.r.</v>
      </c>
      <c r="M105" s="8" t="str">
        <f ca="1">OFFSET(Database!$F105,0,COLUMN(Database!J105)*2-12)</f>
        <v>n.r.</v>
      </c>
      <c r="N105" s="8" t="str">
        <f ca="1">OFFSET(Database!$F105,0,COLUMN(Database!K105)*2-12)</f>
        <v>n.r.</v>
      </c>
      <c r="O105" s="8" t="str">
        <f ca="1">OFFSET(Database!$F105,0,COLUMN(Database!L105)*2-12)</f>
        <v>n.r.</v>
      </c>
      <c r="P105" s="8" t="str">
        <f ca="1">OFFSET(Database!$F105,0,COLUMN(Database!M105)*2-12)</f>
        <v>n.r.</v>
      </c>
      <c r="Q105" s="8" t="str">
        <f ca="1">OFFSET(Database!$F105,0,COLUMN(Database!N105)*2-12)</f>
        <v>n.r.</v>
      </c>
      <c r="R105" s="8" t="str">
        <f ca="1">OFFSET(Database!$F105,0,COLUMN(Database!O105)*2-12)</f>
        <v>n.r.</v>
      </c>
      <c r="S105" s="8" t="str">
        <f ca="1">OFFSET(Database!$F105,0,COLUMN(Database!P105)*2-12)</f>
        <v>n.r.</v>
      </c>
      <c r="T105" s="8" t="str">
        <f ca="1">OFFSET(Database!$F105,0,COLUMN(Database!Q105)*2-12)</f>
        <v>n.r.</v>
      </c>
      <c r="U105" s="8" t="str">
        <f ca="1">OFFSET(Database!$F105,0,COLUMN(Database!R105)*2-12)</f>
        <v>n.r.</v>
      </c>
      <c r="V105" s="8" t="str">
        <f ca="1">OFFSET(Database!$F105,0,COLUMN(Database!S105)*2-12)</f>
        <v>n.r.</v>
      </c>
      <c r="W105" s="8" t="str">
        <f ca="1">OFFSET(Database!$F105,0,COLUMN(Database!T105)*2-12)</f>
        <v>n.r.</v>
      </c>
      <c r="X105" s="8" t="str">
        <f ca="1">OFFSET(Database!$F105,0,COLUMN(Database!U105)*2-12)</f>
        <v>n.r.</v>
      </c>
      <c r="Y105" s="8" t="str">
        <f ca="1">OFFSET(Database!$F105,0,COLUMN(Database!V105)*2-12)</f>
        <v>n.r.</v>
      </c>
      <c r="Z105" s="8" t="str">
        <f ca="1">OFFSET(Database!$F105,0,COLUMN(Database!W105)*2-12)</f>
        <v>n.r.</v>
      </c>
      <c r="AA105" s="8" t="str">
        <f ca="1">OFFSET(Database!$F105,0,COLUMN(Database!X105)*2-12)</f>
        <v>n.r.</v>
      </c>
      <c r="AB105" s="8" t="str">
        <f ca="1">OFFSET(Database!$F105,0,COLUMN(Database!Y105)*2-12)</f>
        <v>n.r.</v>
      </c>
      <c r="AC105" s="8" t="str">
        <f ca="1">OFFSET(Database!$F105,0,COLUMN(Database!Z105)*2-12)</f>
        <v>n.r.</v>
      </c>
      <c r="AD105" s="8" t="str">
        <f ca="1">OFFSET(Database!$F105,0,COLUMN(Database!AA105)*2-12)</f>
        <v>n.r.</v>
      </c>
      <c r="AE105" s="8" t="str">
        <f ca="1">OFFSET(Database!$F105,0,COLUMN(Database!AB105)*2-12)</f>
        <v>n.r.</v>
      </c>
      <c r="AF105" s="8" t="str">
        <f ca="1">OFFSET(Database!$F105,0,COLUMN(Database!AC105)*2-12)</f>
        <v>n.r.</v>
      </c>
      <c r="AG105" s="8" t="str">
        <f ca="1">OFFSET(Database!$F105,0,COLUMN(Database!AD105)*2-12)</f>
        <v>n.r.</v>
      </c>
      <c r="AH105" s="8" t="str">
        <f ca="1">OFFSET(Database!$F105,0,COLUMN(Database!AE105)*2-12)</f>
        <v>n.r.</v>
      </c>
      <c r="AI105" s="8" t="str">
        <f ca="1">OFFSET(Database!$F105,0,COLUMN(Database!AF105)*2-12)</f>
        <v>n.r.</v>
      </c>
      <c r="AJ105" s="8" t="str">
        <f ca="1">OFFSET(Database!$F105,0,COLUMN(Database!AG105)*2-12)</f>
        <v>n.r.</v>
      </c>
      <c r="AK105" s="8" t="str">
        <f ca="1">OFFSET(Database!$F105,0,COLUMN(Database!AH105)*2-12)</f>
        <v>n.r.</v>
      </c>
      <c r="AL105" s="8" t="str">
        <f ca="1">OFFSET(Database!$F105,0,COLUMN(Database!AI105)*2-12)</f>
        <v>n.r.</v>
      </c>
      <c r="AM105" s="8" t="str">
        <f ca="1">OFFSET(Database!$F105,0,COLUMN(Database!AJ105)*2-12)</f>
        <v>n.r.</v>
      </c>
      <c r="AN105" s="8" t="str">
        <f ca="1">OFFSET(Database!$F105,0,COLUMN(Database!AK105)*2-12)</f>
        <v>n.r.</v>
      </c>
      <c r="AO105" s="8" t="str">
        <f ca="1">OFFSET(Database!$F105,0,COLUMN(Database!AL105)*2-12)</f>
        <v>n.r.</v>
      </c>
      <c r="AP105" s="8" t="str">
        <f ca="1">OFFSET(Database!$F105,0,COLUMN(Database!AM105)*2-12)</f>
        <v>n.r.</v>
      </c>
      <c r="AQ105" s="8" t="str">
        <f ca="1">OFFSET(Database!$F105,0,COLUMN(Database!AN105)*2-12)</f>
        <v>n.r.</v>
      </c>
      <c r="AR105" s="8" t="str">
        <f ca="1">OFFSET(Database!$F105,0,COLUMN(Database!AO105)*2-12)</f>
        <v>n.r.</v>
      </c>
      <c r="AS105" s="8" t="str">
        <f ca="1">OFFSET(Database!$F105,0,COLUMN(Database!AP105)*2-12)</f>
        <v>n.r.</v>
      </c>
      <c r="AT105" s="8" t="str">
        <f ca="1">OFFSET(Database!$F105,0,COLUMN(Database!AQ105)*2-12)</f>
        <v>n.r.</v>
      </c>
      <c r="AU105" s="8" t="str">
        <f ca="1">OFFSET(Database!$F105,0,COLUMN(Database!AR105)*2-12)</f>
        <v>n.r.</v>
      </c>
      <c r="AV105" s="8" t="str">
        <f ca="1">OFFSET(Database!$F105,0,COLUMN(Database!AS105)*2-12)</f>
        <v>n.r.</v>
      </c>
      <c r="AW105" s="8" t="str">
        <f ca="1">OFFSET(Database!$F105,0,COLUMN(Database!AT105)*2-12)</f>
        <v>n.r.</v>
      </c>
      <c r="AX105" s="8" t="str">
        <f ca="1">OFFSET(Database!$F105,0,COLUMN(Database!AU105)*2-12)</f>
        <v>n.r.</v>
      </c>
      <c r="AY105" s="8" t="str">
        <f ca="1">OFFSET(Database!$F105,0,COLUMN(Database!AV105)*2-12)</f>
        <v>n.r.</v>
      </c>
      <c r="AZ105" s="8" t="str">
        <f ca="1">OFFSET(Database!$F105,0,COLUMN(Database!AW105)*2-12)</f>
        <v>n.r.</v>
      </c>
      <c r="BA105" s="8" t="str">
        <f ca="1">OFFSET(Database!$F105,0,COLUMN(Database!AX105)*2-12)</f>
        <v>n.r.</v>
      </c>
      <c r="BB105" s="8" t="str">
        <f ca="1">OFFSET(Database!$F105,0,COLUMN(Database!AY105)*2-12)</f>
        <v>n.r.</v>
      </c>
      <c r="BC105" s="8" t="str">
        <f ca="1">OFFSET(Database!$F105,0,COLUMN(Database!AZ105)*2-12)</f>
        <v>n.r.</v>
      </c>
      <c r="BD105" s="8" t="str">
        <f ca="1">OFFSET(Database!$F105,0,COLUMN(Database!BA105)*2-12)</f>
        <v>n.r.</v>
      </c>
      <c r="BE105" s="8" t="str">
        <f ca="1">OFFSET(Database!$F105,0,COLUMN(Database!BB105)*2-12)</f>
        <v>n.r.</v>
      </c>
      <c r="BF105" s="8" t="str">
        <f ca="1">OFFSET(Database!$F105,0,COLUMN(Database!BC105)*2-12)</f>
        <v>n.r.</v>
      </c>
      <c r="BG105" s="8" t="str">
        <f ca="1">OFFSET(Database!$F105,0,COLUMN(Database!BD105)*2-12)</f>
        <v>n.r.</v>
      </c>
      <c r="BH105" s="8" t="str">
        <f ca="1">OFFSET(Database!$F105,0,COLUMN(Database!BE105)*2-12)</f>
        <v>n.r.</v>
      </c>
      <c r="BI105" s="8" t="str">
        <f ca="1">OFFSET(Database!$F105,0,COLUMN(Database!BF105)*2-12)</f>
        <v>n.r.</v>
      </c>
      <c r="BJ105" s="8" t="str">
        <f ca="1">OFFSET(Database!$F105,0,COLUMN(Database!BG105)*2-12)</f>
        <v>n.r.</v>
      </c>
      <c r="BK105" s="8" t="str">
        <f ca="1">OFFSET(Database!$F105,0,COLUMN(Database!BH105)*2-12)</f>
        <v>n.r.</v>
      </c>
      <c r="BL105" s="8" t="str">
        <f ca="1">OFFSET(Database!$F105,0,COLUMN(Database!BI105)*2-12)</f>
        <v>n.r.</v>
      </c>
      <c r="BM105" s="8" t="str">
        <f ca="1">OFFSET(Database!$F105,0,COLUMN(Database!BJ105)*2-12)</f>
        <v>n.r.</v>
      </c>
      <c r="BN105" s="8" t="str">
        <f ca="1">OFFSET(Database!$F105,0,COLUMN(Database!BK105)*2-12)</f>
        <v>n.r.</v>
      </c>
      <c r="BO105" s="8" t="str">
        <f ca="1">OFFSET(Database!$F105,0,COLUMN(Database!BL105)*2-12)</f>
        <v>n.r.</v>
      </c>
      <c r="BP105" s="8" t="str">
        <f ca="1">OFFSET(Database!$F105,0,COLUMN(Database!BM105)*2-12)</f>
        <v>n.r.</v>
      </c>
      <c r="BQ105" s="8" t="str">
        <f ca="1">OFFSET(Database!$F105,0,COLUMN(Database!BN105)*2-12)</f>
        <v>n.r.</v>
      </c>
      <c r="BR105" s="8" t="str">
        <f ca="1">OFFSET(Database!$F105,0,COLUMN(Database!BO105)*2-12)</f>
        <v>n.r.</v>
      </c>
      <c r="BS105" s="8" t="str">
        <f ca="1">OFFSET(Database!$F105,0,COLUMN(Database!BP105)*2-12)</f>
        <v>n.r.</v>
      </c>
      <c r="BT105" s="8" t="str">
        <f ca="1">OFFSET(Database!$F105,0,COLUMN(Database!BQ105)*2-12)</f>
        <v>n.r.</v>
      </c>
      <c r="BU105" s="8" t="str">
        <f ca="1">OFFSET(Database!$F105,0,COLUMN(Database!BR105)*2-12)</f>
        <v>n.r.</v>
      </c>
      <c r="BV105" s="8" t="str">
        <f ca="1">OFFSET(Database!$F105,0,COLUMN(Database!BS105)*2-12)</f>
        <v>n.r.</v>
      </c>
      <c r="BW105" s="8" t="str">
        <f ca="1">OFFSET(Database!$F105,0,COLUMN(Database!BT105)*2-12)</f>
        <v>n.r.</v>
      </c>
      <c r="BX105" s="8" t="str">
        <f ca="1">OFFSET(Database!$F105,0,COLUMN(Database!BU105)*2-12)</f>
        <v>n.r.</v>
      </c>
      <c r="BY105" s="8" t="str">
        <f ca="1">OFFSET(Database!$F105,0,COLUMN(Database!BV105)*2-12)</f>
        <v>n.r.</v>
      </c>
      <c r="BZ105" s="8" t="str">
        <f ca="1">OFFSET(Database!$F105,0,COLUMN(Database!BW105)*2-12)</f>
        <v>n.r.</v>
      </c>
      <c r="CA105" s="8" t="str">
        <f ca="1">OFFSET(Database!$F105,0,COLUMN(Database!BX105)*2-12)</f>
        <v>n.r.</v>
      </c>
      <c r="CB105" s="8" t="str">
        <f ca="1">OFFSET(Database!$F105,0,COLUMN(Database!BY105)*2-12)</f>
        <v>n.r.</v>
      </c>
      <c r="CC105" s="8" t="str">
        <f ca="1">OFFSET(Database!$F105,0,COLUMN(Database!BZ105)*2-12)</f>
        <v>n.r.</v>
      </c>
      <c r="CD105" s="8" t="str">
        <f ca="1">OFFSET(Database!$F105,0,COLUMN(Database!CA105)*2-12)</f>
        <v>n.r.</v>
      </c>
      <c r="CE105" s="8" t="str">
        <f ca="1">OFFSET(Database!$F105,0,COLUMN(Database!CB105)*2-12)</f>
        <v>n.r.</v>
      </c>
      <c r="CF105" s="8" t="str">
        <f ca="1">OFFSET(Database!$F105,0,COLUMN(Database!CC105)*2-12)</f>
        <v>n.r.</v>
      </c>
      <c r="CG105" s="8" t="str">
        <f ca="1">OFFSET(Database!$F105,0,COLUMN(Database!CD105)*2-12)</f>
        <v>n.r.</v>
      </c>
      <c r="CH105" s="8" t="str">
        <f ca="1">OFFSET(Database!$F105,0,COLUMN(Database!CE105)*2-12)</f>
        <v>n.r.</v>
      </c>
      <c r="CI105" s="8" t="str">
        <f ca="1">OFFSET(Database!$F105,0,COLUMN(Database!CF105)*2-12)</f>
        <v>n.r.</v>
      </c>
      <c r="CJ105" s="8" t="str">
        <f ca="1">OFFSET(Database!$F105,0,COLUMN(Database!CG105)*2-12)</f>
        <v>n.r.</v>
      </c>
      <c r="CK105" s="8" t="str">
        <f ca="1">OFFSET(Database!$F105,0,COLUMN(Database!CH105)*2-12)</f>
        <v>n.r.</v>
      </c>
      <c r="CL105" s="8" t="str">
        <f ca="1">OFFSET(Database!$F105,0,COLUMN(Database!CI105)*2-12)</f>
        <v>n.r.</v>
      </c>
      <c r="CM105" s="8" t="str">
        <f ca="1">OFFSET(Database!$F105,0,COLUMN(Database!CJ105)*2-12)</f>
        <v>n.r.</v>
      </c>
      <c r="CN105" s="8" t="str">
        <f ca="1">OFFSET(Database!$F105,0,COLUMN(Database!CK105)*2-12)</f>
        <v>n.r.</v>
      </c>
      <c r="CO105" s="8" t="str">
        <f ca="1">OFFSET(Database!$F105,0,COLUMN(Database!CL105)*2-12)</f>
        <v>n.r.</v>
      </c>
      <c r="CP105" s="8" t="str">
        <f ca="1">OFFSET(Database!$F105,0,COLUMN(Database!CM105)*2-12)</f>
        <v>n.r.</v>
      </c>
      <c r="CQ105" s="8" t="str">
        <f ca="1">OFFSET(Database!$F105,0,COLUMN(Database!CN105)*2-12)</f>
        <v>n.r.</v>
      </c>
      <c r="CR105" s="8" t="str">
        <f ca="1">OFFSET(Database!$F105,0,COLUMN(Database!CO105)*2-12)</f>
        <v>n.r.</v>
      </c>
      <c r="CS105" s="8" t="str">
        <f ca="1">OFFSET(Database!$F105,0,COLUMN(Database!CP105)*2-12)</f>
        <v>n.r.</v>
      </c>
      <c r="CT105" s="8" t="str">
        <f ca="1">OFFSET(Database!$F105,0,COLUMN(Database!CQ105)*2-12)</f>
        <v>n.r.</v>
      </c>
      <c r="CU105" s="8" t="str">
        <f ca="1">OFFSET(Database!$F105,0,COLUMN(Database!CR105)*2-12)</f>
        <v>n.r.</v>
      </c>
      <c r="CV105" s="8" t="str">
        <f ca="1">OFFSET(Database!$F105,0,COLUMN(Database!CS105)*2-12)</f>
        <v>n.r.</v>
      </c>
      <c r="CW105" s="8" t="str">
        <f ca="1">OFFSET(Database!$F105,0,COLUMN(Database!CT105)*2-12)</f>
        <v>n.r.</v>
      </c>
      <c r="CX105" s="8" t="str">
        <f ca="1">OFFSET(Database!$F105,0,COLUMN(Database!CU105)*2-12)</f>
        <v>n.r.</v>
      </c>
      <c r="CY105" s="8" t="str">
        <f ca="1">OFFSET(Database!$F105,0,COLUMN(Database!CV105)*2-12)</f>
        <v>n.r.</v>
      </c>
      <c r="CZ105" s="8" t="str">
        <f ca="1">OFFSET(Database!$F105,0,COLUMN(Database!CW105)*2-12)</f>
        <v>n.r.</v>
      </c>
      <c r="DA105" s="8" t="str">
        <f ca="1">OFFSET(Database!$F105,0,COLUMN(Database!CX105)*2-12)</f>
        <v>n.r.</v>
      </c>
      <c r="DB105" s="8" t="str">
        <f ca="1">OFFSET(Database!$F105,0,COLUMN(Database!CY105)*2-12)</f>
        <v>n.r.</v>
      </c>
      <c r="DC105" s="8" t="str">
        <f ca="1">OFFSET(Database!$F105,0,COLUMN(Database!CZ105)*2-12)</f>
        <v>n.r.</v>
      </c>
      <c r="DD105" s="8" t="str">
        <f ca="1">OFFSET(Database!$F105,0,COLUMN(Database!DA105)*2-12)</f>
        <v>n.r.</v>
      </c>
      <c r="DE105" s="8" t="str">
        <f ca="1">OFFSET(Database!$F105,0,COLUMN(Database!DB105)*2-12)</f>
        <v>n.r.</v>
      </c>
      <c r="DF105" s="8" t="str">
        <f ca="1">OFFSET(Database!$F105,0,COLUMN(Database!DC105)*2-12)</f>
        <v>n.r.</v>
      </c>
      <c r="DG105" s="8" t="str">
        <f ca="1">OFFSET(Database!$F105,0,COLUMN(Database!DD105)*2-12)</f>
        <v>n.r.</v>
      </c>
      <c r="DH105" s="8" t="str">
        <f ca="1">OFFSET(Database!$F105,0,COLUMN(Database!DE105)*2-12)</f>
        <v>n.r.</v>
      </c>
      <c r="DI105" s="8" t="str">
        <f ca="1">OFFSET(Database!$F105,0,COLUMN(Database!DF105)*2-12)</f>
        <v>n.r.</v>
      </c>
      <c r="DJ105" s="8" t="str">
        <f ca="1">OFFSET(Database!$F105,0,COLUMN(Database!DG105)*2-12)</f>
        <v>n.r.</v>
      </c>
      <c r="DK105" s="8" t="str">
        <f ca="1">OFFSET(Database!$F105,0,COLUMN(Database!DH105)*2-12)</f>
        <v>n.r.</v>
      </c>
      <c r="DL105" s="8" t="str">
        <f ca="1">OFFSET(Database!$F105,0,COLUMN(Database!DI105)*2-12)</f>
        <v>n.r.</v>
      </c>
      <c r="DM105" s="8" t="str">
        <f ca="1">OFFSET(Database!$F105,0,COLUMN(Database!DJ105)*2-12)</f>
        <v>n.r.</v>
      </c>
      <c r="DN105" s="8">
        <f ca="1">OFFSET(Database!$F105,0,COLUMN(Database!DK105)*2-12)</f>
        <v>7</v>
      </c>
      <c r="DO105" s="8">
        <f ca="1">OFFSET(Database!$F105,0,COLUMN(Database!DL105)*2-12)</f>
        <v>7</v>
      </c>
      <c r="DP105" s="8">
        <f ca="1">OFFSET(Database!$F105,0,COLUMN(Database!DM105)*2-12)</f>
        <v>0.44</v>
      </c>
      <c r="DQ105" s="8">
        <f ca="1">OFFSET(Database!$F105,0,COLUMN(Database!DN105)*2-12)</f>
        <v>0.6</v>
      </c>
      <c r="DR105" s="8" t="str">
        <f ca="1">OFFSET(Database!$F105,0,COLUMN(Database!DO105)*2-12)</f>
        <v>b.d.</v>
      </c>
      <c r="DS105" s="8">
        <f ca="1">OFFSET(Database!$F105,0,COLUMN(Database!DP105)*2-12)</f>
        <v>0.87</v>
      </c>
      <c r="DT105" s="8" t="str">
        <f ca="1">OFFSET(Database!$F105,0,COLUMN(Database!DQ105)*2-12)</f>
        <v>l.o.q.</v>
      </c>
      <c r="DU105" s="8" t="str">
        <f ca="1">OFFSET(Database!$F105,0,COLUMN(Database!DR105)*2-12)</f>
        <v>n.r.</v>
      </c>
      <c r="DV105" s="8" t="str">
        <f ca="1">OFFSET(Database!$F105,0,COLUMN(Database!DS105)*2-12)</f>
        <v>n.r.</v>
      </c>
      <c r="DW105" s="8" t="str">
        <f ca="1">OFFSET(Database!$F105,0,COLUMN(Database!DT105)*2-12)</f>
        <v>n.r.</v>
      </c>
      <c r="DX105" s="8" t="str">
        <f ca="1">OFFSET(Database!$F105,0,COLUMN(Database!DU105)*2-12)</f>
        <v>n.r.</v>
      </c>
      <c r="DY105" s="8" t="str">
        <f ca="1">OFFSET(Database!$F105,0,COLUMN(Database!DV105)*2-12)</f>
        <v>n.r.</v>
      </c>
      <c r="DZ105" s="8" t="str">
        <f ca="1">OFFSET(Database!$F105,0,COLUMN(Database!DW105)*2-12)</f>
        <v>n.r.</v>
      </c>
      <c r="EA105" s="8" t="str">
        <f ca="1">OFFSET(Database!$F105,0,COLUMN(Database!DX105)*2-12)</f>
        <v>n.r.</v>
      </c>
      <c r="EB105" s="8" t="str">
        <f ca="1">OFFSET(Database!$F105,0,COLUMN(Database!DY105)*2-12)</f>
        <v>n.r.</v>
      </c>
      <c r="EC105" s="8" t="str">
        <f ca="1">OFFSET(Database!$F105,0,COLUMN(Database!DZ105)*2-12)</f>
        <v>n.r.</v>
      </c>
      <c r="ED105" s="8" t="str">
        <f ca="1">OFFSET(Database!$F105,0,COLUMN(Database!EA105)*2-12)</f>
        <v>n.r.</v>
      </c>
      <c r="EE105" s="8" t="str">
        <f ca="1">OFFSET(Database!$F105,0,COLUMN(Database!EB105)*2-12)</f>
        <v>n.r.</v>
      </c>
      <c r="EF105" s="8" t="str">
        <f ca="1">OFFSET(Database!$F105,0,COLUMN(Database!EC105)*2-12)</f>
        <v>n.r.</v>
      </c>
      <c r="EG105" s="8" t="str">
        <f ca="1">OFFSET(Database!$F105,0,COLUMN(Database!ED105)*2-12)</f>
        <v>n.r.</v>
      </c>
      <c r="EH105" s="8" t="str">
        <f ca="1">OFFSET(Database!$F105,0,COLUMN(Database!EE105)*2-12)</f>
        <v>n.r.</v>
      </c>
      <c r="EI105" s="8" t="str">
        <f ca="1">OFFSET(Database!$F105,0,COLUMN(Database!EF105)*2-12)</f>
        <v>n.r.</v>
      </c>
      <c r="EJ105" s="8" t="str">
        <f ca="1">OFFSET(Database!$F105,0,COLUMN(Database!EG105)*2-12)</f>
        <v>n.r.</v>
      </c>
      <c r="EK105" s="8" t="str">
        <f ca="1">OFFSET(Database!$F105,0,COLUMN(Database!EH105)*2-12)</f>
        <v>n.r.</v>
      </c>
      <c r="EL105" s="8" t="str">
        <f ca="1">OFFSET(Database!$F105,0,COLUMN(Database!EI105)*2-12)</f>
        <v>n.r.</v>
      </c>
      <c r="EM105" s="8" t="str">
        <f ca="1">OFFSET(Database!$F105,0,COLUMN(Database!EJ105)*2-12)</f>
        <v>n.r.</v>
      </c>
      <c r="EN105" s="8" t="str">
        <f ca="1">OFFSET(Database!$F105,0,COLUMN(Database!EK105)*2-12)</f>
        <v>n.r.</v>
      </c>
      <c r="EO105" s="8" t="str">
        <f ca="1">OFFSET(Database!$F105,0,COLUMN(Database!EL105)*2-12)</f>
        <v>n.r.</v>
      </c>
      <c r="EP105" s="8" t="str">
        <f ca="1">OFFSET(Database!$F105,0,COLUMN(Database!EM105)*2-12)</f>
        <v>n.r.</v>
      </c>
      <c r="EQ105" s="8" t="str">
        <f ca="1">OFFSET(Database!$F105,0,COLUMN(Database!EN105)*2-12)</f>
        <v>n.r.</v>
      </c>
      <c r="ER105" s="8">
        <f ca="1">OFFSET(Database!$F105,0,COLUMN(Database!EO105)*2-12)</f>
        <v>232.7170681629344</v>
      </c>
      <c r="ES105" s="8">
        <f ca="1">OFFSET(Database!$F105,0,COLUMN(Database!EP105)*2-12)</f>
        <v>243.0496094776253</v>
      </c>
      <c r="ET105" s="8">
        <f ca="1">OFFSET(Database!$F105,0,COLUMN(Database!EQ105)*2-12)</f>
        <v>211.0012045780849</v>
      </c>
      <c r="EU105" s="8">
        <f ca="1">OFFSET(Database!$F105,0,COLUMN(Database!ER105)*2-12)</f>
        <v>91.931612878237729</v>
      </c>
      <c r="EV105" s="8">
        <f ca="1">OFFSET(Database!$F105,0,COLUMN(Database!ES105)*2-12)</f>
        <v>191.5452131761507</v>
      </c>
      <c r="EW105" s="8" t="str">
        <f ca="1">OFFSET(Database!$F105,0,COLUMN(Database!ET105)*2-12)</f>
        <v>n.r.</v>
      </c>
      <c r="EX105" s="8" t="str">
        <f ca="1">OFFSET(Database!$F105,0,COLUMN(Database!EU105)*2-12)</f>
        <v>n.r.</v>
      </c>
      <c r="EY105" s="8" t="str">
        <f ca="1">OFFSET(Database!$F105,0,COLUMN(Database!EV105)*2-12)</f>
        <v>n.r.</v>
      </c>
      <c r="EZ105" s="8" t="str">
        <f ca="1">OFFSET(Database!$F105,0,COLUMN(Database!EW105)*2-12)</f>
        <v>n.r.</v>
      </c>
      <c r="FA105" s="8" t="str">
        <f ca="1">OFFSET(Database!$F105,0,COLUMN(Database!EX105)*2-12)</f>
        <v>n.r.</v>
      </c>
      <c r="FB105" s="8" t="str">
        <f ca="1">OFFSET(Database!$F105,0,COLUMN(Database!EY105)*2-12)</f>
        <v>n.r.</v>
      </c>
      <c r="FC105" s="8" t="str">
        <f ca="1">OFFSET(Database!$F105,0,COLUMN(Database!EZ105)*2-12)</f>
        <v>n.r.</v>
      </c>
      <c r="FD105" s="8" t="str">
        <f ca="1">OFFSET(Database!$F105,0,COLUMN(Database!FA105)*2-12)</f>
        <v>n.d.</v>
      </c>
      <c r="FE105" s="8" t="str">
        <f ca="1">OFFSET(Database!$F105,0,COLUMN(Database!FB105)*2-12)</f>
        <v>n.d.</v>
      </c>
      <c r="FF105" s="8" t="str">
        <f ca="1">OFFSET(Database!$F105,0,COLUMN(Database!FC105)*2-12)</f>
        <v>n.d.</v>
      </c>
      <c r="FG105" s="8" t="str">
        <f ca="1">OFFSET(Database!$F105,0,COLUMN(Database!FD105)*2-12)</f>
        <v>n.r.</v>
      </c>
      <c r="FH105" s="8" t="str">
        <f ca="1">OFFSET(Database!$F105,0,COLUMN(Database!FE105)*2-12)</f>
        <v>n.r.</v>
      </c>
      <c r="FI105" s="8" t="str">
        <f ca="1">OFFSET(Database!$F105,0,COLUMN(Database!FF105)*2-12)</f>
        <v>n.r.</v>
      </c>
      <c r="FJ105" s="8" t="str">
        <f ca="1">OFFSET(Database!$F105,0,COLUMN(Database!FG105)*2-12)</f>
        <v>n.r.</v>
      </c>
      <c r="FK105" s="8" t="str">
        <f ca="1">OFFSET(Database!$F105,0,COLUMN(Database!FH105)*2-12)</f>
        <v>n.r.</v>
      </c>
      <c r="FL105" s="8" t="str">
        <f ca="1">OFFSET(Database!$F105,0,COLUMN(Database!FI105)*2-12)</f>
        <v>n.r.</v>
      </c>
      <c r="FM105" s="8" t="str">
        <f ca="1">OFFSET(Database!$F105,0,COLUMN(Database!FJ105)*2-12)</f>
        <v>n.r.</v>
      </c>
      <c r="FN105" s="8" t="str">
        <f ca="1">OFFSET(Database!$F105,0,COLUMN(Database!FK105)*2-12)</f>
        <v>n.r.</v>
      </c>
      <c r="FO105" s="8" t="str">
        <f ca="1">OFFSET(Database!$F105,0,COLUMN(Database!FL105)*2-12)</f>
        <v>n.r.</v>
      </c>
      <c r="FP105" s="8" t="str">
        <f ca="1">OFFSET(Database!$F105,0,COLUMN(Database!FM105)*2-12)</f>
        <v>n.r.</v>
      </c>
      <c r="FQ105" s="8" t="str">
        <f ca="1">OFFSET(Database!$F105,0,COLUMN(Database!FN105)*2-12)</f>
        <v>n.r.</v>
      </c>
      <c r="FR105" s="8" t="str">
        <f ca="1">OFFSET(Database!$F105,0,COLUMN(Database!FO105)*2-12)</f>
        <v>n.r.</v>
      </c>
      <c r="FS105" s="8" t="str">
        <f ca="1">OFFSET(Database!$F105,0,COLUMN(Database!FP105)*2-12)</f>
        <v>n.r.</v>
      </c>
      <c r="FT105" s="8" t="str">
        <f ca="1">OFFSET(Database!$F105,0,COLUMN(Database!FQ105)*2-12)</f>
        <v>n.r.</v>
      </c>
      <c r="FU105" s="8" t="str">
        <f ca="1">OFFSET(Database!$F105,0,COLUMN(Database!FR105)*2-12)</f>
        <v>n.r.</v>
      </c>
      <c r="FV105" s="8" t="str">
        <f ca="1">OFFSET(Database!$F105,0,COLUMN(Database!FS105)*2-12)</f>
        <v>n.r.</v>
      </c>
      <c r="FW105" s="8" t="str">
        <f ca="1">OFFSET(Database!$F105,0,COLUMN(Database!FT105)*2-12)</f>
        <v>n.r.</v>
      </c>
      <c r="FX105" s="8" t="str">
        <f ca="1">OFFSET(Database!$F105,0,COLUMN(Database!FU105)*2-12)</f>
        <v>n.r.</v>
      </c>
      <c r="FY105" s="8" t="str">
        <f ca="1">OFFSET(Database!$F105,0,COLUMN(Database!FV105)*2-12)</f>
        <v>n.r.</v>
      </c>
      <c r="FZ105" s="8" t="str">
        <f ca="1">OFFSET(Database!$F105,0,COLUMN(Database!FW105)*2-12)</f>
        <v>n.r.</v>
      </c>
      <c r="GA105" s="8" t="str">
        <f ca="1">OFFSET(Database!$F105,0,COLUMN(Database!FX105)*2-12)</f>
        <v>n.r.</v>
      </c>
      <c r="GB105" s="8" t="str">
        <f ca="1">OFFSET(Database!$F105,0,COLUMN(Database!FY105)*2-12)</f>
        <v>n.r.</v>
      </c>
      <c r="GC105" s="8" t="str">
        <f ca="1">OFFSET(Database!$F105,0,COLUMN(Database!FZ105)*2-12)</f>
        <v>n.r.</v>
      </c>
      <c r="GD105" s="8" t="str">
        <f ca="1">OFFSET(Database!$F105,0,COLUMN(Database!GA105)*2-12)</f>
        <v>n.r.</v>
      </c>
      <c r="GE105" s="8" t="str">
        <f ca="1">OFFSET(Database!$F105,0,COLUMN(Database!GB105)*2-12)</f>
        <v>n.r.</v>
      </c>
      <c r="GF105" s="8" t="str">
        <f ca="1">OFFSET(Database!$F105,0,COLUMN(Database!GC105)*2-12)</f>
        <v>n.r.</v>
      </c>
      <c r="GG105" s="8" t="str">
        <f ca="1">OFFSET(Database!$F105,0,COLUMN(Database!GD105)*2-12)</f>
        <v>n.r.</v>
      </c>
      <c r="GH105" s="8" t="str">
        <f ca="1">OFFSET(Database!$F105,0,COLUMN(Database!GE105)*2-12)</f>
        <v>n.r.</v>
      </c>
      <c r="GI105" s="8" t="str">
        <f ca="1">OFFSET(Database!$F105,0,COLUMN(Database!GF105)*2-12)</f>
        <v>n.r.</v>
      </c>
      <c r="GJ105" s="8" t="str">
        <f ca="1">OFFSET(Database!$F105,0,COLUMN(Database!GG105)*2-12)</f>
        <v>n.r.</v>
      </c>
      <c r="GK105" s="8" t="str">
        <f ca="1">OFFSET(Database!$F105,0,COLUMN(Database!GH105)*2-12)</f>
        <v>n.r.</v>
      </c>
      <c r="GL105" s="8" t="str">
        <f ca="1">OFFSET(Database!$F105,0,COLUMN(Database!GI105)*2-12)</f>
        <v>n.r.</v>
      </c>
      <c r="GM105" s="8" t="str">
        <f ca="1">OFFSET(Database!$F105,0,COLUMN(Database!GJ105)*2-12)</f>
        <v>n.r.</v>
      </c>
      <c r="GN105" s="8" t="str">
        <f ca="1">OFFSET(Database!$F105,0,COLUMN(Database!GK105)*2-12)</f>
        <v>n.r.</v>
      </c>
      <c r="GO105" s="8" t="str">
        <f ca="1">OFFSET(Database!$F105,0,COLUMN(Database!GL105)*2-12)</f>
        <v>n.r.</v>
      </c>
      <c r="GP105" s="8" t="str">
        <f ca="1">OFFSET(Database!$F105,0,COLUMN(Database!GM105)*2-12)</f>
        <v>n.r.</v>
      </c>
    </row>
    <row r="106" spans="1:198" x14ac:dyDescent="0.2">
      <c r="A106" s="50" t="str">
        <f>Database!A106</f>
        <v>L-phenylalanine</v>
      </c>
      <c r="B106" s="1" t="s">
        <v>1055</v>
      </c>
      <c r="C106" s="4" t="str">
        <f>Database!B106</f>
        <v>ɑ</v>
      </c>
      <c r="D106" s="4" t="str">
        <f>Database!C106</f>
        <v>L</v>
      </c>
      <c r="E106" s="74">
        <f>Database!D106</f>
        <v>26</v>
      </c>
      <c r="F106" s="1" t="s">
        <v>978</v>
      </c>
      <c r="G106" s="1">
        <v>6140</v>
      </c>
      <c r="H106" s="1">
        <f>Database!E106</f>
        <v>165.19</v>
      </c>
      <c r="I106" s="8" t="str">
        <f ca="1">OFFSET(Database!$F106,0,COLUMN(Database!F106)*2-12)</f>
        <v>n.r.</v>
      </c>
      <c r="J106" s="8" t="str">
        <f ca="1">OFFSET(Database!$F106,0,COLUMN(Database!G106)*2-12)</f>
        <v>n.r.</v>
      </c>
      <c r="K106" s="8" t="str">
        <f ca="1">OFFSET(Database!$F106,0,COLUMN(Database!H106)*2-12)</f>
        <v>n.r.</v>
      </c>
      <c r="L106" s="8" t="str">
        <f ca="1">OFFSET(Database!$F106,0,COLUMN(Database!I106)*2-12)</f>
        <v>n.r.</v>
      </c>
      <c r="M106" s="8" t="str">
        <f ca="1">OFFSET(Database!$F106,0,COLUMN(Database!J106)*2-12)</f>
        <v>n.r.</v>
      </c>
      <c r="N106" s="8" t="str">
        <f ca="1">OFFSET(Database!$F106,0,COLUMN(Database!K106)*2-12)</f>
        <v>n.r.</v>
      </c>
      <c r="O106" s="8" t="str">
        <f ca="1">OFFSET(Database!$F106,0,COLUMN(Database!L106)*2-12)</f>
        <v>n.r.</v>
      </c>
      <c r="P106" s="8" t="str">
        <f ca="1">OFFSET(Database!$F106,0,COLUMN(Database!M106)*2-12)</f>
        <v>n.r.</v>
      </c>
      <c r="Q106" s="8" t="str">
        <f ca="1">OFFSET(Database!$F106,0,COLUMN(Database!N106)*2-12)</f>
        <v>n.r.</v>
      </c>
      <c r="R106" s="8" t="str">
        <f ca="1">OFFSET(Database!$F106,0,COLUMN(Database!O106)*2-12)</f>
        <v>n.r.</v>
      </c>
      <c r="S106" s="8" t="str">
        <f ca="1">OFFSET(Database!$F106,0,COLUMN(Database!P106)*2-12)</f>
        <v>n.r.</v>
      </c>
      <c r="T106" s="8" t="str">
        <f ca="1">OFFSET(Database!$F106,0,COLUMN(Database!Q106)*2-12)</f>
        <v>n.r.</v>
      </c>
      <c r="U106" s="8" t="str">
        <f ca="1">OFFSET(Database!$F106,0,COLUMN(Database!R106)*2-12)</f>
        <v>n.r.</v>
      </c>
      <c r="V106" s="8" t="str">
        <f ca="1">OFFSET(Database!$F106,0,COLUMN(Database!S106)*2-12)</f>
        <v>n.r.</v>
      </c>
      <c r="W106" s="8" t="str">
        <f ca="1">OFFSET(Database!$F106,0,COLUMN(Database!T106)*2-12)</f>
        <v>n.r.</v>
      </c>
      <c r="X106" s="8" t="str">
        <f ca="1">OFFSET(Database!$F106,0,COLUMN(Database!U106)*2-12)</f>
        <v>n.r.</v>
      </c>
      <c r="Y106" s="8" t="str">
        <f ca="1">OFFSET(Database!$F106,0,COLUMN(Database!V106)*2-12)</f>
        <v>n.r.</v>
      </c>
      <c r="Z106" s="8" t="str">
        <f ca="1">OFFSET(Database!$F106,0,COLUMN(Database!W106)*2-12)</f>
        <v>n.r.</v>
      </c>
      <c r="AA106" s="8" t="str">
        <f ca="1">OFFSET(Database!$F106,0,COLUMN(Database!X106)*2-12)</f>
        <v>n.r.</v>
      </c>
      <c r="AB106" s="8" t="str">
        <f ca="1">OFFSET(Database!$F106,0,COLUMN(Database!Y106)*2-12)</f>
        <v>n.r.</v>
      </c>
      <c r="AC106" s="8" t="str">
        <f ca="1">OFFSET(Database!$F106,0,COLUMN(Database!Z106)*2-12)</f>
        <v>n.r.</v>
      </c>
      <c r="AD106" s="8" t="str">
        <f ca="1">OFFSET(Database!$F106,0,COLUMN(Database!AA106)*2-12)</f>
        <v>n.r.</v>
      </c>
      <c r="AE106" s="8" t="str">
        <f ca="1">OFFSET(Database!$F106,0,COLUMN(Database!AB106)*2-12)</f>
        <v>n.r.</v>
      </c>
      <c r="AF106" s="8" t="str">
        <f ca="1">OFFSET(Database!$F106,0,COLUMN(Database!AC106)*2-12)</f>
        <v>n.r.</v>
      </c>
      <c r="AG106" s="8" t="str">
        <f ca="1">OFFSET(Database!$F106,0,COLUMN(Database!AD106)*2-12)</f>
        <v>n.r.</v>
      </c>
      <c r="AH106" s="8" t="str">
        <f ca="1">OFFSET(Database!$F106,0,COLUMN(Database!AE106)*2-12)</f>
        <v>n.r.</v>
      </c>
      <c r="AI106" s="8" t="str">
        <f ca="1">OFFSET(Database!$F106,0,COLUMN(Database!AF106)*2-12)</f>
        <v>n.r.</v>
      </c>
      <c r="AJ106" s="8" t="str">
        <f ca="1">OFFSET(Database!$F106,0,COLUMN(Database!AG106)*2-12)</f>
        <v>n.r.</v>
      </c>
      <c r="AK106" s="8" t="str">
        <f ca="1">OFFSET(Database!$F106,0,COLUMN(Database!AH106)*2-12)</f>
        <v>n.r.</v>
      </c>
      <c r="AL106" s="8" t="str">
        <f ca="1">OFFSET(Database!$F106,0,COLUMN(Database!AI106)*2-12)</f>
        <v>n.r.</v>
      </c>
      <c r="AM106" s="8" t="str">
        <f ca="1">OFFSET(Database!$F106,0,COLUMN(Database!AJ106)*2-12)</f>
        <v>n.r.</v>
      </c>
      <c r="AN106" s="8" t="str">
        <f ca="1">OFFSET(Database!$F106,0,COLUMN(Database!AK106)*2-12)</f>
        <v>n.r.</v>
      </c>
      <c r="AO106" s="8" t="str">
        <f ca="1">OFFSET(Database!$F106,0,COLUMN(Database!AL106)*2-12)</f>
        <v>n.r.</v>
      </c>
      <c r="AP106" s="8" t="str">
        <f ca="1">OFFSET(Database!$F106,0,COLUMN(Database!AM106)*2-12)</f>
        <v>n.r.</v>
      </c>
      <c r="AQ106" s="8" t="str">
        <f ca="1">OFFSET(Database!$F106,0,COLUMN(Database!AN106)*2-12)</f>
        <v>n.r.</v>
      </c>
      <c r="AR106" s="8" t="str">
        <f ca="1">OFFSET(Database!$F106,0,COLUMN(Database!AO106)*2-12)</f>
        <v>n.r.</v>
      </c>
      <c r="AS106" s="8" t="str">
        <f ca="1">OFFSET(Database!$F106,0,COLUMN(Database!AP106)*2-12)</f>
        <v>n.r.</v>
      </c>
      <c r="AT106" s="8" t="str">
        <f ca="1">OFFSET(Database!$F106,0,COLUMN(Database!AQ106)*2-12)</f>
        <v>n.r.</v>
      </c>
      <c r="AU106" s="8" t="str">
        <f ca="1">OFFSET(Database!$F106,0,COLUMN(Database!AR106)*2-12)</f>
        <v>n.r.</v>
      </c>
      <c r="AV106" s="8" t="str">
        <f ca="1">OFFSET(Database!$F106,0,COLUMN(Database!AS106)*2-12)</f>
        <v>n.r.</v>
      </c>
      <c r="AW106" s="8" t="str">
        <f ca="1">OFFSET(Database!$F106,0,COLUMN(Database!AT106)*2-12)</f>
        <v>n.r.</v>
      </c>
      <c r="AX106" s="8" t="str">
        <f ca="1">OFFSET(Database!$F106,0,COLUMN(Database!AU106)*2-12)</f>
        <v>n.r.</v>
      </c>
      <c r="AY106" s="8" t="str">
        <f ca="1">OFFSET(Database!$F106,0,COLUMN(Database!AV106)*2-12)</f>
        <v>n.r.</v>
      </c>
      <c r="AZ106" s="8" t="str">
        <f ca="1">OFFSET(Database!$F106,0,COLUMN(Database!AW106)*2-12)</f>
        <v>n.r.</v>
      </c>
      <c r="BA106" s="8" t="str">
        <f ca="1">OFFSET(Database!$F106,0,COLUMN(Database!AX106)*2-12)</f>
        <v>n.r.</v>
      </c>
      <c r="BB106" s="8" t="str">
        <f ca="1">OFFSET(Database!$F106,0,COLUMN(Database!AY106)*2-12)</f>
        <v>n.r.</v>
      </c>
      <c r="BC106" s="8" t="str">
        <f ca="1">OFFSET(Database!$F106,0,COLUMN(Database!AZ106)*2-12)</f>
        <v>n.r.</v>
      </c>
      <c r="BD106" s="8" t="str">
        <f ca="1">OFFSET(Database!$F106,0,COLUMN(Database!BA106)*2-12)</f>
        <v>n.r.</v>
      </c>
      <c r="BE106" s="8" t="str">
        <f ca="1">OFFSET(Database!$F106,0,COLUMN(Database!BB106)*2-12)</f>
        <v>n.r.</v>
      </c>
      <c r="BF106" s="8" t="str">
        <f ca="1">OFFSET(Database!$F106,0,COLUMN(Database!BC106)*2-12)</f>
        <v>n.r.</v>
      </c>
      <c r="BG106" s="8" t="str">
        <f ca="1">OFFSET(Database!$F106,0,COLUMN(Database!BD106)*2-12)</f>
        <v>n.r.</v>
      </c>
      <c r="BH106" s="8" t="str">
        <f ca="1">OFFSET(Database!$F106,0,COLUMN(Database!BE106)*2-12)</f>
        <v>n.r.</v>
      </c>
      <c r="BI106" s="8" t="str">
        <f ca="1">OFFSET(Database!$F106,0,COLUMN(Database!BF106)*2-12)</f>
        <v>n.r.</v>
      </c>
      <c r="BJ106" s="8" t="str">
        <f ca="1">OFFSET(Database!$F106,0,COLUMN(Database!BG106)*2-12)</f>
        <v>n.r.</v>
      </c>
      <c r="BK106" s="8" t="str">
        <f ca="1">OFFSET(Database!$F106,0,COLUMN(Database!BH106)*2-12)</f>
        <v>n.r.</v>
      </c>
      <c r="BL106" s="8" t="str">
        <f ca="1">OFFSET(Database!$F106,0,COLUMN(Database!BI106)*2-12)</f>
        <v>n.r.</v>
      </c>
      <c r="BM106" s="8" t="str">
        <f ca="1">OFFSET(Database!$F106,0,COLUMN(Database!BJ106)*2-12)</f>
        <v>n.r.</v>
      </c>
      <c r="BN106" s="8" t="str">
        <f ca="1">OFFSET(Database!$F106,0,COLUMN(Database!BK106)*2-12)</f>
        <v>n.r.</v>
      </c>
      <c r="BO106" s="8" t="str">
        <f ca="1">OFFSET(Database!$F106,0,COLUMN(Database!BL106)*2-12)</f>
        <v>n.r.</v>
      </c>
      <c r="BP106" s="8" t="str">
        <f ca="1">OFFSET(Database!$F106,0,COLUMN(Database!BM106)*2-12)</f>
        <v>n.r.</v>
      </c>
      <c r="BQ106" s="8" t="str">
        <f ca="1">OFFSET(Database!$F106,0,COLUMN(Database!BN106)*2-12)</f>
        <v>n.r.</v>
      </c>
      <c r="BR106" s="8" t="str">
        <f ca="1">OFFSET(Database!$F106,0,COLUMN(Database!BO106)*2-12)</f>
        <v>n.r.</v>
      </c>
      <c r="BS106" s="8" t="str">
        <f ca="1">OFFSET(Database!$F106,0,COLUMN(Database!BP106)*2-12)</f>
        <v>n.r.</v>
      </c>
      <c r="BT106" s="8" t="str">
        <f ca="1">OFFSET(Database!$F106,0,COLUMN(Database!BQ106)*2-12)</f>
        <v>n.r.</v>
      </c>
      <c r="BU106" s="8" t="str">
        <f ca="1">OFFSET(Database!$F106,0,COLUMN(Database!BR106)*2-12)</f>
        <v>n.r.</v>
      </c>
      <c r="BV106" s="8" t="str">
        <f ca="1">OFFSET(Database!$F106,0,COLUMN(Database!BS106)*2-12)</f>
        <v>n.r.</v>
      </c>
      <c r="BW106" s="8" t="str">
        <f ca="1">OFFSET(Database!$F106,0,COLUMN(Database!BT106)*2-12)</f>
        <v>n.r.</v>
      </c>
      <c r="BX106" s="8" t="str">
        <f ca="1">OFFSET(Database!$F106,0,COLUMN(Database!BU106)*2-12)</f>
        <v>n.r.</v>
      </c>
      <c r="BY106" s="8" t="str">
        <f ca="1">OFFSET(Database!$F106,0,COLUMN(Database!BV106)*2-12)</f>
        <v>n.r.</v>
      </c>
      <c r="BZ106" s="8" t="str">
        <f ca="1">OFFSET(Database!$F106,0,COLUMN(Database!BW106)*2-12)</f>
        <v>n.r.</v>
      </c>
      <c r="CA106" s="8" t="str">
        <f ca="1">OFFSET(Database!$F106,0,COLUMN(Database!BX106)*2-12)</f>
        <v>n.r.</v>
      </c>
      <c r="CB106" s="8" t="str">
        <f ca="1">OFFSET(Database!$F106,0,COLUMN(Database!BY106)*2-12)</f>
        <v>n.r.</v>
      </c>
      <c r="CC106" s="8" t="str">
        <f ca="1">OFFSET(Database!$F106,0,COLUMN(Database!BZ106)*2-12)</f>
        <v>n.r.</v>
      </c>
      <c r="CD106" s="8" t="str">
        <f ca="1">OFFSET(Database!$F106,0,COLUMN(Database!CA106)*2-12)</f>
        <v>n.r.</v>
      </c>
      <c r="CE106" s="8" t="str">
        <f ca="1">OFFSET(Database!$F106,0,COLUMN(Database!CB106)*2-12)</f>
        <v>n.r.</v>
      </c>
      <c r="CF106" s="8" t="str">
        <f ca="1">OFFSET(Database!$F106,0,COLUMN(Database!CC106)*2-12)</f>
        <v>n.r.</v>
      </c>
      <c r="CG106" s="8" t="str">
        <f ca="1">OFFSET(Database!$F106,0,COLUMN(Database!CD106)*2-12)</f>
        <v>n.r.</v>
      </c>
      <c r="CH106" s="8" t="str">
        <f ca="1">OFFSET(Database!$F106,0,COLUMN(Database!CE106)*2-12)</f>
        <v>n.r.</v>
      </c>
      <c r="CI106" s="8" t="str">
        <f ca="1">OFFSET(Database!$F106,0,COLUMN(Database!CF106)*2-12)</f>
        <v>n.r.</v>
      </c>
      <c r="CJ106" s="8" t="str">
        <f ca="1">OFFSET(Database!$F106,0,COLUMN(Database!CG106)*2-12)</f>
        <v>n.r.</v>
      </c>
      <c r="CK106" s="8" t="str">
        <f ca="1">OFFSET(Database!$F106,0,COLUMN(Database!CH106)*2-12)</f>
        <v>n.r.</v>
      </c>
      <c r="CL106" s="8" t="str">
        <f ca="1">OFFSET(Database!$F106,0,COLUMN(Database!CI106)*2-12)</f>
        <v>n.r.</v>
      </c>
      <c r="CM106" s="8" t="str">
        <f ca="1">OFFSET(Database!$F106,0,COLUMN(Database!CJ106)*2-12)</f>
        <v>n.r.</v>
      </c>
      <c r="CN106" s="8" t="str">
        <f ca="1">OFFSET(Database!$F106,0,COLUMN(Database!CK106)*2-12)</f>
        <v>n.r.</v>
      </c>
      <c r="CO106" s="8" t="str">
        <f ca="1">OFFSET(Database!$F106,0,COLUMN(Database!CL106)*2-12)</f>
        <v>n.r.</v>
      </c>
      <c r="CP106" s="8" t="str">
        <f ca="1">OFFSET(Database!$F106,0,COLUMN(Database!CM106)*2-12)</f>
        <v>n.r.</v>
      </c>
      <c r="CQ106" s="8" t="str">
        <f ca="1">OFFSET(Database!$F106,0,COLUMN(Database!CN106)*2-12)</f>
        <v>n.r.</v>
      </c>
      <c r="CR106" s="8" t="str">
        <f ca="1">OFFSET(Database!$F106,0,COLUMN(Database!CO106)*2-12)</f>
        <v>n.r.</v>
      </c>
      <c r="CS106" s="8" t="str">
        <f ca="1">OFFSET(Database!$F106,0,COLUMN(Database!CP106)*2-12)</f>
        <v>n.r.</v>
      </c>
      <c r="CT106" s="8" t="str">
        <f ca="1">OFFSET(Database!$F106,0,COLUMN(Database!CQ106)*2-12)</f>
        <v>n.r.</v>
      </c>
      <c r="CU106" s="8" t="str">
        <f ca="1">OFFSET(Database!$F106,0,COLUMN(Database!CR106)*2-12)</f>
        <v>n.r.</v>
      </c>
      <c r="CV106" s="8" t="str">
        <f ca="1">OFFSET(Database!$F106,0,COLUMN(Database!CS106)*2-12)</f>
        <v>n.r.</v>
      </c>
      <c r="CW106" s="8" t="str">
        <f ca="1">OFFSET(Database!$F106,0,COLUMN(Database!CT106)*2-12)</f>
        <v>n.r.</v>
      </c>
      <c r="CX106" s="8" t="str">
        <f ca="1">OFFSET(Database!$F106,0,COLUMN(Database!CU106)*2-12)</f>
        <v>n.r.</v>
      </c>
      <c r="CY106" s="8" t="str">
        <f ca="1">OFFSET(Database!$F106,0,COLUMN(Database!CV106)*2-12)</f>
        <v>n.r.</v>
      </c>
      <c r="CZ106" s="8" t="str">
        <f ca="1">OFFSET(Database!$F106,0,COLUMN(Database!CW106)*2-12)</f>
        <v>n.r.</v>
      </c>
      <c r="DA106" s="8" t="str">
        <f ca="1">OFFSET(Database!$F106,0,COLUMN(Database!CX106)*2-12)</f>
        <v>n.r.</v>
      </c>
      <c r="DB106" s="8" t="str">
        <f ca="1">OFFSET(Database!$F106,0,COLUMN(Database!CY106)*2-12)</f>
        <v>n.r.</v>
      </c>
      <c r="DC106" s="8" t="str">
        <f ca="1">OFFSET(Database!$F106,0,COLUMN(Database!CZ106)*2-12)</f>
        <v>n.r.</v>
      </c>
      <c r="DD106" s="8" t="str">
        <f ca="1">OFFSET(Database!$F106,0,COLUMN(Database!DA106)*2-12)</f>
        <v>n.r.</v>
      </c>
      <c r="DE106" s="8" t="str">
        <f ca="1">OFFSET(Database!$F106,0,COLUMN(Database!DB106)*2-12)</f>
        <v>n.r.</v>
      </c>
      <c r="DF106" s="8">
        <f ca="1">OFFSET(Database!$F106,0,COLUMN(Database!DC106)*2-12)</f>
        <v>153.40989999999999</v>
      </c>
      <c r="DG106" s="8">
        <f ca="1">OFFSET(Database!$F106,0,COLUMN(Database!DD106)*2-12)</f>
        <v>294.51150000000001</v>
      </c>
      <c r="DH106" s="8">
        <f ca="1">OFFSET(Database!$F106,0,COLUMN(Database!DE106)*2-12)</f>
        <v>257.47710000000001</v>
      </c>
      <c r="DI106" s="8">
        <f ca="1">OFFSET(Database!$F106,0,COLUMN(Database!DF106)*2-12)</f>
        <v>90.971299999999999</v>
      </c>
      <c r="DJ106" s="8">
        <f ca="1">OFFSET(Database!$F106,0,COLUMN(Database!DG106)*2-12)</f>
        <v>7.3643999999999998</v>
      </c>
      <c r="DK106" s="8">
        <f ca="1">OFFSET(Database!$F106,0,COLUMN(Database!DH106)*2-12)</f>
        <v>18.110199999999999</v>
      </c>
      <c r="DL106" s="8">
        <f ca="1">OFFSET(Database!$F106,0,COLUMN(Database!DI106)*2-12)</f>
        <v>1.2591000000000001</v>
      </c>
      <c r="DM106" s="8">
        <f ca="1">OFFSET(Database!$F106,0,COLUMN(Database!DJ106)*2-12)</f>
        <v>23.0885</v>
      </c>
      <c r="DN106" s="8">
        <f ca="1">OFFSET(Database!$F106,0,COLUMN(Database!DK106)*2-12)</f>
        <v>141</v>
      </c>
      <c r="DO106" s="8">
        <f ca="1">OFFSET(Database!$F106,0,COLUMN(Database!DL106)*2-12)</f>
        <v>141</v>
      </c>
      <c r="DP106" s="8">
        <f ca="1">OFFSET(Database!$F106,0,COLUMN(Database!DM106)*2-12)</f>
        <v>9.6999999999999993</v>
      </c>
      <c r="DQ106" s="8">
        <f ca="1">OFFSET(Database!$F106,0,COLUMN(Database!DN106)*2-12)</f>
        <v>13.8</v>
      </c>
      <c r="DR106" s="8">
        <f ca="1">OFFSET(Database!$F106,0,COLUMN(Database!DO106)*2-12)</f>
        <v>1.1100000000000001</v>
      </c>
      <c r="DS106" s="8">
        <f ca="1">OFFSET(Database!$F106,0,COLUMN(Database!DP106)*2-12)</f>
        <v>33</v>
      </c>
      <c r="DT106" s="8">
        <f ca="1">OFFSET(Database!$F106,0,COLUMN(Database!DQ106)*2-12)</f>
        <v>14.7</v>
      </c>
      <c r="DU106" s="8" t="str">
        <f ca="1">OFFSET(Database!$F106,0,COLUMN(Database!DR106)*2-12)</f>
        <v>n.r.</v>
      </c>
      <c r="DV106" s="8" t="str">
        <f ca="1">OFFSET(Database!$F106,0,COLUMN(Database!DS106)*2-12)</f>
        <v>n.r.</v>
      </c>
      <c r="DW106" s="8" t="str">
        <f ca="1">OFFSET(Database!$F106,0,COLUMN(Database!DT106)*2-12)</f>
        <v>n.r.</v>
      </c>
      <c r="DX106" s="8" t="str">
        <f ca="1">OFFSET(Database!$F106,0,COLUMN(Database!DU106)*2-12)</f>
        <v>n.r.</v>
      </c>
      <c r="DY106" s="8" t="str">
        <f ca="1">OFFSET(Database!$F106,0,COLUMN(Database!DV106)*2-12)</f>
        <v>n.r.</v>
      </c>
      <c r="DZ106" s="8" t="str">
        <f ca="1">OFFSET(Database!$F106,0,COLUMN(Database!DW106)*2-12)</f>
        <v>n.r.</v>
      </c>
      <c r="EA106" s="8" t="str">
        <f ca="1">OFFSET(Database!$F106,0,COLUMN(Database!DX106)*2-12)</f>
        <v>n.r.</v>
      </c>
      <c r="EB106" s="8" t="str">
        <f ca="1">OFFSET(Database!$F106,0,COLUMN(Database!DY106)*2-12)</f>
        <v>n.r.</v>
      </c>
      <c r="EC106" s="8" t="str">
        <f ca="1">OFFSET(Database!$F106,0,COLUMN(Database!DZ106)*2-12)</f>
        <v>n.r.</v>
      </c>
      <c r="ED106" s="8" t="str">
        <f ca="1">OFFSET(Database!$F106,0,COLUMN(Database!EA106)*2-12)</f>
        <v>n.r.</v>
      </c>
      <c r="EE106" s="8" t="str">
        <f ca="1">OFFSET(Database!$F106,0,COLUMN(Database!EB106)*2-12)</f>
        <v>n.r.</v>
      </c>
      <c r="EF106" s="8" t="str">
        <f ca="1">OFFSET(Database!$F106,0,COLUMN(Database!EC106)*2-12)</f>
        <v>n.r.</v>
      </c>
      <c r="EG106" s="8" t="str">
        <f ca="1">OFFSET(Database!$F106,0,COLUMN(Database!ED106)*2-12)</f>
        <v>n.r.</v>
      </c>
      <c r="EH106" s="8" t="str">
        <f ca="1">OFFSET(Database!$F106,0,COLUMN(Database!EE106)*2-12)</f>
        <v>n.r.</v>
      </c>
      <c r="EI106" s="8" t="str">
        <f ca="1">OFFSET(Database!$F106,0,COLUMN(Database!EF106)*2-12)</f>
        <v>n.r.</v>
      </c>
      <c r="EJ106" s="8" t="str">
        <f ca="1">OFFSET(Database!$F106,0,COLUMN(Database!EG106)*2-12)</f>
        <v>n.r.</v>
      </c>
      <c r="EK106" s="8" t="str">
        <f ca="1">OFFSET(Database!$F106,0,COLUMN(Database!EH106)*2-12)</f>
        <v>n.r.</v>
      </c>
      <c r="EL106" s="8" t="str">
        <f ca="1">OFFSET(Database!$F106,0,COLUMN(Database!EI106)*2-12)</f>
        <v>n.r.</v>
      </c>
      <c r="EM106" s="8" t="str">
        <f ca="1">OFFSET(Database!$F106,0,COLUMN(Database!EJ106)*2-12)</f>
        <v>n.r.</v>
      </c>
      <c r="EN106" s="8" t="str">
        <f ca="1">OFFSET(Database!$F106,0,COLUMN(Database!EK106)*2-12)</f>
        <v>n.r.</v>
      </c>
      <c r="EO106" s="8" t="str">
        <f ca="1">OFFSET(Database!$F106,0,COLUMN(Database!EL106)*2-12)</f>
        <v>n.r.</v>
      </c>
      <c r="EP106" s="8" t="str">
        <f ca="1">OFFSET(Database!$F106,0,COLUMN(Database!EM106)*2-12)</f>
        <v>n.r.</v>
      </c>
      <c r="EQ106" s="8" t="str">
        <f ca="1">OFFSET(Database!$F106,0,COLUMN(Database!EN106)*2-12)</f>
        <v>n.r.</v>
      </c>
      <c r="ER106" s="8">
        <f ca="1">OFFSET(Database!$F106,0,COLUMN(Database!EO106)*2-12)</f>
        <v>28169.310421835165</v>
      </c>
      <c r="ES106" s="8">
        <f ca="1">OFFSET(Database!$F106,0,COLUMN(Database!EP106)*2-12)</f>
        <v>27864.110350208201</v>
      </c>
      <c r="ET106" s="8">
        <f ca="1">OFFSET(Database!$F106,0,COLUMN(Database!EQ106)*2-12)</f>
        <v>26215.298002609255</v>
      </c>
      <c r="EU106" s="8">
        <f ca="1">OFFSET(Database!$F106,0,COLUMN(Database!ER106)*2-12)</f>
        <v>11473.080008743031</v>
      </c>
      <c r="EV106" s="8">
        <f ca="1">OFFSET(Database!$F106,0,COLUMN(Database!ES106)*2-12)</f>
        <v>25295.845149631725</v>
      </c>
      <c r="EW106" s="8" t="str">
        <f ca="1">OFFSET(Database!$F106,0,COLUMN(Database!ET106)*2-12)</f>
        <v>n.r.</v>
      </c>
      <c r="EX106" s="8" t="str">
        <f ca="1">OFFSET(Database!$F106,0,COLUMN(Database!EU106)*2-12)</f>
        <v>n.r.</v>
      </c>
      <c r="EY106" s="8" t="str">
        <f ca="1">OFFSET(Database!$F106,0,COLUMN(Database!EV106)*2-12)</f>
        <v>n.r.</v>
      </c>
      <c r="EZ106" s="8" t="str">
        <f ca="1">OFFSET(Database!$F106,0,COLUMN(Database!EW106)*2-12)</f>
        <v>n.r.</v>
      </c>
      <c r="FA106" s="8" t="str">
        <f ca="1">OFFSET(Database!$F106,0,COLUMN(Database!EX106)*2-12)</f>
        <v>n.r.</v>
      </c>
      <c r="FB106" s="8" t="str">
        <f ca="1">OFFSET(Database!$F106,0,COLUMN(Database!EY106)*2-12)</f>
        <v>n.r.</v>
      </c>
      <c r="FC106" s="8" t="str">
        <f ca="1">OFFSET(Database!$F106,0,COLUMN(Database!EZ106)*2-12)</f>
        <v>n.r.</v>
      </c>
      <c r="FD106" s="8">
        <f ca="1">OFFSET(Database!$F106,0,COLUMN(Database!FA106)*2-12)</f>
        <v>791.4</v>
      </c>
      <c r="FE106" s="8">
        <f ca="1">OFFSET(Database!$F106,0,COLUMN(Database!FB106)*2-12)</f>
        <v>2205.1999999999998</v>
      </c>
      <c r="FF106" s="8">
        <f ca="1">OFFSET(Database!$F106,0,COLUMN(Database!FC106)*2-12)</f>
        <v>1600.6</v>
      </c>
      <c r="FG106" s="8" t="str">
        <f ca="1">OFFSET(Database!$F106,0,COLUMN(Database!FD106)*2-12)</f>
        <v>n.r.</v>
      </c>
      <c r="FH106" s="8">
        <f ca="1">OFFSET(Database!$F106,0,COLUMN(Database!FE106)*2-12)</f>
        <v>40</v>
      </c>
      <c r="FI106" s="8">
        <f ca="1">OFFSET(Database!$F106,0,COLUMN(Database!FF106)*2-12)</f>
        <v>230</v>
      </c>
      <c r="FJ106" s="8">
        <f ca="1">OFFSET(Database!$F106,0,COLUMN(Database!FG106)*2-12)</f>
        <v>340</v>
      </c>
      <c r="FK106" s="8" t="str">
        <f ca="1">OFFSET(Database!$F106,0,COLUMN(Database!FH106)*2-12)</f>
        <v>n.r.</v>
      </c>
      <c r="FL106" s="8" t="str">
        <f ca="1">OFFSET(Database!$F106,0,COLUMN(Database!FI106)*2-12)</f>
        <v>n.r.</v>
      </c>
      <c r="FM106" s="8" t="str">
        <f ca="1">OFFSET(Database!$F106,0,COLUMN(Database!FJ106)*2-12)</f>
        <v>n.r.</v>
      </c>
      <c r="FN106" s="8" t="str">
        <f ca="1">OFFSET(Database!$F106,0,COLUMN(Database!FK106)*2-12)</f>
        <v>n.r.</v>
      </c>
      <c r="FO106" s="8" t="str">
        <f ca="1">OFFSET(Database!$F106,0,COLUMN(Database!FL106)*2-12)</f>
        <v>n.r.</v>
      </c>
      <c r="FP106" s="8" t="str">
        <f ca="1">OFFSET(Database!$F106,0,COLUMN(Database!FM106)*2-12)</f>
        <v>n.r.</v>
      </c>
      <c r="FQ106" s="8" t="str">
        <f ca="1">OFFSET(Database!$F106,0,COLUMN(Database!FN106)*2-12)</f>
        <v>n.r.</v>
      </c>
      <c r="FR106" s="8" t="str">
        <f ca="1">OFFSET(Database!$F106,0,COLUMN(Database!FO106)*2-12)</f>
        <v>n.r.</v>
      </c>
      <c r="FS106" s="8" t="str">
        <f ca="1">OFFSET(Database!$F106,0,COLUMN(Database!FP106)*2-12)</f>
        <v>n.r.</v>
      </c>
      <c r="FT106" s="8" t="str">
        <f ca="1">OFFSET(Database!$F106,0,COLUMN(Database!FQ106)*2-12)</f>
        <v>n.r.</v>
      </c>
      <c r="FU106" s="8" t="str">
        <f ca="1">OFFSET(Database!$F106,0,COLUMN(Database!FR106)*2-12)</f>
        <v>n.r.</v>
      </c>
      <c r="FV106" s="8" t="str">
        <f ca="1">OFFSET(Database!$F106,0,COLUMN(Database!FS106)*2-12)</f>
        <v>n.r.</v>
      </c>
      <c r="FW106" s="8" t="str">
        <f ca="1">OFFSET(Database!$F106,0,COLUMN(Database!FT106)*2-12)</f>
        <v>n.r.</v>
      </c>
      <c r="FX106" s="8" t="str">
        <f ca="1">OFFSET(Database!$F106,0,COLUMN(Database!FU106)*2-12)</f>
        <v>n.r.</v>
      </c>
      <c r="FY106" s="8" t="str">
        <f ca="1">OFFSET(Database!$F106,0,COLUMN(Database!FV106)*2-12)</f>
        <v>n.r.</v>
      </c>
      <c r="FZ106" s="8" t="str">
        <f ca="1">OFFSET(Database!$F106,0,COLUMN(Database!FW106)*2-12)</f>
        <v>n.r.</v>
      </c>
      <c r="GA106" s="8" t="str">
        <f ca="1">OFFSET(Database!$F106,0,COLUMN(Database!FX106)*2-12)</f>
        <v>n.r.</v>
      </c>
      <c r="GB106" s="8" t="str">
        <f ca="1">OFFSET(Database!$F106,0,COLUMN(Database!FY106)*2-12)</f>
        <v>n.r.</v>
      </c>
      <c r="GC106" s="8" t="str">
        <f ca="1">OFFSET(Database!$F106,0,COLUMN(Database!FZ106)*2-12)</f>
        <v>n.r.</v>
      </c>
      <c r="GD106" s="8" t="str">
        <f ca="1">OFFSET(Database!$F106,0,COLUMN(Database!GA106)*2-12)</f>
        <v>n.r.</v>
      </c>
      <c r="GE106" s="8" t="str">
        <f ca="1">OFFSET(Database!$F106,0,COLUMN(Database!GB106)*2-12)</f>
        <v>n.r.</v>
      </c>
      <c r="GF106" s="8" t="str">
        <f ca="1">OFFSET(Database!$F106,0,COLUMN(Database!GC106)*2-12)</f>
        <v>n.r.</v>
      </c>
      <c r="GG106" s="8" t="str">
        <f ca="1">OFFSET(Database!$F106,0,COLUMN(Database!GD106)*2-12)</f>
        <v>n.r.</v>
      </c>
      <c r="GH106" s="8" t="str">
        <f ca="1">OFFSET(Database!$F106,0,COLUMN(Database!GE106)*2-12)</f>
        <v>n.r.</v>
      </c>
      <c r="GI106" s="8" t="str">
        <f ca="1">OFFSET(Database!$F106,0,COLUMN(Database!GF106)*2-12)</f>
        <v>n.r.</v>
      </c>
      <c r="GJ106" s="8" t="str">
        <f ca="1">OFFSET(Database!$F106,0,COLUMN(Database!GG106)*2-12)</f>
        <v>n.r.</v>
      </c>
      <c r="GK106" s="8" t="str">
        <f ca="1">OFFSET(Database!$F106,0,COLUMN(Database!GH106)*2-12)</f>
        <v>n.r.</v>
      </c>
      <c r="GL106" s="8" t="str">
        <f ca="1">OFFSET(Database!$F106,0,COLUMN(Database!GI106)*2-12)</f>
        <v>n.r.</v>
      </c>
      <c r="GM106" s="8" t="str">
        <f ca="1">OFFSET(Database!$F106,0,COLUMN(Database!GJ106)*2-12)</f>
        <v>n.r.</v>
      </c>
      <c r="GN106" s="8" t="str">
        <f ca="1">OFFSET(Database!$F106,0,COLUMN(Database!GK106)*2-12)</f>
        <v>n.r.</v>
      </c>
      <c r="GO106" s="8" t="str">
        <f ca="1">OFFSET(Database!$F106,0,COLUMN(Database!GL106)*2-12)</f>
        <v>n.r.</v>
      </c>
      <c r="GP106" s="8" t="str">
        <f ca="1">OFFSET(Database!$F106,0,COLUMN(Database!GM106)*2-12)</f>
        <v>n.r.</v>
      </c>
    </row>
    <row r="107" spans="1:198" x14ac:dyDescent="0.2">
      <c r="A107" s="50" t="str">
        <f>Database!A107</f>
        <v>phenylalanine</v>
      </c>
      <c r="B107" s="1" t="s">
        <v>1055</v>
      </c>
      <c r="C107" s="4" t="str">
        <f>Database!B107</f>
        <v>ɑ</v>
      </c>
      <c r="D107" s="4" t="str">
        <f>Database!C107</f>
        <v>Both</v>
      </c>
      <c r="E107" s="74">
        <f>Database!D107</f>
        <v>53</v>
      </c>
      <c r="F107" s="1" t="s">
        <v>994</v>
      </c>
      <c r="G107" s="1" t="s">
        <v>1112</v>
      </c>
      <c r="H107" s="1">
        <f>Database!E107</f>
        <v>165.19</v>
      </c>
      <c r="I107" s="8" t="str">
        <f ca="1">OFFSET(Database!$F107,0,COLUMN(Database!F107)*2-12)</f>
        <v>n.r.</v>
      </c>
      <c r="J107" s="8" t="str">
        <f ca="1">OFFSET(Database!$F107,0,COLUMN(Database!G107)*2-12)</f>
        <v>n.r.</v>
      </c>
      <c r="K107" s="8" t="str">
        <f ca="1">OFFSET(Database!$F107,0,COLUMN(Database!H107)*2-12)</f>
        <v>n.r.</v>
      </c>
      <c r="L107" s="8" t="str">
        <f ca="1">OFFSET(Database!$F107,0,COLUMN(Database!I107)*2-12)</f>
        <v>n.r.</v>
      </c>
      <c r="M107" s="8" t="str">
        <f ca="1">OFFSET(Database!$F107,0,COLUMN(Database!J107)*2-12)</f>
        <v>n.r.</v>
      </c>
      <c r="N107" s="8" t="str">
        <f ca="1">OFFSET(Database!$F107,0,COLUMN(Database!K107)*2-12)</f>
        <v>n.r.</v>
      </c>
      <c r="O107" s="8" t="str">
        <f ca="1">OFFSET(Database!$F107,0,COLUMN(Database!L107)*2-12)</f>
        <v>n.r.</v>
      </c>
      <c r="P107" s="8" t="str">
        <f ca="1">OFFSET(Database!$F107,0,COLUMN(Database!M107)*2-12)</f>
        <v>n.r.</v>
      </c>
      <c r="Q107" s="8" t="str">
        <f ca="1">OFFSET(Database!$F107,0,COLUMN(Database!N107)*2-12)</f>
        <v>n.r.</v>
      </c>
      <c r="R107" s="8" t="str">
        <f ca="1">OFFSET(Database!$F107,0,COLUMN(Database!O107)*2-12)</f>
        <v>n.r.</v>
      </c>
      <c r="S107" s="8" t="str">
        <f ca="1">OFFSET(Database!$F107,0,COLUMN(Database!P107)*2-12)</f>
        <v>n.r.</v>
      </c>
      <c r="T107" s="8" t="str">
        <f ca="1">OFFSET(Database!$F107,0,COLUMN(Database!Q107)*2-12)</f>
        <v>n.r.</v>
      </c>
      <c r="U107" s="8" t="str">
        <f ca="1">OFFSET(Database!$F107,0,COLUMN(Database!R107)*2-12)</f>
        <v>n.r.</v>
      </c>
      <c r="V107" s="8" t="str">
        <f ca="1">OFFSET(Database!$F107,0,COLUMN(Database!S107)*2-12)</f>
        <v>n.r.</v>
      </c>
      <c r="W107" s="8" t="str">
        <f ca="1">OFFSET(Database!$F107,0,COLUMN(Database!T107)*2-12)</f>
        <v>n.r.</v>
      </c>
      <c r="X107" s="8" t="str">
        <f ca="1">OFFSET(Database!$F107,0,COLUMN(Database!U107)*2-12)</f>
        <v>n.r.</v>
      </c>
      <c r="Y107" s="8" t="str">
        <f ca="1">OFFSET(Database!$F107,0,COLUMN(Database!V107)*2-12)</f>
        <v>n.r.</v>
      </c>
      <c r="Z107" s="8" t="str">
        <f ca="1">OFFSET(Database!$F107,0,COLUMN(Database!W107)*2-12)</f>
        <v>n.r.</v>
      </c>
      <c r="AA107" s="8" t="str">
        <f ca="1">OFFSET(Database!$F107,0,COLUMN(Database!X107)*2-12)</f>
        <v>n.r.</v>
      </c>
      <c r="AB107" s="8" t="str">
        <f ca="1">OFFSET(Database!$F107,0,COLUMN(Database!Y107)*2-12)</f>
        <v>n.r.</v>
      </c>
      <c r="AC107" s="8" t="str">
        <f ca="1">OFFSET(Database!$F107,0,COLUMN(Database!Z107)*2-12)</f>
        <v>n.r.</v>
      </c>
      <c r="AD107" s="8" t="str">
        <f ca="1">OFFSET(Database!$F107,0,COLUMN(Database!AA107)*2-12)</f>
        <v>n.r.</v>
      </c>
      <c r="AE107" s="8" t="str">
        <f ca="1">OFFSET(Database!$F107,0,COLUMN(Database!AB107)*2-12)</f>
        <v>n.r.</v>
      </c>
      <c r="AF107" s="8" t="str">
        <f ca="1">OFFSET(Database!$F107,0,COLUMN(Database!AC107)*2-12)</f>
        <v>n.r.</v>
      </c>
      <c r="AG107" s="8" t="str">
        <f ca="1">OFFSET(Database!$F107,0,COLUMN(Database!AD107)*2-12)</f>
        <v>n.r.</v>
      </c>
      <c r="AH107" s="8" t="str">
        <f ca="1">OFFSET(Database!$F107,0,COLUMN(Database!AE107)*2-12)</f>
        <v>n.r.</v>
      </c>
      <c r="AI107" s="8" t="str">
        <f ca="1">OFFSET(Database!$F107,0,COLUMN(Database!AF107)*2-12)</f>
        <v>n.r.</v>
      </c>
      <c r="AJ107" s="8" t="str">
        <f ca="1">OFFSET(Database!$F107,0,COLUMN(Database!AG107)*2-12)</f>
        <v>n.r.</v>
      </c>
      <c r="AK107" s="8" t="str">
        <f ca="1">OFFSET(Database!$F107,0,COLUMN(Database!AH107)*2-12)</f>
        <v>n.r.</v>
      </c>
      <c r="AL107" s="8" t="str">
        <f ca="1">OFFSET(Database!$F107,0,COLUMN(Database!AI107)*2-12)</f>
        <v>n.r.</v>
      </c>
      <c r="AM107" s="8" t="str">
        <f ca="1">OFFSET(Database!$F107,0,COLUMN(Database!AJ107)*2-12)</f>
        <v>n.r.</v>
      </c>
      <c r="AN107" s="8" t="str">
        <f ca="1">OFFSET(Database!$F107,0,COLUMN(Database!AK107)*2-12)</f>
        <v>n.r.</v>
      </c>
      <c r="AO107" s="8" t="str">
        <f ca="1">OFFSET(Database!$F107,0,COLUMN(Database!AL107)*2-12)</f>
        <v>n.r.</v>
      </c>
      <c r="AP107" s="8" t="str">
        <f ca="1">OFFSET(Database!$F107,0,COLUMN(Database!AM107)*2-12)</f>
        <v>n.r.</v>
      </c>
      <c r="AQ107" s="8" t="str">
        <f ca="1">OFFSET(Database!$F107,0,COLUMN(Database!AN107)*2-12)</f>
        <v>n.r.</v>
      </c>
      <c r="AR107" s="8" t="str">
        <f ca="1">OFFSET(Database!$F107,0,COLUMN(Database!AO107)*2-12)</f>
        <v>n.r.</v>
      </c>
      <c r="AS107" s="8" t="str">
        <f ca="1">OFFSET(Database!$F107,0,COLUMN(Database!AP107)*2-12)</f>
        <v>n.r.</v>
      </c>
      <c r="AT107" s="8" t="str">
        <f ca="1">OFFSET(Database!$F107,0,COLUMN(Database!AQ107)*2-12)</f>
        <v>n.r.</v>
      </c>
      <c r="AU107" s="8" t="str">
        <f ca="1">OFFSET(Database!$F107,0,COLUMN(Database!AR107)*2-12)</f>
        <v>n.r.</v>
      </c>
      <c r="AV107" s="8" t="str">
        <f ca="1">OFFSET(Database!$F107,0,COLUMN(Database!AS107)*2-12)</f>
        <v>n.r.</v>
      </c>
      <c r="AW107" s="8" t="str">
        <f ca="1">OFFSET(Database!$F107,0,COLUMN(Database!AT107)*2-12)</f>
        <v>n.r.</v>
      </c>
      <c r="AX107" s="8" t="str">
        <f ca="1">OFFSET(Database!$F107,0,COLUMN(Database!AU107)*2-12)</f>
        <v>n.r.</v>
      </c>
      <c r="AY107" s="8" t="str">
        <f ca="1">OFFSET(Database!$F107,0,COLUMN(Database!AV107)*2-12)</f>
        <v>n.r.</v>
      </c>
      <c r="AZ107" s="8" t="str">
        <f ca="1">OFFSET(Database!$F107,0,COLUMN(Database!AW107)*2-12)</f>
        <v>n.r.</v>
      </c>
      <c r="BA107" s="8" t="str">
        <f ca="1">OFFSET(Database!$F107,0,COLUMN(Database!AX107)*2-12)</f>
        <v>n.r.</v>
      </c>
      <c r="BB107" s="8" t="str">
        <f ca="1">OFFSET(Database!$F107,0,COLUMN(Database!AY107)*2-12)</f>
        <v>n.r.</v>
      </c>
      <c r="BC107" s="8" t="str">
        <f ca="1">OFFSET(Database!$F107,0,COLUMN(Database!AZ107)*2-12)</f>
        <v>n.r.</v>
      </c>
      <c r="BD107" s="8" t="str">
        <f ca="1">OFFSET(Database!$F107,0,COLUMN(Database!BA107)*2-12)</f>
        <v>n.r.</v>
      </c>
      <c r="BE107" s="8" t="str">
        <f ca="1">OFFSET(Database!$F107,0,COLUMN(Database!BB107)*2-12)</f>
        <v>n.r.</v>
      </c>
      <c r="BF107" s="8" t="str">
        <f ca="1">OFFSET(Database!$F107,0,COLUMN(Database!BC107)*2-12)</f>
        <v>n.r.</v>
      </c>
      <c r="BG107" s="8" t="str">
        <f ca="1">OFFSET(Database!$F107,0,COLUMN(Database!BD107)*2-12)</f>
        <v>n.r.</v>
      </c>
      <c r="BH107" s="8" t="str">
        <f ca="1">OFFSET(Database!$F107,0,COLUMN(Database!BE107)*2-12)</f>
        <v>n.r.</v>
      </c>
      <c r="BI107" s="8" t="str">
        <f ca="1">OFFSET(Database!$F107,0,COLUMN(Database!BF107)*2-12)</f>
        <v>n.r.</v>
      </c>
      <c r="BJ107" s="8" t="str">
        <f ca="1">OFFSET(Database!$F107,0,COLUMN(Database!BG107)*2-12)</f>
        <v>n.r.</v>
      </c>
      <c r="BK107" s="8" t="str">
        <f ca="1">OFFSET(Database!$F107,0,COLUMN(Database!BH107)*2-12)</f>
        <v>n.r.</v>
      </c>
      <c r="BL107" s="8" t="str">
        <f ca="1">OFFSET(Database!$F107,0,COLUMN(Database!BI107)*2-12)</f>
        <v>n.r.</v>
      </c>
      <c r="BM107" s="8" t="str">
        <f ca="1">OFFSET(Database!$F107,0,COLUMN(Database!BJ107)*2-12)</f>
        <v>n.r.</v>
      </c>
      <c r="BN107" s="8" t="str">
        <f ca="1">OFFSET(Database!$F107,0,COLUMN(Database!BK107)*2-12)</f>
        <v>n.r.</v>
      </c>
      <c r="BO107" s="8" t="str">
        <f ca="1">OFFSET(Database!$F107,0,COLUMN(Database!BL107)*2-12)</f>
        <v>n.r.</v>
      </c>
      <c r="BP107" s="8" t="str">
        <f ca="1">OFFSET(Database!$F107,0,COLUMN(Database!BM107)*2-12)</f>
        <v>n.r.</v>
      </c>
      <c r="BQ107" s="8" t="str">
        <f ca="1">OFFSET(Database!$F107,0,COLUMN(Database!BN107)*2-12)</f>
        <v>n.r.</v>
      </c>
      <c r="BR107" s="8" t="str">
        <f ca="1">OFFSET(Database!$F107,0,COLUMN(Database!BO107)*2-12)</f>
        <v>n.r.</v>
      </c>
      <c r="BS107" s="8" t="str">
        <f ca="1">OFFSET(Database!$F107,0,COLUMN(Database!BP107)*2-12)</f>
        <v>n.r.</v>
      </c>
      <c r="BT107" s="8" t="str">
        <f ca="1">OFFSET(Database!$F107,0,COLUMN(Database!BQ107)*2-12)</f>
        <v>n.r.</v>
      </c>
      <c r="BU107" s="8" t="str">
        <f ca="1">OFFSET(Database!$F107,0,COLUMN(Database!BR107)*2-12)</f>
        <v>n.r.</v>
      </c>
      <c r="BV107" s="8" t="str">
        <f ca="1">OFFSET(Database!$F107,0,COLUMN(Database!BS107)*2-12)</f>
        <v>n.r.</v>
      </c>
      <c r="BW107" s="8" t="str">
        <f ca="1">OFFSET(Database!$F107,0,COLUMN(Database!BT107)*2-12)</f>
        <v>n.r.</v>
      </c>
      <c r="BX107" s="8" t="str">
        <f ca="1">OFFSET(Database!$F107,0,COLUMN(Database!BU107)*2-12)</f>
        <v>n.r.</v>
      </c>
      <c r="BY107" s="8" t="str">
        <f ca="1">OFFSET(Database!$F107,0,COLUMN(Database!BV107)*2-12)</f>
        <v>n.r.</v>
      </c>
      <c r="BZ107" s="8" t="str">
        <f ca="1">OFFSET(Database!$F107,0,COLUMN(Database!BW107)*2-12)</f>
        <v>n.r.</v>
      </c>
      <c r="CA107" s="8" t="str">
        <f ca="1">OFFSET(Database!$F107,0,COLUMN(Database!BX107)*2-12)</f>
        <v>n.r.</v>
      </c>
      <c r="CB107" s="8" t="str">
        <f ca="1">OFFSET(Database!$F107,0,COLUMN(Database!BY107)*2-12)</f>
        <v>n.r.</v>
      </c>
      <c r="CC107" s="8" t="str">
        <f ca="1">OFFSET(Database!$F107,0,COLUMN(Database!BZ107)*2-12)</f>
        <v>n.r.</v>
      </c>
      <c r="CD107" s="8" t="str">
        <f ca="1">OFFSET(Database!$F107,0,COLUMN(Database!CA107)*2-12)</f>
        <v>n.r.</v>
      </c>
      <c r="CE107" s="8" t="str">
        <f ca="1">OFFSET(Database!$F107,0,COLUMN(Database!CB107)*2-12)</f>
        <v>n.r.</v>
      </c>
      <c r="CF107" s="8" t="str">
        <f ca="1">OFFSET(Database!$F107,0,COLUMN(Database!CC107)*2-12)</f>
        <v>n.r.</v>
      </c>
      <c r="CG107" s="8" t="str">
        <f ca="1">OFFSET(Database!$F107,0,COLUMN(Database!CD107)*2-12)</f>
        <v>n.r.</v>
      </c>
      <c r="CH107" s="8" t="str">
        <f ca="1">OFFSET(Database!$F107,0,COLUMN(Database!CE107)*2-12)</f>
        <v>n.r.</v>
      </c>
      <c r="CI107" s="8" t="str">
        <f ca="1">OFFSET(Database!$F107,0,COLUMN(Database!CF107)*2-12)</f>
        <v>n.r.</v>
      </c>
      <c r="CJ107" s="8" t="str">
        <f ca="1">OFFSET(Database!$F107,0,COLUMN(Database!CG107)*2-12)</f>
        <v>n.r.</v>
      </c>
      <c r="CK107" s="8" t="str">
        <f ca="1">OFFSET(Database!$F107,0,COLUMN(Database!CH107)*2-12)</f>
        <v>n.r.</v>
      </c>
      <c r="CL107" s="8" t="str">
        <f ca="1">OFFSET(Database!$F107,0,COLUMN(Database!CI107)*2-12)</f>
        <v>n.r.</v>
      </c>
      <c r="CM107" s="8" t="str">
        <f ca="1">OFFSET(Database!$F107,0,COLUMN(Database!CJ107)*2-12)</f>
        <v>n.r.</v>
      </c>
      <c r="CN107" s="8" t="str">
        <f ca="1">OFFSET(Database!$F107,0,COLUMN(Database!CK107)*2-12)</f>
        <v>n.r.</v>
      </c>
      <c r="CO107" s="8" t="str">
        <f ca="1">OFFSET(Database!$F107,0,COLUMN(Database!CL107)*2-12)</f>
        <v>n.r.</v>
      </c>
      <c r="CP107" s="8" t="str">
        <f ca="1">OFFSET(Database!$F107,0,COLUMN(Database!CM107)*2-12)</f>
        <v>n.r.</v>
      </c>
      <c r="CQ107" s="8" t="str">
        <f ca="1">OFFSET(Database!$F107,0,COLUMN(Database!CN107)*2-12)</f>
        <v>n.r.</v>
      </c>
      <c r="CR107" s="8" t="str">
        <f ca="1">OFFSET(Database!$F107,0,COLUMN(Database!CO107)*2-12)</f>
        <v>n.r.</v>
      </c>
      <c r="CS107" s="8" t="str">
        <f ca="1">OFFSET(Database!$F107,0,COLUMN(Database!CP107)*2-12)</f>
        <v>n.r.</v>
      </c>
      <c r="CT107" s="8" t="str">
        <f ca="1">OFFSET(Database!$F107,0,COLUMN(Database!CQ107)*2-12)</f>
        <v>n.r.</v>
      </c>
      <c r="CU107" s="8" t="str">
        <f ca="1">OFFSET(Database!$F107,0,COLUMN(Database!CR107)*2-12)</f>
        <v>n.r.</v>
      </c>
      <c r="CV107" s="8" t="str">
        <f ca="1">OFFSET(Database!$F107,0,COLUMN(Database!CS107)*2-12)</f>
        <v>n.r.</v>
      </c>
      <c r="CW107" s="8" t="str">
        <f ca="1">OFFSET(Database!$F107,0,COLUMN(Database!CT107)*2-12)</f>
        <v>n.r.</v>
      </c>
      <c r="CX107" s="8" t="str">
        <f ca="1">OFFSET(Database!$F107,0,COLUMN(Database!CU107)*2-12)</f>
        <v>n.r.</v>
      </c>
      <c r="CY107" s="8" t="str">
        <f ca="1">OFFSET(Database!$F107,0,COLUMN(Database!CV107)*2-12)</f>
        <v>n.r.</v>
      </c>
      <c r="CZ107" s="8" t="str">
        <f ca="1">OFFSET(Database!$F107,0,COLUMN(Database!CW107)*2-12)</f>
        <v>n.r.</v>
      </c>
      <c r="DA107" s="8" t="str">
        <f ca="1">OFFSET(Database!$F107,0,COLUMN(Database!CX107)*2-12)</f>
        <v>n.r.</v>
      </c>
      <c r="DB107" s="8" t="str">
        <f ca="1">OFFSET(Database!$F107,0,COLUMN(Database!CY107)*2-12)</f>
        <v>n.r.</v>
      </c>
      <c r="DC107" s="8" t="str">
        <f ca="1">OFFSET(Database!$F107,0,COLUMN(Database!CZ107)*2-12)</f>
        <v>n.r.</v>
      </c>
      <c r="DD107" s="8" t="str">
        <f ca="1">OFFSET(Database!$F107,0,COLUMN(Database!DA107)*2-12)</f>
        <v>n.r.</v>
      </c>
      <c r="DE107" s="8" t="str">
        <f ca="1">OFFSET(Database!$F107,0,COLUMN(Database!DB107)*2-12)</f>
        <v>n.r.</v>
      </c>
      <c r="DF107" s="8" t="str">
        <f ca="1">OFFSET(Database!$F107,0,COLUMN(Database!DC107)*2-12)</f>
        <v>n.r.</v>
      </c>
      <c r="DG107" s="8" t="str">
        <f ca="1">OFFSET(Database!$F107,0,COLUMN(Database!DD107)*2-12)</f>
        <v>n.r.</v>
      </c>
      <c r="DH107" s="8" t="str">
        <f ca="1">OFFSET(Database!$F107,0,COLUMN(Database!DE107)*2-12)</f>
        <v>n.r.</v>
      </c>
      <c r="DI107" s="8" t="str">
        <f ca="1">OFFSET(Database!$F107,0,COLUMN(Database!DF107)*2-12)</f>
        <v>n.r.</v>
      </c>
      <c r="DJ107" s="8" t="str">
        <f ca="1">OFFSET(Database!$F107,0,COLUMN(Database!DG107)*2-12)</f>
        <v>n.r.</v>
      </c>
      <c r="DK107" s="8" t="str">
        <f ca="1">OFFSET(Database!$F107,0,COLUMN(Database!DH107)*2-12)</f>
        <v>n.r.</v>
      </c>
      <c r="DL107" s="8" t="str">
        <f ca="1">OFFSET(Database!$F107,0,COLUMN(Database!DI107)*2-12)</f>
        <v>n.r.</v>
      </c>
      <c r="DM107" s="8" t="str">
        <f ca="1">OFFSET(Database!$F107,0,COLUMN(Database!DJ107)*2-12)</f>
        <v>n.r.</v>
      </c>
      <c r="DN107" s="8" t="str">
        <f ca="1">OFFSET(Database!$F107,0,COLUMN(Database!DK107)*2-12)</f>
        <v>n.r.</v>
      </c>
      <c r="DO107" s="8" t="str">
        <f ca="1">OFFSET(Database!$F107,0,COLUMN(Database!DL107)*2-12)</f>
        <v>n.r.</v>
      </c>
      <c r="DP107" s="8" t="str">
        <f ca="1">OFFSET(Database!$F107,0,COLUMN(Database!DM107)*2-12)</f>
        <v>n.r.</v>
      </c>
      <c r="DQ107" s="8" t="str">
        <f ca="1">OFFSET(Database!$F107,0,COLUMN(Database!DN107)*2-12)</f>
        <v>n.r.</v>
      </c>
      <c r="DR107" s="8" t="str">
        <f ca="1">OFFSET(Database!$F107,0,COLUMN(Database!DO107)*2-12)</f>
        <v>n.r.</v>
      </c>
      <c r="DS107" s="8" t="str">
        <f ca="1">OFFSET(Database!$F107,0,COLUMN(Database!DP107)*2-12)</f>
        <v>n.r.</v>
      </c>
      <c r="DT107" s="8" t="str">
        <f ca="1">OFFSET(Database!$F107,0,COLUMN(Database!DQ107)*2-12)</f>
        <v>n.r.</v>
      </c>
      <c r="DU107" s="8" t="str">
        <f ca="1">OFFSET(Database!$F107,0,COLUMN(Database!DR107)*2-12)</f>
        <v>n.r.</v>
      </c>
      <c r="DV107" s="8" t="str">
        <f ca="1">OFFSET(Database!$F107,0,COLUMN(Database!DS107)*2-12)</f>
        <v>n.r.</v>
      </c>
      <c r="DW107" s="8">
        <f ca="1">OFFSET(Database!$F107,0,COLUMN(Database!DT107)*2-12)</f>
        <v>1.4</v>
      </c>
      <c r="DX107" s="8">
        <f ca="1">OFFSET(Database!$F107,0,COLUMN(Database!DU107)*2-12)</f>
        <v>0.2</v>
      </c>
      <c r="DY107" s="8">
        <f ca="1">OFFSET(Database!$F107,0,COLUMN(Database!DV107)*2-12)</f>
        <v>0.3</v>
      </c>
      <c r="DZ107" s="8">
        <f ca="1">OFFSET(Database!$F107,0,COLUMN(Database!DW107)*2-12)</f>
        <v>2.8</v>
      </c>
      <c r="EA107" s="8">
        <f ca="1">OFFSET(Database!$F107,0,COLUMN(Database!DX107)*2-12)</f>
        <v>41</v>
      </c>
      <c r="EB107" s="8">
        <f ca="1">OFFSET(Database!$F107,0,COLUMN(Database!DY107)*2-12)</f>
        <v>0.14000000000000001</v>
      </c>
      <c r="EC107" s="8" t="str">
        <f ca="1">OFFSET(Database!$F107,0,COLUMN(Database!DZ107)*2-12)</f>
        <v>n.r.</v>
      </c>
      <c r="ED107" s="8">
        <f ca="1">OFFSET(Database!$F107,0,COLUMN(Database!EA107)*2-12)</f>
        <v>4.87</v>
      </c>
      <c r="EE107" s="8">
        <f ca="1">OFFSET(Database!$F107,0,COLUMN(Database!EB107)*2-12)</f>
        <v>2420</v>
      </c>
      <c r="EF107" s="8">
        <f ca="1">OFFSET(Database!$F107,0,COLUMN(Database!EC107)*2-12)</f>
        <v>930</v>
      </c>
      <c r="EG107" s="8">
        <f ca="1">OFFSET(Database!$F107,0,COLUMN(Database!ED107)*2-12)</f>
        <v>930</v>
      </c>
      <c r="EH107" s="8">
        <f ca="1">OFFSET(Database!$F107,0,COLUMN(Database!EE107)*2-12)</f>
        <v>70</v>
      </c>
      <c r="EI107" s="8">
        <f ca="1">OFFSET(Database!$F107,0,COLUMN(Database!EF107)*2-12)</f>
        <v>6.3E-2</v>
      </c>
      <c r="EJ107" s="8">
        <f ca="1">OFFSET(Database!$F107,0,COLUMN(Database!EG107)*2-12)</f>
        <v>5.8999999999999997E-2</v>
      </c>
      <c r="EK107" s="8">
        <f ca="1">OFFSET(Database!$F107,0,COLUMN(Database!EH107)*2-12)</f>
        <v>8.8999999999999996E-2</v>
      </c>
      <c r="EL107" s="8">
        <f ca="1">OFFSET(Database!$F107,0,COLUMN(Database!EI107)*2-12)</f>
        <v>0.32500000000000001</v>
      </c>
      <c r="EM107" s="8">
        <f ca="1">OFFSET(Database!$F107,0,COLUMN(Database!EJ107)*2-12)</f>
        <v>0.27400000000000002</v>
      </c>
      <c r="EN107" s="8">
        <f ca="1">OFFSET(Database!$F107,0,COLUMN(Database!EK107)*2-12)</f>
        <v>0.20499999999999999</v>
      </c>
      <c r="EO107" s="8">
        <f ca="1">OFFSET(Database!$F107,0,COLUMN(Database!EL107)*2-12)</f>
        <v>0.30499999999999999</v>
      </c>
      <c r="EP107" s="8">
        <f ca="1">OFFSET(Database!$F107,0,COLUMN(Database!EM107)*2-12)</f>
        <v>0.23599999999999999</v>
      </c>
      <c r="EQ107" s="8">
        <f ca="1">OFFSET(Database!$F107,0,COLUMN(Database!EN107)*2-12)</f>
        <v>24.82</v>
      </c>
      <c r="ER107" s="8" t="str">
        <f ca="1">OFFSET(Database!$F107,0,COLUMN(Database!EO107)*2-12)</f>
        <v>n.r.</v>
      </c>
      <c r="ES107" s="8" t="str">
        <f ca="1">OFFSET(Database!$F107,0,COLUMN(Database!EP107)*2-12)</f>
        <v>n.r.</v>
      </c>
      <c r="ET107" s="8" t="str">
        <f ca="1">OFFSET(Database!$F107,0,COLUMN(Database!EQ107)*2-12)</f>
        <v>n.r.</v>
      </c>
      <c r="EU107" s="8" t="str">
        <f ca="1">OFFSET(Database!$F107,0,COLUMN(Database!ER107)*2-12)</f>
        <v>n.r.</v>
      </c>
      <c r="EV107" s="8" t="str">
        <f ca="1">OFFSET(Database!$F107,0,COLUMN(Database!ES107)*2-12)</f>
        <v>n.r.</v>
      </c>
      <c r="EW107" s="8">
        <f ca="1">OFFSET(Database!$F107,0,COLUMN(Database!ET107)*2-12)</f>
        <v>49600</v>
      </c>
      <c r="EX107" s="8">
        <f ca="1">OFFSET(Database!$F107,0,COLUMN(Database!EU107)*2-12)</f>
        <v>580700</v>
      </c>
      <c r="EY107" s="8">
        <f ca="1">OFFSET(Database!$F107,0,COLUMN(Database!EV107)*2-12)</f>
        <v>54800</v>
      </c>
      <c r="EZ107" s="8">
        <f ca="1">OFFSET(Database!$F107,0,COLUMN(Database!EW107)*2-12)</f>
        <v>109800</v>
      </c>
      <c r="FA107" s="8">
        <f ca="1">OFFSET(Database!$F107,0,COLUMN(Database!EX107)*2-12)</f>
        <v>223000</v>
      </c>
      <c r="FB107" s="8" t="str">
        <f ca="1">OFFSET(Database!$F107,0,COLUMN(Database!EY107)*2-12)</f>
        <v>n.r.</v>
      </c>
      <c r="FC107" s="8" t="str">
        <f ca="1">OFFSET(Database!$F107,0,COLUMN(Database!EZ107)*2-12)</f>
        <v>n.r.</v>
      </c>
      <c r="FD107" s="8" t="str">
        <f ca="1">OFFSET(Database!$F107,0,COLUMN(Database!FA107)*2-12)</f>
        <v>n.d.</v>
      </c>
      <c r="FE107" s="8" t="str">
        <f ca="1">OFFSET(Database!$F107,0,COLUMN(Database!FB107)*2-12)</f>
        <v>n.d.</v>
      </c>
      <c r="FF107" s="8" t="str">
        <f ca="1">OFFSET(Database!$F107,0,COLUMN(Database!FC107)*2-12)</f>
        <v>n.d.</v>
      </c>
      <c r="FG107" s="8">
        <f ca="1">OFFSET(Database!$F107,0,COLUMN(Database!FD107)*2-12)</f>
        <v>78697.257703250812</v>
      </c>
      <c r="FH107" s="8" t="str">
        <f ca="1">OFFSET(Database!$F107,0,COLUMN(Database!FE107)*2-12)</f>
        <v>n.r.</v>
      </c>
      <c r="FI107" s="8" t="str">
        <f ca="1">OFFSET(Database!$F107,0,COLUMN(Database!FF107)*2-12)</f>
        <v>n.r.</v>
      </c>
      <c r="FJ107" s="8" t="str">
        <f ca="1">OFFSET(Database!$F107,0,COLUMN(Database!FG107)*2-12)</f>
        <v>n.r.</v>
      </c>
      <c r="FK107" s="8">
        <f ca="1">OFFSET(Database!$F107,0,COLUMN(Database!FH107)*2-12)</f>
        <v>205218.23354924633</v>
      </c>
      <c r="FL107" s="8">
        <f ca="1">OFFSET(Database!$F107,0,COLUMN(Database!FI107)*2-12)</f>
        <v>357769.84078939405</v>
      </c>
      <c r="FM107" s="8">
        <f ca="1">OFFSET(Database!$F107,0,COLUMN(Database!FJ107)*2-12)</f>
        <v>38743.265330831164</v>
      </c>
      <c r="FN107" s="8">
        <f ca="1">OFFSET(Database!$F107,0,COLUMN(Database!FK107)*2-12)</f>
        <v>944367.09243900969</v>
      </c>
      <c r="FO107" s="8" t="str">
        <f ca="1">OFFSET(Database!$F107,0,COLUMN(Database!FL107)*2-12)</f>
        <v>n.r.</v>
      </c>
      <c r="FP107" s="8" t="str">
        <f ca="1">OFFSET(Database!$F107,0,COLUMN(Database!FM107)*2-12)</f>
        <v>n.r.</v>
      </c>
      <c r="FQ107" s="8">
        <f ca="1">OFFSET(Database!$F107,0,COLUMN(Database!FN107)*2-12)</f>
        <v>6719.5350808160301</v>
      </c>
      <c r="FR107" s="8">
        <f ca="1">OFFSET(Database!$F107,0,COLUMN(Database!FO107)*2-12)</f>
        <v>5872.0261517040981</v>
      </c>
      <c r="FS107" s="8">
        <f ca="1">OFFSET(Database!$F107,0,COLUMN(Database!FP107)*2-12)</f>
        <v>6477.3896724983351</v>
      </c>
      <c r="FT107" s="8">
        <f ca="1">OFFSET(Database!$F107,0,COLUMN(Database!FQ107)*2-12)</f>
        <v>5508.808039227556</v>
      </c>
      <c r="FU107" s="8">
        <f ca="1">OFFSET(Database!$F107,0,COLUMN(Database!FR107)*2-12)</f>
        <v>4558</v>
      </c>
      <c r="FV107" s="8">
        <f ca="1">OFFSET(Database!$F107,0,COLUMN(Database!FS107)*2-12)</f>
        <v>3838</v>
      </c>
      <c r="FW107" s="8">
        <f ca="1">OFFSET(Database!$F107,0,COLUMN(Database!FT107)*2-12)</f>
        <v>3875</v>
      </c>
      <c r="FX107" s="8">
        <f ca="1">OFFSET(Database!$F107,0,COLUMN(Database!FU107)*2-12)</f>
        <v>3726</v>
      </c>
      <c r="FY107" s="8">
        <f ca="1">OFFSET(Database!$F107,0,COLUMN(Database!FV107)*2-12)</f>
        <v>4541</v>
      </c>
      <c r="FZ107" s="8">
        <f ca="1">OFFSET(Database!$F107,0,COLUMN(Database!FW107)*2-12)</f>
        <v>4431</v>
      </c>
      <c r="GA107" s="8">
        <f ca="1">OFFSET(Database!$F107,0,COLUMN(Database!FX107)*2-12)</f>
        <v>4835</v>
      </c>
      <c r="GB107" s="8">
        <f ca="1">OFFSET(Database!$F107,0,COLUMN(Database!FY107)*2-12)</f>
        <v>4837</v>
      </c>
      <c r="GC107" s="8">
        <f ca="1">OFFSET(Database!$F107,0,COLUMN(Database!FZ107)*2-12)</f>
        <v>5278</v>
      </c>
      <c r="GD107" s="8">
        <f ca="1">OFFSET(Database!$F107,0,COLUMN(Database!GA107)*2-12)</f>
        <v>4573</v>
      </c>
      <c r="GE107" s="8">
        <f ca="1">OFFSET(Database!$F107,0,COLUMN(Database!GB107)*2-12)</f>
        <v>4283</v>
      </c>
      <c r="GF107" s="8">
        <f ca="1">OFFSET(Database!$F107,0,COLUMN(Database!GC107)*2-12)</f>
        <v>4799</v>
      </c>
      <c r="GG107" s="8" t="str">
        <f ca="1">OFFSET(Database!$F107,0,COLUMN(Database!GD107)*2-12)</f>
        <v>l.o.q.</v>
      </c>
      <c r="GH107" s="8">
        <f ca="1">OFFSET(Database!$F107,0,COLUMN(Database!GE107)*2-12)</f>
        <v>6295.7806162600646</v>
      </c>
      <c r="GI107" s="8">
        <f ca="1">OFFSET(Database!$F107,0,COLUMN(Database!GF107)*2-12)</f>
        <v>7143.2895453719957</v>
      </c>
      <c r="GJ107" s="8">
        <f ca="1">OFFSET(Database!$F107,0,COLUMN(Database!GG107)*2-12)</f>
        <v>4788.4254494824145</v>
      </c>
      <c r="GK107" s="8">
        <f ca="1">OFFSET(Database!$F107,0,COLUMN(Database!GH107)*2-12)</f>
        <v>65379.260245777594</v>
      </c>
      <c r="GL107" s="8">
        <f ca="1">OFFSET(Database!$F107,0,COLUMN(Database!GI107)*2-12)</f>
        <v>1313.6388401234942</v>
      </c>
      <c r="GM107" s="8">
        <f ca="1">OFFSET(Database!$F107,0,COLUMN(Database!GJ107)*2-12)</f>
        <v>160.42133301047278</v>
      </c>
      <c r="GN107" s="8">
        <f ca="1">OFFSET(Database!$F107,0,COLUMN(Database!GK107)*2-12)</f>
        <v>222168.41213148495</v>
      </c>
      <c r="GO107" s="8" t="str">
        <f ca="1">OFFSET(Database!$F107,0,COLUMN(Database!GL107)*2-12)</f>
        <v>n.r.</v>
      </c>
      <c r="GP107" s="8" t="str">
        <f ca="1">OFFSET(Database!$F107,0,COLUMN(Database!GM107)*2-12)</f>
        <v>n.r.</v>
      </c>
    </row>
    <row r="108" spans="1:198" x14ac:dyDescent="0.2">
      <c r="A108" s="50" t="str">
        <f>Database!A108</f>
        <v>D-tyrosine</v>
      </c>
      <c r="B108" s="1" t="s">
        <v>886</v>
      </c>
      <c r="C108" s="4" t="str">
        <f>Database!B108</f>
        <v>ɑ</v>
      </c>
      <c r="D108" s="4" t="str">
        <f>Database!C108</f>
        <v>D</v>
      </c>
      <c r="E108" s="74">
        <f>Database!D108</f>
        <v>5</v>
      </c>
      <c r="F108" s="1" t="s">
        <v>979</v>
      </c>
      <c r="G108" s="1">
        <v>71098</v>
      </c>
      <c r="H108" s="1">
        <f>Database!E108</f>
        <v>181.19</v>
      </c>
      <c r="I108" s="8" t="str">
        <f ca="1">OFFSET(Database!$F108,0,COLUMN(Database!F108)*2-12)</f>
        <v>n.r.</v>
      </c>
      <c r="J108" s="8" t="str">
        <f ca="1">OFFSET(Database!$F108,0,COLUMN(Database!G108)*2-12)</f>
        <v>n.r.</v>
      </c>
      <c r="K108" s="8" t="str">
        <f ca="1">OFFSET(Database!$F108,0,COLUMN(Database!H108)*2-12)</f>
        <v>n.r.</v>
      </c>
      <c r="L108" s="8" t="str">
        <f ca="1">OFFSET(Database!$F108,0,COLUMN(Database!I108)*2-12)</f>
        <v>n.r.</v>
      </c>
      <c r="M108" s="8" t="str">
        <f ca="1">OFFSET(Database!$F108,0,COLUMN(Database!J108)*2-12)</f>
        <v>n.r.</v>
      </c>
      <c r="N108" s="8" t="str">
        <f ca="1">OFFSET(Database!$F108,0,COLUMN(Database!K108)*2-12)</f>
        <v>n.r.</v>
      </c>
      <c r="O108" s="8" t="str">
        <f ca="1">OFFSET(Database!$F108,0,COLUMN(Database!L108)*2-12)</f>
        <v>n.r.</v>
      </c>
      <c r="P108" s="8" t="str">
        <f ca="1">OFFSET(Database!$F108,0,COLUMN(Database!M108)*2-12)</f>
        <v>n.r.</v>
      </c>
      <c r="Q108" s="8" t="str">
        <f ca="1">OFFSET(Database!$F108,0,COLUMN(Database!N108)*2-12)</f>
        <v>n.r.</v>
      </c>
      <c r="R108" s="8" t="str">
        <f ca="1">OFFSET(Database!$F108,0,COLUMN(Database!O108)*2-12)</f>
        <v>n.r.</v>
      </c>
      <c r="S108" s="8" t="str">
        <f ca="1">OFFSET(Database!$F108,0,COLUMN(Database!P108)*2-12)</f>
        <v>n.r.</v>
      </c>
      <c r="T108" s="8" t="str">
        <f ca="1">OFFSET(Database!$F108,0,COLUMN(Database!Q108)*2-12)</f>
        <v>n.r.</v>
      </c>
      <c r="U108" s="8" t="str">
        <f ca="1">OFFSET(Database!$F108,0,COLUMN(Database!R108)*2-12)</f>
        <v>n.r.</v>
      </c>
      <c r="V108" s="8" t="str">
        <f ca="1">OFFSET(Database!$F108,0,COLUMN(Database!S108)*2-12)</f>
        <v>n.r.</v>
      </c>
      <c r="W108" s="8" t="str">
        <f ca="1">OFFSET(Database!$F108,0,COLUMN(Database!T108)*2-12)</f>
        <v>n.r.</v>
      </c>
      <c r="X108" s="8" t="str">
        <f ca="1">OFFSET(Database!$F108,0,COLUMN(Database!U108)*2-12)</f>
        <v>n.r.</v>
      </c>
      <c r="Y108" s="8" t="str">
        <f ca="1">OFFSET(Database!$F108,0,COLUMN(Database!V108)*2-12)</f>
        <v>n.r.</v>
      </c>
      <c r="Z108" s="8" t="str">
        <f ca="1">OFFSET(Database!$F108,0,COLUMN(Database!W108)*2-12)</f>
        <v>n.r.</v>
      </c>
      <c r="AA108" s="8" t="str">
        <f ca="1">OFFSET(Database!$F108,0,COLUMN(Database!X108)*2-12)</f>
        <v>n.r.</v>
      </c>
      <c r="AB108" s="8" t="str">
        <f ca="1">OFFSET(Database!$F108,0,COLUMN(Database!Y108)*2-12)</f>
        <v>n.r.</v>
      </c>
      <c r="AC108" s="8" t="str">
        <f ca="1">OFFSET(Database!$F108,0,COLUMN(Database!Z108)*2-12)</f>
        <v>n.r.</v>
      </c>
      <c r="AD108" s="8" t="str">
        <f ca="1">OFFSET(Database!$F108,0,COLUMN(Database!AA108)*2-12)</f>
        <v>n.r.</v>
      </c>
      <c r="AE108" s="8" t="str">
        <f ca="1">OFFSET(Database!$F108,0,COLUMN(Database!AB108)*2-12)</f>
        <v>n.r.</v>
      </c>
      <c r="AF108" s="8" t="str">
        <f ca="1">OFFSET(Database!$F108,0,COLUMN(Database!AC108)*2-12)</f>
        <v>n.r.</v>
      </c>
      <c r="AG108" s="8" t="str">
        <f ca="1">OFFSET(Database!$F108,0,COLUMN(Database!AD108)*2-12)</f>
        <v>n.r.</v>
      </c>
      <c r="AH108" s="8" t="str">
        <f ca="1">OFFSET(Database!$F108,0,COLUMN(Database!AE108)*2-12)</f>
        <v>n.r.</v>
      </c>
      <c r="AI108" s="8" t="str">
        <f ca="1">OFFSET(Database!$F108,0,COLUMN(Database!AF108)*2-12)</f>
        <v>n.r.</v>
      </c>
      <c r="AJ108" s="8" t="str">
        <f ca="1">OFFSET(Database!$F108,0,COLUMN(Database!AG108)*2-12)</f>
        <v>n.r.</v>
      </c>
      <c r="AK108" s="8" t="str">
        <f ca="1">OFFSET(Database!$F108,0,COLUMN(Database!AH108)*2-12)</f>
        <v>n.r.</v>
      </c>
      <c r="AL108" s="8" t="str">
        <f ca="1">OFFSET(Database!$F108,0,COLUMN(Database!AI108)*2-12)</f>
        <v>n.r.</v>
      </c>
      <c r="AM108" s="8" t="str">
        <f ca="1">OFFSET(Database!$F108,0,COLUMN(Database!AJ108)*2-12)</f>
        <v>n.r.</v>
      </c>
      <c r="AN108" s="8" t="str">
        <f ca="1">OFFSET(Database!$F108,0,COLUMN(Database!AK108)*2-12)</f>
        <v>n.r.</v>
      </c>
      <c r="AO108" s="8" t="str">
        <f ca="1">OFFSET(Database!$F108,0,COLUMN(Database!AL108)*2-12)</f>
        <v>n.r.</v>
      </c>
      <c r="AP108" s="8" t="str">
        <f ca="1">OFFSET(Database!$F108,0,COLUMN(Database!AM108)*2-12)</f>
        <v>n.r.</v>
      </c>
      <c r="AQ108" s="8" t="str">
        <f ca="1">OFFSET(Database!$F108,0,COLUMN(Database!AN108)*2-12)</f>
        <v>n.r.</v>
      </c>
      <c r="AR108" s="8" t="str">
        <f ca="1">OFFSET(Database!$F108,0,COLUMN(Database!AO108)*2-12)</f>
        <v>n.r.</v>
      </c>
      <c r="AS108" s="8" t="str">
        <f ca="1">OFFSET(Database!$F108,0,COLUMN(Database!AP108)*2-12)</f>
        <v>n.r.</v>
      </c>
      <c r="AT108" s="8" t="str">
        <f ca="1">OFFSET(Database!$F108,0,COLUMN(Database!AQ108)*2-12)</f>
        <v>n.r.</v>
      </c>
      <c r="AU108" s="8" t="str">
        <f ca="1">OFFSET(Database!$F108,0,COLUMN(Database!AR108)*2-12)</f>
        <v>n.r.</v>
      </c>
      <c r="AV108" s="8" t="str">
        <f ca="1">OFFSET(Database!$F108,0,COLUMN(Database!AS108)*2-12)</f>
        <v>n.r.</v>
      </c>
      <c r="AW108" s="8" t="str">
        <f ca="1">OFFSET(Database!$F108,0,COLUMN(Database!AT108)*2-12)</f>
        <v>n.r.</v>
      </c>
      <c r="AX108" s="8" t="str">
        <f ca="1">OFFSET(Database!$F108,0,COLUMN(Database!AU108)*2-12)</f>
        <v>n.r.</v>
      </c>
      <c r="AY108" s="8" t="str">
        <f ca="1">OFFSET(Database!$F108,0,COLUMN(Database!AV108)*2-12)</f>
        <v>n.r.</v>
      </c>
      <c r="AZ108" s="8" t="str">
        <f ca="1">OFFSET(Database!$F108,0,COLUMN(Database!AW108)*2-12)</f>
        <v>n.r.</v>
      </c>
      <c r="BA108" s="8" t="str">
        <f ca="1">OFFSET(Database!$F108,0,COLUMN(Database!AX108)*2-12)</f>
        <v>n.r.</v>
      </c>
      <c r="BB108" s="8" t="str">
        <f ca="1">OFFSET(Database!$F108,0,COLUMN(Database!AY108)*2-12)</f>
        <v>n.r.</v>
      </c>
      <c r="BC108" s="8" t="str">
        <f ca="1">OFFSET(Database!$F108,0,COLUMN(Database!AZ108)*2-12)</f>
        <v>n.r.</v>
      </c>
      <c r="BD108" s="8" t="str">
        <f ca="1">OFFSET(Database!$F108,0,COLUMN(Database!BA108)*2-12)</f>
        <v>n.r.</v>
      </c>
      <c r="BE108" s="8" t="str">
        <f ca="1">OFFSET(Database!$F108,0,COLUMN(Database!BB108)*2-12)</f>
        <v>n.r.</v>
      </c>
      <c r="BF108" s="8" t="str">
        <f ca="1">OFFSET(Database!$F108,0,COLUMN(Database!BC108)*2-12)</f>
        <v>n.r.</v>
      </c>
      <c r="BG108" s="8" t="str">
        <f ca="1">OFFSET(Database!$F108,0,COLUMN(Database!BD108)*2-12)</f>
        <v>n.r.</v>
      </c>
      <c r="BH108" s="8" t="str">
        <f ca="1">OFFSET(Database!$F108,0,COLUMN(Database!BE108)*2-12)</f>
        <v>n.r.</v>
      </c>
      <c r="BI108" s="8" t="str">
        <f ca="1">OFFSET(Database!$F108,0,COLUMN(Database!BF108)*2-12)</f>
        <v>n.r.</v>
      </c>
      <c r="BJ108" s="8" t="str">
        <f ca="1">OFFSET(Database!$F108,0,COLUMN(Database!BG108)*2-12)</f>
        <v>n.r.</v>
      </c>
      <c r="BK108" s="8" t="str">
        <f ca="1">OFFSET(Database!$F108,0,COLUMN(Database!BH108)*2-12)</f>
        <v>n.r.</v>
      </c>
      <c r="BL108" s="8" t="str">
        <f ca="1">OFFSET(Database!$F108,0,COLUMN(Database!BI108)*2-12)</f>
        <v>n.r.</v>
      </c>
      <c r="BM108" s="8" t="str">
        <f ca="1">OFFSET(Database!$F108,0,COLUMN(Database!BJ108)*2-12)</f>
        <v>n.r.</v>
      </c>
      <c r="BN108" s="8" t="str">
        <f ca="1">OFFSET(Database!$F108,0,COLUMN(Database!BK108)*2-12)</f>
        <v>n.r.</v>
      </c>
      <c r="BO108" s="8" t="str">
        <f ca="1">OFFSET(Database!$F108,0,COLUMN(Database!BL108)*2-12)</f>
        <v>n.r.</v>
      </c>
      <c r="BP108" s="8" t="str">
        <f ca="1">OFFSET(Database!$F108,0,COLUMN(Database!BM108)*2-12)</f>
        <v>n.r.</v>
      </c>
      <c r="BQ108" s="8" t="str">
        <f ca="1">OFFSET(Database!$F108,0,COLUMN(Database!BN108)*2-12)</f>
        <v>n.r.</v>
      </c>
      <c r="BR108" s="8" t="str">
        <f ca="1">OFFSET(Database!$F108,0,COLUMN(Database!BO108)*2-12)</f>
        <v>n.r.</v>
      </c>
      <c r="BS108" s="8" t="str">
        <f ca="1">OFFSET(Database!$F108,0,COLUMN(Database!BP108)*2-12)</f>
        <v>n.r.</v>
      </c>
      <c r="BT108" s="8" t="str">
        <f ca="1">OFFSET(Database!$F108,0,COLUMN(Database!BQ108)*2-12)</f>
        <v>n.r.</v>
      </c>
      <c r="BU108" s="8" t="str">
        <f ca="1">OFFSET(Database!$F108,0,COLUMN(Database!BR108)*2-12)</f>
        <v>n.r.</v>
      </c>
      <c r="BV108" s="8" t="str">
        <f ca="1">OFFSET(Database!$F108,0,COLUMN(Database!BS108)*2-12)</f>
        <v>n.r.</v>
      </c>
      <c r="BW108" s="8" t="str">
        <f ca="1">OFFSET(Database!$F108,0,COLUMN(Database!BT108)*2-12)</f>
        <v>n.r.</v>
      </c>
      <c r="BX108" s="8" t="str">
        <f ca="1">OFFSET(Database!$F108,0,COLUMN(Database!BU108)*2-12)</f>
        <v>n.r.</v>
      </c>
      <c r="BY108" s="8" t="str">
        <f ca="1">OFFSET(Database!$F108,0,COLUMN(Database!BV108)*2-12)</f>
        <v>n.r.</v>
      </c>
      <c r="BZ108" s="8" t="str">
        <f ca="1">OFFSET(Database!$F108,0,COLUMN(Database!BW108)*2-12)</f>
        <v>n.r.</v>
      </c>
      <c r="CA108" s="8" t="str">
        <f ca="1">OFFSET(Database!$F108,0,COLUMN(Database!BX108)*2-12)</f>
        <v>n.r.</v>
      </c>
      <c r="CB108" s="8" t="str">
        <f ca="1">OFFSET(Database!$F108,0,COLUMN(Database!BY108)*2-12)</f>
        <v>n.r.</v>
      </c>
      <c r="CC108" s="8" t="str">
        <f ca="1">OFFSET(Database!$F108,0,COLUMN(Database!BZ108)*2-12)</f>
        <v>n.r.</v>
      </c>
      <c r="CD108" s="8" t="str">
        <f ca="1">OFFSET(Database!$F108,0,COLUMN(Database!CA108)*2-12)</f>
        <v>n.r.</v>
      </c>
      <c r="CE108" s="8" t="str">
        <f ca="1">OFFSET(Database!$F108,0,COLUMN(Database!CB108)*2-12)</f>
        <v>n.r.</v>
      </c>
      <c r="CF108" s="8" t="str">
        <f ca="1">OFFSET(Database!$F108,0,COLUMN(Database!CC108)*2-12)</f>
        <v>n.r.</v>
      </c>
      <c r="CG108" s="8" t="str">
        <f ca="1">OFFSET(Database!$F108,0,COLUMN(Database!CD108)*2-12)</f>
        <v>n.r.</v>
      </c>
      <c r="CH108" s="8" t="str">
        <f ca="1">OFFSET(Database!$F108,0,COLUMN(Database!CE108)*2-12)</f>
        <v>n.r.</v>
      </c>
      <c r="CI108" s="8" t="str">
        <f ca="1">OFFSET(Database!$F108,0,COLUMN(Database!CF108)*2-12)</f>
        <v>n.r.</v>
      </c>
      <c r="CJ108" s="8" t="str">
        <f ca="1">OFFSET(Database!$F108,0,COLUMN(Database!CG108)*2-12)</f>
        <v>n.r.</v>
      </c>
      <c r="CK108" s="8" t="str">
        <f ca="1">OFFSET(Database!$F108,0,COLUMN(Database!CH108)*2-12)</f>
        <v>n.r.</v>
      </c>
      <c r="CL108" s="8" t="str">
        <f ca="1">OFFSET(Database!$F108,0,COLUMN(Database!CI108)*2-12)</f>
        <v>n.r.</v>
      </c>
      <c r="CM108" s="8" t="str">
        <f ca="1">OFFSET(Database!$F108,0,COLUMN(Database!CJ108)*2-12)</f>
        <v>n.r.</v>
      </c>
      <c r="CN108" s="8" t="str">
        <f ca="1">OFFSET(Database!$F108,0,COLUMN(Database!CK108)*2-12)</f>
        <v>n.r.</v>
      </c>
      <c r="CO108" s="8" t="str">
        <f ca="1">OFFSET(Database!$F108,0,COLUMN(Database!CL108)*2-12)</f>
        <v>n.r.</v>
      </c>
      <c r="CP108" s="8" t="str">
        <f ca="1">OFFSET(Database!$F108,0,COLUMN(Database!CM108)*2-12)</f>
        <v>n.r.</v>
      </c>
      <c r="CQ108" s="8" t="str">
        <f ca="1">OFFSET(Database!$F108,0,COLUMN(Database!CN108)*2-12)</f>
        <v>n.r.</v>
      </c>
      <c r="CR108" s="8" t="str">
        <f ca="1">OFFSET(Database!$F108,0,COLUMN(Database!CO108)*2-12)</f>
        <v>n.r.</v>
      </c>
      <c r="CS108" s="8" t="str">
        <f ca="1">OFFSET(Database!$F108,0,COLUMN(Database!CP108)*2-12)</f>
        <v>n.r.</v>
      </c>
      <c r="CT108" s="8" t="str">
        <f ca="1">OFFSET(Database!$F108,0,COLUMN(Database!CQ108)*2-12)</f>
        <v>n.r.</v>
      </c>
      <c r="CU108" s="8" t="str">
        <f ca="1">OFFSET(Database!$F108,0,COLUMN(Database!CR108)*2-12)</f>
        <v>n.r.</v>
      </c>
      <c r="CV108" s="8" t="str">
        <f ca="1">OFFSET(Database!$F108,0,COLUMN(Database!CS108)*2-12)</f>
        <v>n.r.</v>
      </c>
      <c r="CW108" s="8" t="str">
        <f ca="1">OFFSET(Database!$F108,0,COLUMN(Database!CT108)*2-12)</f>
        <v>n.r.</v>
      </c>
      <c r="CX108" s="8" t="str">
        <f ca="1">OFFSET(Database!$F108,0,COLUMN(Database!CU108)*2-12)</f>
        <v>n.r.</v>
      </c>
      <c r="CY108" s="8" t="str">
        <f ca="1">OFFSET(Database!$F108,0,COLUMN(Database!CV108)*2-12)</f>
        <v>n.r.</v>
      </c>
      <c r="CZ108" s="8" t="str">
        <f ca="1">OFFSET(Database!$F108,0,COLUMN(Database!CW108)*2-12)</f>
        <v>n.r.</v>
      </c>
      <c r="DA108" s="8" t="str">
        <f ca="1">OFFSET(Database!$F108,0,COLUMN(Database!CX108)*2-12)</f>
        <v>n.r.</v>
      </c>
      <c r="DB108" s="8" t="str">
        <f ca="1">OFFSET(Database!$F108,0,COLUMN(Database!CY108)*2-12)</f>
        <v>n.r.</v>
      </c>
      <c r="DC108" s="8" t="str">
        <f ca="1">OFFSET(Database!$F108,0,COLUMN(Database!CZ108)*2-12)</f>
        <v>n.r.</v>
      </c>
      <c r="DD108" s="8" t="str">
        <f ca="1">OFFSET(Database!$F108,0,COLUMN(Database!DA108)*2-12)</f>
        <v>n.r.</v>
      </c>
      <c r="DE108" s="8" t="str">
        <f ca="1">OFFSET(Database!$F108,0,COLUMN(Database!DB108)*2-12)</f>
        <v>n.r.</v>
      </c>
      <c r="DF108" s="8" t="str">
        <f ca="1">OFFSET(Database!$F108,0,COLUMN(Database!DC108)*2-12)</f>
        <v>n.r.</v>
      </c>
      <c r="DG108" s="8" t="str">
        <f ca="1">OFFSET(Database!$F108,0,COLUMN(Database!DD108)*2-12)</f>
        <v>n.r.</v>
      </c>
      <c r="DH108" s="8" t="str">
        <f ca="1">OFFSET(Database!$F108,0,COLUMN(Database!DE108)*2-12)</f>
        <v>n.r.</v>
      </c>
      <c r="DI108" s="8" t="str">
        <f ca="1">OFFSET(Database!$F108,0,COLUMN(Database!DF108)*2-12)</f>
        <v>n.r.</v>
      </c>
      <c r="DJ108" s="8" t="str">
        <f ca="1">OFFSET(Database!$F108,0,COLUMN(Database!DG108)*2-12)</f>
        <v>n.r.</v>
      </c>
      <c r="DK108" s="8" t="str">
        <f ca="1">OFFSET(Database!$F108,0,COLUMN(Database!DH108)*2-12)</f>
        <v>n.r.</v>
      </c>
      <c r="DL108" s="8" t="str">
        <f ca="1">OFFSET(Database!$F108,0,COLUMN(Database!DI108)*2-12)</f>
        <v>n.r.</v>
      </c>
      <c r="DM108" s="8" t="str">
        <f ca="1">OFFSET(Database!$F108,0,COLUMN(Database!DJ108)*2-12)</f>
        <v>n.r.</v>
      </c>
      <c r="DN108" s="8" t="str">
        <f ca="1">OFFSET(Database!$F108,0,COLUMN(Database!DK108)*2-12)</f>
        <v>n.r.</v>
      </c>
      <c r="DO108" s="8" t="str">
        <f ca="1">OFFSET(Database!$F108,0,COLUMN(Database!DL108)*2-12)</f>
        <v>n.r.</v>
      </c>
      <c r="DP108" s="8" t="str">
        <f ca="1">OFFSET(Database!$F108,0,COLUMN(Database!DM108)*2-12)</f>
        <v>n.r.</v>
      </c>
      <c r="DQ108" s="8" t="str">
        <f ca="1">OFFSET(Database!$F108,0,COLUMN(Database!DN108)*2-12)</f>
        <v>n.r.</v>
      </c>
      <c r="DR108" s="8" t="str">
        <f ca="1">OFFSET(Database!$F108,0,COLUMN(Database!DO108)*2-12)</f>
        <v>n.r.</v>
      </c>
      <c r="DS108" s="8" t="str">
        <f ca="1">OFFSET(Database!$F108,0,COLUMN(Database!DP108)*2-12)</f>
        <v>n.r.</v>
      </c>
      <c r="DT108" s="8" t="str">
        <f ca="1">OFFSET(Database!$F108,0,COLUMN(Database!DQ108)*2-12)</f>
        <v>n.r.</v>
      </c>
      <c r="DU108" s="8" t="str">
        <f ca="1">OFFSET(Database!$F108,0,COLUMN(Database!DR108)*2-12)</f>
        <v>n.r.</v>
      </c>
      <c r="DV108" s="8" t="str">
        <f ca="1">OFFSET(Database!$F108,0,COLUMN(Database!DS108)*2-12)</f>
        <v>n.r.</v>
      </c>
      <c r="DW108" s="8" t="str">
        <f ca="1">OFFSET(Database!$F108,0,COLUMN(Database!DT108)*2-12)</f>
        <v>n.r.</v>
      </c>
      <c r="DX108" s="8" t="str">
        <f ca="1">OFFSET(Database!$F108,0,COLUMN(Database!DU108)*2-12)</f>
        <v>n.r.</v>
      </c>
      <c r="DY108" s="8" t="str">
        <f ca="1">OFFSET(Database!$F108,0,COLUMN(Database!DV108)*2-12)</f>
        <v>n.r.</v>
      </c>
      <c r="DZ108" s="8" t="str">
        <f ca="1">OFFSET(Database!$F108,0,COLUMN(Database!DW108)*2-12)</f>
        <v>n.r.</v>
      </c>
      <c r="EA108" s="8" t="str">
        <f ca="1">OFFSET(Database!$F108,0,COLUMN(Database!DX108)*2-12)</f>
        <v>n.r.</v>
      </c>
      <c r="EB108" s="8" t="str">
        <f ca="1">OFFSET(Database!$F108,0,COLUMN(Database!DY108)*2-12)</f>
        <v>n.r.</v>
      </c>
      <c r="EC108" s="8" t="str">
        <f ca="1">OFFSET(Database!$F108,0,COLUMN(Database!DZ108)*2-12)</f>
        <v>n.r.</v>
      </c>
      <c r="ED108" s="8" t="str">
        <f ca="1">OFFSET(Database!$F108,0,COLUMN(Database!EA108)*2-12)</f>
        <v>n.r.</v>
      </c>
      <c r="EE108" s="8" t="str">
        <f ca="1">OFFSET(Database!$F108,0,COLUMN(Database!EB108)*2-12)</f>
        <v>n.r.</v>
      </c>
      <c r="EF108" s="8" t="str">
        <f ca="1">OFFSET(Database!$F108,0,COLUMN(Database!EC108)*2-12)</f>
        <v>n.r.</v>
      </c>
      <c r="EG108" s="8" t="str">
        <f ca="1">OFFSET(Database!$F108,0,COLUMN(Database!ED108)*2-12)</f>
        <v>n.r.</v>
      </c>
      <c r="EH108" s="8" t="str">
        <f ca="1">OFFSET(Database!$F108,0,COLUMN(Database!EE108)*2-12)</f>
        <v>n.r.</v>
      </c>
      <c r="EI108" s="8" t="str">
        <f ca="1">OFFSET(Database!$F108,0,COLUMN(Database!EF108)*2-12)</f>
        <v>n.r.</v>
      </c>
      <c r="EJ108" s="8" t="str">
        <f ca="1">OFFSET(Database!$F108,0,COLUMN(Database!EG108)*2-12)</f>
        <v>n.r.</v>
      </c>
      <c r="EK108" s="8" t="str">
        <f ca="1">OFFSET(Database!$F108,0,COLUMN(Database!EH108)*2-12)</f>
        <v>n.r.</v>
      </c>
      <c r="EL108" s="8" t="str">
        <f ca="1">OFFSET(Database!$F108,0,COLUMN(Database!EI108)*2-12)</f>
        <v>n.r.</v>
      </c>
      <c r="EM108" s="8" t="str">
        <f ca="1">OFFSET(Database!$F108,0,COLUMN(Database!EJ108)*2-12)</f>
        <v>n.r.</v>
      </c>
      <c r="EN108" s="8" t="str">
        <f ca="1">OFFSET(Database!$F108,0,COLUMN(Database!EK108)*2-12)</f>
        <v>n.r.</v>
      </c>
      <c r="EO108" s="8" t="str">
        <f ca="1">OFFSET(Database!$F108,0,COLUMN(Database!EL108)*2-12)</f>
        <v>n.r.</v>
      </c>
      <c r="EP108" s="8" t="str">
        <f ca="1">OFFSET(Database!$F108,0,COLUMN(Database!EM108)*2-12)</f>
        <v>n.r.</v>
      </c>
      <c r="EQ108" s="8" t="str">
        <f ca="1">OFFSET(Database!$F108,0,COLUMN(Database!EN108)*2-12)</f>
        <v>n.r.</v>
      </c>
      <c r="ER108" s="8">
        <f ca="1">OFFSET(Database!$F108,0,COLUMN(Database!EO108)*2-12)</f>
        <v>28.971762428525029</v>
      </c>
      <c r="ES108" s="8">
        <f ca="1">OFFSET(Database!$F108,0,COLUMN(Database!EP108)*2-12)</f>
        <v>79.312143098455991</v>
      </c>
      <c r="ET108" s="8">
        <f ca="1">OFFSET(Database!$F108,0,COLUMN(Database!EQ108)*2-12)</f>
        <v>73.601629698130324</v>
      </c>
      <c r="EU108" s="8">
        <f ca="1">OFFSET(Database!$F108,0,COLUMN(Database!ER108)*2-12)</f>
        <v>8.4412881105794639</v>
      </c>
      <c r="EV108" s="8">
        <f ca="1">OFFSET(Database!$F108,0,COLUMN(Database!ES108)*2-12)</f>
        <v>16.544680359548604</v>
      </c>
      <c r="EW108" s="8" t="str">
        <f ca="1">OFFSET(Database!$F108,0,COLUMN(Database!ET108)*2-12)</f>
        <v>n.r.</v>
      </c>
      <c r="EX108" s="8" t="str">
        <f ca="1">OFFSET(Database!$F108,0,COLUMN(Database!EU108)*2-12)</f>
        <v>n.r.</v>
      </c>
      <c r="EY108" s="8" t="str">
        <f ca="1">OFFSET(Database!$F108,0,COLUMN(Database!EV108)*2-12)</f>
        <v>n.r.</v>
      </c>
      <c r="EZ108" s="8" t="str">
        <f ca="1">OFFSET(Database!$F108,0,COLUMN(Database!EW108)*2-12)</f>
        <v>n.r.</v>
      </c>
      <c r="FA108" s="8" t="str">
        <f ca="1">OFFSET(Database!$F108,0,COLUMN(Database!EX108)*2-12)</f>
        <v>n.r.</v>
      </c>
      <c r="FB108" s="8" t="str">
        <f ca="1">OFFSET(Database!$F108,0,COLUMN(Database!EY108)*2-12)</f>
        <v>n.r.</v>
      </c>
      <c r="FC108" s="8" t="str">
        <f ca="1">OFFSET(Database!$F108,0,COLUMN(Database!EZ108)*2-12)</f>
        <v>n.r.</v>
      </c>
      <c r="FD108" s="8" t="str">
        <f ca="1">OFFSET(Database!$F108,0,COLUMN(Database!FA108)*2-12)</f>
        <v>n.d.</v>
      </c>
      <c r="FE108" s="8" t="str">
        <f ca="1">OFFSET(Database!$F108,0,COLUMN(Database!FB108)*2-12)</f>
        <v>n.d.</v>
      </c>
      <c r="FF108" s="8" t="str">
        <f ca="1">OFFSET(Database!$F108,0,COLUMN(Database!FC108)*2-12)</f>
        <v>n.d.</v>
      </c>
      <c r="FG108" s="8" t="str">
        <f ca="1">OFFSET(Database!$F108,0,COLUMN(Database!FD108)*2-12)</f>
        <v>n.r.</v>
      </c>
      <c r="FH108" s="8" t="str">
        <f ca="1">OFFSET(Database!$F108,0,COLUMN(Database!FE108)*2-12)</f>
        <v>n.r.</v>
      </c>
      <c r="FI108" s="8" t="str">
        <f ca="1">OFFSET(Database!$F108,0,COLUMN(Database!FF108)*2-12)</f>
        <v>n.r.</v>
      </c>
      <c r="FJ108" s="8" t="str">
        <f ca="1">OFFSET(Database!$F108,0,COLUMN(Database!FG108)*2-12)</f>
        <v>n.r.</v>
      </c>
      <c r="FK108" s="8" t="str">
        <f ca="1">OFFSET(Database!$F108,0,COLUMN(Database!FH108)*2-12)</f>
        <v>n.r.</v>
      </c>
      <c r="FL108" s="8" t="str">
        <f ca="1">OFFSET(Database!$F108,0,COLUMN(Database!FI108)*2-12)</f>
        <v>n.r.</v>
      </c>
      <c r="FM108" s="8" t="str">
        <f ca="1">OFFSET(Database!$F108,0,COLUMN(Database!FJ108)*2-12)</f>
        <v>n.r.</v>
      </c>
      <c r="FN108" s="8" t="str">
        <f ca="1">OFFSET(Database!$F108,0,COLUMN(Database!FK108)*2-12)</f>
        <v>n.r.</v>
      </c>
      <c r="FO108" s="8" t="str">
        <f ca="1">OFFSET(Database!$F108,0,COLUMN(Database!FL108)*2-12)</f>
        <v>n.r.</v>
      </c>
      <c r="FP108" s="8" t="str">
        <f ca="1">OFFSET(Database!$F108,0,COLUMN(Database!FM108)*2-12)</f>
        <v>n.r.</v>
      </c>
      <c r="FQ108" s="8" t="str">
        <f ca="1">OFFSET(Database!$F108,0,COLUMN(Database!FN108)*2-12)</f>
        <v>n.r.</v>
      </c>
      <c r="FR108" s="8" t="str">
        <f ca="1">OFFSET(Database!$F108,0,COLUMN(Database!FO108)*2-12)</f>
        <v>n.r.</v>
      </c>
      <c r="FS108" s="8" t="str">
        <f ca="1">OFFSET(Database!$F108,0,COLUMN(Database!FP108)*2-12)</f>
        <v>n.r.</v>
      </c>
      <c r="FT108" s="8" t="str">
        <f ca="1">OFFSET(Database!$F108,0,COLUMN(Database!FQ108)*2-12)</f>
        <v>n.r.</v>
      </c>
      <c r="FU108" s="8" t="str">
        <f ca="1">OFFSET(Database!$F108,0,COLUMN(Database!FR108)*2-12)</f>
        <v>n.r.</v>
      </c>
      <c r="FV108" s="8" t="str">
        <f ca="1">OFFSET(Database!$F108,0,COLUMN(Database!FS108)*2-12)</f>
        <v>n.r.</v>
      </c>
      <c r="FW108" s="8" t="str">
        <f ca="1">OFFSET(Database!$F108,0,COLUMN(Database!FT108)*2-12)</f>
        <v>n.r.</v>
      </c>
      <c r="FX108" s="8" t="str">
        <f ca="1">OFFSET(Database!$F108,0,COLUMN(Database!FU108)*2-12)</f>
        <v>n.r.</v>
      </c>
      <c r="FY108" s="8" t="str">
        <f ca="1">OFFSET(Database!$F108,0,COLUMN(Database!FV108)*2-12)</f>
        <v>n.r.</v>
      </c>
      <c r="FZ108" s="8" t="str">
        <f ca="1">OFFSET(Database!$F108,0,COLUMN(Database!FW108)*2-12)</f>
        <v>n.r.</v>
      </c>
      <c r="GA108" s="8" t="str">
        <f ca="1">OFFSET(Database!$F108,0,COLUMN(Database!FX108)*2-12)</f>
        <v>n.r.</v>
      </c>
      <c r="GB108" s="8" t="str">
        <f ca="1">OFFSET(Database!$F108,0,COLUMN(Database!FY108)*2-12)</f>
        <v>n.r.</v>
      </c>
      <c r="GC108" s="8" t="str">
        <f ca="1">OFFSET(Database!$F108,0,COLUMN(Database!FZ108)*2-12)</f>
        <v>n.r.</v>
      </c>
      <c r="GD108" s="8" t="str">
        <f ca="1">OFFSET(Database!$F108,0,COLUMN(Database!GA108)*2-12)</f>
        <v>n.r.</v>
      </c>
      <c r="GE108" s="8" t="str">
        <f ca="1">OFFSET(Database!$F108,0,COLUMN(Database!GB108)*2-12)</f>
        <v>n.r.</v>
      </c>
      <c r="GF108" s="8" t="str">
        <f ca="1">OFFSET(Database!$F108,0,COLUMN(Database!GC108)*2-12)</f>
        <v>n.r.</v>
      </c>
      <c r="GG108" s="8" t="str">
        <f ca="1">OFFSET(Database!$F108,0,COLUMN(Database!GD108)*2-12)</f>
        <v>n.r.</v>
      </c>
      <c r="GH108" s="8" t="str">
        <f ca="1">OFFSET(Database!$F108,0,COLUMN(Database!GE108)*2-12)</f>
        <v>n.r.</v>
      </c>
      <c r="GI108" s="8" t="str">
        <f ca="1">OFFSET(Database!$F108,0,COLUMN(Database!GF108)*2-12)</f>
        <v>n.r.</v>
      </c>
      <c r="GJ108" s="8" t="str">
        <f ca="1">OFFSET(Database!$F108,0,COLUMN(Database!GG108)*2-12)</f>
        <v>n.r.</v>
      </c>
      <c r="GK108" s="8" t="str">
        <f ca="1">OFFSET(Database!$F108,0,COLUMN(Database!GH108)*2-12)</f>
        <v>n.r.</v>
      </c>
      <c r="GL108" s="8" t="str">
        <f ca="1">OFFSET(Database!$F108,0,COLUMN(Database!GI108)*2-12)</f>
        <v>n.r.</v>
      </c>
      <c r="GM108" s="8" t="str">
        <f ca="1">OFFSET(Database!$F108,0,COLUMN(Database!GJ108)*2-12)</f>
        <v>n.r.</v>
      </c>
      <c r="GN108" s="8" t="str">
        <f ca="1">OFFSET(Database!$F108,0,COLUMN(Database!GK108)*2-12)</f>
        <v>n.r.</v>
      </c>
      <c r="GO108" s="8" t="str">
        <f ca="1">OFFSET(Database!$F108,0,COLUMN(Database!GL108)*2-12)</f>
        <v>n.r.</v>
      </c>
      <c r="GP108" s="8" t="str">
        <f ca="1">OFFSET(Database!$F108,0,COLUMN(Database!GM108)*2-12)</f>
        <v>n.r.</v>
      </c>
    </row>
    <row r="109" spans="1:198" x14ac:dyDescent="0.2">
      <c r="A109" s="50" t="str">
        <f>Database!A109</f>
        <v>L-tyrosine</v>
      </c>
      <c r="B109" s="1" t="s">
        <v>886</v>
      </c>
      <c r="C109" s="4" t="str">
        <f>Database!B109</f>
        <v>ɑ</v>
      </c>
      <c r="D109" s="4" t="str">
        <f>Database!C109</f>
        <v>L</v>
      </c>
      <c r="E109" s="74">
        <f>Database!D109</f>
        <v>11</v>
      </c>
      <c r="F109" s="1" t="s">
        <v>980</v>
      </c>
      <c r="G109" s="1">
        <v>6057</v>
      </c>
      <c r="H109" s="1">
        <f>Database!E109</f>
        <v>181.19</v>
      </c>
      <c r="I109" s="8" t="str">
        <f ca="1">OFFSET(Database!$F109,0,COLUMN(Database!F109)*2-12)</f>
        <v>n.r.</v>
      </c>
      <c r="J109" s="8" t="str">
        <f ca="1">OFFSET(Database!$F109,0,COLUMN(Database!G109)*2-12)</f>
        <v>n.r.</v>
      </c>
      <c r="K109" s="8" t="str">
        <f ca="1">OFFSET(Database!$F109,0,COLUMN(Database!H109)*2-12)</f>
        <v>n.r.</v>
      </c>
      <c r="L109" s="8" t="str">
        <f ca="1">OFFSET(Database!$F109,0,COLUMN(Database!I109)*2-12)</f>
        <v>n.r.</v>
      </c>
      <c r="M109" s="8" t="str">
        <f ca="1">OFFSET(Database!$F109,0,COLUMN(Database!J109)*2-12)</f>
        <v>n.r.</v>
      </c>
      <c r="N109" s="8" t="str">
        <f ca="1">OFFSET(Database!$F109,0,COLUMN(Database!K109)*2-12)</f>
        <v>n.r.</v>
      </c>
      <c r="O109" s="8" t="str">
        <f ca="1">OFFSET(Database!$F109,0,COLUMN(Database!L109)*2-12)</f>
        <v>n.r.</v>
      </c>
      <c r="P109" s="8" t="str">
        <f ca="1">OFFSET(Database!$F109,0,COLUMN(Database!M109)*2-12)</f>
        <v>n.r.</v>
      </c>
      <c r="Q109" s="8" t="str">
        <f ca="1">OFFSET(Database!$F109,0,COLUMN(Database!N109)*2-12)</f>
        <v>n.r.</v>
      </c>
      <c r="R109" s="8" t="str">
        <f ca="1">OFFSET(Database!$F109,0,COLUMN(Database!O109)*2-12)</f>
        <v>n.r.</v>
      </c>
      <c r="S109" s="8" t="str">
        <f ca="1">OFFSET(Database!$F109,0,COLUMN(Database!P109)*2-12)</f>
        <v>n.r.</v>
      </c>
      <c r="T109" s="8" t="str">
        <f ca="1">OFFSET(Database!$F109,0,COLUMN(Database!Q109)*2-12)</f>
        <v>n.r.</v>
      </c>
      <c r="U109" s="8" t="str">
        <f ca="1">OFFSET(Database!$F109,0,COLUMN(Database!R109)*2-12)</f>
        <v>n.r.</v>
      </c>
      <c r="V109" s="8" t="str">
        <f ca="1">OFFSET(Database!$F109,0,COLUMN(Database!S109)*2-12)</f>
        <v>n.r.</v>
      </c>
      <c r="W109" s="8" t="str">
        <f ca="1">OFFSET(Database!$F109,0,COLUMN(Database!T109)*2-12)</f>
        <v>n.r.</v>
      </c>
      <c r="X109" s="8" t="str">
        <f ca="1">OFFSET(Database!$F109,0,COLUMN(Database!U109)*2-12)</f>
        <v>n.r.</v>
      </c>
      <c r="Y109" s="8" t="str">
        <f ca="1">OFFSET(Database!$F109,0,COLUMN(Database!V109)*2-12)</f>
        <v>n.r.</v>
      </c>
      <c r="Z109" s="8" t="str">
        <f ca="1">OFFSET(Database!$F109,0,COLUMN(Database!W109)*2-12)</f>
        <v>n.r.</v>
      </c>
      <c r="AA109" s="8" t="str">
        <f ca="1">OFFSET(Database!$F109,0,COLUMN(Database!X109)*2-12)</f>
        <v>n.r.</v>
      </c>
      <c r="AB109" s="8" t="str">
        <f ca="1">OFFSET(Database!$F109,0,COLUMN(Database!Y109)*2-12)</f>
        <v>n.r.</v>
      </c>
      <c r="AC109" s="8" t="str">
        <f ca="1">OFFSET(Database!$F109,0,COLUMN(Database!Z109)*2-12)</f>
        <v>n.r.</v>
      </c>
      <c r="AD109" s="8" t="str">
        <f ca="1">OFFSET(Database!$F109,0,COLUMN(Database!AA109)*2-12)</f>
        <v>n.r.</v>
      </c>
      <c r="AE109" s="8" t="str">
        <f ca="1">OFFSET(Database!$F109,0,COLUMN(Database!AB109)*2-12)</f>
        <v>n.r.</v>
      </c>
      <c r="AF109" s="8" t="str">
        <f ca="1">OFFSET(Database!$F109,0,COLUMN(Database!AC109)*2-12)</f>
        <v>n.r.</v>
      </c>
      <c r="AG109" s="8" t="str">
        <f ca="1">OFFSET(Database!$F109,0,COLUMN(Database!AD109)*2-12)</f>
        <v>n.r.</v>
      </c>
      <c r="AH109" s="8" t="str">
        <f ca="1">OFFSET(Database!$F109,0,COLUMN(Database!AE109)*2-12)</f>
        <v>n.r.</v>
      </c>
      <c r="AI109" s="8" t="str">
        <f ca="1">OFFSET(Database!$F109,0,COLUMN(Database!AF109)*2-12)</f>
        <v>n.r.</v>
      </c>
      <c r="AJ109" s="8" t="str">
        <f ca="1">OFFSET(Database!$F109,0,COLUMN(Database!AG109)*2-12)</f>
        <v>n.r.</v>
      </c>
      <c r="AK109" s="8" t="str">
        <f ca="1">OFFSET(Database!$F109,0,COLUMN(Database!AH109)*2-12)</f>
        <v>n.r.</v>
      </c>
      <c r="AL109" s="8" t="str">
        <f ca="1">OFFSET(Database!$F109,0,COLUMN(Database!AI109)*2-12)</f>
        <v>n.r.</v>
      </c>
      <c r="AM109" s="8" t="str">
        <f ca="1">OFFSET(Database!$F109,0,COLUMN(Database!AJ109)*2-12)</f>
        <v>n.r.</v>
      </c>
      <c r="AN109" s="8" t="str">
        <f ca="1">OFFSET(Database!$F109,0,COLUMN(Database!AK109)*2-12)</f>
        <v>n.r.</v>
      </c>
      <c r="AO109" s="8" t="str">
        <f ca="1">OFFSET(Database!$F109,0,COLUMN(Database!AL109)*2-12)</f>
        <v>n.r.</v>
      </c>
      <c r="AP109" s="8" t="str">
        <f ca="1">OFFSET(Database!$F109,0,COLUMN(Database!AM109)*2-12)</f>
        <v>n.r.</v>
      </c>
      <c r="AQ109" s="8" t="str">
        <f ca="1">OFFSET(Database!$F109,0,COLUMN(Database!AN109)*2-12)</f>
        <v>n.r.</v>
      </c>
      <c r="AR109" s="8" t="str">
        <f ca="1">OFFSET(Database!$F109,0,COLUMN(Database!AO109)*2-12)</f>
        <v>n.r.</v>
      </c>
      <c r="AS109" s="8" t="str">
        <f ca="1">OFFSET(Database!$F109,0,COLUMN(Database!AP109)*2-12)</f>
        <v>n.r.</v>
      </c>
      <c r="AT109" s="8" t="str">
        <f ca="1">OFFSET(Database!$F109,0,COLUMN(Database!AQ109)*2-12)</f>
        <v>n.r.</v>
      </c>
      <c r="AU109" s="8" t="str">
        <f ca="1">OFFSET(Database!$F109,0,COLUMN(Database!AR109)*2-12)</f>
        <v>n.r.</v>
      </c>
      <c r="AV109" s="8" t="str">
        <f ca="1">OFFSET(Database!$F109,0,COLUMN(Database!AS109)*2-12)</f>
        <v>n.r.</v>
      </c>
      <c r="AW109" s="8" t="str">
        <f ca="1">OFFSET(Database!$F109,0,COLUMN(Database!AT109)*2-12)</f>
        <v>n.r.</v>
      </c>
      <c r="AX109" s="8" t="str">
        <f ca="1">OFFSET(Database!$F109,0,COLUMN(Database!AU109)*2-12)</f>
        <v>n.r.</v>
      </c>
      <c r="AY109" s="8" t="str">
        <f ca="1">OFFSET(Database!$F109,0,COLUMN(Database!AV109)*2-12)</f>
        <v>n.r.</v>
      </c>
      <c r="AZ109" s="8" t="str">
        <f ca="1">OFFSET(Database!$F109,0,COLUMN(Database!AW109)*2-12)</f>
        <v>n.r.</v>
      </c>
      <c r="BA109" s="8" t="str">
        <f ca="1">OFFSET(Database!$F109,0,COLUMN(Database!AX109)*2-12)</f>
        <v>n.r.</v>
      </c>
      <c r="BB109" s="8" t="str">
        <f ca="1">OFFSET(Database!$F109,0,COLUMN(Database!AY109)*2-12)</f>
        <v>n.r.</v>
      </c>
      <c r="BC109" s="8" t="str">
        <f ca="1">OFFSET(Database!$F109,0,COLUMN(Database!AZ109)*2-12)</f>
        <v>n.r.</v>
      </c>
      <c r="BD109" s="8" t="str">
        <f ca="1">OFFSET(Database!$F109,0,COLUMN(Database!BA109)*2-12)</f>
        <v>n.r.</v>
      </c>
      <c r="BE109" s="8" t="str">
        <f ca="1">OFFSET(Database!$F109,0,COLUMN(Database!BB109)*2-12)</f>
        <v>n.r.</v>
      </c>
      <c r="BF109" s="8" t="str">
        <f ca="1">OFFSET(Database!$F109,0,COLUMN(Database!BC109)*2-12)</f>
        <v>n.r.</v>
      </c>
      <c r="BG109" s="8" t="str">
        <f ca="1">OFFSET(Database!$F109,0,COLUMN(Database!BD109)*2-12)</f>
        <v>n.r.</v>
      </c>
      <c r="BH109" s="8" t="str">
        <f ca="1">OFFSET(Database!$F109,0,COLUMN(Database!BE109)*2-12)</f>
        <v>n.r.</v>
      </c>
      <c r="BI109" s="8" t="str">
        <f ca="1">OFFSET(Database!$F109,0,COLUMN(Database!BF109)*2-12)</f>
        <v>n.r.</v>
      </c>
      <c r="BJ109" s="8" t="str">
        <f ca="1">OFFSET(Database!$F109,0,COLUMN(Database!BG109)*2-12)</f>
        <v>n.r.</v>
      </c>
      <c r="BK109" s="8" t="str">
        <f ca="1">OFFSET(Database!$F109,0,COLUMN(Database!BH109)*2-12)</f>
        <v>n.r.</v>
      </c>
      <c r="BL109" s="8" t="str">
        <f ca="1">OFFSET(Database!$F109,0,COLUMN(Database!BI109)*2-12)</f>
        <v>n.r.</v>
      </c>
      <c r="BM109" s="8" t="str">
        <f ca="1">OFFSET(Database!$F109,0,COLUMN(Database!BJ109)*2-12)</f>
        <v>n.r.</v>
      </c>
      <c r="BN109" s="8" t="str">
        <f ca="1">OFFSET(Database!$F109,0,COLUMN(Database!BK109)*2-12)</f>
        <v>n.r.</v>
      </c>
      <c r="BO109" s="8" t="str">
        <f ca="1">OFFSET(Database!$F109,0,COLUMN(Database!BL109)*2-12)</f>
        <v>n.r.</v>
      </c>
      <c r="BP109" s="8" t="str">
        <f ca="1">OFFSET(Database!$F109,0,COLUMN(Database!BM109)*2-12)</f>
        <v>n.r.</v>
      </c>
      <c r="BQ109" s="8" t="str">
        <f ca="1">OFFSET(Database!$F109,0,COLUMN(Database!BN109)*2-12)</f>
        <v>n.r.</v>
      </c>
      <c r="BR109" s="8" t="str">
        <f ca="1">OFFSET(Database!$F109,0,COLUMN(Database!BO109)*2-12)</f>
        <v>n.r.</v>
      </c>
      <c r="BS109" s="8" t="str">
        <f ca="1">OFFSET(Database!$F109,0,COLUMN(Database!BP109)*2-12)</f>
        <v>n.r.</v>
      </c>
      <c r="BT109" s="8" t="str">
        <f ca="1">OFFSET(Database!$F109,0,COLUMN(Database!BQ109)*2-12)</f>
        <v>n.r.</v>
      </c>
      <c r="BU109" s="8" t="str">
        <f ca="1">OFFSET(Database!$F109,0,COLUMN(Database!BR109)*2-12)</f>
        <v>n.r.</v>
      </c>
      <c r="BV109" s="8" t="str">
        <f ca="1">OFFSET(Database!$F109,0,COLUMN(Database!BS109)*2-12)</f>
        <v>n.r.</v>
      </c>
      <c r="BW109" s="8" t="str">
        <f ca="1">OFFSET(Database!$F109,0,COLUMN(Database!BT109)*2-12)</f>
        <v>n.r.</v>
      </c>
      <c r="BX109" s="8" t="str">
        <f ca="1">OFFSET(Database!$F109,0,COLUMN(Database!BU109)*2-12)</f>
        <v>n.r.</v>
      </c>
      <c r="BY109" s="8" t="str">
        <f ca="1">OFFSET(Database!$F109,0,COLUMN(Database!BV109)*2-12)</f>
        <v>n.r.</v>
      </c>
      <c r="BZ109" s="8" t="str">
        <f ca="1">OFFSET(Database!$F109,0,COLUMN(Database!BW109)*2-12)</f>
        <v>n.r.</v>
      </c>
      <c r="CA109" s="8" t="str">
        <f ca="1">OFFSET(Database!$F109,0,COLUMN(Database!BX109)*2-12)</f>
        <v>n.r.</v>
      </c>
      <c r="CB109" s="8" t="str">
        <f ca="1">OFFSET(Database!$F109,0,COLUMN(Database!BY109)*2-12)</f>
        <v>n.r.</v>
      </c>
      <c r="CC109" s="8" t="str">
        <f ca="1">OFFSET(Database!$F109,0,COLUMN(Database!BZ109)*2-12)</f>
        <v>n.r.</v>
      </c>
      <c r="CD109" s="8" t="str">
        <f ca="1">OFFSET(Database!$F109,0,COLUMN(Database!CA109)*2-12)</f>
        <v>n.r.</v>
      </c>
      <c r="CE109" s="8" t="str">
        <f ca="1">OFFSET(Database!$F109,0,COLUMN(Database!CB109)*2-12)</f>
        <v>n.r.</v>
      </c>
      <c r="CF109" s="8" t="str">
        <f ca="1">OFFSET(Database!$F109,0,COLUMN(Database!CC109)*2-12)</f>
        <v>n.r.</v>
      </c>
      <c r="CG109" s="8" t="str">
        <f ca="1">OFFSET(Database!$F109,0,COLUMN(Database!CD109)*2-12)</f>
        <v>n.r.</v>
      </c>
      <c r="CH109" s="8" t="str">
        <f ca="1">OFFSET(Database!$F109,0,COLUMN(Database!CE109)*2-12)</f>
        <v>n.r.</v>
      </c>
      <c r="CI109" s="8" t="str">
        <f ca="1">OFFSET(Database!$F109,0,COLUMN(Database!CF109)*2-12)</f>
        <v>n.r.</v>
      </c>
      <c r="CJ109" s="8" t="str">
        <f ca="1">OFFSET(Database!$F109,0,COLUMN(Database!CG109)*2-12)</f>
        <v>n.r.</v>
      </c>
      <c r="CK109" s="8" t="str">
        <f ca="1">OFFSET(Database!$F109,0,COLUMN(Database!CH109)*2-12)</f>
        <v>n.r.</v>
      </c>
      <c r="CL109" s="8" t="str">
        <f ca="1">OFFSET(Database!$F109,0,COLUMN(Database!CI109)*2-12)</f>
        <v>n.r.</v>
      </c>
      <c r="CM109" s="8" t="str">
        <f ca="1">OFFSET(Database!$F109,0,COLUMN(Database!CJ109)*2-12)</f>
        <v>n.r.</v>
      </c>
      <c r="CN109" s="8" t="str">
        <f ca="1">OFFSET(Database!$F109,0,COLUMN(Database!CK109)*2-12)</f>
        <v>n.r.</v>
      </c>
      <c r="CO109" s="8" t="str">
        <f ca="1">OFFSET(Database!$F109,0,COLUMN(Database!CL109)*2-12)</f>
        <v>n.r.</v>
      </c>
      <c r="CP109" s="8" t="str">
        <f ca="1">OFFSET(Database!$F109,0,COLUMN(Database!CM109)*2-12)</f>
        <v>n.r.</v>
      </c>
      <c r="CQ109" s="8" t="str">
        <f ca="1">OFFSET(Database!$F109,0,COLUMN(Database!CN109)*2-12)</f>
        <v>n.r.</v>
      </c>
      <c r="CR109" s="8" t="str">
        <f ca="1">OFFSET(Database!$F109,0,COLUMN(Database!CO109)*2-12)</f>
        <v>n.r.</v>
      </c>
      <c r="CS109" s="8" t="str">
        <f ca="1">OFFSET(Database!$F109,0,COLUMN(Database!CP109)*2-12)</f>
        <v>n.r.</v>
      </c>
      <c r="CT109" s="8" t="str">
        <f ca="1">OFFSET(Database!$F109,0,COLUMN(Database!CQ109)*2-12)</f>
        <v>n.r.</v>
      </c>
      <c r="CU109" s="8" t="str">
        <f ca="1">OFFSET(Database!$F109,0,COLUMN(Database!CR109)*2-12)</f>
        <v>n.r.</v>
      </c>
      <c r="CV109" s="8" t="str">
        <f ca="1">OFFSET(Database!$F109,0,COLUMN(Database!CS109)*2-12)</f>
        <v>n.r.</v>
      </c>
      <c r="CW109" s="8" t="str">
        <f ca="1">OFFSET(Database!$F109,0,COLUMN(Database!CT109)*2-12)</f>
        <v>n.r.</v>
      </c>
      <c r="CX109" s="8" t="str">
        <f ca="1">OFFSET(Database!$F109,0,COLUMN(Database!CU109)*2-12)</f>
        <v>n.r.</v>
      </c>
      <c r="CY109" s="8" t="str">
        <f ca="1">OFFSET(Database!$F109,0,COLUMN(Database!CV109)*2-12)</f>
        <v>n.r.</v>
      </c>
      <c r="CZ109" s="8" t="str">
        <f ca="1">OFFSET(Database!$F109,0,COLUMN(Database!CW109)*2-12)</f>
        <v>n.r.</v>
      </c>
      <c r="DA109" s="8" t="str">
        <f ca="1">OFFSET(Database!$F109,0,COLUMN(Database!CX109)*2-12)</f>
        <v>n.r.</v>
      </c>
      <c r="DB109" s="8" t="str">
        <f ca="1">OFFSET(Database!$F109,0,COLUMN(Database!CY109)*2-12)</f>
        <v>n.r.</v>
      </c>
      <c r="DC109" s="8" t="str">
        <f ca="1">OFFSET(Database!$F109,0,COLUMN(Database!CZ109)*2-12)</f>
        <v>n.r.</v>
      </c>
      <c r="DD109" s="8" t="str">
        <f ca="1">OFFSET(Database!$F109,0,COLUMN(Database!DA109)*2-12)</f>
        <v>n.r.</v>
      </c>
      <c r="DE109" s="8" t="str">
        <f ca="1">OFFSET(Database!$F109,0,COLUMN(Database!DB109)*2-12)</f>
        <v>n.r.</v>
      </c>
      <c r="DF109" s="8" t="str">
        <f ca="1">OFFSET(Database!$F109,0,COLUMN(Database!DC109)*2-12)</f>
        <v>n.r.</v>
      </c>
      <c r="DG109" s="8" t="str">
        <f ca="1">OFFSET(Database!$F109,0,COLUMN(Database!DD109)*2-12)</f>
        <v>n.r.</v>
      </c>
      <c r="DH109" s="8" t="str">
        <f ca="1">OFFSET(Database!$F109,0,COLUMN(Database!DE109)*2-12)</f>
        <v>n.r.</v>
      </c>
      <c r="DI109" s="8" t="str">
        <f ca="1">OFFSET(Database!$F109,0,COLUMN(Database!DF109)*2-12)</f>
        <v>n.r.</v>
      </c>
      <c r="DJ109" s="8" t="str">
        <f ca="1">OFFSET(Database!$F109,0,COLUMN(Database!DG109)*2-12)</f>
        <v>n.r.</v>
      </c>
      <c r="DK109" s="8" t="str">
        <f ca="1">OFFSET(Database!$F109,0,COLUMN(Database!DH109)*2-12)</f>
        <v>n.r.</v>
      </c>
      <c r="DL109" s="8" t="str">
        <f ca="1">OFFSET(Database!$F109,0,COLUMN(Database!DI109)*2-12)</f>
        <v>n.r.</v>
      </c>
      <c r="DM109" s="8" t="str">
        <f ca="1">OFFSET(Database!$F109,0,COLUMN(Database!DJ109)*2-12)</f>
        <v>n.r.</v>
      </c>
      <c r="DN109" s="8" t="str">
        <f ca="1">OFFSET(Database!$F109,0,COLUMN(Database!DK109)*2-12)</f>
        <v>n.r.</v>
      </c>
      <c r="DO109" s="8" t="str">
        <f ca="1">OFFSET(Database!$F109,0,COLUMN(Database!DL109)*2-12)</f>
        <v>n.r.</v>
      </c>
      <c r="DP109" s="8" t="str">
        <f ca="1">OFFSET(Database!$F109,0,COLUMN(Database!DM109)*2-12)</f>
        <v>n.r.</v>
      </c>
      <c r="DQ109" s="8" t="str">
        <f ca="1">OFFSET(Database!$F109,0,COLUMN(Database!DN109)*2-12)</f>
        <v>n.r.</v>
      </c>
      <c r="DR109" s="8" t="str">
        <f ca="1">OFFSET(Database!$F109,0,COLUMN(Database!DO109)*2-12)</f>
        <v>n.r.</v>
      </c>
      <c r="DS109" s="8" t="str">
        <f ca="1">OFFSET(Database!$F109,0,COLUMN(Database!DP109)*2-12)</f>
        <v>n.r.</v>
      </c>
      <c r="DT109" s="8" t="str">
        <f ca="1">OFFSET(Database!$F109,0,COLUMN(Database!DQ109)*2-12)</f>
        <v>n.r.</v>
      </c>
      <c r="DU109" s="8" t="str">
        <f ca="1">OFFSET(Database!$F109,0,COLUMN(Database!DR109)*2-12)</f>
        <v>n.r.</v>
      </c>
      <c r="DV109" s="8" t="str">
        <f ca="1">OFFSET(Database!$F109,0,COLUMN(Database!DS109)*2-12)</f>
        <v>n.r.</v>
      </c>
      <c r="DW109" s="8" t="str">
        <f ca="1">OFFSET(Database!$F109,0,COLUMN(Database!DT109)*2-12)</f>
        <v>n.r.</v>
      </c>
      <c r="DX109" s="8" t="str">
        <f ca="1">OFFSET(Database!$F109,0,COLUMN(Database!DU109)*2-12)</f>
        <v>n.r.</v>
      </c>
      <c r="DY109" s="8" t="str">
        <f ca="1">OFFSET(Database!$F109,0,COLUMN(Database!DV109)*2-12)</f>
        <v>n.r.</v>
      </c>
      <c r="DZ109" s="8" t="str">
        <f ca="1">OFFSET(Database!$F109,0,COLUMN(Database!DW109)*2-12)</f>
        <v>n.r.</v>
      </c>
      <c r="EA109" s="8" t="str">
        <f ca="1">OFFSET(Database!$F109,0,COLUMN(Database!DX109)*2-12)</f>
        <v>n.r.</v>
      </c>
      <c r="EB109" s="8" t="str">
        <f ca="1">OFFSET(Database!$F109,0,COLUMN(Database!DY109)*2-12)</f>
        <v>n.r.</v>
      </c>
      <c r="EC109" s="8" t="str">
        <f ca="1">OFFSET(Database!$F109,0,COLUMN(Database!DZ109)*2-12)</f>
        <v>n.r.</v>
      </c>
      <c r="ED109" s="8" t="str">
        <f ca="1">OFFSET(Database!$F109,0,COLUMN(Database!EA109)*2-12)</f>
        <v>n.r.</v>
      </c>
      <c r="EE109" s="8" t="str">
        <f ca="1">OFFSET(Database!$F109,0,COLUMN(Database!EB109)*2-12)</f>
        <v>n.r.</v>
      </c>
      <c r="EF109" s="8" t="str">
        <f ca="1">OFFSET(Database!$F109,0,COLUMN(Database!EC109)*2-12)</f>
        <v>n.r.</v>
      </c>
      <c r="EG109" s="8" t="str">
        <f ca="1">OFFSET(Database!$F109,0,COLUMN(Database!ED109)*2-12)</f>
        <v>n.r.</v>
      </c>
      <c r="EH109" s="8" t="str">
        <f ca="1">OFFSET(Database!$F109,0,COLUMN(Database!EE109)*2-12)</f>
        <v>n.r.</v>
      </c>
      <c r="EI109" s="8" t="str">
        <f ca="1">OFFSET(Database!$F109,0,COLUMN(Database!EF109)*2-12)</f>
        <v>n.r.</v>
      </c>
      <c r="EJ109" s="8" t="str">
        <f ca="1">OFFSET(Database!$F109,0,COLUMN(Database!EG109)*2-12)</f>
        <v>n.r.</v>
      </c>
      <c r="EK109" s="8" t="str">
        <f ca="1">OFFSET(Database!$F109,0,COLUMN(Database!EH109)*2-12)</f>
        <v>n.r.</v>
      </c>
      <c r="EL109" s="8" t="str">
        <f ca="1">OFFSET(Database!$F109,0,COLUMN(Database!EI109)*2-12)</f>
        <v>n.r.</v>
      </c>
      <c r="EM109" s="8" t="str">
        <f ca="1">OFFSET(Database!$F109,0,COLUMN(Database!EJ109)*2-12)</f>
        <v>n.r.</v>
      </c>
      <c r="EN109" s="8" t="str">
        <f ca="1">OFFSET(Database!$F109,0,COLUMN(Database!EK109)*2-12)</f>
        <v>n.r.</v>
      </c>
      <c r="EO109" s="8" t="str">
        <f ca="1">OFFSET(Database!$F109,0,COLUMN(Database!EL109)*2-12)</f>
        <v>n.r.</v>
      </c>
      <c r="EP109" s="8" t="str">
        <f ca="1">OFFSET(Database!$F109,0,COLUMN(Database!EM109)*2-12)</f>
        <v>n.r.</v>
      </c>
      <c r="EQ109" s="8" t="str">
        <f ca="1">OFFSET(Database!$F109,0,COLUMN(Database!EN109)*2-12)</f>
        <v>n.r.</v>
      </c>
      <c r="ER109" s="8">
        <f ca="1">OFFSET(Database!$F109,0,COLUMN(Database!EO109)*2-12)</f>
        <v>2702.5401448409434</v>
      </c>
      <c r="ES109" s="8">
        <f ca="1">OFFSET(Database!$F109,0,COLUMN(Database!EP109)*2-12)</f>
        <v>3078.8038850954567</v>
      </c>
      <c r="ET109" s="8">
        <f ca="1">OFFSET(Database!$F109,0,COLUMN(Database!EQ109)*2-12)</f>
        <v>1755.4848546425328</v>
      </c>
      <c r="EU109" s="8">
        <f ca="1">OFFSET(Database!$F109,0,COLUMN(Database!ER109)*2-12)</f>
        <v>2397.4700047639531</v>
      </c>
      <c r="EV109" s="8">
        <f ca="1">OFFSET(Database!$F109,0,COLUMN(Database!ES109)*2-12)</f>
        <v>2236.5628019046931</v>
      </c>
      <c r="EW109" s="8" t="str">
        <f ca="1">OFFSET(Database!$F109,0,COLUMN(Database!ET109)*2-12)</f>
        <v>n.r.</v>
      </c>
      <c r="EX109" s="8" t="str">
        <f ca="1">OFFSET(Database!$F109,0,COLUMN(Database!EU109)*2-12)</f>
        <v>n.r.</v>
      </c>
      <c r="EY109" s="8" t="str">
        <f ca="1">OFFSET(Database!$F109,0,COLUMN(Database!EV109)*2-12)</f>
        <v>n.r.</v>
      </c>
      <c r="EZ109" s="8" t="str">
        <f ca="1">OFFSET(Database!$F109,0,COLUMN(Database!EW109)*2-12)</f>
        <v>n.r.</v>
      </c>
      <c r="FA109" s="8" t="str">
        <f ca="1">OFFSET(Database!$F109,0,COLUMN(Database!EX109)*2-12)</f>
        <v>n.r.</v>
      </c>
      <c r="FB109" s="8" t="str">
        <f ca="1">OFFSET(Database!$F109,0,COLUMN(Database!EY109)*2-12)</f>
        <v>n.r.</v>
      </c>
      <c r="FC109" s="8" t="str">
        <f ca="1">OFFSET(Database!$F109,0,COLUMN(Database!EZ109)*2-12)</f>
        <v>n.r.</v>
      </c>
      <c r="FD109" s="8">
        <f ca="1">OFFSET(Database!$F109,0,COLUMN(Database!FA109)*2-12)</f>
        <v>303</v>
      </c>
      <c r="FE109" s="8">
        <f ca="1">OFFSET(Database!$F109,0,COLUMN(Database!FB109)*2-12)</f>
        <v>877.9</v>
      </c>
      <c r="FF109" s="8">
        <f ca="1">OFFSET(Database!$F109,0,COLUMN(Database!FC109)*2-12)</f>
        <v>3597.1</v>
      </c>
      <c r="FG109" s="8" t="str">
        <f ca="1">OFFSET(Database!$F109,0,COLUMN(Database!FD109)*2-12)</f>
        <v>n.r.</v>
      </c>
      <c r="FH109" s="8">
        <f ca="1">OFFSET(Database!$F109,0,COLUMN(Database!FE109)*2-12)</f>
        <v>500</v>
      </c>
      <c r="FI109" s="8">
        <f ca="1">OFFSET(Database!$F109,0,COLUMN(Database!FF109)*2-12)</f>
        <v>150</v>
      </c>
      <c r="FJ109" s="8">
        <f ca="1">OFFSET(Database!$F109,0,COLUMN(Database!FG109)*2-12)</f>
        <v>260</v>
      </c>
      <c r="FK109" s="8" t="str">
        <f ca="1">OFFSET(Database!$F109,0,COLUMN(Database!FH109)*2-12)</f>
        <v>n.r.</v>
      </c>
      <c r="FL109" s="8" t="str">
        <f ca="1">OFFSET(Database!$F109,0,COLUMN(Database!FI109)*2-12)</f>
        <v>n.r.</v>
      </c>
      <c r="FM109" s="8" t="str">
        <f ca="1">OFFSET(Database!$F109,0,COLUMN(Database!FJ109)*2-12)</f>
        <v>n.r.</v>
      </c>
      <c r="FN109" s="8" t="str">
        <f ca="1">OFFSET(Database!$F109,0,COLUMN(Database!FK109)*2-12)</f>
        <v>n.r.</v>
      </c>
      <c r="FO109" s="8" t="str">
        <f ca="1">OFFSET(Database!$F109,0,COLUMN(Database!FL109)*2-12)</f>
        <v>n.r.</v>
      </c>
      <c r="FP109" s="8" t="str">
        <f ca="1">OFFSET(Database!$F109,0,COLUMN(Database!FM109)*2-12)</f>
        <v>n.r.</v>
      </c>
      <c r="FQ109" s="8" t="str">
        <f ca="1">OFFSET(Database!$F109,0,COLUMN(Database!FN109)*2-12)</f>
        <v>n.r.</v>
      </c>
      <c r="FR109" s="8" t="str">
        <f ca="1">OFFSET(Database!$F109,0,COLUMN(Database!FO109)*2-12)</f>
        <v>n.r.</v>
      </c>
      <c r="FS109" s="8" t="str">
        <f ca="1">OFFSET(Database!$F109,0,COLUMN(Database!FP109)*2-12)</f>
        <v>n.r.</v>
      </c>
      <c r="FT109" s="8" t="str">
        <f ca="1">OFFSET(Database!$F109,0,COLUMN(Database!FQ109)*2-12)</f>
        <v>n.r.</v>
      </c>
      <c r="FU109" s="8" t="str">
        <f ca="1">OFFSET(Database!$F109,0,COLUMN(Database!FR109)*2-12)</f>
        <v>n.r.</v>
      </c>
      <c r="FV109" s="8" t="str">
        <f ca="1">OFFSET(Database!$F109,0,COLUMN(Database!FS109)*2-12)</f>
        <v>n.r.</v>
      </c>
      <c r="FW109" s="8" t="str">
        <f ca="1">OFFSET(Database!$F109,0,COLUMN(Database!FT109)*2-12)</f>
        <v>n.r.</v>
      </c>
      <c r="FX109" s="8" t="str">
        <f ca="1">OFFSET(Database!$F109,0,COLUMN(Database!FU109)*2-12)</f>
        <v>n.r.</v>
      </c>
      <c r="FY109" s="8" t="str">
        <f ca="1">OFFSET(Database!$F109,0,COLUMN(Database!FV109)*2-12)</f>
        <v>n.r.</v>
      </c>
      <c r="FZ109" s="8" t="str">
        <f ca="1">OFFSET(Database!$F109,0,COLUMN(Database!FW109)*2-12)</f>
        <v>n.r.</v>
      </c>
      <c r="GA109" s="8" t="str">
        <f ca="1">OFFSET(Database!$F109,0,COLUMN(Database!FX109)*2-12)</f>
        <v>n.r.</v>
      </c>
      <c r="GB109" s="8" t="str">
        <f ca="1">OFFSET(Database!$F109,0,COLUMN(Database!FY109)*2-12)</f>
        <v>n.r.</v>
      </c>
      <c r="GC109" s="8" t="str">
        <f ca="1">OFFSET(Database!$F109,0,COLUMN(Database!FZ109)*2-12)</f>
        <v>n.r.</v>
      </c>
      <c r="GD109" s="8" t="str">
        <f ca="1">OFFSET(Database!$F109,0,COLUMN(Database!GA109)*2-12)</f>
        <v>n.r.</v>
      </c>
      <c r="GE109" s="8" t="str">
        <f ca="1">OFFSET(Database!$F109,0,COLUMN(Database!GB109)*2-12)</f>
        <v>n.r.</v>
      </c>
      <c r="GF109" s="8" t="str">
        <f ca="1">OFFSET(Database!$F109,0,COLUMN(Database!GC109)*2-12)</f>
        <v>n.r.</v>
      </c>
      <c r="GG109" s="8" t="str">
        <f ca="1">OFFSET(Database!$F109,0,COLUMN(Database!GD109)*2-12)</f>
        <v>n.r.</v>
      </c>
      <c r="GH109" s="8" t="str">
        <f ca="1">OFFSET(Database!$F109,0,COLUMN(Database!GE109)*2-12)</f>
        <v>n.r.</v>
      </c>
      <c r="GI109" s="8" t="str">
        <f ca="1">OFFSET(Database!$F109,0,COLUMN(Database!GF109)*2-12)</f>
        <v>n.r.</v>
      </c>
      <c r="GJ109" s="8" t="str">
        <f ca="1">OFFSET(Database!$F109,0,COLUMN(Database!GG109)*2-12)</f>
        <v>n.r.</v>
      </c>
      <c r="GK109" s="8" t="str">
        <f ca="1">OFFSET(Database!$F109,0,COLUMN(Database!GH109)*2-12)</f>
        <v>n.r.</v>
      </c>
      <c r="GL109" s="8" t="str">
        <f ca="1">OFFSET(Database!$F109,0,COLUMN(Database!GI109)*2-12)</f>
        <v>n.r.</v>
      </c>
      <c r="GM109" s="8" t="str">
        <f ca="1">OFFSET(Database!$F109,0,COLUMN(Database!GJ109)*2-12)</f>
        <v>n.r.</v>
      </c>
      <c r="GN109" s="8" t="str">
        <f ca="1">OFFSET(Database!$F109,0,COLUMN(Database!GK109)*2-12)</f>
        <v>n.r.</v>
      </c>
      <c r="GO109" s="8" t="str">
        <f ca="1">OFFSET(Database!$F109,0,COLUMN(Database!GL109)*2-12)</f>
        <v>n.r.</v>
      </c>
      <c r="GP109" s="8" t="str">
        <f ca="1">OFFSET(Database!$F109,0,COLUMN(Database!GM109)*2-12)</f>
        <v>n.r.</v>
      </c>
    </row>
    <row r="110" spans="1:198" x14ac:dyDescent="0.2">
      <c r="A110" s="50" t="str">
        <f>Database!A110</f>
        <v>tyrosine</v>
      </c>
      <c r="B110" s="1" t="s">
        <v>886</v>
      </c>
      <c r="C110" s="4" t="str">
        <f>Database!B110</f>
        <v>ɑ</v>
      </c>
      <c r="D110" s="4" t="str">
        <f>Database!C110</f>
        <v>Both</v>
      </c>
      <c r="E110" s="74">
        <f>Database!D110</f>
        <v>44</v>
      </c>
      <c r="F110" s="1" t="s">
        <v>1032</v>
      </c>
      <c r="G110" s="1" t="s">
        <v>1111</v>
      </c>
      <c r="H110" s="1">
        <f>Database!E110</f>
        <v>181.19</v>
      </c>
      <c r="I110" s="8" t="str">
        <f ca="1">OFFSET(Database!$F110,0,COLUMN(Database!F110)*2-12)</f>
        <v>n.r.</v>
      </c>
      <c r="J110" s="8" t="str">
        <f ca="1">OFFSET(Database!$F110,0,COLUMN(Database!G110)*2-12)</f>
        <v>n.r.</v>
      </c>
      <c r="K110" s="8" t="str">
        <f ca="1">OFFSET(Database!$F110,0,COLUMN(Database!H110)*2-12)</f>
        <v>n.r.</v>
      </c>
      <c r="L110" s="8" t="str">
        <f ca="1">OFFSET(Database!$F110,0,COLUMN(Database!I110)*2-12)</f>
        <v>n.r.</v>
      </c>
      <c r="M110" s="8" t="str">
        <f ca="1">OFFSET(Database!$F110,0,COLUMN(Database!J110)*2-12)</f>
        <v>n.r.</v>
      </c>
      <c r="N110" s="8" t="str">
        <f ca="1">OFFSET(Database!$F110,0,COLUMN(Database!K110)*2-12)</f>
        <v>n.r.</v>
      </c>
      <c r="O110" s="8" t="str">
        <f ca="1">OFFSET(Database!$F110,0,COLUMN(Database!L110)*2-12)</f>
        <v>n.r.</v>
      </c>
      <c r="P110" s="8" t="str">
        <f ca="1">OFFSET(Database!$F110,0,COLUMN(Database!M110)*2-12)</f>
        <v>n.r.</v>
      </c>
      <c r="Q110" s="8" t="str">
        <f ca="1">OFFSET(Database!$F110,0,COLUMN(Database!N110)*2-12)</f>
        <v>n.r.</v>
      </c>
      <c r="R110" s="8" t="str">
        <f ca="1">OFFSET(Database!$F110,0,COLUMN(Database!O110)*2-12)</f>
        <v>n.r.</v>
      </c>
      <c r="S110" s="8" t="str">
        <f ca="1">OFFSET(Database!$F110,0,COLUMN(Database!P110)*2-12)</f>
        <v>n.r.</v>
      </c>
      <c r="T110" s="8" t="str">
        <f ca="1">OFFSET(Database!$F110,0,COLUMN(Database!Q110)*2-12)</f>
        <v>n.r.</v>
      </c>
      <c r="U110" s="8" t="str">
        <f ca="1">OFFSET(Database!$F110,0,COLUMN(Database!R110)*2-12)</f>
        <v>n.r.</v>
      </c>
      <c r="V110" s="8" t="str">
        <f ca="1">OFFSET(Database!$F110,0,COLUMN(Database!S110)*2-12)</f>
        <v>n.r.</v>
      </c>
      <c r="W110" s="8" t="str">
        <f ca="1">OFFSET(Database!$F110,0,COLUMN(Database!T110)*2-12)</f>
        <v>n.r.</v>
      </c>
      <c r="X110" s="8" t="str">
        <f ca="1">OFFSET(Database!$F110,0,COLUMN(Database!U110)*2-12)</f>
        <v>n.r.</v>
      </c>
      <c r="Y110" s="8" t="str">
        <f ca="1">OFFSET(Database!$F110,0,COLUMN(Database!V110)*2-12)</f>
        <v>n.r.</v>
      </c>
      <c r="Z110" s="8" t="str">
        <f ca="1">OFFSET(Database!$F110,0,COLUMN(Database!W110)*2-12)</f>
        <v>n.r.</v>
      </c>
      <c r="AA110" s="8" t="str">
        <f ca="1">OFFSET(Database!$F110,0,COLUMN(Database!X110)*2-12)</f>
        <v>n.r.</v>
      </c>
      <c r="AB110" s="8" t="str">
        <f ca="1">OFFSET(Database!$F110,0,COLUMN(Database!Y110)*2-12)</f>
        <v>n.r.</v>
      </c>
      <c r="AC110" s="8" t="str">
        <f ca="1">OFFSET(Database!$F110,0,COLUMN(Database!Z110)*2-12)</f>
        <v>n.r.</v>
      </c>
      <c r="AD110" s="8" t="str">
        <f ca="1">OFFSET(Database!$F110,0,COLUMN(Database!AA110)*2-12)</f>
        <v>n.r.</v>
      </c>
      <c r="AE110" s="8" t="str">
        <f ca="1">OFFSET(Database!$F110,0,COLUMN(Database!AB110)*2-12)</f>
        <v>n.r.</v>
      </c>
      <c r="AF110" s="8" t="str">
        <f ca="1">OFFSET(Database!$F110,0,COLUMN(Database!AC110)*2-12)</f>
        <v>n.r.</v>
      </c>
      <c r="AG110" s="8" t="str">
        <f ca="1">OFFSET(Database!$F110,0,COLUMN(Database!AD110)*2-12)</f>
        <v>n.r.</v>
      </c>
      <c r="AH110" s="8" t="str">
        <f ca="1">OFFSET(Database!$F110,0,COLUMN(Database!AE110)*2-12)</f>
        <v>n.r.</v>
      </c>
      <c r="AI110" s="8" t="str">
        <f ca="1">OFFSET(Database!$F110,0,COLUMN(Database!AF110)*2-12)</f>
        <v>n.r.</v>
      </c>
      <c r="AJ110" s="8" t="str">
        <f ca="1">OFFSET(Database!$F110,0,COLUMN(Database!AG110)*2-12)</f>
        <v>n.r.</v>
      </c>
      <c r="AK110" s="8" t="str">
        <f ca="1">OFFSET(Database!$F110,0,COLUMN(Database!AH110)*2-12)</f>
        <v>n.r.</v>
      </c>
      <c r="AL110" s="8" t="str">
        <f ca="1">OFFSET(Database!$F110,0,COLUMN(Database!AI110)*2-12)</f>
        <v>n.r.</v>
      </c>
      <c r="AM110" s="8" t="str">
        <f ca="1">OFFSET(Database!$F110,0,COLUMN(Database!AJ110)*2-12)</f>
        <v>n.r.</v>
      </c>
      <c r="AN110" s="8" t="str">
        <f ca="1">OFFSET(Database!$F110,0,COLUMN(Database!AK110)*2-12)</f>
        <v>n.r.</v>
      </c>
      <c r="AO110" s="8" t="str">
        <f ca="1">OFFSET(Database!$F110,0,COLUMN(Database!AL110)*2-12)</f>
        <v>n.r.</v>
      </c>
      <c r="AP110" s="8" t="str">
        <f ca="1">OFFSET(Database!$F110,0,COLUMN(Database!AM110)*2-12)</f>
        <v>n.r.</v>
      </c>
      <c r="AQ110" s="8" t="str">
        <f ca="1">OFFSET(Database!$F110,0,COLUMN(Database!AN110)*2-12)</f>
        <v>n.r.</v>
      </c>
      <c r="AR110" s="8" t="str">
        <f ca="1">OFFSET(Database!$F110,0,COLUMN(Database!AO110)*2-12)</f>
        <v>n.r.</v>
      </c>
      <c r="AS110" s="8" t="str">
        <f ca="1">OFFSET(Database!$F110,0,COLUMN(Database!AP110)*2-12)</f>
        <v>n.r.</v>
      </c>
      <c r="AT110" s="8" t="str">
        <f ca="1">OFFSET(Database!$F110,0,COLUMN(Database!AQ110)*2-12)</f>
        <v>n.r.</v>
      </c>
      <c r="AU110" s="8" t="str">
        <f ca="1">OFFSET(Database!$F110,0,COLUMN(Database!AR110)*2-12)</f>
        <v>n.r.</v>
      </c>
      <c r="AV110" s="8" t="str">
        <f ca="1">OFFSET(Database!$F110,0,COLUMN(Database!AS110)*2-12)</f>
        <v>n.r.</v>
      </c>
      <c r="AW110" s="8" t="str">
        <f ca="1">OFFSET(Database!$F110,0,COLUMN(Database!AT110)*2-12)</f>
        <v>n.r.</v>
      </c>
      <c r="AX110" s="8" t="str">
        <f ca="1">OFFSET(Database!$F110,0,COLUMN(Database!AU110)*2-12)</f>
        <v>n.r.</v>
      </c>
      <c r="AY110" s="8" t="str">
        <f ca="1">OFFSET(Database!$F110,0,COLUMN(Database!AV110)*2-12)</f>
        <v>n.r.</v>
      </c>
      <c r="AZ110" s="8" t="str">
        <f ca="1">OFFSET(Database!$F110,0,COLUMN(Database!AW110)*2-12)</f>
        <v>n.r.</v>
      </c>
      <c r="BA110" s="8" t="str">
        <f ca="1">OFFSET(Database!$F110,0,COLUMN(Database!AX110)*2-12)</f>
        <v>n.r.</v>
      </c>
      <c r="BB110" s="8" t="str">
        <f ca="1">OFFSET(Database!$F110,0,COLUMN(Database!AY110)*2-12)</f>
        <v>n.r.</v>
      </c>
      <c r="BC110" s="8" t="str">
        <f ca="1">OFFSET(Database!$F110,0,COLUMN(Database!AZ110)*2-12)</f>
        <v>n.r.</v>
      </c>
      <c r="BD110" s="8" t="str">
        <f ca="1">OFFSET(Database!$F110,0,COLUMN(Database!BA110)*2-12)</f>
        <v>n.r.</v>
      </c>
      <c r="BE110" s="8" t="str">
        <f ca="1">OFFSET(Database!$F110,0,COLUMN(Database!BB110)*2-12)</f>
        <v>n.r.</v>
      </c>
      <c r="BF110" s="8" t="str">
        <f ca="1">OFFSET(Database!$F110,0,COLUMN(Database!BC110)*2-12)</f>
        <v>n.r.</v>
      </c>
      <c r="BG110" s="8" t="str">
        <f ca="1">OFFSET(Database!$F110,0,COLUMN(Database!BD110)*2-12)</f>
        <v>n.r.</v>
      </c>
      <c r="BH110" s="8" t="str">
        <f ca="1">OFFSET(Database!$F110,0,COLUMN(Database!BE110)*2-12)</f>
        <v>n.r.</v>
      </c>
      <c r="BI110" s="8" t="str">
        <f ca="1">OFFSET(Database!$F110,0,COLUMN(Database!BF110)*2-12)</f>
        <v>n.r.</v>
      </c>
      <c r="BJ110" s="8" t="str">
        <f ca="1">OFFSET(Database!$F110,0,COLUMN(Database!BG110)*2-12)</f>
        <v>n.r.</v>
      </c>
      <c r="BK110" s="8" t="str">
        <f ca="1">OFFSET(Database!$F110,0,COLUMN(Database!BH110)*2-12)</f>
        <v>n.r.</v>
      </c>
      <c r="BL110" s="8" t="str">
        <f ca="1">OFFSET(Database!$F110,0,COLUMN(Database!BI110)*2-12)</f>
        <v>n.r.</v>
      </c>
      <c r="BM110" s="8" t="str">
        <f ca="1">OFFSET(Database!$F110,0,COLUMN(Database!BJ110)*2-12)</f>
        <v>n.r.</v>
      </c>
      <c r="BN110" s="8" t="str">
        <f ca="1">OFFSET(Database!$F110,0,COLUMN(Database!BK110)*2-12)</f>
        <v>n.r.</v>
      </c>
      <c r="BO110" s="8" t="str">
        <f ca="1">OFFSET(Database!$F110,0,COLUMN(Database!BL110)*2-12)</f>
        <v>n.r.</v>
      </c>
      <c r="BP110" s="8" t="str">
        <f ca="1">OFFSET(Database!$F110,0,COLUMN(Database!BM110)*2-12)</f>
        <v>n.r.</v>
      </c>
      <c r="BQ110" s="8" t="str">
        <f ca="1">OFFSET(Database!$F110,0,COLUMN(Database!BN110)*2-12)</f>
        <v>n.r.</v>
      </c>
      <c r="BR110" s="8" t="str">
        <f ca="1">OFFSET(Database!$F110,0,COLUMN(Database!BO110)*2-12)</f>
        <v>n.r.</v>
      </c>
      <c r="BS110" s="8" t="str">
        <f ca="1">OFFSET(Database!$F110,0,COLUMN(Database!BP110)*2-12)</f>
        <v>n.r.</v>
      </c>
      <c r="BT110" s="8" t="str">
        <f ca="1">OFFSET(Database!$F110,0,COLUMN(Database!BQ110)*2-12)</f>
        <v>n.r.</v>
      </c>
      <c r="BU110" s="8" t="str">
        <f ca="1">OFFSET(Database!$F110,0,COLUMN(Database!BR110)*2-12)</f>
        <v>n.r.</v>
      </c>
      <c r="BV110" s="8" t="str">
        <f ca="1">OFFSET(Database!$F110,0,COLUMN(Database!BS110)*2-12)</f>
        <v>n.r.</v>
      </c>
      <c r="BW110" s="8" t="str">
        <f ca="1">OFFSET(Database!$F110,0,COLUMN(Database!BT110)*2-12)</f>
        <v>n.r.</v>
      </c>
      <c r="BX110" s="8" t="str">
        <f ca="1">OFFSET(Database!$F110,0,COLUMN(Database!BU110)*2-12)</f>
        <v>n.r.</v>
      </c>
      <c r="BY110" s="8" t="str">
        <f ca="1">OFFSET(Database!$F110,0,COLUMN(Database!BV110)*2-12)</f>
        <v>n.r.</v>
      </c>
      <c r="BZ110" s="8" t="str">
        <f ca="1">OFFSET(Database!$F110,0,COLUMN(Database!BW110)*2-12)</f>
        <v>n.r.</v>
      </c>
      <c r="CA110" s="8" t="str">
        <f ca="1">OFFSET(Database!$F110,0,COLUMN(Database!BX110)*2-12)</f>
        <v>n.r.</v>
      </c>
      <c r="CB110" s="8" t="str">
        <f ca="1">OFFSET(Database!$F110,0,COLUMN(Database!BY110)*2-12)</f>
        <v>n.r.</v>
      </c>
      <c r="CC110" s="8" t="str">
        <f ca="1">OFFSET(Database!$F110,0,COLUMN(Database!BZ110)*2-12)</f>
        <v>n.r.</v>
      </c>
      <c r="CD110" s="8" t="str">
        <f ca="1">OFFSET(Database!$F110,0,COLUMN(Database!CA110)*2-12)</f>
        <v>n.r.</v>
      </c>
      <c r="CE110" s="8" t="str">
        <f ca="1">OFFSET(Database!$F110,0,COLUMN(Database!CB110)*2-12)</f>
        <v>n.r.</v>
      </c>
      <c r="CF110" s="8" t="str">
        <f ca="1">OFFSET(Database!$F110,0,COLUMN(Database!CC110)*2-12)</f>
        <v>n.r.</v>
      </c>
      <c r="CG110" s="8" t="str">
        <f ca="1">OFFSET(Database!$F110,0,COLUMN(Database!CD110)*2-12)</f>
        <v>n.r.</v>
      </c>
      <c r="CH110" s="8" t="str">
        <f ca="1">OFFSET(Database!$F110,0,COLUMN(Database!CE110)*2-12)</f>
        <v>n.r.</v>
      </c>
      <c r="CI110" s="8" t="str">
        <f ca="1">OFFSET(Database!$F110,0,COLUMN(Database!CF110)*2-12)</f>
        <v>n.r.</v>
      </c>
      <c r="CJ110" s="8" t="str">
        <f ca="1">OFFSET(Database!$F110,0,COLUMN(Database!CG110)*2-12)</f>
        <v>n.r.</v>
      </c>
      <c r="CK110" s="8" t="str">
        <f ca="1">OFFSET(Database!$F110,0,COLUMN(Database!CH110)*2-12)</f>
        <v>n.r.</v>
      </c>
      <c r="CL110" s="8" t="str">
        <f ca="1">OFFSET(Database!$F110,0,COLUMN(Database!CI110)*2-12)</f>
        <v>n.r.</v>
      </c>
      <c r="CM110" s="8" t="str">
        <f ca="1">OFFSET(Database!$F110,0,COLUMN(Database!CJ110)*2-12)</f>
        <v>n.r.</v>
      </c>
      <c r="CN110" s="8" t="str">
        <f ca="1">OFFSET(Database!$F110,0,COLUMN(Database!CK110)*2-12)</f>
        <v>n.r.</v>
      </c>
      <c r="CO110" s="8" t="str">
        <f ca="1">OFFSET(Database!$F110,0,COLUMN(Database!CL110)*2-12)</f>
        <v>n.r.</v>
      </c>
      <c r="CP110" s="8" t="str">
        <f ca="1">OFFSET(Database!$F110,0,COLUMN(Database!CM110)*2-12)</f>
        <v>n.r.</v>
      </c>
      <c r="CQ110" s="8" t="str">
        <f ca="1">OFFSET(Database!$F110,0,COLUMN(Database!CN110)*2-12)</f>
        <v>n.r.</v>
      </c>
      <c r="CR110" s="8" t="str">
        <f ca="1">OFFSET(Database!$F110,0,COLUMN(Database!CO110)*2-12)</f>
        <v>n.r.</v>
      </c>
      <c r="CS110" s="8" t="str">
        <f ca="1">OFFSET(Database!$F110,0,COLUMN(Database!CP110)*2-12)</f>
        <v>n.r.</v>
      </c>
      <c r="CT110" s="8" t="str">
        <f ca="1">OFFSET(Database!$F110,0,COLUMN(Database!CQ110)*2-12)</f>
        <v>n.r.</v>
      </c>
      <c r="CU110" s="8" t="str">
        <f ca="1">OFFSET(Database!$F110,0,COLUMN(Database!CR110)*2-12)</f>
        <v>n.r.</v>
      </c>
      <c r="CV110" s="8" t="str">
        <f ca="1">OFFSET(Database!$F110,0,COLUMN(Database!CS110)*2-12)</f>
        <v>n.r.</v>
      </c>
      <c r="CW110" s="8" t="str">
        <f ca="1">OFFSET(Database!$F110,0,COLUMN(Database!CT110)*2-12)</f>
        <v>n.r.</v>
      </c>
      <c r="CX110" s="8" t="str">
        <f ca="1">OFFSET(Database!$F110,0,COLUMN(Database!CU110)*2-12)</f>
        <v>n.r.</v>
      </c>
      <c r="CY110" s="8" t="str">
        <f ca="1">OFFSET(Database!$F110,0,COLUMN(Database!CV110)*2-12)</f>
        <v>n.r.</v>
      </c>
      <c r="CZ110" s="8" t="str">
        <f ca="1">OFFSET(Database!$F110,0,COLUMN(Database!CW110)*2-12)</f>
        <v>n.r.</v>
      </c>
      <c r="DA110" s="8" t="str">
        <f ca="1">OFFSET(Database!$F110,0,COLUMN(Database!CX110)*2-12)</f>
        <v>n.r.</v>
      </c>
      <c r="DB110" s="8" t="str">
        <f ca="1">OFFSET(Database!$F110,0,COLUMN(Database!CY110)*2-12)</f>
        <v>n.r.</v>
      </c>
      <c r="DC110" s="8" t="str">
        <f ca="1">OFFSET(Database!$F110,0,COLUMN(Database!CZ110)*2-12)</f>
        <v>n.r.</v>
      </c>
      <c r="DD110" s="8" t="str">
        <f ca="1">OFFSET(Database!$F110,0,COLUMN(Database!DA110)*2-12)</f>
        <v>n.r.</v>
      </c>
      <c r="DE110" s="8" t="str">
        <f ca="1">OFFSET(Database!$F110,0,COLUMN(Database!DB110)*2-12)</f>
        <v>n.r.</v>
      </c>
      <c r="DF110" s="8" t="str">
        <f ca="1">OFFSET(Database!$F110,0,COLUMN(Database!DC110)*2-12)</f>
        <v>n.r.</v>
      </c>
      <c r="DG110" s="8" t="str">
        <f ca="1">OFFSET(Database!$F110,0,COLUMN(Database!DD110)*2-12)</f>
        <v>n.r.</v>
      </c>
      <c r="DH110" s="8" t="str">
        <f ca="1">OFFSET(Database!$F110,0,COLUMN(Database!DE110)*2-12)</f>
        <v>n.r.</v>
      </c>
      <c r="DI110" s="8" t="str">
        <f ca="1">OFFSET(Database!$F110,0,COLUMN(Database!DF110)*2-12)</f>
        <v>n.r.</v>
      </c>
      <c r="DJ110" s="8" t="str">
        <f ca="1">OFFSET(Database!$F110,0,COLUMN(Database!DG110)*2-12)</f>
        <v>n.r.</v>
      </c>
      <c r="DK110" s="8" t="str">
        <f ca="1">OFFSET(Database!$F110,0,COLUMN(Database!DH110)*2-12)</f>
        <v>n.r.</v>
      </c>
      <c r="DL110" s="8" t="str">
        <f ca="1">OFFSET(Database!$F110,0,COLUMN(Database!DI110)*2-12)</f>
        <v>n.r.</v>
      </c>
      <c r="DM110" s="8" t="str">
        <f ca="1">OFFSET(Database!$F110,0,COLUMN(Database!DJ110)*2-12)</f>
        <v>n.r.</v>
      </c>
      <c r="DN110" s="8" t="str">
        <f ca="1">OFFSET(Database!$F110,0,COLUMN(Database!DK110)*2-12)</f>
        <v>n.r.</v>
      </c>
      <c r="DO110" s="8" t="str">
        <f ca="1">OFFSET(Database!$F110,0,COLUMN(Database!DL110)*2-12)</f>
        <v>n.r.</v>
      </c>
      <c r="DP110" s="8" t="str">
        <f ca="1">OFFSET(Database!$F110,0,COLUMN(Database!DM110)*2-12)</f>
        <v>n.r.</v>
      </c>
      <c r="DQ110" s="8" t="str">
        <f ca="1">OFFSET(Database!$F110,0,COLUMN(Database!DN110)*2-12)</f>
        <v>n.r.</v>
      </c>
      <c r="DR110" s="8" t="str">
        <f ca="1">OFFSET(Database!$F110,0,COLUMN(Database!DO110)*2-12)</f>
        <v>n.r.</v>
      </c>
      <c r="DS110" s="8" t="str">
        <f ca="1">OFFSET(Database!$F110,0,COLUMN(Database!DP110)*2-12)</f>
        <v>n.r.</v>
      </c>
      <c r="DT110" s="8" t="str">
        <f ca="1">OFFSET(Database!$F110,0,COLUMN(Database!DQ110)*2-12)</f>
        <v>n.r.</v>
      </c>
      <c r="DU110" s="8" t="str">
        <f ca="1">OFFSET(Database!$F110,0,COLUMN(Database!DR110)*2-12)</f>
        <v>n.r.</v>
      </c>
      <c r="DV110" s="8" t="str">
        <f ca="1">OFFSET(Database!$F110,0,COLUMN(Database!DS110)*2-12)</f>
        <v>n.r.</v>
      </c>
      <c r="DW110" s="8" t="str">
        <f ca="1">OFFSET(Database!$F110,0,COLUMN(Database!DT110)*2-12)</f>
        <v>n.r.</v>
      </c>
      <c r="DX110" s="8" t="str">
        <f ca="1">OFFSET(Database!$F110,0,COLUMN(Database!DU110)*2-12)</f>
        <v>n.r.</v>
      </c>
      <c r="DY110" s="8" t="str">
        <f ca="1">OFFSET(Database!$F110,0,COLUMN(Database!DV110)*2-12)</f>
        <v>n.r.</v>
      </c>
      <c r="DZ110" s="8" t="str">
        <f ca="1">OFFSET(Database!$F110,0,COLUMN(Database!DW110)*2-12)</f>
        <v>n.r.</v>
      </c>
      <c r="EA110" s="8" t="str">
        <f ca="1">OFFSET(Database!$F110,0,COLUMN(Database!DX110)*2-12)</f>
        <v>n.r.</v>
      </c>
      <c r="EB110" s="8">
        <f ca="1">OFFSET(Database!$F110,0,COLUMN(Database!DY110)*2-12)</f>
        <v>0</v>
      </c>
      <c r="EC110" s="8" t="str">
        <f ca="1">OFFSET(Database!$F110,0,COLUMN(Database!DZ110)*2-12)</f>
        <v>n.r.</v>
      </c>
      <c r="ED110" s="8">
        <f ca="1">OFFSET(Database!$F110,0,COLUMN(Database!EA110)*2-12)</f>
        <v>0.55000000000000004</v>
      </c>
      <c r="EE110" s="8" t="str">
        <f ca="1">OFFSET(Database!$F110,0,COLUMN(Database!EB110)*2-12)</f>
        <v>b.d.</v>
      </c>
      <c r="EF110" s="8" t="str">
        <f ca="1">OFFSET(Database!$F110,0,COLUMN(Database!EC110)*2-12)</f>
        <v>b.d.</v>
      </c>
      <c r="EG110" s="8" t="str">
        <f ca="1">OFFSET(Database!$F110,0,COLUMN(Database!ED110)*2-12)</f>
        <v>b.d.</v>
      </c>
      <c r="EH110" s="8" t="str">
        <f ca="1">OFFSET(Database!$F110,0,COLUMN(Database!EE110)*2-12)</f>
        <v>n.a</v>
      </c>
      <c r="EI110" s="8">
        <f ca="1">OFFSET(Database!$F110,0,COLUMN(Database!EF110)*2-12)</f>
        <v>2.1000000000000001E-2</v>
      </c>
      <c r="EJ110" s="8">
        <f ca="1">OFFSET(Database!$F110,0,COLUMN(Database!EG110)*2-12)</f>
        <v>0.01</v>
      </c>
      <c r="EK110" s="8">
        <f ca="1">OFFSET(Database!$F110,0,COLUMN(Database!EH110)*2-12)</f>
        <v>0.02</v>
      </c>
      <c r="EL110" s="8">
        <f ca="1">OFFSET(Database!$F110,0,COLUMN(Database!EI110)*2-12)</f>
        <v>0.153</v>
      </c>
      <c r="EM110" s="8">
        <f ca="1">OFFSET(Database!$F110,0,COLUMN(Database!EJ110)*2-12)</f>
        <v>0.25800000000000001</v>
      </c>
      <c r="EN110" s="8">
        <f ca="1">OFFSET(Database!$F110,0,COLUMN(Database!EK110)*2-12)</f>
        <v>0.151</v>
      </c>
      <c r="EO110" s="8">
        <f ca="1">OFFSET(Database!$F110,0,COLUMN(Database!EL110)*2-12)</f>
        <v>4.2000000000000003E-2</v>
      </c>
      <c r="EP110" s="8">
        <f ca="1">OFFSET(Database!$F110,0,COLUMN(Database!EM110)*2-12)</f>
        <v>3.4000000000000002E-2</v>
      </c>
      <c r="EQ110" s="8">
        <f ca="1">OFFSET(Database!$F110,0,COLUMN(Database!EN110)*2-12)</f>
        <v>15.31</v>
      </c>
      <c r="ER110" s="8" t="str">
        <f ca="1">OFFSET(Database!$F110,0,COLUMN(Database!EO110)*2-12)</f>
        <v>n.r.</v>
      </c>
      <c r="ES110" s="8" t="str">
        <f ca="1">OFFSET(Database!$F110,0,COLUMN(Database!EP110)*2-12)</f>
        <v>n.r.</v>
      </c>
      <c r="ET110" s="8" t="str">
        <f ca="1">OFFSET(Database!$F110,0,COLUMN(Database!EQ110)*2-12)</f>
        <v>n.r.</v>
      </c>
      <c r="EU110" s="8" t="str">
        <f ca="1">OFFSET(Database!$F110,0,COLUMN(Database!ER110)*2-12)</f>
        <v>n.r.</v>
      </c>
      <c r="EV110" s="8" t="str">
        <f ca="1">OFFSET(Database!$F110,0,COLUMN(Database!ES110)*2-12)</f>
        <v>n.r.</v>
      </c>
      <c r="EW110" s="8">
        <f ca="1">OFFSET(Database!$F110,0,COLUMN(Database!ET110)*2-12)</f>
        <v>13800</v>
      </c>
      <c r="EX110" s="8">
        <f ca="1">OFFSET(Database!$F110,0,COLUMN(Database!EU110)*2-12)</f>
        <v>215400</v>
      </c>
      <c r="EY110" s="8">
        <f ca="1">OFFSET(Database!$F110,0,COLUMN(Database!EV110)*2-12)</f>
        <v>74300</v>
      </c>
      <c r="EZ110" s="8">
        <f ca="1">OFFSET(Database!$F110,0,COLUMN(Database!EW110)*2-12)</f>
        <v>76700</v>
      </c>
      <c r="FA110" s="8">
        <f ca="1">OFFSET(Database!$F110,0,COLUMN(Database!EX110)*2-12)</f>
        <v>154100</v>
      </c>
      <c r="FB110" s="8" t="str">
        <f ca="1">OFFSET(Database!$F110,0,COLUMN(Database!EY110)*2-12)</f>
        <v>n.r.</v>
      </c>
      <c r="FC110" s="8" t="str">
        <f ca="1">OFFSET(Database!$F110,0,COLUMN(Database!EZ110)*2-12)</f>
        <v>n.r.</v>
      </c>
      <c r="FD110" s="8" t="str">
        <f ca="1">OFFSET(Database!$F110,0,COLUMN(Database!FA110)*2-12)</f>
        <v>n.r.</v>
      </c>
      <c r="FE110" s="8" t="str">
        <f ca="1">OFFSET(Database!$F110,0,COLUMN(Database!FB110)*2-12)</f>
        <v>n.r.</v>
      </c>
      <c r="FF110" s="8" t="str">
        <f ca="1">OFFSET(Database!$F110,0,COLUMN(Database!FC110)*2-12)</f>
        <v>n.r.</v>
      </c>
      <c r="FG110" s="8">
        <f ca="1">OFFSET(Database!$F110,0,COLUMN(Database!FD110)*2-12)</f>
        <v>143495.77791268835</v>
      </c>
      <c r="FH110" s="8" t="str">
        <f ca="1">OFFSET(Database!$F110,0,COLUMN(Database!FE110)*2-12)</f>
        <v>n.r.</v>
      </c>
      <c r="FI110" s="8" t="str">
        <f ca="1">OFFSET(Database!$F110,0,COLUMN(Database!FF110)*2-12)</f>
        <v>n.r.</v>
      </c>
      <c r="FJ110" s="8" t="str">
        <f ca="1">OFFSET(Database!$F110,0,COLUMN(Database!FG110)*2-12)</f>
        <v>n.r.</v>
      </c>
      <c r="FK110" s="8">
        <f ca="1">OFFSET(Database!$F110,0,COLUMN(Database!FH110)*2-12)</f>
        <v>145703.40526519125</v>
      </c>
      <c r="FL110" s="8">
        <f ca="1">OFFSET(Database!$F110,0,COLUMN(Database!FI110)*2-12)</f>
        <v>142391.96423643688</v>
      </c>
      <c r="FM110" s="8">
        <f ca="1">OFFSET(Database!$F110,0,COLUMN(Database!FJ110)*2-12)</f>
        <v>22076.273525028977</v>
      </c>
      <c r="FN110" s="8">
        <f ca="1">OFFSET(Database!$F110,0,COLUMN(Database!FK110)*2-12)</f>
        <v>860974.66747613007</v>
      </c>
      <c r="FO110" s="8" t="str">
        <f ca="1">OFFSET(Database!$F110,0,COLUMN(Database!FL110)*2-12)</f>
        <v>n.r.</v>
      </c>
      <c r="FP110" s="8" t="str">
        <f ca="1">OFFSET(Database!$F110,0,COLUMN(Database!FM110)*2-12)</f>
        <v>n.r.</v>
      </c>
      <c r="FQ110" s="8">
        <f ca="1">OFFSET(Database!$F110,0,COLUMN(Database!FN110)*2-12)</f>
        <v>12086.759754953364</v>
      </c>
      <c r="FR110" s="8">
        <f ca="1">OFFSET(Database!$F110,0,COLUMN(Database!FO110)*2-12)</f>
        <v>16115.679673271152</v>
      </c>
      <c r="FS110" s="8">
        <f ca="1">OFFSET(Database!$F110,0,COLUMN(Database!FP110)*2-12)</f>
        <v>15618.963518958</v>
      </c>
      <c r="FT110" s="8">
        <f ca="1">OFFSET(Database!$F110,0,COLUMN(Database!FQ110)*2-12)</f>
        <v>14625.531210331696</v>
      </c>
      <c r="FU110" s="8">
        <f ca="1">OFFSET(Database!$F110,0,COLUMN(Database!FR110)*2-12)</f>
        <v>2558</v>
      </c>
      <c r="FV110" s="8">
        <f ca="1">OFFSET(Database!$F110,0,COLUMN(Database!FS110)*2-12)</f>
        <v>2213</v>
      </c>
      <c r="FW110" s="8">
        <f ca="1">OFFSET(Database!$F110,0,COLUMN(Database!FT110)*2-12)</f>
        <v>1762</v>
      </c>
      <c r="FX110" s="8">
        <f ca="1">OFFSET(Database!$F110,0,COLUMN(Database!FU110)*2-12)</f>
        <v>1207</v>
      </c>
      <c r="FY110" s="8">
        <f ca="1">OFFSET(Database!$F110,0,COLUMN(Database!FV110)*2-12)</f>
        <v>1885</v>
      </c>
      <c r="FZ110" s="8">
        <f ca="1">OFFSET(Database!$F110,0,COLUMN(Database!FW110)*2-12)</f>
        <v>2239</v>
      </c>
      <c r="GA110" s="8">
        <f ca="1">OFFSET(Database!$F110,0,COLUMN(Database!FX110)*2-12)</f>
        <v>2688</v>
      </c>
      <c r="GB110" s="8">
        <f ca="1">OFFSET(Database!$F110,0,COLUMN(Database!FY110)*2-12)</f>
        <v>2341</v>
      </c>
      <c r="GC110" s="8">
        <f ca="1">OFFSET(Database!$F110,0,COLUMN(Database!FZ110)*2-12)</f>
        <v>2838</v>
      </c>
      <c r="GD110" s="8">
        <f ca="1">OFFSET(Database!$F110,0,COLUMN(Database!GA110)*2-12)</f>
        <v>1768</v>
      </c>
      <c r="GE110" s="8">
        <f ca="1">OFFSET(Database!$F110,0,COLUMN(Database!GB110)*2-12)</f>
        <v>1720</v>
      </c>
      <c r="GF110" s="8">
        <f ca="1">OFFSET(Database!$F110,0,COLUMN(Database!GC110)*2-12)</f>
        <v>2244</v>
      </c>
      <c r="GG110" s="8" t="str">
        <f ca="1">OFFSET(Database!$F110,0,COLUMN(Database!GD110)*2-12)</f>
        <v>l.o.q.</v>
      </c>
      <c r="GH110" s="8">
        <f ca="1">OFFSET(Database!$F110,0,COLUMN(Database!GE110)*2-12)</f>
        <v>2610.5193443346761</v>
      </c>
      <c r="GI110" s="8">
        <f ca="1">OFFSET(Database!$F110,0,COLUMN(Database!GF110)*2-12)</f>
        <v>9879.1324024504665</v>
      </c>
      <c r="GJ110" s="8">
        <f ca="1">OFFSET(Database!$F110,0,COLUMN(Database!GG110)*2-12)</f>
        <v>4867.8183122688888</v>
      </c>
      <c r="GK110" s="8">
        <f ca="1">OFFSET(Database!$F110,0,COLUMN(Database!GH110)*2-12)</f>
        <v>24946.189083282741</v>
      </c>
      <c r="GL110" s="8">
        <f ca="1">OFFSET(Database!$F110,0,COLUMN(Database!GI110)*2-12)</f>
        <v>1523.2628732269993</v>
      </c>
      <c r="GM110" s="8">
        <f ca="1">OFFSET(Database!$F110,0,COLUMN(Database!GJ110)*2-12)</f>
        <v>32.010596611292016</v>
      </c>
      <c r="GN110" s="8">
        <f ca="1">OFFSET(Database!$F110,0,COLUMN(Database!GK110)*2-12)</f>
        <v>149566.75313207132</v>
      </c>
      <c r="GO110" s="8" t="str">
        <f ca="1">OFFSET(Database!$F110,0,COLUMN(Database!GL110)*2-12)</f>
        <v>n.r.</v>
      </c>
      <c r="GP110" s="8" t="str">
        <f ca="1">OFFSET(Database!$F110,0,COLUMN(Database!GM110)*2-12)</f>
        <v>n.r.</v>
      </c>
    </row>
    <row r="111" spans="1:198" x14ac:dyDescent="0.2">
      <c r="A111" s="50" t="str">
        <f>Database!A111</f>
        <v>D-tryptophan</v>
      </c>
      <c r="B111" s="1" t="s">
        <v>887</v>
      </c>
      <c r="C111" s="4" t="str">
        <f>Database!B111</f>
        <v>ɑ</v>
      </c>
      <c r="D111" s="4" t="str">
        <f>Database!C111</f>
        <v>D</v>
      </c>
      <c r="E111" s="74">
        <f>Database!D111</f>
        <v>5</v>
      </c>
      <c r="F111" s="1" t="s">
        <v>981</v>
      </c>
      <c r="G111" s="1">
        <v>9060</v>
      </c>
      <c r="H111" s="1">
        <f>Database!E111</f>
        <v>204.23</v>
      </c>
      <c r="I111" s="8" t="str">
        <f ca="1">OFFSET(Database!$F111,0,COLUMN(Database!F111)*2-12)</f>
        <v>n.r.</v>
      </c>
      <c r="J111" s="8" t="str">
        <f ca="1">OFFSET(Database!$F111,0,COLUMN(Database!G111)*2-12)</f>
        <v>n.r.</v>
      </c>
      <c r="K111" s="8" t="str">
        <f ca="1">OFFSET(Database!$F111,0,COLUMN(Database!H111)*2-12)</f>
        <v>n.r.</v>
      </c>
      <c r="L111" s="8" t="str">
        <f ca="1">OFFSET(Database!$F111,0,COLUMN(Database!I111)*2-12)</f>
        <v>n.r.</v>
      </c>
      <c r="M111" s="8" t="str">
        <f ca="1">OFFSET(Database!$F111,0,COLUMN(Database!J111)*2-12)</f>
        <v>n.r.</v>
      </c>
      <c r="N111" s="8" t="str">
        <f ca="1">OFFSET(Database!$F111,0,COLUMN(Database!K111)*2-12)</f>
        <v>n.r.</v>
      </c>
      <c r="O111" s="8" t="str">
        <f ca="1">OFFSET(Database!$F111,0,COLUMN(Database!L111)*2-12)</f>
        <v>n.r.</v>
      </c>
      <c r="P111" s="8" t="str">
        <f ca="1">OFFSET(Database!$F111,0,COLUMN(Database!M111)*2-12)</f>
        <v>n.r.</v>
      </c>
      <c r="Q111" s="8" t="str">
        <f ca="1">OFFSET(Database!$F111,0,COLUMN(Database!N111)*2-12)</f>
        <v>n.r.</v>
      </c>
      <c r="R111" s="8" t="str">
        <f ca="1">OFFSET(Database!$F111,0,COLUMN(Database!O111)*2-12)</f>
        <v>n.r.</v>
      </c>
      <c r="S111" s="8" t="str">
        <f ca="1">OFFSET(Database!$F111,0,COLUMN(Database!P111)*2-12)</f>
        <v>n.r.</v>
      </c>
      <c r="T111" s="8" t="str">
        <f ca="1">OFFSET(Database!$F111,0,COLUMN(Database!Q111)*2-12)</f>
        <v>n.r.</v>
      </c>
      <c r="U111" s="8" t="str">
        <f ca="1">OFFSET(Database!$F111,0,COLUMN(Database!R111)*2-12)</f>
        <v>n.r.</v>
      </c>
      <c r="V111" s="8" t="str">
        <f ca="1">OFFSET(Database!$F111,0,COLUMN(Database!S111)*2-12)</f>
        <v>n.r.</v>
      </c>
      <c r="W111" s="8" t="str">
        <f ca="1">OFFSET(Database!$F111,0,COLUMN(Database!T111)*2-12)</f>
        <v>n.r.</v>
      </c>
      <c r="X111" s="8" t="str">
        <f ca="1">OFFSET(Database!$F111,0,COLUMN(Database!U111)*2-12)</f>
        <v>n.r.</v>
      </c>
      <c r="Y111" s="8" t="str">
        <f ca="1">OFFSET(Database!$F111,0,COLUMN(Database!V111)*2-12)</f>
        <v>n.r.</v>
      </c>
      <c r="Z111" s="8" t="str">
        <f ca="1">OFFSET(Database!$F111,0,COLUMN(Database!W111)*2-12)</f>
        <v>n.r.</v>
      </c>
      <c r="AA111" s="8" t="str">
        <f ca="1">OFFSET(Database!$F111,0,COLUMN(Database!X111)*2-12)</f>
        <v>n.r.</v>
      </c>
      <c r="AB111" s="8" t="str">
        <f ca="1">OFFSET(Database!$F111,0,COLUMN(Database!Y111)*2-12)</f>
        <v>n.r.</v>
      </c>
      <c r="AC111" s="8" t="str">
        <f ca="1">OFFSET(Database!$F111,0,COLUMN(Database!Z111)*2-12)</f>
        <v>n.r.</v>
      </c>
      <c r="AD111" s="8" t="str">
        <f ca="1">OFFSET(Database!$F111,0,COLUMN(Database!AA111)*2-12)</f>
        <v>n.r.</v>
      </c>
      <c r="AE111" s="8" t="str">
        <f ca="1">OFFSET(Database!$F111,0,COLUMN(Database!AB111)*2-12)</f>
        <v>n.r.</v>
      </c>
      <c r="AF111" s="8" t="str">
        <f ca="1">OFFSET(Database!$F111,0,COLUMN(Database!AC111)*2-12)</f>
        <v>n.r.</v>
      </c>
      <c r="AG111" s="8" t="str">
        <f ca="1">OFFSET(Database!$F111,0,COLUMN(Database!AD111)*2-12)</f>
        <v>n.r.</v>
      </c>
      <c r="AH111" s="8" t="str">
        <f ca="1">OFFSET(Database!$F111,0,COLUMN(Database!AE111)*2-12)</f>
        <v>n.r.</v>
      </c>
      <c r="AI111" s="8" t="str">
        <f ca="1">OFFSET(Database!$F111,0,COLUMN(Database!AF111)*2-12)</f>
        <v>n.r.</v>
      </c>
      <c r="AJ111" s="8" t="str">
        <f ca="1">OFFSET(Database!$F111,0,COLUMN(Database!AG111)*2-12)</f>
        <v>n.r.</v>
      </c>
      <c r="AK111" s="8" t="str">
        <f ca="1">OFFSET(Database!$F111,0,COLUMN(Database!AH111)*2-12)</f>
        <v>n.r.</v>
      </c>
      <c r="AL111" s="8" t="str">
        <f ca="1">OFFSET(Database!$F111,0,COLUMN(Database!AI111)*2-12)</f>
        <v>n.r.</v>
      </c>
      <c r="AM111" s="8" t="str">
        <f ca="1">OFFSET(Database!$F111,0,COLUMN(Database!AJ111)*2-12)</f>
        <v>n.r.</v>
      </c>
      <c r="AN111" s="8" t="str">
        <f ca="1">OFFSET(Database!$F111,0,COLUMN(Database!AK111)*2-12)</f>
        <v>n.r.</v>
      </c>
      <c r="AO111" s="8" t="str">
        <f ca="1">OFFSET(Database!$F111,0,COLUMN(Database!AL111)*2-12)</f>
        <v>n.r.</v>
      </c>
      <c r="AP111" s="8" t="str">
        <f ca="1">OFFSET(Database!$F111,0,COLUMN(Database!AM111)*2-12)</f>
        <v>n.r.</v>
      </c>
      <c r="AQ111" s="8" t="str">
        <f ca="1">OFFSET(Database!$F111,0,COLUMN(Database!AN111)*2-12)</f>
        <v>n.r.</v>
      </c>
      <c r="AR111" s="8" t="str">
        <f ca="1">OFFSET(Database!$F111,0,COLUMN(Database!AO111)*2-12)</f>
        <v>n.r.</v>
      </c>
      <c r="AS111" s="8" t="str">
        <f ca="1">OFFSET(Database!$F111,0,COLUMN(Database!AP111)*2-12)</f>
        <v>n.r.</v>
      </c>
      <c r="AT111" s="8" t="str">
        <f ca="1">OFFSET(Database!$F111,0,COLUMN(Database!AQ111)*2-12)</f>
        <v>n.r.</v>
      </c>
      <c r="AU111" s="8" t="str">
        <f ca="1">OFFSET(Database!$F111,0,COLUMN(Database!AR111)*2-12)</f>
        <v>n.r.</v>
      </c>
      <c r="AV111" s="8" t="str">
        <f ca="1">OFFSET(Database!$F111,0,COLUMN(Database!AS111)*2-12)</f>
        <v>n.r.</v>
      </c>
      <c r="AW111" s="8" t="str">
        <f ca="1">OFFSET(Database!$F111,0,COLUMN(Database!AT111)*2-12)</f>
        <v>n.r.</v>
      </c>
      <c r="AX111" s="8" t="str">
        <f ca="1">OFFSET(Database!$F111,0,COLUMN(Database!AU111)*2-12)</f>
        <v>n.r.</v>
      </c>
      <c r="AY111" s="8" t="str">
        <f ca="1">OFFSET(Database!$F111,0,COLUMN(Database!AV111)*2-12)</f>
        <v>n.r.</v>
      </c>
      <c r="AZ111" s="8" t="str">
        <f ca="1">OFFSET(Database!$F111,0,COLUMN(Database!AW111)*2-12)</f>
        <v>n.r.</v>
      </c>
      <c r="BA111" s="8" t="str">
        <f ca="1">OFFSET(Database!$F111,0,COLUMN(Database!AX111)*2-12)</f>
        <v>n.r.</v>
      </c>
      <c r="BB111" s="8" t="str">
        <f ca="1">OFFSET(Database!$F111,0,COLUMN(Database!AY111)*2-12)</f>
        <v>n.r.</v>
      </c>
      <c r="BC111" s="8" t="str">
        <f ca="1">OFFSET(Database!$F111,0,COLUMN(Database!AZ111)*2-12)</f>
        <v>n.r.</v>
      </c>
      <c r="BD111" s="8" t="str">
        <f ca="1">OFFSET(Database!$F111,0,COLUMN(Database!BA111)*2-12)</f>
        <v>n.r.</v>
      </c>
      <c r="BE111" s="8" t="str">
        <f ca="1">OFFSET(Database!$F111,0,COLUMN(Database!BB111)*2-12)</f>
        <v>n.r.</v>
      </c>
      <c r="BF111" s="8" t="str">
        <f ca="1">OFFSET(Database!$F111,0,COLUMN(Database!BC111)*2-12)</f>
        <v>n.r.</v>
      </c>
      <c r="BG111" s="8" t="str">
        <f ca="1">OFFSET(Database!$F111,0,COLUMN(Database!BD111)*2-12)</f>
        <v>n.r.</v>
      </c>
      <c r="BH111" s="8" t="str">
        <f ca="1">OFFSET(Database!$F111,0,COLUMN(Database!BE111)*2-12)</f>
        <v>n.r.</v>
      </c>
      <c r="BI111" s="8" t="str">
        <f ca="1">OFFSET(Database!$F111,0,COLUMN(Database!BF111)*2-12)</f>
        <v>n.r.</v>
      </c>
      <c r="BJ111" s="8" t="str">
        <f ca="1">OFFSET(Database!$F111,0,COLUMN(Database!BG111)*2-12)</f>
        <v>n.r.</v>
      </c>
      <c r="BK111" s="8" t="str">
        <f ca="1">OFFSET(Database!$F111,0,COLUMN(Database!BH111)*2-12)</f>
        <v>n.r.</v>
      </c>
      <c r="BL111" s="8" t="str">
        <f ca="1">OFFSET(Database!$F111,0,COLUMN(Database!BI111)*2-12)</f>
        <v>n.r.</v>
      </c>
      <c r="BM111" s="8" t="str">
        <f ca="1">OFFSET(Database!$F111,0,COLUMN(Database!BJ111)*2-12)</f>
        <v>n.r.</v>
      </c>
      <c r="BN111" s="8" t="str">
        <f ca="1">OFFSET(Database!$F111,0,COLUMN(Database!BK111)*2-12)</f>
        <v>n.r.</v>
      </c>
      <c r="BO111" s="8" t="str">
        <f ca="1">OFFSET(Database!$F111,0,COLUMN(Database!BL111)*2-12)</f>
        <v>n.r.</v>
      </c>
      <c r="BP111" s="8" t="str">
        <f ca="1">OFFSET(Database!$F111,0,COLUMN(Database!BM111)*2-12)</f>
        <v>n.r.</v>
      </c>
      <c r="BQ111" s="8" t="str">
        <f ca="1">OFFSET(Database!$F111,0,COLUMN(Database!BN111)*2-12)</f>
        <v>n.r.</v>
      </c>
      <c r="BR111" s="8" t="str">
        <f ca="1">OFFSET(Database!$F111,0,COLUMN(Database!BO111)*2-12)</f>
        <v>n.r.</v>
      </c>
      <c r="BS111" s="8" t="str">
        <f ca="1">OFFSET(Database!$F111,0,COLUMN(Database!BP111)*2-12)</f>
        <v>n.r.</v>
      </c>
      <c r="BT111" s="8" t="str">
        <f ca="1">OFFSET(Database!$F111,0,COLUMN(Database!BQ111)*2-12)</f>
        <v>n.r.</v>
      </c>
      <c r="BU111" s="8" t="str">
        <f ca="1">OFFSET(Database!$F111,0,COLUMN(Database!BR111)*2-12)</f>
        <v>n.r.</v>
      </c>
      <c r="BV111" s="8" t="str">
        <f ca="1">OFFSET(Database!$F111,0,COLUMN(Database!BS111)*2-12)</f>
        <v>n.r.</v>
      </c>
      <c r="BW111" s="8" t="str">
        <f ca="1">OFFSET(Database!$F111,0,COLUMN(Database!BT111)*2-12)</f>
        <v>n.r.</v>
      </c>
      <c r="BX111" s="8" t="str">
        <f ca="1">OFFSET(Database!$F111,0,COLUMN(Database!BU111)*2-12)</f>
        <v>n.r.</v>
      </c>
      <c r="BY111" s="8" t="str">
        <f ca="1">OFFSET(Database!$F111,0,COLUMN(Database!BV111)*2-12)</f>
        <v>n.r.</v>
      </c>
      <c r="BZ111" s="8" t="str">
        <f ca="1">OFFSET(Database!$F111,0,COLUMN(Database!BW111)*2-12)</f>
        <v>n.r.</v>
      </c>
      <c r="CA111" s="8" t="str">
        <f ca="1">OFFSET(Database!$F111,0,COLUMN(Database!BX111)*2-12)</f>
        <v>n.r.</v>
      </c>
      <c r="CB111" s="8" t="str">
        <f ca="1">OFFSET(Database!$F111,0,COLUMN(Database!BY111)*2-12)</f>
        <v>n.r.</v>
      </c>
      <c r="CC111" s="8" t="str">
        <f ca="1">OFFSET(Database!$F111,0,COLUMN(Database!BZ111)*2-12)</f>
        <v>n.r.</v>
      </c>
      <c r="CD111" s="8" t="str">
        <f ca="1">OFFSET(Database!$F111,0,COLUMN(Database!CA111)*2-12)</f>
        <v>n.r.</v>
      </c>
      <c r="CE111" s="8" t="str">
        <f ca="1">OFFSET(Database!$F111,0,COLUMN(Database!CB111)*2-12)</f>
        <v>n.r.</v>
      </c>
      <c r="CF111" s="8" t="str">
        <f ca="1">OFFSET(Database!$F111,0,COLUMN(Database!CC111)*2-12)</f>
        <v>n.r.</v>
      </c>
      <c r="CG111" s="8" t="str">
        <f ca="1">OFFSET(Database!$F111,0,COLUMN(Database!CD111)*2-12)</f>
        <v>n.r.</v>
      </c>
      <c r="CH111" s="8" t="str">
        <f ca="1">OFFSET(Database!$F111,0,COLUMN(Database!CE111)*2-12)</f>
        <v>n.r.</v>
      </c>
      <c r="CI111" s="8" t="str">
        <f ca="1">OFFSET(Database!$F111,0,COLUMN(Database!CF111)*2-12)</f>
        <v>n.r.</v>
      </c>
      <c r="CJ111" s="8" t="str">
        <f ca="1">OFFSET(Database!$F111,0,COLUMN(Database!CG111)*2-12)</f>
        <v>n.r.</v>
      </c>
      <c r="CK111" s="8" t="str">
        <f ca="1">OFFSET(Database!$F111,0,COLUMN(Database!CH111)*2-12)</f>
        <v>n.r.</v>
      </c>
      <c r="CL111" s="8" t="str">
        <f ca="1">OFFSET(Database!$F111,0,COLUMN(Database!CI111)*2-12)</f>
        <v>n.r.</v>
      </c>
      <c r="CM111" s="8" t="str">
        <f ca="1">OFFSET(Database!$F111,0,COLUMN(Database!CJ111)*2-12)</f>
        <v>n.r.</v>
      </c>
      <c r="CN111" s="8" t="str">
        <f ca="1">OFFSET(Database!$F111,0,COLUMN(Database!CK111)*2-12)</f>
        <v>n.r.</v>
      </c>
      <c r="CO111" s="8" t="str">
        <f ca="1">OFFSET(Database!$F111,0,COLUMN(Database!CL111)*2-12)</f>
        <v>n.r.</v>
      </c>
      <c r="CP111" s="8" t="str">
        <f ca="1">OFFSET(Database!$F111,0,COLUMN(Database!CM111)*2-12)</f>
        <v>n.r.</v>
      </c>
      <c r="CQ111" s="8" t="str">
        <f ca="1">OFFSET(Database!$F111,0,COLUMN(Database!CN111)*2-12)</f>
        <v>n.r.</v>
      </c>
      <c r="CR111" s="8" t="str">
        <f ca="1">OFFSET(Database!$F111,0,COLUMN(Database!CO111)*2-12)</f>
        <v>n.r.</v>
      </c>
      <c r="CS111" s="8" t="str">
        <f ca="1">OFFSET(Database!$F111,0,COLUMN(Database!CP111)*2-12)</f>
        <v>n.r.</v>
      </c>
      <c r="CT111" s="8" t="str">
        <f ca="1">OFFSET(Database!$F111,0,COLUMN(Database!CQ111)*2-12)</f>
        <v>n.r.</v>
      </c>
      <c r="CU111" s="8" t="str">
        <f ca="1">OFFSET(Database!$F111,0,COLUMN(Database!CR111)*2-12)</f>
        <v>n.r.</v>
      </c>
      <c r="CV111" s="8" t="str">
        <f ca="1">OFFSET(Database!$F111,0,COLUMN(Database!CS111)*2-12)</f>
        <v>n.r.</v>
      </c>
      <c r="CW111" s="8" t="str">
        <f ca="1">OFFSET(Database!$F111,0,COLUMN(Database!CT111)*2-12)</f>
        <v>n.r.</v>
      </c>
      <c r="CX111" s="8" t="str">
        <f ca="1">OFFSET(Database!$F111,0,COLUMN(Database!CU111)*2-12)</f>
        <v>n.r.</v>
      </c>
      <c r="CY111" s="8" t="str">
        <f ca="1">OFFSET(Database!$F111,0,COLUMN(Database!CV111)*2-12)</f>
        <v>n.r.</v>
      </c>
      <c r="CZ111" s="8" t="str">
        <f ca="1">OFFSET(Database!$F111,0,COLUMN(Database!CW111)*2-12)</f>
        <v>n.r.</v>
      </c>
      <c r="DA111" s="8" t="str">
        <f ca="1">OFFSET(Database!$F111,0,COLUMN(Database!CX111)*2-12)</f>
        <v>n.r.</v>
      </c>
      <c r="DB111" s="8" t="str">
        <f ca="1">OFFSET(Database!$F111,0,COLUMN(Database!CY111)*2-12)</f>
        <v>n.r.</v>
      </c>
      <c r="DC111" s="8" t="str">
        <f ca="1">OFFSET(Database!$F111,0,COLUMN(Database!CZ111)*2-12)</f>
        <v>n.r.</v>
      </c>
      <c r="DD111" s="8" t="str">
        <f ca="1">OFFSET(Database!$F111,0,COLUMN(Database!DA111)*2-12)</f>
        <v>n.r.</v>
      </c>
      <c r="DE111" s="8" t="str">
        <f ca="1">OFFSET(Database!$F111,0,COLUMN(Database!DB111)*2-12)</f>
        <v>n.r.</v>
      </c>
      <c r="DF111" s="8" t="str">
        <f ca="1">OFFSET(Database!$F111,0,COLUMN(Database!DC111)*2-12)</f>
        <v>n.r.</v>
      </c>
      <c r="DG111" s="8" t="str">
        <f ca="1">OFFSET(Database!$F111,0,COLUMN(Database!DD111)*2-12)</f>
        <v>n.r.</v>
      </c>
      <c r="DH111" s="8" t="str">
        <f ca="1">OFFSET(Database!$F111,0,COLUMN(Database!DE111)*2-12)</f>
        <v>n.r.</v>
      </c>
      <c r="DI111" s="8" t="str">
        <f ca="1">OFFSET(Database!$F111,0,COLUMN(Database!DF111)*2-12)</f>
        <v>n.r.</v>
      </c>
      <c r="DJ111" s="8" t="str">
        <f ca="1">OFFSET(Database!$F111,0,COLUMN(Database!DG111)*2-12)</f>
        <v>n.r.</v>
      </c>
      <c r="DK111" s="8" t="str">
        <f ca="1">OFFSET(Database!$F111,0,COLUMN(Database!DH111)*2-12)</f>
        <v>n.r.</v>
      </c>
      <c r="DL111" s="8" t="str">
        <f ca="1">OFFSET(Database!$F111,0,COLUMN(Database!DI111)*2-12)</f>
        <v>n.r.</v>
      </c>
      <c r="DM111" s="8" t="str">
        <f ca="1">OFFSET(Database!$F111,0,COLUMN(Database!DJ111)*2-12)</f>
        <v>n.r.</v>
      </c>
      <c r="DN111" s="8" t="str">
        <f ca="1">OFFSET(Database!$F111,0,COLUMN(Database!DK111)*2-12)</f>
        <v>n.r.</v>
      </c>
      <c r="DO111" s="8" t="str">
        <f ca="1">OFFSET(Database!$F111,0,COLUMN(Database!DL111)*2-12)</f>
        <v>n.r.</v>
      </c>
      <c r="DP111" s="8" t="str">
        <f ca="1">OFFSET(Database!$F111,0,COLUMN(Database!DM111)*2-12)</f>
        <v>n.r.</v>
      </c>
      <c r="DQ111" s="8" t="str">
        <f ca="1">OFFSET(Database!$F111,0,COLUMN(Database!DN111)*2-12)</f>
        <v>n.r.</v>
      </c>
      <c r="DR111" s="8" t="str">
        <f ca="1">OFFSET(Database!$F111,0,COLUMN(Database!DO111)*2-12)</f>
        <v>n.r.</v>
      </c>
      <c r="DS111" s="8" t="str">
        <f ca="1">OFFSET(Database!$F111,0,COLUMN(Database!DP111)*2-12)</f>
        <v>n.r.</v>
      </c>
      <c r="DT111" s="8" t="str">
        <f ca="1">OFFSET(Database!$F111,0,COLUMN(Database!DQ111)*2-12)</f>
        <v>n.r.</v>
      </c>
      <c r="DU111" s="8" t="str">
        <f ca="1">OFFSET(Database!$F111,0,COLUMN(Database!DR111)*2-12)</f>
        <v>n.r.</v>
      </c>
      <c r="DV111" s="8" t="str">
        <f ca="1">OFFSET(Database!$F111,0,COLUMN(Database!DS111)*2-12)</f>
        <v>n.r.</v>
      </c>
      <c r="DW111" s="8" t="str">
        <f ca="1">OFFSET(Database!$F111,0,COLUMN(Database!DT111)*2-12)</f>
        <v>n.r.</v>
      </c>
      <c r="DX111" s="8" t="str">
        <f ca="1">OFFSET(Database!$F111,0,COLUMN(Database!DU111)*2-12)</f>
        <v>n.r.</v>
      </c>
      <c r="DY111" s="8" t="str">
        <f ca="1">OFFSET(Database!$F111,0,COLUMN(Database!DV111)*2-12)</f>
        <v>n.r.</v>
      </c>
      <c r="DZ111" s="8" t="str">
        <f ca="1">OFFSET(Database!$F111,0,COLUMN(Database!DW111)*2-12)</f>
        <v>n.r.</v>
      </c>
      <c r="EA111" s="8" t="str">
        <f ca="1">OFFSET(Database!$F111,0,COLUMN(Database!DX111)*2-12)</f>
        <v>n.r.</v>
      </c>
      <c r="EB111" s="8" t="str">
        <f ca="1">OFFSET(Database!$F111,0,COLUMN(Database!DY111)*2-12)</f>
        <v>n.r.</v>
      </c>
      <c r="EC111" s="8" t="str">
        <f ca="1">OFFSET(Database!$F111,0,COLUMN(Database!DZ111)*2-12)</f>
        <v>n.r.</v>
      </c>
      <c r="ED111" s="8" t="str">
        <f ca="1">OFFSET(Database!$F111,0,COLUMN(Database!EA111)*2-12)</f>
        <v>n.r.</v>
      </c>
      <c r="EE111" s="8" t="str">
        <f ca="1">OFFSET(Database!$F111,0,COLUMN(Database!EB111)*2-12)</f>
        <v>n.r.</v>
      </c>
      <c r="EF111" s="8" t="str">
        <f ca="1">OFFSET(Database!$F111,0,COLUMN(Database!EC111)*2-12)</f>
        <v>n.r.</v>
      </c>
      <c r="EG111" s="8" t="str">
        <f ca="1">OFFSET(Database!$F111,0,COLUMN(Database!ED111)*2-12)</f>
        <v>n.r.</v>
      </c>
      <c r="EH111" s="8" t="str">
        <f ca="1">OFFSET(Database!$F111,0,COLUMN(Database!EE111)*2-12)</f>
        <v>n.r.</v>
      </c>
      <c r="EI111" s="8" t="str">
        <f ca="1">OFFSET(Database!$F111,0,COLUMN(Database!EF111)*2-12)</f>
        <v>n.r.</v>
      </c>
      <c r="EJ111" s="8" t="str">
        <f ca="1">OFFSET(Database!$F111,0,COLUMN(Database!EG111)*2-12)</f>
        <v>n.r.</v>
      </c>
      <c r="EK111" s="8" t="str">
        <f ca="1">OFFSET(Database!$F111,0,COLUMN(Database!EH111)*2-12)</f>
        <v>n.r.</v>
      </c>
      <c r="EL111" s="8" t="str">
        <f ca="1">OFFSET(Database!$F111,0,COLUMN(Database!EI111)*2-12)</f>
        <v>n.r.</v>
      </c>
      <c r="EM111" s="8" t="str">
        <f ca="1">OFFSET(Database!$F111,0,COLUMN(Database!EJ111)*2-12)</f>
        <v>n.r.</v>
      </c>
      <c r="EN111" s="8" t="str">
        <f ca="1">OFFSET(Database!$F111,0,COLUMN(Database!EK111)*2-12)</f>
        <v>n.r.</v>
      </c>
      <c r="EO111" s="8" t="str">
        <f ca="1">OFFSET(Database!$F111,0,COLUMN(Database!EL111)*2-12)</f>
        <v>n.r.</v>
      </c>
      <c r="EP111" s="8" t="str">
        <f ca="1">OFFSET(Database!$F111,0,COLUMN(Database!EM111)*2-12)</f>
        <v>n.r.</v>
      </c>
      <c r="EQ111" s="8" t="str">
        <f ca="1">OFFSET(Database!$F111,0,COLUMN(Database!EN111)*2-12)</f>
        <v>n.r.</v>
      </c>
      <c r="ER111" s="8">
        <f ca="1">OFFSET(Database!$F111,0,COLUMN(Database!EO111)*2-12)</f>
        <v>0</v>
      </c>
      <c r="ES111" s="8">
        <f ca="1">OFFSET(Database!$F111,0,COLUMN(Database!EP111)*2-12)</f>
        <v>0</v>
      </c>
      <c r="ET111" s="8">
        <f ca="1">OFFSET(Database!$F111,0,COLUMN(Database!EQ111)*2-12)</f>
        <v>0</v>
      </c>
      <c r="EU111" s="8">
        <f ca="1">OFFSET(Database!$F111,0,COLUMN(Database!ER111)*2-12)</f>
        <v>0</v>
      </c>
      <c r="EV111" s="8">
        <f ca="1">OFFSET(Database!$F111,0,COLUMN(Database!ES111)*2-12)</f>
        <v>0</v>
      </c>
      <c r="EW111" s="8" t="str">
        <f ca="1">OFFSET(Database!$F111,0,COLUMN(Database!ET111)*2-12)</f>
        <v>n.r.</v>
      </c>
      <c r="EX111" s="8" t="str">
        <f ca="1">OFFSET(Database!$F111,0,COLUMN(Database!EU111)*2-12)</f>
        <v>n.r.</v>
      </c>
      <c r="EY111" s="8" t="str">
        <f ca="1">OFFSET(Database!$F111,0,COLUMN(Database!EV111)*2-12)</f>
        <v>n.r.</v>
      </c>
      <c r="EZ111" s="8" t="str">
        <f ca="1">OFFSET(Database!$F111,0,COLUMN(Database!EW111)*2-12)</f>
        <v>n.r.</v>
      </c>
      <c r="FA111" s="8" t="str">
        <f ca="1">OFFSET(Database!$F111,0,COLUMN(Database!EX111)*2-12)</f>
        <v>n.r.</v>
      </c>
      <c r="FB111" s="8" t="str">
        <f ca="1">OFFSET(Database!$F111,0,COLUMN(Database!EY111)*2-12)</f>
        <v>n.r.</v>
      </c>
      <c r="FC111" s="8" t="str">
        <f ca="1">OFFSET(Database!$F111,0,COLUMN(Database!EZ111)*2-12)</f>
        <v>n.r.</v>
      </c>
      <c r="FD111" s="8" t="str">
        <f ca="1">OFFSET(Database!$F111,0,COLUMN(Database!FA111)*2-12)</f>
        <v>n.d.</v>
      </c>
      <c r="FE111" s="8" t="str">
        <f ca="1">OFFSET(Database!$F111,0,COLUMN(Database!FB111)*2-12)</f>
        <v>n.d.</v>
      </c>
      <c r="FF111" s="8" t="str">
        <f ca="1">OFFSET(Database!$F111,0,COLUMN(Database!FC111)*2-12)</f>
        <v>n.d.</v>
      </c>
      <c r="FG111" s="8" t="str">
        <f ca="1">OFFSET(Database!$F111,0,COLUMN(Database!FD111)*2-12)</f>
        <v>n.r.</v>
      </c>
      <c r="FH111" s="8" t="str">
        <f ca="1">OFFSET(Database!$F111,0,COLUMN(Database!FE111)*2-12)</f>
        <v>n.r.</v>
      </c>
      <c r="FI111" s="8" t="str">
        <f ca="1">OFFSET(Database!$F111,0,COLUMN(Database!FF111)*2-12)</f>
        <v>n.r.</v>
      </c>
      <c r="FJ111" s="8" t="str">
        <f ca="1">OFFSET(Database!$F111,0,COLUMN(Database!FG111)*2-12)</f>
        <v>n.r.</v>
      </c>
      <c r="FK111" s="8" t="str">
        <f ca="1">OFFSET(Database!$F111,0,COLUMN(Database!FH111)*2-12)</f>
        <v>n.r.</v>
      </c>
      <c r="FL111" s="8" t="str">
        <f ca="1">OFFSET(Database!$F111,0,COLUMN(Database!FI111)*2-12)</f>
        <v>n.r.</v>
      </c>
      <c r="FM111" s="8" t="str">
        <f ca="1">OFFSET(Database!$F111,0,COLUMN(Database!FJ111)*2-12)</f>
        <v>n.r.</v>
      </c>
      <c r="FN111" s="8" t="str">
        <f ca="1">OFFSET(Database!$F111,0,COLUMN(Database!FK111)*2-12)</f>
        <v>n.r.</v>
      </c>
      <c r="FO111" s="8" t="str">
        <f ca="1">OFFSET(Database!$F111,0,COLUMN(Database!FL111)*2-12)</f>
        <v>n.r.</v>
      </c>
      <c r="FP111" s="8" t="str">
        <f ca="1">OFFSET(Database!$F111,0,COLUMN(Database!FM111)*2-12)</f>
        <v>n.r.</v>
      </c>
      <c r="FQ111" s="8" t="str">
        <f ca="1">OFFSET(Database!$F111,0,COLUMN(Database!FN111)*2-12)</f>
        <v>n.r.</v>
      </c>
      <c r="FR111" s="8" t="str">
        <f ca="1">OFFSET(Database!$F111,0,COLUMN(Database!FO111)*2-12)</f>
        <v>n.r.</v>
      </c>
      <c r="FS111" s="8" t="str">
        <f ca="1">OFFSET(Database!$F111,0,COLUMN(Database!FP111)*2-12)</f>
        <v>n.r.</v>
      </c>
      <c r="FT111" s="8" t="str">
        <f ca="1">OFFSET(Database!$F111,0,COLUMN(Database!FQ111)*2-12)</f>
        <v>n.r.</v>
      </c>
      <c r="FU111" s="8" t="str">
        <f ca="1">OFFSET(Database!$F111,0,COLUMN(Database!FR111)*2-12)</f>
        <v>n.r.</v>
      </c>
      <c r="FV111" s="8" t="str">
        <f ca="1">OFFSET(Database!$F111,0,COLUMN(Database!FS111)*2-12)</f>
        <v>n.r.</v>
      </c>
      <c r="FW111" s="8" t="str">
        <f ca="1">OFFSET(Database!$F111,0,COLUMN(Database!FT111)*2-12)</f>
        <v>n.r.</v>
      </c>
      <c r="FX111" s="8" t="str">
        <f ca="1">OFFSET(Database!$F111,0,COLUMN(Database!FU111)*2-12)</f>
        <v>n.r.</v>
      </c>
      <c r="FY111" s="8" t="str">
        <f ca="1">OFFSET(Database!$F111,0,COLUMN(Database!FV111)*2-12)</f>
        <v>n.r.</v>
      </c>
      <c r="FZ111" s="8" t="str">
        <f ca="1">OFFSET(Database!$F111,0,COLUMN(Database!FW111)*2-12)</f>
        <v>n.r.</v>
      </c>
      <c r="GA111" s="8" t="str">
        <f ca="1">OFFSET(Database!$F111,0,COLUMN(Database!FX111)*2-12)</f>
        <v>n.r.</v>
      </c>
      <c r="GB111" s="8" t="str">
        <f ca="1">OFFSET(Database!$F111,0,COLUMN(Database!FY111)*2-12)</f>
        <v>n.r.</v>
      </c>
      <c r="GC111" s="8" t="str">
        <f ca="1">OFFSET(Database!$F111,0,COLUMN(Database!FZ111)*2-12)</f>
        <v>n.r.</v>
      </c>
      <c r="GD111" s="8" t="str">
        <f ca="1">OFFSET(Database!$F111,0,COLUMN(Database!GA111)*2-12)</f>
        <v>n.r.</v>
      </c>
      <c r="GE111" s="8" t="str">
        <f ca="1">OFFSET(Database!$F111,0,COLUMN(Database!GB111)*2-12)</f>
        <v>n.r.</v>
      </c>
      <c r="GF111" s="8" t="str">
        <f ca="1">OFFSET(Database!$F111,0,COLUMN(Database!GC111)*2-12)</f>
        <v>n.r.</v>
      </c>
      <c r="GG111" s="8" t="str">
        <f ca="1">OFFSET(Database!$F111,0,COLUMN(Database!GD111)*2-12)</f>
        <v>n.r.</v>
      </c>
      <c r="GH111" s="8" t="str">
        <f ca="1">OFFSET(Database!$F111,0,COLUMN(Database!GE111)*2-12)</f>
        <v>n.r.</v>
      </c>
      <c r="GI111" s="8" t="str">
        <f ca="1">OFFSET(Database!$F111,0,COLUMN(Database!GF111)*2-12)</f>
        <v>n.r.</v>
      </c>
      <c r="GJ111" s="8" t="str">
        <f ca="1">OFFSET(Database!$F111,0,COLUMN(Database!GG111)*2-12)</f>
        <v>n.r.</v>
      </c>
      <c r="GK111" s="8" t="str">
        <f ca="1">OFFSET(Database!$F111,0,COLUMN(Database!GH111)*2-12)</f>
        <v>n.r.</v>
      </c>
      <c r="GL111" s="8" t="str">
        <f ca="1">OFFSET(Database!$F111,0,COLUMN(Database!GI111)*2-12)</f>
        <v>n.r.</v>
      </c>
      <c r="GM111" s="8" t="str">
        <f ca="1">OFFSET(Database!$F111,0,COLUMN(Database!GJ111)*2-12)</f>
        <v>n.r.</v>
      </c>
      <c r="GN111" s="8" t="str">
        <f ca="1">OFFSET(Database!$F111,0,COLUMN(Database!GK111)*2-12)</f>
        <v>n.r.</v>
      </c>
      <c r="GO111" s="8" t="str">
        <f ca="1">OFFSET(Database!$F111,0,COLUMN(Database!GL111)*2-12)</f>
        <v>n.r.</v>
      </c>
      <c r="GP111" s="8" t="str">
        <f ca="1">OFFSET(Database!$F111,0,COLUMN(Database!GM111)*2-12)</f>
        <v>n.r.</v>
      </c>
    </row>
    <row r="112" spans="1:198" x14ac:dyDescent="0.2">
      <c r="A112" s="50" t="str">
        <f>Database!A112</f>
        <v>L-tryptophan</v>
      </c>
      <c r="B112" s="1" t="s">
        <v>887</v>
      </c>
      <c r="C112" s="4" t="str">
        <f>Database!B112</f>
        <v>ɑ</v>
      </c>
      <c r="D112" s="4" t="str">
        <f>Database!C112</f>
        <v>L</v>
      </c>
      <c r="E112" s="74">
        <f>Database!D112</f>
        <v>8</v>
      </c>
      <c r="F112" s="1" t="s">
        <v>982</v>
      </c>
      <c r="G112" s="1">
        <v>6305</v>
      </c>
      <c r="H112" s="1">
        <f>Database!E112</f>
        <v>204.23</v>
      </c>
      <c r="I112" s="8" t="str">
        <f ca="1">OFFSET(Database!$F112,0,COLUMN(Database!F112)*2-12)</f>
        <v>n.r.</v>
      </c>
      <c r="J112" s="8" t="str">
        <f ca="1">OFFSET(Database!$F112,0,COLUMN(Database!G112)*2-12)</f>
        <v>n.r.</v>
      </c>
      <c r="K112" s="8" t="str">
        <f ca="1">OFFSET(Database!$F112,0,COLUMN(Database!H112)*2-12)</f>
        <v>n.r.</v>
      </c>
      <c r="L112" s="8" t="str">
        <f ca="1">OFFSET(Database!$F112,0,COLUMN(Database!I112)*2-12)</f>
        <v>n.r.</v>
      </c>
      <c r="M112" s="8" t="str">
        <f ca="1">OFFSET(Database!$F112,0,COLUMN(Database!J112)*2-12)</f>
        <v>n.r.</v>
      </c>
      <c r="N112" s="8" t="str">
        <f ca="1">OFFSET(Database!$F112,0,COLUMN(Database!K112)*2-12)</f>
        <v>n.r.</v>
      </c>
      <c r="O112" s="8" t="str">
        <f ca="1">OFFSET(Database!$F112,0,COLUMN(Database!L112)*2-12)</f>
        <v>n.r.</v>
      </c>
      <c r="P112" s="8" t="str">
        <f ca="1">OFFSET(Database!$F112,0,COLUMN(Database!M112)*2-12)</f>
        <v>n.r.</v>
      </c>
      <c r="Q112" s="8" t="str">
        <f ca="1">OFFSET(Database!$F112,0,COLUMN(Database!N112)*2-12)</f>
        <v>n.r.</v>
      </c>
      <c r="R112" s="8" t="str">
        <f ca="1">OFFSET(Database!$F112,0,COLUMN(Database!O112)*2-12)</f>
        <v>n.r.</v>
      </c>
      <c r="S112" s="8" t="str">
        <f ca="1">OFFSET(Database!$F112,0,COLUMN(Database!P112)*2-12)</f>
        <v>n.r.</v>
      </c>
      <c r="T112" s="8" t="str">
        <f ca="1">OFFSET(Database!$F112,0,COLUMN(Database!Q112)*2-12)</f>
        <v>n.r.</v>
      </c>
      <c r="U112" s="8" t="str">
        <f ca="1">OFFSET(Database!$F112,0,COLUMN(Database!R112)*2-12)</f>
        <v>n.r.</v>
      </c>
      <c r="V112" s="8" t="str">
        <f ca="1">OFFSET(Database!$F112,0,COLUMN(Database!S112)*2-12)</f>
        <v>n.r.</v>
      </c>
      <c r="W112" s="8" t="str">
        <f ca="1">OFFSET(Database!$F112,0,COLUMN(Database!T112)*2-12)</f>
        <v>n.r.</v>
      </c>
      <c r="X112" s="8" t="str">
        <f ca="1">OFFSET(Database!$F112,0,COLUMN(Database!U112)*2-12)</f>
        <v>n.r.</v>
      </c>
      <c r="Y112" s="8" t="str">
        <f ca="1">OFFSET(Database!$F112,0,COLUMN(Database!V112)*2-12)</f>
        <v>n.r.</v>
      </c>
      <c r="Z112" s="8" t="str">
        <f ca="1">OFFSET(Database!$F112,0,COLUMN(Database!W112)*2-12)</f>
        <v>n.r.</v>
      </c>
      <c r="AA112" s="8" t="str">
        <f ca="1">OFFSET(Database!$F112,0,COLUMN(Database!X112)*2-12)</f>
        <v>n.r.</v>
      </c>
      <c r="AB112" s="8" t="str">
        <f ca="1">OFFSET(Database!$F112,0,COLUMN(Database!Y112)*2-12)</f>
        <v>n.r.</v>
      </c>
      <c r="AC112" s="8" t="str">
        <f ca="1">OFFSET(Database!$F112,0,COLUMN(Database!Z112)*2-12)</f>
        <v>n.r.</v>
      </c>
      <c r="AD112" s="8" t="str">
        <f ca="1">OFFSET(Database!$F112,0,COLUMN(Database!AA112)*2-12)</f>
        <v>n.r.</v>
      </c>
      <c r="AE112" s="8" t="str">
        <f ca="1">OFFSET(Database!$F112,0,COLUMN(Database!AB112)*2-12)</f>
        <v>n.r.</v>
      </c>
      <c r="AF112" s="8" t="str">
        <f ca="1">OFFSET(Database!$F112,0,COLUMN(Database!AC112)*2-12)</f>
        <v>n.r.</v>
      </c>
      <c r="AG112" s="8" t="str">
        <f ca="1">OFFSET(Database!$F112,0,COLUMN(Database!AD112)*2-12)</f>
        <v>n.r.</v>
      </c>
      <c r="AH112" s="8" t="str">
        <f ca="1">OFFSET(Database!$F112,0,COLUMN(Database!AE112)*2-12)</f>
        <v>n.r.</v>
      </c>
      <c r="AI112" s="8" t="str">
        <f ca="1">OFFSET(Database!$F112,0,COLUMN(Database!AF112)*2-12)</f>
        <v>n.r.</v>
      </c>
      <c r="AJ112" s="8" t="str">
        <f ca="1">OFFSET(Database!$F112,0,COLUMN(Database!AG112)*2-12)</f>
        <v>n.r.</v>
      </c>
      <c r="AK112" s="8" t="str">
        <f ca="1">OFFSET(Database!$F112,0,COLUMN(Database!AH112)*2-12)</f>
        <v>n.r.</v>
      </c>
      <c r="AL112" s="8" t="str">
        <f ca="1">OFFSET(Database!$F112,0,COLUMN(Database!AI112)*2-12)</f>
        <v>n.r.</v>
      </c>
      <c r="AM112" s="8" t="str">
        <f ca="1">OFFSET(Database!$F112,0,COLUMN(Database!AJ112)*2-12)</f>
        <v>n.r.</v>
      </c>
      <c r="AN112" s="8" t="str">
        <f ca="1">OFFSET(Database!$F112,0,COLUMN(Database!AK112)*2-12)</f>
        <v>n.r.</v>
      </c>
      <c r="AO112" s="8" t="str">
        <f ca="1">OFFSET(Database!$F112,0,COLUMN(Database!AL112)*2-12)</f>
        <v>n.r.</v>
      </c>
      <c r="AP112" s="8" t="str">
        <f ca="1">OFFSET(Database!$F112,0,COLUMN(Database!AM112)*2-12)</f>
        <v>n.r.</v>
      </c>
      <c r="AQ112" s="8" t="str">
        <f ca="1">OFFSET(Database!$F112,0,COLUMN(Database!AN112)*2-12)</f>
        <v>n.r.</v>
      </c>
      <c r="AR112" s="8" t="str">
        <f ca="1">OFFSET(Database!$F112,0,COLUMN(Database!AO112)*2-12)</f>
        <v>n.r.</v>
      </c>
      <c r="AS112" s="8" t="str">
        <f ca="1">OFFSET(Database!$F112,0,COLUMN(Database!AP112)*2-12)</f>
        <v>n.r.</v>
      </c>
      <c r="AT112" s="8" t="str">
        <f ca="1">OFFSET(Database!$F112,0,COLUMN(Database!AQ112)*2-12)</f>
        <v>n.r.</v>
      </c>
      <c r="AU112" s="8" t="str">
        <f ca="1">OFFSET(Database!$F112,0,COLUMN(Database!AR112)*2-12)</f>
        <v>n.r.</v>
      </c>
      <c r="AV112" s="8" t="str">
        <f ca="1">OFFSET(Database!$F112,0,COLUMN(Database!AS112)*2-12)</f>
        <v>n.r.</v>
      </c>
      <c r="AW112" s="8" t="str">
        <f ca="1">OFFSET(Database!$F112,0,COLUMN(Database!AT112)*2-12)</f>
        <v>n.r.</v>
      </c>
      <c r="AX112" s="8" t="str">
        <f ca="1">OFFSET(Database!$F112,0,COLUMN(Database!AU112)*2-12)</f>
        <v>n.r.</v>
      </c>
      <c r="AY112" s="8" t="str">
        <f ca="1">OFFSET(Database!$F112,0,COLUMN(Database!AV112)*2-12)</f>
        <v>n.r.</v>
      </c>
      <c r="AZ112" s="8" t="str">
        <f ca="1">OFFSET(Database!$F112,0,COLUMN(Database!AW112)*2-12)</f>
        <v>n.r.</v>
      </c>
      <c r="BA112" s="8" t="str">
        <f ca="1">OFFSET(Database!$F112,0,COLUMN(Database!AX112)*2-12)</f>
        <v>n.r.</v>
      </c>
      <c r="BB112" s="8" t="str">
        <f ca="1">OFFSET(Database!$F112,0,COLUMN(Database!AY112)*2-12)</f>
        <v>n.r.</v>
      </c>
      <c r="BC112" s="8" t="str">
        <f ca="1">OFFSET(Database!$F112,0,COLUMN(Database!AZ112)*2-12)</f>
        <v>n.r.</v>
      </c>
      <c r="BD112" s="8" t="str">
        <f ca="1">OFFSET(Database!$F112,0,COLUMN(Database!BA112)*2-12)</f>
        <v>n.r.</v>
      </c>
      <c r="BE112" s="8" t="str">
        <f ca="1">OFFSET(Database!$F112,0,COLUMN(Database!BB112)*2-12)</f>
        <v>n.r.</v>
      </c>
      <c r="BF112" s="8" t="str">
        <f ca="1">OFFSET(Database!$F112,0,COLUMN(Database!BC112)*2-12)</f>
        <v>n.r.</v>
      </c>
      <c r="BG112" s="8" t="str">
        <f ca="1">OFFSET(Database!$F112,0,COLUMN(Database!BD112)*2-12)</f>
        <v>n.r.</v>
      </c>
      <c r="BH112" s="8" t="str">
        <f ca="1">OFFSET(Database!$F112,0,COLUMN(Database!BE112)*2-12)</f>
        <v>n.r.</v>
      </c>
      <c r="BI112" s="8" t="str">
        <f ca="1">OFFSET(Database!$F112,0,COLUMN(Database!BF112)*2-12)</f>
        <v>n.r.</v>
      </c>
      <c r="BJ112" s="8" t="str">
        <f ca="1">OFFSET(Database!$F112,0,COLUMN(Database!BG112)*2-12)</f>
        <v>n.r.</v>
      </c>
      <c r="BK112" s="8" t="str">
        <f ca="1">OFFSET(Database!$F112,0,COLUMN(Database!BH112)*2-12)</f>
        <v>n.r.</v>
      </c>
      <c r="BL112" s="8" t="str">
        <f ca="1">OFFSET(Database!$F112,0,COLUMN(Database!BI112)*2-12)</f>
        <v>n.r.</v>
      </c>
      <c r="BM112" s="8" t="str">
        <f ca="1">OFFSET(Database!$F112,0,COLUMN(Database!BJ112)*2-12)</f>
        <v>n.r.</v>
      </c>
      <c r="BN112" s="8" t="str">
        <f ca="1">OFFSET(Database!$F112,0,COLUMN(Database!BK112)*2-12)</f>
        <v>n.r.</v>
      </c>
      <c r="BO112" s="8" t="str">
        <f ca="1">OFFSET(Database!$F112,0,COLUMN(Database!BL112)*2-12)</f>
        <v>n.r.</v>
      </c>
      <c r="BP112" s="8" t="str">
        <f ca="1">OFFSET(Database!$F112,0,COLUMN(Database!BM112)*2-12)</f>
        <v>n.r.</v>
      </c>
      <c r="BQ112" s="8" t="str">
        <f ca="1">OFFSET(Database!$F112,0,COLUMN(Database!BN112)*2-12)</f>
        <v>n.r.</v>
      </c>
      <c r="BR112" s="8" t="str">
        <f ca="1">OFFSET(Database!$F112,0,COLUMN(Database!BO112)*2-12)</f>
        <v>n.r.</v>
      </c>
      <c r="BS112" s="8" t="str">
        <f ca="1">OFFSET(Database!$F112,0,COLUMN(Database!BP112)*2-12)</f>
        <v>n.r.</v>
      </c>
      <c r="BT112" s="8" t="str">
        <f ca="1">OFFSET(Database!$F112,0,COLUMN(Database!BQ112)*2-12)</f>
        <v>n.r.</v>
      </c>
      <c r="BU112" s="8" t="str">
        <f ca="1">OFFSET(Database!$F112,0,COLUMN(Database!BR112)*2-12)</f>
        <v>n.r.</v>
      </c>
      <c r="BV112" s="8" t="str">
        <f ca="1">OFFSET(Database!$F112,0,COLUMN(Database!BS112)*2-12)</f>
        <v>n.r.</v>
      </c>
      <c r="BW112" s="8" t="str">
        <f ca="1">OFFSET(Database!$F112,0,COLUMN(Database!BT112)*2-12)</f>
        <v>n.r.</v>
      </c>
      <c r="BX112" s="8" t="str">
        <f ca="1">OFFSET(Database!$F112,0,COLUMN(Database!BU112)*2-12)</f>
        <v>n.r.</v>
      </c>
      <c r="BY112" s="8" t="str">
        <f ca="1">OFFSET(Database!$F112,0,COLUMN(Database!BV112)*2-12)</f>
        <v>n.r.</v>
      </c>
      <c r="BZ112" s="8" t="str">
        <f ca="1">OFFSET(Database!$F112,0,COLUMN(Database!BW112)*2-12)</f>
        <v>n.r.</v>
      </c>
      <c r="CA112" s="8" t="str">
        <f ca="1">OFFSET(Database!$F112,0,COLUMN(Database!BX112)*2-12)</f>
        <v>n.r.</v>
      </c>
      <c r="CB112" s="8" t="str">
        <f ca="1">OFFSET(Database!$F112,0,COLUMN(Database!BY112)*2-12)</f>
        <v>n.r.</v>
      </c>
      <c r="CC112" s="8" t="str">
        <f ca="1">OFFSET(Database!$F112,0,COLUMN(Database!BZ112)*2-12)</f>
        <v>n.r.</v>
      </c>
      <c r="CD112" s="8" t="str">
        <f ca="1">OFFSET(Database!$F112,0,COLUMN(Database!CA112)*2-12)</f>
        <v>n.r.</v>
      </c>
      <c r="CE112" s="8" t="str">
        <f ca="1">OFFSET(Database!$F112,0,COLUMN(Database!CB112)*2-12)</f>
        <v>n.r.</v>
      </c>
      <c r="CF112" s="8" t="str">
        <f ca="1">OFFSET(Database!$F112,0,COLUMN(Database!CC112)*2-12)</f>
        <v>n.r.</v>
      </c>
      <c r="CG112" s="8" t="str">
        <f ca="1">OFFSET(Database!$F112,0,COLUMN(Database!CD112)*2-12)</f>
        <v>n.r.</v>
      </c>
      <c r="CH112" s="8" t="str">
        <f ca="1">OFFSET(Database!$F112,0,COLUMN(Database!CE112)*2-12)</f>
        <v>n.r.</v>
      </c>
      <c r="CI112" s="8" t="str">
        <f ca="1">OFFSET(Database!$F112,0,COLUMN(Database!CF112)*2-12)</f>
        <v>n.r.</v>
      </c>
      <c r="CJ112" s="8" t="str">
        <f ca="1">OFFSET(Database!$F112,0,COLUMN(Database!CG112)*2-12)</f>
        <v>n.r.</v>
      </c>
      <c r="CK112" s="8" t="str">
        <f ca="1">OFFSET(Database!$F112,0,COLUMN(Database!CH112)*2-12)</f>
        <v>n.r.</v>
      </c>
      <c r="CL112" s="8" t="str">
        <f ca="1">OFFSET(Database!$F112,0,COLUMN(Database!CI112)*2-12)</f>
        <v>n.r.</v>
      </c>
      <c r="CM112" s="8" t="str">
        <f ca="1">OFFSET(Database!$F112,0,COLUMN(Database!CJ112)*2-12)</f>
        <v>n.r.</v>
      </c>
      <c r="CN112" s="8" t="str">
        <f ca="1">OFFSET(Database!$F112,0,COLUMN(Database!CK112)*2-12)</f>
        <v>n.r.</v>
      </c>
      <c r="CO112" s="8" t="str">
        <f ca="1">OFFSET(Database!$F112,0,COLUMN(Database!CL112)*2-12)</f>
        <v>n.r.</v>
      </c>
      <c r="CP112" s="8" t="str">
        <f ca="1">OFFSET(Database!$F112,0,COLUMN(Database!CM112)*2-12)</f>
        <v>n.r.</v>
      </c>
      <c r="CQ112" s="8" t="str">
        <f ca="1">OFFSET(Database!$F112,0,COLUMN(Database!CN112)*2-12)</f>
        <v>n.r.</v>
      </c>
      <c r="CR112" s="8" t="str">
        <f ca="1">OFFSET(Database!$F112,0,COLUMN(Database!CO112)*2-12)</f>
        <v>n.r.</v>
      </c>
      <c r="CS112" s="8" t="str">
        <f ca="1">OFFSET(Database!$F112,0,COLUMN(Database!CP112)*2-12)</f>
        <v>n.r.</v>
      </c>
      <c r="CT112" s="8" t="str">
        <f ca="1">OFFSET(Database!$F112,0,COLUMN(Database!CQ112)*2-12)</f>
        <v>n.r.</v>
      </c>
      <c r="CU112" s="8" t="str">
        <f ca="1">OFFSET(Database!$F112,0,COLUMN(Database!CR112)*2-12)</f>
        <v>n.r.</v>
      </c>
      <c r="CV112" s="8" t="str">
        <f ca="1">OFFSET(Database!$F112,0,COLUMN(Database!CS112)*2-12)</f>
        <v>n.r.</v>
      </c>
      <c r="CW112" s="8" t="str">
        <f ca="1">OFFSET(Database!$F112,0,COLUMN(Database!CT112)*2-12)</f>
        <v>n.r.</v>
      </c>
      <c r="CX112" s="8" t="str">
        <f ca="1">OFFSET(Database!$F112,0,COLUMN(Database!CU112)*2-12)</f>
        <v>n.r.</v>
      </c>
      <c r="CY112" s="8" t="str">
        <f ca="1">OFFSET(Database!$F112,0,COLUMN(Database!CV112)*2-12)</f>
        <v>n.r.</v>
      </c>
      <c r="CZ112" s="8" t="str">
        <f ca="1">OFFSET(Database!$F112,0,COLUMN(Database!CW112)*2-12)</f>
        <v>n.r.</v>
      </c>
      <c r="DA112" s="8" t="str">
        <f ca="1">OFFSET(Database!$F112,0,COLUMN(Database!CX112)*2-12)</f>
        <v>n.r.</v>
      </c>
      <c r="DB112" s="8" t="str">
        <f ca="1">OFFSET(Database!$F112,0,COLUMN(Database!CY112)*2-12)</f>
        <v>n.r.</v>
      </c>
      <c r="DC112" s="8" t="str">
        <f ca="1">OFFSET(Database!$F112,0,COLUMN(Database!CZ112)*2-12)</f>
        <v>n.r.</v>
      </c>
      <c r="DD112" s="8" t="str">
        <f ca="1">OFFSET(Database!$F112,0,COLUMN(Database!DA112)*2-12)</f>
        <v>n.r.</v>
      </c>
      <c r="DE112" s="8" t="str">
        <f ca="1">OFFSET(Database!$F112,0,COLUMN(Database!DB112)*2-12)</f>
        <v>n.r.</v>
      </c>
      <c r="DF112" s="8" t="str">
        <f ca="1">OFFSET(Database!$F112,0,COLUMN(Database!DC112)*2-12)</f>
        <v>n.r.</v>
      </c>
      <c r="DG112" s="8" t="str">
        <f ca="1">OFFSET(Database!$F112,0,COLUMN(Database!DD112)*2-12)</f>
        <v>n.r.</v>
      </c>
      <c r="DH112" s="8" t="str">
        <f ca="1">OFFSET(Database!$F112,0,COLUMN(Database!DE112)*2-12)</f>
        <v>n.r.</v>
      </c>
      <c r="DI112" s="8" t="str">
        <f ca="1">OFFSET(Database!$F112,0,COLUMN(Database!DF112)*2-12)</f>
        <v>n.r.</v>
      </c>
      <c r="DJ112" s="8" t="str">
        <f ca="1">OFFSET(Database!$F112,0,COLUMN(Database!DG112)*2-12)</f>
        <v>n.r.</v>
      </c>
      <c r="DK112" s="8" t="str">
        <f ca="1">OFFSET(Database!$F112,0,COLUMN(Database!DH112)*2-12)</f>
        <v>n.r.</v>
      </c>
      <c r="DL112" s="8" t="str">
        <f ca="1">OFFSET(Database!$F112,0,COLUMN(Database!DI112)*2-12)</f>
        <v>n.r.</v>
      </c>
      <c r="DM112" s="8" t="str">
        <f ca="1">OFFSET(Database!$F112,0,COLUMN(Database!DJ112)*2-12)</f>
        <v>n.r.</v>
      </c>
      <c r="DN112" s="8" t="str">
        <f ca="1">OFFSET(Database!$F112,0,COLUMN(Database!DK112)*2-12)</f>
        <v>n.r.</v>
      </c>
      <c r="DO112" s="8" t="str">
        <f ca="1">OFFSET(Database!$F112,0,COLUMN(Database!DL112)*2-12)</f>
        <v>n.r.</v>
      </c>
      <c r="DP112" s="8" t="str">
        <f ca="1">OFFSET(Database!$F112,0,COLUMN(Database!DM112)*2-12)</f>
        <v>n.r.</v>
      </c>
      <c r="DQ112" s="8" t="str">
        <f ca="1">OFFSET(Database!$F112,0,COLUMN(Database!DN112)*2-12)</f>
        <v>n.r.</v>
      </c>
      <c r="DR112" s="8" t="str">
        <f ca="1">OFFSET(Database!$F112,0,COLUMN(Database!DO112)*2-12)</f>
        <v>n.r.</v>
      </c>
      <c r="DS112" s="8" t="str">
        <f ca="1">OFFSET(Database!$F112,0,COLUMN(Database!DP112)*2-12)</f>
        <v>n.r.</v>
      </c>
      <c r="DT112" s="8" t="str">
        <f ca="1">OFFSET(Database!$F112,0,COLUMN(Database!DQ112)*2-12)</f>
        <v>n.r.</v>
      </c>
      <c r="DU112" s="8" t="str">
        <f ca="1">OFFSET(Database!$F112,0,COLUMN(Database!DR112)*2-12)</f>
        <v>n.r.</v>
      </c>
      <c r="DV112" s="8" t="str">
        <f ca="1">OFFSET(Database!$F112,0,COLUMN(Database!DS112)*2-12)</f>
        <v>n.r.</v>
      </c>
      <c r="DW112" s="8" t="str">
        <f ca="1">OFFSET(Database!$F112,0,COLUMN(Database!DT112)*2-12)</f>
        <v>n.r.</v>
      </c>
      <c r="DX112" s="8" t="str">
        <f ca="1">OFFSET(Database!$F112,0,COLUMN(Database!DU112)*2-12)</f>
        <v>n.r.</v>
      </c>
      <c r="DY112" s="8" t="str">
        <f ca="1">OFFSET(Database!$F112,0,COLUMN(Database!DV112)*2-12)</f>
        <v>n.r.</v>
      </c>
      <c r="DZ112" s="8" t="str">
        <f ca="1">OFFSET(Database!$F112,0,COLUMN(Database!DW112)*2-12)</f>
        <v>n.r.</v>
      </c>
      <c r="EA112" s="8" t="str">
        <f ca="1">OFFSET(Database!$F112,0,COLUMN(Database!DX112)*2-12)</f>
        <v>n.r.</v>
      </c>
      <c r="EB112" s="8" t="str">
        <f ca="1">OFFSET(Database!$F112,0,COLUMN(Database!DY112)*2-12)</f>
        <v>n.r.</v>
      </c>
      <c r="EC112" s="8" t="str">
        <f ca="1">OFFSET(Database!$F112,0,COLUMN(Database!DZ112)*2-12)</f>
        <v>n.r.</v>
      </c>
      <c r="ED112" s="8" t="str">
        <f ca="1">OFFSET(Database!$F112,0,COLUMN(Database!EA112)*2-12)</f>
        <v>n.r.</v>
      </c>
      <c r="EE112" s="8" t="str">
        <f ca="1">OFFSET(Database!$F112,0,COLUMN(Database!EB112)*2-12)</f>
        <v>n.r.</v>
      </c>
      <c r="EF112" s="8" t="str">
        <f ca="1">OFFSET(Database!$F112,0,COLUMN(Database!EC112)*2-12)</f>
        <v>n.r.</v>
      </c>
      <c r="EG112" s="8" t="str">
        <f ca="1">OFFSET(Database!$F112,0,COLUMN(Database!ED112)*2-12)</f>
        <v>n.r.</v>
      </c>
      <c r="EH112" s="8" t="str">
        <f ca="1">OFFSET(Database!$F112,0,COLUMN(Database!EE112)*2-12)</f>
        <v>n.r.</v>
      </c>
      <c r="EI112" s="8" t="str">
        <f ca="1">OFFSET(Database!$F112,0,COLUMN(Database!EF112)*2-12)</f>
        <v>n.r.</v>
      </c>
      <c r="EJ112" s="8" t="str">
        <f ca="1">OFFSET(Database!$F112,0,COLUMN(Database!EG112)*2-12)</f>
        <v>n.r.</v>
      </c>
      <c r="EK112" s="8" t="str">
        <f ca="1">OFFSET(Database!$F112,0,COLUMN(Database!EH112)*2-12)</f>
        <v>n.r.</v>
      </c>
      <c r="EL112" s="8" t="str">
        <f ca="1">OFFSET(Database!$F112,0,COLUMN(Database!EI112)*2-12)</f>
        <v>n.r.</v>
      </c>
      <c r="EM112" s="8" t="str">
        <f ca="1">OFFSET(Database!$F112,0,COLUMN(Database!EJ112)*2-12)</f>
        <v>n.r.</v>
      </c>
      <c r="EN112" s="8" t="str">
        <f ca="1">OFFSET(Database!$F112,0,COLUMN(Database!EK112)*2-12)</f>
        <v>n.r.</v>
      </c>
      <c r="EO112" s="8" t="str">
        <f ca="1">OFFSET(Database!$F112,0,COLUMN(Database!EL112)*2-12)</f>
        <v>n.r.</v>
      </c>
      <c r="EP112" s="8" t="str">
        <f ca="1">OFFSET(Database!$F112,0,COLUMN(Database!EM112)*2-12)</f>
        <v>n.r.</v>
      </c>
      <c r="EQ112" s="8" t="str">
        <f ca="1">OFFSET(Database!$F112,0,COLUMN(Database!EN112)*2-12)</f>
        <v>n.r.</v>
      </c>
      <c r="ER112" s="8">
        <f ca="1">OFFSET(Database!$F112,0,COLUMN(Database!EO112)*2-12)</f>
        <v>0</v>
      </c>
      <c r="ES112" s="8">
        <f ca="1">OFFSET(Database!$F112,0,COLUMN(Database!EP112)*2-12)</f>
        <v>0</v>
      </c>
      <c r="ET112" s="8">
        <f ca="1">OFFSET(Database!$F112,0,COLUMN(Database!EQ112)*2-12)</f>
        <v>789.393958005743</v>
      </c>
      <c r="EU112" s="8">
        <f ca="1">OFFSET(Database!$F112,0,COLUMN(Database!ER112)*2-12)</f>
        <v>0</v>
      </c>
      <c r="EV112" s="8">
        <f ca="1">OFFSET(Database!$F112,0,COLUMN(Database!ES112)*2-12)</f>
        <v>0</v>
      </c>
      <c r="EW112" s="8" t="str">
        <f ca="1">OFFSET(Database!$F112,0,COLUMN(Database!ET112)*2-12)</f>
        <v>n.r.</v>
      </c>
      <c r="EX112" s="8" t="str">
        <f ca="1">OFFSET(Database!$F112,0,COLUMN(Database!EU112)*2-12)</f>
        <v>n.r.</v>
      </c>
      <c r="EY112" s="8" t="str">
        <f ca="1">OFFSET(Database!$F112,0,COLUMN(Database!EV112)*2-12)</f>
        <v>n.r.</v>
      </c>
      <c r="EZ112" s="8" t="str">
        <f ca="1">OFFSET(Database!$F112,0,COLUMN(Database!EW112)*2-12)</f>
        <v>n.r.</v>
      </c>
      <c r="FA112" s="8" t="str">
        <f ca="1">OFFSET(Database!$F112,0,COLUMN(Database!EX112)*2-12)</f>
        <v>n.r.</v>
      </c>
      <c r="FB112" s="8" t="str">
        <f ca="1">OFFSET(Database!$F112,0,COLUMN(Database!EY112)*2-12)</f>
        <v>n.r.</v>
      </c>
      <c r="FC112" s="8" t="str">
        <f ca="1">OFFSET(Database!$F112,0,COLUMN(Database!EZ112)*2-12)</f>
        <v>n.r.</v>
      </c>
      <c r="FD112" s="8">
        <f ca="1">OFFSET(Database!$F112,0,COLUMN(Database!FA112)*2-12)</f>
        <v>236.5</v>
      </c>
      <c r="FE112" s="8">
        <f ca="1">OFFSET(Database!$F112,0,COLUMN(Database!FB112)*2-12)</f>
        <v>261.10000000000002</v>
      </c>
      <c r="FF112" s="8">
        <f ca="1">OFFSET(Database!$F112,0,COLUMN(Database!FC112)*2-12)</f>
        <v>222.9</v>
      </c>
      <c r="FG112" s="8" t="str">
        <f ca="1">OFFSET(Database!$F112,0,COLUMN(Database!FD112)*2-12)</f>
        <v>n.r.</v>
      </c>
      <c r="FH112" s="8" t="str">
        <f ca="1">OFFSET(Database!$F112,0,COLUMN(Database!FE112)*2-12)</f>
        <v>n.r.</v>
      </c>
      <c r="FI112" s="8" t="str">
        <f ca="1">OFFSET(Database!$F112,0,COLUMN(Database!FF112)*2-12)</f>
        <v>n.r.</v>
      </c>
      <c r="FJ112" s="8" t="str">
        <f ca="1">OFFSET(Database!$F112,0,COLUMN(Database!FG112)*2-12)</f>
        <v>n.r.</v>
      </c>
      <c r="FK112" s="8" t="str">
        <f ca="1">OFFSET(Database!$F112,0,COLUMN(Database!FH112)*2-12)</f>
        <v>n.r.</v>
      </c>
      <c r="FL112" s="8" t="str">
        <f ca="1">OFFSET(Database!$F112,0,COLUMN(Database!FI112)*2-12)</f>
        <v>n.r.</v>
      </c>
      <c r="FM112" s="8" t="str">
        <f ca="1">OFFSET(Database!$F112,0,COLUMN(Database!FJ112)*2-12)</f>
        <v>n.r.</v>
      </c>
      <c r="FN112" s="8" t="str">
        <f ca="1">OFFSET(Database!$F112,0,COLUMN(Database!FK112)*2-12)</f>
        <v>n.r.</v>
      </c>
      <c r="FO112" s="8" t="str">
        <f ca="1">OFFSET(Database!$F112,0,COLUMN(Database!FL112)*2-12)</f>
        <v>n.r.</v>
      </c>
      <c r="FP112" s="8" t="str">
        <f ca="1">OFFSET(Database!$F112,0,COLUMN(Database!FM112)*2-12)</f>
        <v>n.r.</v>
      </c>
      <c r="FQ112" s="8" t="str">
        <f ca="1">OFFSET(Database!$F112,0,COLUMN(Database!FN112)*2-12)</f>
        <v>n.r.</v>
      </c>
      <c r="FR112" s="8" t="str">
        <f ca="1">OFFSET(Database!$F112,0,COLUMN(Database!FO112)*2-12)</f>
        <v>n.r.</v>
      </c>
      <c r="FS112" s="8" t="str">
        <f ca="1">OFFSET(Database!$F112,0,COLUMN(Database!FP112)*2-12)</f>
        <v>n.r.</v>
      </c>
      <c r="FT112" s="8" t="str">
        <f ca="1">OFFSET(Database!$F112,0,COLUMN(Database!FQ112)*2-12)</f>
        <v>n.r.</v>
      </c>
      <c r="FU112" s="8" t="str">
        <f ca="1">OFFSET(Database!$F112,0,COLUMN(Database!FR112)*2-12)</f>
        <v>n.r.</v>
      </c>
      <c r="FV112" s="8" t="str">
        <f ca="1">OFFSET(Database!$F112,0,COLUMN(Database!FS112)*2-12)</f>
        <v>n.r.</v>
      </c>
      <c r="FW112" s="8" t="str">
        <f ca="1">OFFSET(Database!$F112,0,COLUMN(Database!FT112)*2-12)</f>
        <v>n.r.</v>
      </c>
      <c r="FX112" s="8" t="str">
        <f ca="1">OFFSET(Database!$F112,0,COLUMN(Database!FU112)*2-12)</f>
        <v>n.r.</v>
      </c>
      <c r="FY112" s="8" t="str">
        <f ca="1">OFFSET(Database!$F112,0,COLUMN(Database!FV112)*2-12)</f>
        <v>n.r.</v>
      </c>
      <c r="FZ112" s="8" t="str">
        <f ca="1">OFFSET(Database!$F112,0,COLUMN(Database!FW112)*2-12)</f>
        <v>n.r.</v>
      </c>
      <c r="GA112" s="8" t="str">
        <f ca="1">OFFSET(Database!$F112,0,COLUMN(Database!FX112)*2-12)</f>
        <v>n.r.</v>
      </c>
      <c r="GB112" s="8" t="str">
        <f ca="1">OFFSET(Database!$F112,0,COLUMN(Database!FY112)*2-12)</f>
        <v>n.r.</v>
      </c>
      <c r="GC112" s="8" t="str">
        <f ca="1">OFFSET(Database!$F112,0,COLUMN(Database!FZ112)*2-12)</f>
        <v>n.r.</v>
      </c>
      <c r="GD112" s="8" t="str">
        <f ca="1">OFFSET(Database!$F112,0,COLUMN(Database!GA112)*2-12)</f>
        <v>n.r.</v>
      </c>
      <c r="GE112" s="8" t="str">
        <f ca="1">OFFSET(Database!$F112,0,COLUMN(Database!GB112)*2-12)</f>
        <v>n.r.</v>
      </c>
      <c r="GF112" s="8" t="str">
        <f ca="1">OFFSET(Database!$F112,0,COLUMN(Database!GC112)*2-12)</f>
        <v>n.r.</v>
      </c>
      <c r="GG112" s="8" t="str">
        <f ca="1">OFFSET(Database!$F112,0,COLUMN(Database!GD112)*2-12)</f>
        <v>n.r.</v>
      </c>
      <c r="GH112" s="8" t="str">
        <f ca="1">OFFSET(Database!$F112,0,COLUMN(Database!GE112)*2-12)</f>
        <v>n.r.</v>
      </c>
      <c r="GI112" s="8" t="str">
        <f ca="1">OFFSET(Database!$F112,0,COLUMN(Database!GF112)*2-12)</f>
        <v>n.r.</v>
      </c>
      <c r="GJ112" s="8" t="str">
        <f ca="1">OFFSET(Database!$F112,0,COLUMN(Database!GG112)*2-12)</f>
        <v>n.r.</v>
      </c>
      <c r="GK112" s="8" t="str">
        <f ca="1">OFFSET(Database!$F112,0,COLUMN(Database!GH112)*2-12)</f>
        <v>n.r.</v>
      </c>
      <c r="GL112" s="8" t="str">
        <f ca="1">OFFSET(Database!$F112,0,COLUMN(Database!GI112)*2-12)</f>
        <v>n.r.</v>
      </c>
      <c r="GM112" s="8" t="str">
        <f ca="1">OFFSET(Database!$F112,0,COLUMN(Database!GJ112)*2-12)</f>
        <v>n.r.</v>
      </c>
      <c r="GN112" s="8" t="str">
        <f ca="1">OFFSET(Database!$F112,0,COLUMN(Database!GK112)*2-12)</f>
        <v>n.r.</v>
      </c>
      <c r="GO112" s="8" t="str">
        <f ca="1">OFFSET(Database!$F112,0,COLUMN(Database!GL112)*2-12)</f>
        <v>n.r.</v>
      </c>
      <c r="GP112" s="8" t="str">
        <f ca="1">OFFSET(Database!$F112,0,COLUMN(Database!GM112)*2-12)</f>
        <v>n.r.</v>
      </c>
    </row>
    <row r="113" spans="1:198" x14ac:dyDescent="0.2">
      <c r="A113" s="50" t="str">
        <f>Database!A113</f>
        <v>tryptophan</v>
      </c>
      <c r="B113" s="1" t="s">
        <v>887</v>
      </c>
      <c r="C113" s="4" t="str">
        <f>Database!B113</f>
        <v>ɑ</v>
      </c>
      <c r="D113" s="4" t="str">
        <f>Database!C113</f>
        <v>Both</v>
      </c>
      <c r="E113" s="74">
        <f>Database!D113</f>
        <v>10</v>
      </c>
      <c r="F113" s="1" t="s">
        <v>1033</v>
      </c>
      <c r="G113" s="1" t="s">
        <v>1110</v>
      </c>
      <c r="H113" s="1">
        <f>Database!E113</f>
        <v>204.23</v>
      </c>
      <c r="I113" s="8" t="str">
        <f ca="1">OFFSET(Database!$F113,0,COLUMN(Database!F113)*2-12)</f>
        <v>n.r.</v>
      </c>
      <c r="J113" s="8" t="str">
        <f ca="1">OFFSET(Database!$F113,0,COLUMN(Database!G113)*2-12)</f>
        <v>n.r.</v>
      </c>
      <c r="K113" s="8" t="str">
        <f ca="1">OFFSET(Database!$F113,0,COLUMN(Database!H113)*2-12)</f>
        <v>n.r.</v>
      </c>
      <c r="L113" s="8" t="str">
        <f ca="1">OFFSET(Database!$F113,0,COLUMN(Database!I113)*2-12)</f>
        <v>n.r.</v>
      </c>
      <c r="M113" s="8" t="str">
        <f ca="1">OFFSET(Database!$F113,0,COLUMN(Database!J113)*2-12)</f>
        <v>n.r.</v>
      </c>
      <c r="N113" s="8" t="str">
        <f ca="1">OFFSET(Database!$F113,0,COLUMN(Database!K113)*2-12)</f>
        <v>n.r.</v>
      </c>
      <c r="O113" s="8" t="str">
        <f ca="1">OFFSET(Database!$F113,0,COLUMN(Database!L113)*2-12)</f>
        <v>n.r.</v>
      </c>
      <c r="P113" s="8" t="str">
        <f ca="1">OFFSET(Database!$F113,0,COLUMN(Database!M113)*2-12)</f>
        <v>n.r.</v>
      </c>
      <c r="Q113" s="8" t="str">
        <f ca="1">OFFSET(Database!$F113,0,COLUMN(Database!N113)*2-12)</f>
        <v>n.r.</v>
      </c>
      <c r="R113" s="8" t="str">
        <f ca="1">OFFSET(Database!$F113,0,COLUMN(Database!O113)*2-12)</f>
        <v>n.r.</v>
      </c>
      <c r="S113" s="8" t="str">
        <f ca="1">OFFSET(Database!$F113,0,COLUMN(Database!P113)*2-12)</f>
        <v>n.r.</v>
      </c>
      <c r="T113" s="8" t="str">
        <f ca="1">OFFSET(Database!$F113,0,COLUMN(Database!Q113)*2-12)</f>
        <v>n.r.</v>
      </c>
      <c r="U113" s="8" t="str">
        <f ca="1">OFFSET(Database!$F113,0,COLUMN(Database!R113)*2-12)</f>
        <v>n.r.</v>
      </c>
      <c r="V113" s="8" t="str">
        <f ca="1">OFFSET(Database!$F113,0,COLUMN(Database!S113)*2-12)</f>
        <v>n.r.</v>
      </c>
      <c r="W113" s="8" t="str">
        <f ca="1">OFFSET(Database!$F113,0,COLUMN(Database!T113)*2-12)</f>
        <v>n.r.</v>
      </c>
      <c r="X113" s="8" t="str">
        <f ca="1">OFFSET(Database!$F113,0,COLUMN(Database!U113)*2-12)</f>
        <v>n.r.</v>
      </c>
      <c r="Y113" s="8" t="str">
        <f ca="1">OFFSET(Database!$F113,0,COLUMN(Database!V113)*2-12)</f>
        <v>n.r.</v>
      </c>
      <c r="Z113" s="8" t="str">
        <f ca="1">OFFSET(Database!$F113,0,COLUMN(Database!W113)*2-12)</f>
        <v>n.r.</v>
      </c>
      <c r="AA113" s="8" t="str">
        <f ca="1">OFFSET(Database!$F113,0,COLUMN(Database!X113)*2-12)</f>
        <v>n.r.</v>
      </c>
      <c r="AB113" s="8" t="str">
        <f ca="1">OFFSET(Database!$F113,0,COLUMN(Database!Y113)*2-12)</f>
        <v>n.r.</v>
      </c>
      <c r="AC113" s="8" t="str">
        <f ca="1">OFFSET(Database!$F113,0,COLUMN(Database!Z113)*2-12)</f>
        <v>n.r.</v>
      </c>
      <c r="AD113" s="8" t="str">
        <f ca="1">OFFSET(Database!$F113,0,COLUMN(Database!AA113)*2-12)</f>
        <v>n.r.</v>
      </c>
      <c r="AE113" s="8" t="str">
        <f ca="1">OFFSET(Database!$F113,0,COLUMN(Database!AB113)*2-12)</f>
        <v>n.r.</v>
      </c>
      <c r="AF113" s="8" t="str">
        <f ca="1">OFFSET(Database!$F113,0,COLUMN(Database!AC113)*2-12)</f>
        <v>n.r.</v>
      </c>
      <c r="AG113" s="8" t="str">
        <f ca="1">OFFSET(Database!$F113,0,COLUMN(Database!AD113)*2-12)</f>
        <v>n.r.</v>
      </c>
      <c r="AH113" s="8" t="str">
        <f ca="1">OFFSET(Database!$F113,0,COLUMN(Database!AE113)*2-12)</f>
        <v>n.r.</v>
      </c>
      <c r="AI113" s="8" t="str">
        <f ca="1">OFFSET(Database!$F113,0,COLUMN(Database!AF113)*2-12)</f>
        <v>n.r.</v>
      </c>
      <c r="AJ113" s="8" t="str">
        <f ca="1">OFFSET(Database!$F113,0,COLUMN(Database!AG113)*2-12)</f>
        <v>n.r.</v>
      </c>
      <c r="AK113" s="8" t="str">
        <f ca="1">OFFSET(Database!$F113,0,COLUMN(Database!AH113)*2-12)</f>
        <v>n.r.</v>
      </c>
      <c r="AL113" s="8" t="str">
        <f ca="1">OFFSET(Database!$F113,0,COLUMN(Database!AI113)*2-12)</f>
        <v>n.r.</v>
      </c>
      <c r="AM113" s="8" t="str">
        <f ca="1">OFFSET(Database!$F113,0,COLUMN(Database!AJ113)*2-12)</f>
        <v>n.r.</v>
      </c>
      <c r="AN113" s="8" t="str">
        <f ca="1">OFFSET(Database!$F113,0,COLUMN(Database!AK113)*2-12)</f>
        <v>n.r.</v>
      </c>
      <c r="AO113" s="8" t="str">
        <f ca="1">OFFSET(Database!$F113,0,COLUMN(Database!AL113)*2-12)</f>
        <v>n.r.</v>
      </c>
      <c r="AP113" s="8" t="str">
        <f ca="1">OFFSET(Database!$F113,0,COLUMN(Database!AM113)*2-12)</f>
        <v>n.r.</v>
      </c>
      <c r="AQ113" s="8" t="str">
        <f ca="1">OFFSET(Database!$F113,0,COLUMN(Database!AN113)*2-12)</f>
        <v>n.r.</v>
      </c>
      <c r="AR113" s="8" t="str">
        <f ca="1">OFFSET(Database!$F113,0,COLUMN(Database!AO113)*2-12)</f>
        <v>n.r.</v>
      </c>
      <c r="AS113" s="8" t="str">
        <f ca="1">OFFSET(Database!$F113,0,COLUMN(Database!AP113)*2-12)</f>
        <v>n.r.</v>
      </c>
      <c r="AT113" s="8" t="str">
        <f ca="1">OFFSET(Database!$F113,0,COLUMN(Database!AQ113)*2-12)</f>
        <v>n.r.</v>
      </c>
      <c r="AU113" s="8" t="str">
        <f ca="1">OFFSET(Database!$F113,0,COLUMN(Database!AR113)*2-12)</f>
        <v>n.r.</v>
      </c>
      <c r="AV113" s="8" t="str">
        <f ca="1">OFFSET(Database!$F113,0,COLUMN(Database!AS113)*2-12)</f>
        <v>n.r.</v>
      </c>
      <c r="AW113" s="8" t="str">
        <f ca="1">OFFSET(Database!$F113,0,COLUMN(Database!AT113)*2-12)</f>
        <v>n.r.</v>
      </c>
      <c r="AX113" s="8" t="str">
        <f ca="1">OFFSET(Database!$F113,0,COLUMN(Database!AU113)*2-12)</f>
        <v>n.r.</v>
      </c>
      <c r="AY113" s="8" t="str">
        <f ca="1">OFFSET(Database!$F113,0,COLUMN(Database!AV113)*2-12)</f>
        <v>n.r.</v>
      </c>
      <c r="AZ113" s="8" t="str">
        <f ca="1">OFFSET(Database!$F113,0,COLUMN(Database!AW113)*2-12)</f>
        <v>n.r.</v>
      </c>
      <c r="BA113" s="8" t="str">
        <f ca="1">OFFSET(Database!$F113,0,COLUMN(Database!AX113)*2-12)</f>
        <v>n.r.</v>
      </c>
      <c r="BB113" s="8" t="str">
        <f ca="1">OFFSET(Database!$F113,0,COLUMN(Database!AY113)*2-12)</f>
        <v>n.r.</v>
      </c>
      <c r="BC113" s="8" t="str">
        <f ca="1">OFFSET(Database!$F113,0,COLUMN(Database!AZ113)*2-12)</f>
        <v>n.r.</v>
      </c>
      <c r="BD113" s="8" t="str">
        <f ca="1">OFFSET(Database!$F113,0,COLUMN(Database!BA113)*2-12)</f>
        <v>n.r.</v>
      </c>
      <c r="BE113" s="8" t="str">
        <f ca="1">OFFSET(Database!$F113,0,COLUMN(Database!BB113)*2-12)</f>
        <v>n.r.</v>
      </c>
      <c r="BF113" s="8" t="str">
        <f ca="1">OFFSET(Database!$F113,0,COLUMN(Database!BC113)*2-12)</f>
        <v>n.r.</v>
      </c>
      <c r="BG113" s="8" t="str">
        <f ca="1">OFFSET(Database!$F113,0,COLUMN(Database!BD113)*2-12)</f>
        <v>n.r.</v>
      </c>
      <c r="BH113" s="8" t="str">
        <f ca="1">OFFSET(Database!$F113,0,COLUMN(Database!BE113)*2-12)</f>
        <v>n.r.</v>
      </c>
      <c r="BI113" s="8" t="str">
        <f ca="1">OFFSET(Database!$F113,0,COLUMN(Database!BF113)*2-12)</f>
        <v>n.r.</v>
      </c>
      <c r="BJ113" s="8" t="str">
        <f ca="1">OFFSET(Database!$F113,0,COLUMN(Database!BG113)*2-12)</f>
        <v>n.r.</v>
      </c>
      <c r="BK113" s="8" t="str">
        <f ca="1">OFFSET(Database!$F113,0,COLUMN(Database!BH113)*2-12)</f>
        <v>n.r.</v>
      </c>
      <c r="BL113" s="8" t="str">
        <f ca="1">OFFSET(Database!$F113,0,COLUMN(Database!BI113)*2-12)</f>
        <v>n.r.</v>
      </c>
      <c r="BM113" s="8" t="str">
        <f ca="1">OFFSET(Database!$F113,0,COLUMN(Database!BJ113)*2-12)</f>
        <v>n.r.</v>
      </c>
      <c r="BN113" s="8" t="str">
        <f ca="1">OFFSET(Database!$F113,0,COLUMN(Database!BK113)*2-12)</f>
        <v>n.r.</v>
      </c>
      <c r="BO113" s="8" t="str">
        <f ca="1">OFFSET(Database!$F113,0,COLUMN(Database!BL113)*2-12)</f>
        <v>n.r.</v>
      </c>
      <c r="BP113" s="8" t="str">
        <f ca="1">OFFSET(Database!$F113,0,COLUMN(Database!BM113)*2-12)</f>
        <v>n.r.</v>
      </c>
      <c r="BQ113" s="8" t="str">
        <f ca="1">OFFSET(Database!$F113,0,COLUMN(Database!BN113)*2-12)</f>
        <v>n.r.</v>
      </c>
      <c r="BR113" s="8" t="str">
        <f ca="1">OFFSET(Database!$F113,0,COLUMN(Database!BO113)*2-12)</f>
        <v>n.r.</v>
      </c>
      <c r="BS113" s="8" t="str">
        <f ca="1">OFFSET(Database!$F113,0,COLUMN(Database!BP113)*2-12)</f>
        <v>n.r.</v>
      </c>
      <c r="BT113" s="8" t="str">
        <f ca="1">OFFSET(Database!$F113,0,COLUMN(Database!BQ113)*2-12)</f>
        <v>n.r.</v>
      </c>
      <c r="BU113" s="8" t="str">
        <f ca="1">OFFSET(Database!$F113,0,COLUMN(Database!BR113)*2-12)</f>
        <v>n.r.</v>
      </c>
      <c r="BV113" s="8" t="str">
        <f ca="1">OFFSET(Database!$F113,0,COLUMN(Database!BS113)*2-12)</f>
        <v>n.r.</v>
      </c>
      <c r="BW113" s="8" t="str">
        <f ca="1">OFFSET(Database!$F113,0,COLUMN(Database!BT113)*2-12)</f>
        <v>n.r.</v>
      </c>
      <c r="BX113" s="8" t="str">
        <f ca="1">OFFSET(Database!$F113,0,COLUMN(Database!BU113)*2-12)</f>
        <v>n.r.</v>
      </c>
      <c r="BY113" s="8" t="str">
        <f ca="1">OFFSET(Database!$F113,0,COLUMN(Database!BV113)*2-12)</f>
        <v>n.r.</v>
      </c>
      <c r="BZ113" s="8" t="str">
        <f ca="1">OFFSET(Database!$F113,0,COLUMN(Database!BW113)*2-12)</f>
        <v>n.r.</v>
      </c>
      <c r="CA113" s="8" t="str">
        <f ca="1">OFFSET(Database!$F113,0,COLUMN(Database!BX113)*2-12)</f>
        <v>n.r.</v>
      </c>
      <c r="CB113" s="8" t="str">
        <f ca="1">OFFSET(Database!$F113,0,COLUMN(Database!BY113)*2-12)</f>
        <v>n.r.</v>
      </c>
      <c r="CC113" s="8" t="str">
        <f ca="1">OFFSET(Database!$F113,0,COLUMN(Database!BZ113)*2-12)</f>
        <v>n.r.</v>
      </c>
      <c r="CD113" s="8" t="str">
        <f ca="1">OFFSET(Database!$F113,0,COLUMN(Database!CA113)*2-12)</f>
        <v>n.r.</v>
      </c>
      <c r="CE113" s="8" t="str">
        <f ca="1">OFFSET(Database!$F113,0,COLUMN(Database!CB113)*2-12)</f>
        <v>n.r.</v>
      </c>
      <c r="CF113" s="8" t="str">
        <f ca="1">OFFSET(Database!$F113,0,COLUMN(Database!CC113)*2-12)</f>
        <v>n.r.</v>
      </c>
      <c r="CG113" s="8" t="str">
        <f ca="1">OFFSET(Database!$F113,0,COLUMN(Database!CD113)*2-12)</f>
        <v>n.r.</v>
      </c>
      <c r="CH113" s="8" t="str">
        <f ca="1">OFFSET(Database!$F113,0,COLUMN(Database!CE113)*2-12)</f>
        <v>n.r.</v>
      </c>
      <c r="CI113" s="8" t="str">
        <f ca="1">OFFSET(Database!$F113,0,COLUMN(Database!CF113)*2-12)</f>
        <v>n.r.</v>
      </c>
      <c r="CJ113" s="8" t="str">
        <f ca="1">OFFSET(Database!$F113,0,COLUMN(Database!CG113)*2-12)</f>
        <v>n.r.</v>
      </c>
      <c r="CK113" s="8" t="str">
        <f ca="1">OFFSET(Database!$F113,0,COLUMN(Database!CH113)*2-12)</f>
        <v>n.r.</v>
      </c>
      <c r="CL113" s="8" t="str">
        <f ca="1">OFFSET(Database!$F113,0,COLUMN(Database!CI113)*2-12)</f>
        <v>n.r.</v>
      </c>
      <c r="CM113" s="8" t="str">
        <f ca="1">OFFSET(Database!$F113,0,COLUMN(Database!CJ113)*2-12)</f>
        <v>n.r.</v>
      </c>
      <c r="CN113" s="8" t="str">
        <f ca="1">OFFSET(Database!$F113,0,COLUMN(Database!CK113)*2-12)</f>
        <v>n.r.</v>
      </c>
      <c r="CO113" s="8" t="str">
        <f ca="1">OFFSET(Database!$F113,0,COLUMN(Database!CL113)*2-12)</f>
        <v>n.r.</v>
      </c>
      <c r="CP113" s="8" t="str">
        <f ca="1">OFFSET(Database!$F113,0,COLUMN(Database!CM113)*2-12)</f>
        <v>n.r.</v>
      </c>
      <c r="CQ113" s="8" t="str">
        <f ca="1">OFFSET(Database!$F113,0,COLUMN(Database!CN113)*2-12)</f>
        <v>n.r.</v>
      </c>
      <c r="CR113" s="8" t="str">
        <f ca="1">OFFSET(Database!$F113,0,COLUMN(Database!CO113)*2-12)</f>
        <v>n.r.</v>
      </c>
      <c r="CS113" s="8" t="str">
        <f ca="1">OFFSET(Database!$F113,0,COLUMN(Database!CP113)*2-12)</f>
        <v>n.r.</v>
      </c>
      <c r="CT113" s="8" t="str">
        <f ca="1">OFFSET(Database!$F113,0,COLUMN(Database!CQ113)*2-12)</f>
        <v>n.r.</v>
      </c>
      <c r="CU113" s="8" t="str">
        <f ca="1">OFFSET(Database!$F113,0,COLUMN(Database!CR113)*2-12)</f>
        <v>n.r.</v>
      </c>
      <c r="CV113" s="8" t="str">
        <f ca="1">OFFSET(Database!$F113,0,COLUMN(Database!CS113)*2-12)</f>
        <v>n.r.</v>
      </c>
      <c r="CW113" s="8" t="str">
        <f ca="1">OFFSET(Database!$F113,0,COLUMN(Database!CT113)*2-12)</f>
        <v>n.r.</v>
      </c>
      <c r="CX113" s="8" t="str">
        <f ca="1">OFFSET(Database!$F113,0,COLUMN(Database!CU113)*2-12)</f>
        <v>n.r.</v>
      </c>
      <c r="CY113" s="8" t="str">
        <f ca="1">OFFSET(Database!$F113,0,COLUMN(Database!CV113)*2-12)</f>
        <v>n.r.</v>
      </c>
      <c r="CZ113" s="8" t="str">
        <f ca="1">OFFSET(Database!$F113,0,COLUMN(Database!CW113)*2-12)</f>
        <v>n.r.</v>
      </c>
      <c r="DA113" s="8" t="str">
        <f ca="1">OFFSET(Database!$F113,0,COLUMN(Database!CX113)*2-12)</f>
        <v>n.r.</v>
      </c>
      <c r="DB113" s="8" t="str">
        <f ca="1">OFFSET(Database!$F113,0,COLUMN(Database!CY113)*2-12)</f>
        <v>n.r.</v>
      </c>
      <c r="DC113" s="8" t="str">
        <f ca="1">OFFSET(Database!$F113,0,COLUMN(Database!CZ113)*2-12)</f>
        <v>n.r.</v>
      </c>
      <c r="DD113" s="8" t="str">
        <f ca="1">OFFSET(Database!$F113,0,COLUMN(Database!DA113)*2-12)</f>
        <v>n.r.</v>
      </c>
      <c r="DE113" s="8" t="str">
        <f ca="1">OFFSET(Database!$F113,0,COLUMN(Database!DB113)*2-12)</f>
        <v>n.r.</v>
      </c>
      <c r="DF113" s="8" t="str">
        <f ca="1">OFFSET(Database!$F113,0,COLUMN(Database!DC113)*2-12)</f>
        <v>n.r.</v>
      </c>
      <c r="DG113" s="8" t="str">
        <f ca="1">OFFSET(Database!$F113,0,COLUMN(Database!DD113)*2-12)</f>
        <v>n.r.</v>
      </c>
      <c r="DH113" s="8" t="str">
        <f ca="1">OFFSET(Database!$F113,0,COLUMN(Database!DE113)*2-12)</f>
        <v>n.r.</v>
      </c>
      <c r="DI113" s="8" t="str">
        <f ca="1">OFFSET(Database!$F113,0,COLUMN(Database!DF113)*2-12)</f>
        <v>n.r.</v>
      </c>
      <c r="DJ113" s="8" t="str">
        <f ca="1">OFFSET(Database!$F113,0,COLUMN(Database!DG113)*2-12)</f>
        <v>n.r.</v>
      </c>
      <c r="DK113" s="8" t="str">
        <f ca="1">OFFSET(Database!$F113,0,COLUMN(Database!DH113)*2-12)</f>
        <v>n.r.</v>
      </c>
      <c r="DL113" s="8" t="str">
        <f ca="1">OFFSET(Database!$F113,0,COLUMN(Database!DI113)*2-12)</f>
        <v>n.r.</v>
      </c>
      <c r="DM113" s="8" t="str">
        <f ca="1">OFFSET(Database!$F113,0,COLUMN(Database!DJ113)*2-12)</f>
        <v>n.r.</v>
      </c>
      <c r="DN113" s="8" t="str">
        <f ca="1">OFFSET(Database!$F113,0,COLUMN(Database!DK113)*2-12)</f>
        <v>n.r.</v>
      </c>
      <c r="DO113" s="8" t="str">
        <f ca="1">OFFSET(Database!$F113,0,COLUMN(Database!DL113)*2-12)</f>
        <v>n.r.</v>
      </c>
      <c r="DP113" s="8" t="str">
        <f ca="1">OFFSET(Database!$F113,0,COLUMN(Database!DM113)*2-12)</f>
        <v>n.r.</v>
      </c>
      <c r="DQ113" s="8" t="str">
        <f ca="1">OFFSET(Database!$F113,0,COLUMN(Database!DN113)*2-12)</f>
        <v>n.r.</v>
      </c>
      <c r="DR113" s="8" t="str">
        <f ca="1">OFFSET(Database!$F113,0,COLUMN(Database!DO113)*2-12)</f>
        <v>n.r.</v>
      </c>
      <c r="DS113" s="8" t="str">
        <f ca="1">OFFSET(Database!$F113,0,COLUMN(Database!DP113)*2-12)</f>
        <v>n.r.</v>
      </c>
      <c r="DT113" s="8" t="str">
        <f ca="1">OFFSET(Database!$F113,0,COLUMN(Database!DQ113)*2-12)</f>
        <v>n.r.</v>
      </c>
      <c r="DU113" s="8" t="str">
        <f ca="1">OFFSET(Database!$F113,0,COLUMN(Database!DR113)*2-12)</f>
        <v>n.r.</v>
      </c>
      <c r="DV113" s="8" t="str">
        <f ca="1">OFFSET(Database!$F113,0,COLUMN(Database!DS113)*2-12)</f>
        <v>n.r.</v>
      </c>
      <c r="DW113" s="8" t="str">
        <f ca="1">OFFSET(Database!$F113,0,COLUMN(Database!DT113)*2-12)</f>
        <v>n.r.</v>
      </c>
      <c r="DX113" s="8" t="str">
        <f ca="1">OFFSET(Database!$F113,0,COLUMN(Database!DU113)*2-12)</f>
        <v>n.r.</v>
      </c>
      <c r="DY113" s="8" t="str">
        <f ca="1">OFFSET(Database!$F113,0,COLUMN(Database!DV113)*2-12)</f>
        <v>n.r.</v>
      </c>
      <c r="DZ113" s="8" t="str">
        <f ca="1">OFFSET(Database!$F113,0,COLUMN(Database!DW113)*2-12)</f>
        <v>n.r.</v>
      </c>
      <c r="EA113" s="8" t="str">
        <f ca="1">OFFSET(Database!$F113,0,COLUMN(Database!DX113)*2-12)</f>
        <v>n.r.</v>
      </c>
      <c r="EB113" s="8" t="str">
        <f ca="1">OFFSET(Database!$F113,0,COLUMN(Database!DY113)*2-12)</f>
        <v>n.r.</v>
      </c>
      <c r="EC113" s="8" t="str">
        <f ca="1">OFFSET(Database!$F113,0,COLUMN(Database!DZ113)*2-12)</f>
        <v>n.r.</v>
      </c>
      <c r="ED113" s="8" t="str">
        <f ca="1">OFFSET(Database!$F113,0,COLUMN(Database!EA113)*2-12)</f>
        <v>n.r.</v>
      </c>
      <c r="EE113" s="8" t="str">
        <f ca="1">OFFSET(Database!$F113,0,COLUMN(Database!EB113)*2-12)</f>
        <v>n.r.</v>
      </c>
      <c r="EF113" s="8" t="str">
        <f ca="1">OFFSET(Database!$F113,0,COLUMN(Database!EC113)*2-12)</f>
        <v>n.r.</v>
      </c>
      <c r="EG113" s="8" t="str">
        <f ca="1">OFFSET(Database!$F113,0,COLUMN(Database!ED113)*2-12)</f>
        <v>n.r.</v>
      </c>
      <c r="EH113" s="8" t="str">
        <f ca="1">OFFSET(Database!$F113,0,COLUMN(Database!EE113)*2-12)</f>
        <v>n.r.</v>
      </c>
      <c r="EI113" s="8" t="str">
        <f ca="1">OFFSET(Database!$F113,0,COLUMN(Database!EF113)*2-12)</f>
        <v>n.r.</v>
      </c>
      <c r="EJ113" s="8" t="str">
        <f ca="1">OFFSET(Database!$F113,0,COLUMN(Database!EG113)*2-12)</f>
        <v>n.r.</v>
      </c>
      <c r="EK113" s="8" t="str">
        <f ca="1">OFFSET(Database!$F113,0,COLUMN(Database!EH113)*2-12)</f>
        <v>n.r.</v>
      </c>
      <c r="EL113" s="8" t="str">
        <f ca="1">OFFSET(Database!$F113,0,COLUMN(Database!EI113)*2-12)</f>
        <v>n.r.</v>
      </c>
      <c r="EM113" s="8" t="str">
        <f ca="1">OFFSET(Database!$F113,0,COLUMN(Database!EJ113)*2-12)</f>
        <v>n.r.</v>
      </c>
      <c r="EN113" s="8" t="str">
        <f ca="1">OFFSET(Database!$F113,0,COLUMN(Database!EK113)*2-12)</f>
        <v>n.r.</v>
      </c>
      <c r="EO113" s="8" t="str">
        <f ca="1">OFFSET(Database!$F113,0,COLUMN(Database!EL113)*2-12)</f>
        <v>n.r.</v>
      </c>
      <c r="EP113" s="8" t="str">
        <f ca="1">OFFSET(Database!$F113,0,COLUMN(Database!EM113)*2-12)</f>
        <v>n.r.</v>
      </c>
      <c r="EQ113" s="8" t="str">
        <f ca="1">OFFSET(Database!$F113,0,COLUMN(Database!EN113)*2-12)</f>
        <v>n.r.</v>
      </c>
      <c r="ER113" s="8" t="str">
        <f ca="1">OFFSET(Database!$F113,0,COLUMN(Database!EO113)*2-12)</f>
        <v>n.r.</v>
      </c>
      <c r="ES113" s="8" t="str">
        <f ca="1">OFFSET(Database!$F113,0,COLUMN(Database!EP113)*2-12)</f>
        <v>n.r.</v>
      </c>
      <c r="ET113" s="8" t="str">
        <f ca="1">OFFSET(Database!$F113,0,COLUMN(Database!EQ113)*2-12)</f>
        <v>n.r.</v>
      </c>
      <c r="EU113" s="8" t="str">
        <f ca="1">OFFSET(Database!$F113,0,COLUMN(Database!ER113)*2-12)</f>
        <v>n.r.</v>
      </c>
      <c r="EV113" s="8" t="str">
        <f ca="1">OFFSET(Database!$F113,0,COLUMN(Database!ES113)*2-12)</f>
        <v>n.r.</v>
      </c>
      <c r="EW113" s="8" t="str">
        <f ca="1">OFFSET(Database!$F113,0,COLUMN(Database!ET113)*2-12)</f>
        <v>n.r.</v>
      </c>
      <c r="EX113" s="8" t="str">
        <f ca="1">OFFSET(Database!$F113,0,COLUMN(Database!EU113)*2-12)</f>
        <v>n.r.</v>
      </c>
      <c r="EY113" s="8" t="str">
        <f ca="1">OFFSET(Database!$F113,0,COLUMN(Database!EV113)*2-12)</f>
        <v>n.r.</v>
      </c>
      <c r="EZ113" s="8" t="str">
        <f ca="1">OFFSET(Database!$F113,0,COLUMN(Database!EW113)*2-12)</f>
        <v>n.r.</v>
      </c>
      <c r="FA113" s="8" t="str">
        <f ca="1">OFFSET(Database!$F113,0,COLUMN(Database!EX113)*2-12)</f>
        <v>n.r.</v>
      </c>
      <c r="FB113" s="8" t="str">
        <f ca="1">OFFSET(Database!$F113,0,COLUMN(Database!EY113)*2-12)</f>
        <v>n.r.</v>
      </c>
      <c r="FC113" s="8" t="str">
        <f ca="1">OFFSET(Database!$F113,0,COLUMN(Database!EZ113)*2-12)</f>
        <v>n.r.</v>
      </c>
      <c r="FD113" s="8" t="str">
        <f ca="1">OFFSET(Database!$F113,0,COLUMN(Database!FA113)*2-12)</f>
        <v>n.r.</v>
      </c>
      <c r="FE113" s="8" t="str">
        <f ca="1">OFFSET(Database!$F113,0,COLUMN(Database!FB113)*2-12)</f>
        <v>n.r.</v>
      </c>
      <c r="FF113" s="8" t="str">
        <f ca="1">OFFSET(Database!$F113,0,COLUMN(Database!FC113)*2-12)</f>
        <v>n.r.</v>
      </c>
      <c r="FG113" s="8">
        <f ca="1">OFFSET(Database!$F113,0,COLUMN(Database!FD113)*2-12)</f>
        <v>10282.524604612447</v>
      </c>
      <c r="FH113" s="8" t="str">
        <f ca="1">OFFSET(Database!$F113,0,COLUMN(Database!FE113)*2-12)</f>
        <v>n.r.</v>
      </c>
      <c r="FI113" s="8" t="str">
        <f ca="1">OFFSET(Database!$F113,0,COLUMN(Database!FF113)*2-12)</f>
        <v>n.r.</v>
      </c>
      <c r="FJ113" s="8" t="str">
        <f ca="1">OFFSET(Database!$F113,0,COLUMN(Database!FG113)*2-12)</f>
        <v>n.r.</v>
      </c>
      <c r="FK113" s="8" t="str">
        <f ca="1">OFFSET(Database!$F113,0,COLUMN(Database!FH113)*2-12)</f>
        <v>n.d.</v>
      </c>
      <c r="FL113" s="8" t="str">
        <f ca="1">OFFSET(Database!$F113,0,COLUMN(Database!FI113)*2-12)</f>
        <v>n.d.</v>
      </c>
      <c r="FM113" s="8" t="str">
        <f ca="1">OFFSET(Database!$F113,0,COLUMN(Database!FJ113)*2-12)</f>
        <v>n.d.</v>
      </c>
      <c r="FN113" s="8">
        <f ca="1">OFFSET(Database!$F113,0,COLUMN(Database!FK113)*2-12)</f>
        <v>763844.6849140675</v>
      </c>
      <c r="FO113" s="8" t="str">
        <f ca="1">OFFSET(Database!$F113,0,COLUMN(Database!FL113)*2-12)</f>
        <v>n.r.</v>
      </c>
      <c r="FP113" s="8" t="str">
        <f ca="1">OFFSET(Database!$F113,0,COLUMN(Database!FM113)*2-12)</f>
        <v>n.r.</v>
      </c>
      <c r="FQ113" s="8" t="str">
        <f ca="1">OFFSET(Database!$F113,0,COLUMN(Database!FN113)*2-12)</f>
        <v>n.r.</v>
      </c>
      <c r="FR113" s="8" t="str">
        <f ca="1">OFFSET(Database!$F113,0,COLUMN(Database!FO113)*2-12)</f>
        <v>n.r.</v>
      </c>
      <c r="FS113" s="8" t="str">
        <f ca="1">OFFSET(Database!$F113,0,COLUMN(Database!FP113)*2-12)</f>
        <v>n.r.</v>
      </c>
      <c r="FT113" s="8" t="str">
        <f ca="1">OFFSET(Database!$F113,0,COLUMN(Database!FQ113)*2-12)</f>
        <v>n.r.</v>
      </c>
      <c r="FU113" s="8" t="str">
        <f ca="1">OFFSET(Database!$F113,0,COLUMN(Database!FR113)*2-12)</f>
        <v>n.r.</v>
      </c>
      <c r="FV113" s="8" t="str">
        <f ca="1">OFFSET(Database!$F113,0,COLUMN(Database!FS113)*2-12)</f>
        <v>n.r.</v>
      </c>
      <c r="FW113" s="8" t="str">
        <f ca="1">OFFSET(Database!$F113,0,COLUMN(Database!FT113)*2-12)</f>
        <v>n.r.</v>
      </c>
      <c r="FX113" s="8" t="str">
        <f ca="1">OFFSET(Database!$F113,0,COLUMN(Database!FU113)*2-12)</f>
        <v>n.r.</v>
      </c>
      <c r="FY113" s="8" t="str">
        <f ca="1">OFFSET(Database!$F113,0,COLUMN(Database!FV113)*2-12)</f>
        <v>n.r.</v>
      </c>
      <c r="FZ113" s="8" t="str">
        <f ca="1">OFFSET(Database!$F113,0,COLUMN(Database!FW113)*2-12)</f>
        <v>n.r.</v>
      </c>
      <c r="GA113" s="8" t="str">
        <f ca="1">OFFSET(Database!$F113,0,COLUMN(Database!FX113)*2-12)</f>
        <v>n.r.</v>
      </c>
      <c r="GB113" s="8" t="str">
        <f ca="1">OFFSET(Database!$F113,0,COLUMN(Database!FY113)*2-12)</f>
        <v>n.r.</v>
      </c>
      <c r="GC113" s="8" t="str">
        <f ca="1">OFFSET(Database!$F113,0,COLUMN(Database!FZ113)*2-12)</f>
        <v>n.r.</v>
      </c>
      <c r="GD113" s="8" t="str">
        <f ca="1">OFFSET(Database!$F113,0,COLUMN(Database!GA113)*2-12)</f>
        <v>n.r.</v>
      </c>
      <c r="GE113" s="8" t="str">
        <f ca="1">OFFSET(Database!$F113,0,COLUMN(Database!GB113)*2-12)</f>
        <v>n.r.</v>
      </c>
      <c r="GF113" s="8" t="str">
        <f ca="1">OFFSET(Database!$F113,0,COLUMN(Database!GC113)*2-12)</f>
        <v>n.r.</v>
      </c>
      <c r="GG113" s="8">
        <f ca="1">OFFSET(Database!$F113,0,COLUMN(Database!GD113)*2-12)</f>
        <v>1091.9061842040837</v>
      </c>
      <c r="GH113" s="8">
        <f ca="1">OFFSET(Database!$F113,0,COLUMN(Database!GE113)*2-12)</f>
        <v>3814.326984282427</v>
      </c>
      <c r="GI113" s="8">
        <f ca="1">OFFSET(Database!$F113,0,COLUMN(Database!GF113)*2-12)</f>
        <v>3638.0551339176423</v>
      </c>
      <c r="GJ113" s="8">
        <f ca="1">OFFSET(Database!$F113,0,COLUMN(Database!GG113)*2-12)</f>
        <v>3549.9192087352499</v>
      </c>
      <c r="GK113" s="8">
        <f ca="1">OFFSET(Database!$F113,0,COLUMN(Database!GH113)*2-12)</f>
        <v>9548.0585614258434</v>
      </c>
      <c r="GL113" s="8">
        <f ca="1">OFFSET(Database!$F113,0,COLUMN(Database!GI113)*2-12)</f>
        <v>1845.9579885423298</v>
      </c>
      <c r="GM113" s="8">
        <f ca="1">OFFSET(Database!$F113,0,COLUMN(Database!GJ113)*2-12)</f>
        <v>11.751456690985654</v>
      </c>
      <c r="GN113" s="8">
        <f ca="1">OFFSET(Database!$F113,0,COLUMN(Database!GK113)*2-12)</f>
        <v>9303.2365470303102</v>
      </c>
      <c r="GO113" s="8" t="str">
        <f ca="1">OFFSET(Database!$F113,0,COLUMN(Database!GL113)*2-12)</f>
        <v>n.r.</v>
      </c>
      <c r="GP113" s="8" t="str">
        <f ca="1">OFFSET(Database!$F113,0,COLUMN(Database!GM113)*2-12)</f>
        <v>n.r.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4EF6B-8483-C945-A85F-FDEAB28D23E8}">
  <dimension ref="A1:DU234"/>
  <sheetViews>
    <sheetView zoomScale="157" zoomScaleNormal="69" workbookViewId="0">
      <pane xSplit="1" topLeftCell="DL1" activePane="topRight" state="frozen"/>
      <selection pane="topRight" activeCell="DU3" sqref="DU3"/>
    </sheetView>
  </sheetViews>
  <sheetFormatPr baseColWidth="10" defaultRowHeight="16" x14ac:dyDescent="0.2"/>
  <cols>
    <col min="1" max="1" width="19.5" bestFit="1" customWidth="1"/>
    <col min="2" max="2" width="16.33203125" style="1" bestFit="1" customWidth="1"/>
    <col min="3" max="3" width="24.5" style="1" bestFit="1" customWidth="1"/>
    <col min="4" max="4" width="168.5" customWidth="1"/>
    <col min="5" max="9" width="11.6640625" customWidth="1"/>
    <col min="10" max="10" width="11.6640625" bestFit="1" customWidth="1"/>
    <col min="11" max="14" width="11.6640625" customWidth="1"/>
    <col min="15" max="15" width="12" customWidth="1"/>
    <col min="16" max="18" width="11.6640625" customWidth="1"/>
    <col min="19" max="19" width="13.6640625" bestFit="1" customWidth="1"/>
    <col min="20" max="20" width="13.1640625" bestFit="1" customWidth="1"/>
    <col min="21" max="22" width="11.6640625" customWidth="1"/>
    <col min="25" max="26" width="11.6640625" customWidth="1"/>
    <col min="27" max="27" width="14.6640625" bestFit="1" customWidth="1"/>
    <col min="28" max="28" width="14.1640625" bestFit="1" customWidth="1"/>
    <col min="29" max="31" width="14.1640625" customWidth="1"/>
    <col min="32" max="32" width="11.6640625" customWidth="1"/>
    <col min="35" max="51" width="11.6640625" customWidth="1"/>
    <col min="52" max="52" width="12.6640625" bestFit="1" customWidth="1"/>
    <col min="53" max="53" width="11.83203125" bestFit="1" customWidth="1"/>
    <col min="54" max="54" width="15.33203125" bestFit="1" customWidth="1"/>
    <col min="55" max="56" width="12.6640625" customWidth="1"/>
    <col min="57" max="74" width="11.6640625" customWidth="1"/>
    <col min="75" max="75" width="14" bestFit="1" customWidth="1"/>
    <col min="76" max="76" width="13.5" bestFit="1" customWidth="1"/>
    <col min="77" max="77" width="12.1640625" bestFit="1" customWidth="1"/>
    <col min="78" max="78" width="12.1640625" customWidth="1"/>
    <col min="79" max="104" width="11.6640625" customWidth="1"/>
    <col min="105" max="105" width="13.1640625" bestFit="1" customWidth="1"/>
    <col min="106" max="107" width="13.1640625" customWidth="1"/>
    <col min="108" max="114" width="11.6640625" customWidth="1"/>
    <col min="115" max="115" width="11.83203125" customWidth="1"/>
    <col min="116" max="116" width="14.5" bestFit="1" customWidth="1"/>
    <col min="117" max="117" width="14" bestFit="1" customWidth="1"/>
    <col min="118" max="118" width="12.5" bestFit="1" customWidth="1"/>
    <col min="121" max="121" width="15.33203125" bestFit="1" customWidth="1"/>
    <col min="122" max="122" width="12" bestFit="1" customWidth="1"/>
    <col min="124" max="124" width="15.33203125" customWidth="1"/>
    <col min="125" max="125" width="19.33203125" bestFit="1" customWidth="1"/>
    <col min="127" max="127" width="18.1640625" bestFit="1" customWidth="1"/>
  </cols>
  <sheetData>
    <row r="1" spans="1:125" ht="17" x14ac:dyDescent="0.2">
      <c r="A1" s="55" t="s">
        <v>1299</v>
      </c>
      <c r="B1" s="53" t="s">
        <v>115</v>
      </c>
      <c r="C1" s="53" t="s">
        <v>1300</v>
      </c>
      <c r="D1" s="31" t="s">
        <v>1301</v>
      </c>
      <c r="E1" s="54" t="s">
        <v>854</v>
      </c>
      <c r="F1" s="54" t="s">
        <v>856</v>
      </c>
      <c r="G1" s="54" t="s">
        <v>1038</v>
      </c>
      <c r="H1" s="54" t="s">
        <v>1039</v>
      </c>
      <c r="I1" s="54" t="s">
        <v>857</v>
      </c>
      <c r="J1" s="54" t="s">
        <v>2</v>
      </c>
      <c r="K1" s="54" t="s">
        <v>861</v>
      </c>
      <c r="L1" s="54" t="s">
        <v>3</v>
      </c>
      <c r="M1" s="54" t="s">
        <v>4</v>
      </c>
      <c r="N1" s="54" t="s">
        <v>862</v>
      </c>
      <c r="O1" s="54" t="s">
        <v>1264</v>
      </c>
      <c r="P1" s="54" t="s">
        <v>5</v>
      </c>
      <c r="Q1" s="54" t="s">
        <v>6</v>
      </c>
      <c r="R1" s="54" t="s">
        <v>863</v>
      </c>
      <c r="S1" s="54" t="s">
        <v>7</v>
      </c>
      <c r="T1" s="54" t="s">
        <v>8</v>
      </c>
      <c r="U1" s="54" t="s">
        <v>864</v>
      </c>
      <c r="V1" s="54" t="s">
        <v>1265</v>
      </c>
      <c r="W1" s="54" t="s">
        <v>9</v>
      </c>
      <c r="X1" s="54" t="s">
        <v>10</v>
      </c>
      <c r="Y1" s="54" t="s">
        <v>865</v>
      </c>
      <c r="Z1" s="54" t="s">
        <v>866</v>
      </c>
      <c r="AA1" s="54" t="s">
        <v>623</v>
      </c>
      <c r="AB1" s="54" t="s">
        <v>624</v>
      </c>
      <c r="AC1" s="54" t="s">
        <v>867</v>
      </c>
      <c r="AD1" s="54" t="s">
        <v>1266</v>
      </c>
      <c r="AE1" s="54" t="s">
        <v>1267</v>
      </c>
      <c r="AF1" s="54" t="s">
        <v>1268</v>
      </c>
      <c r="AG1" s="54" t="s">
        <v>1269</v>
      </c>
      <c r="AH1" s="54" t="s">
        <v>1270</v>
      </c>
      <c r="AI1" s="54" t="s">
        <v>1271</v>
      </c>
      <c r="AJ1" s="54" t="s">
        <v>914</v>
      </c>
      <c r="AK1" s="54" t="s">
        <v>1272</v>
      </c>
      <c r="AL1" s="54" t="s">
        <v>1273</v>
      </c>
      <c r="AM1" s="54" t="s">
        <v>1274</v>
      </c>
      <c r="AN1" s="54" t="s">
        <v>1275</v>
      </c>
      <c r="AO1" s="54" t="s">
        <v>1276</v>
      </c>
      <c r="AP1" s="54" t="s">
        <v>1015</v>
      </c>
      <c r="AQ1" s="54" t="s">
        <v>1277</v>
      </c>
      <c r="AR1" s="54" t="s">
        <v>1278</v>
      </c>
      <c r="AS1" s="54" t="s">
        <v>1279</v>
      </c>
      <c r="AT1" s="54" t="s">
        <v>621</v>
      </c>
      <c r="AU1" s="54" t="s">
        <v>622</v>
      </c>
      <c r="AV1" s="54" t="s">
        <v>894</v>
      </c>
      <c r="AW1" s="54" t="s">
        <v>1046</v>
      </c>
      <c r="AX1" s="54" t="s">
        <v>1017</v>
      </c>
      <c r="AY1" s="54" t="s">
        <v>568</v>
      </c>
      <c r="AZ1" s="54" t="s">
        <v>868</v>
      </c>
      <c r="BA1" s="54" t="s">
        <v>1280</v>
      </c>
      <c r="BB1" s="54" t="s">
        <v>1281</v>
      </c>
      <c r="BC1" s="54" t="s">
        <v>15</v>
      </c>
      <c r="BD1" s="54" t="s">
        <v>16</v>
      </c>
      <c r="BE1" s="54" t="s">
        <v>869</v>
      </c>
      <c r="BF1" s="54" t="s">
        <v>23</v>
      </c>
      <c r="BG1" s="54" t="s">
        <v>24</v>
      </c>
      <c r="BH1" s="54" t="s">
        <v>870</v>
      </c>
      <c r="BI1" s="54" t="s">
        <v>25</v>
      </c>
      <c r="BJ1" s="54" t="s">
        <v>26</v>
      </c>
      <c r="BK1" s="54" t="s">
        <v>871</v>
      </c>
      <c r="BL1" s="54" t="s">
        <v>1282</v>
      </c>
      <c r="BM1" s="54" t="s">
        <v>1283</v>
      </c>
      <c r="BN1" s="54" t="s">
        <v>1007</v>
      </c>
      <c r="BO1" s="54" t="s">
        <v>1109</v>
      </c>
      <c r="BP1" s="54" t="s">
        <v>1284</v>
      </c>
      <c r="BQ1" s="54" t="s">
        <v>1286</v>
      </c>
      <c r="BR1" s="54" t="s">
        <v>1287</v>
      </c>
      <c r="BS1" s="54" t="s">
        <v>1010</v>
      </c>
      <c r="BT1" s="54" t="s">
        <v>1012</v>
      </c>
      <c r="BU1" s="54" t="s">
        <v>1013</v>
      </c>
      <c r="BV1" s="54" t="s">
        <v>1011</v>
      </c>
      <c r="BW1" s="54" t="s">
        <v>17</v>
      </c>
      <c r="BX1" s="54" t="s">
        <v>18</v>
      </c>
      <c r="BY1" s="54" t="s">
        <v>872</v>
      </c>
      <c r="BZ1" s="54" t="s">
        <v>20</v>
      </c>
      <c r="CA1" s="54" t="s">
        <v>873</v>
      </c>
      <c r="CB1" s="54" t="s">
        <v>1018</v>
      </c>
      <c r="CC1" s="54" t="s">
        <v>21</v>
      </c>
      <c r="CD1" s="54" t="s">
        <v>22</v>
      </c>
      <c r="CE1" s="54" t="s">
        <v>874</v>
      </c>
      <c r="CF1" s="54" t="s">
        <v>1288</v>
      </c>
      <c r="CG1" s="54" t="s">
        <v>1289</v>
      </c>
      <c r="CH1" s="54" t="s">
        <v>588</v>
      </c>
      <c r="CI1" s="54" t="s">
        <v>596</v>
      </c>
      <c r="CJ1" s="54" t="s">
        <v>875</v>
      </c>
      <c r="CK1" s="54" t="s">
        <v>876</v>
      </c>
      <c r="CL1" s="54" t="s">
        <v>1290</v>
      </c>
      <c r="CM1" s="54" t="s">
        <v>1291</v>
      </c>
      <c r="CN1" s="54" t="s">
        <v>1469</v>
      </c>
      <c r="CO1" s="54" t="s">
        <v>1292</v>
      </c>
      <c r="CP1" s="54" t="s">
        <v>1293</v>
      </c>
      <c r="CQ1" s="54" t="s">
        <v>1294</v>
      </c>
      <c r="CR1" s="54" t="s">
        <v>878</v>
      </c>
      <c r="CS1" s="54" t="s">
        <v>1020</v>
      </c>
      <c r="CT1" s="54" t="s">
        <v>1295</v>
      </c>
      <c r="CU1" s="54" t="s">
        <v>28</v>
      </c>
      <c r="CV1" s="54" t="s">
        <v>29</v>
      </c>
      <c r="CW1" s="54" t="s">
        <v>879</v>
      </c>
      <c r="CX1" s="54" t="s">
        <v>30</v>
      </c>
      <c r="CY1" s="54" t="s">
        <v>31</v>
      </c>
      <c r="CZ1" s="54" t="s">
        <v>880</v>
      </c>
      <c r="DA1" s="54" t="s">
        <v>1296</v>
      </c>
      <c r="DB1" s="54" t="s">
        <v>373</v>
      </c>
      <c r="DC1" s="54" t="s">
        <v>321</v>
      </c>
      <c r="DD1" s="54" t="s">
        <v>882</v>
      </c>
      <c r="DE1" s="54" t="s">
        <v>1256</v>
      </c>
      <c r="DF1" s="54" t="s">
        <v>1297</v>
      </c>
      <c r="DG1" s="54" t="s">
        <v>33</v>
      </c>
      <c r="DH1" s="54" t="s">
        <v>884</v>
      </c>
      <c r="DI1" s="54" t="s">
        <v>34</v>
      </c>
      <c r="DJ1" s="54" t="s">
        <v>35</v>
      </c>
      <c r="DK1" s="54" t="s">
        <v>885</v>
      </c>
      <c r="DL1" s="54" t="s">
        <v>36</v>
      </c>
      <c r="DM1" s="54" t="s">
        <v>37</v>
      </c>
      <c r="DN1" s="54" t="s">
        <v>1055</v>
      </c>
      <c r="DO1" s="54" t="s">
        <v>38</v>
      </c>
      <c r="DP1" s="54" t="s">
        <v>39</v>
      </c>
      <c r="DQ1" s="54" t="s">
        <v>886</v>
      </c>
      <c r="DR1" s="54" t="s">
        <v>40</v>
      </c>
      <c r="DS1" s="54" t="s">
        <v>41</v>
      </c>
      <c r="DT1" s="54" t="s">
        <v>887</v>
      </c>
      <c r="DU1" s="31" t="s">
        <v>114</v>
      </c>
    </row>
    <row r="2" spans="1:125" ht="18" x14ac:dyDescent="0.25">
      <c r="A2" s="50" t="s">
        <v>1302</v>
      </c>
      <c r="B2" s="1" t="s">
        <v>1303</v>
      </c>
      <c r="C2" s="1" t="s">
        <v>1304</v>
      </c>
      <c r="D2" t="s">
        <v>1305</v>
      </c>
      <c r="E2" s="56">
        <v>1</v>
      </c>
      <c r="F2" s="57">
        <v>4</v>
      </c>
      <c r="G2" s="56">
        <v>1</v>
      </c>
      <c r="H2" s="56">
        <v>1</v>
      </c>
      <c r="I2" s="57">
        <v>4</v>
      </c>
      <c r="J2" s="56">
        <v>1</v>
      </c>
      <c r="K2" s="57">
        <v>4</v>
      </c>
      <c r="L2" s="56">
        <v>1</v>
      </c>
      <c r="M2" s="56">
        <v>1</v>
      </c>
      <c r="N2" s="57">
        <v>4</v>
      </c>
      <c r="O2" s="58">
        <v>2</v>
      </c>
      <c r="P2" s="57">
        <v>4</v>
      </c>
      <c r="Q2" s="57">
        <v>4</v>
      </c>
      <c r="R2" s="57">
        <v>4</v>
      </c>
      <c r="S2" s="57">
        <v>4</v>
      </c>
      <c r="T2" s="57">
        <v>4</v>
      </c>
      <c r="U2" s="56">
        <v>1</v>
      </c>
      <c r="V2" s="58">
        <v>2</v>
      </c>
      <c r="W2" s="57">
        <v>4</v>
      </c>
      <c r="X2" s="57">
        <v>4</v>
      </c>
      <c r="Y2" s="57">
        <v>4</v>
      </c>
      <c r="Z2" s="57">
        <v>4</v>
      </c>
      <c r="AA2" s="57">
        <v>4</v>
      </c>
      <c r="AB2" s="57">
        <v>4</v>
      </c>
      <c r="AC2" s="57">
        <v>4</v>
      </c>
      <c r="AD2" s="57">
        <v>4</v>
      </c>
      <c r="AE2" s="57">
        <v>4</v>
      </c>
      <c r="AF2" s="56">
        <v>1</v>
      </c>
      <c r="AG2" s="56">
        <v>1</v>
      </c>
      <c r="AH2" s="56">
        <v>1</v>
      </c>
      <c r="AI2" s="57">
        <v>4</v>
      </c>
      <c r="AJ2" s="56">
        <v>1</v>
      </c>
      <c r="AK2" s="56">
        <v>1</v>
      </c>
      <c r="AL2" s="56">
        <v>1</v>
      </c>
      <c r="AM2" s="56">
        <v>1</v>
      </c>
      <c r="AN2" s="57">
        <v>4</v>
      </c>
      <c r="AO2" s="57">
        <v>4</v>
      </c>
      <c r="AP2" s="57">
        <v>4</v>
      </c>
      <c r="AQ2" s="57">
        <v>4</v>
      </c>
      <c r="AR2" s="57">
        <v>4</v>
      </c>
      <c r="AS2" s="58">
        <v>2</v>
      </c>
      <c r="AT2" s="57">
        <v>4</v>
      </c>
      <c r="AU2" s="57">
        <v>4</v>
      </c>
      <c r="AV2" s="58">
        <v>2</v>
      </c>
      <c r="AW2" s="57">
        <v>4</v>
      </c>
      <c r="AX2" s="57">
        <v>4</v>
      </c>
      <c r="AY2" s="57">
        <v>4</v>
      </c>
      <c r="AZ2" s="57">
        <v>4</v>
      </c>
      <c r="BA2" s="57">
        <v>4</v>
      </c>
      <c r="BB2" s="57">
        <v>4</v>
      </c>
      <c r="BC2" s="57">
        <v>4</v>
      </c>
      <c r="BD2" s="57">
        <v>4</v>
      </c>
      <c r="BE2" s="56">
        <v>1</v>
      </c>
      <c r="BF2" s="56">
        <v>1</v>
      </c>
      <c r="BG2" s="56">
        <v>1</v>
      </c>
      <c r="BH2" s="57">
        <v>4</v>
      </c>
      <c r="BI2" s="57">
        <v>4</v>
      </c>
      <c r="BJ2" s="57">
        <v>4</v>
      </c>
      <c r="BK2" s="56">
        <v>1</v>
      </c>
      <c r="BL2" s="57">
        <v>4</v>
      </c>
      <c r="BM2" s="57">
        <v>4</v>
      </c>
      <c r="BN2" s="57">
        <v>4</v>
      </c>
      <c r="BO2" s="57">
        <v>4</v>
      </c>
      <c r="BP2" s="57">
        <v>4</v>
      </c>
      <c r="BQ2" s="57">
        <v>4</v>
      </c>
      <c r="BR2" s="57">
        <v>4</v>
      </c>
      <c r="BS2" s="57">
        <v>4</v>
      </c>
      <c r="BT2" s="57">
        <v>4</v>
      </c>
      <c r="BU2" s="57">
        <v>4</v>
      </c>
      <c r="BV2" s="57">
        <v>4</v>
      </c>
      <c r="BW2" s="56">
        <v>1</v>
      </c>
      <c r="BX2" s="56">
        <v>1</v>
      </c>
      <c r="BY2" s="57">
        <v>4</v>
      </c>
      <c r="BZ2" s="57">
        <v>4</v>
      </c>
      <c r="CA2" s="57">
        <v>4</v>
      </c>
      <c r="CB2" s="57">
        <v>4</v>
      </c>
      <c r="CC2" s="57">
        <v>4</v>
      </c>
      <c r="CD2" s="57">
        <v>4</v>
      </c>
      <c r="CE2" s="57">
        <v>4</v>
      </c>
      <c r="CF2" s="57">
        <v>4</v>
      </c>
      <c r="CG2" s="57">
        <v>4</v>
      </c>
      <c r="CH2" s="57">
        <v>4</v>
      </c>
      <c r="CI2" s="57">
        <v>4</v>
      </c>
      <c r="CJ2" s="57">
        <v>4</v>
      </c>
      <c r="CK2" s="58">
        <v>2</v>
      </c>
      <c r="CL2" s="57">
        <v>4</v>
      </c>
      <c r="CM2" s="57">
        <v>4</v>
      </c>
      <c r="CN2" s="57">
        <v>4</v>
      </c>
      <c r="CO2" s="57">
        <v>4</v>
      </c>
      <c r="CP2" s="57">
        <v>4</v>
      </c>
      <c r="CQ2" s="58">
        <v>2</v>
      </c>
      <c r="CR2" s="57">
        <v>4</v>
      </c>
      <c r="CS2" s="57">
        <v>4</v>
      </c>
      <c r="CT2" s="57">
        <v>4</v>
      </c>
      <c r="CU2" s="57">
        <v>4</v>
      </c>
      <c r="CV2" s="57">
        <v>4</v>
      </c>
      <c r="CW2" s="57">
        <v>4</v>
      </c>
      <c r="CX2" s="57">
        <v>4</v>
      </c>
      <c r="CY2" s="57">
        <v>4</v>
      </c>
      <c r="CZ2" s="57">
        <v>4</v>
      </c>
      <c r="DA2" s="57">
        <v>4</v>
      </c>
      <c r="DB2" s="57">
        <v>4</v>
      </c>
      <c r="DC2" s="57">
        <v>4</v>
      </c>
      <c r="DD2" s="57">
        <v>4</v>
      </c>
      <c r="DE2" s="57">
        <v>4</v>
      </c>
      <c r="DF2" s="58">
        <v>2</v>
      </c>
      <c r="DG2" s="57">
        <v>4</v>
      </c>
      <c r="DH2" s="57">
        <v>4</v>
      </c>
      <c r="DI2" s="57">
        <v>4</v>
      </c>
      <c r="DJ2" s="57">
        <v>4</v>
      </c>
      <c r="DK2" s="57">
        <v>4</v>
      </c>
      <c r="DL2" s="57">
        <v>4</v>
      </c>
      <c r="DM2" s="57">
        <v>4</v>
      </c>
      <c r="DN2" s="58">
        <v>2</v>
      </c>
      <c r="DO2" s="57">
        <v>4</v>
      </c>
      <c r="DP2" s="57">
        <v>4</v>
      </c>
      <c r="DQ2" s="57">
        <v>4</v>
      </c>
      <c r="DR2" s="57">
        <v>4</v>
      </c>
      <c r="DS2" s="57">
        <v>4</v>
      </c>
      <c r="DT2" s="57">
        <v>4</v>
      </c>
      <c r="DU2" s="1" t="s">
        <v>1306</v>
      </c>
    </row>
    <row r="3" spans="1:125" ht="18" x14ac:dyDescent="0.25">
      <c r="A3" s="50" t="s">
        <v>1307</v>
      </c>
      <c r="B3" s="1" t="s">
        <v>1303</v>
      </c>
      <c r="C3" s="1" t="s">
        <v>1308</v>
      </c>
      <c r="D3" t="s">
        <v>1309</v>
      </c>
      <c r="E3" s="56">
        <v>1</v>
      </c>
      <c r="F3" s="57">
        <v>4</v>
      </c>
      <c r="G3" s="56">
        <v>1</v>
      </c>
      <c r="H3" s="56">
        <v>1</v>
      </c>
      <c r="I3" s="57">
        <v>4</v>
      </c>
      <c r="J3" s="56">
        <v>1</v>
      </c>
      <c r="K3" s="57">
        <v>4</v>
      </c>
      <c r="L3" s="56">
        <v>1</v>
      </c>
      <c r="M3" s="56">
        <v>1</v>
      </c>
      <c r="N3" s="57">
        <v>4</v>
      </c>
      <c r="O3" s="56">
        <v>1</v>
      </c>
      <c r="P3" s="57">
        <v>4</v>
      </c>
      <c r="Q3" s="57">
        <v>4</v>
      </c>
      <c r="R3" s="57">
        <v>4</v>
      </c>
      <c r="S3" s="57">
        <v>4</v>
      </c>
      <c r="T3" s="57">
        <v>4</v>
      </c>
      <c r="U3" s="56">
        <v>1</v>
      </c>
      <c r="V3" s="56">
        <v>1</v>
      </c>
      <c r="W3" s="57">
        <v>4</v>
      </c>
      <c r="X3" s="57">
        <v>4</v>
      </c>
      <c r="Y3" s="57">
        <v>4</v>
      </c>
      <c r="Z3" s="57">
        <v>4</v>
      </c>
      <c r="AA3" s="57">
        <v>4</v>
      </c>
      <c r="AB3" s="57">
        <v>4</v>
      </c>
      <c r="AC3" s="57">
        <v>4</v>
      </c>
      <c r="AD3" s="57">
        <v>4</v>
      </c>
      <c r="AE3" s="57">
        <v>4</v>
      </c>
      <c r="AF3" s="56">
        <v>1</v>
      </c>
      <c r="AG3" s="56">
        <v>1</v>
      </c>
      <c r="AH3" s="56">
        <v>1</v>
      </c>
      <c r="AI3" s="57">
        <v>4</v>
      </c>
      <c r="AJ3" s="56">
        <v>1</v>
      </c>
      <c r="AK3" s="56">
        <v>1</v>
      </c>
      <c r="AL3" s="56">
        <v>1</v>
      </c>
      <c r="AM3" s="56">
        <v>1</v>
      </c>
      <c r="AN3" s="57">
        <v>4</v>
      </c>
      <c r="AO3" s="57">
        <v>4</v>
      </c>
      <c r="AP3" s="57">
        <v>4</v>
      </c>
      <c r="AQ3" s="57">
        <v>4</v>
      </c>
      <c r="AR3" s="57">
        <v>4</v>
      </c>
      <c r="AS3" s="56">
        <v>1</v>
      </c>
      <c r="AT3" s="57">
        <v>4</v>
      </c>
      <c r="AU3" s="57">
        <v>4</v>
      </c>
      <c r="AV3" s="56">
        <v>1</v>
      </c>
      <c r="AW3" s="57">
        <v>4</v>
      </c>
      <c r="AX3" s="57">
        <v>4</v>
      </c>
      <c r="AY3" s="57">
        <v>4</v>
      </c>
      <c r="AZ3" s="57">
        <v>4</v>
      </c>
      <c r="BA3" s="57">
        <v>4</v>
      </c>
      <c r="BB3" s="57">
        <v>4</v>
      </c>
      <c r="BC3" s="57">
        <v>4</v>
      </c>
      <c r="BD3" s="57">
        <v>4</v>
      </c>
      <c r="BE3" s="56">
        <v>1</v>
      </c>
      <c r="BF3" s="56">
        <v>1</v>
      </c>
      <c r="BG3" s="56">
        <v>1</v>
      </c>
      <c r="BH3" s="57">
        <v>4</v>
      </c>
      <c r="BI3" s="57">
        <v>4</v>
      </c>
      <c r="BJ3" s="57">
        <v>4</v>
      </c>
      <c r="BK3" s="56">
        <v>1</v>
      </c>
      <c r="BL3" s="57">
        <v>4</v>
      </c>
      <c r="BM3" s="57">
        <v>4</v>
      </c>
      <c r="BN3" s="57">
        <v>4</v>
      </c>
      <c r="BO3" s="57">
        <v>4</v>
      </c>
      <c r="BP3" s="57">
        <v>4</v>
      </c>
      <c r="BQ3" s="57">
        <v>4</v>
      </c>
      <c r="BR3" s="57">
        <v>4</v>
      </c>
      <c r="BS3" s="57">
        <v>4</v>
      </c>
      <c r="BT3" s="57">
        <v>4</v>
      </c>
      <c r="BU3" s="57">
        <v>4</v>
      </c>
      <c r="BV3" s="57">
        <v>4</v>
      </c>
      <c r="BW3" s="56">
        <v>1</v>
      </c>
      <c r="BX3" s="56">
        <v>1</v>
      </c>
      <c r="BY3" s="57">
        <v>4</v>
      </c>
      <c r="BZ3" s="57">
        <v>4</v>
      </c>
      <c r="CA3" s="57">
        <v>4</v>
      </c>
      <c r="CB3" s="57">
        <v>4</v>
      </c>
      <c r="CC3" s="57">
        <v>4</v>
      </c>
      <c r="CD3" s="57">
        <v>4</v>
      </c>
      <c r="CE3" s="57">
        <v>4</v>
      </c>
      <c r="CF3" s="57">
        <v>4</v>
      </c>
      <c r="CG3" s="57">
        <v>4</v>
      </c>
      <c r="CH3" s="57">
        <v>4</v>
      </c>
      <c r="CI3" s="57">
        <v>4</v>
      </c>
      <c r="CJ3" s="57">
        <v>4</v>
      </c>
      <c r="CK3" s="56">
        <v>1</v>
      </c>
      <c r="CL3" s="57">
        <v>4</v>
      </c>
      <c r="CM3" s="57">
        <v>4</v>
      </c>
      <c r="CN3" s="57">
        <v>4</v>
      </c>
      <c r="CO3" s="57">
        <v>4</v>
      </c>
      <c r="CP3" s="57">
        <v>4</v>
      </c>
      <c r="CQ3" s="56">
        <v>1</v>
      </c>
      <c r="CR3" s="57">
        <v>4</v>
      </c>
      <c r="CS3" s="57">
        <v>4</v>
      </c>
      <c r="CT3" s="57">
        <v>4</v>
      </c>
      <c r="CU3" s="57">
        <v>4</v>
      </c>
      <c r="CV3" s="57">
        <v>4</v>
      </c>
      <c r="CW3" s="57">
        <v>4</v>
      </c>
      <c r="CX3" s="57">
        <v>4</v>
      </c>
      <c r="CY3" s="57">
        <v>4</v>
      </c>
      <c r="CZ3" s="57">
        <v>4</v>
      </c>
      <c r="DA3" s="57">
        <v>4</v>
      </c>
      <c r="DB3" s="57">
        <v>4</v>
      </c>
      <c r="DC3" s="57">
        <v>4</v>
      </c>
      <c r="DD3" s="57">
        <v>4</v>
      </c>
      <c r="DE3" s="57">
        <v>4</v>
      </c>
      <c r="DF3" s="56">
        <v>1</v>
      </c>
      <c r="DG3" s="57">
        <v>4</v>
      </c>
      <c r="DH3" s="57">
        <v>4</v>
      </c>
      <c r="DI3" s="57">
        <v>4</v>
      </c>
      <c r="DJ3" s="57">
        <v>4</v>
      </c>
      <c r="DK3" s="57">
        <v>4</v>
      </c>
      <c r="DL3" s="57">
        <v>4</v>
      </c>
      <c r="DM3" s="57">
        <v>4</v>
      </c>
      <c r="DN3" s="56">
        <v>1</v>
      </c>
      <c r="DO3" s="57">
        <v>4</v>
      </c>
      <c r="DP3" s="57">
        <v>4</v>
      </c>
      <c r="DQ3" s="57">
        <v>4</v>
      </c>
      <c r="DR3" s="57">
        <v>4</v>
      </c>
      <c r="DS3" s="57">
        <v>4</v>
      </c>
      <c r="DT3" s="57">
        <v>4</v>
      </c>
      <c r="DU3" s="1" t="s">
        <v>1306</v>
      </c>
    </row>
    <row r="4" spans="1:125" ht="18" x14ac:dyDescent="0.25">
      <c r="A4" s="50" t="s">
        <v>1310</v>
      </c>
      <c r="B4" s="1" t="s">
        <v>1303</v>
      </c>
      <c r="C4" s="1" t="s">
        <v>1311</v>
      </c>
      <c r="D4" t="s">
        <v>1312</v>
      </c>
      <c r="E4" s="56">
        <v>1</v>
      </c>
      <c r="F4" s="57">
        <v>4</v>
      </c>
      <c r="G4" s="56">
        <v>1</v>
      </c>
      <c r="H4" s="56">
        <v>1</v>
      </c>
      <c r="I4" s="57">
        <v>4</v>
      </c>
      <c r="J4" s="56">
        <v>1</v>
      </c>
      <c r="K4" s="57">
        <v>4</v>
      </c>
      <c r="L4" s="56">
        <v>1</v>
      </c>
      <c r="M4" s="56">
        <v>1</v>
      </c>
      <c r="N4" s="57">
        <v>4</v>
      </c>
      <c r="O4" s="58">
        <v>2</v>
      </c>
      <c r="P4" s="57">
        <v>4</v>
      </c>
      <c r="Q4" s="57">
        <v>4</v>
      </c>
      <c r="R4" s="57">
        <v>4</v>
      </c>
      <c r="S4" s="57">
        <v>4</v>
      </c>
      <c r="T4" s="57">
        <v>4</v>
      </c>
      <c r="U4" s="56">
        <v>1</v>
      </c>
      <c r="V4" s="58">
        <v>2</v>
      </c>
      <c r="W4" s="57">
        <v>4</v>
      </c>
      <c r="X4" s="57">
        <v>4</v>
      </c>
      <c r="Y4" s="57">
        <v>4</v>
      </c>
      <c r="Z4" s="57">
        <v>4</v>
      </c>
      <c r="AA4" s="57">
        <v>4</v>
      </c>
      <c r="AB4" s="57">
        <v>4</v>
      </c>
      <c r="AC4" s="57">
        <v>4</v>
      </c>
      <c r="AD4" s="57">
        <v>4</v>
      </c>
      <c r="AE4" s="57">
        <v>4</v>
      </c>
      <c r="AF4" s="58">
        <v>2</v>
      </c>
      <c r="AG4" s="56">
        <v>1</v>
      </c>
      <c r="AH4" s="56">
        <v>1</v>
      </c>
      <c r="AI4" s="57">
        <v>4</v>
      </c>
      <c r="AJ4" s="56">
        <v>1</v>
      </c>
      <c r="AK4" s="56">
        <v>1</v>
      </c>
      <c r="AL4" s="56">
        <v>1</v>
      </c>
      <c r="AM4" s="56">
        <v>1</v>
      </c>
      <c r="AN4" s="57">
        <v>4</v>
      </c>
      <c r="AO4" s="57">
        <v>4</v>
      </c>
      <c r="AP4" s="57">
        <v>4</v>
      </c>
      <c r="AQ4" s="57">
        <v>4</v>
      </c>
      <c r="AR4" s="57">
        <v>4</v>
      </c>
      <c r="AS4" s="58">
        <v>2</v>
      </c>
      <c r="AT4" s="57">
        <v>4</v>
      </c>
      <c r="AU4" s="57">
        <v>4</v>
      </c>
      <c r="AV4" s="58">
        <v>2</v>
      </c>
      <c r="AW4" s="57">
        <v>4</v>
      </c>
      <c r="AX4" s="57">
        <v>4</v>
      </c>
      <c r="AY4" s="57">
        <v>4</v>
      </c>
      <c r="AZ4" s="57">
        <v>4</v>
      </c>
      <c r="BA4" s="57">
        <v>4</v>
      </c>
      <c r="BB4" s="57">
        <v>4</v>
      </c>
      <c r="BC4" s="57">
        <v>4</v>
      </c>
      <c r="BD4" s="57">
        <v>4</v>
      </c>
      <c r="BE4" s="58">
        <v>2</v>
      </c>
      <c r="BF4" s="56">
        <v>1</v>
      </c>
      <c r="BG4" s="56">
        <v>1</v>
      </c>
      <c r="BH4" s="57">
        <v>4</v>
      </c>
      <c r="BI4" s="57">
        <v>4</v>
      </c>
      <c r="BJ4" s="57">
        <v>4</v>
      </c>
      <c r="BK4" s="58">
        <v>2</v>
      </c>
      <c r="BL4" s="57">
        <v>4</v>
      </c>
      <c r="BM4" s="57">
        <v>4</v>
      </c>
      <c r="BN4" s="57">
        <v>4</v>
      </c>
      <c r="BO4" s="57">
        <v>4</v>
      </c>
      <c r="BP4" s="57">
        <v>4</v>
      </c>
      <c r="BQ4" s="57">
        <v>4</v>
      </c>
      <c r="BR4" s="57">
        <v>4</v>
      </c>
      <c r="BS4" s="57">
        <v>4</v>
      </c>
      <c r="BT4" s="57">
        <v>4</v>
      </c>
      <c r="BU4" s="57">
        <v>4</v>
      </c>
      <c r="BV4" s="57">
        <v>4</v>
      </c>
      <c r="BW4" s="56">
        <v>1</v>
      </c>
      <c r="BX4" s="56">
        <v>1</v>
      </c>
      <c r="BY4" s="57">
        <v>4</v>
      </c>
      <c r="BZ4" s="57">
        <v>4</v>
      </c>
      <c r="CA4" s="57">
        <v>4</v>
      </c>
      <c r="CB4" s="57">
        <v>4</v>
      </c>
      <c r="CC4" s="57">
        <v>4</v>
      </c>
      <c r="CD4" s="57">
        <v>4</v>
      </c>
      <c r="CE4" s="57">
        <v>4</v>
      </c>
      <c r="CF4" s="57">
        <v>4</v>
      </c>
      <c r="CG4" s="57">
        <v>4</v>
      </c>
      <c r="CH4" s="57">
        <v>4</v>
      </c>
      <c r="CI4" s="57">
        <v>4</v>
      </c>
      <c r="CJ4" s="57">
        <v>4</v>
      </c>
      <c r="CK4" s="58">
        <v>2</v>
      </c>
      <c r="CL4" s="57">
        <v>4</v>
      </c>
      <c r="CM4" s="57">
        <v>4</v>
      </c>
      <c r="CN4" s="57">
        <v>4</v>
      </c>
      <c r="CO4" s="57">
        <v>4</v>
      </c>
      <c r="CP4" s="57">
        <v>4</v>
      </c>
      <c r="CQ4" s="58">
        <v>2</v>
      </c>
      <c r="CR4" s="57">
        <v>4</v>
      </c>
      <c r="CS4" s="57">
        <v>4</v>
      </c>
      <c r="CT4" s="57">
        <v>4</v>
      </c>
      <c r="CU4" s="57">
        <v>4</v>
      </c>
      <c r="CV4" s="57">
        <v>4</v>
      </c>
      <c r="CW4" s="57">
        <v>4</v>
      </c>
      <c r="CX4" s="57">
        <v>4</v>
      </c>
      <c r="CY4" s="57">
        <v>4</v>
      </c>
      <c r="CZ4" s="57">
        <v>4</v>
      </c>
      <c r="DA4" s="57">
        <v>4</v>
      </c>
      <c r="DB4" s="57">
        <v>4</v>
      </c>
      <c r="DC4" s="57">
        <v>4</v>
      </c>
      <c r="DD4" s="57">
        <v>4</v>
      </c>
      <c r="DE4" s="57">
        <v>4</v>
      </c>
      <c r="DF4" s="58">
        <v>2</v>
      </c>
      <c r="DG4" s="57">
        <v>4</v>
      </c>
      <c r="DH4" s="57">
        <v>4</v>
      </c>
      <c r="DI4" s="57">
        <v>4</v>
      </c>
      <c r="DJ4" s="57">
        <v>4</v>
      </c>
      <c r="DK4" s="57">
        <v>4</v>
      </c>
      <c r="DL4" s="57">
        <v>4</v>
      </c>
      <c r="DM4" s="57">
        <v>4</v>
      </c>
      <c r="DN4" s="58">
        <v>2</v>
      </c>
      <c r="DO4" s="57">
        <v>4</v>
      </c>
      <c r="DP4" s="57">
        <v>4</v>
      </c>
      <c r="DQ4" s="57">
        <v>4</v>
      </c>
      <c r="DR4" s="57">
        <v>4</v>
      </c>
      <c r="DS4" s="57">
        <v>4</v>
      </c>
      <c r="DT4" s="57">
        <v>4</v>
      </c>
      <c r="DU4" s="1" t="s">
        <v>1306</v>
      </c>
    </row>
    <row r="5" spans="1:125" x14ac:dyDescent="0.2">
      <c r="A5" s="50" t="s">
        <v>1313</v>
      </c>
      <c r="B5" s="1" t="s">
        <v>1303</v>
      </c>
      <c r="C5" s="1" t="s">
        <v>1314</v>
      </c>
      <c r="D5" t="s">
        <v>1315</v>
      </c>
      <c r="E5" s="56">
        <v>1</v>
      </c>
      <c r="F5" s="57">
        <v>4</v>
      </c>
      <c r="G5" s="56">
        <v>1</v>
      </c>
      <c r="H5" s="56">
        <v>1</v>
      </c>
      <c r="I5" s="57">
        <v>4</v>
      </c>
      <c r="J5" s="56">
        <v>1</v>
      </c>
      <c r="K5" s="57">
        <v>4</v>
      </c>
      <c r="L5" s="56">
        <v>1</v>
      </c>
      <c r="M5" s="56">
        <v>1</v>
      </c>
      <c r="N5" s="57">
        <v>4</v>
      </c>
      <c r="O5" s="56">
        <v>1</v>
      </c>
      <c r="P5" s="57">
        <v>4</v>
      </c>
      <c r="Q5" s="57">
        <v>4</v>
      </c>
      <c r="R5" s="56">
        <v>1</v>
      </c>
      <c r="S5" s="56">
        <v>1</v>
      </c>
      <c r="T5" s="56">
        <v>1</v>
      </c>
      <c r="U5" s="57">
        <v>4</v>
      </c>
      <c r="V5" s="57">
        <v>4</v>
      </c>
      <c r="W5" s="57">
        <v>4</v>
      </c>
      <c r="X5" s="57">
        <v>4</v>
      </c>
      <c r="Y5" s="56">
        <v>1</v>
      </c>
      <c r="Z5" s="57">
        <v>4</v>
      </c>
      <c r="AA5" s="57">
        <v>4</v>
      </c>
      <c r="AB5" s="57">
        <v>4</v>
      </c>
      <c r="AC5" s="57">
        <v>4</v>
      </c>
      <c r="AD5" s="57">
        <v>4</v>
      </c>
      <c r="AE5" s="57">
        <v>4</v>
      </c>
      <c r="AF5" s="56">
        <v>1</v>
      </c>
      <c r="AG5" s="56">
        <v>1</v>
      </c>
      <c r="AH5" s="56">
        <v>1</v>
      </c>
      <c r="AI5" s="57">
        <v>4</v>
      </c>
      <c r="AJ5" s="56">
        <v>1</v>
      </c>
      <c r="AK5" s="56">
        <v>1</v>
      </c>
      <c r="AL5" s="57">
        <v>4</v>
      </c>
      <c r="AM5" s="57">
        <v>4</v>
      </c>
      <c r="AN5" s="56">
        <v>1</v>
      </c>
      <c r="AO5" s="57">
        <v>4</v>
      </c>
      <c r="AP5" s="57">
        <v>4</v>
      </c>
      <c r="AQ5" s="57">
        <v>4</v>
      </c>
      <c r="AR5" s="57">
        <v>4</v>
      </c>
      <c r="AS5" s="57">
        <v>4</v>
      </c>
      <c r="AT5" s="57">
        <v>4</v>
      </c>
      <c r="AU5" s="57">
        <v>4</v>
      </c>
      <c r="AV5" s="57">
        <v>4</v>
      </c>
      <c r="AW5" s="57">
        <v>4</v>
      </c>
      <c r="AX5" s="57">
        <v>4</v>
      </c>
      <c r="AY5" s="57">
        <v>4</v>
      </c>
      <c r="AZ5" s="57">
        <v>4</v>
      </c>
      <c r="BA5" s="56">
        <v>1</v>
      </c>
      <c r="BB5" s="56">
        <v>1</v>
      </c>
      <c r="BC5" s="57">
        <v>4</v>
      </c>
      <c r="BD5" s="57">
        <v>4</v>
      </c>
      <c r="BE5" s="56">
        <v>1</v>
      </c>
      <c r="BF5" s="56">
        <v>1</v>
      </c>
      <c r="BG5" s="56">
        <v>1</v>
      </c>
      <c r="BH5" s="57">
        <v>4</v>
      </c>
      <c r="BI5" s="57">
        <v>4</v>
      </c>
      <c r="BJ5" s="57">
        <v>4</v>
      </c>
      <c r="BK5" s="57">
        <v>4</v>
      </c>
      <c r="BL5" s="57">
        <v>4</v>
      </c>
      <c r="BM5" s="57">
        <v>4</v>
      </c>
      <c r="BN5" s="57">
        <v>4</v>
      </c>
      <c r="BO5" s="57">
        <v>4</v>
      </c>
      <c r="BP5" s="57">
        <v>4</v>
      </c>
      <c r="BQ5" s="57">
        <v>4</v>
      </c>
      <c r="BR5" s="57">
        <v>4</v>
      </c>
      <c r="BS5" s="57">
        <v>4</v>
      </c>
      <c r="BT5" s="57">
        <v>4</v>
      </c>
      <c r="BU5" s="57">
        <v>4</v>
      </c>
      <c r="BV5" s="57">
        <v>4</v>
      </c>
      <c r="BW5" s="56">
        <v>1</v>
      </c>
      <c r="BX5" s="56">
        <v>1</v>
      </c>
      <c r="BY5" s="57">
        <v>4</v>
      </c>
      <c r="BZ5" s="57">
        <v>4</v>
      </c>
      <c r="CA5" s="57">
        <v>4</v>
      </c>
      <c r="CB5" s="57">
        <v>4</v>
      </c>
      <c r="CC5" s="56">
        <v>1</v>
      </c>
      <c r="CD5" s="56">
        <v>1</v>
      </c>
      <c r="CE5" s="57">
        <v>4</v>
      </c>
      <c r="CF5" s="56">
        <v>1</v>
      </c>
      <c r="CG5" s="56">
        <v>1</v>
      </c>
      <c r="CH5" s="57">
        <v>4</v>
      </c>
      <c r="CI5" s="57">
        <v>4</v>
      </c>
      <c r="CJ5" s="57">
        <v>4</v>
      </c>
      <c r="CK5" s="57">
        <v>4</v>
      </c>
      <c r="CL5" s="57">
        <v>4</v>
      </c>
      <c r="CM5" s="57">
        <v>4</v>
      </c>
      <c r="CN5" s="57">
        <v>4</v>
      </c>
      <c r="CO5" s="57">
        <v>4</v>
      </c>
      <c r="CP5" s="57">
        <v>4</v>
      </c>
      <c r="CQ5" s="57">
        <v>4</v>
      </c>
      <c r="CR5" s="57">
        <v>4</v>
      </c>
      <c r="CS5" s="57">
        <v>4</v>
      </c>
      <c r="CT5" s="57">
        <v>4</v>
      </c>
      <c r="CU5" s="57">
        <v>4</v>
      </c>
      <c r="CV5" s="57">
        <v>4</v>
      </c>
      <c r="CW5" s="56">
        <v>1</v>
      </c>
      <c r="CX5" s="57">
        <v>4</v>
      </c>
      <c r="CY5" s="57">
        <v>4</v>
      </c>
      <c r="CZ5" s="56">
        <v>1</v>
      </c>
      <c r="DA5" s="57">
        <v>4</v>
      </c>
      <c r="DB5" s="57">
        <v>4</v>
      </c>
      <c r="DC5" s="57">
        <v>4</v>
      </c>
      <c r="DD5" s="57">
        <v>4</v>
      </c>
      <c r="DE5" s="57">
        <v>4</v>
      </c>
      <c r="DF5" s="57">
        <v>4</v>
      </c>
      <c r="DG5" s="57">
        <v>4</v>
      </c>
      <c r="DH5" s="57">
        <v>4</v>
      </c>
      <c r="DI5" s="57">
        <v>4</v>
      </c>
      <c r="DJ5" s="57">
        <v>4</v>
      </c>
      <c r="DK5" s="57">
        <v>4</v>
      </c>
      <c r="DL5" s="57">
        <v>4</v>
      </c>
      <c r="DM5" s="57">
        <v>4</v>
      </c>
      <c r="DN5" s="57">
        <v>4</v>
      </c>
      <c r="DO5" s="57">
        <v>4</v>
      </c>
      <c r="DP5" s="57">
        <v>4</v>
      </c>
      <c r="DQ5" s="57">
        <v>4</v>
      </c>
      <c r="DR5" s="57">
        <v>4</v>
      </c>
      <c r="DS5" s="57">
        <v>4</v>
      </c>
      <c r="DT5" s="57">
        <v>4</v>
      </c>
      <c r="DU5" s="1" t="s">
        <v>1316</v>
      </c>
    </row>
    <row r="6" spans="1:125" x14ac:dyDescent="0.2">
      <c r="A6" s="50" t="s">
        <v>1317</v>
      </c>
      <c r="B6" s="1" t="s">
        <v>1303</v>
      </c>
      <c r="C6" s="1" t="s">
        <v>1318</v>
      </c>
      <c r="D6" t="s">
        <v>1319</v>
      </c>
      <c r="E6" s="56">
        <v>1</v>
      </c>
      <c r="F6" s="57">
        <v>4</v>
      </c>
      <c r="G6" s="56">
        <v>1</v>
      </c>
      <c r="H6" s="56">
        <v>1</v>
      </c>
      <c r="I6" s="57">
        <v>4</v>
      </c>
      <c r="J6" s="56">
        <v>1</v>
      </c>
      <c r="K6" s="57">
        <v>4</v>
      </c>
      <c r="L6" s="56">
        <v>1</v>
      </c>
      <c r="M6" s="56">
        <v>1</v>
      </c>
      <c r="N6" s="57">
        <v>4</v>
      </c>
      <c r="O6" s="59">
        <v>3</v>
      </c>
      <c r="P6" s="57">
        <v>4</v>
      </c>
      <c r="Q6" s="57">
        <v>4</v>
      </c>
      <c r="R6" s="57">
        <v>4</v>
      </c>
      <c r="S6" s="56">
        <v>1</v>
      </c>
      <c r="T6" s="56">
        <v>1</v>
      </c>
      <c r="U6" s="57">
        <v>4</v>
      </c>
      <c r="V6" s="57">
        <v>4</v>
      </c>
      <c r="W6" s="57">
        <v>4</v>
      </c>
      <c r="X6" s="57">
        <v>4</v>
      </c>
      <c r="Y6" s="57">
        <v>4</v>
      </c>
      <c r="Z6" s="57">
        <v>4</v>
      </c>
      <c r="AA6" s="57">
        <v>4</v>
      </c>
      <c r="AB6" s="57">
        <v>4</v>
      </c>
      <c r="AC6" s="57">
        <v>4</v>
      </c>
      <c r="AD6" s="57">
        <v>4</v>
      </c>
      <c r="AE6" s="57">
        <v>4</v>
      </c>
      <c r="AF6" s="56">
        <v>1</v>
      </c>
      <c r="AG6" s="56">
        <v>1</v>
      </c>
      <c r="AH6" s="56">
        <v>1</v>
      </c>
      <c r="AI6" s="57">
        <v>4</v>
      </c>
      <c r="AJ6" s="56">
        <v>1</v>
      </c>
      <c r="AK6" s="59">
        <v>3</v>
      </c>
      <c r="AL6" s="57">
        <v>4</v>
      </c>
      <c r="AM6" s="57">
        <v>4</v>
      </c>
      <c r="AN6" s="57">
        <v>4</v>
      </c>
      <c r="AO6" s="57">
        <v>4</v>
      </c>
      <c r="AP6" s="57">
        <v>4</v>
      </c>
      <c r="AQ6" s="57">
        <v>4</v>
      </c>
      <c r="AR6" s="57">
        <v>4</v>
      </c>
      <c r="AS6" s="57">
        <v>4</v>
      </c>
      <c r="AT6" s="57">
        <v>4</v>
      </c>
      <c r="AU6" s="57">
        <v>4</v>
      </c>
      <c r="AV6" s="57">
        <v>4</v>
      </c>
      <c r="AW6" s="57">
        <v>4</v>
      </c>
      <c r="AX6" s="57">
        <v>4</v>
      </c>
      <c r="AY6" s="57">
        <v>4</v>
      </c>
      <c r="AZ6" s="57">
        <v>4</v>
      </c>
      <c r="BA6" s="57">
        <v>4</v>
      </c>
      <c r="BB6" s="57">
        <v>4</v>
      </c>
      <c r="BC6" s="56">
        <v>1</v>
      </c>
      <c r="BD6" s="56">
        <v>1</v>
      </c>
      <c r="BE6" s="57">
        <v>4</v>
      </c>
      <c r="BF6" s="56">
        <v>1</v>
      </c>
      <c r="BG6" s="56">
        <v>1</v>
      </c>
      <c r="BH6" s="57">
        <v>4</v>
      </c>
      <c r="BI6" s="57">
        <v>4</v>
      </c>
      <c r="BJ6" s="57">
        <v>4</v>
      </c>
      <c r="BK6" s="57">
        <v>4</v>
      </c>
      <c r="BL6" s="57">
        <v>4</v>
      </c>
      <c r="BM6" s="57">
        <v>4</v>
      </c>
      <c r="BN6" s="57">
        <v>4</v>
      </c>
      <c r="BO6" s="57">
        <v>4</v>
      </c>
      <c r="BP6" s="57">
        <v>4</v>
      </c>
      <c r="BQ6" s="57">
        <v>4</v>
      </c>
      <c r="BR6" s="57">
        <v>4</v>
      </c>
      <c r="BS6" s="57">
        <v>4</v>
      </c>
      <c r="BT6" s="57">
        <v>4</v>
      </c>
      <c r="BU6" s="57">
        <v>4</v>
      </c>
      <c r="BV6" s="57">
        <v>4</v>
      </c>
      <c r="BW6" s="56">
        <v>1</v>
      </c>
      <c r="BX6" s="56">
        <v>1</v>
      </c>
      <c r="BY6" s="57">
        <v>4</v>
      </c>
      <c r="BZ6" s="57">
        <v>4</v>
      </c>
      <c r="CA6" s="57">
        <v>4</v>
      </c>
      <c r="CB6" s="57">
        <v>4</v>
      </c>
      <c r="CC6" s="57">
        <v>4</v>
      </c>
      <c r="CD6" s="57">
        <v>4</v>
      </c>
      <c r="CE6" s="57">
        <v>4</v>
      </c>
      <c r="CF6" s="57">
        <v>4</v>
      </c>
      <c r="CG6" s="57">
        <v>4</v>
      </c>
      <c r="CH6" s="57">
        <v>4</v>
      </c>
      <c r="CI6" s="57">
        <v>4</v>
      </c>
      <c r="CJ6" s="57">
        <v>4</v>
      </c>
      <c r="CK6" s="57">
        <v>4</v>
      </c>
      <c r="CL6" s="57">
        <v>4</v>
      </c>
      <c r="CM6" s="57">
        <v>4</v>
      </c>
      <c r="CN6" s="57">
        <v>4</v>
      </c>
      <c r="CO6" s="57">
        <v>4</v>
      </c>
      <c r="CP6" s="57">
        <v>4</v>
      </c>
      <c r="CQ6" s="57">
        <v>4</v>
      </c>
      <c r="CR6" s="57">
        <v>4</v>
      </c>
      <c r="CS6" s="57">
        <v>4</v>
      </c>
      <c r="CT6" s="57">
        <v>4</v>
      </c>
      <c r="CU6" s="57">
        <v>4</v>
      </c>
      <c r="CV6" s="57">
        <v>4</v>
      </c>
      <c r="CW6" s="57">
        <v>4</v>
      </c>
      <c r="CX6" s="56">
        <v>1</v>
      </c>
      <c r="CY6" s="56">
        <v>1</v>
      </c>
      <c r="CZ6" s="57">
        <v>4</v>
      </c>
      <c r="DA6" s="57">
        <v>4</v>
      </c>
      <c r="DB6" s="57">
        <v>4</v>
      </c>
      <c r="DC6" s="57">
        <v>4</v>
      </c>
      <c r="DD6" s="57">
        <v>4</v>
      </c>
      <c r="DE6" s="57">
        <v>4</v>
      </c>
      <c r="DF6" s="57">
        <v>4</v>
      </c>
      <c r="DG6" s="57">
        <v>4</v>
      </c>
      <c r="DH6" s="57">
        <v>4</v>
      </c>
      <c r="DI6" s="57">
        <v>4</v>
      </c>
      <c r="DJ6" s="57">
        <v>4</v>
      </c>
      <c r="DK6" s="57">
        <v>4</v>
      </c>
      <c r="DL6" s="57">
        <v>4</v>
      </c>
      <c r="DM6" s="57">
        <v>4</v>
      </c>
      <c r="DN6" s="57">
        <v>4</v>
      </c>
      <c r="DO6" s="57">
        <v>4</v>
      </c>
      <c r="DP6" s="57">
        <v>4</v>
      </c>
      <c r="DQ6" s="57">
        <v>4</v>
      </c>
      <c r="DR6" s="57">
        <v>4</v>
      </c>
      <c r="DS6" s="57">
        <v>4</v>
      </c>
      <c r="DT6" s="57">
        <v>4</v>
      </c>
      <c r="DU6" s="1" t="s">
        <v>1320</v>
      </c>
    </row>
    <row r="7" spans="1:125" x14ac:dyDescent="0.2">
      <c r="A7" s="50" t="s">
        <v>1321</v>
      </c>
      <c r="B7" s="1" t="s">
        <v>1303</v>
      </c>
      <c r="C7" s="1" t="s">
        <v>1322</v>
      </c>
      <c r="D7" t="s">
        <v>1323</v>
      </c>
      <c r="E7" s="58">
        <v>2</v>
      </c>
      <c r="F7" s="57">
        <v>4</v>
      </c>
      <c r="G7" s="57">
        <v>4</v>
      </c>
      <c r="H7" s="57">
        <v>4</v>
      </c>
      <c r="I7" s="58">
        <v>2</v>
      </c>
      <c r="J7" s="58">
        <v>2</v>
      </c>
      <c r="K7" s="57">
        <v>4</v>
      </c>
      <c r="L7" s="57">
        <v>4</v>
      </c>
      <c r="M7" s="57">
        <v>4</v>
      </c>
      <c r="N7" s="58">
        <v>2</v>
      </c>
      <c r="O7" s="57">
        <v>4</v>
      </c>
      <c r="P7" s="57">
        <v>4</v>
      </c>
      <c r="Q7" s="57">
        <v>4</v>
      </c>
      <c r="R7" s="57">
        <v>4</v>
      </c>
      <c r="S7" s="57">
        <v>4</v>
      </c>
      <c r="T7" s="57">
        <v>4</v>
      </c>
      <c r="U7" s="58">
        <v>2</v>
      </c>
      <c r="V7" s="57">
        <v>4</v>
      </c>
      <c r="W7" s="57">
        <v>4</v>
      </c>
      <c r="X7" s="57">
        <v>4</v>
      </c>
      <c r="Y7" s="58">
        <v>2</v>
      </c>
      <c r="Z7" s="57">
        <v>4</v>
      </c>
      <c r="AA7" s="57">
        <v>4</v>
      </c>
      <c r="AB7" s="57">
        <v>4</v>
      </c>
      <c r="AC7" s="57">
        <v>4</v>
      </c>
      <c r="AD7" s="57">
        <v>4</v>
      </c>
      <c r="AE7" s="57">
        <v>4</v>
      </c>
      <c r="AF7" s="58">
        <v>2</v>
      </c>
      <c r="AG7" s="57">
        <v>4</v>
      </c>
      <c r="AH7" s="57">
        <v>4</v>
      </c>
      <c r="AI7" s="57">
        <v>4</v>
      </c>
      <c r="AJ7" s="58">
        <v>2</v>
      </c>
      <c r="AK7" s="57">
        <v>4</v>
      </c>
      <c r="AL7" s="57">
        <v>4</v>
      </c>
      <c r="AM7" s="57">
        <v>4</v>
      </c>
      <c r="AN7" s="58">
        <v>2</v>
      </c>
      <c r="AO7" s="57">
        <v>4</v>
      </c>
      <c r="AP7" s="57">
        <v>4</v>
      </c>
      <c r="AQ7" s="57">
        <v>4</v>
      </c>
      <c r="AR7" s="57">
        <v>4</v>
      </c>
      <c r="AS7" s="57">
        <v>4</v>
      </c>
      <c r="AT7" s="57">
        <v>4</v>
      </c>
      <c r="AU7" s="57">
        <v>4</v>
      </c>
      <c r="AV7" s="57">
        <v>4</v>
      </c>
      <c r="AW7" s="57">
        <v>4</v>
      </c>
      <c r="AX7" s="57">
        <v>4</v>
      </c>
      <c r="AY7" s="57">
        <v>4</v>
      </c>
      <c r="AZ7" s="57">
        <v>4</v>
      </c>
      <c r="BA7" s="57">
        <v>4</v>
      </c>
      <c r="BB7" s="57">
        <v>4</v>
      </c>
      <c r="BC7" s="57">
        <v>4</v>
      </c>
      <c r="BD7" s="57">
        <v>4</v>
      </c>
      <c r="BE7" s="58">
        <v>2</v>
      </c>
      <c r="BF7" s="57">
        <v>4</v>
      </c>
      <c r="BG7" s="57">
        <v>4</v>
      </c>
      <c r="BH7" s="57">
        <v>4</v>
      </c>
      <c r="BI7" s="57">
        <v>4</v>
      </c>
      <c r="BJ7" s="57">
        <v>4</v>
      </c>
      <c r="BK7" s="57">
        <v>4</v>
      </c>
      <c r="BL7" s="57">
        <v>4</v>
      </c>
      <c r="BM7" s="57">
        <v>4</v>
      </c>
      <c r="BN7" s="57">
        <v>4</v>
      </c>
      <c r="BO7" s="57">
        <v>4</v>
      </c>
      <c r="BP7" s="57">
        <v>4</v>
      </c>
      <c r="BQ7" s="57">
        <v>4</v>
      </c>
      <c r="BR7" s="57">
        <v>4</v>
      </c>
      <c r="BS7" s="57">
        <v>4</v>
      </c>
      <c r="BT7" s="57">
        <v>4</v>
      </c>
      <c r="BU7" s="57">
        <v>4</v>
      </c>
      <c r="BV7" s="57">
        <v>4</v>
      </c>
      <c r="BW7" s="57">
        <v>4</v>
      </c>
      <c r="BX7" s="57">
        <v>4</v>
      </c>
      <c r="BY7" s="58">
        <v>2</v>
      </c>
      <c r="BZ7" s="57">
        <v>4</v>
      </c>
      <c r="CA7" s="57">
        <v>4</v>
      </c>
      <c r="CB7" s="57">
        <v>4</v>
      </c>
      <c r="CC7" s="57">
        <v>4</v>
      </c>
      <c r="CD7" s="57">
        <v>4</v>
      </c>
      <c r="CE7" s="58">
        <v>2</v>
      </c>
      <c r="CF7" s="57">
        <v>4</v>
      </c>
      <c r="CG7" s="57">
        <v>4</v>
      </c>
      <c r="CH7" s="57">
        <v>4</v>
      </c>
      <c r="CI7" s="57">
        <v>4</v>
      </c>
      <c r="CJ7" s="57">
        <v>4</v>
      </c>
      <c r="CK7" s="57">
        <v>4</v>
      </c>
      <c r="CL7" s="57">
        <v>4</v>
      </c>
      <c r="CM7" s="57">
        <v>4</v>
      </c>
      <c r="CN7" s="57">
        <v>4</v>
      </c>
      <c r="CO7" s="57">
        <v>4</v>
      </c>
      <c r="CP7" s="57">
        <v>4</v>
      </c>
      <c r="CQ7" s="58">
        <v>2</v>
      </c>
      <c r="CR7" s="57">
        <v>4</v>
      </c>
      <c r="CS7" s="57">
        <v>4</v>
      </c>
      <c r="CT7" s="57">
        <v>4</v>
      </c>
      <c r="CU7" s="57">
        <v>4</v>
      </c>
      <c r="CV7" s="57">
        <v>4</v>
      </c>
      <c r="CW7" s="58">
        <v>2</v>
      </c>
      <c r="CX7" s="57">
        <v>4</v>
      </c>
      <c r="CY7" s="57">
        <v>4</v>
      </c>
      <c r="CZ7" s="58">
        <v>2</v>
      </c>
      <c r="DA7" s="57">
        <v>4</v>
      </c>
      <c r="DB7" s="57">
        <v>4</v>
      </c>
      <c r="DC7" s="57">
        <v>4</v>
      </c>
      <c r="DD7" s="57">
        <v>4</v>
      </c>
      <c r="DE7" s="57">
        <v>4</v>
      </c>
      <c r="DF7" s="57">
        <v>4</v>
      </c>
      <c r="DG7" s="57">
        <v>4</v>
      </c>
      <c r="DH7" s="57">
        <v>4</v>
      </c>
      <c r="DI7" s="57">
        <v>4</v>
      </c>
      <c r="DJ7" s="57">
        <v>4</v>
      </c>
      <c r="DK7" s="57">
        <v>4</v>
      </c>
      <c r="DL7" s="57">
        <v>4</v>
      </c>
      <c r="DM7" s="57">
        <v>4</v>
      </c>
      <c r="DN7" s="58">
        <v>2</v>
      </c>
      <c r="DO7" s="57">
        <v>4</v>
      </c>
      <c r="DP7" s="57">
        <v>4</v>
      </c>
      <c r="DQ7" s="58">
        <v>2</v>
      </c>
      <c r="DR7" s="57">
        <v>4</v>
      </c>
      <c r="DS7" s="57">
        <v>4</v>
      </c>
      <c r="DT7" s="57">
        <v>4</v>
      </c>
      <c r="DU7" s="1" t="s">
        <v>1324</v>
      </c>
    </row>
    <row r="8" spans="1:125" x14ac:dyDescent="0.2">
      <c r="A8" s="50" t="s">
        <v>1325</v>
      </c>
      <c r="B8" s="1" t="s">
        <v>1303</v>
      </c>
      <c r="C8" s="1" t="s">
        <v>1322</v>
      </c>
      <c r="D8" t="s">
        <v>1326</v>
      </c>
      <c r="E8" s="58">
        <v>2</v>
      </c>
      <c r="F8" s="57">
        <v>4</v>
      </c>
      <c r="G8" s="57">
        <v>4</v>
      </c>
      <c r="H8" s="57">
        <v>4</v>
      </c>
      <c r="I8" s="58">
        <v>2</v>
      </c>
      <c r="J8" s="58">
        <v>2</v>
      </c>
      <c r="K8" s="57">
        <v>4</v>
      </c>
      <c r="L8" s="57">
        <v>4</v>
      </c>
      <c r="M8" s="57">
        <v>4</v>
      </c>
      <c r="N8" s="58">
        <v>2</v>
      </c>
      <c r="O8" s="57">
        <v>4</v>
      </c>
      <c r="P8" s="57">
        <v>4</v>
      </c>
      <c r="Q8" s="57">
        <v>4</v>
      </c>
      <c r="R8" s="57">
        <v>4</v>
      </c>
      <c r="S8" s="57">
        <v>4</v>
      </c>
      <c r="T8" s="57">
        <v>4</v>
      </c>
      <c r="U8" s="58">
        <v>2</v>
      </c>
      <c r="V8" s="57">
        <v>4</v>
      </c>
      <c r="W8" s="57">
        <v>4</v>
      </c>
      <c r="X8" s="57">
        <v>4</v>
      </c>
      <c r="Y8" s="58">
        <v>2</v>
      </c>
      <c r="Z8" s="57">
        <v>4</v>
      </c>
      <c r="AA8" s="57">
        <v>4</v>
      </c>
      <c r="AB8" s="57">
        <v>4</v>
      </c>
      <c r="AC8" s="57">
        <v>4</v>
      </c>
      <c r="AD8" s="57">
        <v>4</v>
      </c>
      <c r="AE8" s="57">
        <v>4</v>
      </c>
      <c r="AF8" s="58">
        <v>2</v>
      </c>
      <c r="AG8" s="57">
        <v>4</v>
      </c>
      <c r="AH8" s="57">
        <v>4</v>
      </c>
      <c r="AI8" s="57">
        <v>4</v>
      </c>
      <c r="AJ8" s="58">
        <v>2</v>
      </c>
      <c r="AK8" s="57">
        <v>4</v>
      </c>
      <c r="AL8" s="57">
        <v>4</v>
      </c>
      <c r="AM8" s="57">
        <v>4</v>
      </c>
      <c r="AN8" s="58">
        <v>2</v>
      </c>
      <c r="AO8" s="57">
        <v>4</v>
      </c>
      <c r="AP8" s="57">
        <v>4</v>
      </c>
      <c r="AQ8" s="57">
        <v>4</v>
      </c>
      <c r="AR8" s="57">
        <v>4</v>
      </c>
      <c r="AS8" s="57">
        <v>4</v>
      </c>
      <c r="AT8" s="57">
        <v>4</v>
      </c>
      <c r="AU8" s="57">
        <v>4</v>
      </c>
      <c r="AV8" s="57">
        <v>4</v>
      </c>
      <c r="AW8" s="57">
        <v>4</v>
      </c>
      <c r="AX8" s="57">
        <v>4</v>
      </c>
      <c r="AY8" s="57">
        <v>4</v>
      </c>
      <c r="AZ8" s="57">
        <v>4</v>
      </c>
      <c r="BA8" s="57">
        <v>4</v>
      </c>
      <c r="BB8" s="57">
        <v>4</v>
      </c>
      <c r="BC8" s="57">
        <v>4</v>
      </c>
      <c r="BD8" s="57">
        <v>4</v>
      </c>
      <c r="BE8" s="58">
        <v>2</v>
      </c>
      <c r="BF8" s="57">
        <v>4</v>
      </c>
      <c r="BG8" s="57">
        <v>4</v>
      </c>
      <c r="BH8" s="57">
        <v>4</v>
      </c>
      <c r="BI8" s="57">
        <v>4</v>
      </c>
      <c r="BJ8" s="57">
        <v>4</v>
      </c>
      <c r="BK8" s="57">
        <v>4</v>
      </c>
      <c r="BL8" s="57">
        <v>4</v>
      </c>
      <c r="BM8" s="57">
        <v>4</v>
      </c>
      <c r="BN8" s="57">
        <v>4</v>
      </c>
      <c r="BO8" s="57">
        <v>4</v>
      </c>
      <c r="BP8" s="57">
        <v>4</v>
      </c>
      <c r="BQ8" s="57">
        <v>4</v>
      </c>
      <c r="BR8" s="57">
        <v>4</v>
      </c>
      <c r="BS8" s="57">
        <v>4</v>
      </c>
      <c r="BT8" s="57">
        <v>4</v>
      </c>
      <c r="BU8" s="57">
        <v>4</v>
      </c>
      <c r="BV8" s="57">
        <v>4</v>
      </c>
      <c r="BW8" s="57">
        <v>4</v>
      </c>
      <c r="BX8" s="57">
        <v>4</v>
      </c>
      <c r="BY8" s="58">
        <v>2</v>
      </c>
      <c r="BZ8" s="57">
        <v>4</v>
      </c>
      <c r="CA8" s="57">
        <v>4</v>
      </c>
      <c r="CB8" s="57">
        <v>4</v>
      </c>
      <c r="CC8" s="57">
        <v>4</v>
      </c>
      <c r="CD8" s="57">
        <v>4</v>
      </c>
      <c r="CE8" s="58">
        <v>2</v>
      </c>
      <c r="CF8" s="57">
        <v>4</v>
      </c>
      <c r="CG8" s="57">
        <v>4</v>
      </c>
      <c r="CH8" s="57">
        <v>4</v>
      </c>
      <c r="CI8" s="57">
        <v>4</v>
      </c>
      <c r="CJ8" s="57">
        <v>4</v>
      </c>
      <c r="CK8" s="57">
        <v>4</v>
      </c>
      <c r="CL8" s="57">
        <v>4</v>
      </c>
      <c r="CM8" s="57">
        <v>4</v>
      </c>
      <c r="CN8" s="57">
        <v>4</v>
      </c>
      <c r="CO8" s="57">
        <v>4</v>
      </c>
      <c r="CP8" s="57">
        <v>4</v>
      </c>
      <c r="CQ8" s="58">
        <v>2</v>
      </c>
      <c r="CR8" s="57">
        <v>4</v>
      </c>
      <c r="CS8" s="57">
        <v>4</v>
      </c>
      <c r="CT8" s="57">
        <v>4</v>
      </c>
      <c r="CU8" s="57">
        <v>4</v>
      </c>
      <c r="CV8" s="57">
        <v>4</v>
      </c>
      <c r="CW8" s="58">
        <v>2</v>
      </c>
      <c r="CX8" s="57">
        <v>4</v>
      </c>
      <c r="CY8" s="57">
        <v>4</v>
      </c>
      <c r="CZ8" s="58">
        <v>2</v>
      </c>
      <c r="DA8" s="57">
        <v>4</v>
      </c>
      <c r="DB8" s="57">
        <v>4</v>
      </c>
      <c r="DC8" s="57">
        <v>4</v>
      </c>
      <c r="DD8" s="57">
        <v>4</v>
      </c>
      <c r="DE8" s="57">
        <v>4</v>
      </c>
      <c r="DF8" s="57">
        <v>4</v>
      </c>
      <c r="DG8" s="57">
        <v>4</v>
      </c>
      <c r="DH8" s="57">
        <v>4</v>
      </c>
      <c r="DI8" s="57">
        <v>4</v>
      </c>
      <c r="DJ8" s="57">
        <v>4</v>
      </c>
      <c r="DK8" s="57">
        <v>4</v>
      </c>
      <c r="DL8" s="57">
        <v>4</v>
      </c>
      <c r="DM8" s="57">
        <v>4</v>
      </c>
      <c r="DN8" s="58">
        <v>2</v>
      </c>
      <c r="DO8" s="57">
        <v>4</v>
      </c>
      <c r="DP8" s="57">
        <v>4</v>
      </c>
      <c r="DQ8" s="58">
        <v>2</v>
      </c>
      <c r="DR8" s="57">
        <v>4</v>
      </c>
      <c r="DS8" s="57">
        <v>4</v>
      </c>
      <c r="DT8" s="57">
        <v>4</v>
      </c>
      <c r="DU8" s="1" t="s">
        <v>1324</v>
      </c>
    </row>
    <row r="9" spans="1:125" x14ac:dyDescent="0.2">
      <c r="A9" s="50" t="s">
        <v>1327</v>
      </c>
      <c r="B9" s="1" t="s">
        <v>1303</v>
      </c>
      <c r="C9" s="1" t="s">
        <v>1322</v>
      </c>
      <c r="D9" t="s">
        <v>1328</v>
      </c>
      <c r="E9" s="56">
        <v>1</v>
      </c>
      <c r="F9" s="57">
        <v>4</v>
      </c>
      <c r="G9" s="57">
        <v>4</v>
      </c>
      <c r="H9" s="57">
        <v>4</v>
      </c>
      <c r="I9" s="59">
        <v>3</v>
      </c>
      <c r="J9" s="58">
        <v>2</v>
      </c>
      <c r="K9" s="57">
        <v>4</v>
      </c>
      <c r="L9" s="57">
        <v>4</v>
      </c>
      <c r="M9" s="57">
        <v>4</v>
      </c>
      <c r="N9" s="58">
        <v>2</v>
      </c>
      <c r="O9" s="57">
        <v>4</v>
      </c>
      <c r="P9" s="57">
        <v>4</v>
      </c>
      <c r="Q9" s="57">
        <v>4</v>
      </c>
      <c r="R9" s="57">
        <v>4</v>
      </c>
      <c r="S9" s="57">
        <v>4</v>
      </c>
      <c r="T9" s="57">
        <v>4</v>
      </c>
      <c r="U9" s="58">
        <v>2</v>
      </c>
      <c r="V9" s="57">
        <v>4</v>
      </c>
      <c r="W9" s="57">
        <v>4</v>
      </c>
      <c r="X9" s="57">
        <v>4</v>
      </c>
      <c r="Y9" s="58">
        <v>2</v>
      </c>
      <c r="Z9" s="57">
        <v>4</v>
      </c>
      <c r="AA9" s="57">
        <v>4</v>
      </c>
      <c r="AB9" s="57">
        <v>4</v>
      </c>
      <c r="AC9" s="57">
        <v>4</v>
      </c>
      <c r="AD9" s="57">
        <v>4</v>
      </c>
      <c r="AE9" s="57">
        <v>4</v>
      </c>
      <c r="AF9" s="58">
        <v>2</v>
      </c>
      <c r="AG9" s="57">
        <v>4</v>
      </c>
      <c r="AH9" s="57">
        <v>4</v>
      </c>
      <c r="AI9" s="57">
        <v>4</v>
      </c>
      <c r="AJ9" s="58">
        <v>2</v>
      </c>
      <c r="AK9" s="57">
        <v>4</v>
      </c>
      <c r="AL9" s="57">
        <v>4</v>
      </c>
      <c r="AM9" s="57">
        <v>4</v>
      </c>
      <c r="AN9" s="58">
        <v>2</v>
      </c>
      <c r="AO9" s="57">
        <v>4</v>
      </c>
      <c r="AP9" s="57">
        <v>4</v>
      </c>
      <c r="AQ9" s="57">
        <v>4</v>
      </c>
      <c r="AR9" s="57">
        <v>4</v>
      </c>
      <c r="AS9" s="57">
        <v>4</v>
      </c>
      <c r="AT9" s="57">
        <v>4</v>
      </c>
      <c r="AU9" s="57">
        <v>4</v>
      </c>
      <c r="AV9" s="57">
        <v>4</v>
      </c>
      <c r="AW9" s="57">
        <v>4</v>
      </c>
      <c r="AX9" s="57">
        <v>4</v>
      </c>
      <c r="AY9" s="57">
        <v>4</v>
      </c>
      <c r="AZ9" s="57">
        <v>4</v>
      </c>
      <c r="BA9" s="57">
        <v>4</v>
      </c>
      <c r="BB9" s="57">
        <v>4</v>
      </c>
      <c r="BC9" s="57">
        <v>4</v>
      </c>
      <c r="BD9" s="57">
        <v>4</v>
      </c>
      <c r="BE9" s="58">
        <v>2</v>
      </c>
      <c r="BF9" s="57">
        <v>4</v>
      </c>
      <c r="BG9" s="57">
        <v>4</v>
      </c>
      <c r="BH9" s="57">
        <v>4</v>
      </c>
      <c r="BI9" s="57">
        <v>4</v>
      </c>
      <c r="BJ9" s="57">
        <v>4</v>
      </c>
      <c r="BK9" s="57">
        <v>4</v>
      </c>
      <c r="BL9" s="57">
        <v>4</v>
      </c>
      <c r="BM9" s="57">
        <v>4</v>
      </c>
      <c r="BN9" s="57">
        <v>4</v>
      </c>
      <c r="BO9" s="57">
        <v>4</v>
      </c>
      <c r="BP9" s="57">
        <v>4</v>
      </c>
      <c r="BQ9" s="57">
        <v>4</v>
      </c>
      <c r="BR9" s="57">
        <v>4</v>
      </c>
      <c r="BS9" s="57">
        <v>4</v>
      </c>
      <c r="BT9" s="57">
        <v>4</v>
      </c>
      <c r="BU9" s="57">
        <v>4</v>
      </c>
      <c r="BV9" s="57">
        <v>4</v>
      </c>
      <c r="BW9" s="57">
        <v>4</v>
      </c>
      <c r="BX9" s="57">
        <v>4</v>
      </c>
      <c r="BY9" s="58">
        <v>2</v>
      </c>
      <c r="BZ9" s="57">
        <v>4</v>
      </c>
      <c r="CA9" s="57">
        <v>4</v>
      </c>
      <c r="CB9" s="57">
        <v>4</v>
      </c>
      <c r="CC9" s="57">
        <v>4</v>
      </c>
      <c r="CD9" s="57">
        <v>4</v>
      </c>
      <c r="CE9" s="58">
        <v>2</v>
      </c>
      <c r="CF9" s="57">
        <v>4</v>
      </c>
      <c r="CG9" s="57">
        <v>4</v>
      </c>
      <c r="CH9" s="57">
        <v>4</v>
      </c>
      <c r="CI9" s="57">
        <v>4</v>
      </c>
      <c r="CJ9" s="57">
        <v>4</v>
      </c>
      <c r="CK9" s="57">
        <v>4</v>
      </c>
      <c r="CL9" s="57">
        <v>4</v>
      </c>
      <c r="CM9" s="57">
        <v>4</v>
      </c>
      <c r="CN9" s="57">
        <v>4</v>
      </c>
      <c r="CO9" s="57">
        <v>4</v>
      </c>
      <c r="CP9" s="57">
        <v>4</v>
      </c>
      <c r="CQ9" s="58">
        <v>2</v>
      </c>
      <c r="CR9" s="57">
        <v>4</v>
      </c>
      <c r="CS9" s="57">
        <v>4</v>
      </c>
      <c r="CT9" s="57">
        <v>4</v>
      </c>
      <c r="CU9" s="57">
        <v>4</v>
      </c>
      <c r="CV9" s="57">
        <v>4</v>
      </c>
      <c r="CW9" s="58">
        <v>2</v>
      </c>
      <c r="CX9" s="57">
        <v>4</v>
      </c>
      <c r="CY9" s="57">
        <v>4</v>
      </c>
      <c r="CZ9" s="58">
        <v>2</v>
      </c>
      <c r="DA9" s="57">
        <v>4</v>
      </c>
      <c r="DB9" s="57">
        <v>4</v>
      </c>
      <c r="DC9" s="57">
        <v>4</v>
      </c>
      <c r="DD9" s="57">
        <v>4</v>
      </c>
      <c r="DE9" s="57">
        <v>4</v>
      </c>
      <c r="DF9" s="57">
        <v>4</v>
      </c>
      <c r="DG9" s="57">
        <v>4</v>
      </c>
      <c r="DH9" s="57">
        <v>4</v>
      </c>
      <c r="DI9" s="57">
        <v>4</v>
      </c>
      <c r="DJ9" s="57">
        <v>4</v>
      </c>
      <c r="DK9" s="57">
        <v>4</v>
      </c>
      <c r="DL9" s="57">
        <v>4</v>
      </c>
      <c r="DM9" s="57">
        <v>4</v>
      </c>
      <c r="DN9" s="58">
        <v>2</v>
      </c>
      <c r="DO9" s="57">
        <v>4</v>
      </c>
      <c r="DP9" s="57">
        <v>4</v>
      </c>
      <c r="DQ9" s="58">
        <v>2</v>
      </c>
      <c r="DR9" s="57">
        <v>4</v>
      </c>
      <c r="DS9" s="57">
        <v>4</v>
      </c>
      <c r="DT9" s="57">
        <v>4</v>
      </c>
      <c r="DU9" s="1" t="s">
        <v>1324</v>
      </c>
    </row>
    <row r="10" spans="1:125" x14ac:dyDescent="0.2">
      <c r="A10" s="50" t="s">
        <v>1329</v>
      </c>
      <c r="B10" s="1" t="s">
        <v>1303</v>
      </c>
      <c r="C10" s="1" t="s">
        <v>1322</v>
      </c>
      <c r="D10" t="s">
        <v>1330</v>
      </c>
      <c r="E10" s="56">
        <v>1</v>
      </c>
      <c r="F10" s="57">
        <v>4</v>
      </c>
      <c r="G10" s="57">
        <v>4</v>
      </c>
      <c r="H10" s="57">
        <v>4</v>
      </c>
      <c r="I10" s="59">
        <v>3</v>
      </c>
      <c r="J10" s="56">
        <v>1</v>
      </c>
      <c r="K10" s="57">
        <v>4</v>
      </c>
      <c r="L10" s="57">
        <v>4</v>
      </c>
      <c r="M10" s="57">
        <v>4</v>
      </c>
      <c r="N10" s="56">
        <v>1</v>
      </c>
      <c r="O10" s="57">
        <v>4</v>
      </c>
      <c r="P10" s="57">
        <v>4</v>
      </c>
      <c r="Q10" s="57">
        <v>4</v>
      </c>
      <c r="R10" s="57">
        <v>4</v>
      </c>
      <c r="S10" s="57">
        <v>4</v>
      </c>
      <c r="T10" s="57">
        <v>4</v>
      </c>
      <c r="U10" s="58">
        <v>2</v>
      </c>
      <c r="V10" s="57">
        <v>4</v>
      </c>
      <c r="W10" s="57">
        <v>4</v>
      </c>
      <c r="X10" s="57">
        <v>4</v>
      </c>
      <c r="Y10" s="58">
        <v>2</v>
      </c>
      <c r="Z10" s="57">
        <v>4</v>
      </c>
      <c r="AA10" s="57">
        <v>4</v>
      </c>
      <c r="AB10" s="57">
        <v>4</v>
      </c>
      <c r="AC10" s="57">
        <v>4</v>
      </c>
      <c r="AD10" s="57">
        <v>4</v>
      </c>
      <c r="AE10" s="57">
        <v>4</v>
      </c>
      <c r="AF10" s="56">
        <v>1</v>
      </c>
      <c r="AG10" s="57">
        <v>4</v>
      </c>
      <c r="AH10" s="57">
        <v>4</v>
      </c>
      <c r="AI10" s="57">
        <v>4</v>
      </c>
      <c r="AJ10" s="58">
        <v>2</v>
      </c>
      <c r="AK10" s="57">
        <v>4</v>
      </c>
      <c r="AL10" s="57">
        <v>4</v>
      </c>
      <c r="AM10" s="57">
        <v>4</v>
      </c>
      <c r="AN10" s="58">
        <v>2</v>
      </c>
      <c r="AO10" s="57">
        <v>4</v>
      </c>
      <c r="AP10" s="57">
        <v>4</v>
      </c>
      <c r="AQ10" s="57">
        <v>4</v>
      </c>
      <c r="AR10" s="57">
        <v>4</v>
      </c>
      <c r="AS10" s="57">
        <v>4</v>
      </c>
      <c r="AT10" s="57">
        <v>4</v>
      </c>
      <c r="AU10" s="57">
        <v>4</v>
      </c>
      <c r="AV10" s="57">
        <v>4</v>
      </c>
      <c r="AW10" s="57">
        <v>4</v>
      </c>
      <c r="AX10" s="57">
        <v>4</v>
      </c>
      <c r="AY10" s="57">
        <v>4</v>
      </c>
      <c r="AZ10" s="57">
        <v>4</v>
      </c>
      <c r="BA10" s="57">
        <v>4</v>
      </c>
      <c r="BB10" s="57">
        <v>4</v>
      </c>
      <c r="BC10" s="57">
        <v>4</v>
      </c>
      <c r="BD10" s="57">
        <v>4</v>
      </c>
      <c r="BE10" s="58">
        <v>2</v>
      </c>
      <c r="BF10" s="57">
        <v>4</v>
      </c>
      <c r="BG10" s="57">
        <v>4</v>
      </c>
      <c r="BH10" s="57">
        <v>4</v>
      </c>
      <c r="BI10" s="57">
        <v>4</v>
      </c>
      <c r="BJ10" s="57">
        <v>4</v>
      </c>
      <c r="BK10" s="57">
        <v>4</v>
      </c>
      <c r="BL10" s="57">
        <v>4</v>
      </c>
      <c r="BM10" s="57">
        <v>4</v>
      </c>
      <c r="BN10" s="57">
        <v>4</v>
      </c>
      <c r="BO10" s="57">
        <v>4</v>
      </c>
      <c r="BP10" s="57">
        <v>4</v>
      </c>
      <c r="BQ10" s="57">
        <v>4</v>
      </c>
      <c r="BR10" s="57">
        <v>4</v>
      </c>
      <c r="BS10" s="57">
        <v>4</v>
      </c>
      <c r="BT10" s="57">
        <v>4</v>
      </c>
      <c r="BU10" s="57">
        <v>4</v>
      </c>
      <c r="BV10" s="57">
        <v>4</v>
      </c>
      <c r="BW10" s="57">
        <v>4</v>
      </c>
      <c r="BX10" s="57">
        <v>4</v>
      </c>
      <c r="BY10" s="58">
        <v>2</v>
      </c>
      <c r="BZ10" s="57">
        <v>4</v>
      </c>
      <c r="CA10" s="57">
        <v>4</v>
      </c>
      <c r="CB10" s="57">
        <v>4</v>
      </c>
      <c r="CC10" s="57">
        <v>4</v>
      </c>
      <c r="CD10" s="57">
        <v>4</v>
      </c>
      <c r="CE10" s="58">
        <v>2</v>
      </c>
      <c r="CF10" s="57">
        <v>4</v>
      </c>
      <c r="CG10" s="57">
        <v>4</v>
      </c>
      <c r="CH10" s="57">
        <v>4</v>
      </c>
      <c r="CI10" s="57">
        <v>4</v>
      </c>
      <c r="CJ10" s="57">
        <v>4</v>
      </c>
      <c r="CK10" s="57">
        <v>4</v>
      </c>
      <c r="CL10" s="57">
        <v>4</v>
      </c>
      <c r="CM10" s="57">
        <v>4</v>
      </c>
      <c r="CN10" s="57">
        <v>4</v>
      </c>
      <c r="CO10" s="57">
        <v>4</v>
      </c>
      <c r="CP10" s="57">
        <v>4</v>
      </c>
      <c r="CQ10" s="58">
        <v>2</v>
      </c>
      <c r="CR10" s="57">
        <v>4</v>
      </c>
      <c r="CS10" s="57">
        <v>4</v>
      </c>
      <c r="CT10" s="57">
        <v>4</v>
      </c>
      <c r="CU10" s="57">
        <v>4</v>
      </c>
      <c r="CV10" s="57">
        <v>4</v>
      </c>
      <c r="CW10" s="58">
        <v>2</v>
      </c>
      <c r="CX10" s="57">
        <v>4</v>
      </c>
      <c r="CY10" s="57">
        <v>4</v>
      </c>
      <c r="CZ10" s="58">
        <v>2</v>
      </c>
      <c r="DA10" s="57">
        <v>4</v>
      </c>
      <c r="DB10" s="57">
        <v>4</v>
      </c>
      <c r="DC10" s="57">
        <v>4</v>
      </c>
      <c r="DD10" s="57">
        <v>4</v>
      </c>
      <c r="DE10" s="57">
        <v>4</v>
      </c>
      <c r="DF10" s="57">
        <v>4</v>
      </c>
      <c r="DG10" s="57">
        <v>4</v>
      </c>
      <c r="DH10" s="57">
        <v>4</v>
      </c>
      <c r="DI10" s="57">
        <v>4</v>
      </c>
      <c r="DJ10" s="57">
        <v>4</v>
      </c>
      <c r="DK10" s="57">
        <v>4</v>
      </c>
      <c r="DL10" s="57">
        <v>4</v>
      </c>
      <c r="DM10" s="57">
        <v>4</v>
      </c>
      <c r="DN10" s="58">
        <v>2</v>
      </c>
      <c r="DO10" s="57">
        <v>4</v>
      </c>
      <c r="DP10" s="57">
        <v>4</v>
      </c>
      <c r="DQ10" s="58">
        <v>2</v>
      </c>
      <c r="DR10" s="57">
        <v>4</v>
      </c>
      <c r="DS10" s="57">
        <v>4</v>
      </c>
      <c r="DT10" s="57">
        <v>4</v>
      </c>
      <c r="DU10" s="1" t="s">
        <v>1324</v>
      </c>
    </row>
    <row r="11" spans="1:125" x14ac:dyDescent="0.2">
      <c r="A11" s="50" t="s">
        <v>1331</v>
      </c>
      <c r="B11" s="1" t="s">
        <v>1303</v>
      </c>
      <c r="C11" s="1" t="s">
        <v>1322</v>
      </c>
      <c r="D11" t="s">
        <v>1332</v>
      </c>
      <c r="E11" s="56">
        <v>1</v>
      </c>
      <c r="F11" s="57">
        <v>4</v>
      </c>
      <c r="G11" s="57">
        <v>4</v>
      </c>
      <c r="H11" s="57">
        <v>4</v>
      </c>
      <c r="I11" s="59">
        <v>3</v>
      </c>
      <c r="J11" s="56">
        <v>1</v>
      </c>
      <c r="K11" s="57">
        <v>4</v>
      </c>
      <c r="L11" s="57">
        <v>4</v>
      </c>
      <c r="M11" s="57">
        <v>4</v>
      </c>
      <c r="N11" s="56">
        <v>1</v>
      </c>
      <c r="O11" s="57">
        <v>4</v>
      </c>
      <c r="P11" s="57">
        <v>4</v>
      </c>
      <c r="Q11" s="57">
        <v>4</v>
      </c>
      <c r="R11" s="57">
        <v>4</v>
      </c>
      <c r="S11" s="57">
        <v>4</v>
      </c>
      <c r="T11" s="57">
        <v>4</v>
      </c>
      <c r="U11" s="58">
        <v>2</v>
      </c>
      <c r="V11" s="57">
        <v>4</v>
      </c>
      <c r="W11" s="57">
        <v>4</v>
      </c>
      <c r="X11" s="57">
        <v>4</v>
      </c>
      <c r="Y11" s="58">
        <v>2</v>
      </c>
      <c r="Z11" s="57">
        <v>4</v>
      </c>
      <c r="AA11" s="57">
        <v>4</v>
      </c>
      <c r="AB11" s="57">
        <v>4</v>
      </c>
      <c r="AC11" s="57">
        <v>4</v>
      </c>
      <c r="AD11" s="57">
        <v>4</v>
      </c>
      <c r="AE11" s="57">
        <v>4</v>
      </c>
      <c r="AF11" s="56">
        <v>1</v>
      </c>
      <c r="AG11" s="57">
        <v>4</v>
      </c>
      <c r="AH11" s="57">
        <v>4</v>
      </c>
      <c r="AI11" s="57">
        <v>4</v>
      </c>
      <c r="AJ11" s="58">
        <v>2</v>
      </c>
      <c r="AK11" s="57">
        <v>4</v>
      </c>
      <c r="AL11" s="57">
        <v>4</v>
      </c>
      <c r="AM11" s="57">
        <v>4</v>
      </c>
      <c r="AN11" s="58">
        <v>2</v>
      </c>
      <c r="AO11" s="57">
        <v>4</v>
      </c>
      <c r="AP11" s="57">
        <v>4</v>
      </c>
      <c r="AQ11" s="57">
        <v>4</v>
      </c>
      <c r="AR11" s="57">
        <v>4</v>
      </c>
      <c r="AS11" s="57">
        <v>4</v>
      </c>
      <c r="AT11" s="57">
        <v>4</v>
      </c>
      <c r="AU11" s="57">
        <v>4</v>
      </c>
      <c r="AV11" s="57">
        <v>4</v>
      </c>
      <c r="AW11" s="57">
        <v>4</v>
      </c>
      <c r="AX11" s="57">
        <v>4</v>
      </c>
      <c r="AY11" s="57">
        <v>4</v>
      </c>
      <c r="AZ11" s="57">
        <v>4</v>
      </c>
      <c r="BA11" s="57">
        <v>4</v>
      </c>
      <c r="BB11" s="57">
        <v>4</v>
      </c>
      <c r="BC11" s="57">
        <v>4</v>
      </c>
      <c r="BD11" s="57">
        <v>4</v>
      </c>
      <c r="BE11" s="58">
        <v>2</v>
      </c>
      <c r="BF11" s="57">
        <v>4</v>
      </c>
      <c r="BG11" s="57">
        <v>4</v>
      </c>
      <c r="BH11" s="57">
        <v>4</v>
      </c>
      <c r="BI11" s="57">
        <v>4</v>
      </c>
      <c r="BJ11" s="57">
        <v>4</v>
      </c>
      <c r="BK11" s="57">
        <v>4</v>
      </c>
      <c r="BL11" s="57">
        <v>4</v>
      </c>
      <c r="BM11" s="57">
        <v>4</v>
      </c>
      <c r="BN11" s="57">
        <v>4</v>
      </c>
      <c r="BO11" s="57">
        <v>4</v>
      </c>
      <c r="BP11" s="57">
        <v>4</v>
      </c>
      <c r="BQ11" s="57">
        <v>4</v>
      </c>
      <c r="BR11" s="57">
        <v>4</v>
      </c>
      <c r="BS11" s="57">
        <v>4</v>
      </c>
      <c r="BT11" s="57">
        <v>4</v>
      </c>
      <c r="BU11" s="57">
        <v>4</v>
      </c>
      <c r="BV11" s="57">
        <v>4</v>
      </c>
      <c r="BW11" s="57">
        <v>4</v>
      </c>
      <c r="BX11" s="57">
        <v>4</v>
      </c>
      <c r="BY11" s="58">
        <v>2</v>
      </c>
      <c r="BZ11" s="57">
        <v>4</v>
      </c>
      <c r="CA11" s="57">
        <v>4</v>
      </c>
      <c r="CB11" s="57">
        <v>4</v>
      </c>
      <c r="CC11" s="57">
        <v>4</v>
      </c>
      <c r="CD11" s="57">
        <v>4</v>
      </c>
      <c r="CE11" s="58">
        <v>2</v>
      </c>
      <c r="CF11" s="57">
        <v>4</v>
      </c>
      <c r="CG11" s="57">
        <v>4</v>
      </c>
      <c r="CH11" s="57">
        <v>4</v>
      </c>
      <c r="CI11" s="57">
        <v>4</v>
      </c>
      <c r="CJ11" s="57">
        <v>4</v>
      </c>
      <c r="CK11" s="57">
        <v>4</v>
      </c>
      <c r="CL11" s="57">
        <v>4</v>
      </c>
      <c r="CM11" s="57">
        <v>4</v>
      </c>
      <c r="CN11" s="57">
        <v>4</v>
      </c>
      <c r="CO11" s="57">
        <v>4</v>
      </c>
      <c r="CP11" s="57">
        <v>4</v>
      </c>
      <c r="CQ11" s="58">
        <v>2</v>
      </c>
      <c r="CR11" s="57">
        <v>4</v>
      </c>
      <c r="CS11" s="57">
        <v>4</v>
      </c>
      <c r="CT11" s="57">
        <v>4</v>
      </c>
      <c r="CU11" s="57">
        <v>4</v>
      </c>
      <c r="CV11" s="57">
        <v>4</v>
      </c>
      <c r="CW11" s="58">
        <v>2</v>
      </c>
      <c r="CX11" s="57">
        <v>4</v>
      </c>
      <c r="CY11" s="57">
        <v>4</v>
      </c>
      <c r="CZ11" s="58">
        <v>2</v>
      </c>
      <c r="DA11" s="57">
        <v>4</v>
      </c>
      <c r="DB11" s="57">
        <v>4</v>
      </c>
      <c r="DC11" s="57">
        <v>4</v>
      </c>
      <c r="DD11" s="57">
        <v>4</v>
      </c>
      <c r="DE11" s="57">
        <v>4</v>
      </c>
      <c r="DF11" s="57">
        <v>4</v>
      </c>
      <c r="DG11" s="57">
        <v>4</v>
      </c>
      <c r="DH11" s="57">
        <v>4</v>
      </c>
      <c r="DI11" s="57">
        <v>4</v>
      </c>
      <c r="DJ11" s="57">
        <v>4</v>
      </c>
      <c r="DK11" s="57">
        <v>4</v>
      </c>
      <c r="DL11" s="57">
        <v>4</v>
      </c>
      <c r="DM11" s="57">
        <v>4</v>
      </c>
      <c r="DN11" s="58">
        <v>2</v>
      </c>
      <c r="DO11" s="57">
        <v>4</v>
      </c>
      <c r="DP11" s="57">
        <v>4</v>
      </c>
      <c r="DQ11" s="58">
        <v>2</v>
      </c>
      <c r="DR11" s="57">
        <v>4</v>
      </c>
      <c r="DS11" s="57">
        <v>4</v>
      </c>
      <c r="DT11" s="57">
        <v>4</v>
      </c>
      <c r="DU11" s="1" t="s">
        <v>1324</v>
      </c>
    </row>
    <row r="12" spans="1:125" x14ac:dyDescent="0.2">
      <c r="A12" s="50" t="s">
        <v>1333</v>
      </c>
      <c r="B12" s="1" t="s">
        <v>1303</v>
      </c>
      <c r="C12" s="1" t="s">
        <v>1322</v>
      </c>
      <c r="D12" t="s">
        <v>1334</v>
      </c>
      <c r="E12" s="56">
        <v>1</v>
      </c>
      <c r="F12" s="57">
        <v>4</v>
      </c>
      <c r="G12" s="57">
        <v>4</v>
      </c>
      <c r="H12" s="57">
        <v>4</v>
      </c>
      <c r="I12" s="59">
        <v>3</v>
      </c>
      <c r="J12" s="56">
        <v>1</v>
      </c>
      <c r="K12" s="57">
        <v>4</v>
      </c>
      <c r="L12" s="57">
        <v>4</v>
      </c>
      <c r="M12" s="57">
        <v>4</v>
      </c>
      <c r="N12" s="56">
        <v>1</v>
      </c>
      <c r="O12" s="57">
        <v>4</v>
      </c>
      <c r="P12" s="57">
        <v>4</v>
      </c>
      <c r="Q12" s="57">
        <v>4</v>
      </c>
      <c r="R12" s="57">
        <v>4</v>
      </c>
      <c r="S12" s="57">
        <v>4</v>
      </c>
      <c r="T12" s="57">
        <v>4</v>
      </c>
      <c r="U12" s="56">
        <v>1</v>
      </c>
      <c r="V12" s="57">
        <v>4</v>
      </c>
      <c r="W12" s="57">
        <v>4</v>
      </c>
      <c r="X12" s="57">
        <v>4</v>
      </c>
      <c r="Y12" s="58">
        <v>2</v>
      </c>
      <c r="Z12" s="57">
        <v>4</v>
      </c>
      <c r="AA12" s="57">
        <v>4</v>
      </c>
      <c r="AB12" s="57">
        <v>4</v>
      </c>
      <c r="AC12" s="57">
        <v>4</v>
      </c>
      <c r="AD12" s="57">
        <v>4</v>
      </c>
      <c r="AE12" s="57">
        <v>4</v>
      </c>
      <c r="AF12" s="56">
        <v>1</v>
      </c>
      <c r="AG12" s="57">
        <v>4</v>
      </c>
      <c r="AH12" s="57">
        <v>4</v>
      </c>
      <c r="AI12" s="57">
        <v>4</v>
      </c>
      <c r="AJ12" s="58">
        <v>2</v>
      </c>
      <c r="AK12" s="57">
        <v>4</v>
      </c>
      <c r="AL12" s="57">
        <v>4</v>
      </c>
      <c r="AM12" s="57">
        <v>4</v>
      </c>
      <c r="AN12" s="58">
        <v>2</v>
      </c>
      <c r="AO12" s="57">
        <v>4</v>
      </c>
      <c r="AP12" s="57">
        <v>4</v>
      </c>
      <c r="AQ12" s="57">
        <v>4</v>
      </c>
      <c r="AR12" s="57">
        <v>4</v>
      </c>
      <c r="AS12" s="57">
        <v>4</v>
      </c>
      <c r="AT12" s="57">
        <v>4</v>
      </c>
      <c r="AU12" s="57">
        <v>4</v>
      </c>
      <c r="AV12" s="57">
        <v>4</v>
      </c>
      <c r="AW12" s="57">
        <v>4</v>
      </c>
      <c r="AX12" s="57">
        <v>4</v>
      </c>
      <c r="AY12" s="57">
        <v>4</v>
      </c>
      <c r="AZ12" s="57">
        <v>4</v>
      </c>
      <c r="BA12" s="57">
        <v>4</v>
      </c>
      <c r="BB12" s="57">
        <v>4</v>
      </c>
      <c r="BC12" s="57">
        <v>4</v>
      </c>
      <c r="BD12" s="57">
        <v>4</v>
      </c>
      <c r="BE12" s="58">
        <v>2</v>
      </c>
      <c r="BF12" s="57">
        <v>4</v>
      </c>
      <c r="BG12" s="57">
        <v>4</v>
      </c>
      <c r="BH12" s="57">
        <v>4</v>
      </c>
      <c r="BI12" s="57">
        <v>4</v>
      </c>
      <c r="BJ12" s="57">
        <v>4</v>
      </c>
      <c r="BK12" s="57">
        <v>4</v>
      </c>
      <c r="BL12" s="57">
        <v>4</v>
      </c>
      <c r="BM12" s="57">
        <v>4</v>
      </c>
      <c r="BN12" s="57">
        <v>4</v>
      </c>
      <c r="BO12" s="57">
        <v>4</v>
      </c>
      <c r="BP12" s="57">
        <v>4</v>
      </c>
      <c r="BQ12" s="57">
        <v>4</v>
      </c>
      <c r="BR12" s="57">
        <v>4</v>
      </c>
      <c r="BS12" s="57">
        <v>4</v>
      </c>
      <c r="BT12" s="57">
        <v>4</v>
      </c>
      <c r="BU12" s="57">
        <v>4</v>
      </c>
      <c r="BV12" s="57">
        <v>4</v>
      </c>
      <c r="BW12" s="57">
        <v>4</v>
      </c>
      <c r="BX12" s="57">
        <v>4</v>
      </c>
      <c r="BY12" s="58">
        <v>2</v>
      </c>
      <c r="BZ12" s="57">
        <v>4</v>
      </c>
      <c r="CA12" s="57">
        <v>4</v>
      </c>
      <c r="CB12" s="57">
        <v>4</v>
      </c>
      <c r="CC12" s="57">
        <v>4</v>
      </c>
      <c r="CD12" s="57">
        <v>4</v>
      </c>
      <c r="CE12" s="58">
        <v>2</v>
      </c>
      <c r="CF12" s="57">
        <v>4</v>
      </c>
      <c r="CG12" s="57">
        <v>4</v>
      </c>
      <c r="CH12" s="57">
        <v>4</v>
      </c>
      <c r="CI12" s="57">
        <v>4</v>
      </c>
      <c r="CJ12" s="57">
        <v>4</v>
      </c>
      <c r="CK12" s="57">
        <v>4</v>
      </c>
      <c r="CL12" s="57">
        <v>4</v>
      </c>
      <c r="CM12" s="57">
        <v>4</v>
      </c>
      <c r="CN12" s="57">
        <v>4</v>
      </c>
      <c r="CO12" s="57">
        <v>4</v>
      </c>
      <c r="CP12" s="57">
        <v>4</v>
      </c>
      <c r="CQ12" s="58">
        <v>2</v>
      </c>
      <c r="CR12" s="57">
        <v>4</v>
      </c>
      <c r="CS12" s="57">
        <v>4</v>
      </c>
      <c r="CT12" s="57">
        <v>4</v>
      </c>
      <c r="CU12" s="57">
        <v>4</v>
      </c>
      <c r="CV12" s="57">
        <v>4</v>
      </c>
      <c r="CW12" s="58">
        <v>2</v>
      </c>
      <c r="CX12" s="57">
        <v>4</v>
      </c>
      <c r="CY12" s="57">
        <v>4</v>
      </c>
      <c r="CZ12" s="58">
        <v>2</v>
      </c>
      <c r="DA12" s="57">
        <v>4</v>
      </c>
      <c r="DB12" s="57">
        <v>4</v>
      </c>
      <c r="DC12" s="57">
        <v>4</v>
      </c>
      <c r="DD12" s="57">
        <v>4</v>
      </c>
      <c r="DE12" s="57">
        <v>4</v>
      </c>
      <c r="DF12" s="57">
        <v>4</v>
      </c>
      <c r="DG12" s="57">
        <v>4</v>
      </c>
      <c r="DH12" s="57">
        <v>4</v>
      </c>
      <c r="DI12" s="57">
        <v>4</v>
      </c>
      <c r="DJ12" s="57">
        <v>4</v>
      </c>
      <c r="DK12" s="57">
        <v>4</v>
      </c>
      <c r="DL12" s="57">
        <v>4</v>
      </c>
      <c r="DM12" s="57">
        <v>4</v>
      </c>
      <c r="DN12" s="58">
        <v>2</v>
      </c>
      <c r="DO12" s="57">
        <v>4</v>
      </c>
      <c r="DP12" s="57">
        <v>4</v>
      </c>
      <c r="DQ12" s="58">
        <v>2</v>
      </c>
      <c r="DR12" s="57">
        <v>4</v>
      </c>
      <c r="DS12" s="57">
        <v>4</v>
      </c>
      <c r="DT12" s="57">
        <v>4</v>
      </c>
      <c r="DU12" s="1" t="s">
        <v>1324</v>
      </c>
    </row>
    <row r="13" spans="1:125" x14ac:dyDescent="0.2">
      <c r="A13" s="50" t="s">
        <v>1335</v>
      </c>
      <c r="B13" s="1" t="s">
        <v>1303</v>
      </c>
      <c r="C13" s="1" t="s">
        <v>1322</v>
      </c>
      <c r="D13" t="s">
        <v>1336</v>
      </c>
      <c r="E13" s="56">
        <v>1</v>
      </c>
      <c r="F13" s="57">
        <v>4</v>
      </c>
      <c r="G13" s="57">
        <v>4</v>
      </c>
      <c r="H13" s="57">
        <v>4</v>
      </c>
      <c r="I13" s="59">
        <v>3</v>
      </c>
      <c r="J13" s="56">
        <v>1</v>
      </c>
      <c r="K13" s="57">
        <v>4</v>
      </c>
      <c r="L13" s="57">
        <v>4</v>
      </c>
      <c r="M13" s="57">
        <v>4</v>
      </c>
      <c r="N13" s="56">
        <v>1</v>
      </c>
      <c r="O13" s="57">
        <v>4</v>
      </c>
      <c r="P13" s="57">
        <v>4</v>
      </c>
      <c r="Q13" s="57">
        <v>4</v>
      </c>
      <c r="R13" s="57">
        <v>4</v>
      </c>
      <c r="S13" s="57">
        <v>4</v>
      </c>
      <c r="T13" s="57">
        <v>4</v>
      </c>
      <c r="U13" s="56">
        <v>1</v>
      </c>
      <c r="V13" s="57">
        <v>4</v>
      </c>
      <c r="W13" s="57">
        <v>4</v>
      </c>
      <c r="X13" s="57">
        <v>4</v>
      </c>
      <c r="Y13" s="58">
        <v>2</v>
      </c>
      <c r="Z13" s="57">
        <v>4</v>
      </c>
      <c r="AA13" s="57">
        <v>4</v>
      </c>
      <c r="AB13" s="57">
        <v>4</v>
      </c>
      <c r="AC13" s="57">
        <v>4</v>
      </c>
      <c r="AD13" s="57">
        <v>4</v>
      </c>
      <c r="AE13" s="57">
        <v>4</v>
      </c>
      <c r="AF13" s="56">
        <v>1</v>
      </c>
      <c r="AG13" s="57">
        <v>4</v>
      </c>
      <c r="AH13" s="57">
        <v>4</v>
      </c>
      <c r="AI13" s="57">
        <v>4</v>
      </c>
      <c r="AJ13" s="58">
        <v>2</v>
      </c>
      <c r="AK13" s="57">
        <v>4</v>
      </c>
      <c r="AL13" s="57">
        <v>4</v>
      </c>
      <c r="AM13" s="57">
        <v>4</v>
      </c>
      <c r="AN13" s="58">
        <v>2</v>
      </c>
      <c r="AO13" s="57">
        <v>4</v>
      </c>
      <c r="AP13" s="57">
        <v>4</v>
      </c>
      <c r="AQ13" s="57">
        <v>4</v>
      </c>
      <c r="AR13" s="57">
        <v>4</v>
      </c>
      <c r="AS13" s="57">
        <v>4</v>
      </c>
      <c r="AT13" s="57">
        <v>4</v>
      </c>
      <c r="AU13" s="57">
        <v>4</v>
      </c>
      <c r="AV13" s="57">
        <v>4</v>
      </c>
      <c r="AW13" s="57">
        <v>4</v>
      </c>
      <c r="AX13" s="57">
        <v>4</v>
      </c>
      <c r="AY13" s="57">
        <v>4</v>
      </c>
      <c r="AZ13" s="57">
        <v>4</v>
      </c>
      <c r="BA13" s="57">
        <v>4</v>
      </c>
      <c r="BB13" s="57">
        <v>4</v>
      </c>
      <c r="BC13" s="57">
        <v>4</v>
      </c>
      <c r="BD13" s="57">
        <v>4</v>
      </c>
      <c r="BE13" s="58">
        <v>2</v>
      </c>
      <c r="BF13" s="57">
        <v>4</v>
      </c>
      <c r="BG13" s="57">
        <v>4</v>
      </c>
      <c r="BH13" s="57">
        <v>4</v>
      </c>
      <c r="BI13" s="57">
        <v>4</v>
      </c>
      <c r="BJ13" s="57">
        <v>4</v>
      </c>
      <c r="BK13" s="57">
        <v>4</v>
      </c>
      <c r="BL13" s="57">
        <v>4</v>
      </c>
      <c r="BM13" s="57">
        <v>4</v>
      </c>
      <c r="BN13" s="57">
        <v>4</v>
      </c>
      <c r="BO13" s="57">
        <v>4</v>
      </c>
      <c r="BP13" s="57">
        <v>4</v>
      </c>
      <c r="BQ13" s="57">
        <v>4</v>
      </c>
      <c r="BR13" s="57">
        <v>4</v>
      </c>
      <c r="BS13" s="57">
        <v>4</v>
      </c>
      <c r="BT13" s="57">
        <v>4</v>
      </c>
      <c r="BU13" s="57">
        <v>4</v>
      </c>
      <c r="BV13" s="57">
        <v>4</v>
      </c>
      <c r="BW13" s="57">
        <v>4</v>
      </c>
      <c r="BX13" s="57">
        <v>4</v>
      </c>
      <c r="BY13" s="58">
        <v>2</v>
      </c>
      <c r="BZ13" s="57">
        <v>4</v>
      </c>
      <c r="CA13" s="57">
        <v>4</v>
      </c>
      <c r="CB13" s="57">
        <v>4</v>
      </c>
      <c r="CC13" s="57">
        <v>4</v>
      </c>
      <c r="CD13" s="57">
        <v>4</v>
      </c>
      <c r="CE13" s="58">
        <v>2</v>
      </c>
      <c r="CF13" s="57">
        <v>4</v>
      </c>
      <c r="CG13" s="57">
        <v>4</v>
      </c>
      <c r="CH13" s="57">
        <v>4</v>
      </c>
      <c r="CI13" s="57">
        <v>4</v>
      </c>
      <c r="CJ13" s="57">
        <v>4</v>
      </c>
      <c r="CK13" s="57">
        <v>4</v>
      </c>
      <c r="CL13" s="57">
        <v>4</v>
      </c>
      <c r="CM13" s="57">
        <v>4</v>
      </c>
      <c r="CN13" s="57">
        <v>4</v>
      </c>
      <c r="CO13" s="57">
        <v>4</v>
      </c>
      <c r="CP13" s="57">
        <v>4</v>
      </c>
      <c r="CQ13" s="58">
        <v>2</v>
      </c>
      <c r="CR13" s="57">
        <v>4</v>
      </c>
      <c r="CS13" s="57">
        <v>4</v>
      </c>
      <c r="CT13" s="57">
        <v>4</v>
      </c>
      <c r="CU13" s="57">
        <v>4</v>
      </c>
      <c r="CV13" s="57">
        <v>4</v>
      </c>
      <c r="CW13" s="58">
        <v>2</v>
      </c>
      <c r="CX13" s="57">
        <v>4</v>
      </c>
      <c r="CY13" s="57">
        <v>4</v>
      </c>
      <c r="CZ13" s="58">
        <v>2</v>
      </c>
      <c r="DA13" s="57">
        <v>4</v>
      </c>
      <c r="DB13" s="57">
        <v>4</v>
      </c>
      <c r="DC13" s="57">
        <v>4</v>
      </c>
      <c r="DD13" s="57">
        <v>4</v>
      </c>
      <c r="DE13" s="57">
        <v>4</v>
      </c>
      <c r="DF13" s="57">
        <v>4</v>
      </c>
      <c r="DG13" s="57">
        <v>4</v>
      </c>
      <c r="DH13" s="57">
        <v>4</v>
      </c>
      <c r="DI13" s="57">
        <v>4</v>
      </c>
      <c r="DJ13" s="57">
        <v>4</v>
      </c>
      <c r="DK13" s="57">
        <v>4</v>
      </c>
      <c r="DL13" s="57">
        <v>4</v>
      </c>
      <c r="DM13" s="57">
        <v>4</v>
      </c>
      <c r="DN13" s="58">
        <v>2</v>
      </c>
      <c r="DO13" s="57">
        <v>4</v>
      </c>
      <c r="DP13" s="57">
        <v>4</v>
      </c>
      <c r="DQ13" s="58">
        <v>2</v>
      </c>
      <c r="DR13" s="57">
        <v>4</v>
      </c>
      <c r="DS13" s="57">
        <v>4</v>
      </c>
      <c r="DT13" s="57">
        <v>4</v>
      </c>
      <c r="DU13" s="1" t="s">
        <v>1324</v>
      </c>
    </row>
    <row r="14" spans="1:125" x14ac:dyDescent="0.2">
      <c r="A14" s="50" t="s">
        <v>1337</v>
      </c>
      <c r="B14" s="1" t="s">
        <v>1303</v>
      </c>
      <c r="C14" s="1" t="s">
        <v>1322</v>
      </c>
      <c r="D14" t="s">
        <v>1338</v>
      </c>
      <c r="E14" s="56">
        <v>1</v>
      </c>
      <c r="F14" s="57">
        <v>4</v>
      </c>
      <c r="G14" s="57">
        <v>4</v>
      </c>
      <c r="H14" s="57">
        <v>4</v>
      </c>
      <c r="I14" s="59">
        <v>3</v>
      </c>
      <c r="J14" s="56">
        <v>1</v>
      </c>
      <c r="K14" s="57">
        <v>4</v>
      </c>
      <c r="L14" s="57">
        <v>4</v>
      </c>
      <c r="M14" s="57">
        <v>4</v>
      </c>
      <c r="N14" s="56">
        <v>1</v>
      </c>
      <c r="O14" s="57">
        <v>4</v>
      </c>
      <c r="P14" s="57">
        <v>4</v>
      </c>
      <c r="Q14" s="57">
        <v>4</v>
      </c>
      <c r="R14" s="57">
        <v>4</v>
      </c>
      <c r="S14" s="57">
        <v>4</v>
      </c>
      <c r="T14" s="57">
        <v>4</v>
      </c>
      <c r="U14" s="56">
        <v>1</v>
      </c>
      <c r="V14" s="57">
        <v>4</v>
      </c>
      <c r="W14" s="57">
        <v>4</v>
      </c>
      <c r="X14" s="57">
        <v>4</v>
      </c>
      <c r="Y14" s="58">
        <v>2</v>
      </c>
      <c r="Z14" s="57">
        <v>4</v>
      </c>
      <c r="AA14" s="57">
        <v>4</v>
      </c>
      <c r="AB14" s="57">
        <v>4</v>
      </c>
      <c r="AC14" s="57">
        <v>4</v>
      </c>
      <c r="AD14" s="57">
        <v>4</v>
      </c>
      <c r="AE14" s="57">
        <v>4</v>
      </c>
      <c r="AF14" s="56">
        <v>1</v>
      </c>
      <c r="AG14" s="57">
        <v>4</v>
      </c>
      <c r="AH14" s="57">
        <v>4</v>
      </c>
      <c r="AI14" s="57">
        <v>4</v>
      </c>
      <c r="AJ14" s="58">
        <v>2</v>
      </c>
      <c r="AK14" s="57">
        <v>4</v>
      </c>
      <c r="AL14" s="57">
        <v>4</v>
      </c>
      <c r="AM14" s="57">
        <v>4</v>
      </c>
      <c r="AN14" s="58">
        <v>2</v>
      </c>
      <c r="AO14" s="57">
        <v>4</v>
      </c>
      <c r="AP14" s="57">
        <v>4</v>
      </c>
      <c r="AQ14" s="57">
        <v>4</v>
      </c>
      <c r="AR14" s="57">
        <v>4</v>
      </c>
      <c r="AS14" s="57">
        <v>4</v>
      </c>
      <c r="AT14" s="57">
        <v>4</v>
      </c>
      <c r="AU14" s="57">
        <v>4</v>
      </c>
      <c r="AV14" s="57">
        <v>4</v>
      </c>
      <c r="AW14" s="57">
        <v>4</v>
      </c>
      <c r="AX14" s="57">
        <v>4</v>
      </c>
      <c r="AY14" s="57">
        <v>4</v>
      </c>
      <c r="AZ14" s="57">
        <v>4</v>
      </c>
      <c r="BA14" s="57">
        <v>4</v>
      </c>
      <c r="BB14" s="57">
        <v>4</v>
      </c>
      <c r="BC14" s="57">
        <v>4</v>
      </c>
      <c r="BD14" s="57">
        <v>4</v>
      </c>
      <c r="BE14" s="58">
        <v>2</v>
      </c>
      <c r="BF14" s="57">
        <v>4</v>
      </c>
      <c r="BG14" s="57">
        <v>4</v>
      </c>
      <c r="BH14" s="57">
        <v>4</v>
      </c>
      <c r="BI14" s="57">
        <v>4</v>
      </c>
      <c r="BJ14" s="57">
        <v>4</v>
      </c>
      <c r="BK14" s="57">
        <v>4</v>
      </c>
      <c r="BL14" s="57">
        <v>4</v>
      </c>
      <c r="BM14" s="57">
        <v>4</v>
      </c>
      <c r="BN14" s="57">
        <v>4</v>
      </c>
      <c r="BO14" s="57">
        <v>4</v>
      </c>
      <c r="BP14" s="57">
        <v>4</v>
      </c>
      <c r="BQ14" s="57">
        <v>4</v>
      </c>
      <c r="BR14" s="57">
        <v>4</v>
      </c>
      <c r="BS14" s="57">
        <v>4</v>
      </c>
      <c r="BT14" s="57">
        <v>4</v>
      </c>
      <c r="BU14" s="57">
        <v>4</v>
      </c>
      <c r="BV14" s="57">
        <v>4</v>
      </c>
      <c r="BW14" s="57">
        <v>4</v>
      </c>
      <c r="BX14" s="57">
        <v>4</v>
      </c>
      <c r="BY14" s="58">
        <v>2</v>
      </c>
      <c r="BZ14" s="57">
        <v>4</v>
      </c>
      <c r="CA14" s="57">
        <v>4</v>
      </c>
      <c r="CB14" s="57">
        <v>4</v>
      </c>
      <c r="CC14" s="57">
        <v>4</v>
      </c>
      <c r="CD14" s="57">
        <v>4</v>
      </c>
      <c r="CE14" s="58">
        <v>2</v>
      </c>
      <c r="CF14" s="57">
        <v>4</v>
      </c>
      <c r="CG14" s="57">
        <v>4</v>
      </c>
      <c r="CH14" s="57">
        <v>4</v>
      </c>
      <c r="CI14" s="57">
        <v>4</v>
      </c>
      <c r="CJ14" s="57">
        <v>4</v>
      </c>
      <c r="CK14" s="57">
        <v>4</v>
      </c>
      <c r="CL14" s="57">
        <v>4</v>
      </c>
      <c r="CM14" s="57">
        <v>4</v>
      </c>
      <c r="CN14" s="57">
        <v>4</v>
      </c>
      <c r="CO14" s="57">
        <v>4</v>
      </c>
      <c r="CP14" s="57">
        <v>4</v>
      </c>
      <c r="CQ14" s="58">
        <v>2</v>
      </c>
      <c r="CR14" s="57">
        <v>4</v>
      </c>
      <c r="CS14" s="57">
        <v>4</v>
      </c>
      <c r="CT14" s="57">
        <v>4</v>
      </c>
      <c r="CU14" s="57">
        <v>4</v>
      </c>
      <c r="CV14" s="57">
        <v>4</v>
      </c>
      <c r="CW14" s="58">
        <v>2</v>
      </c>
      <c r="CX14" s="57">
        <v>4</v>
      </c>
      <c r="CY14" s="57">
        <v>4</v>
      </c>
      <c r="CZ14" s="58">
        <v>2</v>
      </c>
      <c r="DA14" s="57">
        <v>4</v>
      </c>
      <c r="DB14" s="57">
        <v>4</v>
      </c>
      <c r="DC14" s="57">
        <v>4</v>
      </c>
      <c r="DD14" s="57">
        <v>4</v>
      </c>
      <c r="DE14" s="57">
        <v>4</v>
      </c>
      <c r="DF14" s="57">
        <v>4</v>
      </c>
      <c r="DG14" s="57">
        <v>4</v>
      </c>
      <c r="DH14" s="57">
        <v>4</v>
      </c>
      <c r="DI14" s="57">
        <v>4</v>
      </c>
      <c r="DJ14" s="57">
        <v>4</v>
      </c>
      <c r="DK14" s="57">
        <v>4</v>
      </c>
      <c r="DL14" s="57">
        <v>4</v>
      </c>
      <c r="DM14" s="57">
        <v>4</v>
      </c>
      <c r="DN14" s="58">
        <v>2</v>
      </c>
      <c r="DO14" s="57">
        <v>4</v>
      </c>
      <c r="DP14" s="57">
        <v>4</v>
      </c>
      <c r="DQ14" s="58">
        <v>2</v>
      </c>
      <c r="DR14" s="57">
        <v>4</v>
      </c>
      <c r="DS14" s="57">
        <v>4</v>
      </c>
      <c r="DT14" s="57">
        <v>4</v>
      </c>
      <c r="DU14" s="1" t="s">
        <v>1324</v>
      </c>
    </row>
    <row r="15" spans="1:125" x14ac:dyDescent="0.2">
      <c r="A15" s="50" t="s">
        <v>1339</v>
      </c>
      <c r="B15" s="1" t="s">
        <v>1303</v>
      </c>
      <c r="C15" s="1" t="s">
        <v>1322</v>
      </c>
      <c r="D15" t="s">
        <v>1340</v>
      </c>
      <c r="E15" s="56">
        <v>1</v>
      </c>
      <c r="F15" s="57">
        <v>4</v>
      </c>
      <c r="G15" s="57">
        <v>4</v>
      </c>
      <c r="H15" s="57">
        <v>4</v>
      </c>
      <c r="I15" s="59">
        <v>3</v>
      </c>
      <c r="J15" s="56">
        <v>1</v>
      </c>
      <c r="K15" s="57">
        <v>4</v>
      </c>
      <c r="L15" s="57">
        <v>4</v>
      </c>
      <c r="M15" s="57">
        <v>4</v>
      </c>
      <c r="N15" s="56">
        <v>1</v>
      </c>
      <c r="O15" s="57">
        <v>4</v>
      </c>
      <c r="P15" s="57">
        <v>4</v>
      </c>
      <c r="Q15" s="57">
        <v>4</v>
      </c>
      <c r="R15" s="57">
        <v>4</v>
      </c>
      <c r="S15" s="57">
        <v>4</v>
      </c>
      <c r="T15" s="57">
        <v>4</v>
      </c>
      <c r="U15" s="56">
        <v>1</v>
      </c>
      <c r="V15" s="57">
        <v>4</v>
      </c>
      <c r="W15" s="57">
        <v>4</v>
      </c>
      <c r="X15" s="57">
        <v>4</v>
      </c>
      <c r="Y15" s="58">
        <v>2</v>
      </c>
      <c r="Z15" s="57">
        <v>4</v>
      </c>
      <c r="AA15" s="57">
        <v>4</v>
      </c>
      <c r="AB15" s="57">
        <v>4</v>
      </c>
      <c r="AC15" s="57">
        <v>4</v>
      </c>
      <c r="AD15" s="57">
        <v>4</v>
      </c>
      <c r="AE15" s="57">
        <v>4</v>
      </c>
      <c r="AF15" s="56">
        <v>1</v>
      </c>
      <c r="AG15" s="57">
        <v>4</v>
      </c>
      <c r="AH15" s="57">
        <v>4</v>
      </c>
      <c r="AI15" s="57">
        <v>4</v>
      </c>
      <c r="AJ15" s="56">
        <v>1</v>
      </c>
      <c r="AK15" s="57">
        <v>4</v>
      </c>
      <c r="AL15" s="57">
        <v>4</v>
      </c>
      <c r="AM15" s="57">
        <v>4</v>
      </c>
      <c r="AN15" s="58">
        <v>2</v>
      </c>
      <c r="AO15" s="57">
        <v>4</v>
      </c>
      <c r="AP15" s="57">
        <v>4</v>
      </c>
      <c r="AQ15" s="57">
        <v>4</v>
      </c>
      <c r="AR15" s="57">
        <v>4</v>
      </c>
      <c r="AS15" s="57">
        <v>4</v>
      </c>
      <c r="AT15" s="57">
        <v>4</v>
      </c>
      <c r="AU15" s="57">
        <v>4</v>
      </c>
      <c r="AV15" s="57">
        <v>4</v>
      </c>
      <c r="AW15" s="57">
        <v>4</v>
      </c>
      <c r="AX15" s="57">
        <v>4</v>
      </c>
      <c r="AY15" s="57">
        <v>4</v>
      </c>
      <c r="AZ15" s="57">
        <v>4</v>
      </c>
      <c r="BA15" s="57">
        <v>4</v>
      </c>
      <c r="BB15" s="57">
        <v>4</v>
      </c>
      <c r="BC15" s="57">
        <v>4</v>
      </c>
      <c r="BD15" s="57">
        <v>4</v>
      </c>
      <c r="BE15" s="58">
        <v>2</v>
      </c>
      <c r="BF15" s="57">
        <v>4</v>
      </c>
      <c r="BG15" s="57">
        <v>4</v>
      </c>
      <c r="BH15" s="57">
        <v>4</v>
      </c>
      <c r="BI15" s="57">
        <v>4</v>
      </c>
      <c r="BJ15" s="57">
        <v>4</v>
      </c>
      <c r="BK15" s="57">
        <v>4</v>
      </c>
      <c r="BL15" s="57">
        <v>4</v>
      </c>
      <c r="BM15" s="57">
        <v>4</v>
      </c>
      <c r="BN15" s="57">
        <v>4</v>
      </c>
      <c r="BO15" s="57">
        <v>4</v>
      </c>
      <c r="BP15" s="57">
        <v>4</v>
      </c>
      <c r="BQ15" s="57">
        <v>4</v>
      </c>
      <c r="BR15" s="57">
        <v>4</v>
      </c>
      <c r="BS15" s="57">
        <v>4</v>
      </c>
      <c r="BT15" s="57">
        <v>4</v>
      </c>
      <c r="BU15" s="57">
        <v>4</v>
      </c>
      <c r="BV15" s="57">
        <v>4</v>
      </c>
      <c r="BW15" s="57">
        <v>4</v>
      </c>
      <c r="BX15" s="57">
        <v>4</v>
      </c>
      <c r="BY15" s="58">
        <v>2</v>
      </c>
      <c r="BZ15" s="57">
        <v>4</v>
      </c>
      <c r="CA15" s="57">
        <v>4</v>
      </c>
      <c r="CB15" s="57">
        <v>4</v>
      </c>
      <c r="CC15" s="57">
        <v>4</v>
      </c>
      <c r="CD15" s="57">
        <v>4</v>
      </c>
      <c r="CE15" s="58">
        <v>2</v>
      </c>
      <c r="CF15" s="57">
        <v>4</v>
      </c>
      <c r="CG15" s="57">
        <v>4</v>
      </c>
      <c r="CH15" s="57">
        <v>4</v>
      </c>
      <c r="CI15" s="57">
        <v>4</v>
      </c>
      <c r="CJ15" s="57">
        <v>4</v>
      </c>
      <c r="CK15" s="57">
        <v>4</v>
      </c>
      <c r="CL15" s="57">
        <v>4</v>
      </c>
      <c r="CM15" s="57">
        <v>4</v>
      </c>
      <c r="CN15" s="57">
        <v>4</v>
      </c>
      <c r="CO15" s="57">
        <v>4</v>
      </c>
      <c r="CP15" s="57">
        <v>4</v>
      </c>
      <c r="CQ15" s="58">
        <v>2</v>
      </c>
      <c r="CR15" s="57">
        <v>4</v>
      </c>
      <c r="CS15" s="57">
        <v>4</v>
      </c>
      <c r="CT15" s="57">
        <v>4</v>
      </c>
      <c r="CU15" s="57">
        <v>4</v>
      </c>
      <c r="CV15" s="57">
        <v>4</v>
      </c>
      <c r="CW15" s="58">
        <v>2</v>
      </c>
      <c r="CX15" s="57">
        <v>4</v>
      </c>
      <c r="CY15" s="57">
        <v>4</v>
      </c>
      <c r="CZ15" s="58">
        <v>2</v>
      </c>
      <c r="DA15" s="57">
        <v>4</v>
      </c>
      <c r="DB15" s="57">
        <v>4</v>
      </c>
      <c r="DC15" s="57">
        <v>4</v>
      </c>
      <c r="DD15" s="57">
        <v>4</v>
      </c>
      <c r="DE15" s="57">
        <v>4</v>
      </c>
      <c r="DF15" s="57">
        <v>4</v>
      </c>
      <c r="DG15" s="57">
        <v>4</v>
      </c>
      <c r="DH15" s="57">
        <v>4</v>
      </c>
      <c r="DI15" s="57">
        <v>4</v>
      </c>
      <c r="DJ15" s="57">
        <v>4</v>
      </c>
      <c r="DK15" s="57">
        <v>4</v>
      </c>
      <c r="DL15" s="57">
        <v>4</v>
      </c>
      <c r="DM15" s="57">
        <v>4</v>
      </c>
      <c r="DN15" s="58">
        <v>2</v>
      </c>
      <c r="DO15" s="57">
        <v>4</v>
      </c>
      <c r="DP15" s="57">
        <v>4</v>
      </c>
      <c r="DQ15" s="58">
        <v>2</v>
      </c>
      <c r="DR15" s="57">
        <v>4</v>
      </c>
      <c r="DS15" s="57">
        <v>4</v>
      </c>
      <c r="DT15" s="57">
        <v>4</v>
      </c>
      <c r="DU15" s="1" t="s">
        <v>1324</v>
      </c>
    </row>
    <row r="16" spans="1:125" x14ac:dyDescent="0.2">
      <c r="A16" s="50" t="s">
        <v>1341</v>
      </c>
      <c r="B16" s="1" t="s">
        <v>1303</v>
      </c>
      <c r="C16" s="1" t="s">
        <v>1322</v>
      </c>
      <c r="D16" t="s">
        <v>1342</v>
      </c>
      <c r="E16" s="56">
        <v>1</v>
      </c>
      <c r="F16" s="57">
        <v>4</v>
      </c>
      <c r="G16" s="57">
        <v>4</v>
      </c>
      <c r="H16" s="57">
        <v>4</v>
      </c>
      <c r="I16" s="59">
        <v>3</v>
      </c>
      <c r="J16" s="56">
        <v>1</v>
      </c>
      <c r="K16" s="57">
        <v>4</v>
      </c>
      <c r="L16" s="57">
        <v>4</v>
      </c>
      <c r="M16" s="57">
        <v>4</v>
      </c>
      <c r="N16" s="56">
        <v>1</v>
      </c>
      <c r="O16" s="57">
        <v>4</v>
      </c>
      <c r="P16" s="57">
        <v>4</v>
      </c>
      <c r="Q16" s="57">
        <v>4</v>
      </c>
      <c r="R16" s="57">
        <v>4</v>
      </c>
      <c r="S16" s="57">
        <v>4</v>
      </c>
      <c r="T16" s="57">
        <v>4</v>
      </c>
      <c r="U16" s="56">
        <v>1</v>
      </c>
      <c r="V16" s="57">
        <v>4</v>
      </c>
      <c r="W16" s="57">
        <v>4</v>
      </c>
      <c r="X16" s="57">
        <v>4</v>
      </c>
      <c r="Y16" s="58">
        <v>2</v>
      </c>
      <c r="Z16" s="57">
        <v>4</v>
      </c>
      <c r="AA16" s="57">
        <v>4</v>
      </c>
      <c r="AB16" s="57">
        <v>4</v>
      </c>
      <c r="AC16" s="57">
        <v>4</v>
      </c>
      <c r="AD16" s="57">
        <v>4</v>
      </c>
      <c r="AE16" s="57">
        <v>4</v>
      </c>
      <c r="AF16" s="56">
        <v>1</v>
      </c>
      <c r="AG16" s="57">
        <v>4</v>
      </c>
      <c r="AH16" s="57">
        <v>4</v>
      </c>
      <c r="AI16" s="57">
        <v>4</v>
      </c>
      <c r="AJ16" s="56">
        <v>1</v>
      </c>
      <c r="AK16" s="57">
        <v>4</v>
      </c>
      <c r="AL16" s="57">
        <v>4</v>
      </c>
      <c r="AM16" s="57">
        <v>4</v>
      </c>
      <c r="AN16" s="58">
        <v>2</v>
      </c>
      <c r="AO16" s="57">
        <v>4</v>
      </c>
      <c r="AP16" s="57">
        <v>4</v>
      </c>
      <c r="AQ16" s="57">
        <v>4</v>
      </c>
      <c r="AR16" s="57">
        <v>4</v>
      </c>
      <c r="AS16" s="57">
        <v>4</v>
      </c>
      <c r="AT16" s="57">
        <v>4</v>
      </c>
      <c r="AU16" s="57">
        <v>4</v>
      </c>
      <c r="AV16" s="57">
        <v>4</v>
      </c>
      <c r="AW16" s="57">
        <v>4</v>
      </c>
      <c r="AX16" s="57">
        <v>4</v>
      </c>
      <c r="AY16" s="57">
        <v>4</v>
      </c>
      <c r="AZ16" s="57">
        <v>4</v>
      </c>
      <c r="BA16" s="57">
        <v>4</v>
      </c>
      <c r="BB16" s="57">
        <v>4</v>
      </c>
      <c r="BC16" s="57">
        <v>4</v>
      </c>
      <c r="BD16" s="57">
        <v>4</v>
      </c>
      <c r="BE16" s="58">
        <v>2</v>
      </c>
      <c r="BF16" s="57">
        <v>4</v>
      </c>
      <c r="BG16" s="57">
        <v>4</v>
      </c>
      <c r="BH16" s="57">
        <v>4</v>
      </c>
      <c r="BI16" s="57">
        <v>4</v>
      </c>
      <c r="BJ16" s="57">
        <v>4</v>
      </c>
      <c r="BK16" s="57">
        <v>4</v>
      </c>
      <c r="BL16" s="57">
        <v>4</v>
      </c>
      <c r="BM16" s="57">
        <v>4</v>
      </c>
      <c r="BN16" s="57">
        <v>4</v>
      </c>
      <c r="BO16" s="57">
        <v>4</v>
      </c>
      <c r="BP16" s="57">
        <v>4</v>
      </c>
      <c r="BQ16" s="57">
        <v>4</v>
      </c>
      <c r="BR16" s="57">
        <v>4</v>
      </c>
      <c r="BS16" s="57">
        <v>4</v>
      </c>
      <c r="BT16" s="57">
        <v>4</v>
      </c>
      <c r="BU16" s="57">
        <v>4</v>
      </c>
      <c r="BV16" s="57">
        <v>4</v>
      </c>
      <c r="BW16" s="57">
        <v>4</v>
      </c>
      <c r="BX16" s="57">
        <v>4</v>
      </c>
      <c r="BY16" s="58">
        <v>2</v>
      </c>
      <c r="BZ16" s="57">
        <v>4</v>
      </c>
      <c r="CA16" s="57">
        <v>4</v>
      </c>
      <c r="CB16" s="57">
        <v>4</v>
      </c>
      <c r="CC16" s="57">
        <v>4</v>
      </c>
      <c r="CD16" s="57">
        <v>4</v>
      </c>
      <c r="CE16" s="58">
        <v>2</v>
      </c>
      <c r="CF16" s="57">
        <v>4</v>
      </c>
      <c r="CG16" s="57">
        <v>4</v>
      </c>
      <c r="CH16" s="57">
        <v>4</v>
      </c>
      <c r="CI16" s="57">
        <v>4</v>
      </c>
      <c r="CJ16" s="57">
        <v>4</v>
      </c>
      <c r="CK16" s="57">
        <v>4</v>
      </c>
      <c r="CL16" s="57">
        <v>4</v>
      </c>
      <c r="CM16" s="57">
        <v>4</v>
      </c>
      <c r="CN16" s="57">
        <v>4</v>
      </c>
      <c r="CO16" s="57">
        <v>4</v>
      </c>
      <c r="CP16" s="57">
        <v>4</v>
      </c>
      <c r="CQ16" s="58">
        <v>2</v>
      </c>
      <c r="CR16" s="57">
        <v>4</v>
      </c>
      <c r="CS16" s="57">
        <v>4</v>
      </c>
      <c r="CT16" s="57">
        <v>4</v>
      </c>
      <c r="CU16" s="57">
        <v>4</v>
      </c>
      <c r="CV16" s="57">
        <v>4</v>
      </c>
      <c r="CW16" s="58">
        <v>2</v>
      </c>
      <c r="CX16" s="57">
        <v>4</v>
      </c>
      <c r="CY16" s="57">
        <v>4</v>
      </c>
      <c r="CZ16" s="58">
        <v>2</v>
      </c>
      <c r="DA16" s="57">
        <v>4</v>
      </c>
      <c r="DB16" s="57">
        <v>4</v>
      </c>
      <c r="DC16" s="57">
        <v>4</v>
      </c>
      <c r="DD16" s="57">
        <v>4</v>
      </c>
      <c r="DE16" s="57">
        <v>4</v>
      </c>
      <c r="DF16" s="57">
        <v>4</v>
      </c>
      <c r="DG16" s="57">
        <v>4</v>
      </c>
      <c r="DH16" s="57">
        <v>4</v>
      </c>
      <c r="DI16" s="57">
        <v>4</v>
      </c>
      <c r="DJ16" s="57">
        <v>4</v>
      </c>
      <c r="DK16" s="57">
        <v>4</v>
      </c>
      <c r="DL16" s="57">
        <v>4</v>
      </c>
      <c r="DM16" s="57">
        <v>4</v>
      </c>
      <c r="DN16" s="58">
        <v>2</v>
      </c>
      <c r="DO16" s="57">
        <v>4</v>
      </c>
      <c r="DP16" s="57">
        <v>4</v>
      </c>
      <c r="DQ16" s="58">
        <v>2</v>
      </c>
      <c r="DR16" s="57">
        <v>4</v>
      </c>
      <c r="DS16" s="57">
        <v>4</v>
      </c>
      <c r="DT16" s="57">
        <v>4</v>
      </c>
      <c r="DU16" s="1" t="s">
        <v>1324</v>
      </c>
    </row>
    <row r="17" spans="1:125" x14ac:dyDescent="0.2">
      <c r="A17" s="50" t="s">
        <v>1343</v>
      </c>
      <c r="B17" s="1" t="s">
        <v>1303</v>
      </c>
      <c r="C17" s="1" t="s">
        <v>1322</v>
      </c>
      <c r="D17" t="s">
        <v>1344</v>
      </c>
      <c r="E17" s="56">
        <v>1</v>
      </c>
      <c r="F17" s="57">
        <v>4</v>
      </c>
      <c r="G17" s="57">
        <v>4</v>
      </c>
      <c r="H17" s="57">
        <v>4</v>
      </c>
      <c r="I17" s="59">
        <v>3</v>
      </c>
      <c r="J17" s="56">
        <v>1</v>
      </c>
      <c r="K17" s="57">
        <v>4</v>
      </c>
      <c r="L17" s="57">
        <v>4</v>
      </c>
      <c r="M17" s="57">
        <v>4</v>
      </c>
      <c r="N17" s="56">
        <v>1</v>
      </c>
      <c r="O17" s="57">
        <v>4</v>
      </c>
      <c r="P17" s="57">
        <v>4</v>
      </c>
      <c r="Q17" s="57">
        <v>4</v>
      </c>
      <c r="R17" s="57">
        <v>4</v>
      </c>
      <c r="S17" s="57">
        <v>4</v>
      </c>
      <c r="T17" s="57">
        <v>4</v>
      </c>
      <c r="U17" s="56">
        <v>1</v>
      </c>
      <c r="V17" s="57">
        <v>4</v>
      </c>
      <c r="W17" s="57">
        <v>4</v>
      </c>
      <c r="X17" s="57">
        <v>4</v>
      </c>
      <c r="Y17" s="58">
        <v>2</v>
      </c>
      <c r="Z17" s="57">
        <v>4</v>
      </c>
      <c r="AA17" s="57">
        <v>4</v>
      </c>
      <c r="AB17" s="57">
        <v>4</v>
      </c>
      <c r="AC17" s="57">
        <v>4</v>
      </c>
      <c r="AD17" s="57">
        <v>4</v>
      </c>
      <c r="AE17" s="57">
        <v>4</v>
      </c>
      <c r="AF17" s="56">
        <v>1</v>
      </c>
      <c r="AG17" s="57">
        <v>4</v>
      </c>
      <c r="AH17" s="57">
        <v>4</v>
      </c>
      <c r="AI17" s="57">
        <v>4</v>
      </c>
      <c r="AJ17" s="56">
        <v>1</v>
      </c>
      <c r="AK17" s="57">
        <v>4</v>
      </c>
      <c r="AL17" s="57">
        <v>4</v>
      </c>
      <c r="AM17" s="57">
        <v>4</v>
      </c>
      <c r="AN17" s="58">
        <v>2</v>
      </c>
      <c r="AO17" s="57">
        <v>4</v>
      </c>
      <c r="AP17" s="57">
        <v>4</v>
      </c>
      <c r="AQ17" s="57">
        <v>4</v>
      </c>
      <c r="AR17" s="57">
        <v>4</v>
      </c>
      <c r="AS17" s="57">
        <v>4</v>
      </c>
      <c r="AT17" s="57">
        <v>4</v>
      </c>
      <c r="AU17" s="57">
        <v>4</v>
      </c>
      <c r="AV17" s="57">
        <v>4</v>
      </c>
      <c r="AW17" s="57">
        <v>4</v>
      </c>
      <c r="AX17" s="57">
        <v>4</v>
      </c>
      <c r="AY17" s="57">
        <v>4</v>
      </c>
      <c r="AZ17" s="57">
        <v>4</v>
      </c>
      <c r="BA17" s="57">
        <v>4</v>
      </c>
      <c r="BB17" s="57">
        <v>4</v>
      </c>
      <c r="BC17" s="57">
        <v>4</v>
      </c>
      <c r="BD17" s="57">
        <v>4</v>
      </c>
      <c r="BE17" s="58">
        <v>2</v>
      </c>
      <c r="BF17" s="57">
        <v>4</v>
      </c>
      <c r="BG17" s="57">
        <v>4</v>
      </c>
      <c r="BH17" s="57">
        <v>4</v>
      </c>
      <c r="BI17" s="57">
        <v>4</v>
      </c>
      <c r="BJ17" s="57">
        <v>4</v>
      </c>
      <c r="BK17" s="57">
        <v>4</v>
      </c>
      <c r="BL17" s="57">
        <v>4</v>
      </c>
      <c r="BM17" s="57">
        <v>4</v>
      </c>
      <c r="BN17" s="57">
        <v>4</v>
      </c>
      <c r="BO17" s="57">
        <v>4</v>
      </c>
      <c r="BP17" s="57">
        <v>4</v>
      </c>
      <c r="BQ17" s="57">
        <v>4</v>
      </c>
      <c r="BR17" s="57">
        <v>4</v>
      </c>
      <c r="BS17" s="57">
        <v>4</v>
      </c>
      <c r="BT17" s="57">
        <v>4</v>
      </c>
      <c r="BU17" s="57">
        <v>4</v>
      </c>
      <c r="BV17" s="57">
        <v>4</v>
      </c>
      <c r="BW17" s="57">
        <v>4</v>
      </c>
      <c r="BX17" s="57">
        <v>4</v>
      </c>
      <c r="BY17" s="58">
        <v>2</v>
      </c>
      <c r="BZ17" s="57">
        <v>4</v>
      </c>
      <c r="CA17" s="57">
        <v>4</v>
      </c>
      <c r="CB17" s="57">
        <v>4</v>
      </c>
      <c r="CC17" s="57">
        <v>4</v>
      </c>
      <c r="CD17" s="57">
        <v>4</v>
      </c>
      <c r="CE17" s="58">
        <v>2</v>
      </c>
      <c r="CF17" s="57">
        <v>4</v>
      </c>
      <c r="CG17" s="57">
        <v>4</v>
      </c>
      <c r="CH17" s="57">
        <v>4</v>
      </c>
      <c r="CI17" s="57">
        <v>4</v>
      </c>
      <c r="CJ17" s="57">
        <v>4</v>
      </c>
      <c r="CK17" s="57">
        <v>4</v>
      </c>
      <c r="CL17" s="57">
        <v>4</v>
      </c>
      <c r="CM17" s="57">
        <v>4</v>
      </c>
      <c r="CN17" s="57">
        <v>4</v>
      </c>
      <c r="CO17" s="57">
        <v>4</v>
      </c>
      <c r="CP17" s="57">
        <v>4</v>
      </c>
      <c r="CQ17" s="58">
        <v>2</v>
      </c>
      <c r="CR17" s="57">
        <v>4</v>
      </c>
      <c r="CS17" s="57">
        <v>4</v>
      </c>
      <c r="CT17" s="57">
        <v>4</v>
      </c>
      <c r="CU17" s="57">
        <v>4</v>
      </c>
      <c r="CV17" s="57">
        <v>4</v>
      </c>
      <c r="CW17" s="58">
        <v>2</v>
      </c>
      <c r="CX17" s="57">
        <v>4</v>
      </c>
      <c r="CY17" s="57">
        <v>4</v>
      </c>
      <c r="CZ17" s="58">
        <v>2</v>
      </c>
      <c r="DA17" s="57">
        <v>4</v>
      </c>
      <c r="DB17" s="57">
        <v>4</v>
      </c>
      <c r="DC17" s="57">
        <v>4</v>
      </c>
      <c r="DD17" s="57">
        <v>4</v>
      </c>
      <c r="DE17" s="57">
        <v>4</v>
      </c>
      <c r="DF17" s="57">
        <v>4</v>
      </c>
      <c r="DG17" s="57">
        <v>4</v>
      </c>
      <c r="DH17" s="57">
        <v>4</v>
      </c>
      <c r="DI17" s="57">
        <v>4</v>
      </c>
      <c r="DJ17" s="57">
        <v>4</v>
      </c>
      <c r="DK17" s="57">
        <v>4</v>
      </c>
      <c r="DL17" s="57">
        <v>4</v>
      </c>
      <c r="DM17" s="57">
        <v>4</v>
      </c>
      <c r="DN17" s="58">
        <v>2</v>
      </c>
      <c r="DO17" s="57">
        <v>4</v>
      </c>
      <c r="DP17" s="57">
        <v>4</v>
      </c>
      <c r="DQ17" s="58">
        <v>2</v>
      </c>
      <c r="DR17" s="57">
        <v>4</v>
      </c>
      <c r="DS17" s="57">
        <v>4</v>
      </c>
      <c r="DT17" s="57">
        <v>4</v>
      </c>
      <c r="DU17" s="1" t="s">
        <v>1324</v>
      </c>
    </row>
    <row r="18" spans="1:125" x14ac:dyDescent="0.2">
      <c r="A18" s="50" t="s">
        <v>1345</v>
      </c>
      <c r="B18" s="1" t="s">
        <v>1303</v>
      </c>
      <c r="C18" s="1" t="s">
        <v>1322</v>
      </c>
      <c r="D18" t="s">
        <v>1346</v>
      </c>
      <c r="E18" s="56">
        <v>1</v>
      </c>
      <c r="F18" s="57">
        <v>4</v>
      </c>
      <c r="G18" s="57">
        <v>4</v>
      </c>
      <c r="H18" s="57">
        <v>4</v>
      </c>
      <c r="I18" s="59">
        <v>3</v>
      </c>
      <c r="J18" s="56">
        <v>1</v>
      </c>
      <c r="K18" s="57">
        <v>4</v>
      </c>
      <c r="L18" s="57">
        <v>4</v>
      </c>
      <c r="M18" s="57">
        <v>4</v>
      </c>
      <c r="N18" s="56">
        <v>1</v>
      </c>
      <c r="O18" s="57">
        <v>4</v>
      </c>
      <c r="P18" s="57">
        <v>4</v>
      </c>
      <c r="Q18" s="57">
        <v>4</v>
      </c>
      <c r="R18" s="57">
        <v>4</v>
      </c>
      <c r="S18" s="57">
        <v>4</v>
      </c>
      <c r="T18" s="57">
        <v>4</v>
      </c>
      <c r="U18" s="56">
        <v>1</v>
      </c>
      <c r="V18" s="57">
        <v>4</v>
      </c>
      <c r="W18" s="57">
        <v>4</v>
      </c>
      <c r="X18" s="57">
        <v>4</v>
      </c>
      <c r="Y18" s="58">
        <v>2</v>
      </c>
      <c r="Z18" s="57">
        <v>4</v>
      </c>
      <c r="AA18" s="57">
        <v>4</v>
      </c>
      <c r="AB18" s="57">
        <v>4</v>
      </c>
      <c r="AC18" s="57">
        <v>4</v>
      </c>
      <c r="AD18" s="57">
        <v>4</v>
      </c>
      <c r="AE18" s="57">
        <v>4</v>
      </c>
      <c r="AF18" s="56">
        <v>1</v>
      </c>
      <c r="AG18" s="57">
        <v>4</v>
      </c>
      <c r="AH18" s="57">
        <v>4</v>
      </c>
      <c r="AI18" s="57">
        <v>4</v>
      </c>
      <c r="AJ18" s="56">
        <v>1</v>
      </c>
      <c r="AK18" s="57">
        <v>4</v>
      </c>
      <c r="AL18" s="57">
        <v>4</v>
      </c>
      <c r="AM18" s="57">
        <v>4</v>
      </c>
      <c r="AN18" s="58">
        <v>2</v>
      </c>
      <c r="AO18" s="57">
        <v>4</v>
      </c>
      <c r="AP18" s="57">
        <v>4</v>
      </c>
      <c r="AQ18" s="57">
        <v>4</v>
      </c>
      <c r="AR18" s="57">
        <v>4</v>
      </c>
      <c r="AS18" s="57">
        <v>4</v>
      </c>
      <c r="AT18" s="57">
        <v>4</v>
      </c>
      <c r="AU18" s="57">
        <v>4</v>
      </c>
      <c r="AV18" s="57">
        <v>4</v>
      </c>
      <c r="AW18" s="57">
        <v>4</v>
      </c>
      <c r="AX18" s="57">
        <v>4</v>
      </c>
      <c r="AY18" s="57">
        <v>4</v>
      </c>
      <c r="AZ18" s="57">
        <v>4</v>
      </c>
      <c r="BA18" s="57">
        <v>4</v>
      </c>
      <c r="BB18" s="57">
        <v>4</v>
      </c>
      <c r="BC18" s="57">
        <v>4</v>
      </c>
      <c r="BD18" s="57">
        <v>4</v>
      </c>
      <c r="BE18" s="58">
        <v>2</v>
      </c>
      <c r="BF18" s="57">
        <v>4</v>
      </c>
      <c r="BG18" s="57">
        <v>4</v>
      </c>
      <c r="BH18" s="57">
        <v>4</v>
      </c>
      <c r="BI18" s="57">
        <v>4</v>
      </c>
      <c r="BJ18" s="57">
        <v>4</v>
      </c>
      <c r="BK18" s="57">
        <v>4</v>
      </c>
      <c r="BL18" s="57">
        <v>4</v>
      </c>
      <c r="BM18" s="57">
        <v>4</v>
      </c>
      <c r="BN18" s="57">
        <v>4</v>
      </c>
      <c r="BO18" s="57">
        <v>4</v>
      </c>
      <c r="BP18" s="57">
        <v>4</v>
      </c>
      <c r="BQ18" s="57">
        <v>4</v>
      </c>
      <c r="BR18" s="57">
        <v>4</v>
      </c>
      <c r="BS18" s="57">
        <v>4</v>
      </c>
      <c r="BT18" s="57">
        <v>4</v>
      </c>
      <c r="BU18" s="57">
        <v>4</v>
      </c>
      <c r="BV18" s="57">
        <v>4</v>
      </c>
      <c r="BW18" s="57">
        <v>4</v>
      </c>
      <c r="BX18" s="57">
        <v>4</v>
      </c>
      <c r="BY18" s="58">
        <v>2</v>
      </c>
      <c r="BZ18" s="57">
        <v>4</v>
      </c>
      <c r="CA18" s="57">
        <v>4</v>
      </c>
      <c r="CB18" s="57">
        <v>4</v>
      </c>
      <c r="CC18" s="57">
        <v>4</v>
      </c>
      <c r="CD18" s="57">
        <v>4</v>
      </c>
      <c r="CE18" s="58">
        <v>2</v>
      </c>
      <c r="CF18" s="57">
        <v>4</v>
      </c>
      <c r="CG18" s="57">
        <v>4</v>
      </c>
      <c r="CH18" s="57">
        <v>4</v>
      </c>
      <c r="CI18" s="57">
        <v>4</v>
      </c>
      <c r="CJ18" s="57">
        <v>4</v>
      </c>
      <c r="CK18" s="57">
        <v>4</v>
      </c>
      <c r="CL18" s="57">
        <v>4</v>
      </c>
      <c r="CM18" s="57">
        <v>4</v>
      </c>
      <c r="CN18" s="57">
        <v>4</v>
      </c>
      <c r="CO18" s="57">
        <v>4</v>
      </c>
      <c r="CP18" s="57">
        <v>4</v>
      </c>
      <c r="CQ18" s="58">
        <v>2</v>
      </c>
      <c r="CR18" s="57">
        <v>4</v>
      </c>
      <c r="CS18" s="57">
        <v>4</v>
      </c>
      <c r="CT18" s="57">
        <v>4</v>
      </c>
      <c r="CU18" s="57">
        <v>4</v>
      </c>
      <c r="CV18" s="57">
        <v>4</v>
      </c>
      <c r="CW18" s="58">
        <v>2</v>
      </c>
      <c r="CX18" s="57">
        <v>4</v>
      </c>
      <c r="CY18" s="57">
        <v>4</v>
      </c>
      <c r="CZ18" s="58">
        <v>2</v>
      </c>
      <c r="DA18" s="57">
        <v>4</v>
      </c>
      <c r="DB18" s="57">
        <v>4</v>
      </c>
      <c r="DC18" s="57">
        <v>4</v>
      </c>
      <c r="DD18" s="57">
        <v>4</v>
      </c>
      <c r="DE18" s="57">
        <v>4</v>
      </c>
      <c r="DF18" s="57">
        <v>4</v>
      </c>
      <c r="DG18" s="57">
        <v>4</v>
      </c>
      <c r="DH18" s="57">
        <v>4</v>
      </c>
      <c r="DI18" s="57">
        <v>4</v>
      </c>
      <c r="DJ18" s="57">
        <v>4</v>
      </c>
      <c r="DK18" s="57">
        <v>4</v>
      </c>
      <c r="DL18" s="57">
        <v>4</v>
      </c>
      <c r="DM18" s="57">
        <v>4</v>
      </c>
      <c r="DN18" s="58">
        <v>2</v>
      </c>
      <c r="DO18" s="57">
        <v>4</v>
      </c>
      <c r="DP18" s="57">
        <v>4</v>
      </c>
      <c r="DQ18" s="58">
        <v>2</v>
      </c>
      <c r="DR18" s="57">
        <v>4</v>
      </c>
      <c r="DS18" s="57">
        <v>4</v>
      </c>
      <c r="DT18" s="57">
        <v>4</v>
      </c>
      <c r="DU18" s="1" t="s">
        <v>1324</v>
      </c>
    </row>
    <row r="19" spans="1:125" x14ac:dyDescent="0.2">
      <c r="A19" s="50" t="s">
        <v>1347</v>
      </c>
      <c r="B19" s="1" t="s">
        <v>1303</v>
      </c>
      <c r="C19" s="1" t="s">
        <v>1322</v>
      </c>
      <c r="D19" t="s">
        <v>1348</v>
      </c>
      <c r="E19" s="58">
        <v>2</v>
      </c>
      <c r="F19" s="57">
        <v>4</v>
      </c>
      <c r="G19" s="57">
        <v>4</v>
      </c>
      <c r="H19" s="57">
        <v>4</v>
      </c>
      <c r="I19" s="58">
        <v>2</v>
      </c>
      <c r="J19" s="58">
        <v>2</v>
      </c>
      <c r="K19" s="57">
        <v>4</v>
      </c>
      <c r="L19" s="57">
        <v>4</v>
      </c>
      <c r="M19" s="57">
        <v>4</v>
      </c>
      <c r="N19" s="58">
        <v>2</v>
      </c>
      <c r="O19" s="57">
        <v>4</v>
      </c>
      <c r="P19" s="57">
        <v>4</v>
      </c>
      <c r="Q19" s="57">
        <v>4</v>
      </c>
      <c r="R19" s="57">
        <v>4</v>
      </c>
      <c r="S19" s="57">
        <v>4</v>
      </c>
      <c r="T19" s="57">
        <v>4</v>
      </c>
      <c r="U19" s="58">
        <v>2</v>
      </c>
      <c r="V19" s="57">
        <v>4</v>
      </c>
      <c r="W19" s="57">
        <v>4</v>
      </c>
      <c r="X19" s="57">
        <v>4</v>
      </c>
      <c r="Y19" s="58">
        <v>2</v>
      </c>
      <c r="Z19" s="57">
        <v>4</v>
      </c>
      <c r="AA19" s="57">
        <v>4</v>
      </c>
      <c r="AB19" s="57">
        <v>4</v>
      </c>
      <c r="AC19" s="57">
        <v>4</v>
      </c>
      <c r="AD19" s="57">
        <v>4</v>
      </c>
      <c r="AE19" s="57">
        <v>4</v>
      </c>
      <c r="AF19" s="58">
        <v>2</v>
      </c>
      <c r="AG19" s="57">
        <v>4</v>
      </c>
      <c r="AH19" s="57">
        <v>4</v>
      </c>
      <c r="AI19" s="57">
        <v>4</v>
      </c>
      <c r="AJ19" s="58">
        <v>2</v>
      </c>
      <c r="AK19" s="57">
        <v>4</v>
      </c>
      <c r="AL19" s="57">
        <v>4</v>
      </c>
      <c r="AM19" s="57">
        <v>4</v>
      </c>
      <c r="AN19" s="58">
        <v>2</v>
      </c>
      <c r="AO19" s="57">
        <v>4</v>
      </c>
      <c r="AP19" s="57">
        <v>4</v>
      </c>
      <c r="AQ19" s="57">
        <v>4</v>
      </c>
      <c r="AR19" s="57">
        <v>4</v>
      </c>
      <c r="AS19" s="57">
        <v>4</v>
      </c>
      <c r="AT19" s="57">
        <v>4</v>
      </c>
      <c r="AU19" s="57">
        <v>4</v>
      </c>
      <c r="AV19" s="57">
        <v>4</v>
      </c>
      <c r="AW19" s="57">
        <v>4</v>
      </c>
      <c r="AX19" s="57">
        <v>4</v>
      </c>
      <c r="AY19" s="57">
        <v>4</v>
      </c>
      <c r="AZ19" s="57">
        <v>4</v>
      </c>
      <c r="BA19" s="57">
        <v>4</v>
      </c>
      <c r="BB19" s="57">
        <v>4</v>
      </c>
      <c r="BC19" s="57">
        <v>4</v>
      </c>
      <c r="BD19" s="57">
        <v>4</v>
      </c>
      <c r="BE19" s="58">
        <v>2</v>
      </c>
      <c r="BF19" s="57">
        <v>4</v>
      </c>
      <c r="BG19" s="57">
        <v>4</v>
      </c>
      <c r="BH19" s="57">
        <v>4</v>
      </c>
      <c r="BI19" s="57">
        <v>4</v>
      </c>
      <c r="BJ19" s="57">
        <v>4</v>
      </c>
      <c r="BK19" s="57">
        <v>4</v>
      </c>
      <c r="BL19" s="57">
        <v>4</v>
      </c>
      <c r="BM19" s="57">
        <v>4</v>
      </c>
      <c r="BN19" s="57">
        <v>4</v>
      </c>
      <c r="BO19" s="57">
        <v>4</v>
      </c>
      <c r="BP19" s="57">
        <v>4</v>
      </c>
      <c r="BQ19" s="57">
        <v>4</v>
      </c>
      <c r="BR19" s="57">
        <v>4</v>
      </c>
      <c r="BS19" s="57">
        <v>4</v>
      </c>
      <c r="BT19" s="57">
        <v>4</v>
      </c>
      <c r="BU19" s="57">
        <v>4</v>
      </c>
      <c r="BV19" s="57">
        <v>4</v>
      </c>
      <c r="BW19" s="57">
        <v>4</v>
      </c>
      <c r="BX19" s="57">
        <v>4</v>
      </c>
      <c r="BY19" s="58">
        <v>2</v>
      </c>
      <c r="BZ19" s="57">
        <v>4</v>
      </c>
      <c r="CA19" s="57">
        <v>4</v>
      </c>
      <c r="CB19" s="57">
        <v>4</v>
      </c>
      <c r="CC19" s="57">
        <v>4</v>
      </c>
      <c r="CD19" s="57">
        <v>4</v>
      </c>
      <c r="CE19" s="58">
        <v>2</v>
      </c>
      <c r="CF19" s="57">
        <v>4</v>
      </c>
      <c r="CG19" s="57">
        <v>4</v>
      </c>
      <c r="CH19" s="57">
        <v>4</v>
      </c>
      <c r="CI19" s="57">
        <v>4</v>
      </c>
      <c r="CJ19" s="57">
        <v>4</v>
      </c>
      <c r="CK19" s="57">
        <v>4</v>
      </c>
      <c r="CL19" s="57">
        <v>4</v>
      </c>
      <c r="CM19" s="57">
        <v>4</v>
      </c>
      <c r="CN19" s="57">
        <v>4</v>
      </c>
      <c r="CO19" s="57">
        <v>4</v>
      </c>
      <c r="CP19" s="57">
        <v>4</v>
      </c>
      <c r="CQ19" s="58">
        <v>2</v>
      </c>
      <c r="CR19" s="57">
        <v>4</v>
      </c>
      <c r="CS19" s="57">
        <v>4</v>
      </c>
      <c r="CT19" s="57">
        <v>4</v>
      </c>
      <c r="CU19" s="57">
        <v>4</v>
      </c>
      <c r="CV19" s="57">
        <v>4</v>
      </c>
      <c r="CW19" s="58">
        <v>2</v>
      </c>
      <c r="CX19" s="57">
        <v>4</v>
      </c>
      <c r="CY19" s="57">
        <v>4</v>
      </c>
      <c r="CZ19" s="58">
        <v>2</v>
      </c>
      <c r="DA19" s="57">
        <v>4</v>
      </c>
      <c r="DB19" s="57">
        <v>4</v>
      </c>
      <c r="DC19" s="57">
        <v>4</v>
      </c>
      <c r="DD19" s="57">
        <v>4</v>
      </c>
      <c r="DE19" s="57">
        <v>4</v>
      </c>
      <c r="DF19" s="57">
        <v>4</v>
      </c>
      <c r="DG19" s="57">
        <v>4</v>
      </c>
      <c r="DH19" s="57">
        <v>4</v>
      </c>
      <c r="DI19" s="57">
        <v>4</v>
      </c>
      <c r="DJ19" s="57">
        <v>4</v>
      </c>
      <c r="DK19" s="57">
        <v>4</v>
      </c>
      <c r="DL19" s="57">
        <v>4</v>
      </c>
      <c r="DM19" s="57">
        <v>4</v>
      </c>
      <c r="DN19" s="58">
        <v>2</v>
      </c>
      <c r="DO19" s="57">
        <v>4</v>
      </c>
      <c r="DP19" s="57">
        <v>4</v>
      </c>
      <c r="DQ19" s="58">
        <v>2</v>
      </c>
      <c r="DR19" s="57">
        <v>4</v>
      </c>
      <c r="DS19" s="57">
        <v>4</v>
      </c>
      <c r="DT19" s="57">
        <v>4</v>
      </c>
      <c r="DU19" s="1" t="s">
        <v>1324</v>
      </c>
    </row>
    <row r="20" spans="1:125" x14ac:dyDescent="0.2">
      <c r="A20" s="50" t="s">
        <v>1349</v>
      </c>
      <c r="B20" s="1" t="s">
        <v>1303</v>
      </c>
      <c r="C20" s="1" t="s">
        <v>1322</v>
      </c>
      <c r="D20" t="s">
        <v>1350</v>
      </c>
      <c r="E20" s="58">
        <v>2</v>
      </c>
      <c r="F20" s="57">
        <v>4</v>
      </c>
      <c r="G20" s="57">
        <v>4</v>
      </c>
      <c r="H20" s="57">
        <v>4</v>
      </c>
      <c r="I20" s="58">
        <v>2</v>
      </c>
      <c r="J20" s="58">
        <v>2</v>
      </c>
      <c r="K20" s="57">
        <v>4</v>
      </c>
      <c r="L20" s="57">
        <v>4</v>
      </c>
      <c r="M20" s="57">
        <v>4</v>
      </c>
      <c r="N20" s="58">
        <v>2</v>
      </c>
      <c r="O20" s="57">
        <v>4</v>
      </c>
      <c r="P20" s="57">
        <v>4</v>
      </c>
      <c r="Q20" s="57">
        <v>4</v>
      </c>
      <c r="R20" s="57">
        <v>4</v>
      </c>
      <c r="S20" s="57">
        <v>4</v>
      </c>
      <c r="T20" s="57">
        <v>4</v>
      </c>
      <c r="U20" s="58">
        <v>2</v>
      </c>
      <c r="V20" s="57">
        <v>4</v>
      </c>
      <c r="W20" s="57">
        <v>4</v>
      </c>
      <c r="X20" s="57">
        <v>4</v>
      </c>
      <c r="Y20" s="58">
        <v>2</v>
      </c>
      <c r="Z20" s="57">
        <v>4</v>
      </c>
      <c r="AA20" s="57">
        <v>4</v>
      </c>
      <c r="AB20" s="57">
        <v>4</v>
      </c>
      <c r="AC20" s="57">
        <v>4</v>
      </c>
      <c r="AD20" s="57">
        <v>4</v>
      </c>
      <c r="AE20" s="57">
        <v>4</v>
      </c>
      <c r="AF20" s="58">
        <v>2</v>
      </c>
      <c r="AG20" s="57">
        <v>4</v>
      </c>
      <c r="AH20" s="57">
        <v>4</v>
      </c>
      <c r="AI20" s="57">
        <v>4</v>
      </c>
      <c r="AJ20" s="58">
        <v>2</v>
      </c>
      <c r="AK20" s="57">
        <v>4</v>
      </c>
      <c r="AL20" s="57">
        <v>4</v>
      </c>
      <c r="AM20" s="57">
        <v>4</v>
      </c>
      <c r="AN20" s="58">
        <v>2</v>
      </c>
      <c r="AO20" s="57">
        <v>4</v>
      </c>
      <c r="AP20" s="57">
        <v>4</v>
      </c>
      <c r="AQ20" s="57">
        <v>4</v>
      </c>
      <c r="AR20" s="57">
        <v>4</v>
      </c>
      <c r="AS20" s="57">
        <v>4</v>
      </c>
      <c r="AT20" s="57">
        <v>4</v>
      </c>
      <c r="AU20" s="57">
        <v>4</v>
      </c>
      <c r="AV20" s="57">
        <v>4</v>
      </c>
      <c r="AW20" s="57">
        <v>4</v>
      </c>
      <c r="AX20" s="57">
        <v>4</v>
      </c>
      <c r="AY20" s="57">
        <v>4</v>
      </c>
      <c r="AZ20" s="57">
        <v>4</v>
      </c>
      <c r="BA20" s="57">
        <v>4</v>
      </c>
      <c r="BB20" s="57">
        <v>4</v>
      </c>
      <c r="BC20" s="57">
        <v>4</v>
      </c>
      <c r="BD20" s="57">
        <v>4</v>
      </c>
      <c r="BE20" s="58">
        <v>2</v>
      </c>
      <c r="BF20" s="57">
        <v>4</v>
      </c>
      <c r="BG20" s="57">
        <v>4</v>
      </c>
      <c r="BH20" s="57">
        <v>4</v>
      </c>
      <c r="BI20" s="57">
        <v>4</v>
      </c>
      <c r="BJ20" s="57">
        <v>4</v>
      </c>
      <c r="BK20" s="57">
        <v>4</v>
      </c>
      <c r="BL20" s="57">
        <v>4</v>
      </c>
      <c r="BM20" s="57">
        <v>4</v>
      </c>
      <c r="BN20" s="57">
        <v>4</v>
      </c>
      <c r="BO20" s="57">
        <v>4</v>
      </c>
      <c r="BP20" s="57">
        <v>4</v>
      </c>
      <c r="BQ20" s="57">
        <v>4</v>
      </c>
      <c r="BR20" s="57">
        <v>4</v>
      </c>
      <c r="BS20" s="57">
        <v>4</v>
      </c>
      <c r="BT20" s="57">
        <v>4</v>
      </c>
      <c r="BU20" s="57">
        <v>4</v>
      </c>
      <c r="BV20" s="57">
        <v>4</v>
      </c>
      <c r="BW20" s="57">
        <v>4</v>
      </c>
      <c r="BX20" s="57">
        <v>4</v>
      </c>
      <c r="BY20" s="58">
        <v>2</v>
      </c>
      <c r="BZ20" s="57">
        <v>4</v>
      </c>
      <c r="CA20" s="57">
        <v>4</v>
      </c>
      <c r="CB20" s="57">
        <v>4</v>
      </c>
      <c r="CC20" s="57">
        <v>4</v>
      </c>
      <c r="CD20" s="57">
        <v>4</v>
      </c>
      <c r="CE20" s="58">
        <v>2</v>
      </c>
      <c r="CF20" s="57">
        <v>4</v>
      </c>
      <c r="CG20" s="57">
        <v>4</v>
      </c>
      <c r="CH20" s="57">
        <v>4</v>
      </c>
      <c r="CI20" s="57">
        <v>4</v>
      </c>
      <c r="CJ20" s="57">
        <v>4</v>
      </c>
      <c r="CK20" s="57">
        <v>4</v>
      </c>
      <c r="CL20" s="57">
        <v>4</v>
      </c>
      <c r="CM20" s="57">
        <v>4</v>
      </c>
      <c r="CN20" s="57">
        <v>4</v>
      </c>
      <c r="CO20" s="57">
        <v>4</v>
      </c>
      <c r="CP20" s="57">
        <v>4</v>
      </c>
      <c r="CQ20" s="58">
        <v>2</v>
      </c>
      <c r="CR20" s="57">
        <v>4</v>
      </c>
      <c r="CS20" s="57">
        <v>4</v>
      </c>
      <c r="CT20" s="57">
        <v>4</v>
      </c>
      <c r="CU20" s="57">
        <v>4</v>
      </c>
      <c r="CV20" s="57">
        <v>4</v>
      </c>
      <c r="CW20" s="58">
        <v>2</v>
      </c>
      <c r="CX20" s="57">
        <v>4</v>
      </c>
      <c r="CY20" s="57">
        <v>4</v>
      </c>
      <c r="CZ20" s="58">
        <v>2</v>
      </c>
      <c r="DA20" s="57">
        <v>4</v>
      </c>
      <c r="DB20" s="57">
        <v>4</v>
      </c>
      <c r="DC20" s="57">
        <v>4</v>
      </c>
      <c r="DD20" s="57">
        <v>4</v>
      </c>
      <c r="DE20" s="57">
        <v>4</v>
      </c>
      <c r="DF20" s="57">
        <v>4</v>
      </c>
      <c r="DG20" s="57">
        <v>4</v>
      </c>
      <c r="DH20" s="57">
        <v>4</v>
      </c>
      <c r="DI20" s="57">
        <v>4</v>
      </c>
      <c r="DJ20" s="57">
        <v>4</v>
      </c>
      <c r="DK20" s="57">
        <v>4</v>
      </c>
      <c r="DL20" s="57">
        <v>4</v>
      </c>
      <c r="DM20" s="57">
        <v>4</v>
      </c>
      <c r="DN20" s="58">
        <v>2</v>
      </c>
      <c r="DO20" s="57">
        <v>4</v>
      </c>
      <c r="DP20" s="57">
        <v>4</v>
      </c>
      <c r="DQ20" s="58">
        <v>2</v>
      </c>
      <c r="DR20" s="57">
        <v>4</v>
      </c>
      <c r="DS20" s="57">
        <v>4</v>
      </c>
      <c r="DT20" s="57">
        <v>4</v>
      </c>
      <c r="DU20" s="1" t="s">
        <v>1324</v>
      </c>
    </row>
    <row r="21" spans="1:125" x14ac:dyDescent="0.2">
      <c r="A21" s="50" t="s">
        <v>1351</v>
      </c>
      <c r="B21" s="1" t="s">
        <v>1303</v>
      </c>
      <c r="C21" s="1" t="s">
        <v>1322</v>
      </c>
      <c r="D21" t="s">
        <v>1352</v>
      </c>
      <c r="E21" s="58">
        <v>2</v>
      </c>
      <c r="F21" s="57">
        <v>4</v>
      </c>
      <c r="G21" s="57">
        <v>4</v>
      </c>
      <c r="H21" s="57">
        <v>4</v>
      </c>
      <c r="I21" s="58">
        <v>2</v>
      </c>
      <c r="J21" s="58">
        <v>2</v>
      </c>
      <c r="K21" s="57">
        <v>4</v>
      </c>
      <c r="L21" s="57">
        <v>4</v>
      </c>
      <c r="M21" s="57">
        <v>4</v>
      </c>
      <c r="N21" s="58">
        <v>2</v>
      </c>
      <c r="O21" s="57">
        <v>4</v>
      </c>
      <c r="P21" s="57">
        <v>4</v>
      </c>
      <c r="Q21" s="57">
        <v>4</v>
      </c>
      <c r="R21" s="57">
        <v>4</v>
      </c>
      <c r="S21" s="57">
        <v>4</v>
      </c>
      <c r="T21" s="57">
        <v>4</v>
      </c>
      <c r="U21" s="58">
        <v>2</v>
      </c>
      <c r="V21" s="57">
        <v>4</v>
      </c>
      <c r="W21" s="57">
        <v>4</v>
      </c>
      <c r="X21" s="57">
        <v>4</v>
      </c>
      <c r="Y21" s="58">
        <v>2</v>
      </c>
      <c r="Z21" s="57">
        <v>4</v>
      </c>
      <c r="AA21" s="57">
        <v>4</v>
      </c>
      <c r="AB21" s="57">
        <v>4</v>
      </c>
      <c r="AC21" s="57">
        <v>4</v>
      </c>
      <c r="AD21" s="57">
        <v>4</v>
      </c>
      <c r="AE21" s="57">
        <v>4</v>
      </c>
      <c r="AF21" s="58">
        <v>2</v>
      </c>
      <c r="AG21" s="57">
        <v>4</v>
      </c>
      <c r="AH21" s="57">
        <v>4</v>
      </c>
      <c r="AI21" s="57">
        <v>4</v>
      </c>
      <c r="AJ21" s="58">
        <v>2</v>
      </c>
      <c r="AK21" s="57">
        <v>4</v>
      </c>
      <c r="AL21" s="57">
        <v>4</v>
      </c>
      <c r="AM21" s="57">
        <v>4</v>
      </c>
      <c r="AN21" s="58">
        <v>2</v>
      </c>
      <c r="AO21" s="57">
        <v>4</v>
      </c>
      <c r="AP21" s="57">
        <v>4</v>
      </c>
      <c r="AQ21" s="57">
        <v>4</v>
      </c>
      <c r="AR21" s="57">
        <v>4</v>
      </c>
      <c r="AS21" s="57">
        <v>4</v>
      </c>
      <c r="AT21" s="57">
        <v>4</v>
      </c>
      <c r="AU21" s="57">
        <v>4</v>
      </c>
      <c r="AV21" s="57">
        <v>4</v>
      </c>
      <c r="AW21" s="57">
        <v>4</v>
      </c>
      <c r="AX21" s="57">
        <v>4</v>
      </c>
      <c r="AY21" s="57">
        <v>4</v>
      </c>
      <c r="AZ21" s="57">
        <v>4</v>
      </c>
      <c r="BA21" s="57">
        <v>4</v>
      </c>
      <c r="BB21" s="57">
        <v>4</v>
      </c>
      <c r="BC21" s="57">
        <v>4</v>
      </c>
      <c r="BD21" s="57">
        <v>4</v>
      </c>
      <c r="BE21" s="58">
        <v>2</v>
      </c>
      <c r="BF21" s="57">
        <v>4</v>
      </c>
      <c r="BG21" s="57">
        <v>4</v>
      </c>
      <c r="BH21" s="57">
        <v>4</v>
      </c>
      <c r="BI21" s="57">
        <v>4</v>
      </c>
      <c r="BJ21" s="57">
        <v>4</v>
      </c>
      <c r="BK21" s="57">
        <v>4</v>
      </c>
      <c r="BL21" s="57">
        <v>4</v>
      </c>
      <c r="BM21" s="57">
        <v>4</v>
      </c>
      <c r="BN21" s="57">
        <v>4</v>
      </c>
      <c r="BO21" s="57">
        <v>4</v>
      </c>
      <c r="BP21" s="57">
        <v>4</v>
      </c>
      <c r="BQ21" s="57">
        <v>4</v>
      </c>
      <c r="BR21" s="57">
        <v>4</v>
      </c>
      <c r="BS21" s="57">
        <v>4</v>
      </c>
      <c r="BT21" s="57">
        <v>4</v>
      </c>
      <c r="BU21" s="57">
        <v>4</v>
      </c>
      <c r="BV21" s="57">
        <v>4</v>
      </c>
      <c r="BW21" s="57">
        <v>4</v>
      </c>
      <c r="BX21" s="57">
        <v>4</v>
      </c>
      <c r="BY21" s="58">
        <v>2</v>
      </c>
      <c r="BZ21" s="57">
        <v>4</v>
      </c>
      <c r="CA21" s="57">
        <v>4</v>
      </c>
      <c r="CB21" s="57">
        <v>4</v>
      </c>
      <c r="CC21" s="57">
        <v>4</v>
      </c>
      <c r="CD21" s="57">
        <v>4</v>
      </c>
      <c r="CE21" s="58">
        <v>2</v>
      </c>
      <c r="CF21" s="57">
        <v>4</v>
      </c>
      <c r="CG21" s="57">
        <v>4</v>
      </c>
      <c r="CH21" s="57">
        <v>4</v>
      </c>
      <c r="CI21" s="57">
        <v>4</v>
      </c>
      <c r="CJ21" s="57">
        <v>4</v>
      </c>
      <c r="CK21" s="57">
        <v>4</v>
      </c>
      <c r="CL21" s="57">
        <v>4</v>
      </c>
      <c r="CM21" s="57">
        <v>4</v>
      </c>
      <c r="CN21" s="57">
        <v>4</v>
      </c>
      <c r="CO21" s="57">
        <v>4</v>
      </c>
      <c r="CP21" s="57">
        <v>4</v>
      </c>
      <c r="CQ21" s="58">
        <v>2</v>
      </c>
      <c r="CR21" s="57">
        <v>4</v>
      </c>
      <c r="CS21" s="57">
        <v>4</v>
      </c>
      <c r="CT21" s="57">
        <v>4</v>
      </c>
      <c r="CU21" s="57">
        <v>4</v>
      </c>
      <c r="CV21" s="57">
        <v>4</v>
      </c>
      <c r="CW21" s="58">
        <v>2</v>
      </c>
      <c r="CX21" s="57">
        <v>4</v>
      </c>
      <c r="CY21" s="57">
        <v>4</v>
      </c>
      <c r="CZ21" s="58">
        <v>2</v>
      </c>
      <c r="DA21" s="57">
        <v>4</v>
      </c>
      <c r="DB21" s="57">
        <v>4</v>
      </c>
      <c r="DC21" s="57">
        <v>4</v>
      </c>
      <c r="DD21" s="57">
        <v>4</v>
      </c>
      <c r="DE21" s="57">
        <v>4</v>
      </c>
      <c r="DF21" s="57">
        <v>4</v>
      </c>
      <c r="DG21" s="57">
        <v>4</v>
      </c>
      <c r="DH21" s="57">
        <v>4</v>
      </c>
      <c r="DI21" s="57">
        <v>4</v>
      </c>
      <c r="DJ21" s="57">
        <v>4</v>
      </c>
      <c r="DK21" s="57">
        <v>4</v>
      </c>
      <c r="DL21" s="57">
        <v>4</v>
      </c>
      <c r="DM21" s="57">
        <v>4</v>
      </c>
      <c r="DN21" s="58">
        <v>2</v>
      </c>
      <c r="DO21" s="57">
        <v>4</v>
      </c>
      <c r="DP21" s="57">
        <v>4</v>
      </c>
      <c r="DQ21" s="58">
        <v>2</v>
      </c>
      <c r="DR21" s="57">
        <v>4</v>
      </c>
      <c r="DS21" s="57">
        <v>4</v>
      </c>
      <c r="DT21" s="57">
        <v>4</v>
      </c>
      <c r="DU21" s="1" t="s">
        <v>1324</v>
      </c>
    </row>
    <row r="22" spans="1:125" x14ac:dyDescent="0.2">
      <c r="A22" s="50" t="s">
        <v>1353</v>
      </c>
      <c r="B22" s="1" t="s">
        <v>1303</v>
      </c>
      <c r="C22" s="1" t="s">
        <v>1322</v>
      </c>
      <c r="D22" t="s">
        <v>1354</v>
      </c>
      <c r="E22" s="58">
        <v>2</v>
      </c>
      <c r="F22" s="57">
        <v>4</v>
      </c>
      <c r="G22" s="57">
        <v>4</v>
      </c>
      <c r="H22" s="57">
        <v>4</v>
      </c>
      <c r="I22" s="58">
        <v>2</v>
      </c>
      <c r="J22" s="58">
        <v>2</v>
      </c>
      <c r="K22" s="57">
        <v>4</v>
      </c>
      <c r="L22" s="57">
        <v>4</v>
      </c>
      <c r="M22" s="57">
        <v>4</v>
      </c>
      <c r="N22" s="58">
        <v>2</v>
      </c>
      <c r="O22" s="57">
        <v>4</v>
      </c>
      <c r="P22" s="57">
        <v>4</v>
      </c>
      <c r="Q22" s="57">
        <v>4</v>
      </c>
      <c r="R22" s="57">
        <v>4</v>
      </c>
      <c r="S22" s="57">
        <v>4</v>
      </c>
      <c r="T22" s="57">
        <v>4</v>
      </c>
      <c r="U22" s="58">
        <v>2</v>
      </c>
      <c r="V22" s="57">
        <v>4</v>
      </c>
      <c r="W22" s="57">
        <v>4</v>
      </c>
      <c r="X22" s="57">
        <v>4</v>
      </c>
      <c r="Y22" s="58">
        <v>2</v>
      </c>
      <c r="Z22" s="57">
        <v>4</v>
      </c>
      <c r="AA22" s="57">
        <v>4</v>
      </c>
      <c r="AB22" s="57">
        <v>4</v>
      </c>
      <c r="AC22" s="57">
        <v>4</v>
      </c>
      <c r="AD22" s="57">
        <v>4</v>
      </c>
      <c r="AE22" s="57">
        <v>4</v>
      </c>
      <c r="AF22" s="58">
        <v>2</v>
      </c>
      <c r="AG22" s="57">
        <v>4</v>
      </c>
      <c r="AH22" s="57">
        <v>4</v>
      </c>
      <c r="AI22" s="57">
        <v>4</v>
      </c>
      <c r="AJ22" s="58">
        <v>2</v>
      </c>
      <c r="AK22" s="57">
        <v>4</v>
      </c>
      <c r="AL22" s="57">
        <v>4</v>
      </c>
      <c r="AM22" s="57">
        <v>4</v>
      </c>
      <c r="AN22" s="58">
        <v>2</v>
      </c>
      <c r="AO22" s="57">
        <v>4</v>
      </c>
      <c r="AP22" s="57">
        <v>4</v>
      </c>
      <c r="AQ22" s="57">
        <v>4</v>
      </c>
      <c r="AR22" s="57">
        <v>4</v>
      </c>
      <c r="AS22" s="57">
        <v>4</v>
      </c>
      <c r="AT22" s="57">
        <v>4</v>
      </c>
      <c r="AU22" s="57">
        <v>4</v>
      </c>
      <c r="AV22" s="57">
        <v>4</v>
      </c>
      <c r="AW22" s="57">
        <v>4</v>
      </c>
      <c r="AX22" s="57">
        <v>4</v>
      </c>
      <c r="AY22" s="57">
        <v>4</v>
      </c>
      <c r="AZ22" s="57">
        <v>4</v>
      </c>
      <c r="BA22" s="57">
        <v>4</v>
      </c>
      <c r="BB22" s="57">
        <v>4</v>
      </c>
      <c r="BC22" s="57">
        <v>4</v>
      </c>
      <c r="BD22" s="57">
        <v>4</v>
      </c>
      <c r="BE22" s="58">
        <v>2</v>
      </c>
      <c r="BF22" s="57">
        <v>4</v>
      </c>
      <c r="BG22" s="57">
        <v>4</v>
      </c>
      <c r="BH22" s="57">
        <v>4</v>
      </c>
      <c r="BI22" s="57">
        <v>4</v>
      </c>
      <c r="BJ22" s="57">
        <v>4</v>
      </c>
      <c r="BK22" s="57">
        <v>4</v>
      </c>
      <c r="BL22" s="57">
        <v>4</v>
      </c>
      <c r="BM22" s="57">
        <v>4</v>
      </c>
      <c r="BN22" s="57">
        <v>4</v>
      </c>
      <c r="BO22" s="57">
        <v>4</v>
      </c>
      <c r="BP22" s="57">
        <v>4</v>
      </c>
      <c r="BQ22" s="57">
        <v>4</v>
      </c>
      <c r="BR22" s="57">
        <v>4</v>
      </c>
      <c r="BS22" s="57">
        <v>4</v>
      </c>
      <c r="BT22" s="57">
        <v>4</v>
      </c>
      <c r="BU22" s="57">
        <v>4</v>
      </c>
      <c r="BV22" s="57">
        <v>4</v>
      </c>
      <c r="BW22" s="57">
        <v>4</v>
      </c>
      <c r="BX22" s="57">
        <v>4</v>
      </c>
      <c r="BY22" s="58">
        <v>2</v>
      </c>
      <c r="BZ22" s="57">
        <v>4</v>
      </c>
      <c r="CA22" s="57">
        <v>4</v>
      </c>
      <c r="CB22" s="57">
        <v>4</v>
      </c>
      <c r="CC22" s="57">
        <v>4</v>
      </c>
      <c r="CD22" s="57">
        <v>4</v>
      </c>
      <c r="CE22" s="58">
        <v>2</v>
      </c>
      <c r="CF22" s="57">
        <v>4</v>
      </c>
      <c r="CG22" s="57">
        <v>4</v>
      </c>
      <c r="CH22" s="57">
        <v>4</v>
      </c>
      <c r="CI22" s="57">
        <v>4</v>
      </c>
      <c r="CJ22" s="57">
        <v>4</v>
      </c>
      <c r="CK22" s="57">
        <v>4</v>
      </c>
      <c r="CL22" s="57">
        <v>4</v>
      </c>
      <c r="CM22" s="57">
        <v>4</v>
      </c>
      <c r="CN22" s="57">
        <v>4</v>
      </c>
      <c r="CO22" s="57">
        <v>4</v>
      </c>
      <c r="CP22" s="57">
        <v>4</v>
      </c>
      <c r="CQ22" s="58">
        <v>2</v>
      </c>
      <c r="CR22" s="57">
        <v>4</v>
      </c>
      <c r="CS22" s="57">
        <v>4</v>
      </c>
      <c r="CT22" s="57">
        <v>4</v>
      </c>
      <c r="CU22" s="57">
        <v>4</v>
      </c>
      <c r="CV22" s="57">
        <v>4</v>
      </c>
      <c r="CW22" s="58">
        <v>2</v>
      </c>
      <c r="CX22" s="57">
        <v>4</v>
      </c>
      <c r="CY22" s="57">
        <v>4</v>
      </c>
      <c r="CZ22" s="58">
        <v>2</v>
      </c>
      <c r="DA22" s="57">
        <v>4</v>
      </c>
      <c r="DB22" s="57">
        <v>4</v>
      </c>
      <c r="DC22" s="57">
        <v>4</v>
      </c>
      <c r="DD22" s="57">
        <v>4</v>
      </c>
      <c r="DE22" s="57">
        <v>4</v>
      </c>
      <c r="DF22" s="57">
        <v>4</v>
      </c>
      <c r="DG22" s="57">
        <v>4</v>
      </c>
      <c r="DH22" s="57">
        <v>4</v>
      </c>
      <c r="DI22" s="57">
        <v>4</v>
      </c>
      <c r="DJ22" s="57">
        <v>4</v>
      </c>
      <c r="DK22" s="57">
        <v>4</v>
      </c>
      <c r="DL22" s="57">
        <v>4</v>
      </c>
      <c r="DM22" s="57">
        <v>4</v>
      </c>
      <c r="DN22" s="58">
        <v>2</v>
      </c>
      <c r="DO22" s="57">
        <v>4</v>
      </c>
      <c r="DP22" s="57">
        <v>4</v>
      </c>
      <c r="DQ22" s="58">
        <v>2</v>
      </c>
      <c r="DR22" s="57">
        <v>4</v>
      </c>
      <c r="DS22" s="57">
        <v>4</v>
      </c>
      <c r="DT22" s="57">
        <v>4</v>
      </c>
      <c r="DU22" s="1" t="s">
        <v>1324</v>
      </c>
    </row>
    <row r="23" spans="1:125" x14ac:dyDescent="0.2">
      <c r="A23" s="50" t="s">
        <v>1355</v>
      </c>
      <c r="B23" s="1" t="s">
        <v>1303</v>
      </c>
      <c r="C23" s="1" t="s">
        <v>1322</v>
      </c>
      <c r="D23" t="s">
        <v>1356</v>
      </c>
      <c r="E23" s="56">
        <v>1</v>
      </c>
      <c r="F23" s="57">
        <v>4</v>
      </c>
      <c r="G23" s="57">
        <v>4</v>
      </c>
      <c r="H23" s="57">
        <v>4</v>
      </c>
      <c r="I23" s="59">
        <v>3</v>
      </c>
      <c r="J23" s="56">
        <v>1</v>
      </c>
      <c r="K23" s="57">
        <v>4</v>
      </c>
      <c r="L23" s="57">
        <v>4</v>
      </c>
      <c r="M23" s="57">
        <v>4</v>
      </c>
      <c r="N23" s="56">
        <v>1</v>
      </c>
      <c r="O23" s="57">
        <v>4</v>
      </c>
      <c r="P23" s="57">
        <v>4</v>
      </c>
      <c r="Q23" s="57">
        <v>4</v>
      </c>
      <c r="R23" s="57">
        <v>4</v>
      </c>
      <c r="S23" s="57">
        <v>4</v>
      </c>
      <c r="T23" s="57">
        <v>4</v>
      </c>
      <c r="U23" s="56">
        <v>1</v>
      </c>
      <c r="V23" s="57">
        <v>4</v>
      </c>
      <c r="W23" s="57">
        <v>4</v>
      </c>
      <c r="X23" s="57">
        <v>4</v>
      </c>
      <c r="Y23" s="58">
        <v>2</v>
      </c>
      <c r="Z23" s="57">
        <v>4</v>
      </c>
      <c r="AA23" s="57">
        <v>4</v>
      </c>
      <c r="AB23" s="57">
        <v>4</v>
      </c>
      <c r="AC23" s="57">
        <v>4</v>
      </c>
      <c r="AD23" s="57">
        <v>4</v>
      </c>
      <c r="AE23" s="57">
        <v>4</v>
      </c>
      <c r="AF23" s="56">
        <v>1</v>
      </c>
      <c r="AG23" s="57">
        <v>4</v>
      </c>
      <c r="AH23" s="57">
        <v>4</v>
      </c>
      <c r="AI23" s="57">
        <v>4</v>
      </c>
      <c r="AJ23" s="58">
        <v>2</v>
      </c>
      <c r="AK23" s="57">
        <v>4</v>
      </c>
      <c r="AL23" s="57">
        <v>4</v>
      </c>
      <c r="AM23" s="57">
        <v>4</v>
      </c>
      <c r="AN23" s="58">
        <v>2</v>
      </c>
      <c r="AO23" s="57">
        <v>4</v>
      </c>
      <c r="AP23" s="57">
        <v>4</v>
      </c>
      <c r="AQ23" s="57">
        <v>4</v>
      </c>
      <c r="AR23" s="57">
        <v>4</v>
      </c>
      <c r="AS23" s="57">
        <v>4</v>
      </c>
      <c r="AT23" s="57">
        <v>4</v>
      </c>
      <c r="AU23" s="57">
        <v>4</v>
      </c>
      <c r="AV23" s="57">
        <v>4</v>
      </c>
      <c r="AW23" s="57">
        <v>4</v>
      </c>
      <c r="AX23" s="57">
        <v>4</v>
      </c>
      <c r="AY23" s="57">
        <v>4</v>
      </c>
      <c r="AZ23" s="57">
        <v>4</v>
      </c>
      <c r="BA23" s="57">
        <v>4</v>
      </c>
      <c r="BB23" s="57">
        <v>4</v>
      </c>
      <c r="BC23" s="57">
        <v>4</v>
      </c>
      <c r="BD23" s="57">
        <v>4</v>
      </c>
      <c r="BE23" s="58">
        <v>2</v>
      </c>
      <c r="BF23" s="57">
        <v>4</v>
      </c>
      <c r="BG23" s="57">
        <v>4</v>
      </c>
      <c r="BH23" s="57">
        <v>4</v>
      </c>
      <c r="BI23" s="57">
        <v>4</v>
      </c>
      <c r="BJ23" s="57">
        <v>4</v>
      </c>
      <c r="BK23" s="57">
        <v>4</v>
      </c>
      <c r="BL23" s="57">
        <v>4</v>
      </c>
      <c r="BM23" s="57">
        <v>4</v>
      </c>
      <c r="BN23" s="57">
        <v>4</v>
      </c>
      <c r="BO23" s="57">
        <v>4</v>
      </c>
      <c r="BP23" s="57">
        <v>4</v>
      </c>
      <c r="BQ23" s="57">
        <v>4</v>
      </c>
      <c r="BR23" s="57">
        <v>4</v>
      </c>
      <c r="BS23" s="57">
        <v>4</v>
      </c>
      <c r="BT23" s="57">
        <v>4</v>
      </c>
      <c r="BU23" s="57">
        <v>4</v>
      </c>
      <c r="BV23" s="57">
        <v>4</v>
      </c>
      <c r="BW23" s="57">
        <v>4</v>
      </c>
      <c r="BX23" s="57">
        <v>4</v>
      </c>
      <c r="BY23" s="58">
        <v>2</v>
      </c>
      <c r="BZ23" s="57">
        <v>4</v>
      </c>
      <c r="CA23" s="57">
        <v>4</v>
      </c>
      <c r="CB23" s="57">
        <v>4</v>
      </c>
      <c r="CC23" s="57">
        <v>4</v>
      </c>
      <c r="CD23" s="57">
        <v>4</v>
      </c>
      <c r="CE23" s="58">
        <v>2</v>
      </c>
      <c r="CF23" s="57">
        <v>4</v>
      </c>
      <c r="CG23" s="57">
        <v>4</v>
      </c>
      <c r="CH23" s="57">
        <v>4</v>
      </c>
      <c r="CI23" s="57">
        <v>4</v>
      </c>
      <c r="CJ23" s="57">
        <v>4</v>
      </c>
      <c r="CK23" s="57">
        <v>4</v>
      </c>
      <c r="CL23" s="57">
        <v>4</v>
      </c>
      <c r="CM23" s="57">
        <v>4</v>
      </c>
      <c r="CN23" s="57">
        <v>4</v>
      </c>
      <c r="CO23" s="57">
        <v>4</v>
      </c>
      <c r="CP23" s="57">
        <v>4</v>
      </c>
      <c r="CQ23" s="58">
        <v>2</v>
      </c>
      <c r="CR23" s="57">
        <v>4</v>
      </c>
      <c r="CS23" s="57">
        <v>4</v>
      </c>
      <c r="CT23" s="57">
        <v>4</v>
      </c>
      <c r="CU23" s="57">
        <v>4</v>
      </c>
      <c r="CV23" s="57">
        <v>4</v>
      </c>
      <c r="CW23" s="58">
        <v>2</v>
      </c>
      <c r="CX23" s="57">
        <v>4</v>
      </c>
      <c r="CY23" s="57">
        <v>4</v>
      </c>
      <c r="CZ23" s="58">
        <v>2</v>
      </c>
      <c r="DA23" s="57">
        <v>4</v>
      </c>
      <c r="DB23" s="57">
        <v>4</v>
      </c>
      <c r="DC23" s="57">
        <v>4</v>
      </c>
      <c r="DD23" s="57">
        <v>4</v>
      </c>
      <c r="DE23" s="57">
        <v>4</v>
      </c>
      <c r="DF23" s="57">
        <v>4</v>
      </c>
      <c r="DG23" s="57">
        <v>4</v>
      </c>
      <c r="DH23" s="57">
        <v>4</v>
      </c>
      <c r="DI23" s="57">
        <v>4</v>
      </c>
      <c r="DJ23" s="57">
        <v>4</v>
      </c>
      <c r="DK23" s="57">
        <v>4</v>
      </c>
      <c r="DL23" s="57">
        <v>4</v>
      </c>
      <c r="DM23" s="57">
        <v>4</v>
      </c>
      <c r="DN23" s="58">
        <v>2</v>
      </c>
      <c r="DO23" s="57">
        <v>4</v>
      </c>
      <c r="DP23" s="57">
        <v>4</v>
      </c>
      <c r="DQ23" s="58">
        <v>2</v>
      </c>
      <c r="DR23" s="57">
        <v>4</v>
      </c>
      <c r="DS23" s="57">
        <v>4</v>
      </c>
      <c r="DT23" s="57">
        <v>4</v>
      </c>
      <c r="DU23" s="1" t="s">
        <v>1324</v>
      </c>
    </row>
    <row r="24" spans="1:125" x14ac:dyDescent="0.2">
      <c r="A24" s="50" t="s">
        <v>1357</v>
      </c>
      <c r="B24" s="1" t="s">
        <v>1303</v>
      </c>
      <c r="C24" s="1" t="s">
        <v>1322</v>
      </c>
      <c r="D24" t="s">
        <v>1358</v>
      </c>
      <c r="E24" s="56">
        <v>1</v>
      </c>
      <c r="F24" s="57">
        <v>4</v>
      </c>
      <c r="G24" s="57">
        <v>4</v>
      </c>
      <c r="H24" s="57">
        <v>4</v>
      </c>
      <c r="I24" s="59">
        <v>3</v>
      </c>
      <c r="J24" s="56">
        <v>1</v>
      </c>
      <c r="K24" s="57">
        <v>4</v>
      </c>
      <c r="L24" s="57">
        <v>4</v>
      </c>
      <c r="M24" s="57">
        <v>4</v>
      </c>
      <c r="N24" s="56">
        <v>1</v>
      </c>
      <c r="O24" s="57">
        <v>4</v>
      </c>
      <c r="P24" s="57">
        <v>4</v>
      </c>
      <c r="Q24" s="57">
        <v>4</v>
      </c>
      <c r="R24" s="57">
        <v>4</v>
      </c>
      <c r="S24" s="57">
        <v>4</v>
      </c>
      <c r="T24" s="57">
        <v>4</v>
      </c>
      <c r="U24" s="56">
        <v>1</v>
      </c>
      <c r="V24" s="57">
        <v>4</v>
      </c>
      <c r="W24" s="57">
        <v>4</v>
      </c>
      <c r="X24" s="57">
        <v>4</v>
      </c>
      <c r="Y24" s="58">
        <v>2</v>
      </c>
      <c r="Z24" s="57">
        <v>4</v>
      </c>
      <c r="AA24" s="57">
        <v>4</v>
      </c>
      <c r="AB24" s="57">
        <v>4</v>
      </c>
      <c r="AC24" s="57">
        <v>4</v>
      </c>
      <c r="AD24" s="57">
        <v>4</v>
      </c>
      <c r="AE24" s="57">
        <v>4</v>
      </c>
      <c r="AF24" s="56">
        <v>1</v>
      </c>
      <c r="AG24" s="57">
        <v>4</v>
      </c>
      <c r="AH24" s="57">
        <v>4</v>
      </c>
      <c r="AI24" s="57">
        <v>4</v>
      </c>
      <c r="AJ24" s="56">
        <v>1</v>
      </c>
      <c r="AK24" s="57">
        <v>4</v>
      </c>
      <c r="AL24" s="57">
        <v>4</v>
      </c>
      <c r="AM24" s="57">
        <v>4</v>
      </c>
      <c r="AN24" s="58">
        <v>2</v>
      </c>
      <c r="AO24" s="57">
        <v>4</v>
      </c>
      <c r="AP24" s="57">
        <v>4</v>
      </c>
      <c r="AQ24" s="57">
        <v>4</v>
      </c>
      <c r="AR24" s="57">
        <v>4</v>
      </c>
      <c r="AS24" s="57">
        <v>4</v>
      </c>
      <c r="AT24" s="57">
        <v>4</v>
      </c>
      <c r="AU24" s="57">
        <v>4</v>
      </c>
      <c r="AV24" s="57">
        <v>4</v>
      </c>
      <c r="AW24" s="57">
        <v>4</v>
      </c>
      <c r="AX24" s="57">
        <v>4</v>
      </c>
      <c r="AY24" s="57">
        <v>4</v>
      </c>
      <c r="AZ24" s="57">
        <v>4</v>
      </c>
      <c r="BA24" s="57">
        <v>4</v>
      </c>
      <c r="BB24" s="57">
        <v>4</v>
      </c>
      <c r="BC24" s="57">
        <v>4</v>
      </c>
      <c r="BD24" s="57">
        <v>4</v>
      </c>
      <c r="BE24" s="58">
        <v>2</v>
      </c>
      <c r="BF24" s="57">
        <v>4</v>
      </c>
      <c r="BG24" s="57">
        <v>4</v>
      </c>
      <c r="BH24" s="57">
        <v>4</v>
      </c>
      <c r="BI24" s="57">
        <v>4</v>
      </c>
      <c r="BJ24" s="57">
        <v>4</v>
      </c>
      <c r="BK24" s="57">
        <v>4</v>
      </c>
      <c r="BL24" s="57">
        <v>4</v>
      </c>
      <c r="BM24" s="57">
        <v>4</v>
      </c>
      <c r="BN24" s="57">
        <v>4</v>
      </c>
      <c r="BO24" s="57">
        <v>4</v>
      </c>
      <c r="BP24" s="57">
        <v>4</v>
      </c>
      <c r="BQ24" s="57">
        <v>4</v>
      </c>
      <c r="BR24" s="57">
        <v>4</v>
      </c>
      <c r="BS24" s="57">
        <v>4</v>
      </c>
      <c r="BT24" s="57">
        <v>4</v>
      </c>
      <c r="BU24" s="57">
        <v>4</v>
      </c>
      <c r="BV24" s="57">
        <v>4</v>
      </c>
      <c r="BW24" s="57">
        <v>4</v>
      </c>
      <c r="BX24" s="57">
        <v>4</v>
      </c>
      <c r="BY24" s="58">
        <v>2</v>
      </c>
      <c r="BZ24" s="57">
        <v>4</v>
      </c>
      <c r="CA24" s="57">
        <v>4</v>
      </c>
      <c r="CB24" s="57">
        <v>4</v>
      </c>
      <c r="CC24" s="57">
        <v>4</v>
      </c>
      <c r="CD24" s="57">
        <v>4</v>
      </c>
      <c r="CE24" s="58">
        <v>2</v>
      </c>
      <c r="CF24" s="57">
        <v>4</v>
      </c>
      <c r="CG24" s="57">
        <v>4</v>
      </c>
      <c r="CH24" s="57">
        <v>4</v>
      </c>
      <c r="CI24" s="57">
        <v>4</v>
      </c>
      <c r="CJ24" s="57">
        <v>4</v>
      </c>
      <c r="CK24" s="57">
        <v>4</v>
      </c>
      <c r="CL24" s="57">
        <v>4</v>
      </c>
      <c r="CM24" s="57">
        <v>4</v>
      </c>
      <c r="CN24" s="57">
        <v>4</v>
      </c>
      <c r="CO24" s="57">
        <v>4</v>
      </c>
      <c r="CP24" s="57">
        <v>4</v>
      </c>
      <c r="CQ24" s="58">
        <v>2</v>
      </c>
      <c r="CR24" s="57">
        <v>4</v>
      </c>
      <c r="CS24" s="57">
        <v>4</v>
      </c>
      <c r="CT24" s="57">
        <v>4</v>
      </c>
      <c r="CU24" s="57">
        <v>4</v>
      </c>
      <c r="CV24" s="57">
        <v>4</v>
      </c>
      <c r="CW24" s="58">
        <v>2</v>
      </c>
      <c r="CX24" s="57">
        <v>4</v>
      </c>
      <c r="CY24" s="57">
        <v>4</v>
      </c>
      <c r="CZ24" s="58">
        <v>2</v>
      </c>
      <c r="DA24" s="57">
        <v>4</v>
      </c>
      <c r="DB24" s="57">
        <v>4</v>
      </c>
      <c r="DC24" s="57">
        <v>4</v>
      </c>
      <c r="DD24" s="57">
        <v>4</v>
      </c>
      <c r="DE24" s="57">
        <v>4</v>
      </c>
      <c r="DF24" s="57">
        <v>4</v>
      </c>
      <c r="DG24" s="57">
        <v>4</v>
      </c>
      <c r="DH24" s="57">
        <v>4</v>
      </c>
      <c r="DI24" s="57">
        <v>4</v>
      </c>
      <c r="DJ24" s="57">
        <v>4</v>
      </c>
      <c r="DK24" s="57">
        <v>4</v>
      </c>
      <c r="DL24" s="57">
        <v>4</v>
      </c>
      <c r="DM24" s="57">
        <v>4</v>
      </c>
      <c r="DN24" s="58">
        <v>2</v>
      </c>
      <c r="DO24" s="57">
        <v>4</v>
      </c>
      <c r="DP24" s="57">
        <v>4</v>
      </c>
      <c r="DQ24" s="58">
        <v>2</v>
      </c>
      <c r="DR24" s="57">
        <v>4</v>
      </c>
      <c r="DS24" s="57">
        <v>4</v>
      </c>
      <c r="DT24" s="57">
        <v>4</v>
      </c>
      <c r="DU24" s="1" t="s">
        <v>1324</v>
      </c>
    </row>
    <row r="25" spans="1:125" x14ac:dyDescent="0.2">
      <c r="A25" s="50" t="s">
        <v>1359</v>
      </c>
      <c r="B25" s="1" t="s">
        <v>1303</v>
      </c>
      <c r="C25" s="1" t="s">
        <v>1322</v>
      </c>
      <c r="D25" t="s">
        <v>1360</v>
      </c>
      <c r="E25" s="56">
        <v>1</v>
      </c>
      <c r="F25" s="57">
        <v>4</v>
      </c>
      <c r="G25" s="57">
        <v>4</v>
      </c>
      <c r="H25" s="57">
        <v>4</v>
      </c>
      <c r="I25" s="59">
        <v>3</v>
      </c>
      <c r="J25" s="56">
        <v>1</v>
      </c>
      <c r="K25" s="57">
        <v>4</v>
      </c>
      <c r="L25" s="57">
        <v>4</v>
      </c>
      <c r="M25" s="57">
        <v>4</v>
      </c>
      <c r="N25" s="56">
        <v>1</v>
      </c>
      <c r="O25" s="57">
        <v>4</v>
      </c>
      <c r="P25" s="57">
        <v>4</v>
      </c>
      <c r="Q25" s="57">
        <v>4</v>
      </c>
      <c r="R25" s="57">
        <v>4</v>
      </c>
      <c r="S25" s="57">
        <v>4</v>
      </c>
      <c r="T25" s="57">
        <v>4</v>
      </c>
      <c r="U25" s="56">
        <v>1</v>
      </c>
      <c r="V25" s="57">
        <v>4</v>
      </c>
      <c r="W25" s="57">
        <v>4</v>
      </c>
      <c r="X25" s="57">
        <v>4</v>
      </c>
      <c r="Y25" s="58">
        <v>2</v>
      </c>
      <c r="Z25" s="57">
        <v>4</v>
      </c>
      <c r="AA25" s="57">
        <v>4</v>
      </c>
      <c r="AB25" s="57">
        <v>4</v>
      </c>
      <c r="AC25" s="57">
        <v>4</v>
      </c>
      <c r="AD25" s="57">
        <v>4</v>
      </c>
      <c r="AE25" s="57">
        <v>4</v>
      </c>
      <c r="AF25" s="56">
        <v>1</v>
      </c>
      <c r="AG25" s="57">
        <v>4</v>
      </c>
      <c r="AH25" s="57">
        <v>4</v>
      </c>
      <c r="AI25" s="57">
        <v>4</v>
      </c>
      <c r="AJ25" s="56">
        <v>1</v>
      </c>
      <c r="AK25" s="57">
        <v>4</v>
      </c>
      <c r="AL25" s="57">
        <v>4</v>
      </c>
      <c r="AM25" s="57">
        <v>4</v>
      </c>
      <c r="AN25" s="58">
        <v>2</v>
      </c>
      <c r="AO25" s="57">
        <v>4</v>
      </c>
      <c r="AP25" s="57">
        <v>4</v>
      </c>
      <c r="AQ25" s="57">
        <v>4</v>
      </c>
      <c r="AR25" s="57">
        <v>4</v>
      </c>
      <c r="AS25" s="57">
        <v>4</v>
      </c>
      <c r="AT25" s="57">
        <v>4</v>
      </c>
      <c r="AU25" s="57">
        <v>4</v>
      </c>
      <c r="AV25" s="57">
        <v>4</v>
      </c>
      <c r="AW25" s="57">
        <v>4</v>
      </c>
      <c r="AX25" s="57">
        <v>4</v>
      </c>
      <c r="AY25" s="57">
        <v>4</v>
      </c>
      <c r="AZ25" s="57">
        <v>4</v>
      </c>
      <c r="BA25" s="57">
        <v>4</v>
      </c>
      <c r="BB25" s="57">
        <v>4</v>
      </c>
      <c r="BC25" s="57">
        <v>4</v>
      </c>
      <c r="BD25" s="57">
        <v>4</v>
      </c>
      <c r="BE25" s="58">
        <v>2</v>
      </c>
      <c r="BF25" s="57">
        <v>4</v>
      </c>
      <c r="BG25" s="57">
        <v>4</v>
      </c>
      <c r="BH25" s="57">
        <v>4</v>
      </c>
      <c r="BI25" s="57">
        <v>4</v>
      </c>
      <c r="BJ25" s="57">
        <v>4</v>
      </c>
      <c r="BK25" s="57">
        <v>4</v>
      </c>
      <c r="BL25" s="57">
        <v>4</v>
      </c>
      <c r="BM25" s="57">
        <v>4</v>
      </c>
      <c r="BN25" s="57">
        <v>4</v>
      </c>
      <c r="BO25" s="57">
        <v>4</v>
      </c>
      <c r="BP25" s="57">
        <v>4</v>
      </c>
      <c r="BQ25" s="57">
        <v>4</v>
      </c>
      <c r="BR25" s="57">
        <v>4</v>
      </c>
      <c r="BS25" s="57">
        <v>4</v>
      </c>
      <c r="BT25" s="57">
        <v>4</v>
      </c>
      <c r="BU25" s="57">
        <v>4</v>
      </c>
      <c r="BV25" s="57">
        <v>4</v>
      </c>
      <c r="BW25" s="57">
        <v>4</v>
      </c>
      <c r="BX25" s="57">
        <v>4</v>
      </c>
      <c r="BY25" s="58">
        <v>2</v>
      </c>
      <c r="BZ25" s="57">
        <v>4</v>
      </c>
      <c r="CA25" s="57">
        <v>4</v>
      </c>
      <c r="CB25" s="57">
        <v>4</v>
      </c>
      <c r="CC25" s="57">
        <v>4</v>
      </c>
      <c r="CD25" s="57">
        <v>4</v>
      </c>
      <c r="CE25" s="58">
        <v>2</v>
      </c>
      <c r="CF25" s="57">
        <v>4</v>
      </c>
      <c r="CG25" s="57">
        <v>4</v>
      </c>
      <c r="CH25" s="57">
        <v>4</v>
      </c>
      <c r="CI25" s="57">
        <v>4</v>
      </c>
      <c r="CJ25" s="57">
        <v>4</v>
      </c>
      <c r="CK25" s="57">
        <v>4</v>
      </c>
      <c r="CL25" s="57">
        <v>4</v>
      </c>
      <c r="CM25" s="57">
        <v>4</v>
      </c>
      <c r="CN25" s="57">
        <v>4</v>
      </c>
      <c r="CO25" s="57">
        <v>4</v>
      </c>
      <c r="CP25" s="57">
        <v>4</v>
      </c>
      <c r="CQ25" s="58">
        <v>2</v>
      </c>
      <c r="CR25" s="57">
        <v>4</v>
      </c>
      <c r="CS25" s="57">
        <v>4</v>
      </c>
      <c r="CT25" s="57">
        <v>4</v>
      </c>
      <c r="CU25" s="57">
        <v>4</v>
      </c>
      <c r="CV25" s="57">
        <v>4</v>
      </c>
      <c r="CW25" s="58">
        <v>2</v>
      </c>
      <c r="CX25" s="57">
        <v>4</v>
      </c>
      <c r="CY25" s="57">
        <v>4</v>
      </c>
      <c r="CZ25" s="58">
        <v>2</v>
      </c>
      <c r="DA25" s="57">
        <v>4</v>
      </c>
      <c r="DB25" s="57">
        <v>4</v>
      </c>
      <c r="DC25" s="57">
        <v>4</v>
      </c>
      <c r="DD25" s="57">
        <v>4</v>
      </c>
      <c r="DE25" s="57">
        <v>4</v>
      </c>
      <c r="DF25" s="57">
        <v>4</v>
      </c>
      <c r="DG25" s="57">
        <v>4</v>
      </c>
      <c r="DH25" s="57">
        <v>4</v>
      </c>
      <c r="DI25" s="57">
        <v>4</v>
      </c>
      <c r="DJ25" s="57">
        <v>4</v>
      </c>
      <c r="DK25" s="57">
        <v>4</v>
      </c>
      <c r="DL25" s="57">
        <v>4</v>
      </c>
      <c r="DM25" s="57">
        <v>4</v>
      </c>
      <c r="DN25" s="58">
        <v>2</v>
      </c>
      <c r="DO25" s="57">
        <v>4</v>
      </c>
      <c r="DP25" s="57">
        <v>4</v>
      </c>
      <c r="DQ25" s="58">
        <v>2</v>
      </c>
      <c r="DR25" s="57">
        <v>4</v>
      </c>
      <c r="DS25" s="57">
        <v>4</v>
      </c>
      <c r="DT25" s="57">
        <v>4</v>
      </c>
      <c r="DU25" s="1" t="s">
        <v>1324</v>
      </c>
    </row>
    <row r="26" spans="1:125" x14ac:dyDescent="0.2">
      <c r="A26" s="50" t="s">
        <v>1361</v>
      </c>
      <c r="B26" s="1" t="s">
        <v>1303</v>
      </c>
      <c r="C26" s="1" t="s">
        <v>1322</v>
      </c>
      <c r="D26" t="s">
        <v>1362</v>
      </c>
      <c r="E26" s="56">
        <v>1</v>
      </c>
      <c r="F26" s="57">
        <v>4</v>
      </c>
      <c r="G26" s="57">
        <v>4</v>
      </c>
      <c r="H26" s="57">
        <v>4</v>
      </c>
      <c r="I26" s="59">
        <v>3</v>
      </c>
      <c r="J26" s="56">
        <v>1</v>
      </c>
      <c r="K26" s="57">
        <v>4</v>
      </c>
      <c r="L26" s="57">
        <v>4</v>
      </c>
      <c r="M26" s="57">
        <v>4</v>
      </c>
      <c r="N26" s="56">
        <v>1</v>
      </c>
      <c r="O26" s="57">
        <v>4</v>
      </c>
      <c r="P26" s="57">
        <v>4</v>
      </c>
      <c r="Q26" s="57">
        <v>4</v>
      </c>
      <c r="R26" s="57">
        <v>4</v>
      </c>
      <c r="S26" s="57">
        <v>4</v>
      </c>
      <c r="T26" s="57">
        <v>4</v>
      </c>
      <c r="U26" s="56">
        <v>1</v>
      </c>
      <c r="V26" s="57">
        <v>4</v>
      </c>
      <c r="W26" s="57">
        <v>4</v>
      </c>
      <c r="X26" s="57">
        <v>4</v>
      </c>
      <c r="Y26" s="58">
        <v>2</v>
      </c>
      <c r="Z26" s="57">
        <v>4</v>
      </c>
      <c r="AA26" s="57">
        <v>4</v>
      </c>
      <c r="AB26" s="57">
        <v>4</v>
      </c>
      <c r="AC26" s="57">
        <v>4</v>
      </c>
      <c r="AD26" s="57">
        <v>4</v>
      </c>
      <c r="AE26" s="57">
        <v>4</v>
      </c>
      <c r="AF26" s="56">
        <v>1</v>
      </c>
      <c r="AG26" s="57">
        <v>4</v>
      </c>
      <c r="AH26" s="57">
        <v>4</v>
      </c>
      <c r="AI26" s="57">
        <v>4</v>
      </c>
      <c r="AJ26" s="56">
        <v>1</v>
      </c>
      <c r="AK26" s="57">
        <v>4</v>
      </c>
      <c r="AL26" s="57">
        <v>4</v>
      </c>
      <c r="AM26" s="57">
        <v>4</v>
      </c>
      <c r="AN26" s="58">
        <v>2</v>
      </c>
      <c r="AO26" s="57">
        <v>4</v>
      </c>
      <c r="AP26" s="57">
        <v>4</v>
      </c>
      <c r="AQ26" s="57">
        <v>4</v>
      </c>
      <c r="AR26" s="57">
        <v>4</v>
      </c>
      <c r="AS26" s="57">
        <v>4</v>
      </c>
      <c r="AT26" s="57">
        <v>4</v>
      </c>
      <c r="AU26" s="57">
        <v>4</v>
      </c>
      <c r="AV26" s="57">
        <v>4</v>
      </c>
      <c r="AW26" s="57">
        <v>4</v>
      </c>
      <c r="AX26" s="57">
        <v>4</v>
      </c>
      <c r="AY26" s="57">
        <v>4</v>
      </c>
      <c r="AZ26" s="57">
        <v>4</v>
      </c>
      <c r="BA26" s="57">
        <v>4</v>
      </c>
      <c r="BB26" s="57">
        <v>4</v>
      </c>
      <c r="BC26" s="57">
        <v>4</v>
      </c>
      <c r="BD26" s="57">
        <v>4</v>
      </c>
      <c r="BE26" s="58">
        <v>2</v>
      </c>
      <c r="BF26" s="57">
        <v>4</v>
      </c>
      <c r="BG26" s="57">
        <v>4</v>
      </c>
      <c r="BH26" s="57">
        <v>4</v>
      </c>
      <c r="BI26" s="57">
        <v>4</v>
      </c>
      <c r="BJ26" s="57">
        <v>4</v>
      </c>
      <c r="BK26" s="57">
        <v>4</v>
      </c>
      <c r="BL26" s="57">
        <v>4</v>
      </c>
      <c r="BM26" s="57">
        <v>4</v>
      </c>
      <c r="BN26" s="57">
        <v>4</v>
      </c>
      <c r="BO26" s="57">
        <v>4</v>
      </c>
      <c r="BP26" s="57">
        <v>4</v>
      </c>
      <c r="BQ26" s="57">
        <v>4</v>
      </c>
      <c r="BR26" s="57">
        <v>4</v>
      </c>
      <c r="BS26" s="57">
        <v>4</v>
      </c>
      <c r="BT26" s="57">
        <v>4</v>
      </c>
      <c r="BU26" s="57">
        <v>4</v>
      </c>
      <c r="BV26" s="57">
        <v>4</v>
      </c>
      <c r="BW26" s="57">
        <v>4</v>
      </c>
      <c r="BX26" s="57">
        <v>4</v>
      </c>
      <c r="BY26" s="58">
        <v>2</v>
      </c>
      <c r="BZ26" s="57">
        <v>4</v>
      </c>
      <c r="CA26" s="57">
        <v>4</v>
      </c>
      <c r="CB26" s="57">
        <v>4</v>
      </c>
      <c r="CC26" s="57">
        <v>4</v>
      </c>
      <c r="CD26" s="57">
        <v>4</v>
      </c>
      <c r="CE26" s="58">
        <v>2</v>
      </c>
      <c r="CF26" s="57">
        <v>4</v>
      </c>
      <c r="CG26" s="57">
        <v>4</v>
      </c>
      <c r="CH26" s="57">
        <v>4</v>
      </c>
      <c r="CI26" s="57">
        <v>4</v>
      </c>
      <c r="CJ26" s="57">
        <v>4</v>
      </c>
      <c r="CK26" s="57">
        <v>4</v>
      </c>
      <c r="CL26" s="57">
        <v>4</v>
      </c>
      <c r="CM26" s="57">
        <v>4</v>
      </c>
      <c r="CN26" s="57">
        <v>4</v>
      </c>
      <c r="CO26" s="57">
        <v>4</v>
      </c>
      <c r="CP26" s="57">
        <v>4</v>
      </c>
      <c r="CQ26" s="58">
        <v>2</v>
      </c>
      <c r="CR26" s="57">
        <v>4</v>
      </c>
      <c r="CS26" s="57">
        <v>4</v>
      </c>
      <c r="CT26" s="57">
        <v>4</v>
      </c>
      <c r="CU26" s="57">
        <v>4</v>
      </c>
      <c r="CV26" s="57">
        <v>4</v>
      </c>
      <c r="CW26" s="58">
        <v>2</v>
      </c>
      <c r="CX26" s="57">
        <v>4</v>
      </c>
      <c r="CY26" s="57">
        <v>4</v>
      </c>
      <c r="CZ26" s="58">
        <v>2</v>
      </c>
      <c r="DA26" s="57">
        <v>4</v>
      </c>
      <c r="DB26" s="57">
        <v>4</v>
      </c>
      <c r="DC26" s="57">
        <v>4</v>
      </c>
      <c r="DD26" s="57">
        <v>4</v>
      </c>
      <c r="DE26" s="57">
        <v>4</v>
      </c>
      <c r="DF26" s="57">
        <v>4</v>
      </c>
      <c r="DG26" s="57">
        <v>4</v>
      </c>
      <c r="DH26" s="57">
        <v>4</v>
      </c>
      <c r="DI26" s="57">
        <v>4</v>
      </c>
      <c r="DJ26" s="57">
        <v>4</v>
      </c>
      <c r="DK26" s="57">
        <v>4</v>
      </c>
      <c r="DL26" s="57">
        <v>4</v>
      </c>
      <c r="DM26" s="57">
        <v>4</v>
      </c>
      <c r="DN26" s="58">
        <v>2</v>
      </c>
      <c r="DO26" s="57">
        <v>4</v>
      </c>
      <c r="DP26" s="57">
        <v>4</v>
      </c>
      <c r="DQ26" s="58">
        <v>2</v>
      </c>
      <c r="DR26" s="57">
        <v>4</v>
      </c>
      <c r="DS26" s="57">
        <v>4</v>
      </c>
      <c r="DT26" s="57">
        <v>4</v>
      </c>
      <c r="DU26" s="1" t="s">
        <v>1324</v>
      </c>
    </row>
    <row r="27" spans="1:125" x14ac:dyDescent="0.2">
      <c r="A27" s="50" t="s">
        <v>1363</v>
      </c>
      <c r="B27" s="1" t="s">
        <v>1303</v>
      </c>
      <c r="C27" s="1" t="s">
        <v>1322</v>
      </c>
      <c r="D27" t="s">
        <v>1364</v>
      </c>
      <c r="E27" s="56">
        <v>1</v>
      </c>
      <c r="F27" s="57">
        <v>4</v>
      </c>
      <c r="G27" s="57">
        <v>4</v>
      </c>
      <c r="H27" s="57">
        <v>4</v>
      </c>
      <c r="I27" s="59">
        <v>3</v>
      </c>
      <c r="J27" s="56">
        <v>1</v>
      </c>
      <c r="K27" s="57">
        <v>4</v>
      </c>
      <c r="L27" s="57">
        <v>4</v>
      </c>
      <c r="M27" s="57">
        <v>4</v>
      </c>
      <c r="N27" s="56">
        <v>1</v>
      </c>
      <c r="O27" s="57">
        <v>4</v>
      </c>
      <c r="P27" s="57">
        <v>4</v>
      </c>
      <c r="Q27" s="57">
        <v>4</v>
      </c>
      <c r="R27" s="57">
        <v>4</v>
      </c>
      <c r="S27" s="57">
        <v>4</v>
      </c>
      <c r="T27" s="57">
        <v>4</v>
      </c>
      <c r="U27" s="56">
        <v>1</v>
      </c>
      <c r="V27" s="57">
        <v>4</v>
      </c>
      <c r="W27" s="57">
        <v>4</v>
      </c>
      <c r="X27" s="57">
        <v>4</v>
      </c>
      <c r="Y27" s="58">
        <v>2</v>
      </c>
      <c r="Z27" s="57">
        <v>4</v>
      </c>
      <c r="AA27" s="57">
        <v>4</v>
      </c>
      <c r="AB27" s="57">
        <v>4</v>
      </c>
      <c r="AC27" s="57">
        <v>4</v>
      </c>
      <c r="AD27" s="57">
        <v>4</v>
      </c>
      <c r="AE27" s="57">
        <v>4</v>
      </c>
      <c r="AF27" s="56">
        <v>1</v>
      </c>
      <c r="AG27" s="57">
        <v>4</v>
      </c>
      <c r="AH27" s="57">
        <v>4</v>
      </c>
      <c r="AI27" s="57">
        <v>4</v>
      </c>
      <c r="AJ27" s="56">
        <v>1</v>
      </c>
      <c r="AK27" s="57">
        <v>4</v>
      </c>
      <c r="AL27" s="57">
        <v>4</v>
      </c>
      <c r="AM27" s="57">
        <v>4</v>
      </c>
      <c r="AN27" s="58">
        <v>2</v>
      </c>
      <c r="AO27" s="57">
        <v>4</v>
      </c>
      <c r="AP27" s="57">
        <v>4</v>
      </c>
      <c r="AQ27" s="57">
        <v>4</v>
      </c>
      <c r="AR27" s="57">
        <v>4</v>
      </c>
      <c r="AS27" s="57">
        <v>4</v>
      </c>
      <c r="AT27" s="57">
        <v>4</v>
      </c>
      <c r="AU27" s="57">
        <v>4</v>
      </c>
      <c r="AV27" s="57">
        <v>4</v>
      </c>
      <c r="AW27" s="57">
        <v>4</v>
      </c>
      <c r="AX27" s="57">
        <v>4</v>
      </c>
      <c r="AY27" s="57">
        <v>4</v>
      </c>
      <c r="AZ27" s="57">
        <v>4</v>
      </c>
      <c r="BA27" s="57">
        <v>4</v>
      </c>
      <c r="BB27" s="57">
        <v>4</v>
      </c>
      <c r="BC27" s="57">
        <v>4</v>
      </c>
      <c r="BD27" s="57">
        <v>4</v>
      </c>
      <c r="BE27" s="58">
        <v>2</v>
      </c>
      <c r="BF27" s="57">
        <v>4</v>
      </c>
      <c r="BG27" s="57">
        <v>4</v>
      </c>
      <c r="BH27" s="57">
        <v>4</v>
      </c>
      <c r="BI27" s="57">
        <v>4</v>
      </c>
      <c r="BJ27" s="57">
        <v>4</v>
      </c>
      <c r="BK27" s="57">
        <v>4</v>
      </c>
      <c r="BL27" s="57">
        <v>4</v>
      </c>
      <c r="BM27" s="57">
        <v>4</v>
      </c>
      <c r="BN27" s="57">
        <v>4</v>
      </c>
      <c r="BO27" s="57">
        <v>4</v>
      </c>
      <c r="BP27" s="57">
        <v>4</v>
      </c>
      <c r="BQ27" s="57">
        <v>4</v>
      </c>
      <c r="BR27" s="57">
        <v>4</v>
      </c>
      <c r="BS27" s="57">
        <v>4</v>
      </c>
      <c r="BT27" s="57">
        <v>4</v>
      </c>
      <c r="BU27" s="57">
        <v>4</v>
      </c>
      <c r="BV27" s="57">
        <v>4</v>
      </c>
      <c r="BW27" s="57">
        <v>4</v>
      </c>
      <c r="BX27" s="57">
        <v>4</v>
      </c>
      <c r="BY27" s="58">
        <v>2</v>
      </c>
      <c r="BZ27" s="57">
        <v>4</v>
      </c>
      <c r="CA27" s="57">
        <v>4</v>
      </c>
      <c r="CB27" s="57">
        <v>4</v>
      </c>
      <c r="CC27" s="57">
        <v>4</v>
      </c>
      <c r="CD27" s="57">
        <v>4</v>
      </c>
      <c r="CE27" s="58">
        <v>2</v>
      </c>
      <c r="CF27" s="57">
        <v>4</v>
      </c>
      <c r="CG27" s="57">
        <v>4</v>
      </c>
      <c r="CH27" s="57">
        <v>4</v>
      </c>
      <c r="CI27" s="57">
        <v>4</v>
      </c>
      <c r="CJ27" s="57">
        <v>4</v>
      </c>
      <c r="CK27" s="57">
        <v>4</v>
      </c>
      <c r="CL27" s="57">
        <v>4</v>
      </c>
      <c r="CM27" s="57">
        <v>4</v>
      </c>
      <c r="CN27" s="57">
        <v>4</v>
      </c>
      <c r="CO27" s="57">
        <v>4</v>
      </c>
      <c r="CP27" s="57">
        <v>4</v>
      </c>
      <c r="CQ27" s="58">
        <v>2</v>
      </c>
      <c r="CR27" s="57">
        <v>4</v>
      </c>
      <c r="CS27" s="57">
        <v>4</v>
      </c>
      <c r="CT27" s="57">
        <v>4</v>
      </c>
      <c r="CU27" s="57">
        <v>4</v>
      </c>
      <c r="CV27" s="57">
        <v>4</v>
      </c>
      <c r="CW27" s="58">
        <v>2</v>
      </c>
      <c r="CX27" s="57">
        <v>4</v>
      </c>
      <c r="CY27" s="57">
        <v>4</v>
      </c>
      <c r="CZ27" s="58">
        <v>2</v>
      </c>
      <c r="DA27" s="57">
        <v>4</v>
      </c>
      <c r="DB27" s="57">
        <v>4</v>
      </c>
      <c r="DC27" s="57">
        <v>4</v>
      </c>
      <c r="DD27" s="57">
        <v>4</v>
      </c>
      <c r="DE27" s="57">
        <v>4</v>
      </c>
      <c r="DF27" s="57">
        <v>4</v>
      </c>
      <c r="DG27" s="57">
        <v>4</v>
      </c>
      <c r="DH27" s="57">
        <v>4</v>
      </c>
      <c r="DI27" s="57">
        <v>4</v>
      </c>
      <c r="DJ27" s="57">
        <v>4</v>
      </c>
      <c r="DK27" s="57">
        <v>4</v>
      </c>
      <c r="DL27" s="57">
        <v>4</v>
      </c>
      <c r="DM27" s="57">
        <v>4</v>
      </c>
      <c r="DN27" s="58">
        <v>2</v>
      </c>
      <c r="DO27" s="57">
        <v>4</v>
      </c>
      <c r="DP27" s="57">
        <v>4</v>
      </c>
      <c r="DQ27" s="58">
        <v>2</v>
      </c>
      <c r="DR27" s="57">
        <v>4</v>
      </c>
      <c r="DS27" s="57">
        <v>4</v>
      </c>
      <c r="DT27" s="57">
        <v>4</v>
      </c>
      <c r="DU27" s="1" t="s">
        <v>1324</v>
      </c>
    </row>
    <row r="28" spans="1:125" ht="18" x14ac:dyDescent="0.25">
      <c r="A28" s="50" t="s">
        <v>1365</v>
      </c>
      <c r="B28" s="1" t="s">
        <v>1366</v>
      </c>
      <c r="D28" t="s">
        <v>1367</v>
      </c>
      <c r="E28" s="56">
        <v>1</v>
      </c>
      <c r="F28" s="57">
        <v>4</v>
      </c>
      <c r="G28" s="56">
        <v>1</v>
      </c>
      <c r="H28" s="56">
        <v>1</v>
      </c>
      <c r="I28" s="57">
        <v>4</v>
      </c>
      <c r="J28" s="57">
        <v>4</v>
      </c>
      <c r="K28" s="57">
        <v>4</v>
      </c>
      <c r="L28" s="57">
        <v>4</v>
      </c>
      <c r="M28" s="60">
        <v>5</v>
      </c>
      <c r="N28" s="57">
        <v>4</v>
      </c>
      <c r="O28" s="57">
        <v>4</v>
      </c>
      <c r="P28" s="57">
        <v>4</v>
      </c>
      <c r="Q28" s="57">
        <v>4</v>
      </c>
      <c r="R28" s="57">
        <v>4</v>
      </c>
      <c r="S28" s="56">
        <v>1</v>
      </c>
      <c r="T28" s="56">
        <v>1</v>
      </c>
      <c r="U28" s="57">
        <v>4</v>
      </c>
      <c r="V28" s="57">
        <v>4</v>
      </c>
      <c r="W28" s="57">
        <v>4</v>
      </c>
      <c r="X28" s="57">
        <v>4</v>
      </c>
      <c r="Y28" s="57">
        <v>4</v>
      </c>
      <c r="Z28" s="57">
        <v>4</v>
      </c>
      <c r="AA28" s="57">
        <v>4</v>
      </c>
      <c r="AB28" s="57">
        <v>4</v>
      </c>
      <c r="AC28" s="57">
        <v>4</v>
      </c>
      <c r="AD28" s="57">
        <v>4</v>
      </c>
      <c r="AE28" s="57">
        <v>4</v>
      </c>
      <c r="AF28" s="57">
        <v>4</v>
      </c>
      <c r="AG28" s="57">
        <v>4</v>
      </c>
      <c r="AH28" s="57">
        <v>4</v>
      </c>
      <c r="AI28" s="57">
        <v>4</v>
      </c>
      <c r="AJ28" s="57">
        <v>4</v>
      </c>
      <c r="AK28" s="57">
        <v>4</v>
      </c>
      <c r="AL28" s="57">
        <v>4</v>
      </c>
      <c r="AM28" s="57">
        <v>4</v>
      </c>
      <c r="AN28" s="57">
        <v>4</v>
      </c>
      <c r="AO28" s="57">
        <v>4</v>
      </c>
      <c r="AP28" s="57">
        <v>4</v>
      </c>
      <c r="AQ28" s="57">
        <v>4</v>
      </c>
      <c r="AR28" s="57">
        <v>4</v>
      </c>
      <c r="AS28" s="57">
        <v>4</v>
      </c>
      <c r="AT28" s="57">
        <v>4</v>
      </c>
      <c r="AU28" s="57">
        <v>4</v>
      </c>
      <c r="AV28" s="57">
        <v>4</v>
      </c>
      <c r="AW28" s="57">
        <v>4</v>
      </c>
      <c r="AX28" s="57">
        <v>4</v>
      </c>
      <c r="AY28" s="57">
        <v>4</v>
      </c>
      <c r="AZ28" s="57">
        <v>4</v>
      </c>
      <c r="BA28" s="57">
        <v>4</v>
      </c>
      <c r="BB28" s="57">
        <v>4</v>
      </c>
      <c r="BC28" s="57">
        <v>4</v>
      </c>
      <c r="BD28" s="57">
        <v>4</v>
      </c>
      <c r="BE28" s="57">
        <v>4</v>
      </c>
      <c r="BF28" s="57">
        <v>4</v>
      </c>
      <c r="BG28" s="57">
        <v>4</v>
      </c>
      <c r="BH28" s="57">
        <v>4</v>
      </c>
      <c r="BI28" s="57">
        <v>4</v>
      </c>
      <c r="BJ28" s="57">
        <v>4</v>
      </c>
      <c r="BK28" s="57">
        <v>4</v>
      </c>
      <c r="BL28" s="57">
        <v>4</v>
      </c>
      <c r="BM28" s="57">
        <v>4</v>
      </c>
      <c r="BN28" s="57">
        <v>4</v>
      </c>
      <c r="BO28" s="57">
        <v>4</v>
      </c>
      <c r="BP28" s="57">
        <v>4</v>
      </c>
      <c r="BQ28" s="57">
        <v>4</v>
      </c>
      <c r="BR28" s="57">
        <v>4</v>
      </c>
      <c r="BS28" s="57">
        <v>4</v>
      </c>
      <c r="BT28" s="57">
        <v>4</v>
      </c>
      <c r="BU28" s="57">
        <v>4</v>
      </c>
      <c r="BV28" s="57">
        <v>4</v>
      </c>
      <c r="BW28" s="57">
        <v>4</v>
      </c>
      <c r="BX28" s="57">
        <v>4</v>
      </c>
      <c r="BY28" s="57">
        <v>4</v>
      </c>
      <c r="BZ28" s="57">
        <v>4</v>
      </c>
      <c r="CA28" s="57">
        <v>4</v>
      </c>
      <c r="CB28" s="57">
        <v>4</v>
      </c>
      <c r="CC28" s="57">
        <v>4</v>
      </c>
      <c r="CD28" s="57">
        <v>4</v>
      </c>
      <c r="CE28" s="57">
        <v>4</v>
      </c>
      <c r="CF28" s="57">
        <v>4</v>
      </c>
      <c r="CG28" s="57">
        <v>4</v>
      </c>
      <c r="CH28" s="57">
        <v>4</v>
      </c>
      <c r="CI28" s="57">
        <v>4</v>
      </c>
      <c r="CJ28" s="57">
        <v>4</v>
      </c>
      <c r="CK28" s="57">
        <v>4</v>
      </c>
      <c r="CL28" s="57">
        <v>4</v>
      </c>
      <c r="CM28" s="57">
        <v>4</v>
      </c>
      <c r="CN28" s="57">
        <v>4</v>
      </c>
      <c r="CO28" s="57">
        <v>4</v>
      </c>
      <c r="CP28" s="57">
        <v>4</v>
      </c>
      <c r="CQ28" s="57">
        <v>4</v>
      </c>
      <c r="CR28" s="57">
        <v>4</v>
      </c>
      <c r="CS28" s="57">
        <v>4</v>
      </c>
      <c r="CT28" s="57">
        <v>4</v>
      </c>
      <c r="CU28" s="57">
        <v>4</v>
      </c>
      <c r="CV28" s="57">
        <v>4</v>
      </c>
      <c r="CW28" s="57">
        <v>4</v>
      </c>
      <c r="CX28" s="57">
        <v>4</v>
      </c>
      <c r="CY28" s="57">
        <v>4</v>
      </c>
      <c r="CZ28" s="57">
        <v>4</v>
      </c>
      <c r="DA28" s="57">
        <v>4</v>
      </c>
      <c r="DB28" s="57">
        <v>4</v>
      </c>
      <c r="DC28" s="57">
        <v>4</v>
      </c>
      <c r="DD28" s="57">
        <v>4</v>
      </c>
      <c r="DE28" s="57">
        <v>4</v>
      </c>
      <c r="DF28" s="57">
        <v>4</v>
      </c>
      <c r="DG28" s="57">
        <v>4</v>
      </c>
      <c r="DH28" s="57">
        <v>4</v>
      </c>
      <c r="DI28" s="57">
        <v>4</v>
      </c>
      <c r="DJ28" s="57">
        <v>4</v>
      </c>
      <c r="DK28" s="57">
        <v>4</v>
      </c>
      <c r="DL28" s="57">
        <v>4</v>
      </c>
      <c r="DM28" s="57">
        <v>4</v>
      </c>
      <c r="DN28" s="57">
        <v>4</v>
      </c>
      <c r="DO28" s="57">
        <v>4</v>
      </c>
      <c r="DP28" s="57">
        <v>4</v>
      </c>
      <c r="DQ28" s="57">
        <v>4</v>
      </c>
      <c r="DR28" s="57">
        <v>4</v>
      </c>
      <c r="DS28" s="57">
        <v>4</v>
      </c>
      <c r="DT28" s="57">
        <v>4</v>
      </c>
      <c r="DU28" s="1" t="s">
        <v>1368</v>
      </c>
    </row>
    <row r="29" spans="1:125" ht="18" x14ac:dyDescent="0.25">
      <c r="A29" s="50" t="s">
        <v>1369</v>
      </c>
      <c r="B29" s="1" t="s">
        <v>1366</v>
      </c>
      <c r="D29" t="s">
        <v>1370</v>
      </c>
      <c r="E29" s="56">
        <v>1</v>
      </c>
      <c r="F29" s="57">
        <v>4</v>
      </c>
      <c r="G29" s="56">
        <v>1</v>
      </c>
      <c r="H29" s="56">
        <v>1</v>
      </c>
      <c r="I29" s="57">
        <v>4</v>
      </c>
      <c r="J29" s="57">
        <v>4</v>
      </c>
      <c r="K29" s="57">
        <v>4</v>
      </c>
      <c r="L29" s="57">
        <v>4</v>
      </c>
      <c r="M29" s="60">
        <v>5</v>
      </c>
      <c r="N29" s="57">
        <v>4</v>
      </c>
      <c r="O29" s="57">
        <v>4</v>
      </c>
      <c r="P29" s="57">
        <v>4</v>
      </c>
      <c r="Q29" s="57">
        <v>4</v>
      </c>
      <c r="R29" s="57">
        <v>4</v>
      </c>
      <c r="S29" s="56">
        <v>1</v>
      </c>
      <c r="T29" s="56">
        <v>1</v>
      </c>
      <c r="U29" s="57">
        <v>4</v>
      </c>
      <c r="V29" s="57">
        <v>4</v>
      </c>
      <c r="W29" s="57">
        <v>4</v>
      </c>
      <c r="X29" s="57">
        <v>4</v>
      </c>
      <c r="Y29" s="57">
        <v>4</v>
      </c>
      <c r="Z29" s="57">
        <v>4</v>
      </c>
      <c r="AA29" s="57">
        <v>4</v>
      </c>
      <c r="AB29" s="57">
        <v>4</v>
      </c>
      <c r="AC29" s="57">
        <v>4</v>
      </c>
      <c r="AD29" s="57">
        <v>4</v>
      </c>
      <c r="AE29" s="57">
        <v>4</v>
      </c>
      <c r="AF29" s="57">
        <v>4</v>
      </c>
      <c r="AG29" s="57">
        <v>4</v>
      </c>
      <c r="AH29" s="57">
        <v>4</v>
      </c>
      <c r="AI29" s="57">
        <v>4</v>
      </c>
      <c r="AJ29" s="57">
        <v>4</v>
      </c>
      <c r="AK29" s="57">
        <v>4</v>
      </c>
      <c r="AL29" s="57">
        <v>4</v>
      </c>
      <c r="AM29" s="57">
        <v>4</v>
      </c>
      <c r="AN29" s="57">
        <v>4</v>
      </c>
      <c r="AO29" s="57">
        <v>4</v>
      </c>
      <c r="AP29" s="57">
        <v>4</v>
      </c>
      <c r="AQ29" s="57">
        <v>4</v>
      </c>
      <c r="AR29" s="57">
        <v>4</v>
      </c>
      <c r="AS29" s="57">
        <v>4</v>
      </c>
      <c r="AT29" s="57">
        <v>4</v>
      </c>
      <c r="AU29" s="57">
        <v>4</v>
      </c>
      <c r="AV29" s="57">
        <v>4</v>
      </c>
      <c r="AW29" s="57">
        <v>4</v>
      </c>
      <c r="AX29" s="57">
        <v>4</v>
      </c>
      <c r="AY29" s="57">
        <v>4</v>
      </c>
      <c r="AZ29" s="57">
        <v>4</v>
      </c>
      <c r="BA29" s="57">
        <v>4</v>
      </c>
      <c r="BB29" s="57">
        <v>4</v>
      </c>
      <c r="BC29" s="57">
        <v>4</v>
      </c>
      <c r="BD29" s="57">
        <v>4</v>
      </c>
      <c r="BE29" s="57">
        <v>4</v>
      </c>
      <c r="BF29" s="57">
        <v>4</v>
      </c>
      <c r="BG29" s="57">
        <v>4</v>
      </c>
      <c r="BH29" s="57">
        <v>4</v>
      </c>
      <c r="BI29" s="57">
        <v>4</v>
      </c>
      <c r="BJ29" s="57">
        <v>4</v>
      </c>
      <c r="BK29" s="57">
        <v>4</v>
      </c>
      <c r="BL29" s="57">
        <v>4</v>
      </c>
      <c r="BM29" s="57">
        <v>4</v>
      </c>
      <c r="BN29" s="57">
        <v>4</v>
      </c>
      <c r="BO29" s="57">
        <v>4</v>
      </c>
      <c r="BP29" s="57">
        <v>4</v>
      </c>
      <c r="BQ29" s="57">
        <v>4</v>
      </c>
      <c r="BR29" s="57">
        <v>4</v>
      </c>
      <c r="BS29" s="57">
        <v>4</v>
      </c>
      <c r="BT29" s="57">
        <v>4</v>
      </c>
      <c r="BU29" s="57">
        <v>4</v>
      </c>
      <c r="BV29" s="57">
        <v>4</v>
      </c>
      <c r="BW29" s="57">
        <v>4</v>
      </c>
      <c r="BX29" s="57">
        <v>4</v>
      </c>
      <c r="BY29" s="57">
        <v>4</v>
      </c>
      <c r="BZ29" s="57">
        <v>4</v>
      </c>
      <c r="CA29" s="57">
        <v>4</v>
      </c>
      <c r="CB29" s="57">
        <v>4</v>
      </c>
      <c r="CC29" s="57">
        <v>4</v>
      </c>
      <c r="CD29" s="57">
        <v>4</v>
      </c>
      <c r="CE29" s="57">
        <v>4</v>
      </c>
      <c r="CF29" s="57">
        <v>4</v>
      </c>
      <c r="CG29" s="57">
        <v>4</v>
      </c>
      <c r="CH29" s="57">
        <v>4</v>
      </c>
      <c r="CI29" s="57">
        <v>4</v>
      </c>
      <c r="CJ29" s="57">
        <v>4</v>
      </c>
      <c r="CK29" s="57">
        <v>4</v>
      </c>
      <c r="CL29" s="57">
        <v>4</v>
      </c>
      <c r="CM29" s="57">
        <v>4</v>
      </c>
      <c r="CN29" s="57">
        <v>4</v>
      </c>
      <c r="CO29" s="57">
        <v>4</v>
      </c>
      <c r="CP29" s="57">
        <v>4</v>
      </c>
      <c r="CQ29" s="57">
        <v>4</v>
      </c>
      <c r="CR29" s="57">
        <v>4</v>
      </c>
      <c r="CS29" s="57">
        <v>4</v>
      </c>
      <c r="CT29" s="57">
        <v>4</v>
      </c>
      <c r="CU29" s="57">
        <v>4</v>
      </c>
      <c r="CV29" s="57">
        <v>4</v>
      </c>
      <c r="CW29" s="57">
        <v>4</v>
      </c>
      <c r="CX29" s="57">
        <v>4</v>
      </c>
      <c r="CY29" s="57">
        <v>4</v>
      </c>
      <c r="CZ29" s="57">
        <v>4</v>
      </c>
      <c r="DA29" s="57">
        <v>4</v>
      </c>
      <c r="DB29" s="57">
        <v>4</v>
      </c>
      <c r="DC29" s="57">
        <v>4</v>
      </c>
      <c r="DD29" s="57">
        <v>4</v>
      </c>
      <c r="DE29" s="57">
        <v>4</v>
      </c>
      <c r="DF29" s="57">
        <v>4</v>
      </c>
      <c r="DG29" s="57">
        <v>4</v>
      </c>
      <c r="DH29" s="57">
        <v>4</v>
      </c>
      <c r="DI29" s="57">
        <v>4</v>
      </c>
      <c r="DJ29" s="57">
        <v>4</v>
      </c>
      <c r="DK29" s="57">
        <v>4</v>
      </c>
      <c r="DL29" s="57">
        <v>4</v>
      </c>
      <c r="DM29" s="57">
        <v>4</v>
      </c>
      <c r="DN29" s="57">
        <v>4</v>
      </c>
      <c r="DO29" s="57">
        <v>4</v>
      </c>
      <c r="DP29" s="57">
        <v>4</v>
      </c>
      <c r="DQ29" s="57">
        <v>4</v>
      </c>
      <c r="DR29" s="57">
        <v>4</v>
      </c>
      <c r="DS29" s="57">
        <v>4</v>
      </c>
      <c r="DT29" s="57">
        <v>4</v>
      </c>
      <c r="DU29" s="1" t="s">
        <v>1368</v>
      </c>
    </row>
    <row r="30" spans="1:125" ht="18" x14ac:dyDescent="0.25">
      <c r="A30" s="50" t="s">
        <v>1371</v>
      </c>
      <c r="B30" s="1" t="s">
        <v>1366</v>
      </c>
      <c r="D30" t="s">
        <v>1372</v>
      </c>
      <c r="E30" s="56">
        <v>1</v>
      </c>
      <c r="F30" s="57">
        <v>4</v>
      </c>
      <c r="G30" s="56">
        <v>1</v>
      </c>
      <c r="H30" s="56">
        <v>1</v>
      </c>
      <c r="I30" s="57">
        <v>4</v>
      </c>
      <c r="J30" s="57">
        <v>4</v>
      </c>
      <c r="K30" s="57">
        <v>4</v>
      </c>
      <c r="L30" s="57">
        <v>4</v>
      </c>
      <c r="M30" s="60">
        <v>5</v>
      </c>
      <c r="N30" s="57">
        <v>4</v>
      </c>
      <c r="O30" s="57">
        <v>4</v>
      </c>
      <c r="P30" s="57">
        <v>4</v>
      </c>
      <c r="Q30" s="57">
        <v>4</v>
      </c>
      <c r="R30" s="57">
        <v>4</v>
      </c>
      <c r="S30" s="56">
        <v>1</v>
      </c>
      <c r="T30" s="56">
        <v>1</v>
      </c>
      <c r="U30" s="57">
        <v>4</v>
      </c>
      <c r="V30" s="57">
        <v>4</v>
      </c>
      <c r="W30" s="57">
        <v>4</v>
      </c>
      <c r="X30" s="57">
        <v>4</v>
      </c>
      <c r="Y30" s="57">
        <v>4</v>
      </c>
      <c r="Z30" s="57">
        <v>4</v>
      </c>
      <c r="AA30" s="57">
        <v>4</v>
      </c>
      <c r="AB30" s="57">
        <v>4</v>
      </c>
      <c r="AC30" s="57">
        <v>4</v>
      </c>
      <c r="AD30" s="57">
        <v>4</v>
      </c>
      <c r="AE30" s="57">
        <v>4</v>
      </c>
      <c r="AF30" s="57">
        <v>4</v>
      </c>
      <c r="AG30" s="57">
        <v>4</v>
      </c>
      <c r="AH30" s="57">
        <v>4</v>
      </c>
      <c r="AI30" s="57">
        <v>4</v>
      </c>
      <c r="AJ30" s="57">
        <v>4</v>
      </c>
      <c r="AK30" s="57">
        <v>4</v>
      </c>
      <c r="AL30" s="57">
        <v>4</v>
      </c>
      <c r="AM30" s="57">
        <v>4</v>
      </c>
      <c r="AN30" s="57">
        <v>4</v>
      </c>
      <c r="AO30" s="57">
        <v>4</v>
      </c>
      <c r="AP30" s="57">
        <v>4</v>
      </c>
      <c r="AQ30" s="57">
        <v>4</v>
      </c>
      <c r="AR30" s="57">
        <v>4</v>
      </c>
      <c r="AS30" s="57">
        <v>4</v>
      </c>
      <c r="AT30" s="57">
        <v>4</v>
      </c>
      <c r="AU30" s="57">
        <v>4</v>
      </c>
      <c r="AV30" s="57">
        <v>4</v>
      </c>
      <c r="AW30" s="57">
        <v>4</v>
      </c>
      <c r="AX30" s="57">
        <v>4</v>
      </c>
      <c r="AY30" s="57">
        <v>4</v>
      </c>
      <c r="AZ30" s="57">
        <v>4</v>
      </c>
      <c r="BA30" s="57">
        <v>4</v>
      </c>
      <c r="BB30" s="57">
        <v>4</v>
      </c>
      <c r="BC30" s="57">
        <v>4</v>
      </c>
      <c r="BD30" s="57">
        <v>4</v>
      </c>
      <c r="BE30" s="57">
        <v>4</v>
      </c>
      <c r="BF30" s="57">
        <v>4</v>
      </c>
      <c r="BG30" s="57">
        <v>4</v>
      </c>
      <c r="BH30" s="57">
        <v>4</v>
      </c>
      <c r="BI30" s="57">
        <v>4</v>
      </c>
      <c r="BJ30" s="57">
        <v>4</v>
      </c>
      <c r="BK30" s="57">
        <v>4</v>
      </c>
      <c r="BL30" s="57">
        <v>4</v>
      </c>
      <c r="BM30" s="57">
        <v>4</v>
      </c>
      <c r="BN30" s="57">
        <v>4</v>
      </c>
      <c r="BO30" s="57">
        <v>4</v>
      </c>
      <c r="BP30" s="57">
        <v>4</v>
      </c>
      <c r="BQ30" s="57">
        <v>4</v>
      </c>
      <c r="BR30" s="57">
        <v>4</v>
      </c>
      <c r="BS30" s="57">
        <v>4</v>
      </c>
      <c r="BT30" s="57">
        <v>4</v>
      </c>
      <c r="BU30" s="57">
        <v>4</v>
      </c>
      <c r="BV30" s="57">
        <v>4</v>
      </c>
      <c r="BW30" s="57">
        <v>4</v>
      </c>
      <c r="BX30" s="57">
        <v>4</v>
      </c>
      <c r="BY30" s="57">
        <v>4</v>
      </c>
      <c r="BZ30" s="57">
        <v>4</v>
      </c>
      <c r="CA30" s="57">
        <v>4</v>
      </c>
      <c r="CB30" s="57">
        <v>4</v>
      </c>
      <c r="CC30" s="57">
        <v>4</v>
      </c>
      <c r="CD30" s="57">
        <v>4</v>
      </c>
      <c r="CE30" s="57">
        <v>4</v>
      </c>
      <c r="CF30" s="57">
        <v>4</v>
      </c>
      <c r="CG30" s="57">
        <v>4</v>
      </c>
      <c r="CH30" s="57">
        <v>4</v>
      </c>
      <c r="CI30" s="57">
        <v>4</v>
      </c>
      <c r="CJ30" s="57">
        <v>4</v>
      </c>
      <c r="CK30" s="57">
        <v>4</v>
      </c>
      <c r="CL30" s="57">
        <v>4</v>
      </c>
      <c r="CM30" s="57">
        <v>4</v>
      </c>
      <c r="CN30" s="57">
        <v>4</v>
      </c>
      <c r="CO30" s="57">
        <v>4</v>
      </c>
      <c r="CP30" s="57">
        <v>4</v>
      </c>
      <c r="CQ30" s="57">
        <v>4</v>
      </c>
      <c r="CR30" s="57">
        <v>4</v>
      </c>
      <c r="CS30" s="57">
        <v>4</v>
      </c>
      <c r="CT30" s="57">
        <v>4</v>
      </c>
      <c r="CU30" s="57">
        <v>4</v>
      </c>
      <c r="CV30" s="57">
        <v>4</v>
      </c>
      <c r="CW30" s="57">
        <v>4</v>
      </c>
      <c r="CX30" s="57">
        <v>4</v>
      </c>
      <c r="CY30" s="57">
        <v>4</v>
      </c>
      <c r="CZ30" s="57">
        <v>4</v>
      </c>
      <c r="DA30" s="57">
        <v>4</v>
      </c>
      <c r="DB30" s="57">
        <v>4</v>
      </c>
      <c r="DC30" s="57">
        <v>4</v>
      </c>
      <c r="DD30" s="57">
        <v>4</v>
      </c>
      <c r="DE30" s="57">
        <v>4</v>
      </c>
      <c r="DF30" s="57">
        <v>4</v>
      </c>
      <c r="DG30" s="57">
        <v>4</v>
      </c>
      <c r="DH30" s="57">
        <v>4</v>
      </c>
      <c r="DI30" s="57">
        <v>4</v>
      </c>
      <c r="DJ30" s="57">
        <v>4</v>
      </c>
      <c r="DK30" s="57">
        <v>4</v>
      </c>
      <c r="DL30" s="57">
        <v>4</v>
      </c>
      <c r="DM30" s="57">
        <v>4</v>
      </c>
      <c r="DN30" s="57">
        <v>4</v>
      </c>
      <c r="DO30" s="57">
        <v>4</v>
      </c>
      <c r="DP30" s="57">
        <v>4</v>
      </c>
      <c r="DQ30" s="57">
        <v>4</v>
      </c>
      <c r="DR30" s="57">
        <v>4</v>
      </c>
      <c r="DS30" s="57">
        <v>4</v>
      </c>
      <c r="DT30" s="57">
        <v>4</v>
      </c>
      <c r="DU30" s="1" t="s">
        <v>1368</v>
      </c>
    </row>
    <row r="31" spans="1:125" x14ac:dyDescent="0.2">
      <c r="A31" s="50" t="s">
        <v>1373</v>
      </c>
      <c r="B31" s="1" t="s">
        <v>1366</v>
      </c>
      <c r="D31" t="s">
        <v>1374</v>
      </c>
      <c r="E31" s="56">
        <v>1</v>
      </c>
      <c r="F31" s="57">
        <v>4</v>
      </c>
      <c r="G31" s="56">
        <v>1</v>
      </c>
      <c r="H31" s="56">
        <v>1</v>
      </c>
      <c r="I31" s="57">
        <v>4</v>
      </c>
      <c r="J31" s="57">
        <v>4</v>
      </c>
      <c r="K31" s="57">
        <v>4</v>
      </c>
      <c r="L31" s="57">
        <v>4</v>
      </c>
      <c r="M31" s="60">
        <v>5</v>
      </c>
      <c r="N31" s="57">
        <v>4</v>
      </c>
      <c r="O31" s="57">
        <v>4</v>
      </c>
      <c r="P31" s="57">
        <v>4</v>
      </c>
      <c r="Q31" s="57">
        <v>4</v>
      </c>
      <c r="R31" s="57">
        <v>4</v>
      </c>
      <c r="S31" s="56">
        <v>1</v>
      </c>
      <c r="T31" s="56">
        <v>1</v>
      </c>
      <c r="U31" s="57">
        <v>4</v>
      </c>
      <c r="V31" s="57">
        <v>4</v>
      </c>
      <c r="W31" s="57">
        <v>4</v>
      </c>
      <c r="X31" s="57">
        <v>4</v>
      </c>
      <c r="Y31" s="57">
        <v>4</v>
      </c>
      <c r="Z31" s="57">
        <v>4</v>
      </c>
      <c r="AA31" s="57">
        <v>4</v>
      </c>
      <c r="AB31" s="57">
        <v>4</v>
      </c>
      <c r="AC31" s="57">
        <v>4</v>
      </c>
      <c r="AD31" s="57">
        <v>4</v>
      </c>
      <c r="AE31" s="57">
        <v>4</v>
      </c>
      <c r="AF31" s="57">
        <v>4</v>
      </c>
      <c r="AG31" s="57">
        <v>4</v>
      </c>
      <c r="AH31" s="57">
        <v>4</v>
      </c>
      <c r="AI31" s="57">
        <v>4</v>
      </c>
      <c r="AJ31" s="57">
        <v>4</v>
      </c>
      <c r="AK31" s="57">
        <v>4</v>
      </c>
      <c r="AL31" s="57">
        <v>4</v>
      </c>
      <c r="AM31" s="57">
        <v>4</v>
      </c>
      <c r="AN31" s="57">
        <v>4</v>
      </c>
      <c r="AO31" s="57">
        <v>4</v>
      </c>
      <c r="AP31" s="57">
        <v>4</v>
      </c>
      <c r="AQ31" s="57">
        <v>4</v>
      </c>
      <c r="AR31" s="57">
        <v>4</v>
      </c>
      <c r="AS31" s="57">
        <v>4</v>
      </c>
      <c r="AT31" s="57">
        <v>4</v>
      </c>
      <c r="AU31" s="57">
        <v>4</v>
      </c>
      <c r="AV31" s="57">
        <v>4</v>
      </c>
      <c r="AW31" s="57">
        <v>4</v>
      </c>
      <c r="AX31" s="57">
        <v>4</v>
      </c>
      <c r="AY31" s="57">
        <v>4</v>
      </c>
      <c r="AZ31" s="57">
        <v>4</v>
      </c>
      <c r="BA31" s="57">
        <v>4</v>
      </c>
      <c r="BB31" s="57">
        <v>4</v>
      </c>
      <c r="BC31" s="57">
        <v>4</v>
      </c>
      <c r="BD31" s="57">
        <v>4</v>
      </c>
      <c r="BE31" s="57">
        <v>4</v>
      </c>
      <c r="BF31" s="57">
        <v>4</v>
      </c>
      <c r="BG31" s="57">
        <v>4</v>
      </c>
      <c r="BH31" s="57">
        <v>4</v>
      </c>
      <c r="BI31" s="57">
        <v>4</v>
      </c>
      <c r="BJ31" s="57">
        <v>4</v>
      </c>
      <c r="BK31" s="57">
        <v>4</v>
      </c>
      <c r="BL31" s="57">
        <v>4</v>
      </c>
      <c r="BM31" s="57">
        <v>4</v>
      </c>
      <c r="BN31" s="57">
        <v>4</v>
      </c>
      <c r="BO31" s="57">
        <v>4</v>
      </c>
      <c r="BP31" s="57">
        <v>4</v>
      </c>
      <c r="BQ31" s="57">
        <v>4</v>
      </c>
      <c r="BR31" s="57">
        <v>4</v>
      </c>
      <c r="BS31" s="57">
        <v>4</v>
      </c>
      <c r="BT31" s="57">
        <v>4</v>
      </c>
      <c r="BU31" s="57">
        <v>4</v>
      </c>
      <c r="BV31" s="57">
        <v>4</v>
      </c>
      <c r="BW31" s="57">
        <v>4</v>
      </c>
      <c r="BX31" s="57">
        <v>4</v>
      </c>
      <c r="BY31" s="57">
        <v>4</v>
      </c>
      <c r="BZ31" s="57">
        <v>4</v>
      </c>
      <c r="CA31" s="57">
        <v>4</v>
      </c>
      <c r="CB31" s="57">
        <v>4</v>
      </c>
      <c r="CC31" s="57">
        <v>4</v>
      </c>
      <c r="CD31" s="57">
        <v>4</v>
      </c>
      <c r="CE31" s="57">
        <v>4</v>
      </c>
      <c r="CF31" s="57">
        <v>4</v>
      </c>
      <c r="CG31" s="57">
        <v>4</v>
      </c>
      <c r="CH31" s="57">
        <v>4</v>
      </c>
      <c r="CI31" s="57">
        <v>4</v>
      </c>
      <c r="CJ31" s="57">
        <v>4</v>
      </c>
      <c r="CK31" s="57">
        <v>4</v>
      </c>
      <c r="CL31" s="57">
        <v>4</v>
      </c>
      <c r="CM31" s="57">
        <v>4</v>
      </c>
      <c r="CN31" s="57">
        <v>4</v>
      </c>
      <c r="CO31" s="57">
        <v>4</v>
      </c>
      <c r="CP31" s="57">
        <v>4</v>
      </c>
      <c r="CQ31" s="57">
        <v>4</v>
      </c>
      <c r="CR31" s="57">
        <v>4</v>
      </c>
      <c r="CS31" s="57">
        <v>4</v>
      </c>
      <c r="CT31" s="57">
        <v>4</v>
      </c>
      <c r="CU31" s="57">
        <v>4</v>
      </c>
      <c r="CV31" s="57">
        <v>4</v>
      </c>
      <c r="CW31" s="57">
        <v>4</v>
      </c>
      <c r="CX31" s="57">
        <v>4</v>
      </c>
      <c r="CY31" s="57">
        <v>4</v>
      </c>
      <c r="CZ31" s="57">
        <v>4</v>
      </c>
      <c r="DA31" s="57">
        <v>4</v>
      </c>
      <c r="DB31" s="57">
        <v>4</v>
      </c>
      <c r="DC31" s="57">
        <v>4</v>
      </c>
      <c r="DD31" s="57">
        <v>4</v>
      </c>
      <c r="DE31" s="57">
        <v>4</v>
      </c>
      <c r="DF31" s="57">
        <v>4</v>
      </c>
      <c r="DG31" s="57">
        <v>4</v>
      </c>
      <c r="DH31" s="57">
        <v>4</v>
      </c>
      <c r="DI31" s="57">
        <v>4</v>
      </c>
      <c r="DJ31" s="57">
        <v>4</v>
      </c>
      <c r="DK31" s="57">
        <v>4</v>
      </c>
      <c r="DL31" s="57">
        <v>4</v>
      </c>
      <c r="DM31" s="57">
        <v>4</v>
      </c>
      <c r="DN31" s="57">
        <v>4</v>
      </c>
      <c r="DO31" s="57">
        <v>4</v>
      </c>
      <c r="DP31" s="57">
        <v>4</v>
      </c>
      <c r="DQ31" s="57">
        <v>4</v>
      </c>
      <c r="DR31" s="57">
        <v>4</v>
      </c>
      <c r="DS31" s="57">
        <v>4</v>
      </c>
      <c r="DT31" s="57">
        <v>4</v>
      </c>
      <c r="DU31" s="1" t="s">
        <v>1368</v>
      </c>
    </row>
    <row r="32" spans="1:125" x14ac:dyDescent="0.2">
      <c r="A32" s="50" t="s">
        <v>1375</v>
      </c>
      <c r="B32" s="1" t="s">
        <v>1376</v>
      </c>
      <c r="D32" t="s">
        <v>1377</v>
      </c>
      <c r="E32" s="56">
        <v>1</v>
      </c>
      <c r="F32" s="57">
        <v>4</v>
      </c>
      <c r="G32" s="57">
        <v>4</v>
      </c>
      <c r="H32" s="57">
        <v>4</v>
      </c>
      <c r="I32" s="58">
        <v>2</v>
      </c>
      <c r="J32" s="58">
        <v>2</v>
      </c>
      <c r="K32" s="58">
        <v>2</v>
      </c>
      <c r="L32" s="57">
        <v>4</v>
      </c>
      <c r="M32" s="57">
        <v>4</v>
      </c>
      <c r="N32" s="57">
        <v>4</v>
      </c>
      <c r="O32" s="57">
        <v>4</v>
      </c>
      <c r="P32" s="57">
        <v>4</v>
      </c>
      <c r="Q32" s="57">
        <v>4</v>
      </c>
      <c r="R32" s="57">
        <v>4</v>
      </c>
      <c r="S32" s="57">
        <v>4</v>
      </c>
      <c r="T32" s="57">
        <v>4</v>
      </c>
      <c r="U32" s="57">
        <v>4</v>
      </c>
      <c r="V32" s="57">
        <v>4</v>
      </c>
      <c r="W32" s="57">
        <v>4</v>
      </c>
      <c r="X32" s="57">
        <v>4</v>
      </c>
      <c r="Y32" s="57">
        <v>4</v>
      </c>
      <c r="Z32" s="57">
        <v>4</v>
      </c>
      <c r="AA32" s="57">
        <v>4</v>
      </c>
      <c r="AB32" s="57">
        <v>4</v>
      </c>
      <c r="AC32" s="57">
        <v>4</v>
      </c>
      <c r="AD32" s="57">
        <v>4</v>
      </c>
      <c r="AE32" s="57">
        <v>4</v>
      </c>
      <c r="AF32" s="58">
        <v>2</v>
      </c>
      <c r="AG32" s="57">
        <v>4</v>
      </c>
      <c r="AH32" s="57">
        <v>4</v>
      </c>
      <c r="AI32" s="57">
        <v>4</v>
      </c>
      <c r="AJ32" s="57">
        <v>4</v>
      </c>
      <c r="AK32" s="57">
        <v>4</v>
      </c>
      <c r="AL32" s="57">
        <v>4</v>
      </c>
      <c r="AM32" s="57">
        <v>4</v>
      </c>
      <c r="AN32" s="58">
        <v>2</v>
      </c>
      <c r="AO32" s="57">
        <v>4</v>
      </c>
      <c r="AP32" s="57">
        <v>4</v>
      </c>
      <c r="AQ32" s="57">
        <v>4</v>
      </c>
      <c r="AR32" s="57">
        <v>4</v>
      </c>
      <c r="AS32" s="57">
        <v>4</v>
      </c>
      <c r="AT32" s="57">
        <v>4</v>
      </c>
      <c r="AU32" s="57">
        <v>4</v>
      </c>
      <c r="AV32" s="57">
        <v>4</v>
      </c>
      <c r="AW32" s="57">
        <v>4</v>
      </c>
      <c r="AX32" s="57">
        <v>4</v>
      </c>
      <c r="AY32" s="57">
        <v>4</v>
      </c>
      <c r="AZ32" s="57">
        <v>4</v>
      </c>
      <c r="BA32" s="57">
        <v>4</v>
      </c>
      <c r="BB32" s="57">
        <v>4</v>
      </c>
      <c r="BC32" s="57">
        <v>4</v>
      </c>
      <c r="BD32" s="57">
        <v>4</v>
      </c>
      <c r="BE32" s="57">
        <v>4</v>
      </c>
      <c r="BF32" s="57">
        <v>4</v>
      </c>
      <c r="BG32" s="57">
        <v>4</v>
      </c>
      <c r="BH32" s="57">
        <v>4</v>
      </c>
      <c r="BI32" s="57">
        <v>4</v>
      </c>
      <c r="BJ32" s="57">
        <v>4</v>
      </c>
      <c r="BK32" s="57">
        <v>4</v>
      </c>
      <c r="BL32" s="57">
        <v>4</v>
      </c>
      <c r="BM32" s="57">
        <v>4</v>
      </c>
      <c r="BN32" s="57">
        <v>4</v>
      </c>
      <c r="BO32" s="57">
        <v>4</v>
      </c>
      <c r="BP32" s="57">
        <v>4</v>
      </c>
      <c r="BQ32" s="57">
        <v>4</v>
      </c>
      <c r="BR32" s="57">
        <v>4</v>
      </c>
      <c r="BS32" s="57">
        <v>4</v>
      </c>
      <c r="BT32" s="57">
        <v>4</v>
      </c>
      <c r="BU32" s="57">
        <v>4</v>
      </c>
      <c r="BV32" s="57">
        <v>4</v>
      </c>
      <c r="BW32" s="57">
        <v>4</v>
      </c>
      <c r="BX32" s="57">
        <v>4</v>
      </c>
      <c r="BY32" s="57">
        <v>4</v>
      </c>
      <c r="BZ32" s="57">
        <v>4</v>
      </c>
      <c r="CA32" s="57">
        <v>4</v>
      </c>
      <c r="CB32" s="57">
        <v>4</v>
      </c>
      <c r="CC32" s="57">
        <v>4</v>
      </c>
      <c r="CD32" s="57">
        <v>4</v>
      </c>
      <c r="CE32" s="57">
        <v>4</v>
      </c>
      <c r="CF32" s="57">
        <v>4</v>
      </c>
      <c r="CG32" s="57">
        <v>4</v>
      </c>
      <c r="CH32" s="57">
        <v>4</v>
      </c>
      <c r="CI32" s="57">
        <v>4</v>
      </c>
      <c r="CJ32" s="57">
        <v>4</v>
      </c>
      <c r="CK32" s="57">
        <v>4</v>
      </c>
      <c r="CL32" s="57">
        <v>4</v>
      </c>
      <c r="CM32" s="57">
        <v>4</v>
      </c>
      <c r="CN32" s="57">
        <v>4</v>
      </c>
      <c r="CO32" s="57">
        <v>4</v>
      </c>
      <c r="CP32" s="57">
        <v>4</v>
      </c>
      <c r="CQ32" s="57">
        <v>4</v>
      </c>
      <c r="CR32" s="57">
        <v>4</v>
      </c>
      <c r="CS32" s="57">
        <v>4</v>
      </c>
      <c r="CT32" s="57">
        <v>4</v>
      </c>
      <c r="CU32" s="57">
        <v>4</v>
      </c>
      <c r="CV32" s="57">
        <v>4</v>
      </c>
      <c r="CW32" s="57">
        <v>4</v>
      </c>
      <c r="CX32" s="57">
        <v>4</v>
      </c>
      <c r="CY32" s="57">
        <v>4</v>
      </c>
      <c r="CZ32" s="57">
        <v>4</v>
      </c>
      <c r="DA32" s="57">
        <v>4</v>
      </c>
      <c r="DB32" s="57">
        <v>4</v>
      </c>
      <c r="DC32" s="57">
        <v>4</v>
      </c>
      <c r="DD32" s="57">
        <v>4</v>
      </c>
      <c r="DE32" s="57">
        <v>4</v>
      </c>
      <c r="DF32" s="57">
        <v>4</v>
      </c>
      <c r="DG32" s="57">
        <v>4</v>
      </c>
      <c r="DH32" s="57">
        <v>4</v>
      </c>
      <c r="DI32" s="57">
        <v>4</v>
      </c>
      <c r="DJ32" s="57">
        <v>4</v>
      </c>
      <c r="DK32" s="57">
        <v>4</v>
      </c>
      <c r="DL32" s="57">
        <v>4</v>
      </c>
      <c r="DM32" s="57">
        <v>4</v>
      </c>
      <c r="DN32" s="57">
        <v>4</v>
      </c>
      <c r="DO32" s="57">
        <v>4</v>
      </c>
      <c r="DP32" s="57">
        <v>4</v>
      </c>
      <c r="DQ32" s="57">
        <v>4</v>
      </c>
      <c r="DR32" s="57">
        <v>4</v>
      </c>
      <c r="DS32" s="57">
        <v>4</v>
      </c>
      <c r="DT32" s="57">
        <v>4</v>
      </c>
      <c r="DU32" s="1" t="s">
        <v>1378</v>
      </c>
    </row>
    <row r="33" spans="1:125" x14ac:dyDescent="0.2">
      <c r="A33" s="50" t="s">
        <v>1379</v>
      </c>
      <c r="B33" s="1" t="s">
        <v>1376</v>
      </c>
      <c r="D33" t="s">
        <v>1380</v>
      </c>
      <c r="E33" s="56">
        <v>1</v>
      </c>
      <c r="F33" s="57">
        <v>4</v>
      </c>
      <c r="G33" s="57">
        <v>4</v>
      </c>
      <c r="H33" s="57">
        <v>4</v>
      </c>
      <c r="I33" s="56">
        <v>1</v>
      </c>
      <c r="J33" s="58">
        <v>2</v>
      </c>
      <c r="K33" s="58">
        <v>2</v>
      </c>
      <c r="L33" s="57">
        <v>4</v>
      </c>
      <c r="M33" s="57">
        <v>4</v>
      </c>
      <c r="N33" s="57">
        <v>4</v>
      </c>
      <c r="O33" s="57">
        <v>4</v>
      </c>
      <c r="P33" s="57">
        <v>4</v>
      </c>
      <c r="Q33" s="57">
        <v>4</v>
      </c>
      <c r="R33" s="57">
        <v>4</v>
      </c>
      <c r="S33" s="57">
        <v>4</v>
      </c>
      <c r="T33" s="57">
        <v>4</v>
      </c>
      <c r="U33" s="57">
        <v>4</v>
      </c>
      <c r="V33" s="57">
        <v>4</v>
      </c>
      <c r="W33" s="57">
        <v>4</v>
      </c>
      <c r="X33" s="57">
        <v>4</v>
      </c>
      <c r="Y33" s="57">
        <v>4</v>
      </c>
      <c r="Z33" s="57">
        <v>4</v>
      </c>
      <c r="AA33" s="57">
        <v>4</v>
      </c>
      <c r="AB33" s="57">
        <v>4</v>
      </c>
      <c r="AC33" s="57">
        <v>4</v>
      </c>
      <c r="AD33" s="57">
        <v>4</v>
      </c>
      <c r="AE33" s="57">
        <v>4</v>
      </c>
      <c r="AF33" s="58">
        <v>2</v>
      </c>
      <c r="AG33" s="57">
        <v>4</v>
      </c>
      <c r="AH33" s="57">
        <v>4</v>
      </c>
      <c r="AI33" s="57">
        <v>4</v>
      </c>
      <c r="AJ33" s="57">
        <v>4</v>
      </c>
      <c r="AK33" s="57">
        <v>4</v>
      </c>
      <c r="AL33" s="57">
        <v>4</v>
      </c>
      <c r="AM33" s="57">
        <v>4</v>
      </c>
      <c r="AN33" s="58">
        <v>2</v>
      </c>
      <c r="AO33" s="57">
        <v>4</v>
      </c>
      <c r="AP33" s="57">
        <v>4</v>
      </c>
      <c r="AQ33" s="57">
        <v>4</v>
      </c>
      <c r="AR33" s="57">
        <v>4</v>
      </c>
      <c r="AS33" s="57">
        <v>4</v>
      </c>
      <c r="AT33" s="57">
        <v>4</v>
      </c>
      <c r="AU33" s="57">
        <v>4</v>
      </c>
      <c r="AV33" s="57">
        <v>4</v>
      </c>
      <c r="AW33" s="57">
        <v>4</v>
      </c>
      <c r="AX33" s="57">
        <v>4</v>
      </c>
      <c r="AY33" s="57">
        <v>4</v>
      </c>
      <c r="AZ33" s="57">
        <v>4</v>
      </c>
      <c r="BA33" s="57">
        <v>4</v>
      </c>
      <c r="BB33" s="57">
        <v>4</v>
      </c>
      <c r="BC33" s="57">
        <v>4</v>
      </c>
      <c r="BD33" s="57">
        <v>4</v>
      </c>
      <c r="BE33" s="57">
        <v>4</v>
      </c>
      <c r="BF33" s="57">
        <v>4</v>
      </c>
      <c r="BG33" s="57">
        <v>4</v>
      </c>
      <c r="BH33" s="57">
        <v>4</v>
      </c>
      <c r="BI33" s="57">
        <v>4</v>
      </c>
      <c r="BJ33" s="57">
        <v>4</v>
      </c>
      <c r="BK33" s="57">
        <v>4</v>
      </c>
      <c r="BL33" s="57">
        <v>4</v>
      </c>
      <c r="BM33" s="57">
        <v>4</v>
      </c>
      <c r="BN33" s="57">
        <v>4</v>
      </c>
      <c r="BO33" s="57">
        <v>4</v>
      </c>
      <c r="BP33" s="57">
        <v>4</v>
      </c>
      <c r="BQ33" s="57">
        <v>4</v>
      </c>
      <c r="BR33" s="57">
        <v>4</v>
      </c>
      <c r="BS33" s="57">
        <v>4</v>
      </c>
      <c r="BT33" s="57">
        <v>4</v>
      </c>
      <c r="BU33" s="57">
        <v>4</v>
      </c>
      <c r="BV33" s="57">
        <v>4</v>
      </c>
      <c r="BW33" s="57">
        <v>4</v>
      </c>
      <c r="BX33" s="57">
        <v>4</v>
      </c>
      <c r="BY33" s="57">
        <v>4</v>
      </c>
      <c r="BZ33" s="57">
        <v>4</v>
      </c>
      <c r="CA33" s="57">
        <v>4</v>
      </c>
      <c r="CB33" s="57">
        <v>4</v>
      </c>
      <c r="CC33" s="57">
        <v>4</v>
      </c>
      <c r="CD33" s="57">
        <v>4</v>
      </c>
      <c r="CE33" s="57">
        <v>4</v>
      </c>
      <c r="CF33" s="57">
        <v>4</v>
      </c>
      <c r="CG33" s="57">
        <v>4</v>
      </c>
      <c r="CH33" s="57">
        <v>4</v>
      </c>
      <c r="CI33" s="57">
        <v>4</v>
      </c>
      <c r="CJ33" s="57">
        <v>4</v>
      </c>
      <c r="CK33" s="57">
        <v>4</v>
      </c>
      <c r="CL33" s="57">
        <v>4</v>
      </c>
      <c r="CM33" s="57">
        <v>4</v>
      </c>
      <c r="CN33" s="57">
        <v>4</v>
      </c>
      <c r="CO33" s="57">
        <v>4</v>
      </c>
      <c r="CP33" s="57">
        <v>4</v>
      </c>
      <c r="CQ33" s="57">
        <v>4</v>
      </c>
      <c r="CR33" s="57">
        <v>4</v>
      </c>
      <c r="CS33" s="57">
        <v>4</v>
      </c>
      <c r="CT33" s="57">
        <v>4</v>
      </c>
      <c r="CU33" s="57">
        <v>4</v>
      </c>
      <c r="CV33" s="57">
        <v>4</v>
      </c>
      <c r="CW33" s="57">
        <v>4</v>
      </c>
      <c r="CX33" s="57">
        <v>4</v>
      </c>
      <c r="CY33" s="57">
        <v>4</v>
      </c>
      <c r="CZ33" s="57">
        <v>4</v>
      </c>
      <c r="DA33" s="57">
        <v>4</v>
      </c>
      <c r="DB33" s="57">
        <v>4</v>
      </c>
      <c r="DC33" s="57">
        <v>4</v>
      </c>
      <c r="DD33" s="57">
        <v>4</v>
      </c>
      <c r="DE33" s="57">
        <v>4</v>
      </c>
      <c r="DF33" s="57">
        <v>4</v>
      </c>
      <c r="DG33" s="57">
        <v>4</v>
      </c>
      <c r="DH33" s="57">
        <v>4</v>
      </c>
      <c r="DI33" s="57">
        <v>4</v>
      </c>
      <c r="DJ33" s="57">
        <v>4</v>
      </c>
      <c r="DK33" s="57">
        <v>4</v>
      </c>
      <c r="DL33" s="57">
        <v>4</v>
      </c>
      <c r="DM33" s="57">
        <v>4</v>
      </c>
      <c r="DN33" s="57">
        <v>4</v>
      </c>
      <c r="DO33" s="57">
        <v>4</v>
      </c>
      <c r="DP33" s="57">
        <v>4</v>
      </c>
      <c r="DQ33" s="57">
        <v>4</v>
      </c>
      <c r="DR33" s="57">
        <v>4</v>
      </c>
      <c r="DS33" s="57">
        <v>4</v>
      </c>
      <c r="DT33" s="57">
        <v>4</v>
      </c>
      <c r="DU33" s="1" t="s">
        <v>1378</v>
      </c>
    </row>
    <row r="34" spans="1:125" x14ac:dyDescent="0.2">
      <c r="A34" s="50" t="s">
        <v>1381</v>
      </c>
      <c r="B34" s="1" t="s">
        <v>1376</v>
      </c>
      <c r="D34" t="s">
        <v>1382</v>
      </c>
      <c r="E34" s="56">
        <v>1</v>
      </c>
      <c r="F34" s="57">
        <v>4</v>
      </c>
      <c r="G34" s="57">
        <v>4</v>
      </c>
      <c r="H34" s="57">
        <v>4</v>
      </c>
      <c r="I34" s="56">
        <v>1</v>
      </c>
      <c r="J34" s="58">
        <v>2</v>
      </c>
      <c r="K34" s="58">
        <v>2</v>
      </c>
      <c r="L34" s="57">
        <v>4</v>
      </c>
      <c r="M34" s="57">
        <v>4</v>
      </c>
      <c r="N34" s="57">
        <v>4</v>
      </c>
      <c r="O34" s="57">
        <v>4</v>
      </c>
      <c r="P34" s="57">
        <v>4</v>
      </c>
      <c r="Q34" s="57">
        <v>4</v>
      </c>
      <c r="R34" s="57">
        <v>4</v>
      </c>
      <c r="S34" s="57">
        <v>4</v>
      </c>
      <c r="T34" s="57">
        <v>4</v>
      </c>
      <c r="U34" s="57">
        <v>4</v>
      </c>
      <c r="V34" s="57">
        <v>4</v>
      </c>
      <c r="W34" s="57">
        <v>4</v>
      </c>
      <c r="X34" s="57">
        <v>4</v>
      </c>
      <c r="Y34" s="57">
        <v>4</v>
      </c>
      <c r="Z34" s="57">
        <v>4</v>
      </c>
      <c r="AA34" s="57">
        <v>4</v>
      </c>
      <c r="AB34" s="57">
        <v>4</v>
      </c>
      <c r="AC34" s="57">
        <v>4</v>
      </c>
      <c r="AD34" s="57">
        <v>4</v>
      </c>
      <c r="AE34" s="57">
        <v>4</v>
      </c>
      <c r="AF34" s="58">
        <v>2</v>
      </c>
      <c r="AG34" s="57">
        <v>4</v>
      </c>
      <c r="AH34" s="57">
        <v>4</v>
      </c>
      <c r="AI34" s="57">
        <v>4</v>
      </c>
      <c r="AJ34" s="57">
        <v>4</v>
      </c>
      <c r="AK34" s="57">
        <v>4</v>
      </c>
      <c r="AL34" s="57">
        <v>4</v>
      </c>
      <c r="AM34" s="57">
        <v>4</v>
      </c>
      <c r="AN34" s="58">
        <v>2</v>
      </c>
      <c r="AO34" s="57">
        <v>4</v>
      </c>
      <c r="AP34" s="57">
        <v>4</v>
      </c>
      <c r="AQ34" s="57">
        <v>4</v>
      </c>
      <c r="AR34" s="57">
        <v>4</v>
      </c>
      <c r="AS34" s="57">
        <v>4</v>
      </c>
      <c r="AT34" s="57">
        <v>4</v>
      </c>
      <c r="AU34" s="57">
        <v>4</v>
      </c>
      <c r="AV34" s="57">
        <v>4</v>
      </c>
      <c r="AW34" s="57">
        <v>4</v>
      </c>
      <c r="AX34" s="57">
        <v>4</v>
      </c>
      <c r="AY34" s="57">
        <v>4</v>
      </c>
      <c r="AZ34" s="57">
        <v>4</v>
      </c>
      <c r="BA34" s="57">
        <v>4</v>
      </c>
      <c r="BB34" s="57">
        <v>4</v>
      </c>
      <c r="BC34" s="57">
        <v>4</v>
      </c>
      <c r="BD34" s="57">
        <v>4</v>
      </c>
      <c r="BE34" s="57">
        <v>4</v>
      </c>
      <c r="BF34" s="57">
        <v>4</v>
      </c>
      <c r="BG34" s="57">
        <v>4</v>
      </c>
      <c r="BH34" s="57">
        <v>4</v>
      </c>
      <c r="BI34" s="57">
        <v>4</v>
      </c>
      <c r="BJ34" s="57">
        <v>4</v>
      </c>
      <c r="BK34" s="57">
        <v>4</v>
      </c>
      <c r="BL34" s="57">
        <v>4</v>
      </c>
      <c r="BM34" s="57">
        <v>4</v>
      </c>
      <c r="BN34" s="57">
        <v>4</v>
      </c>
      <c r="BO34" s="57">
        <v>4</v>
      </c>
      <c r="BP34" s="57">
        <v>4</v>
      </c>
      <c r="BQ34" s="57">
        <v>4</v>
      </c>
      <c r="BR34" s="57">
        <v>4</v>
      </c>
      <c r="BS34" s="57">
        <v>4</v>
      </c>
      <c r="BT34" s="57">
        <v>4</v>
      </c>
      <c r="BU34" s="57">
        <v>4</v>
      </c>
      <c r="BV34" s="57">
        <v>4</v>
      </c>
      <c r="BW34" s="57">
        <v>4</v>
      </c>
      <c r="BX34" s="57">
        <v>4</v>
      </c>
      <c r="BY34" s="57">
        <v>4</v>
      </c>
      <c r="BZ34" s="57">
        <v>4</v>
      </c>
      <c r="CA34" s="57">
        <v>4</v>
      </c>
      <c r="CB34" s="57">
        <v>4</v>
      </c>
      <c r="CC34" s="57">
        <v>4</v>
      </c>
      <c r="CD34" s="57">
        <v>4</v>
      </c>
      <c r="CE34" s="57">
        <v>4</v>
      </c>
      <c r="CF34" s="57">
        <v>4</v>
      </c>
      <c r="CG34" s="57">
        <v>4</v>
      </c>
      <c r="CH34" s="57">
        <v>4</v>
      </c>
      <c r="CI34" s="57">
        <v>4</v>
      </c>
      <c r="CJ34" s="57">
        <v>4</v>
      </c>
      <c r="CK34" s="57">
        <v>4</v>
      </c>
      <c r="CL34" s="57">
        <v>4</v>
      </c>
      <c r="CM34" s="57">
        <v>4</v>
      </c>
      <c r="CN34" s="57">
        <v>4</v>
      </c>
      <c r="CO34" s="57">
        <v>4</v>
      </c>
      <c r="CP34" s="57">
        <v>4</v>
      </c>
      <c r="CQ34" s="57">
        <v>4</v>
      </c>
      <c r="CR34" s="57">
        <v>4</v>
      </c>
      <c r="CS34" s="57">
        <v>4</v>
      </c>
      <c r="CT34" s="57">
        <v>4</v>
      </c>
      <c r="CU34" s="57">
        <v>4</v>
      </c>
      <c r="CV34" s="57">
        <v>4</v>
      </c>
      <c r="CW34" s="57">
        <v>4</v>
      </c>
      <c r="CX34" s="57">
        <v>4</v>
      </c>
      <c r="CY34" s="57">
        <v>4</v>
      </c>
      <c r="CZ34" s="57">
        <v>4</v>
      </c>
      <c r="DA34" s="57">
        <v>4</v>
      </c>
      <c r="DB34" s="57">
        <v>4</v>
      </c>
      <c r="DC34" s="57">
        <v>4</v>
      </c>
      <c r="DD34" s="57">
        <v>4</v>
      </c>
      <c r="DE34" s="57">
        <v>4</v>
      </c>
      <c r="DF34" s="57">
        <v>4</v>
      </c>
      <c r="DG34" s="57">
        <v>4</v>
      </c>
      <c r="DH34" s="57">
        <v>4</v>
      </c>
      <c r="DI34" s="57">
        <v>4</v>
      </c>
      <c r="DJ34" s="57">
        <v>4</v>
      </c>
      <c r="DK34" s="57">
        <v>4</v>
      </c>
      <c r="DL34" s="57">
        <v>4</v>
      </c>
      <c r="DM34" s="57">
        <v>4</v>
      </c>
      <c r="DN34" s="57">
        <v>4</v>
      </c>
      <c r="DO34" s="57">
        <v>4</v>
      </c>
      <c r="DP34" s="57">
        <v>4</v>
      </c>
      <c r="DQ34" s="57">
        <v>4</v>
      </c>
      <c r="DR34" s="57">
        <v>4</v>
      </c>
      <c r="DS34" s="57">
        <v>4</v>
      </c>
      <c r="DT34" s="57">
        <v>4</v>
      </c>
      <c r="DU34" s="1" t="s">
        <v>1378</v>
      </c>
    </row>
    <row r="35" spans="1:125" x14ac:dyDescent="0.2">
      <c r="A35" s="50" t="s">
        <v>1383</v>
      </c>
      <c r="B35" s="1" t="s">
        <v>1376</v>
      </c>
      <c r="D35" t="s">
        <v>1384</v>
      </c>
      <c r="E35" s="56">
        <v>1</v>
      </c>
      <c r="F35" s="57">
        <v>4</v>
      </c>
      <c r="G35" s="57">
        <v>4</v>
      </c>
      <c r="H35" s="57">
        <v>4</v>
      </c>
      <c r="I35" s="56">
        <v>1</v>
      </c>
      <c r="J35" s="56">
        <v>1</v>
      </c>
      <c r="K35" s="58">
        <v>2</v>
      </c>
      <c r="L35" s="57">
        <v>4</v>
      </c>
      <c r="M35" s="57">
        <v>4</v>
      </c>
      <c r="N35" s="57">
        <v>4</v>
      </c>
      <c r="O35" s="57">
        <v>4</v>
      </c>
      <c r="P35" s="57">
        <v>4</v>
      </c>
      <c r="Q35" s="57">
        <v>4</v>
      </c>
      <c r="R35" s="57">
        <v>4</v>
      </c>
      <c r="S35" s="57">
        <v>4</v>
      </c>
      <c r="T35" s="57">
        <v>4</v>
      </c>
      <c r="U35" s="57">
        <v>4</v>
      </c>
      <c r="V35" s="57">
        <v>4</v>
      </c>
      <c r="W35" s="57">
        <v>4</v>
      </c>
      <c r="X35" s="57">
        <v>4</v>
      </c>
      <c r="Y35" s="57">
        <v>4</v>
      </c>
      <c r="Z35" s="57">
        <v>4</v>
      </c>
      <c r="AA35" s="57">
        <v>4</v>
      </c>
      <c r="AB35" s="57">
        <v>4</v>
      </c>
      <c r="AC35" s="57">
        <v>4</v>
      </c>
      <c r="AD35" s="57">
        <v>4</v>
      </c>
      <c r="AE35" s="57">
        <v>4</v>
      </c>
      <c r="AF35" s="56">
        <v>1</v>
      </c>
      <c r="AG35" s="57">
        <v>4</v>
      </c>
      <c r="AH35" s="57">
        <v>4</v>
      </c>
      <c r="AI35" s="57">
        <v>4</v>
      </c>
      <c r="AJ35" s="57">
        <v>4</v>
      </c>
      <c r="AK35" s="57">
        <v>4</v>
      </c>
      <c r="AL35" s="57">
        <v>4</v>
      </c>
      <c r="AM35" s="57">
        <v>4</v>
      </c>
      <c r="AN35" s="58">
        <v>2</v>
      </c>
      <c r="AO35" s="57">
        <v>4</v>
      </c>
      <c r="AP35" s="57">
        <v>4</v>
      </c>
      <c r="AQ35" s="57">
        <v>4</v>
      </c>
      <c r="AR35" s="57">
        <v>4</v>
      </c>
      <c r="AS35" s="57">
        <v>4</v>
      </c>
      <c r="AT35" s="57">
        <v>4</v>
      </c>
      <c r="AU35" s="57">
        <v>4</v>
      </c>
      <c r="AV35" s="57">
        <v>4</v>
      </c>
      <c r="AW35" s="57">
        <v>4</v>
      </c>
      <c r="AX35" s="57">
        <v>4</v>
      </c>
      <c r="AY35" s="57">
        <v>4</v>
      </c>
      <c r="AZ35" s="57">
        <v>4</v>
      </c>
      <c r="BA35" s="57">
        <v>4</v>
      </c>
      <c r="BB35" s="57">
        <v>4</v>
      </c>
      <c r="BC35" s="57">
        <v>4</v>
      </c>
      <c r="BD35" s="57">
        <v>4</v>
      </c>
      <c r="BE35" s="57">
        <v>4</v>
      </c>
      <c r="BF35" s="57">
        <v>4</v>
      </c>
      <c r="BG35" s="57">
        <v>4</v>
      </c>
      <c r="BH35" s="57">
        <v>4</v>
      </c>
      <c r="BI35" s="57">
        <v>4</v>
      </c>
      <c r="BJ35" s="57">
        <v>4</v>
      </c>
      <c r="BK35" s="57">
        <v>4</v>
      </c>
      <c r="BL35" s="57">
        <v>4</v>
      </c>
      <c r="BM35" s="57">
        <v>4</v>
      </c>
      <c r="BN35" s="57">
        <v>4</v>
      </c>
      <c r="BO35" s="57">
        <v>4</v>
      </c>
      <c r="BP35" s="57">
        <v>4</v>
      </c>
      <c r="BQ35" s="57">
        <v>4</v>
      </c>
      <c r="BR35" s="57">
        <v>4</v>
      </c>
      <c r="BS35" s="57">
        <v>4</v>
      </c>
      <c r="BT35" s="57">
        <v>4</v>
      </c>
      <c r="BU35" s="57">
        <v>4</v>
      </c>
      <c r="BV35" s="57">
        <v>4</v>
      </c>
      <c r="BW35" s="57">
        <v>4</v>
      </c>
      <c r="BX35" s="57">
        <v>4</v>
      </c>
      <c r="BY35" s="57">
        <v>4</v>
      </c>
      <c r="BZ35" s="57">
        <v>4</v>
      </c>
      <c r="CA35" s="57">
        <v>4</v>
      </c>
      <c r="CB35" s="57">
        <v>4</v>
      </c>
      <c r="CC35" s="57">
        <v>4</v>
      </c>
      <c r="CD35" s="57">
        <v>4</v>
      </c>
      <c r="CE35" s="57">
        <v>4</v>
      </c>
      <c r="CF35" s="57">
        <v>4</v>
      </c>
      <c r="CG35" s="57">
        <v>4</v>
      </c>
      <c r="CH35" s="57">
        <v>4</v>
      </c>
      <c r="CI35" s="57">
        <v>4</v>
      </c>
      <c r="CJ35" s="57">
        <v>4</v>
      </c>
      <c r="CK35" s="57">
        <v>4</v>
      </c>
      <c r="CL35" s="57">
        <v>4</v>
      </c>
      <c r="CM35" s="57">
        <v>4</v>
      </c>
      <c r="CN35" s="57">
        <v>4</v>
      </c>
      <c r="CO35" s="57">
        <v>4</v>
      </c>
      <c r="CP35" s="57">
        <v>4</v>
      </c>
      <c r="CQ35" s="57">
        <v>4</v>
      </c>
      <c r="CR35" s="57">
        <v>4</v>
      </c>
      <c r="CS35" s="57">
        <v>4</v>
      </c>
      <c r="CT35" s="57">
        <v>4</v>
      </c>
      <c r="CU35" s="57">
        <v>4</v>
      </c>
      <c r="CV35" s="57">
        <v>4</v>
      </c>
      <c r="CW35" s="57">
        <v>4</v>
      </c>
      <c r="CX35" s="57">
        <v>4</v>
      </c>
      <c r="CY35" s="57">
        <v>4</v>
      </c>
      <c r="CZ35" s="57">
        <v>4</v>
      </c>
      <c r="DA35" s="57">
        <v>4</v>
      </c>
      <c r="DB35" s="57">
        <v>4</v>
      </c>
      <c r="DC35" s="57">
        <v>4</v>
      </c>
      <c r="DD35" s="57">
        <v>4</v>
      </c>
      <c r="DE35" s="57">
        <v>4</v>
      </c>
      <c r="DF35" s="57">
        <v>4</v>
      </c>
      <c r="DG35" s="57">
        <v>4</v>
      </c>
      <c r="DH35" s="57">
        <v>4</v>
      </c>
      <c r="DI35" s="57">
        <v>4</v>
      </c>
      <c r="DJ35" s="57">
        <v>4</v>
      </c>
      <c r="DK35" s="57">
        <v>4</v>
      </c>
      <c r="DL35" s="57">
        <v>4</v>
      </c>
      <c r="DM35" s="57">
        <v>4</v>
      </c>
      <c r="DN35" s="57">
        <v>4</v>
      </c>
      <c r="DO35" s="57">
        <v>4</v>
      </c>
      <c r="DP35" s="57">
        <v>4</v>
      </c>
      <c r="DQ35" s="57">
        <v>4</v>
      </c>
      <c r="DR35" s="57">
        <v>4</v>
      </c>
      <c r="DS35" s="57">
        <v>4</v>
      </c>
      <c r="DT35" s="57">
        <v>4</v>
      </c>
      <c r="DU35" s="1" t="s">
        <v>1378</v>
      </c>
    </row>
    <row r="36" spans="1:125" x14ac:dyDescent="0.2">
      <c r="A36" s="50" t="s">
        <v>1385</v>
      </c>
      <c r="B36" s="1" t="s">
        <v>1376</v>
      </c>
      <c r="D36" t="s">
        <v>1386</v>
      </c>
      <c r="E36" s="56">
        <v>1</v>
      </c>
      <c r="F36" s="57">
        <v>4</v>
      </c>
      <c r="G36" s="57">
        <v>4</v>
      </c>
      <c r="H36" s="57">
        <v>4</v>
      </c>
      <c r="I36" s="56">
        <v>1</v>
      </c>
      <c r="J36" s="56">
        <v>1</v>
      </c>
      <c r="K36" s="56">
        <v>1</v>
      </c>
      <c r="L36" s="57">
        <v>4</v>
      </c>
      <c r="M36" s="57">
        <v>4</v>
      </c>
      <c r="N36" s="57">
        <v>4</v>
      </c>
      <c r="O36" s="57">
        <v>4</v>
      </c>
      <c r="P36" s="57">
        <v>4</v>
      </c>
      <c r="Q36" s="57">
        <v>4</v>
      </c>
      <c r="R36" s="57">
        <v>4</v>
      </c>
      <c r="S36" s="57">
        <v>4</v>
      </c>
      <c r="T36" s="57">
        <v>4</v>
      </c>
      <c r="U36" s="57">
        <v>4</v>
      </c>
      <c r="V36" s="57">
        <v>4</v>
      </c>
      <c r="W36" s="57">
        <v>4</v>
      </c>
      <c r="X36" s="57">
        <v>4</v>
      </c>
      <c r="Y36" s="57">
        <v>4</v>
      </c>
      <c r="Z36" s="57">
        <v>4</v>
      </c>
      <c r="AA36" s="57">
        <v>4</v>
      </c>
      <c r="AB36" s="57">
        <v>4</v>
      </c>
      <c r="AC36" s="57">
        <v>4</v>
      </c>
      <c r="AD36" s="57">
        <v>4</v>
      </c>
      <c r="AE36" s="57">
        <v>4</v>
      </c>
      <c r="AF36" s="56">
        <v>1</v>
      </c>
      <c r="AG36" s="57">
        <v>4</v>
      </c>
      <c r="AH36" s="57">
        <v>4</v>
      </c>
      <c r="AI36" s="57">
        <v>4</v>
      </c>
      <c r="AJ36" s="57">
        <v>4</v>
      </c>
      <c r="AK36" s="57">
        <v>4</v>
      </c>
      <c r="AL36" s="57">
        <v>4</v>
      </c>
      <c r="AM36" s="57">
        <v>4</v>
      </c>
      <c r="AN36" s="56">
        <v>1</v>
      </c>
      <c r="AO36" s="57">
        <v>4</v>
      </c>
      <c r="AP36" s="57">
        <v>4</v>
      </c>
      <c r="AQ36" s="57">
        <v>4</v>
      </c>
      <c r="AR36" s="57">
        <v>4</v>
      </c>
      <c r="AS36" s="57">
        <v>4</v>
      </c>
      <c r="AT36" s="57">
        <v>4</v>
      </c>
      <c r="AU36" s="57">
        <v>4</v>
      </c>
      <c r="AV36" s="57">
        <v>4</v>
      </c>
      <c r="AW36" s="57">
        <v>4</v>
      </c>
      <c r="AX36" s="57">
        <v>4</v>
      </c>
      <c r="AY36" s="57">
        <v>4</v>
      </c>
      <c r="AZ36" s="57">
        <v>4</v>
      </c>
      <c r="BA36" s="57">
        <v>4</v>
      </c>
      <c r="BB36" s="57">
        <v>4</v>
      </c>
      <c r="BC36" s="57">
        <v>4</v>
      </c>
      <c r="BD36" s="57">
        <v>4</v>
      </c>
      <c r="BE36" s="57">
        <v>4</v>
      </c>
      <c r="BF36" s="57">
        <v>4</v>
      </c>
      <c r="BG36" s="57">
        <v>4</v>
      </c>
      <c r="BH36" s="57">
        <v>4</v>
      </c>
      <c r="BI36" s="57">
        <v>4</v>
      </c>
      <c r="BJ36" s="57">
        <v>4</v>
      </c>
      <c r="BK36" s="57">
        <v>4</v>
      </c>
      <c r="BL36" s="57">
        <v>4</v>
      </c>
      <c r="BM36" s="57">
        <v>4</v>
      </c>
      <c r="BN36" s="57">
        <v>4</v>
      </c>
      <c r="BO36" s="57">
        <v>4</v>
      </c>
      <c r="BP36" s="57">
        <v>4</v>
      </c>
      <c r="BQ36" s="57">
        <v>4</v>
      </c>
      <c r="BR36" s="57">
        <v>4</v>
      </c>
      <c r="BS36" s="57">
        <v>4</v>
      </c>
      <c r="BT36" s="57">
        <v>4</v>
      </c>
      <c r="BU36" s="57">
        <v>4</v>
      </c>
      <c r="BV36" s="57">
        <v>4</v>
      </c>
      <c r="BW36" s="57">
        <v>4</v>
      </c>
      <c r="BX36" s="57">
        <v>4</v>
      </c>
      <c r="BY36" s="57">
        <v>4</v>
      </c>
      <c r="BZ36" s="57">
        <v>4</v>
      </c>
      <c r="CA36" s="57">
        <v>4</v>
      </c>
      <c r="CB36" s="57">
        <v>4</v>
      </c>
      <c r="CC36" s="57">
        <v>4</v>
      </c>
      <c r="CD36" s="57">
        <v>4</v>
      </c>
      <c r="CE36" s="57">
        <v>4</v>
      </c>
      <c r="CF36" s="57">
        <v>4</v>
      </c>
      <c r="CG36" s="57">
        <v>4</v>
      </c>
      <c r="CH36" s="57">
        <v>4</v>
      </c>
      <c r="CI36" s="57">
        <v>4</v>
      </c>
      <c r="CJ36" s="57">
        <v>4</v>
      </c>
      <c r="CK36" s="57">
        <v>4</v>
      </c>
      <c r="CL36" s="57">
        <v>4</v>
      </c>
      <c r="CM36" s="57">
        <v>4</v>
      </c>
      <c r="CN36" s="57">
        <v>4</v>
      </c>
      <c r="CO36" s="57">
        <v>4</v>
      </c>
      <c r="CP36" s="57">
        <v>4</v>
      </c>
      <c r="CQ36" s="57">
        <v>4</v>
      </c>
      <c r="CR36" s="57">
        <v>4</v>
      </c>
      <c r="CS36" s="57">
        <v>4</v>
      </c>
      <c r="CT36" s="57">
        <v>4</v>
      </c>
      <c r="CU36" s="57">
        <v>4</v>
      </c>
      <c r="CV36" s="57">
        <v>4</v>
      </c>
      <c r="CW36" s="57">
        <v>4</v>
      </c>
      <c r="CX36" s="57">
        <v>4</v>
      </c>
      <c r="CY36" s="57">
        <v>4</v>
      </c>
      <c r="CZ36" s="57">
        <v>4</v>
      </c>
      <c r="DA36" s="57">
        <v>4</v>
      </c>
      <c r="DB36" s="57">
        <v>4</v>
      </c>
      <c r="DC36" s="57">
        <v>4</v>
      </c>
      <c r="DD36" s="57">
        <v>4</v>
      </c>
      <c r="DE36" s="57">
        <v>4</v>
      </c>
      <c r="DF36" s="57">
        <v>4</v>
      </c>
      <c r="DG36" s="57">
        <v>4</v>
      </c>
      <c r="DH36" s="57">
        <v>4</v>
      </c>
      <c r="DI36" s="57">
        <v>4</v>
      </c>
      <c r="DJ36" s="57">
        <v>4</v>
      </c>
      <c r="DK36" s="57">
        <v>4</v>
      </c>
      <c r="DL36" s="57">
        <v>4</v>
      </c>
      <c r="DM36" s="57">
        <v>4</v>
      </c>
      <c r="DN36" s="57">
        <v>4</v>
      </c>
      <c r="DO36" s="57">
        <v>4</v>
      </c>
      <c r="DP36" s="57">
        <v>4</v>
      </c>
      <c r="DQ36" s="57">
        <v>4</v>
      </c>
      <c r="DR36" s="57">
        <v>4</v>
      </c>
      <c r="DS36" s="57">
        <v>4</v>
      </c>
      <c r="DT36" s="57">
        <v>4</v>
      </c>
      <c r="DU36" s="1" t="s">
        <v>1378</v>
      </c>
    </row>
    <row r="37" spans="1:125" x14ac:dyDescent="0.2">
      <c r="A37" s="50" t="s">
        <v>1387</v>
      </c>
      <c r="B37" s="1" t="s">
        <v>1376</v>
      </c>
      <c r="D37" t="s">
        <v>1388</v>
      </c>
      <c r="E37" s="56">
        <v>1</v>
      </c>
      <c r="F37" s="57">
        <v>4</v>
      </c>
      <c r="G37" s="57">
        <v>4</v>
      </c>
      <c r="H37" s="57">
        <v>4</v>
      </c>
      <c r="I37" s="56">
        <v>1</v>
      </c>
      <c r="J37" s="56">
        <v>1</v>
      </c>
      <c r="K37" s="56">
        <v>1</v>
      </c>
      <c r="L37" s="57">
        <v>4</v>
      </c>
      <c r="M37" s="57">
        <v>4</v>
      </c>
      <c r="N37" s="57">
        <v>4</v>
      </c>
      <c r="O37" s="57">
        <v>4</v>
      </c>
      <c r="P37" s="57">
        <v>4</v>
      </c>
      <c r="Q37" s="57">
        <v>4</v>
      </c>
      <c r="R37" s="57">
        <v>4</v>
      </c>
      <c r="S37" s="57">
        <v>4</v>
      </c>
      <c r="T37" s="57">
        <v>4</v>
      </c>
      <c r="U37" s="57">
        <v>4</v>
      </c>
      <c r="V37" s="57">
        <v>4</v>
      </c>
      <c r="W37" s="57">
        <v>4</v>
      </c>
      <c r="X37" s="57">
        <v>4</v>
      </c>
      <c r="Y37" s="57">
        <v>4</v>
      </c>
      <c r="Z37" s="57">
        <v>4</v>
      </c>
      <c r="AA37" s="57">
        <v>4</v>
      </c>
      <c r="AB37" s="57">
        <v>4</v>
      </c>
      <c r="AC37" s="57">
        <v>4</v>
      </c>
      <c r="AD37" s="57">
        <v>4</v>
      </c>
      <c r="AE37" s="57">
        <v>4</v>
      </c>
      <c r="AF37" s="56">
        <v>1</v>
      </c>
      <c r="AG37" s="57">
        <v>4</v>
      </c>
      <c r="AH37" s="57">
        <v>4</v>
      </c>
      <c r="AI37" s="57">
        <v>4</v>
      </c>
      <c r="AJ37" s="57">
        <v>4</v>
      </c>
      <c r="AK37" s="57">
        <v>4</v>
      </c>
      <c r="AL37" s="57">
        <v>4</v>
      </c>
      <c r="AM37" s="57">
        <v>4</v>
      </c>
      <c r="AN37" s="56">
        <v>1</v>
      </c>
      <c r="AO37" s="57">
        <v>4</v>
      </c>
      <c r="AP37" s="57">
        <v>4</v>
      </c>
      <c r="AQ37" s="57">
        <v>4</v>
      </c>
      <c r="AR37" s="57">
        <v>4</v>
      </c>
      <c r="AS37" s="57">
        <v>4</v>
      </c>
      <c r="AT37" s="57">
        <v>4</v>
      </c>
      <c r="AU37" s="57">
        <v>4</v>
      </c>
      <c r="AV37" s="57">
        <v>4</v>
      </c>
      <c r="AW37" s="57">
        <v>4</v>
      </c>
      <c r="AX37" s="57">
        <v>4</v>
      </c>
      <c r="AY37" s="57">
        <v>4</v>
      </c>
      <c r="AZ37" s="57">
        <v>4</v>
      </c>
      <c r="BA37" s="57">
        <v>4</v>
      </c>
      <c r="BB37" s="57">
        <v>4</v>
      </c>
      <c r="BC37" s="57">
        <v>4</v>
      </c>
      <c r="BD37" s="57">
        <v>4</v>
      </c>
      <c r="BE37" s="57">
        <v>4</v>
      </c>
      <c r="BF37" s="57">
        <v>4</v>
      </c>
      <c r="BG37" s="57">
        <v>4</v>
      </c>
      <c r="BH37" s="57">
        <v>4</v>
      </c>
      <c r="BI37" s="57">
        <v>4</v>
      </c>
      <c r="BJ37" s="57">
        <v>4</v>
      </c>
      <c r="BK37" s="57">
        <v>4</v>
      </c>
      <c r="BL37" s="57">
        <v>4</v>
      </c>
      <c r="BM37" s="57">
        <v>4</v>
      </c>
      <c r="BN37" s="57">
        <v>4</v>
      </c>
      <c r="BO37" s="57">
        <v>4</v>
      </c>
      <c r="BP37" s="57">
        <v>4</v>
      </c>
      <c r="BQ37" s="57">
        <v>4</v>
      </c>
      <c r="BR37" s="57">
        <v>4</v>
      </c>
      <c r="BS37" s="57">
        <v>4</v>
      </c>
      <c r="BT37" s="57">
        <v>4</v>
      </c>
      <c r="BU37" s="57">
        <v>4</v>
      </c>
      <c r="BV37" s="57">
        <v>4</v>
      </c>
      <c r="BW37" s="57">
        <v>4</v>
      </c>
      <c r="BX37" s="57">
        <v>4</v>
      </c>
      <c r="BY37" s="57">
        <v>4</v>
      </c>
      <c r="BZ37" s="57">
        <v>4</v>
      </c>
      <c r="CA37" s="57">
        <v>4</v>
      </c>
      <c r="CB37" s="57">
        <v>4</v>
      </c>
      <c r="CC37" s="57">
        <v>4</v>
      </c>
      <c r="CD37" s="57">
        <v>4</v>
      </c>
      <c r="CE37" s="57">
        <v>4</v>
      </c>
      <c r="CF37" s="57">
        <v>4</v>
      </c>
      <c r="CG37" s="57">
        <v>4</v>
      </c>
      <c r="CH37" s="57">
        <v>4</v>
      </c>
      <c r="CI37" s="57">
        <v>4</v>
      </c>
      <c r="CJ37" s="57">
        <v>4</v>
      </c>
      <c r="CK37" s="57">
        <v>4</v>
      </c>
      <c r="CL37" s="57">
        <v>4</v>
      </c>
      <c r="CM37" s="57">
        <v>4</v>
      </c>
      <c r="CN37" s="57">
        <v>4</v>
      </c>
      <c r="CO37" s="57">
        <v>4</v>
      </c>
      <c r="CP37" s="57">
        <v>4</v>
      </c>
      <c r="CQ37" s="57">
        <v>4</v>
      </c>
      <c r="CR37" s="57">
        <v>4</v>
      </c>
      <c r="CS37" s="57">
        <v>4</v>
      </c>
      <c r="CT37" s="57">
        <v>4</v>
      </c>
      <c r="CU37" s="57">
        <v>4</v>
      </c>
      <c r="CV37" s="57">
        <v>4</v>
      </c>
      <c r="CW37" s="57">
        <v>4</v>
      </c>
      <c r="CX37" s="57">
        <v>4</v>
      </c>
      <c r="CY37" s="57">
        <v>4</v>
      </c>
      <c r="CZ37" s="57">
        <v>4</v>
      </c>
      <c r="DA37" s="57">
        <v>4</v>
      </c>
      <c r="DB37" s="57">
        <v>4</v>
      </c>
      <c r="DC37" s="57">
        <v>4</v>
      </c>
      <c r="DD37" s="57">
        <v>4</v>
      </c>
      <c r="DE37" s="57">
        <v>4</v>
      </c>
      <c r="DF37" s="57">
        <v>4</v>
      </c>
      <c r="DG37" s="57">
        <v>4</v>
      </c>
      <c r="DH37" s="57">
        <v>4</v>
      </c>
      <c r="DI37" s="57">
        <v>4</v>
      </c>
      <c r="DJ37" s="57">
        <v>4</v>
      </c>
      <c r="DK37" s="57">
        <v>4</v>
      </c>
      <c r="DL37" s="57">
        <v>4</v>
      </c>
      <c r="DM37" s="57">
        <v>4</v>
      </c>
      <c r="DN37" s="57">
        <v>4</v>
      </c>
      <c r="DO37" s="57">
        <v>4</v>
      </c>
      <c r="DP37" s="57">
        <v>4</v>
      </c>
      <c r="DQ37" s="57">
        <v>4</v>
      </c>
      <c r="DR37" s="57">
        <v>4</v>
      </c>
      <c r="DS37" s="57">
        <v>4</v>
      </c>
      <c r="DT37" s="57">
        <v>4</v>
      </c>
      <c r="DU37" s="1" t="s">
        <v>1378</v>
      </c>
    </row>
    <row r="38" spans="1:125" x14ac:dyDescent="0.2">
      <c r="A38" s="50" t="s">
        <v>1389</v>
      </c>
      <c r="B38" s="1" t="s">
        <v>1390</v>
      </c>
      <c r="C38" s="1" t="s">
        <v>1322</v>
      </c>
      <c r="D38" t="s">
        <v>1391</v>
      </c>
      <c r="E38" s="56">
        <v>1</v>
      </c>
      <c r="F38" s="57">
        <v>4</v>
      </c>
      <c r="G38" s="57">
        <v>4</v>
      </c>
      <c r="H38" s="57">
        <v>4</v>
      </c>
      <c r="I38" s="56">
        <v>1</v>
      </c>
      <c r="J38" s="57">
        <v>4</v>
      </c>
      <c r="K38" s="57">
        <v>4</v>
      </c>
      <c r="L38" s="57">
        <v>4</v>
      </c>
      <c r="M38" s="57">
        <v>4</v>
      </c>
      <c r="N38" s="59">
        <v>3</v>
      </c>
      <c r="O38" s="57">
        <v>4</v>
      </c>
      <c r="P38" s="57">
        <v>4</v>
      </c>
      <c r="Q38" s="57">
        <v>4</v>
      </c>
      <c r="R38" s="57">
        <v>4</v>
      </c>
      <c r="S38" s="57">
        <v>4</v>
      </c>
      <c r="T38" s="57">
        <v>4</v>
      </c>
      <c r="U38" s="59">
        <v>3</v>
      </c>
      <c r="V38" s="57">
        <v>4</v>
      </c>
      <c r="W38" s="57">
        <v>4</v>
      </c>
      <c r="X38" s="57">
        <v>4</v>
      </c>
      <c r="Y38" s="59">
        <v>3</v>
      </c>
      <c r="Z38" s="57">
        <v>4</v>
      </c>
      <c r="AA38" s="57">
        <v>4</v>
      </c>
      <c r="AB38" s="57">
        <v>4</v>
      </c>
      <c r="AC38" s="57">
        <v>4</v>
      </c>
      <c r="AD38" s="57">
        <v>4</v>
      </c>
      <c r="AE38" s="57">
        <v>4</v>
      </c>
      <c r="AF38" s="57">
        <v>4</v>
      </c>
      <c r="AG38" s="57">
        <v>4</v>
      </c>
      <c r="AH38" s="57">
        <v>4</v>
      </c>
      <c r="AI38" s="57">
        <v>4</v>
      </c>
      <c r="AJ38" s="57">
        <v>4</v>
      </c>
      <c r="AK38" s="57">
        <v>4</v>
      </c>
      <c r="AL38" s="57">
        <v>4</v>
      </c>
      <c r="AM38" s="57">
        <v>4</v>
      </c>
      <c r="AN38" s="57">
        <v>4</v>
      </c>
      <c r="AO38" s="57">
        <v>4</v>
      </c>
      <c r="AP38" s="57">
        <v>4</v>
      </c>
      <c r="AQ38" s="57">
        <v>4</v>
      </c>
      <c r="AR38" s="57">
        <v>4</v>
      </c>
      <c r="AS38" s="57">
        <v>4</v>
      </c>
      <c r="AT38" s="57">
        <v>4</v>
      </c>
      <c r="AU38" s="57">
        <v>4</v>
      </c>
      <c r="AV38" s="57">
        <v>4</v>
      </c>
      <c r="AW38" s="57">
        <v>4</v>
      </c>
      <c r="AX38" s="57">
        <v>4</v>
      </c>
      <c r="AY38" s="57">
        <v>4</v>
      </c>
      <c r="AZ38" s="59">
        <v>3</v>
      </c>
      <c r="BA38" s="57">
        <v>4</v>
      </c>
      <c r="BB38" s="57">
        <v>4</v>
      </c>
      <c r="BC38" s="57">
        <v>4</v>
      </c>
      <c r="BD38" s="57">
        <v>4</v>
      </c>
      <c r="BE38" s="59">
        <v>3</v>
      </c>
      <c r="BF38" s="57">
        <v>4</v>
      </c>
      <c r="BG38" s="57">
        <v>4</v>
      </c>
      <c r="BH38" s="57">
        <v>4</v>
      </c>
      <c r="BI38" s="57">
        <v>4</v>
      </c>
      <c r="BJ38" s="57">
        <v>4</v>
      </c>
      <c r="BK38" s="57">
        <v>4</v>
      </c>
      <c r="BL38" s="57">
        <v>4</v>
      </c>
      <c r="BM38" s="57">
        <v>4</v>
      </c>
      <c r="BN38" s="57">
        <v>4</v>
      </c>
      <c r="BO38" s="57">
        <v>4</v>
      </c>
      <c r="BP38" s="57">
        <v>4</v>
      </c>
      <c r="BQ38" s="57">
        <v>4</v>
      </c>
      <c r="BR38" s="57">
        <v>4</v>
      </c>
      <c r="BS38" s="57">
        <v>4</v>
      </c>
      <c r="BT38" s="57">
        <v>4</v>
      </c>
      <c r="BU38" s="57">
        <v>4</v>
      </c>
      <c r="BV38" s="57">
        <v>4</v>
      </c>
      <c r="BW38" s="57">
        <v>4</v>
      </c>
      <c r="BX38" s="57">
        <v>4</v>
      </c>
      <c r="BY38" s="59">
        <v>3</v>
      </c>
      <c r="BZ38" s="57">
        <v>4</v>
      </c>
      <c r="CA38" s="59">
        <v>3</v>
      </c>
      <c r="CB38" s="57">
        <v>4</v>
      </c>
      <c r="CC38" s="57">
        <v>4</v>
      </c>
      <c r="CD38" s="57">
        <v>4</v>
      </c>
      <c r="CE38" s="57">
        <v>4</v>
      </c>
      <c r="CF38" s="57">
        <v>4</v>
      </c>
      <c r="CG38" s="57">
        <v>4</v>
      </c>
      <c r="CH38" s="57">
        <v>4</v>
      </c>
      <c r="CI38" s="57">
        <v>4</v>
      </c>
      <c r="CJ38" s="59">
        <v>3</v>
      </c>
      <c r="CK38" s="57">
        <v>4</v>
      </c>
      <c r="CL38" s="57">
        <v>4</v>
      </c>
      <c r="CM38" s="57">
        <v>4</v>
      </c>
      <c r="CN38" s="57">
        <v>4</v>
      </c>
      <c r="CO38" s="57">
        <v>4</v>
      </c>
      <c r="CP38" s="57">
        <v>4</v>
      </c>
      <c r="CQ38" s="57">
        <v>4</v>
      </c>
      <c r="CR38" s="57">
        <v>4</v>
      </c>
      <c r="CS38" s="57">
        <v>4</v>
      </c>
      <c r="CT38" s="57">
        <v>4</v>
      </c>
      <c r="CU38" s="57">
        <v>4</v>
      </c>
      <c r="CV38" s="57">
        <v>4</v>
      </c>
      <c r="CW38" s="59">
        <v>3</v>
      </c>
      <c r="CX38" s="57">
        <v>4</v>
      </c>
      <c r="CY38" s="57">
        <v>4</v>
      </c>
      <c r="CZ38" s="59">
        <v>3</v>
      </c>
      <c r="DA38" s="57">
        <v>4</v>
      </c>
      <c r="DB38" s="57">
        <v>4</v>
      </c>
      <c r="DC38" s="57">
        <v>4</v>
      </c>
      <c r="DD38" s="59">
        <v>3</v>
      </c>
      <c r="DE38" s="57">
        <v>4</v>
      </c>
      <c r="DF38" s="57">
        <v>4</v>
      </c>
      <c r="DG38" s="57">
        <v>4</v>
      </c>
      <c r="DH38" s="59">
        <v>3</v>
      </c>
      <c r="DI38" s="57">
        <v>4</v>
      </c>
      <c r="DJ38" s="57">
        <v>4</v>
      </c>
      <c r="DK38" s="59">
        <v>3</v>
      </c>
      <c r="DL38" s="57">
        <v>4</v>
      </c>
      <c r="DM38" s="57">
        <v>4</v>
      </c>
      <c r="DN38" s="59">
        <v>3</v>
      </c>
      <c r="DO38" s="57">
        <v>4</v>
      </c>
      <c r="DP38" s="57">
        <v>4</v>
      </c>
      <c r="DQ38" s="57">
        <v>4</v>
      </c>
      <c r="DR38" s="57">
        <v>4</v>
      </c>
      <c r="DS38" s="57">
        <v>4</v>
      </c>
      <c r="DT38" s="57">
        <v>4</v>
      </c>
      <c r="DU38" s="1" t="s">
        <v>1392</v>
      </c>
    </row>
    <row r="39" spans="1:125" x14ac:dyDescent="0.2">
      <c r="A39" s="50" t="s">
        <v>1393</v>
      </c>
      <c r="B39" s="1" t="s">
        <v>1390</v>
      </c>
      <c r="C39" s="1" t="s">
        <v>1322</v>
      </c>
      <c r="D39" t="s">
        <v>1394</v>
      </c>
      <c r="E39" s="58">
        <v>2</v>
      </c>
      <c r="F39" s="57">
        <v>4</v>
      </c>
      <c r="G39" s="57">
        <v>4</v>
      </c>
      <c r="H39" s="57">
        <v>4</v>
      </c>
      <c r="I39" s="58">
        <v>2</v>
      </c>
      <c r="J39" s="57">
        <v>4</v>
      </c>
      <c r="K39" s="57">
        <v>4</v>
      </c>
      <c r="L39" s="57">
        <v>4</v>
      </c>
      <c r="M39" s="57">
        <v>4</v>
      </c>
      <c r="N39" s="58">
        <v>2</v>
      </c>
      <c r="O39" s="57">
        <v>4</v>
      </c>
      <c r="P39" s="57">
        <v>4</v>
      </c>
      <c r="Q39" s="57">
        <v>4</v>
      </c>
      <c r="R39" s="57">
        <v>4</v>
      </c>
      <c r="S39" s="57">
        <v>4</v>
      </c>
      <c r="T39" s="57">
        <v>4</v>
      </c>
      <c r="U39" s="58">
        <v>2</v>
      </c>
      <c r="V39" s="57">
        <v>4</v>
      </c>
      <c r="W39" s="57">
        <v>4</v>
      </c>
      <c r="X39" s="57">
        <v>4</v>
      </c>
      <c r="Y39" s="58">
        <v>2</v>
      </c>
      <c r="Z39" s="57">
        <v>4</v>
      </c>
      <c r="AA39" s="57">
        <v>4</v>
      </c>
      <c r="AB39" s="57">
        <v>4</v>
      </c>
      <c r="AC39" s="57">
        <v>4</v>
      </c>
      <c r="AD39" s="57">
        <v>4</v>
      </c>
      <c r="AE39" s="57">
        <v>4</v>
      </c>
      <c r="AF39" s="57">
        <v>4</v>
      </c>
      <c r="AG39" s="57">
        <v>4</v>
      </c>
      <c r="AH39" s="57">
        <v>4</v>
      </c>
      <c r="AI39" s="57">
        <v>4</v>
      </c>
      <c r="AJ39" s="57">
        <v>4</v>
      </c>
      <c r="AK39" s="57">
        <v>4</v>
      </c>
      <c r="AL39" s="57">
        <v>4</v>
      </c>
      <c r="AM39" s="57">
        <v>4</v>
      </c>
      <c r="AN39" s="57">
        <v>4</v>
      </c>
      <c r="AO39" s="57">
        <v>4</v>
      </c>
      <c r="AP39" s="57">
        <v>4</v>
      </c>
      <c r="AQ39" s="57">
        <v>4</v>
      </c>
      <c r="AR39" s="57">
        <v>4</v>
      </c>
      <c r="AS39" s="57">
        <v>4</v>
      </c>
      <c r="AT39" s="57">
        <v>4</v>
      </c>
      <c r="AU39" s="57">
        <v>4</v>
      </c>
      <c r="AV39" s="57">
        <v>4</v>
      </c>
      <c r="AW39" s="57">
        <v>4</v>
      </c>
      <c r="AX39" s="57">
        <v>4</v>
      </c>
      <c r="AY39" s="57">
        <v>4</v>
      </c>
      <c r="AZ39" s="58">
        <v>2</v>
      </c>
      <c r="BA39" s="57">
        <v>4</v>
      </c>
      <c r="BB39" s="57">
        <v>4</v>
      </c>
      <c r="BC39" s="57">
        <v>4</v>
      </c>
      <c r="BD39" s="57">
        <v>4</v>
      </c>
      <c r="BE39" s="58">
        <v>2</v>
      </c>
      <c r="BF39" s="57">
        <v>4</v>
      </c>
      <c r="BG39" s="57">
        <v>4</v>
      </c>
      <c r="BH39" s="57">
        <v>4</v>
      </c>
      <c r="BI39" s="57">
        <v>4</v>
      </c>
      <c r="BJ39" s="57">
        <v>4</v>
      </c>
      <c r="BK39" s="57">
        <v>4</v>
      </c>
      <c r="BL39" s="57">
        <v>4</v>
      </c>
      <c r="BM39" s="57">
        <v>4</v>
      </c>
      <c r="BN39" s="57">
        <v>4</v>
      </c>
      <c r="BO39" s="57">
        <v>4</v>
      </c>
      <c r="BP39" s="57">
        <v>4</v>
      </c>
      <c r="BQ39" s="57">
        <v>4</v>
      </c>
      <c r="BR39" s="57">
        <v>4</v>
      </c>
      <c r="BS39" s="57">
        <v>4</v>
      </c>
      <c r="BT39" s="57">
        <v>4</v>
      </c>
      <c r="BU39" s="57">
        <v>4</v>
      </c>
      <c r="BV39" s="57">
        <v>4</v>
      </c>
      <c r="BW39" s="57">
        <v>4</v>
      </c>
      <c r="BX39" s="57">
        <v>4</v>
      </c>
      <c r="BY39" s="58">
        <v>2</v>
      </c>
      <c r="BZ39" s="57">
        <v>4</v>
      </c>
      <c r="CA39" s="58">
        <v>2</v>
      </c>
      <c r="CB39" s="57">
        <v>4</v>
      </c>
      <c r="CC39" s="57">
        <v>4</v>
      </c>
      <c r="CD39" s="57">
        <v>4</v>
      </c>
      <c r="CE39" s="57">
        <v>4</v>
      </c>
      <c r="CF39" s="57">
        <v>4</v>
      </c>
      <c r="CG39" s="57">
        <v>4</v>
      </c>
      <c r="CH39" s="57">
        <v>4</v>
      </c>
      <c r="CI39" s="57">
        <v>4</v>
      </c>
      <c r="CJ39" s="58">
        <v>2</v>
      </c>
      <c r="CK39" s="57">
        <v>4</v>
      </c>
      <c r="CL39" s="57">
        <v>4</v>
      </c>
      <c r="CM39" s="57">
        <v>4</v>
      </c>
      <c r="CN39" s="57">
        <v>4</v>
      </c>
      <c r="CO39" s="57">
        <v>4</v>
      </c>
      <c r="CP39" s="57">
        <v>4</v>
      </c>
      <c r="CQ39" s="57">
        <v>4</v>
      </c>
      <c r="CR39" s="57">
        <v>4</v>
      </c>
      <c r="CS39" s="57">
        <v>4</v>
      </c>
      <c r="CT39" s="57">
        <v>4</v>
      </c>
      <c r="CU39" s="57">
        <v>4</v>
      </c>
      <c r="CV39" s="57">
        <v>4</v>
      </c>
      <c r="CW39" s="58">
        <v>2</v>
      </c>
      <c r="CX39" s="57">
        <v>4</v>
      </c>
      <c r="CY39" s="57">
        <v>4</v>
      </c>
      <c r="CZ39" s="58">
        <v>2</v>
      </c>
      <c r="DA39" s="57">
        <v>4</v>
      </c>
      <c r="DB39" s="57">
        <v>4</v>
      </c>
      <c r="DC39" s="57">
        <v>4</v>
      </c>
      <c r="DD39" s="58">
        <v>2</v>
      </c>
      <c r="DE39" s="57">
        <v>4</v>
      </c>
      <c r="DF39" s="57">
        <v>4</v>
      </c>
      <c r="DG39" s="57">
        <v>4</v>
      </c>
      <c r="DH39" s="58">
        <v>2</v>
      </c>
      <c r="DI39" s="57">
        <v>4</v>
      </c>
      <c r="DJ39" s="57">
        <v>4</v>
      </c>
      <c r="DK39" s="58">
        <v>2</v>
      </c>
      <c r="DL39" s="57">
        <v>4</v>
      </c>
      <c r="DM39" s="57">
        <v>4</v>
      </c>
      <c r="DN39" s="58">
        <v>2</v>
      </c>
      <c r="DO39" s="57">
        <v>4</v>
      </c>
      <c r="DP39" s="57">
        <v>4</v>
      </c>
      <c r="DQ39" s="57">
        <v>4</v>
      </c>
      <c r="DR39" s="57">
        <v>4</v>
      </c>
      <c r="DS39" s="57">
        <v>4</v>
      </c>
      <c r="DT39" s="57">
        <v>4</v>
      </c>
      <c r="DU39" s="1" t="s">
        <v>1392</v>
      </c>
    </row>
    <row r="40" spans="1:125" x14ac:dyDescent="0.2">
      <c r="A40" s="50" t="s">
        <v>1395</v>
      </c>
      <c r="B40" s="1" t="s">
        <v>1390</v>
      </c>
      <c r="C40" s="1" t="s">
        <v>1322</v>
      </c>
      <c r="D40" t="s">
        <v>1396</v>
      </c>
      <c r="E40" s="56">
        <v>1</v>
      </c>
      <c r="F40" s="57">
        <v>4</v>
      </c>
      <c r="G40" s="57">
        <v>4</v>
      </c>
      <c r="H40" s="57">
        <v>4</v>
      </c>
      <c r="I40" s="56">
        <v>1</v>
      </c>
      <c r="J40" s="57">
        <v>4</v>
      </c>
      <c r="K40" s="57">
        <v>4</v>
      </c>
      <c r="L40" s="57">
        <v>4</v>
      </c>
      <c r="M40" s="57">
        <v>4</v>
      </c>
      <c r="N40" s="59">
        <v>3</v>
      </c>
      <c r="O40" s="57">
        <v>4</v>
      </c>
      <c r="P40" s="57">
        <v>4</v>
      </c>
      <c r="Q40" s="57">
        <v>4</v>
      </c>
      <c r="R40" s="57">
        <v>4</v>
      </c>
      <c r="S40" s="57">
        <v>4</v>
      </c>
      <c r="T40" s="57">
        <v>4</v>
      </c>
      <c r="U40" s="59">
        <v>3</v>
      </c>
      <c r="V40" s="57">
        <v>4</v>
      </c>
      <c r="W40" s="57">
        <v>4</v>
      </c>
      <c r="X40" s="57">
        <v>4</v>
      </c>
      <c r="Y40" s="59">
        <v>3</v>
      </c>
      <c r="Z40" s="57">
        <v>4</v>
      </c>
      <c r="AA40" s="57">
        <v>4</v>
      </c>
      <c r="AB40" s="57">
        <v>4</v>
      </c>
      <c r="AC40" s="57">
        <v>4</v>
      </c>
      <c r="AD40" s="57">
        <v>4</v>
      </c>
      <c r="AE40" s="57">
        <v>4</v>
      </c>
      <c r="AF40" s="57">
        <v>4</v>
      </c>
      <c r="AG40" s="57">
        <v>4</v>
      </c>
      <c r="AH40" s="57">
        <v>4</v>
      </c>
      <c r="AI40" s="57">
        <v>4</v>
      </c>
      <c r="AJ40" s="57">
        <v>4</v>
      </c>
      <c r="AK40" s="57">
        <v>4</v>
      </c>
      <c r="AL40" s="57">
        <v>4</v>
      </c>
      <c r="AM40" s="57">
        <v>4</v>
      </c>
      <c r="AN40" s="57">
        <v>4</v>
      </c>
      <c r="AO40" s="57">
        <v>4</v>
      </c>
      <c r="AP40" s="57">
        <v>4</v>
      </c>
      <c r="AQ40" s="57">
        <v>4</v>
      </c>
      <c r="AR40" s="57">
        <v>4</v>
      </c>
      <c r="AS40" s="57">
        <v>4</v>
      </c>
      <c r="AT40" s="57">
        <v>4</v>
      </c>
      <c r="AU40" s="57">
        <v>4</v>
      </c>
      <c r="AV40" s="57">
        <v>4</v>
      </c>
      <c r="AW40" s="57">
        <v>4</v>
      </c>
      <c r="AX40" s="57">
        <v>4</v>
      </c>
      <c r="AY40" s="57">
        <v>4</v>
      </c>
      <c r="AZ40" s="59">
        <v>3</v>
      </c>
      <c r="BA40" s="57">
        <v>4</v>
      </c>
      <c r="BB40" s="57">
        <v>4</v>
      </c>
      <c r="BC40" s="57">
        <v>4</v>
      </c>
      <c r="BD40" s="57">
        <v>4</v>
      </c>
      <c r="BE40" s="59">
        <v>3</v>
      </c>
      <c r="BF40" s="57">
        <v>4</v>
      </c>
      <c r="BG40" s="57">
        <v>4</v>
      </c>
      <c r="BH40" s="57">
        <v>4</v>
      </c>
      <c r="BI40" s="57">
        <v>4</v>
      </c>
      <c r="BJ40" s="57">
        <v>4</v>
      </c>
      <c r="BK40" s="57">
        <v>4</v>
      </c>
      <c r="BL40" s="57">
        <v>4</v>
      </c>
      <c r="BM40" s="57">
        <v>4</v>
      </c>
      <c r="BN40" s="57">
        <v>4</v>
      </c>
      <c r="BO40" s="57">
        <v>4</v>
      </c>
      <c r="BP40" s="57">
        <v>4</v>
      </c>
      <c r="BQ40" s="57">
        <v>4</v>
      </c>
      <c r="BR40" s="57">
        <v>4</v>
      </c>
      <c r="BS40" s="57">
        <v>4</v>
      </c>
      <c r="BT40" s="57">
        <v>4</v>
      </c>
      <c r="BU40" s="57">
        <v>4</v>
      </c>
      <c r="BV40" s="57">
        <v>4</v>
      </c>
      <c r="BW40" s="57">
        <v>4</v>
      </c>
      <c r="BX40" s="57">
        <v>4</v>
      </c>
      <c r="BY40" s="59">
        <v>3</v>
      </c>
      <c r="BZ40" s="57">
        <v>4</v>
      </c>
      <c r="CA40" s="59">
        <v>3</v>
      </c>
      <c r="CB40" s="57">
        <v>4</v>
      </c>
      <c r="CC40" s="57">
        <v>4</v>
      </c>
      <c r="CD40" s="57">
        <v>4</v>
      </c>
      <c r="CE40" s="57">
        <v>4</v>
      </c>
      <c r="CF40" s="57">
        <v>4</v>
      </c>
      <c r="CG40" s="57">
        <v>4</v>
      </c>
      <c r="CH40" s="57">
        <v>4</v>
      </c>
      <c r="CI40" s="57">
        <v>4</v>
      </c>
      <c r="CJ40" s="59">
        <v>3</v>
      </c>
      <c r="CK40" s="57">
        <v>4</v>
      </c>
      <c r="CL40" s="57">
        <v>4</v>
      </c>
      <c r="CM40" s="57">
        <v>4</v>
      </c>
      <c r="CN40" s="57">
        <v>4</v>
      </c>
      <c r="CO40" s="57">
        <v>4</v>
      </c>
      <c r="CP40" s="57">
        <v>4</v>
      </c>
      <c r="CQ40" s="57">
        <v>4</v>
      </c>
      <c r="CR40" s="57">
        <v>4</v>
      </c>
      <c r="CS40" s="57">
        <v>4</v>
      </c>
      <c r="CT40" s="57">
        <v>4</v>
      </c>
      <c r="CU40" s="57">
        <v>4</v>
      </c>
      <c r="CV40" s="57">
        <v>4</v>
      </c>
      <c r="CW40" s="59">
        <v>3</v>
      </c>
      <c r="CX40" s="57">
        <v>4</v>
      </c>
      <c r="CY40" s="57">
        <v>4</v>
      </c>
      <c r="CZ40" s="59">
        <v>3</v>
      </c>
      <c r="DA40" s="57">
        <v>4</v>
      </c>
      <c r="DB40" s="57">
        <v>4</v>
      </c>
      <c r="DC40" s="57">
        <v>4</v>
      </c>
      <c r="DD40" s="59">
        <v>3</v>
      </c>
      <c r="DE40" s="57">
        <v>4</v>
      </c>
      <c r="DF40" s="57">
        <v>4</v>
      </c>
      <c r="DG40" s="57">
        <v>4</v>
      </c>
      <c r="DH40" s="59">
        <v>3</v>
      </c>
      <c r="DI40" s="57">
        <v>4</v>
      </c>
      <c r="DJ40" s="57">
        <v>4</v>
      </c>
      <c r="DK40" s="59">
        <v>3</v>
      </c>
      <c r="DL40" s="57">
        <v>4</v>
      </c>
      <c r="DM40" s="57">
        <v>4</v>
      </c>
      <c r="DN40" s="59">
        <v>3</v>
      </c>
      <c r="DO40" s="57">
        <v>4</v>
      </c>
      <c r="DP40" s="57">
        <v>4</v>
      </c>
      <c r="DQ40" s="57">
        <v>4</v>
      </c>
      <c r="DR40" s="57">
        <v>4</v>
      </c>
      <c r="DS40" s="57">
        <v>4</v>
      </c>
      <c r="DT40" s="57">
        <v>4</v>
      </c>
      <c r="DU40" s="1" t="s">
        <v>1392</v>
      </c>
    </row>
    <row r="41" spans="1:125" x14ac:dyDescent="0.2">
      <c r="A41" s="50" t="s">
        <v>1397</v>
      </c>
      <c r="B41" s="1" t="s">
        <v>1390</v>
      </c>
      <c r="C41" s="1" t="s">
        <v>1322</v>
      </c>
      <c r="D41" t="s">
        <v>1398</v>
      </c>
      <c r="E41" s="58">
        <v>2</v>
      </c>
      <c r="F41" s="57">
        <v>4</v>
      </c>
      <c r="G41" s="57">
        <v>4</v>
      </c>
      <c r="H41" s="57">
        <v>4</v>
      </c>
      <c r="I41" s="58">
        <v>2</v>
      </c>
      <c r="J41" s="57">
        <v>4</v>
      </c>
      <c r="K41" s="57">
        <v>4</v>
      </c>
      <c r="L41" s="57">
        <v>4</v>
      </c>
      <c r="M41" s="57">
        <v>4</v>
      </c>
      <c r="N41" s="58">
        <v>2</v>
      </c>
      <c r="O41" s="57">
        <v>4</v>
      </c>
      <c r="P41" s="57">
        <v>4</v>
      </c>
      <c r="Q41" s="57">
        <v>4</v>
      </c>
      <c r="R41" s="57">
        <v>4</v>
      </c>
      <c r="S41" s="57">
        <v>4</v>
      </c>
      <c r="T41" s="57">
        <v>4</v>
      </c>
      <c r="U41" s="58">
        <v>2</v>
      </c>
      <c r="V41" s="57">
        <v>4</v>
      </c>
      <c r="W41" s="57">
        <v>4</v>
      </c>
      <c r="X41" s="57">
        <v>4</v>
      </c>
      <c r="Y41" s="58">
        <v>2</v>
      </c>
      <c r="Z41" s="57">
        <v>4</v>
      </c>
      <c r="AA41" s="57">
        <v>4</v>
      </c>
      <c r="AB41" s="57">
        <v>4</v>
      </c>
      <c r="AC41" s="57">
        <v>4</v>
      </c>
      <c r="AD41" s="57">
        <v>4</v>
      </c>
      <c r="AE41" s="57">
        <v>4</v>
      </c>
      <c r="AF41" s="57">
        <v>4</v>
      </c>
      <c r="AG41" s="57">
        <v>4</v>
      </c>
      <c r="AH41" s="57">
        <v>4</v>
      </c>
      <c r="AI41" s="57">
        <v>4</v>
      </c>
      <c r="AJ41" s="57">
        <v>4</v>
      </c>
      <c r="AK41" s="57">
        <v>4</v>
      </c>
      <c r="AL41" s="57">
        <v>4</v>
      </c>
      <c r="AM41" s="57">
        <v>4</v>
      </c>
      <c r="AN41" s="57">
        <v>4</v>
      </c>
      <c r="AO41" s="57">
        <v>4</v>
      </c>
      <c r="AP41" s="57">
        <v>4</v>
      </c>
      <c r="AQ41" s="57">
        <v>4</v>
      </c>
      <c r="AR41" s="57">
        <v>4</v>
      </c>
      <c r="AS41" s="57">
        <v>4</v>
      </c>
      <c r="AT41" s="57">
        <v>4</v>
      </c>
      <c r="AU41" s="57">
        <v>4</v>
      </c>
      <c r="AV41" s="57">
        <v>4</v>
      </c>
      <c r="AW41" s="57">
        <v>4</v>
      </c>
      <c r="AX41" s="57">
        <v>4</v>
      </c>
      <c r="AY41" s="57">
        <v>4</v>
      </c>
      <c r="AZ41" s="58">
        <v>2</v>
      </c>
      <c r="BA41" s="57">
        <v>4</v>
      </c>
      <c r="BB41" s="57">
        <v>4</v>
      </c>
      <c r="BC41" s="57">
        <v>4</v>
      </c>
      <c r="BD41" s="57">
        <v>4</v>
      </c>
      <c r="BE41" s="58">
        <v>2</v>
      </c>
      <c r="BF41" s="57">
        <v>4</v>
      </c>
      <c r="BG41" s="57">
        <v>4</v>
      </c>
      <c r="BH41" s="57">
        <v>4</v>
      </c>
      <c r="BI41" s="57">
        <v>4</v>
      </c>
      <c r="BJ41" s="57">
        <v>4</v>
      </c>
      <c r="BK41" s="57">
        <v>4</v>
      </c>
      <c r="BL41" s="57">
        <v>4</v>
      </c>
      <c r="BM41" s="57">
        <v>4</v>
      </c>
      <c r="BN41" s="57">
        <v>4</v>
      </c>
      <c r="BO41" s="57">
        <v>4</v>
      </c>
      <c r="BP41" s="57">
        <v>4</v>
      </c>
      <c r="BQ41" s="57">
        <v>4</v>
      </c>
      <c r="BR41" s="57">
        <v>4</v>
      </c>
      <c r="BS41" s="57">
        <v>4</v>
      </c>
      <c r="BT41" s="57">
        <v>4</v>
      </c>
      <c r="BU41" s="57">
        <v>4</v>
      </c>
      <c r="BV41" s="57">
        <v>4</v>
      </c>
      <c r="BW41" s="57">
        <v>4</v>
      </c>
      <c r="BX41" s="57">
        <v>4</v>
      </c>
      <c r="BY41" s="58">
        <v>2</v>
      </c>
      <c r="BZ41" s="57">
        <v>4</v>
      </c>
      <c r="CA41" s="58">
        <v>2</v>
      </c>
      <c r="CB41" s="57">
        <v>4</v>
      </c>
      <c r="CC41" s="57">
        <v>4</v>
      </c>
      <c r="CD41" s="57">
        <v>4</v>
      </c>
      <c r="CE41" s="57">
        <v>4</v>
      </c>
      <c r="CF41" s="57">
        <v>4</v>
      </c>
      <c r="CG41" s="57">
        <v>4</v>
      </c>
      <c r="CH41" s="57">
        <v>4</v>
      </c>
      <c r="CI41" s="57">
        <v>4</v>
      </c>
      <c r="CJ41" s="58">
        <v>2</v>
      </c>
      <c r="CK41" s="57">
        <v>4</v>
      </c>
      <c r="CL41" s="57">
        <v>4</v>
      </c>
      <c r="CM41" s="57">
        <v>4</v>
      </c>
      <c r="CN41" s="57">
        <v>4</v>
      </c>
      <c r="CO41" s="57">
        <v>4</v>
      </c>
      <c r="CP41" s="57">
        <v>4</v>
      </c>
      <c r="CQ41" s="57">
        <v>4</v>
      </c>
      <c r="CR41" s="57">
        <v>4</v>
      </c>
      <c r="CS41" s="57">
        <v>4</v>
      </c>
      <c r="CT41" s="57">
        <v>4</v>
      </c>
      <c r="CU41" s="57">
        <v>4</v>
      </c>
      <c r="CV41" s="57">
        <v>4</v>
      </c>
      <c r="CW41" s="58">
        <v>2</v>
      </c>
      <c r="CX41" s="57">
        <v>4</v>
      </c>
      <c r="CY41" s="57">
        <v>4</v>
      </c>
      <c r="CZ41" s="58">
        <v>2</v>
      </c>
      <c r="DA41" s="57">
        <v>4</v>
      </c>
      <c r="DB41" s="57">
        <v>4</v>
      </c>
      <c r="DC41" s="57">
        <v>4</v>
      </c>
      <c r="DD41" s="58">
        <v>2</v>
      </c>
      <c r="DE41" s="57">
        <v>4</v>
      </c>
      <c r="DF41" s="57">
        <v>4</v>
      </c>
      <c r="DG41" s="57">
        <v>4</v>
      </c>
      <c r="DH41" s="56">
        <v>1</v>
      </c>
      <c r="DI41" s="57">
        <v>4</v>
      </c>
      <c r="DJ41" s="57">
        <v>4</v>
      </c>
      <c r="DK41" s="58">
        <v>2</v>
      </c>
      <c r="DL41" s="57">
        <v>4</v>
      </c>
      <c r="DM41" s="57">
        <v>4</v>
      </c>
      <c r="DN41" s="58">
        <v>2</v>
      </c>
      <c r="DO41" s="57">
        <v>4</v>
      </c>
      <c r="DP41" s="57">
        <v>4</v>
      </c>
      <c r="DQ41" s="57">
        <v>4</v>
      </c>
      <c r="DR41" s="57">
        <v>4</v>
      </c>
      <c r="DS41" s="57">
        <v>4</v>
      </c>
      <c r="DT41" s="57">
        <v>4</v>
      </c>
      <c r="DU41" s="1" t="s">
        <v>1392</v>
      </c>
    </row>
    <row r="42" spans="1:125" x14ac:dyDescent="0.2">
      <c r="A42" s="50" t="s">
        <v>1399</v>
      </c>
      <c r="B42" s="1" t="s">
        <v>1390</v>
      </c>
      <c r="C42" s="1" t="s">
        <v>1400</v>
      </c>
      <c r="D42" t="s">
        <v>1401</v>
      </c>
      <c r="E42" s="56">
        <v>1</v>
      </c>
      <c r="F42" s="57">
        <v>4</v>
      </c>
      <c r="G42" s="57">
        <v>4</v>
      </c>
      <c r="H42" s="57">
        <v>4</v>
      </c>
      <c r="I42" s="56">
        <v>1</v>
      </c>
      <c r="J42" s="56">
        <v>1</v>
      </c>
      <c r="K42" s="57">
        <v>4</v>
      </c>
      <c r="L42" s="57">
        <v>4</v>
      </c>
      <c r="M42" s="57">
        <v>4</v>
      </c>
      <c r="N42" s="57">
        <v>4</v>
      </c>
      <c r="O42" s="57">
        <v>4</v>
      </c>
      <c r="P42" s="57">
        <v>4</v>
      </c>
      <c r="Q42" s="57">
        <v>4</v>
      </c>
      <c r="R42" s="57">
        <v>4</v>
      </c>
      <c r="S42" s="57">
        <v>4</v>
      </c>
      <c r="T42" s="57">
        <v>4</v>
      </c>
      <c r="U42" s="56">
        <v>1</v>
      </c>
      <c r="V42" s="57">
        <v>4</v>
      </c>
      <c r="W42" s="57">
        <v>4</v>
      </c>
      <c r="X42" s="57">
        <v>4</v>
      </c>
      <c r="Y42" s="57">
        <v>4</v>
      </c>
      <c r="Z42" s="57">
        <v>4</v>
      </c>
      <c r="AA42" s="57">
        <v>4</v>
      </c>
      <c r="AB42" s="57">
        <v>4</v>
      </c>
      <c r="AC42" s="57">
        <v>4</v>
      </c>
      <c r="AD42" s="57">
        <v>4</v>
      </c>
      <c r="AE42" s="57">
        <v>4</v>
      </c>
      <c r="AF42" s="56">
        <v>1</v>
      </c>
      <c r="AG42" s="57">
        <v>4</v>
      </c>
      <c r="AH42" s="57">
        <v>4</v>
      </c>
      <c r="AI42" s="56">
        <v>1</v>
      </c>
      <c r="AJ42" s="56">
        <v>1</v>
      </c>
      <c r="AK42" s="57">
        <v>4</v>
      </c>
      <c r="AL42" s="57">
        <v>4</v>
      </c>
      <c r="AM42" s="57">
        <v>4</v>
      </c>
      <c r="AN42" s="57">
        <v>4</v>
      </c>
      <c r="AO42" s="57">
        <v>4</v>
      </c>
      <c r="AP42" s="57">
        <v>4</v>
      </c>
      <c r="AQ42" s="57">
        <v>4</v>
      </c>
      <c r="AR42" s="57">
        <v>4</v>
      </c>
      <c r="AS42" s="57">
        <v>4</v>
      </c>
      <c r="AT42" s="57">
        <v>4</v>
      </c>
      <c r="AU42" s="57">
        <v>4</v>
      </c>
      <c r="AV42" s="57">
        <v>4</v>
      </c>
      <c r="AW42" s="57">
        <v>4</v>
      </c>
      <c r="AX42" s="57">
        <v>4</v>
      </c>
      <c r="AY42" s="57">
        <v>4</v>
      </c>
      <c r="AZ42" s="57">
        <v>4</v>
      </c>
      <c r="BA42" s="57">
        <v>4</v>
      </c>
      <c r="BB42" s="57">
        <v>4</v>
      </c>
      <c r="BC42" s="57">
        <v>4</v>
      </c>
      <c r="BD42" s="57">
        <v>4</v>
      </c>
      <c r="BE42" s="57">
        <v>4</v>
      </c>
      <c r="BF42" s="57">
        <v>4</v>
      </c>
      <c r="BG42" s="57">
        <v>4</v>
      </c>
      <c r="BH42" s="57">
        <v>4</v>
      </c>
      <c r="BI42" s="57">
        <v>4</v>
      </c>
      <c r="BJ42" s="57">
        <v>4</v>
      </c>
      <c r="BK42" s="57">
        <v>4</v>
      </c>
      <c r="BL42" s="57">
        <v>4</v>
      </c>
      <c r="BM42" s="57">
        <v>4</v>
      </c>
      <c r="BN42" s="57">
        <v>4</v>
      </c>
      <c r="BO42" s="57">
        <v>4</v>
      </c>
      <c r="BP42" s="57">
        <v>4</v>
      </c>
      <c r="BQ42" s="57">
        <v>4</v>
      </c>
      <c r="BR42" s="57">
        <v>4</v>
      </c>
      <c r="BS42" s="57">
        <v>4</v>
      </c>
      <c r="BT42" s="57">
        <v>4</v>
      </c>
      <c r="BU42" s="57">
        <v>4</v>
      </c>
      <c r="BV42" s="57">
        <v>4</v>
      </c>
      <c r="BW42" s="57">
        <v>4</v>
      </c>
      <c r="BX42" s="57">
        <v>4</v>
      </c>
      <c r="BY42" s="56">
        <v>1</v>
      </c>
      <c r="BZ42" s="57">
        <v>4</v>
      </c>
      <c r="CA42" s="57">
        <v>4</v>
      </c>
      <c r="CB42" s="57">
        <v>4</v>
      </c>
      <c r="CC42" s="57">
        <v>4</v>
      </c>
      <c r="CD42" s="57">
        <v>4</v>
      </c>
      <c r="CE42" s="57">
        <v>4</v>
      </c>
      <c r="CF42" s="57">
        <v>4</v>
      </c>
      <c r="CG42" s="57">
        <v>4</v>
      </c>
      <c r="CH42" s="57">
        <v>4</v>
      </c>
      <c r="CI42" s="57">
        <v>4</v>
      </c>
      <c r="CJ42" s="57">
        <v>4</v>
      </c>
      <c r="CK42" s="57">
        <v>4</v>
      </c>
      <c r="CL42" s="57">
        <v>4</v>
      </c>
      <c r="CM42" s="57">
        <v>4</v>
      </c>
      <c r="CN42" s="57">
        <v>4</v>
      </c>
      <c r="CO42" s="57">
        <v>4</v>
      </c>
      <c r="CP42" s="57">
        <v>4</v>
      </c>
      <c r="CQ42" s="57">
        <v>4</v>
      </c>
      <c r="CR42" s="57">
        <v>4</v>
      </c>
      <c r="CS42" s="57">
        <v>4</v>
      </c>
      <c r="CT42" s="57">
        <v>4</v>
      </c>
      <c r="CU42" s="57">
        <v>4</v>
      </c>
      <c r="CV42" s="57">
        <v>4</v>
      </c>
      <c r="CW42" s="57">
        <v>4</v>
      </c>
      <c r="CX42" s="57">
        <v>4</v>
      </c>
      <c r="CY42" s="57">
        <v>4</v>
      </c>
      <c r="CZ42" s="57">
        <v>4</v>
      </c>
      <c r="DA42" s="57">
        <v>4</v>
      </c>
      <c r="DB42" s="57">
        <v>4</v>
      </c>
      <c r="DC42" s="57">
        <v>4</v>
      </c>
      <c r="DD42" s="57">
        <v>4</v>
      </c>
      <c r="DE42" s="57">
        <v>4</v>
      </c>
      <c r="DF42" s="57">
        <v>4</v>
      </c>
      <c r="DG42" s="57">
        <v>4</v>
      </c>
      <c r="DH42" s="57">
        <v>4</v>
      </c>
      <c r="DI42" s="57">
        <v>4</v>
      </c>
      <c r="DJ42" s="57">
        <v>4</v>
      </c>
      <c r="DK42" s="57">
        <v>4</v>
      </c>
      <c r="DL42" s="57">
        <v>4</v>
      </c>
      <c r="DM42" s="57">
        <v>4</v>
      </c>
      <c r="DN42" s="57">
        <v>4</v>
      </c>
      <c r="DO42" s="57">
        <v>4</v>
      </c>
      <c r="DP42" s="57">
        <v>4</v>
      </c>
      <c r="DQ42" s="57">
        <v>4</v>
      </c>
      <c r="DR42" s="57">
        <v>4</v>
      </c>
      <c r="DS42" s="57">
        <v>4</v>
      </c>
      <c r="DT42" s="57">
        <v>4</v>
      </c>
      <c r="DU42" s="1" t="s">
        <v>1402</v>
      </c>
    </row>
    <row r="43" spans="1:125" x14ac:dyDescent="0.2">
      <c r="A43" s="50" t="s">
        <v>1403</v>
      </c>
      <c r="B43" s="1" t="s">
        <v>1390</v>
      </c>
      <c r="C43" s="1" t="s">
        <v>1404</v>
      </c>
      <c r="D43" t="s">
        <v>1405</v>
      </c>
      <c r="E43" s="59">
        <v>3</v>
      </c>
      <c r="F43" s="57">
        <v>4</v>
      </c>
      <c r="G43" s="57">
        <v>4</v>
      </c>
      <c r="H43" s="57">
        <v>4</v>
      </c>
      <c r="I43" s="59">
        <v>3</v>
      </c>
      <c r="J43" s="57">
        <v>4</v>
      </c>
      <c r="K43" s="57">
        <v>4</v>
      </c>
      <c r="L43" s="57">
        <v>4</v>
      </c>
      <c r="M43" s="57">
        <v>4</v>
      </c>
      <c r="N43" s="59">
        <v>3</v>
      </c>
      <c r="O43" s="57">
        <v>4</v>
      </c>
      <c r="P43" s="57">
        <v>4</v>
      </c>
      <c r="Q43" s="57">
        <v>4</v>
      </c>
      <c r="R43" s="57">
        <v>4</v>
      </c>
      <c r="S43" s="57">
        <v>4</v>
      </c>
      <c r="T43" s="57">
        <v>4</v>
      </c>
      <c r="U43" s="59">
        <v>3</v>
      </c>
      <c r="V43" s="57">
        <v>4</v>
      </c>
      <c r="W43" s="57">
        <v>4</v>
      </c>
      <c r="X43" s="57">
        <v>4</v>
      </c>
      <c r="Y43" s="58">
        <v>2</v>
      </c>
      <c r="Z43" s="57">
        <v>4</v>
      </c>
      <c r="AA43" s="57">
        <v>4</v>
      </c>
      <c r="AB43" s="57">
        <v>4</v>
      </c>
      <c r="AC43" s="57">
        <v>4</v>
      </c>
      <c r="AD43" s="57">
        <v>4</v>
      </c>
      <c r="AE43" s="57">
        <v>4</v>
      </c>
      <c r="AF43" s="57">
        <v>4</v>
      </c>
      <c r="AG43" s="57">
        <v>4</v>
      </c>
      <c r="AH43" s="57">
        <v>4</v>
      </c>
      <c r="AI43" s="57">
        <v>4</v>
      </c>
      <c r="AJ43" s="57">
        <v>4</v>
      </c>
      <c r="AK43" s="57">
        <v>4</v>
      </c>
      <c r="AL43" s="57">
        <v>4</v>
      </c>
      <c r="AM43" s="57">
        <v>4</v>
      </c>
      <c r="AN43" s="57">
        <v>4</v>
      </c>
      <c r="AO43" s="57">
        <v>4</v>
      </c>
      <c r="AP43" s="57">
        <v>4</v>
      </c>
      <c r="AQ43" s="57">
        <v>4</v>
      </c>
      <c r="AR43" s="57">
        <v>4</v>
      </c>
      <c r="AS43" s="57">
        <v>4</v>
      </c>
      <c r="AT43" s="57">
        <v>4</v>
      </c>
      <c r="AU43" s="57">
        <v>4</v>
      </c>
      <c r="AV43" s="57">
        <v>4</v>
      </c>
      <c r="AW43" s="57">
        <v>4</v>
      </c>
      <c r="AX43" s="57">
        <v>4</v>
      </c>
      <c r="AY43" s="57">
        <v>4</v>
      </c>
      <c r="AZ43" s="56">
        <v>1</v>
      </c>
      <c r="BA43" s="57">
        <v>4</v>
      </c>
      <c r="BB43" s="57">
        <v>4</v>
      </c>
      <c r="BC43" s="57">
        <v>4</v>
      </c>
      <c r="BD43" s="57">
        <v>4</v>
      </c>
      <c r="BE43" s="57">
        <v>4</v>
      </c>
      <c r="BF43" s="57">
        <v>4</v>
      </c>
      <c r="BG43" s="57">
        <v>4</v>
      </c>
      <c r="BH43" s="57">
        <v>4</v>
      </c>
      <c r="BI43" s="57">
        <v>4</v>
      </c>
      <c r="BJ43" s="57">
        <v>4</v>
      </c>
      <c r="BK43" s="57">
        <v>4</v>
      </c>
      <c r="BL43" s="57">
        <v>4</v>
      </c>
      <c r="BM43" s="57">
        <v>4</v>
      </c>
      <c r="BN43" s="57">
        <v>4</v>
      </c>
      <c r="BO43" s="57">
        <v>4</v>
      </c>
      <c r="BP43" s="57">
        <v>4</v>
      </c>
      <c r="BQ43" s="57">
        <v>4</v>
      </c>
      <c r="BR43" s="57">
        <v>4</v>
      </c>
      <c r="BS43" s="57">
        <v>4</v>
      </c>
      <c r="BT43" s="57">
        <v>4</v>
      </c>
      <c r="BU43" s="57">
        <v>4</v>
      </c>
      <c r="BV43" s="57">
        <v>4</v>
      </c>
      <c r="BW43" s="57">
        <v>4</v>
      </c>
      <c r="BX43" s="57">
        <v>4</v>
      </c>
      <c r="BY43" s="59">
        <v>3</v>
      </c>
      <c r="BZ43" s="57">
        <v>4</v>
      </c>
      <c r="CA43" s="58">
        <v>2</v>
      </c>
      <c r="CB43" s="57">
        <v>4</v>
      </c>
      <c r="CC43" s="57">
        <v>4</v>
      </c>
      <c r="CD43" s="57">
        <v>4</v>
      </c>
      <c r="CE43" s="57">
        <v>4</v>
      </c>
      <c r="CF43" s="57">
        <v>4</v>
      </c>
      <c r="CG43" s="57">
        <v>4</v>
      </c>
      <c r="CH43" s="57">
        <v>4</v>
      </c>
      <c r="CI43" s="57">
        <v>4</v>
      </c>
      <c r="CJ43" s="56">
        <v>1</v>
      </c>
      <c r="CK43" s="57">
        <v>4</v>
      </c>
      <c r="CL43" s="57">
        <v>4</v>
      </c>
      <c r="CM43" s="57">
        <v>4</v>
      </c>
      <c r="CN43" s="57">
        <v>4</v>
      </c>
      <c r="CO43" s="57">
        <v>4</v>
      </c>
      <c r="CP43" s="57">
        <v>4</v>
      </c>
      <c r="CQ43" s="57">
        <v>4</v>
      </c>
      <c r="CR43" s="57">
        <v>4</v>
      </c>
      <c r="CS43" s="57">
        <v>4</v>
      </c>
      <c r="CT43" s="57">
        <v>4</v>
      </c>
      <c r="CU43" s="57">
        <v>4</v>
      </c>
      <c r="CV43" s="57">
        <v>4</v>
      </c>
      <c r="CW43" s="57">
        <v>4</v>
      </c>
      <c r="CX43" s="57">
        <v>4</v>
      </c>
      <c r="CY43" s="57">
        <v>4</v>
      </c>
      <c r="CZ43" s="59">
        <v>3</v>
      </c>
      <c r="DA43" s="57">
        <v>4</v>
      </c>
      <c r="DB43" s="57">
        <v>4</v>
      </c>
      <c r="DC43" s="57">
        <v>4</v>
      </c>
      <c r="DD43" s="59">
        <v>3</v>
      </c>
      <c r="DE43" s="57">
        <v>4</v>
      </c>
      <c r="DF43" s="57">
        <v>4</v>
      </c>
      <c r="DG43" s="57">
        <v>4</v>
      </c>
      <c r="DH43" s="56">
        <v>1</v>
      </c>
      <c r="DI43" s="57">
        <v>4</v>
      </c>
      <c r="DJ43" s="57">
        <v>4</v>
      </c>
      <c r="DK43" s="59">
        <v>3</v>
      </c>
      <c r="DL43" s="57">
        <v>4</v>
      </c>
      <c r="DM43" s="57">
        <v>4</v>
      </c>
      <c r="DN43" s="59">
        <v>3</v>
      </c>
      <c r="DO43" s="57">
        <v>4</v>
      </c>
      <c r="DP43" s="57">
        <v>4</v>
      </c>
      <c r="DQ43" s="57">
        <v>4</v>
      </c>
      <c r="DR43" s="57">
        <v>4</v>
      </c>
      <c r="DS43" s="57">
        <v>4</v>
      </c>
      <c r="DT43" s="57">
        <v>4</v>
      </c>
      <c r="DU43" s="1" t="s">
        <v>1406</v>
      </c>
    </row>
    <row r="44" spans="1:125" x14ac:dyDescent="0.2">
      <c r="A44" s="50" t="s">
        <v>1407</v>
      </c>
      <c r="B44" s="1" t="s">
        <v>1390</v>
      </c>
      <c r="C44" s="1" t="s">
        <v>1404</v>
      </c>
      <c r="D44" t="s">
        <v>1408</v>
      </c>
      <c r="E44" s="59">
        <v>3</v>
      </c>
      <c r="F44" s="57">
        <v>4</v>
      </c>
      <c r="G44" s="57">
        <v>4</v>
      </c>
      <c r="H44" s="57">
        <v>4</v>
      </c>
      <c r="I44" s="59">
        <v>3</v>
      </c>
      <c r="J44" s="57">
        <v>4</v>
      </c>
      <c r="K44" s="57">
        <v>4</v>
      </c>
      <c r="L44" s="57">
        <v>4</v>
      </c>
      <c r="M44" s="57">
        <v>4</v>
      </c>
      <c r="N44" s="59">
        <v>3</v>
      </c>
      <c r="O44" s="57">
        <v>4</v>
      </c>
      <c r="P44" s="57">
        <v>4</v>
      </c>
      <c r="Q44" s="57">
        <v>4</v>
      </c>
      <c r="R44" s="57">
        <v>4</v>
      </c>
      <c r="S44" s="57">
        <v>4</v>
      </c>
      <c r="T44" s="57">
        <v>4</v>
      </c>
      <c r="U44" s="56">
        <v>1</v>
      </c>
      <c r="V44" s="57">
        <v>4</v>
      </c>
      <c r="W44" s="57">
        <v>4</v>
      </c>
      <c r="X44" s="57">
        <v>4</v>
      </c>
      <c r="Y44" s="59">
        <v>3</v>
      </c>
      <c r="Z44" s="57">
        <v>4</v>
      </c>
      <c r="AA44" s="57">
        <v>4</v>
      </c>
      <c r="AB44" s="57">
        <v>4</v>
      </c>
      <c r="AC44" s="57">
        <v>4</v>
      </c>
      <c r="AD44" s="57">
        <v>4</v>
      </c>
      <c r="AE44" s="57">
        <v>4</v>
      </c>
      <c r="AF44" s="57">
        <v>4</v>
      </c>
      <c r="AG44" s="57">
        <v>4</v>
      </c>
      <c r="AH44" s="57">
        <v>4</v>
      </c>
      <c r="AI44" s="57">
        <v>4</v>
      </c>
      <c r="AJ44" s="57">
        <v>4</v>
      </c>
      <c r="AK44" s="57">
        <v>4</v>
      </c>
      <c r="AL44" s="57">
        <v>4</v>
      </c>
      <c r="AM44" s="57">
        <v>4</v>
      </c>
      <c r="AN44" s="57">
        <v>4</v>
      </c>
      <c r="AO44" s="57">
        <v>4</v>
      </c>
      <c r="AP44" s="57">
        <v>4</v>
      </c>
      <c r="AQ44" s="57">
        <v>4</v>
      </c>
      <c r="AR44" s="57">
        <v>4</v>
      </c>
      <c r="AS44" s="57">
        <v>4</v>
      </c>
      <c r="AT44" s="57">
        <v>4</v>
      </c>
      <c r="AU44" s="57">
        <v>4</v>
      </c>
      <c r="AV44" s="57">
        <v>4</v>
      </c>
      <c r="AW44" s="57">
        <v>4</v>
      </c>
      <c r="AX44" s="57">
        <v>4</v>
      </c>
      <c r="AY44" s="57">
        <v>4</v>
      </c>
      <c r="AZ44" s="59">
        <v>3</v>
      </c>
      <c r="BA44" s="57">
        <v>4</v>
      </c>
      <c r="BB44" s="57">
        <v>4</v>
      </c>
      <c r="BC44" s="57">
        <v>4</v>
      </c>
      <c r="BD44" s="57">
        <v>4</v>
      </c>
      <c r="BE44" s="57">
        <v>4</v>
      </c>
      <c r="BF44" s="57">
        <v>4</v>
      </c>
      <c r="BG44" s="57">
        <v>4</v>
      </c>
      <c r="BH44" s="57">
        <v>4</v>
      </c>
      <c r="BI44" s="57">
        <v>4</v>
      </c>
      <c r="BJ44" s="57">
        <v>4</v>
      </c>
      <c r="BK44" s="57">
        <v>4</v>
      </c>
      <c r="BL44" s="57">
        <v>4</v>
      </c>
      <c r="BM44" s="57">
        <v>4</v>
      </c>
      <c r="BN44" s="57">
        <v>4</v>
      </c>
      <c r="BO44" s="57">
        <v>4</v>
      </c>
      <c r="BP44" s="57">
        <v>4</v>
      </c>
      <c r="BQ44" s="57">
        <v>4</v>
      </c>
      <c r="BR44" s="57">
        <v>4</v>
      </c>
      <c r="BS44" s="57">
        <v>4</v>
      </c>
      <c r="BT44" s="57">
        <v>4</v>
      </c>
      <c r="BU44" s="57">
        <v>4</v>
      </c>
      <c r="BV44" s="57">
        <v>4</v>
      </c>
      <c r="BW44" s="57">
        <v>4</v>
      </c>
      <c r="BX44" s="57">
        <v>4</v>
      </c>
      <c r="BY44" s="56">
        <v>1</v>
      </c>
      <c r="BZ44" s="57">
        <v>4</v>
      </c>
      <c r="CA44" s="59">
        <v>3</v>
      </c>
      <c r="CB44" s="57">
        <v>4</v>
      </c>
      <c r="CC44" s="57">
        <v>4</v>
      </c>
      <c r="CD44" s="57">
        <v>4</v>
      </c>
      <c r="CE44" s="57">
        <v>4</v>
      </c>
      <c r="CF44" s="57">
        <v>4</v>
      </c>
      <c r="CG44" s="57">
        <v>4</v>
      </c>
      <c r="CH44" s="57">
        <v>4</v>
      </c>
      <c r="CI44" s="57">
        <v>4</v>
      </c>
      <c r="CJ44" s="56">
        <v>1</v>
      </c>
      <c r="CK44" s="57">
        <v>4</v>
      </c>
      <c r="CL44" s="57">
        <v>4</v>
      </c>
      <c r="CM44" s="57">
        <v>4</v>
      </c>
      <c r="CN44" s="57">
        <v>4</v>
      </c>
      <c r="CO44" s="57">
        <v>4</v>
      </c>
      <c r="CP44" s="57">
        <v>4</v>
      </c>
      <c r="CQ44" s="57">
        <v>4</v>
      </c>
      <c r="CR44" s="57">
        <v>4</v>
      </c>
      <c r="CS44" s="57">
        <v>4</v>
      </c>
      <c r="CT44" s="57">
        <v>4</v>
      </c>
      <c r="CU44" s="57">
        <v>4</v>
      </c>
      <c r="CV44" s="57">
        <v>4</v>
      </c>
      <c r="CW44" s="57">
        <v>4</v>
      </c>
      <c r="CX44" s="57">
        <v>4</v>
      </c>
      <c r="CY44" s="57">
        <v>4</v>
      </c>
      <c r="CZ44" s="59">
        <v>3</v>
      </c>
      <c r="DA44" s="57">
        <v>4</v>
      </c>
      <c r="DB44" s="57">
        <v>4</v>
      </c>
      <c r="DC44" s="57">
        <v>4</v>
      </c>
      <c r="DD44" s="59">
        <v>3</v>
      </c>
      <c r="DE44" s="57">
        <v>4</v>
      </c>
      <c r="DF44" s="57">
        <v>4</v>
      </c>
      <c r="DG44" s="57">
        <v>4</v>
      </c>
      <c r="DH44" s="59">
        <v>3</v>
      </c>
      <c r="DI44" s="57">
        <v>4</v>
      </c>
      <c r="DJ44" s="57">
        <v>4</v>
      </c>
      <c r="DK44" s="59">
        <v>3</v>
      </c>
      <c r="DL44" s="57">
        <v>4</v>
      </c>
      <c r="DM44" s="57">
        <v>4</v>
      </c>
      <c r="DN44" s="59">
        <v>3</v>
      </c>
      <c r="DO44" s="57">
        <v>4</v>
      </c>
      <c r="DP44" s="57">
        <v>4</v>
      </c>
      <c r="DQ44" s="57">
        <v>4</v>
      </c>
      <c r="DR44" s="57">
        <v>4</v>
      </c>
      <c r="DS44" s="57">
        <v>4</v>
      </c>
      <c r="DT44" s="57">
        <v>4</v>
      </c>
      <c r="DU44" s="1" t="s">
        <v>1406</v>
      </c>
    </row>
    <row r="45" spans="1:125" x14ac:dyDescent="0.2">
      <c r="A45" t="s">
        <v>634</v>
      </c>
      <c r="B45" s="1" t="s">
        <v>1409</v>
      </c>
      <c r="E45" s="56">
        <v>1</v>
      </c>
      <c r="F45" s="57">
        <v>4</v>
      </c>
      <c r="G45" s="56">
        <v>1</v>
      </c>
      <c r="H45" s="56">
        <v>1</v>
      </c>
      <c r="I45" s="57">
        <v>4</v>
      </c>
      <c r="J45" s="56">
        <v>1</v>
      </c>
      <c r="K45" s="58">
        <v>2</v>
      </c>
      <c r="L45" s="56">
        <v>1</v>
      </c>
      <c r="M45" s="56">
        <v>1</v>
      </c>
      <c r="N45" s="57">
        <v>4</v>
      </c>
      <c r="O45" s="57">
        <v>4</v>
      </c>
      <c r="P45" s="57">
        <v>4</v>
      </c>
      <c r="Q45" s="57">
        <v>4</v>
      </c>
      <c r="R45" s="57">
        <v>4</v>
      </c>
      <c r="S45" s="58">
        <v>2</v>
      </c>
      <c r="T45" s="59">
        <v>3</v>
      </c>
      <c r="U45" s="57">
        <v>4</v>
      </c>
      <c r="V45" s="57">
        <v>4</v>
      </c>
      <c r="W45" s="58">
        <v>2</v>
      </c>
      <c r="X45" s="59">
        <v>3</v>
      </c>
      <c r="Y45" s="57">
        <v>4</v>
      </c>
      <c r="Z45" s="56">
        <v>1</v>
      </c>
      <c r="AA45" s="56">
        <v>1</v>
      </c>
      <c r="AB45" s="56">
        <v>1</v>
      </c>
      <c r="AC45" s="57">
        <v>4</v>
      </c>
      <c r="AD45" s="56">
        <v>1</v>
      </c>
      <c r="AE45" s="56">
        <v>1</v>
      </c>
      <c r="AF45" s="57">
        <v>4</v>
      </c>
      <c r="AG45" s="56">
        <v>1</v>
      </c>
      <c r="AH45" s="56">
        <v>1</v>
      </c>
      <c r="AI45" s="57">
        <v>4</v>
      </c>
      <c r="AJ45" s="58">
        <v>2</v>
      </c>
      <c r="AK45" s="57">
        <v>4</v>
      </c>
      <c r="AL45" s="58">
        <v>2</v>
      </c>
      <c r="AM45" s="58">
        <v>2</v>
      </c>
      <c r="AN45" s="57">
        <v>4</v>
      </c>
      <c r="AO45" s="57">
        <v>4</v>
      </c>
      <c r="AP45" s="56">
        <v>1</v>
      </c>
      <c r="AQ45" s="58">
        <v>2</v>
      </c>
      <c r="AR45" s="58">
        <v>2</v>
      </c>
      <c r="AS45" s="58">
        <v>2</v>
      </c>
      <c r="AT45" s="58">
        <v>2</v>
      </c>
      <c r="AU45" s="58">
        <v>2</v>
      </c>
      <c r="AV45" s="58">
        <v>2</v>
      </c>
      <c r="AW45" s="58">
        <v>2</v>
      </c>
      <c r="AX45" s="56">
        <v>1</v>
      </c>
      <c r="AY45" s="57">
        <v>4</v>
      </c>
      <c r="AZ45" s="57">
        <v>4</v>
      </c>
      <c r="BA45" s="57">
        <v>4</v>
      </c>
      <c r="BB45" s="57">
        <v>4</v>
      </c>
      <c r="BC45" s="58">
        <v>2</v>
      </c>
      <c r="BD45" s="58">
        <v>2</v>
      </c>
      <c r="BE45" s="57">
        <v>4</v>
      </c>
      <c r="BF45" s="58">
        <v>2</v>
      </c>
      <c r="BG45" s="58">
        <v>2</v>
      </c>
      <c r="BH45" s="57">
        <v>4</v>
      </c>
      <c r="BI45" s="58">
        <v>2</v>
      </c>
      <c r="BJ45" s="58">
        <v>2</v>
      </c>
      <c r="BK45" s="57">
        <v>4</v>
      </c>
      <c r="BL45" s="57">
        <v>4</v>
      </c>
      <c r="BM45" s="57">
        <v>4</v>
      </c>
      <c r="BN45" s="57">
        <v>4</v>
      </c>
      <c r="BO45" s="57">
        <v>4</v>
      </c>
      <c r="BP45" s="57">
        <v>4</v>
      </c>
      <c r="BQ45" s="57">
        <v>4</v>
      </c>
      <c r="BR45" s="57">
        <v>4</v>
      </c>
      <c r="BS45" s="57">
        <v>4</v>
      </c>
      <c r="BT45" s="57">
        <v>4</v>
      </c>
      <c r="BU45" s="57">
        <v>4</v>
      </c>
      <c r="BV45" s="57">
        <v>4</v>
      </c>
      <c r="BW45" s="58">
        <v>2</v>
      </c>
      <c r="BX45" s="59">
        <v>3</v>
      </c>
      <c r="BY45" s="57">
        <v>4</v>
      </c>
      <c r="BZ45" s="57">
        <v>4</v>
      </c>
      <c r="CA45" s="57">
        <v>4</v>
      </c>
      <c r="CB45" s="57">
        <v>4</v>
      </c>
      <c r="CC45" s="57">
        <v>4</v>
      </c>
      <c r="CD45" s="57">
        <v>4</v>
      </c>
      <c r="CE45" s="57">
        <v>4</v>
      </c>
      <c r="CF45" s="57">
        <v>4</v>
      </c>
      <c r="CG45" s="57">
        <v>4</v>
      </c>
      <c r="CH45" s="57">
        <v>4</v>
      </c>
      <c r="CI45" s="57">
        <v>4</v>
      </c>
      <c r="CJ45" s="57">
        <v>4</v>
      </c>
      <c r="CK45" s="57">
        <v>4</v>
      </c>
      <c r="CL45" s="58">
        <v>2</v>
      </c>
      <c r="CM45" s="58">
        <v>2</v>
      </c>
      <c r="CN45" s="57">
        <v>4</v>
      </c>
      <c r="CO45" s="58">
        <v>2</v>
      </c>
      <c r="CP45" s="58">
        <v>2</v>
      </c>
      <c r="CQ45" s="57">
        <v>4</v>
      </c>
      <c r="CR45" s="57">
        <v>4</v>
      </c>
      <c r="CS45" s="57">
        <v>4</v>
      </c>
      <c r="CT45" s="57">
        <v>4</v>
      </c>
      <c r="CU45" s="58">
        <v>2</v>
      </c>
      <c r="CV45" s="58">
        <v>2</v>
      </c>
      <c r="CW45" s="57">
        <v>4</v>
      </c>
      <c r="CX45" s="58">
        <v>2</v>
      </c>
      <c r="CY45" s="58">
        <v>2</v>
      </c>
      <c r="CZ45" s="57">
        <v>4</v>
      </c>
      <c r="DA45" s="57">
        <v>4</v>
      </c>
      <c r="DB45" s="57">
        <v>4</v>
      </c>
      <c r="DC45" s="57">
        <v>4</v>
      </c>
      <c r="DD45" s="57">
        <v>4</v>
      </c>
      <c r="DE45" s="57">
        <v>4</v>
      </c>
      <c r="DF45" s="57">
        <v>4</v>
      </c>
      <c r="DG45" s="57">
        <v>4</v>
      </c>
      <c r="DH45" s="57">
        <v>4</v>
      </c>
      <c r="DI45" s="57">
        <v>4</v>
      </c>
      <c r="DJ45" s="57">
        <v>4</v>
      </c>
      <c r="DK45" s="57">
        <v>4</v>
      </c>
      <c r="DL45" s="57">
        <v>4</v>
      </c>
      <c r="DM45" s="57">
        <v>4</v>
      </c>
      <c r="DN45" s="57">
        <v>4</v>
      </c>
      <c r="DO45" s="57">
        <v>4</v>
      </c>
      <c r="DP45" s="57">
        <v>4</v>
      </c>
      <c r="DQ45" s="57">
        <v>4</v>
      </c>
      <c r="DR45" s="57">
        <v>4</v>
      </c>
      <c r="DS45" s="57">
        <v>4</v>
      </c>
      <c r="DT45" s="57">
        <v>4</v>
      </c>
      <c r="DU45" s="1" t="s">
        <v>618</v>
      </c>
    </row>
    <row r="46" spans="1:125" x14ac:dyDescent="0.2">
      <c r="A46" t="s">
        <v>635</v>
      </c>
      <c r="B46" s="1" t="s">
        <v>1409</v>
      </c>
      <c r="E46" s="56">
        <v>1</v>
      </c>
      <c r="F46" s="57">
        <v>4</v>
      </c>
      <c r="G46" s="56">
        <v>1</v>
      </c>
      <c r="H46" s="56">
        <v>1</v>
      </c>
      <c r="I46" s="57">
        <v>4</v>
      </c>
      <c r="J46" s="56">
        <v>1</v>
      </c>
      <c r="K46" s="58">
        <v>2</v>
      </c>
      <c r="L46" s="56">
        <v>1</v>
      </c>
      <c r="M46" s="56">
        <v>1</v>
      </c>
      <c r="N46" s="57">
        <v>4</v>
      </c>
      <c r="O46" s="57">
        <v>4</v>
      </c>
      <c r="P46" s="57">
        <v>4</v>
      </c>
      <c r="Q46" s="57">
        <v>4</v>
      </c>
      <c r="R46" s="57">
        <v>4</v>
      </c>
      <c r="S46" s="56">
        <v>1</v>
      </c>
      <c r="T46" s="56">
        <v>1</v>
      </c>
      <c r="U46" s="57">
        <v>4</v>
      </c>
      <c r="V46" s="57">
        <v>4</v>
      </c>
      <c r="W46" s="58">
        <v>2</v>
      </c>
      <c r="X46" s="56">
        <v>1</v>
      </c>
      <c r="Y46" s="57">
        <v>4</v>
      </c>
      <c r="Z46" s="56">
        <v>1</v>
      </c>
      <c r="AA46" s="56">
        <v>1</v>
      </c>
      <c r="AB46" s="56">
        <v>1</v>
      </c>
      <c r="AC46" s="57">
        <v>4</v>
      </c>
      <c r="AD46" s="56">
        <v>1</v>
      </c>
      <c r="AE46" s="56">
        <v>1</v>
      </c>
      <c r="AF46" s="57">
        <v>4</v>
      </c>
      <c r="AG46" s="56">
        <v>1</v>
      </c>
      <c r="AH46" s="56">
        <v>1</v>
      </c>
      <c r="AI46" s="57">
        <v>4</v>
      </c>
      <c r="AJ46" s="59">
        <v>3</v>
      </c>
      <c r="AK46" s="57">
        <v>4</v>
      </c>
      <c r="AL46" s="56">
        <v>1</v>
      </c>
      <c r="AM46" s="56">
        <v>1</v>
      </c>
      <c r="AN46" s="57">
        <v>4</v>
      </c>
      <c r="AO46" s="57">
        <v>4</v>
      </c>
      <c r="AP46" s="56">
        <v>1</v>
      </c>
      <c r="AQ46" s="58">
        <v>2</v>
      </c>
      <c r="AR46" s="58">
        <v>2</v>
      </c>
      <c r="AS46" s="56">
        <v>1</v>
      </c>
      <c r="AT46" s="56">
        <v>1</v>
      </c>
      <c r="AU46" s="56">
        <v>1</v>
      </c>
      <c r="AV46" s="57">
        <v>4</v>
      </c>
      <c r="AW46" s="56">
        <v>1</v>
      </c>
      <c r="AX46" s="56">
        <v>1</v>
      </c>
      <c r="AY46" s="57">
        <v>4</v>
      </c>
      <c r="AZ46" s="57">
        <v>4</v>
      </c>
      <c r="BA46" s="57">
        <v>4</v>
      </c>
      <c r="BB46" s="57">
        <v>4</v>
      </c>
      <c r="BC46" s="58">
        <v>2</v>
      </c>
      <c r="BD46" s="58">
        <v>2</v>
      </c>
      <c r="BE46" s="57">
        <v>4</v>
      </c>
      <c r="BF46" s="58">
        <v>2</v>
      </c>
      <c r="BG46" s="58">
        <v>2</v>
      </c>
      <c r="BH46" s="57">
        <v>4</v>
      </c>
      <c r="BI46" s="58">
        <v>2</v>
      </c>
      <c r="BJ46" s="58">
        <v>2</v>
      </c>
      <c r="BK46" s="57">
        <v>4</v>
      </c>
      <c r="BL46" s="57">
        <v>4</v>
      </c>
      <c r="BM46" s="57">
        <v>4</v>
      </c>
      <c r="BN46" s="57">
        <v>4</v>
      </c>
      <c r="BO46" s="57">
        <v>4</v>
      </c>
      <c r="BP46" s="57">
        <v>4</v>
      </c>
      <c r="BQ46" s="57">
        <v>4</v>
      </c>
      <c r="BR46" s="57">
        <v>4</v>
      </c>
      <c r="BS46" s="57">
        <v>4</v>
      </c>
      <c r="BT46" s="57">
        <v>4</v>
      </c>
      <c r="BU46" s="57">
        <v>4</v>
      </c>
      <c r="BV46" s="57">
        <v>4</v>
      </c>
      <c r="BW46" s="58">
        <v>2</v>
      </c>
      <c r="BX46" s="59">
        <v>3</v>
      </c>
      <c r="BY46" s="57">
        <v>4</v>
      </c>
      <c r="BZ46" s="57">
        <v>4</v>
      </c>
      <c r="CA46" s="57">
        <v>4</v>
      </c>
      <c r="CB46" s="57">
        <v>4</v>
      </c>
      <c r="CC46" s="57">
        <v>4</v>
      </c>
      <c r="CD46" s="57">
        <v>4</v>
      </c>
      <c r="CE46" s="57">
        <v>4</v>
      </c>
      <c r="CF46" s="57">
        <v>4</v>
      </c>
      <c r="CG46" s="57">
        <v>4</v>
      </c>
      <c r="CH46" s="57">
        <v>4</v>
      </c>
      <c r="CI46" s="57">
        <v>4</v>
      </c>
      <c r="CJ46" s="57">
        <v>4</v>
      </c>
      <c r="CK46" s="57">
        <v>4</v>
      </c>
      <c r="CL46" s="56">
        <v>1</v>
      </c>
      <c r="CM46" s="56">
        <v>1</v>
      </c>
      <c r="CN46" s="57">
        <v>4</v>
      </c>
      <c r="CO46" s="58">
        <v>2</v>
      </c>
      <c r="CP46" s="58">
        <v>2</v>
      </c>
      <c r="CQ46" s="57">
        <v>4</v>
      </c>
      <c r="CR46" s="57">
        <v>4</v>
      </c>
      <c r="CS46" s="57">
        <v>4</v>
      </c>
      <c r="CT46" s="57">
        <v>4</v>
      </c>
      <c r="CU46" s="58">
        <v>2</v>
      </c>
      <c r="CV46" s="59">
        <v>3</v>
      </c>
      <c r="CW46" s="57">
        <v>4</v>
      </c>
      <c r="CX46" s="58">
        <v>2</v>
      </c>
      <c r="CY46" s="59">
        <v>3</v>
      </c>
      <c r="CZ46" s="57">
        <v>4</v>
      </c>
      <c r="DA46" s="57">
        <v>4</v>
      </c>
      <c r="DB46" s="57">
        <v>4</v>
      </c>
      <c r="DC46" s="57">
        <v>4</v>
      </c>
      <c r="DD46" s="57">
        <v>4</v>
      </c>
      <c r="DE46" s="57">
        <v>4</v>
      </c>
      <c r="DF46" s="57">
        <v>4</v>
      </c>
      <c r="DG46" s="57">
        <v>4</v>
      </c>
      <c r="DH46" s="57">
        <v>4</v>
      </c>
      <c r="DI46" s="57">
        <v>4</v>
      </c>
      <c r="DJ46" s="57">
        <v>4</v>
      </c>
      <c r="DK46" s="57">
        <v>4</v>
      </c>
      <c r="DL46" s="57">
        <v>4</v>
      </c>
      <c r="DM46" s="57">
        <v>4</v>
      </c>
      <c r="DN46" s="57">
        <v>4</v>
      </c>
      <c r="DO46" s="57">
        <v>4</v>
      </c>
      <c r="DP46" s="57">
        <v>4</v>
      </c>
      <c r="DQ46" s="57">
        <v>4</v>
      </c>
      <c r="DR46" s="57">
        <v>4</v>
      </c>
      <c r="DS46" s="57">
        <v>4</v>
      </c>
      <c r="DT46" s="57">
        <v>4</v>
      </c>
      <c r="DU46" s="1" t="s">
        <v>618</v>
      </c>
    </row>
    <row r="47" spans="1:125" x14ac:dyDescent="0.2">
      <c r="A47" t="s">
        <v>47</v>
      </c>
      <c r="B47" s="1" t="s">
        <v>1410</v>
      </c>
      <c r="C47" s="1" t="s">
        <v>51</v>
      </c>
      <c r="E47" s="56">
        <v>1</v>
      </c>
      <c r="F47" s="57">
        <v>4</v>
      </c>
      <c r="G47" s="56">
        <v>1</v>
      </c>
      <c r="H47" s="56">
        <v>1</v>
      </c>
      <c r="I47" s="57">
        <v>4</v>
      </c>
      <c r="J47" s="56">
        <v>1</v>
      </c>
      <c r="K47" s="57">
        <v>4</v>
      </c>
      <c r="L47" s="56">
        <v>1</v>
      </c>
      <c r="M47" s="56">
        <v>1</v>
      </c>
      <c r="N47" s="57">
        <v>4</v>
      </c>
      <c r="O47" s="57">
        <v>4</v>
      </c>
      <c r="P47" s="57">
        <v>4</v>
      </c>
      <c r="Q47" s="57">
        <v>4</v>
      </c>
      <c r="R47" s="57">
        <v>4</v>
      </c>
      <c r="S47" s="56">
        <v>1</v>
      </c>
      <c r="T47" s="59">
        <v>3</v>
      </c>
      <c r="U47" s="57">
        <v>4</v>
      </c>
      <c r="V47" s="57">
        <v>4</v>
      </c>
      <c r="W47" s="57">
        <v>4</v>
      </c>
      <c r="X47" s="57">
        <v>4</v>
      </c>
      <c r="Y47" s="57">
        <v>4</v>
      </c>
      <c r="Z47" s="57">
        <v>4</v>
      </c>
      <c r="AA47" s="57">
        <v>4</v>
      </c>
      <c r="AB47" s="57">
        <v>4</v>
      </c>
      <c r="AC47" s="57">
        <v>4</v>
      </c>
      <c r="AD47" s="57">
        <v>4</v>
      </c>
      <c r="AE47" s="57">
        <v>4</v>
      </c>
      <c r="AF47" s="56">
        <v>1</v>
      </c>
      <c r="AG47" s="56">
        <v>1</v>
      </c>
      <c r="AH47" s="56">
        <v>1</v>
      </c>
      <c r="AI47" s="57">
        <v>4</v>
      </c>
      <c r="AJ47" s="59">
        <v>3</v>
      </c>
      <c r="AK47" s="56">
        <v>1</v>
      </c>
      <c r="AL47" s="57">
        <v>4</v>
      </c>
      <c r="AM47" s="57">
        <v>4</v>
      </c>
      <c r="AN47" s="59">
        <v>3</v>
      </c>
      <c r="AO47" s="57">
        <v>4</v>
      </c>
      <c r="AP47" s="57">
        <v>4</v>
      </c>
      <c r="AQ47" s="57">
        <v>4</v>
      </c>
      <c r="AR47" s="57">
        <v>4</v>
      </c>
      <c r="AS47" s="57">
        <v>4</v>
      </c>
      <c r="AT47" s="57">
        <v>4</v>
      </c>
      <c r="AU47" s="57">
        <v>4</v>
      </c>
      <c r="AV47" s="57">
        <v>4</v>
      </c>
      <c r="AW47" s="57">
        <v>4</v>
      </c>
      <c r="AX47" s="57">
        <v>4</v>
      </c>
      <c r="AY47" s="57">
        <v>4</v>
      </c>
      <c r="AZ47" s="57">
        <v>4</v>
      </c>
      <c r="BA47" s="57">
        <v>4</v>
      </c>
      <c r="BB47" s="57">
        <v>4</v>
      </c>
      <c r="BC47" s="59">
        <v>3</v>
      </c>
      <c r="BD47" s="59">
        <v>3</v>
      </c>
      <c r="BE47" s="57">
        <v>4</v>
      </c>
      <c r="BF47" s="59">
        <v>3</v>
      </c>
      <c r="BG47" s="59">
        <v>3</v>
      </c>
      <c r="BH47" s="57">
        <v>4</v>
      </c>
      <c r="BI47" s="59">
        <v>3</v>
      </c>
      <c r="BJ47" s="59">
        <v>3</v>
      </c>
      <c r="BK47" s="57">
        <v>4</v>
      </c>
      <c r="BL47" s="57">
        <v>4</v>
      </c>
      <c r="BM47" s="57">
        <v>4</v>
      </c>
      <c r="BN47" s="56">
        <v>1</v>
      </c>
      <c r="BO47" s="59">
        <v>3</v>
      </c>
      <c r="BP47" s="59">
        <v>3</v>
      </c>
      <c r="BQ47" s="57">
        <v>4</v>
      </c>
      <c r="BR47" s="57">
        <v>4</v>
      </c>
      <c r="BS47" s="56">
        <v>1</v>
      </c>
      <c r="BT47" s="59">
        <v>3</v>
      </c>
      <c r="BU47" s="59">
        <v>3</v>
      </c>
      <c r="BV47" s="56">
        <v>1</v>
      </c>
      <c r="BW47" s="59">
        <v>3</v>
      </c>
      <c r="BX47" s="59">
        <v>3</v>
      </c>
      <c r="BY47" s="57">
        <v>4</v>
      </c>
      <c r="BZ47" s="57">
        <v>4</v>
      </c>
      <c r="CA47" s="57">
        <v>4</v>
      </c>
      <c r="CB47" s="57">
        <v>4</v>
      </c>
      <c r="CC47" s="57">
        <v>4</v>
      </c>
      <c r="CD47" s="57">
        <v>4</v>
      </c>
      <c r="CE47" s="57">
        <v>4</v>
      </c>
      <c r="CF47" s="57">
        <v>4</v>
      </c>
      <c r="CG47" s="57">
        <v>4</v>
      </c>
      <c r="CH47" s="57">
        <v>4</v>
      </c>
      <c r="CI47" s="57">
        <v>4</v>
      </c>
      <c r="CJ47" s="57">
        <v>4</v>
      </c>
      <c r="CK47" s="57">
        <v>4</v>
      </c>
      <c r="CL47" s="57">
        <v>4</v>
      </c>
      <c r="CM47" s="57">
        <v>4</v>
      </c>
      <c r="CN47" s="57">
        <v>4</v>
      </c>
      <c r="CO47" s="57">
        <v>4</v>
      </c>
      <c r="CP47" s="57">
        <v>4</v>
      </c>
      <c r="CQ47" s="57">
        <v>4</v>
      </c>
      <c r="CR47" s="57">
        <v>4</v>
      </c>
      <c r="CS47" s="57">
        <v>4</v>
      </c>
      <c r="CT47" s="59">
        <v>3</v>
      </c>
      <c r="CU47" s="59">
        <v>3</v>
      </c>
      <c r="CV47" s="56">
        <v>1</v>
      </c>
      <c r="CW47" s="57">
        <v>4</v>
      </c>
      <c r="CX47" s="59">
        <v>3</v>
      </c>
      <c r="CY47" s="56">
        <v>1</v>
      </c>
      <c r="CZ47" s="57">
        <v>4</v>
      </c>
      <c r="DA47" s="57">
        <v>4</v>
      </c>
      <c r="DB47" s="57">
        <v>4</v>
      </c>
      <c r="DC47" s="57">
        <v>4</v>
      </c>
      <c r="DD47" s="57">
        <v>4</v>
      </c>
      <c r="DE47" s="57">
        <v>4</v>
      </c>
      <c r="DF47" s="57">
        <v>4</v>
      </c>
      <c r="DG47" s="57">
        <v>4</v>
      </c>
      <c r="DH47" s="57">
        <v>4</v>
      </c>
      <c r="DI47" s="57">
        <v>4</v>
      </c>
      <c r="DJ47" s="57">
        <v>4</v>
      </c>
      <c r="DK47" s="57">
        <v>4</v>
      </c>
      <c r="DL47" s="57">
        <v>4</v>
      </c>
      <c r="DM47" s="57">
        <v>4</v>
      </c>
      <c r="DN47" s="57">
        <v>4</v>
      </c>
      <c r="DO47" s="57">
        <v>4</v>
      </c>
      <c r="DP47" s="57">
        <v>4</v>
      </c>
      <c r="DQ47" s="57">
        <v>4</v>
      </c>
      <c r="DR47" s="57">
        <v>4</v>
      </c>
      <c r="DS47" s="57">
        <v>4</v>
      </c>
      <c r="DT47" s="57">
        <v>4</v>
      </c>
      <c r="DU47" s="1" t="s">
        <v>77</v>
      </c>
    </row>
    <row r="48" spans="1:125" x14ac:dyDescent="0.2">
      <c r="A48" t="s">
        <v>48</v>
      </c>
      <c r="B48" s="1" t="s">
        <v>1410</v>
      </c>
      <c r="C48" s="1" t="s">
        <v>51</v>
      </c>
      <c r="E48" s="56">
        <v>1</v>
      </c>
      <c r="F48" s="57">
        <v>4</v>
      </c>
      <c r="G48" s="56">
        <v>1</v>
      </c>
      <c r="H48" s="56">
        <v>1</v>
      </c>
      <c r="I48" s="57">
        <v>4</v>
      </c>
      <c r="J48" s="56">
        <v>1</v>
      </c>
      <c r="K48" s="57">
        <v>4</v>
      </c>
      <c r="L48" s="56">
        <v>1</v>
      </c>
      <c r="M48" s="56">
        <v>1</v>
      </c>
      <c r="N48" s="57">
        <v>4</v>
      </c>
      <c r="O48" s="57">
        <v>4</v>
      </c>
      <c r="P48" s="57">
        <v>4</v>
      </c>
      <c r="Q48" s="57">
        <v>4</v>
      </c>
      <c r="R48" s="57">
        <v>4</v>
      </c>
      <c r="S48" s="56">
        <v>1</v>
      </c>
      <c r="T48" s="56">
        <v>1</v>
      </c>
      <c r="U48" s="57">
        <v>4</v>
      </c>
      <c r="V48" s="57">
        <v>4</v>
      </c>
      <c r="W48" s="57">
        <v>4</v>
      </c>
      <c r="X48" s="57">
        <v>4</v>
      </c>
      <c r="Y48" s="57">
        <v>4</v>
      </c>
      <c r="Z48" s="57">
        <v>4</v>
      </c>
      <c r="AA48" s="57">
        <v>4</v>
      </c>
      <c r="AB48" s="57">
        <v>4</v>
      </c>
      <c r="AC48" s="57">
        <v>4</v>
      </c>
      <c r="AD48" s="57">
        <v>4</v>
      </c>
      <c r="AE48" s="57">
        <v>4</v>
      </c>
      <c r="AF48" s="59">
        <v>3</v>
      </c>
      <c r="AG48" s="56">
        <v>1</v>
      </c>
      <c r="AH48" s="56">
        <v>1</v>
      </c>
      <c r="AI48" s="57">
        <v>4</v>
      </c>
      <c r="AJ48" s="59">
        <v>3</v>
      </c>
      <c r="AK48" s="56">
        <v>1</v>
      </c>
      <c r="AL48" s="57">
        <v>4</v>
      </c>
      <c r="AM48" s="57">
        <v>4</v>
      </c>
      <c r="AN48" s="59">
        <v>3</v>
      </c>
      <c r="AO48" s="57">
        <v>4</v>
      </c>
      <c r="AP48" s="57">
        <v>4</v>
      </c>
      <c r="AQ48" s="57">
        <v>4</v>
      </c>
      <c r="AR48" s="57">
        <v>4</v>
      </c>
      <c r="AS48" s="57">
        <v>4</v>
      </c>
      <c r="AT48" s="57">
        <v>4</v>
      </c>
      <c r="AU48" s="57">
        <v>4</v>
      </c>
      <c r="AV48" s="57">
        <v>4</v>
      </c>
      <c r="AW48" s="57">
        <v>4</v>
      </c>
      <c r="AX48" s="57">
        <v>4</v>
      </c>
      <c r="AY48" s="57">
        <v>4</v>
      </c>
      <c r="AZ48" s="57">
        <v>4</v>
      </c>
      <c r="BA48" s="57">
        <v>4</v>
      </c>
      <c r="BB48" s="57">
        <v>4</v>
      </c>
      <c r="BC48" s="59">
        <v>3</v>
      </c>
      <c r="BD48" s="56">
        <v>1</v>
      </c>
      <c r="BE48" s="57">
        <v>4</v>
      </c>
      <c r="BF48" s="59">
        <v>3</v>
      </c>
      <c r="BG48" s="59">
        <v>3</v>
      </c>
      <c r="BH48" s="57">
        <v>4</v>
      </c>
      <c r="BI48" s="59">
        <v>3</v>
      </c>
      <c r="BJ48" s="59">
        <v>3</v>
      </c>
      <c r="BK48" s="57">
        <v>4</v>
      </c>
      <c r="BL48" s="57">
        <v>4</v>
      </c>
      <c r="BM48" s="57">
        <v>4</v>
      </c>
      <c r="BN48" s="56">
        <v>1</v>
      </c>
      <c r="BO48" s="59">
        <v>3</v>
      </c>
      <c r="BP48" s="59">
        <v>3</v>
      </c>
      <c r="BQ48" s="57">
        <v>4</v>
      </c>
      <c r="BR48" s="57">
        <v>4</v>
      </c>
      <c r="BS48" s="59">
        <v>3</v>
      </c>
      <c r="BT48" s="59">
        <v>3</v>
      </c>
      <c r="BU48" s="59">
        <v>3</v>
      </c>
      <c r="BV48" s="56">
        <v>1</v>
      </c>
      <c r="BW48" s="56">
        <v>1</v>
      </c>
      <c r="BX48" s="56">
        <v>1</v>
      </c>
      <c r="BY48" s="57">
        <v>4</v>
      </c>
      <c r="BZ48" s="57">
        <v>4</v>
      </c>
      <c r="CA48" s="57">
        <v>4</v>
      </c>
      <c r="CB48" s="57">
        <v>4</v>
      </c>
      <c r="CC48" s="57">
        <v>4</v>
      </c>
      <c r="CD48" s="57">
        <v>4</v>
      </c>
      <c r="CE48" s="57">
        <v>4</v>
      </c>
      <c r="CF48" s="57">
        <v>4</v>
      </c>
      <c r="CG48" s="57">
        <v>4</v>
      </c>
      <c r="CH48" s="57">
        <v>4</v>
      </c>
      <c r="CI48" s="57">
        <v>4</v>
      </c>
      <c r="CJ48" s="57">
        <v>4</v>
      </c>
      <c r="CK48" s="57">
        <v>4</v>
      </c>
      <c r="CL48" s="57">
        <v>4</v>
      </c>
      <c r="CM48" s="57">
        <v>4</v>
      </c>
      <c r="CN48" s="57">
        <v>4</v>
      </c>
      <c r="CO48" s="57">
        <v>4</v>
      </c>
      <c r="CP48" s="57">
        <v>4</v>
      </c>
      <c r="CQ48" s="57">
        <v>4</v>
      </c>
      <c r="CR48" s="57">
        <v>4</v>
      </c>
      <c r="CS48" s="57">
        <v>4</v>
      </c>
      <c r="CT48" s="56">
        <v>1</v>
      </c>
      <c r="CU48" s="59">
        <v>3</v>
      </c>
      <c r="CV48" s="56">
        <v>1</v>
      </c>
      <c r="CW48" s="57">
        <v>4</v>
      </c>
      <c r="CX48" s="59">
        <v>3</v>
      </c>
      <c r="CY48" s="56">
        <v>1</v>
      </c>
      <c r="CZ48" s="57">
        <v>4</v>
      </c>
      <c r="DA48" s="57">
        <v>4</v>
      </c>
      <c r="DB48" s="57">
        <v>4</v>
      </c>
      <c r="DC48" s="57">
        <v>4</v>
      </c>
      <c r="DD48" s="57">
        <v>4</v>
      </c>
      <c r="DE48" s="57">
        <v>4</v>
      </c>
      <c r="DF48" s="57">
        <v>4</v>
      </c>
      <c r="DG48" s="57">
        <v>4</v>
      </c>
      <c r="DH48" s="57">
        <v>4</v>
      </c>
      <c r="DI48" s="57">
        <v>4</v>
      </c>
      <c r="DJ48" s="57">
        <v>4</v>
      </c>
      <c r="DK48" s="57">
        <v>4</v>
      </c>
      <c r="DL48" s="57">
        <v>4</v>
      </c>
      <c r="DM48" s="57">
        <v>4</v>
      </c>
      <c r="DN48" s="57">
        <v>4</v>
      </c>
      <c r="DO48" s="57">
        <v>4</v>
      </c>
      <c r="DP48" s="57">
        <v>4</v>
      </c>
      <c r="DQ48" s="57">
        <v>4</v>
      </c>
      <c r="DR48" s="57">
        <v>4</v>
      </c>
      <c r="DS48" s="57">
        <v>4</v>
      </c>
      <c r="DT48" s="57">
        <v>4</v>
      </c>
      <c r="DU48" s="1" t="s">
        <v>77</v>
      </c>
    </row>
    <row r="49" spans="1:125" x14ac:dyDescent="0.2">
      <c r="A49" t="s">
        <v>49</v>
      </c>
      <c r="B49" s="1" t="s">
        <v>1410</v>
      </c>
      <c r="C49" s="1" t="s">
        <v>1411</v>
      </c>
      <c r="E49" s="56">
        <v>1</v>
      </c>
      <c r="F49" s="57">
        <v>4</v>
      </c>
      <c r="G49" s="56">
        <v>1</v>
      </c>
      <c r="H49" s="56">
        <v>1</v>
      </c>
      <c r="I49" s="57">
        <v>4</v>
      </c>
      <c r="J49" s="56">
        <v>1</v>
      </c>
      <c r="K49" s="57">
        <v>4</v>
      </c>
      <c r="L49" s="56">
        <v>1</v>
      </c>
      <c r="M49" s="56">
        <v>1</v>
      </c>
      <c r="N49" s="57">
        <v>4</v>
      </c>
      <c r="O49" s="57">
        <v>4</v>
      </c>
      <c r="P49" s="57">
        <v>4</v>
      </c>
      <c r="Q49" s="57">
        <v>4</v>
      </c>
      <c r="R49" s="57">
        <v>4</v>
      </c>
      <c r="S49" s="59">
        <v>3</v>
      </c>
      <c r="T49" s="56">
        <v>1</v>
      </c>
      <c r="U49" s="57">
        <v>4</v>
      </c>
      <c r="V49" s="57">
        <v>4</v>
      </c>
      <c r="W49" s="57">
        <v>4</v>
      </c>
      <c r="X49" s="57">
        <v>4</v>
      </c>
      <c r="Y49" s="57">
        <v>4</v>
      </c>
      <c r="Z49" s="57">
        <v>4</v>
      </c>
      <c r="AA49" s="57">
        <v>4</v>
      </c>
      <c r="AB49" s="57">
        <v>4</v>
      </c>
      <c r="AC49" s="57">
        <v>4</v>
      </c>
      <c r="AD49" s="57">
        <v>4</v>
      </c>
      <c r="AE49" s="57">
        <v>4</v>
      </c>
      <c r="AF49" s="56">
        <v>1</v>
      </c>
      <c r="AG49" s="56">
        <v>1</v>
      </c>
      <c r="AH49" s="56">
        <v>1</v>
      </c>
      <c r="AI49" s="57">
        <v>4</v>
      </c>
      <c r="AJ49" s="59">
        <v>3</v>
      </c>
      <c r="AK49" s="56">
        <v>1</v>
      </c>
      <c r="AL49" s="57">
        <v>4</v>
      </c>
      <c r="AM49" s="57">
        <v>4</v>
      </c>
      <c r="AN49" s="59">
        <v>3</v>
      </c>
      <c r="AO49" s="57">
        <v>4</v>
      </c>
      <c r="AP49" s="57">
        <v>4</v>
      </c>
      <c r="AQ49" s="57">
        <v>4</v>
      </c>
      <c r="AR49" s="57">
        <v>4</v>
      </c>
      <c r="AS49" s="57">
        <v>4</v>
      </c>
      <c r="AT49" s="57">
        <v>4</v>
      </c>
      <c r="AU49" s="57">
        <v>4</v>
      </c>
      <c r="AV49" s="57">
        <v>4</v>
      </c>
      <c r="AW49" s="57">
        <v>4</v>
      </c>
      <c r="AX49" s="57">
        <v>4</v>
      </c>
      <c r="AY49" s="57">
        <v>4</v>
      </c>
      <c r="AZ49" s="57">
        <v>4</v>
      </c>
      <c r="BA49" s="57">
        <v>4</v>
      </c>
      <c r="BB49" s="57">
        <v>4</v>
      </c>
      <c r="BC49" s="59">
        <v>3</v>
      </c>
      <c r="BD49" s="56">
        <v>1</v>
      </c>
      <c r="BE49" s="57">
        <v>4</v>
      </c>
      <c r="BF49" s="58">
        <v>2</v>
      </c>
      <c r="BG49" s="59">
        <v>3</v>
      </c>
      <c r="BH49" s="57">
        <v>4</v>
      </c>
      <c r="BI49" s="59">
        <v>3</v>
      </c>
      <c r="BJ49" s="59">
        <v>3</v>
      </c>
      <c r="BK49" s="57">
        <v>4</v>
      </c>
      <c r="BL49" s="57">
        <v>4</v>
      </c>
      <c r="BM49" s="57">
        <v>4</v>
      </c>
      <c r="BN49" s="56">
        <v>1</v>
      </c>
      <c r="BO49" s="59">
        <v>3</v>
      </c>
      <c r="BP49" s="59">
        <v>3</v>
      </c>
      <c r="BQ49" s="57">
        <v>4</v>
      </c>
      <c r="BR49" s="57">
        <v>4</v>
      </c>
      <c r="BS49" s="56">
        <v>1</v>
      </c>
      <c r="BT49" s="59">
        <v>3</v>
      </c>
      <c r="BU49" s="59">
        <v>3</v>
      </c>
      <c r="BV49" s="56">
        <v>1</v>
      </c>
      <c r="BW49" s="59">
        <v>3</v>
      </c>
      <c r="BX49" s="56">
        <v>1</v>
      </c>
      <c r="BY49" s="57">
        <v>4</v>
      </c>
      <c r="BZ49" s="57">
        <v>4</v>
      </c>
      <c r="CA49" s="57">
        <v>4</v>
      </c>
      <c r="CB49" s="57">
        <v>4</v>
      </c>
      <c r="CC49" s="57">
        <v>4</v>
      </c>
      <c r="CD49" s="57">
        <v>4</v>
      </c>
      <c r="CE49" s="57">
        <v>4</v>
      </c>
      <c r="CF49" s="57">
        <v>4</v>
      </c>
      <c r="CG49" s="57">
        <v>4</v>
      </c>
      <c r="CH49" s="57">
        <v>4</v>
      </c>
      <c r="CI49" s="57">
        <v>4</v>
      </c>
      <c r="CJ49" s="57">
        <v>4</v>
      </c>
      <c r="CK49" s="57">
        <v>4</v>
      </c>
      <c r="CL49" s="57">
        <v>4</v>
      </c>
      <c r="CM49" s="57">
        <v>4</v>
      </c>
      <c r="CN49" s="57">
        <v>4</v>
      </c>
      <c r="CO49" s="57">
        <v>4</v>
      </c>
      <c r="CP49" s="57">
        <v>4</v>
      </c>
      <c r="CQ49" s="57">
        <v>4</v>
      </c>
      <c r="CR49" s="57">
        <v>4</v>
      </c>
      <c r="CS49" s="57">
        <v>4</v>
      </c>
      <c r="CT49" s="59">
        <v>3</v>
      </c>
      <c r="CU49" s="59">
        <v>3</v>
      </c>
      <c r="CV49" s="56">
        <v>1</v>
      </c>
      <c r="CW49" s="57">
        <v>4</v>
      </c>
      <c r="CX49" s="59">
        <v>3</v>
      </c>
      <c r="CY49" s="56">
        <v>1</v>
      </c>
      <c r="CZ49" s="57">
        <v>4</v>
      </c>
      <c r="DA49" s="57">
        <v>4</v>
      </c>
      <c r="DB49" s="57">
        <v>4</v>
      </c>
      <c r="DC49" s="57">
        <v>4</v>
      </c>
      <c r="DD49" s="57">
        <v>4</v>
      </c>
      <c r="DE49" s="57">
        <v>4</v>
      </c>
      <c r="DF49" s="57">
        <v>4</v>
      </c>
      <c r="DG49" s="57">
        <v>4</v>
      </c>
      <c r="DH49" s="57">
        <v>4</v>
      </c>
      <c r="DI49" s="57">
        <v>4</v>
      </c>
      <c r="DJ49" s="57">
        <v>4</v>
      </c>
      <c r="DK49" s="57">
        <v>4</v>
      </c>
      <c r="DL49" s="57">
        <v>4</v>
      </c>
      <c r="DM49" s="57">
        <v>4</v>
      </c>
      <c r="DN49" s="57">
        <v>4</v>
      </c>
      <c r="DO49" s="57">
        <v>4</v>
      </c>
      <c r="DP49" s="57">
        <v>4</v>
      </c>
      <c r="DQ49" s="57">
        <v>4</v>
      </c>
      <c r="DR49" s="57">
        <v>4</v>
      </c>
      <c r="DS49" s="57">
        <v>4</v>
      </c>
      <c r="DT49" s="57">
        <v>4</v>
      </c>
      <c r="DU49" s="1" t="s">
        <v>77</v>
      </c>
    </row>
    <row r="50" spans="1:125" x14ac:dyDescent="0.2">
      <c r="A50" t="s">
        <v>50</v>
      </c>
      <c r="B50" s="1" t="s">
        <v>1410</v>
      </c>
      <c r="C50" s="1" t="s">
        <v>1411</v>
      </c>
      <c r="E50" s="56">
        <v>1</v>
      </c>
      <c r="F50" s="57">
        <v>4</v>
      </c>
      <c r="G50" s="56">
        <v>1</v>
      </c>
      <c r="H50" s="56">
        <v>1</v>
      </c>
      <c r="I50" s="57">
        <v>4</v>
      </c>
      <c r="J50" s="56">
        <v>1</v>
      </c>
      <c r="K50" s="57">
        <v>4</v>
      </c>
      <c r="L50" s="56">
        <v>1</v>
      </c>
      <c r="M50" s="56">
        <v>1</v>
      </c>
      <c r="N50" s="57">
        <v>4</v>
      </c>
      <c r="O50" s="57">
        <v>4</v>
      </c>
      <c r="P50" s="57">
        <v>4</v>
      </c>
      <c r="Q50" s="57">
        <v>4</v>
      </c>
      <c r="R50" s="57">
        <v>4</v>
      </c>
      <c r="S50" s="56">
        <v>1</v>
      </c>
      <c r="T50" s="56">
        <v>1</v>
      </c>
      <c r="U50" s="57">
        <v>4</v>
      </c>
      <c r="V50" s="57">
        <v>4</v>
      </c>
      <c r="W50" s="57">
        <v>4</v>
      </c>
      <c r="X50" s="57">
        <v>4</v>
      </c>
      <c r="Y50" s="57">
        <v>4</v>
      </c>
      <c r="Z50" s="57">
        <v>4</v>
      </c>
      <c r="AA50" s="57">
        <v>4</v>
      </c>
      <c r="AB50" s="57">
        <v>4</v>
      </c>
      <c r="AC50" s="57">
        <v>4</v>
      </c>
      <c r="AD50" s="57">
        <v>4</v>
      </c>
      <c r="AE50" s="57">
        <v>4</v>
      </c>
      <c r="AF50" s="56">
        <v>1</v>
      </c>
      <c r="AG50" s="56">
        <v>1</v>
      </c>
      <c r="AH50" s="56">
        <v>1</v>
      </c>
      <c r="AI50" s="57">
        <v>4</v>
      </c>
      <c r="AJ50" s="59">
        <v>3</v>
      </c>
      <c r="AK50" s="56">
        <v>1</v>
      </c>
      <c r="AL50" s="57">
        <v>4</v>
      </c>
      <c r="AM50" s="57">
        <v>4</v>
      </c>
      <c r="AN50" s="59">
        <v>3</v>
      </c>
      <c r="AO50" s="57">
        <v>4</v>
      </c>
      <c r="AP50" s="57">
        <v>4</v>
      </c>
      <c r="AQ50" s="57">
        <v>4</v>
      </c>
      <c r="AR50" s="57">
        <v>4</v>
      </c>
      <c r="AS50" s="57">
        <v>4</v>
      </c>
      <c r="AT50" s="57">
        <v>4</v>
      </c>
      <c r="AU50" s="57">
        <v>4</v>
      </c>
      <c r="AV50" s="57">
        <v>4</v>
      </c>
      <c r="AW50" s="57">
        <v>4</v>
      </c>
      <c r="AX50" s="57">
        <v>4</v>
      </c>
      <c r="AY50" s="57">
        <v>4</v>
      </c>
      <c r="AZ50" s="57">
        <v>4</v>
      </c>
      <c r="BA50" s="57">
        <v>4</v>
      </c>
      <c r="BB50" s="57">
        <v>4</v>
      </c>
      <c r="BC50" s="59">
        <v>3</v>
      </c>
      <c r="BD50" s="59">
        <v>3</v>
      </c>
      <c r="BE50" s="57">
        <v>4</v>
      </c>
      <c r="BF50" s="59">
        <v>3</v>
      </c>
      <c r="BG50" s="59">
        <v>3</v>
      </c>
      <c r="BH50" s="57">
        <v>4</v>
      </c>
      <c r="BI50" s="59">
        <v>3</v>
      </c>
      <c r="BJ50" s="59">
        <v>3</v>
      </c>
      <c r="BK50" s="57">
        <v>4</v>
      </c>
      <c r="BL50" s="57">
        <v>4</v>
      </c>
      <c r="BM50" s="57">
        <v>4</v>
      </c>
      <c r="BN50" s="56">
        <v>1</v>
      </c>
      <c r="BO50" s="59">
        <v>3</v>
      </c>
      <c r="BP50" s="59">
        <v>3</v>
      </c>
      <c r="BQ50" s="57">
        <v>4</v>
      </c>
      <c r="BR50" s="57">
        <v>4</v>
      </c>
      <c r="BS50" s="56">
        <v>1</v>
      </c>
      <c r="BT50" s="59">
        <v>3</v>
      </c>
      <c r="BU50" s="59">
        <v>3</v>
      </c>
      <c r="BV50" s="56">
        <v>1</v>
      </c>
      <c r="BW50" s="59">
        <v>3</v>
      </c>
      <c r="BX50" s="56">
        <v>1</v>
      </c>
      <c r="BY50" s="57">
        <v>4</v>
      </c>
      <c r="BZ50" s="57">
        <v>4</v>
      </c>
      <c r="CA50" s="57">
        <v>4</v>
      </c>
      <c r="CB50" s="57">
        <v>4</v>
      </c>
      <c r="CC50" s="57">
        <v>4</v>
      </c>
      <c r="CD50" s="57">
        <v>4</v>
      </c>
      <c r="CE50" s="57">
        <v>4</v>
      </c>
      <c r="CF50" s="57">
        <v>4</v>
      </c>
      <c r="CG50" s="57">
        <v>4</v>
      </c>
      <c r="CH50" s="57">
        <v>4</v>
      </c>
      <c r="CI50" s="57">
        <v>4</v>
      </c>
      <c r="CJ50" s="57">
        <v>4</v>
      </c>
      <c r="CK50" s="57">
        <v>4</v>
      </c>
      <c r="CL50" s="57">
        <v>4</v>
      </c>
      <c r="CM50" s="57">
        <v>4</v>
      </c>
      <c r="CN50" s="57">
        <v>4</v>
      </c>
      <c r="CO50" s="57">
        <v>4</v>
      </c>
      <c r="CP50" s="57">
        <v>4</v>
      </c>
      <c r="CQ50" s="57">
        <v>4</v>
      </c>
      <c r="CR50" s="57">
        <v>4</v>
      </c>
      <c r="CS50" s="57">
        <v>4</v>
      </c>
      <c r="CT50" s="56">
        <v>1</v>
      </c>
      <c r="CU50" s="59">
        <v>3</v>
      </c>
      <c r="CV50" s="56">
        <v>1</v>
      </c>
      <c r="CW50" s="57">
        <v>4</v>
      </c>
      <c r="CX50" s="59">
        <v>3</v>
      </c>
      <c r="CY50" s="56">
        <v>1</v>
      </c>
      <c r="CZ50" s="57">
        <v>4</v>
      </c>
      <c r="DA50" s="57">
        <v>4</v>
      </c>
      <c r="DB50" s="57">
        <v>4</v>
      </c>
      <c r="DC50" s="57">
        <v>4</v>
      </c>
      <c r="DD50" s="57">
        <v>4</v>
      </c>
      <c r="DE50" s="57">
        <v>4</v>
      </c>
      <c r="DF50" s="57">
        <v>4</v>
      </c>
      <c r="DG50" s="57">
        <v>4</v>
      </c>
      <c r="DH50" s="57">
        <v>4</v>
      </c>
      <c r="DI50" s="57">
        <v>4</v>
      </c>
      <c r="DJ50" s="57">
        <v>4</v>
      </c>
      <c r="DK50" s="57">
        <v>4</v>
      </c>
      <c r="DL50" s="57">
        <v>4</v>
      </c>
      <c r="DM50" s="57">
        <v>4</v>
      </c>
      <c r="DN50" s="57">
        <v>4</v>
      </c>
      <c r="DO50" s="57">
        <v>4</v>
      </c>
      <c r="DP50" s="57">
        <v>4</v>
      </c>
      <c r="DQ50" s="57">
        <v>4</v>
      </c>
      <c r="DR50" s="57">
        <v>4</v>
      </c>
      <c r="DS50" s="57">
        <v>4</v>
      </c>
      <c r="DT50" s="57">
        <v>4</v>
      </c>
      <c r="DU50" s="1" t="s">
        <v>77</v>
      </c>
    </row>
    <row r="51" spans="1:125" x14ac:dyDescent="0.2">
      <c r="A51" t="s">
        <v>53</v>
      </c>
      <c r="B51" s="1" t="s">
        <v>1410</v>
      </c>
      <c r="C51" s="1" t="s">
        <v>1411</v>
      </c>
      <c r="E51" s="56">
        <v>1</v>
      </c>
      <c r="F51" s="57">
        <v>4</v>
      </c>
      <c r="G51" s="56">
        <v>1</v>
      </c>
      <c r="H51" s="56">
        <v>1</v>
      </c>
      <c r="I51" s="57">
        <v>4</v>
      </c>
      <c r="J51" s="56">
        <v>1</v>
      </c>
      <c r="K51" s="57">
        <v>4</v>
      </c>
      <c r="L51" s="59">
        <v>3</v>
      </c>
      <c r="M51" s="61">
        <v>2</v>
      </c>
      <c r="N51" s="57">
        <v>4</v>
      </c>
      <c r="O51" s="57">
        <v>4</v>
      </c>
      <c r="P51" s="57">
        <v>4</v>
      </c>
      <c r="Q51" s="57">
        <v>4</v>
      </c>
      <c r="R51" s="57">
        <v>4</v>
      </c>
      <c r="S51" s="59">
        <v>3</v>
      </c>
      <c r="T51" s="59">
        <v>3</v>
      </c>
      <c r="U51" s="57">
        <v>4</v>
      </c>
      <c r="V51" s="57">
        <v>4</v>
      </c>
      <c r="W51" s="57">
        <v>4</v>
      </c>
      <c r="X51" s="57">
        <v>4</v>
      </c>
      <c r="Y51" s="57">
        <v>4</v>
      </c>
      <c r="Z51" s="57">
        <v>4</v>
      </c>
      <c r="AA51" s="57">
        <v>4</v>
      </c>
      <c r="AB51" s="57">
        <v>4</v>
      </c>
      <c r="AC51" s="57">
        <v>4</v>
      </c>
      <c r="AD51" s="57">
        <v>4</v>
      </c>
      <c r="AE51" s="57">
        <v>4</v>
      </c>
      <c r="AF51" s="56">
        <v>1</v>
      </c>
      <c r="AG51" s="56">
        <v>1</v>
      </c>
      <c r="AH51" s="56">
        <v>1</v>
      </c>
      <c r="AI51" s="57">
        <v>4</v>
      </c>
      <c r="AJ51" s="59">
        <v>3</v>
      </c>
      <c r="AK51" s="56">
        <v>1</v>
      </c>
      <c r="AL51" s="57">
        <v>4</v>
      </c>
      <c r="AM51" s="57">
        <v>4</v>
      </c>
      <c r="AN51" s="59">
        <v>3</v>
      </c>
      <c r="AO51" s="57">
        <v>4</v>
      </c>
      <c r="AP51" s="57">
        <v>4</v>
      </c>
      <c r="AQ51" s="57">
        <v>4</v>
      </c>
      <c r="AR51" s="57">
        <v>4</v>
      </c>
      <c r="AS51" s="57">
        <v>4</v>
      </c>
      <c r="AT51" s="57">
        <v>4</v>
      </c>
      <c r="AU51" s="57">
        <v>4</v>
      </c>
      <c r="AV51" s="57">
        <v>4</v>
      </c>
      <c r="AW51" s="57">
        <v>4</v>
      </c>
      <c r="AX51" s="57">
        <v>4</v>
      </c>
      <c r="AY51" s="57">
        <v>4</v>
      </c>
      <c r="AZ51" s="57">
        <v>4</v>
      </c>
      <c r="BA51" s="57">
        <v>4</v>
      </c>
      <c r="BB51" s="57">
        <v>4</v>
      </c>
      <c r="BC51" s="59">
        <v>3</v>
      </c>
      <c r="BD51" s="59">
        <v>3</v>
      </c>
      <c r="BE51" s="57">
        <v>4</v>
      </c>
      <c r="BF51" s="59">
        <v>3</v>
      </c>
      <c r="BG51" s="59">
        <v>3</v>
      </c>
      <c r="BH51" s="57">
        <v>4</v>
      </c>
      <c r="BI51" s="56">
        <v>1</v>
      </c>
      <c r="BJ51" s="56">
        <v>1</v>
      </c>
      <c r="BK51" s="57">
        <v>4</v>
      </c>
      <c r="BL51" s="57">
        <v>4</v>
      </c>
      <c r="BM51" s="57">
        <v>4</v>
      </c>
      <c r="BN51" s="56">
        <v>1</v>
      </c>
      <c r="BO51" s="59">
        <v>3</v>
      </c>
      <c r="BP51" s="59">
        <v>3</v>
      </c>
      <c r="BQ51" s="57">
        <v>4</v>
      </c>
      <c r="BR51" s="57">
        <v>4</v>
      </c>
      <c r="BS51" s="56">
        <v>1</v>
      </c>
      <c r="BT51" s="59">
        <v>3</v>
      </c>
      <c r="BU51" s="59">
        <v>3</v>
      </c>
      <c r="BV51" s="56">
        <v>1</v>
      </c>
      <c r="BW51" s="59">
        <v>3</v>
      </c>
      <c r="BX51" s="59">
        <v>3</v>
      </c>
      <c r="BY51" s="57">
        <v>4</v>
      </c>
      <c r="BZ51" s="57">
        <v>4</v>
      </c>
      <c r="CA51" s="57">
        <v>4</v>
      </c>
      <c r="CB51" s="57">
        <v>4</v>
      </c>
      <c r="CC51" s="57">
        <v>4</v>
      </c>
      <c r="CD51" s="57">
        <v>4</v>
      </c>
      <c r="CE51" s="57">
        <v>4</v>
      </c>
      <c r="CF51" s="57">
        <v>4</v>
      </c>
      <c r="CG51" s="57">
        <v>4</v>
      </c>
      <c r="CH51" s="57">
        <v>4</v>
      </c>
      <c r="CI51" s="57">
        <v>4</v>
      </c>
      <c r="CJ51" s="57">
        <v>4</v>
      </c>
      <c r="CK51" s="57">
        <v>4</v>
      </c>
      <c r="CL51" s="57">
        <v>4</v>
      </c>
      <c r="CM51" s="57">
        <v>4</v>
      </c>
      <c r="CN51" s="57">
        <v>4</v>
      </c>
      <c r="CO51" s="57">
        <v>4</v>
      </c>
      <c r="CP51" s="57">
        <v>4</v>
      </c>
      <c r="CQ51" s="57">
        <v>4</v>
      </c>
      <c r="CR51" s="57">
        <v>4</v>
      </c>
      <c r="CS51" s="57">
        <v>4</v>
      </c>
      <c r="CT51" s="58">
        <v>2</v>
      </c>
      <c r="CU51" s="59">
        <v>3</v>
      </c>
      <c r="CV51" s="59">
        <v>3</v>
      </c>
      <c r="CW51" s="57">
        <v>4</v>
      </c>
      <c r="CX51" s="59">
        <v>3</v>
      </c>
      <c r="CY51" s="59">
        <v>3</v>
      </c>
      <c r="CZ51" s="57">
        <v>4</v>
      </c>
      <c r="DA51" s="57">
        <v>4</v>
      </c>
      <c r="DB51" s="57">
        <v>4</v>
      </c>
      <c r="DC51" s="57">
        <v>4</v>
      </c>
      <c r="DD51" s="57">
        <v>4</v>
      </c>
      <c r="DE51" s="57">
        <v>4</v>
      </c>
      <c r="DF51" s="57">
        <v>4</v>
      </c>
      <c r="DG51" s="57">
        <v>4</v>
      </c>
      <c r="DH51" s="57">
        <v>4</v>
      </c>
      <c r="DI51" s="57">
        <v>4</v>
      </c>
      <c r="DJ51" s="57">
        <v>4</v>
      </c>
      <c r="DK51" s="57">
        <v>4</v>
      </c>
      <c r="DL51" s="57">
        <v>4</v>
      </c>
      <c r="DM51" s="57">
        <v>4</v>
      </c>
      <c r="DN51" s="57">
        <v>4</v>
      </c>
      <c r="DO51" s="57">
        <v>4</v>
      </c>
      <c r="DP51" s="57">
        <v>4</v>
      </c>
      <c r="DQ51" s="57">
        <v>4</v>
      </c>
      <c r="DR51" s="57">
        <v>4</v>
      </c>
      <c r="DS51" s="57">
        <v>4</v>
      </c>
      <c r="DT51" s="57">
        <v>4</v>
      </c>
      <c r="DU51" s="1" t="s">
        <v>77</v>
      </c>
    </row>
    <row r="52" spans="1:125" x14ac:dyDescent="0.2">
      <c r="A52" t="s">
        <v>1412</v>
      </c>
      <c r="B52" s="1" t="s">
        <v>1410</v>
      </c>
      <c r="C52" s="1" t="s">
        <v>1248</v>
      </c>
      <c r="E52" s="56">
        <v>1</v>
      </c>
      <c r="F52" s="57">
        <v>4</v>
      </c>
      <c r="G52" s="56">
        <v>1</v>
      </c>
      <c r="H52" s="56">
        <v>1</v>
      </c>
      <c r="I52" s="57">
        <v>4</v>
      </c>
      <c r="J52" s="56">
        <v>1</v>
      </c>
      <c r="K52" s="57">
        <v>4</v>
      </c>
      <c r="L52" s="57">
        <v>4</v>
      </c>
      <c r="M52" s="57">
        <v>4</v>
      </c>
      <c r="N52" s="57">
        <v>4</v>
      </c>
      <c r="O52" s="57">
        <v>4</v>
      </c>
      <c r="P52" s="57">
        <v>4</v>
      </c>
      <c r="Q52" s="57">
        <v>4</v>
      </c>
      <c r="R52" s="57">
        <v>4</v>
      </c>
      <c r="S52" s="56">
        <v>1</v>
      </c>
      <c r="T52" s="56">
        <v>1</v>
      </c>
      <c r="U52" s="57">
        <v>4</v>
      </c>
      <c r="V52" s="57">
        <v>4</v>
      </c>
      <c r="W52" s="57">
        <v>4</v>
      </c>
      <c r="X52" s="57">
        <v>4</v>
      </c>
      <c r="Y52" s="57">
        <v>4</v>
      </c>
      <c r="Z52" s="57">
        <v>4</v>
      </c>
      <c r="AA52" s="57">
        <v>4</v>
      </c>
      <c r="AB52" s="57">
        <v>4</v>
      </c>
      <c r="AC52" s="57">
        <v>4</v>
      </c>
      <c r="AD52" s="57">
        <v>4</v>
      </c>
      <c r="AE52" s="57">
        <v>4</v>
      </c>
      <c r="AF52" s="57">
        <v>4</v>
      </c>
      <c r="AG52" s="57">
        <v>4</v>
      </c>
      <c r="AH52" s="57">
        <v>4</v>
      </c>
      <c r="AI52" s="56">
        <v>1</v>
      </c>
      <c r="AJ52" s="56">
        <v>1</v>
      </c>
      <c r="AK52" s="56">
        <v>1</v>
      </c>
      <c r="AL52" s="57">
        <v>4</v>
      </c>
      <c r="AM52" s="57">
        <v>4</v>
      </c>
      <c r="AN52" s="56">
        <v>1</v>
      </c>
      <c r="AO52" s="57">
        <v>4</v>
      </c>
      <c r="AP52" s="57">
        <v>4</v>
      </c>
      <c r="AQ52" s="57">
        <v>4</v>
      </c>
      <c r="AR52" s="57">
        <v>4</v>
      </c>
      <c r="AS52" s="57">
        <v>4</v>
      </c>
      <c r="AT52" s="57">
        <v>4</v>
      </c>
      <c r="AU52" s="57">
        <v>4</v>
      </c>
      <c r="AV52" s="57">
        <v>4</v>
      </c>
      <c r="AW52" s="57">
        <v>4</v>
      </c>
      <c r="AX52" s="57">
        <v>4</v>
      </c>
      <c r="AY52" s="57">
        <v>4</v>
      </c>
      <c r="AZ52" s="57">
        <v>4</v>
      </c>
      <c r="BA52" s="57">
        <v>4</v>
      </c>
      <c r="BB52" s="57">
        <v>4</v>
      </c>
      <c r="BC52" s="56">
        <v>1</v>
      </c>
      <c r="BD52" s="56">
        <v>1</v>
      </c>
      <c r="BE52" s="57">
        <v>4</v>
      </c>
      <c r="BF52" s="57">
        <v>4</v>
      </c>
      <c r="BG52" s="57">
        <v>4</v>
      </c>
      <c r="BH52" s="59">
        <v>3</v>
      </c>
      <c r="BI52" s="57">
        <v>4</v>
      </c>
      <c r="BJ52" s="57">
        <v>4</v>
      </c>
      <c r="BK52" s="57">
        <v>4</v>
      </c>
      <c r="BL52" s="57">
        <v>4</v>
      </c>
      <c r="BM52" s="57">
        <v>4</v>
      </c>
      <c r="BN52" s="57">
        <v>4</v>
      </c>
      <c r="BO52" s="57">
        <v>4</v>
      </c>
      <c r="BP52" s="57">
        <v>4</v>
      </c>
      <c r="BQ52" s="57">
        <v>4</v>
      </c>
      <c r="BR52" s="57">
        <v>4</v>
      </c>
      <c r="BS52" s="57">
        <v>4</v>
      </c>
      <c r="BT52" s="57">
        <v>4</v>
      </c>
      <c r="BU52" s="57">
        <v>4</v>
      </c>
      <c r="BV52" s="57">
        <v>4</v>
      </c>
      <c r="BW52" s="57">
        <v>4</v>
      </c>
      <c r="BX52" s="57">
        <v>4</v>
      </c>
      <c r="BY52" s="57">
        <v>4</v>
      </c>
      <c r="BZ52" s="57">
        <v>4</v>
      </c>
      <c r="CA52" s="57">
        <v>4</v>
      </c>
      <c r="CB52" s="57">
        <v>4</v>
      </c>
      <c r="CC52" s="57">
        <v>4</v>
      </c>
      <c r="CD52" s="57">
        <v>4</v>
      </c>
      <c r="CE52" s="57">
        <v>4</v>
      </c>
      <c r="CF52" s="57">
        <v>4</v>
      </c>
      <c r="CG52" s="57">
        <v>4</v>
      </c>
      <c r="CH52" s="57">
        <v>4</v>
      </c>
      <c r="CI52" s="57">
        <v>4</v>
      </c>
      <c r="CJ52" s="57">
        <v>4</v>
      </c>
      <c r="CK52" s="57">
        <v>4</v>
      </c>
      <c r="CL52" s="57">
        <v>4</v>
      </c>
      <c r="CM52" s="57">
        <v>4</v>
      </c>
      <c r="CN52" s="57">
        <v>4</v>
      </c>
      <c r="CO52" s="57">
        <v>4</v>
      </c>
      <c r="CP52" s="57">
        <v>4</v>
      </c>
      <c r="CQ52" s="57">
        <v>4</v>
      </c>
      <c r="CR52" s="57">
        <v>4</v>
      </c>
      <c r="CS52" s="57">
        <v>4</v>
      </c>
      <c r="CT52" s="57">
        <v>4</v>
      </c>
      <c r="CU52" s="57">
        <v>4</v>
      </c>
      <c r="CV52" s="57">
        <v>4</v>
      </c>
      <c r="CW52" s="57">
        <v>4</v>
      </c>
      <c r="CX52" s="57">
        <v>4</v>
      </c>
      <c r="CY52" s="57">
        <v>4</v>
      </c>
      <c r="CZ52" s="57">
        <v>4</v>
      </c>
      <c r="DA52" s="57">
        <v>4</v>
      </c>
      <c r="DB52" s="57">
        <v>4</v>
      </c>
      <c r="DC52" s="57">
        <v>4</v>
      </c>
      <c r="DD52" s="57">
        <v>4</v>
      </c>
      <c r="DE52" s="57">
        <v>4</v>
      </c>
      <c r="DF52" s="57">
        <v>4</v>
      </c>
      <c r="DG52" s="57">
        <v>4</v>
      </c>
      <c r="DH52" s="57">
        <v>4</v>
      </c>
      <c r="DI52" s="57">
        <v>4</v>
      </c>
      <c r="DJ52" s="57">
        <v>4</v>
      </c>
      <c r="DK52" s="57">
        <v>4</v>
      </c>
      <c r="DL52" s="57">
        <v>4</v>
      </c>
      <c r="DM52" s="57">
        <v>4</v>
      </c>
      <c r="DN52" s="57">
        <v>4</v>
      </c>
      <c r="DO52" s="57">
        <v>4</v>
      </c>
      <c r="DP52" s="57">
        <v>4</v>
      </c>
      <c r="DQ52" s="57">
        <v>4</v>
      </c>
      <c r="DR52" s="57">
        <v>4</v>
      </c>
      <c r="DS52" s="57">
        <v>4</v>
      </c>
      <c r="DT52" s="57">
        <v>4</v>
      </c>
      <c r="DU52" s="1" t="s">
        <v>86</v>
      </c>
    </row>
    <row r="53" spans="1:125" x14ac:dyDescent="0.2">
      <c r="A53" t="s">
        <v>1413</v>
      </c>
      <c r="B53" s="1" t="s">
        <v>1410</v>
      </c>
      <c r="C53" s="1" t="s">
        <v>1248</v>
      </c>
      <c r="E53" s="56">
        <v>1</v>
      </c>
      <c r="F53" s="57">
        <v>4</v>
      </c>
      <c r="G53" s="56">
        <v>1</v>
      </c>
      <c r="H53" s="56">
        <v>1</v>
      </c>
      <c r="I53" s="57">
        <v>4</v>
      </c>
      <c r="J53" s="56">
        <v>1</v>
      </c>
      <c r="K53" s="57">
        <v>4</v>
      </c>
      <c r="L53" s="59">
        <v>3</v>
      </c>
      <c r="M53" s="59">
        <v>3</v>
      </c>
      <c r="N53" s="57">
        <v>4</v>
      </c>
      <c r="O53" s="57">
        <v>4</v>
      </c>
      <c r="P53" s="57">
        <v>4</v>
      </c>
      <c r="Q53" s="57">
        <v>4</v>
      </c>
      <c r="R53" s="57">
        <v>4</v>
      </c>
      <c r="S53" s="59">
        <v>3</v>
      </c>
      <c r="T53" s="59">
        <v>3</v>
      </c>
      <c r="U53" s="57">
        <v>4</v>
      </c>
      <c r="V53" s="57">
        <v>4</v>
      </c>
      <c r="W53" s="57">
        <v>4</v>
      </c>
      <c r="X53" s="57">
        <v>4</v>
      </c>
      <c r="Y53" s="57">
        <v>4</v>
      </c>
      <c r="Z53" s="57">
        <v>4</v>
      </c>
      <c r="AA53" s="57">
        <v>4</v>
      </c>
      <c r="AB53" s="57">
        <v>4</v>
      </c>
      <c r="AC53" s="57">
        <v>4</v>
      </c>
      <c r="AD53" s="57">
        <v>4</v>
      </c>
      <c r="AE53" s="57">
        <v>4</v>
      </c>
      <c r="AF53" s="56">
        <v>1</v>
      </c>
      <c r="AG53" s="56">
        <v>1</v>
      </c>
      <c r="AH53" s="56">
        <v>1</v>
      </c>
      <c r="AI53" s="57">
        <v>4</v>
      </c>
      <c r="AJ53" s="56">
        <v>1</v>
      </c>
      <c r="AK53" s="56">
        <v>1</v>
      </c>
      <c r="AL53" s="57">
        <v>4</v>
      </c>
      <c r="AM53" s="57">
        <v>4</v>
      </c>
      <c r="AN53" s="57">
        <v>4</v>
      </c>
      <c r="AO53" s="57">
        <v>4</v>
      </c>
      <c r="AP53" s="57">
        <v>4</v>
      </c>
      <c r="AQ53" s="57">
        <v>4</v>
      </c>
      <c r="AR53" s="57">
        <v>4</v>
      </c>
      <c r="AS53" s="57">
        <v>4</v>
      </c>
      <c r="AT53" s="57">
        <v>4</v>
      </c>
      <c r="AU53" s="57">
        <v>4</v>
      </c>
      <c r="AV53" s="57">
        <v>4</v>
      </c>
      <c r="AW53" s="57">
        <v>4</v>
      </c>
      <c r="AX53" s="57">
        <v>4</v>
      </c>
      <c r="AY53" s="57">
        <v>4</v>
      </c>
      <c r="AZ53" s="57">
        <v>4</v>
      </c>
      <c r="BA53" s="57">
        <v>4</v>
      </c>
      <c r="BB53" s="57">
        <v>4</v>
      </c>
      <c r="BC53" s="56">
        <v>1</v>
      </c>
      <c r="BD53" s="56">
        <v>1</v>
      </c>
      <c r="BE53" s="57">
        <v>4</v>
      </c>
      <c r="BF53" s="56">
        <v>1</v>
      </c>
      <c r="BG53" s="56">
        <v>1</v>
      </c>
      <c r="BH53" s="57">
        <v>4</v>
      </c>
      <c r="BI53" s="56">
        <v>1</v>
      </c>
      <c r="BJ53" s="56">
        <v>1</v>
      </c>
      <c r="BK53" s="57">
        <v>4</v>
      </c>
      <c r="BL53" s="57">
        <v>4</v>
      </c>
      <c r="BM53" s="57">
        <v>4</v>
      </c>
      <c r="BN53" s="56">
        <v>1</v>
      </c>
      <c r="BO53" s="59">
        <v>3</v>
      </c>
      <c r="BP53" s="56">
        <v>1</v>
      </c>
      <c r="BQ53" s="57">
        <v>4</v>
      </c>
      <c r="BR53" s="57">
        <v>4</v>
      </c>
      <c r="BS53" s="56">
        <v>1</v>
      </c>
      <c r="BT53" s="56">
        <v>1</v>
      </c>
      <c r="BU53" s="56">
        <v>1</v>
      </c>
      <c r="BV53" s="56">
        <v>1</v>
      </c>
      <c r="BW53" s="59">
        <v>3</v>
      </c>
      <c r="BX53" s="59">
        <v>3</v>
      </c>
      <c r="BY53" s="57">
        <v>4</v>
      </c>
      <c r="BZ53" s="57">
        <v>4</v>
      </c>
      <c r="CA53" s="57">
        <v>4</v>
      </c>
      <c r="CB53" s="57">
        <v>4</v>
      </c>
      <c r="CC53" s="57">
        <v>4</v>
      </c>
      <c r="CD53" s="57">
        <v>4</v>
      </c>
      <c r="CE53" s="57">
        <v>4</v>
      </c>
      <c r="CF53" s="57">
        <v>4</v>
      </c>
      <c r="CG53" s="57">
        <v>4</v>
      </c>
      <c r="CH53" s="57">
        <v>4</v>
      </c>
      <c r="CI53" s="57">
        <v>4</v>
      </c>
      <c r="CJ53" s="57">
        <v>4</v>
      </c>
      <c r="CK53" s="57">
        <v>4</v>
      </c>
      <c r="CL53" s="57">
        <v>4</v>
      </c>
      <c r="CM53" s="57">
        <v>4</v>
      </c>
      <c r="CN53" s="57">
        <v>4</v>
      </c>
      <c r="CO53" s="57">
        <v>4</v>
      </c>
      <c r="CP53" s="57">
        <v>4</v>
      </c>
      <c r="CQ53" s="57">
        <v>4</v>
      </c>
      <c r="CR53" s="57">
        <v>4</v>
      </c>
      <c r="CS53" s="57">
        <v>4</v>
      </c>
      <c r="CT53" s="56">
        <v>1</v>
      </c>
      <c r="CU53" s="57">
        <v>4</v>
      </c>
      <c r="CV53" s="57">
        <v>4</v>
      </c>
      <c r="CW53" s="57">
        <v>4</v>
      </c>
      <c r="CX53" s="57">
        <v>4</v>
      </c>
      <c r="CY53" s="57">
        <v>4</v>
      </c>
      <c r="CZ53" s="57">
        <v>4</v>
      </c>
      <c r="DA53" s="57">
        <v>4</v>
      </c>
      <c r="DB53" s="57">
        <v>4</v>
      </c>
      <c r="DC53" s="57">
        <v>4</v>
      </c>
      <c r="DD53" s="57">
        <v>4</v>
      </c>
      <c r="DE53" s="57">
        <v>4</v>
      </c>
      <c r="DF53" s="57">
        <v>4</v>
      </c>
      <c r="DG53" s="57">
        <v>4</v>
      </c>
      <c r="DH53" s="57">
        <v>4</v>
      </c>
      <c r="DI53" s="57">
        <v>4</v>
      </c>
      <c r="DJ53" s="57">
        <v>4</v>
      </c>
      <c r="DK53" s="57">
        <v>4</v>
      </c>
      <c r="DL53" s="57">
        <v>4</v>
      </c>
      <c r="DM53" s="57">
        <v>4</v>
      </c>
      <c r="DN53" s="57">
        <v>4</v>
      </c>
      <c r="DO53" s="57">
        <v>4</v>
      </c>
      <c r="DP53" s="57">
        <v>4</v>
      </c>
      <c r="DQ53" s="57">
        <v>4</v>
      </c>
      <c r="DR53" s="57">
        <v>4</v>
      </c>
      <c r="DS53" s="57">
        <v>4</v>
      </c>
      <c r="DT53" s="57">
        <v>4</v>
      </c>
      <c r="DU53" s="1" t="s">
        <v>83</v>
      </c>
    </row>
    <row r="54" spans="1:125" x14ac:dyDescent="0.2">
      <c r="A54" t="s">
        <v>79</v>
      </c>
      <c r="B54" s="1" t="s">
        <v>1410</v>
      </c>
      <c r="C54" s="1" t="s">
        <v>1248</v>
      </c>
      <c r="E54" s="56">
        <v>1</v>
      </c>
      <c r="F54" s="57">
        <v>4</v>
      </c>
      <c r="G54" s="56">
        <v>1</v>
      </c>
      <c r="H54" s="56">
        <v>1</v>
      </c>
      <c r="I54" s="57">
        <v>4</v>
      </c>
      <c r="J54" s="56">
        <v>1</v>
      </c>
      <c r="K54" s="57">
        <v>4</v>
      </c>
      <c r="L54" s="56">
        <v>1</v>
      </c>
      <c r="M54" s="56">
        <v>1</v>
      </c>
      <c r="N54" s="57">
        <v>4</v>
      </c>
      <c r="O54" s="57">
        <v>4</v>
      </c>
      <c r="P54" s="57">
        <v>4</v>
      </c>
      <c r="Q54" s="57">
        <v>4</v>
      </c>
      <c r="R54" s="57">
        <v>4</v>
      </c>
      <c r="S54" s="56">
        <v>1</v>
      </c>
      <c r="T54" s="56">
        <v>1</v>
      </c>
      <c r="U54" s="57">
        <v>4</v>
      </c>
      <c r="V54" s="57">
        <v>4</v>
      </c>
      <c r="W54" s="59">
        <v>3</v>
      </c>
      <c r="X54" s="59">
        <v>3</v>
      </c>
      <c r="Y54" s="57">
        <v>4</v>
      </c>
      <c r="Z54" s="57">
        <v>4</v>
      </c>
      <c r="AA54" s="57">
        <v>4</v>
      </c>
      <c r="AB54" s="57">
        <v>4</v>
      </c>
      <c r="AC54" s="57">
        <v>4</v>
      </c>
      <c r="AD54" s="57">
        <v>4</v>
      </c>
      <c r="AE54" s="57">
        <v>4</v>
      </c>
      <c r="AF54" s="56">
        <v>1</v>
      </c>
      <c r="AG54" s="56">
        <v>1</v>
      </c>
      <c r="AH54" s="56">
        <v>1</v>
      </c>
      <c r="AI54" s="57">
        <v>4</v>
      </c>
      <c r="AJ54" s="56">
        <v>1</v>
      </c>
      <c r="AK54" s="56">
        <v>1</v>
      </c>
      <c r="AL54" s="57">
        <v>4</v>
      </c>
      <c r="AM54" s="57">
        <v>4</v>
      </c>
      <c r="AN54" s="56">
        <v>1</v>
      </c>
      <c r="AO54" s="57">
        <v>4</v>
      </c>
      <c r="AP54" s="57">
        <v>4</v>
      </c>
      <c r="AQ54" s="57">
        <v>4</v>
      </c>
      <c r="AR54" s="57">
        <v>4</v>
      </c>
      <c r="AS54" s="57">
        <v>4</v>
      </c>
      <c r="AT54" s="57">
        <v>4</v>
      </c>
      <c r="AU54" s="57">
        <v>4</v>
      </c>
      <c r="AV54" s="57">
        <v>4</v>
      </c>
      <c r="AW54" s="57">
        <v>4</v>
      </c>
      <c r="AX54" s="57">
        <v>4</v>
      </c>
      <c r="AY54" s="57">
        <v>4</v>
      </c>
      <c r="AZ54" s="57">
        <v>4</v>
      </c>
      <c r="BA54" s="57">
        <v>4</v>
      </c>
      <c r="BB54" s="57">
        <v>4</v>
      </c>
      <c r="BC54" s="56">
        <v>1</v>
      </c>
      <c r="BD54" s="56">
        <v>1</v>
      </c>
      <c r="BE54" s="57">
        <v>4</v>
      </c>
      <c r="BF54" s="56">
        <v>1</v>
      </c>
      <c r="BG54" s="56">
        <v>1</v>
      </c>
      <c r="BH54" s="57">
        <v>4</v>
      </c>
      <c r="BI54" s="57">
        <v>4</v>
      </c>
      <c r="BJ54" s="57">
        <v>4</v>
      </c>
      <c r="BK54" s="56">
        <v>1</v>
      </c>
      <c r="BL54" s="57">
        <v>4</v>
      </c>
      <c r="BM54" s="57">
        <v>4</v>
      </c>
      <c r="BN54" s="56">
        <v>1</v>
      </c>
      <c r="BO54" s="59">
        <v>3</v>
      </c>
      <c r="BP54" s="56">
        <v>1</v>
      </c>
      <c r="BQ54" s="57">
        <v>4</v>
      </c>
      <c r="BR54" s="57">
        <v>4</v>
      </c>
      <c r="BS54" s="56">
        <v>1</v>
      </c>
      <c r="BT54" s="56">
        <v>1</v>
      </c>
      <c r="BU54" s="56">
        <v>1</v>
      </c>
      <c r="BV54" s="56">
        <v>1</v>
      </c>
      <c r="BW54" s="56">
        <v>1</v>
      </c>
      <c r="BX54" s="56">
        <v>1</v>
      </c>
      <c r="BY54" s="57">
        <v>4</v>
      </c>
      <c r="BZ54" s="57">
        <v>4</v>
      </c>
      <c r="CA54" s="57">
        <v>4</v>
      </c>
      <c r="CB54" s="57">
        <v>4</v>
      </c>
      <c r="CC54" s="57">
        <v>4</v>
      </c>
      <c r="CD54" s="57">
        <v>4</v>
      </c>
      <c r="CE54" s="57">
        <v>4</v>
      </c>
      <c r="CF54" s="57">
        <v>4</v>
      </c>
      <c r="CG54" s="57">
        <v>4</v>
      </c>
      <c r="CH54" s="57">
        <v>4</v>
      </c>
      <c r="CI54" s="57">
        <v>4</v>
      </c>
      <c r="CJ54" s="57">
        <v>4</v>
      </c>
      <c r="CK54" s="57">
        <v>4</v>
      </c>
      <c r="CL54" s="57">
        <v>4</v>
      </c>
      <c r="CM54" s="57">
        <v>4</v>
      </c>
      <c r="CN54" s="57">
        <v>4</v>
      </c>
      <c r="CO54" s="57">
        <v>4</v>
      </c>
      <c r="CP54" s="57">
        <v>4</v>
      </c>
      <c r="CQ54" s="57">
        <v>4</v>
      </c>
      <c r="CR54" s="57">
        <v>4</v>
      </c>
      <c r="CS54" s="57">
        <v>4</v>
      </c>
      <c r="CT54" s="56">
        <v>1</v>
      </c>
      <c r="CU54" s="57">
        <v>4</v>
      </c>
      <c r="CV54" s="57">
        <v>4</v>
      </c>
      <c r="CW54" s="57">
        <v>4</v>
      </c>
      <c r="CX54" s="57">
        <v>4</v>
      </c>
      <c r="CY54" s="57">
        <v>4</v>
      </c>
      <c r="CZ54" s="57">
        <v>4</v>
      </c>
      <c r="DA54" s="57">
        <v>4</v>
      </c>
      <c r="DB54" s="57">
        <v>4</v>
      </c>
      <c r="DC54" s="57">
        <v>4</v>
      </c>
      <c r="DD54" s="57">
        <v>4</v>
      </c>
      <c r="DE54" s="57">
        <v>4</v>
      </c>
      <c r="DF54" s="57">
        <v>4</v>
      </c>
      <c r="DG54" s="57">
        <v>4</v>
      </c>
      <c r="DH54" s="57">
        <v>4</v>
      </c>
      <c r="DI54" s="57">
        <v>4</v>
      </c>
      <c r="DJ54" s="57">
        <v>4</v>
      </c>
      <c r="DK54" s="57">
        <v>4</v>
      </c>
      <c r="DL54" s="57">
        <v>4</v>
      </c>
      <c r="DM54" s="57">
        <v>4</v>
      </c>
      <c r="DN54" s="57">
        <v>4</v>
      </c>
      <c r="DO54" s="57">
        <v>4</v>
      </c>
      <c r="DP54" s="57">
        <v>4</v>
      </c>
      <c r="DQ54" s="57">
        <v>4</v>
      </c>
      <c r="DR54" s="57">
        <v>4</v>
      </c>
      <c r="DS54" s="57">
        <v>4</v>
      </c>
      <c r="DT54" s="57">
        <v>4</v>
      </c>
      <c r="DU54" s="1" t="s">
        <v>85</v>
      </c>
    </row>
    <row r="55" spans="1:125" x14ac:dyDescent="0.2">
      <c r="A55" t="s">
        <v>126</v>
      </c>
      <c r="B55" s="1" t="s">
        <v>1410</v>
      </c>
      <c r="C55" s="1" t="s">
        <v>1248</v>
      </c>
      <c r="E55" s="62">
        <v>1</v>
      </c>
      <c r="F55" s="57">
        <v>4</v>
      </c>
      <c r="G55" s="56">
        <v>1</v>
      </c>
      <c r="H55" s="56">
        <v>1</v>
      </c>
      <c r="I55" s="1">
        <v>4</v>
      </c>
      <c r="J55" s="56">
        <v>1</v>
      </c>
      <c r="K55" s="4">
        <v>4</v>
      </c>
      <c r="L55" s="1">
        <v>1</v>
      </c>
      <c r="M55" s="1">
        <v>1</v>
      </c>
      <c r="N55" s="4">
        <v>4</v>
      </c>
      <c r="O55" s="1">
        <v>4</v>
      </c>
      <c r="P55" s="1">
        <v>4</v>
      </c>
      <c r="Q55" s="1">
        <v>4</v>
      </c>
      <c r="R55" s="1">
        <v>4</v>
      </c>
      <c r="S55" s="56">
        <v>1</v>
      </c>
      <c r="T55" s="56">
        <v>1</v>
      </c>
      <c r="U55" s="1">
        <v>4</v>
      </c>
      <c r="V55" s="57">
        <v>4</v>
      </c>
      <c r="W55" s="1">
        <v>1</v>
      </c>
      <c r="X55" s="1">
        <v>1</v>
      </c>
      <c r="Y55" s="1">
        <v>4</v>
      </c>
      <c r="Z55" s="4">
        <v>4</v>
      </c>
      <c r="AA55" s="4">
        <v>4</v>
      </c>
      <c r="AB55" s="4">
        <v>4</v>
      </c>
      <c r="AC55" s="57">
        <v>4</v>
      </c>
      <c r="AD55" s="1">
        <v>4</v>
      </c>
      <c r="AE55" s="1">
        <v>4</v>
      </c>
      <c r="AF55" s="56">
        <v>1</v>
      </c>
      <c r="AG55" s="56">
        <v>1</v>
      </c>
      <c r="AH55" s="56">
        <v>1</v>
      </c>
      <c r="AI55" s="1">
        <v>4</v>
      </c>
      <c r="AJ55" s="56">
        <v>1</v>
      </c>
      <c r="AK55" s="56">
        <v>1</v>
      </c>
      <c r="AL55" s="1">
        <v>4</v>
      </c>
      <c r="AM55" s="1">
        <v>4</v>
      </c>
      <c r="AN55" s="56">
        <v>1</v>
      </c>
      <c r="AO55" s="17">
        <v>4</v>
      </c>
      <c r="AP55" s="17">
        <v>4</v>
      </c>
      <c r="AQ55" s="17">
        <v>4</v>
      </c>
      <c r="AR55" s="17">
        <v>4</v>
      </c>
      <c r="AS55" s="17">
        <v>4</v>
      </c>
      <c r="AT55" s="17">
        <v>4</v>
      </c>
      <c r="AU55" s="17">
        <v>4</v>
      </c>
      <c r="AV55" s="57">
        <v>4</v>
      </c>
      <c r="AW55" s="17">
        <v>4</v>
      </c>
      <c r="AX55" s="17">
        <v>4</v>
      </c>
      <c r="AY55" s="4">
        <v>4</v>
      </c>
      <c r="AZ55" s="4">
        <v>4</v>
      </c>
      <c r="BA55" s="57">
        <v>4</v>
      </c>
      <c r="BB55" s="57">
        <v>4</v>
      </c>
      <c r="BC55" s="56">
        <v>1</v>
      </c>
      <c r="BD55" s="56">
        <v>1</v>
      </c>
      <c r="BE55" s="4">
        <v>4</v>
      </c>
      <c r="BF55" s="1">
        <v>1</v>
      </c>
      <c r="BG55" s="1">
        <v>3</v>
      </c>
      <c r="BH55" s="4">
        <v>4</v>
      </c>
      <c r="BI55" s="4">
        <v>4</v>
      </c>
      <c r="BJ55" s="4">
        <v>4</v>
      </c>
      <c r="BK55" s="4">
        <v>1</v>
      </c>
      <c r="BL55" s="4">
        <v>4</v>
      </c>
      <c r="BM55" s="4">
        <v>4</v>
      </c>
      <c r="BN55" s="4">
        <v>1</v>
      </c>
      <c r="BO55" s="1">
        <v>3</v>
      </c>
      <c r="BP55" s="1">
        <v>1</v>
      </c>
      <c r="BQ55" s="4">
        <v>4</v>
      </c>
      <c r="BR55" s="4">
        <v>4</v>
      </c>
      <c r="BS55" s="56">
        <v>1</v>
      </c>
      <c r="BT55" s="56">
        <v>1</v>
      </c>
      <c r="BU55" s="56">
        <v>1</v>
      </c>
      <c r="BV55" s="56">
        <v>1</v>
      </c>
      <c r="BW55" s="56">
        <v>1</v>
      </c>
      <c r="BX55" s="56">
        <v>1</v>
      </c>
      <c r="BY55" s="4">
        <v>4</v>
      </c>
      <c r="BZ55" s="1">
        <v>4</v>
      </c>
      <c r="CA55" s="1">
        <v>4</v>
      </c>
      <c r="CB55" s="17">
        <v>4</v>
      </c>
      <c r="CC55" s="1">
        <v>4</v>
      </c>
      <c r="CD55" s="1">
        <v>4</v>
      </c>
      <c r="CE55" s="1">
        <v>4</v>
      </c>
      <c r="CF55" s="57">
        <v>4</v>
      </c>
      <c r="CG55" s="57">
        <v>4</v>
      </c>
      <c r="CH55" s="4">
        <v>4</v>
      </c>
      <c r="CI55" s="4">
        <v>4</v>
      </c>
      <c r="CJ55" s="4">
        <v>4</v>
      </c>
      <c r="CK55" s="17">
        <v>4</v>
      </c>
      <c r="CL55" s="17">
        <v>4</v>
      </c>
      <c r="CM55" s="17">
        <v>4</v>
      </c>
      <c r="CN55" s="57">
        <v>4</v>
      </c>
      <c r="CO55" s="17">
        <v>4</v>
      </c>
      <c r="CP55" s="17">
        <v>4</v>
      </c>
      <c r="CQ55" s="57">
        <v>4</v>
      </c>
      <c r="CR55" s="17">
        <v>4</v>
      </c>
      <c r="CS55" s="17">
        <v>4</v>
      </c>
      <c r="CT55" s="1">
        <v>3</v>
      </c>
      <c r="CU55" s="1">
        <v>4</v>
      </c>
      <c r="CV55" s="1">
        <v>4</v>
      </c>
      <c r="CW55" s="17">
        <v>4</v>
      </c>
      <c r="CX55" s="1">
        <v>4</v>
      </c>
      <c r="CY55" s="1">
        <v>4</v>
      </c>
      <c r="CZ55" s="17">
        <v>4</v>
      </c>
      <c r="DA55" s="17">
        <v>4</v>
      </c>
      <c r="DB55" s="1">
        <v>4</v>
      </c>
      <c r="DC55" s="1">
        <v>4</v>
      </c>
      <c r="DD55" s="1">
        <v>4</v>
      </c>
      <c r="DE55" s="17">
        <v>4</v>
      </c>
      <c r="DF55" s="57">
        <v>4</v>
      </c>
      <c r="DG55" s="1">
        <v>4</v>
      </c>
      <c r="DH55" s="1">
        <v>4</v>
      </c>
      <c r="DI55" s="1">
        <v>4</v>
      </c>
      <c r="DJ55" s="1">
        <v>4</v>
      </c>
      <c r="DK55" s="1">
        <v>4</v>
      </c>
      <c r="DL55" s="1">
        <v>4</v>
      </c>
      <c r="DM55" s="1">
        <v>4</v>
      </c>
      <c r="DN55" s="1">
        <v>4</v>
      </c>
      <c r="DO55" s="1">
        <v>4</v>
      </c>
      <c r="DP55" s="1">
        <v>4</v>
      </c>
      <c r="DQ55" s="1">
        <v>4</v>
      </c>
      <c r="DR55" s="1">
        <v>4</v>
      </c>
      <c r="DS55" s="1">
        <v>4</v>
      </c>
      <c r="DT55" s="1">
        <v>4</v>
      </c>
    </row>
    <row r="56" spans="1:125" x14ac:dyDescent="0.2">
      <c r="A56" t="s">
        <v>80</v>
      </c>
      <c r="B56" s="1" t="s">
        <v>1410</v>
      </c>
      <c r="C56" s="1" t="s">
        <v>1248</v>
      </c>
      <c r="E56" s="62">
        <v>1</v>
      </c>
      <c r="F56" s="57">
        <v>4</v>
      </c>
      <c r="G56" s="56">
        <v>1</v>
      </c>
      <c r="H56" s="56">
        <v>1</v>
      </c>
      <c r="I56" s="1">
        <v>4</v>
      </c>
      <c r="J56" s="56">
        <v>1</v>
      </c>
      <c r="K56" s="4">
        <v>4</v>
      </c>
      <c r="L56" s="1">
        <v>4</v>
      </c>
      <c r="M56" s="1">
        <v>4</v>
      </c>
      <c r="N56" s="4">
        <v>1</v>
      </c>
      <c r="O56" s="1">
        <v>4</v>
      </c>
      <c r="P56" s="1">
        <v>4</v>
      </c>
      <c r="Q56" s="1">
        <v>4</v>
      </c>
      <c r="R56" s="1">
        <v>4</v>
      </c>
      <c r="S56" s="56">
        <v>1</v>
      </c>
      <c r="T56" s="56">
        <v>1</v>
      </c>
      <c r="U56" s="1">
        <v>4</v>
      </c>
      <c r="V56" s="57">
        <v>4</v>
      </c>
      <c r="W56" s="1">
        <v>4</v>
      </c>
      <c r="X56" s="1">
        <v>4</v>
      </c>
      <c r="Y56" s="1">
        <v>4</v>
      </c>
      <c r="Z56" s="4">
        <v>4</v>
      </c>
      <c r="AA56" s="4">
        <v>4</v>
      </c>
      <c r="AB56" s="4">
        <v>4</v>
      </c>
      <c r="AC56" s="57">
        <v>4</v>
      </c>
      <c r="AD56" s="1">
        <v>4</v>
      </c>
      <c r="AE56" s="1">
        <v>4</v>
      </c>
      <c r="AF56" s="4">
        <v>4</v>
      </c>
      <c r="AG56" s="1">
        <v>4</v>
      </c>
      <c r="AH56" s="4">
        <v>4</v>
      </c>
      <c r="AI56" s="4">
        <v>1</v>
      </c>
      <c r="AJ56" s="56">
        <v>1</v>
      </c>
      <c r="AK56" s="56">
        <v>1</v>
      </c>
      <c r="AL56" s="1">
        <v>4</v>
      </c>
      <c r="AM56" s="1">
        <v>4</v>
      </c>
      <c r="AN56" s="56">
        <v>1</v>
      </c>
      <c r="AO56" s="17">
        <v>4</v>
      </c>
      <c r="AP56" s="17">
        <v>4</v>
      </c>
      <c r="AQ56" s="17">
        <v>4</v>
      </c>
      <c r="AR56" s="17">
        <v>4</v>
      </c>
      <c r="AS56" s="17">
        <v>4</v>
      </c>
      <c r="AT56" s="17">
        <v>4</v>
      </c>
      <c r="AU56" s="17">
        <v>4</v>
      </c>
      <c r="AV56" s="57">
        <v>4</v>
      </c>
      <c r="AW56" s="17">
        <v>4</v>
      </c>
      <c r="AX56" s="17">
        <v>4</v>
      </c>
      <c r="AY56" s="4">
        <v>4</v>
      </c>
      <c r="AZ56" s="4">
        <v>4</v>
      </c>
      <c r="BA56" s="57">
        <v>4</v>
      </c>
      <c r="BB56" s="57">
        <v>4</v>
      </c>
      <c r="BC56" s="56">
        <v>1</v>
      </c>
      <c r="BD56" s="56">
        <v>1</v>
      </c>
      <c r="BE56" s="4">
        <v>4</v>
      </c>
      <c r="BF56" s="4">
        <v>4</v>
      </c>
      <c r="BG56" s="4">
        <v>4</v>
      </c>
      <c r="BH56" s="4">
        <v>3</v>
      </c>
      <c r="BI56" s="1">
        <v>4</v>
      </c>
      <c r="BJ56" s="1">
        <v>4</v>
      </c>
      <c r="BK56" s="1">
        <v>4</v>
      </c>
      <c r="BL56" s="4">
        <v>4</v>
      </c>
      <c r="BM56" s="4">
        <v>4</v>
      </c>
      <c r="BN56" s="4">
        <v>4</v>
      </c>
      <c r="BO56" s="1">
        <v>4</v>
      </c>
      <c r="BP56" s="1">
        <v>4</v>
      </c>
      <c r="BQ56" s="4">
        <v>4</v>
      </c>
      <c r="BR56" s="4">
        <v>4</v>
      </c>
      <c r="BS56" s="4">
        <v>4</v>
      </c>
      <c r="BT56" s="1">
        <v>4</v>
      </c>
      <c r="BU56" s="1">
        <v>4</v>
      </c>
      <c r="BV56" s="1">
        <v>4</v>
      </c>
      <c r="BW56" s="56">
        <v>1</v>
      </c>
      <c r="BX56" s="56">
        <v>1</v>
      </c>
      <c r="BY56" s="4">
        <v>4</v>
      </c>
      <c r="BZ56" s="1">
        <v>4</v>
      </c>
      <c r="CA56" s="1">
        <v>4</v>
      </c>
      <c r="CB56" s="17">
        <v>4</v>
      </c>
      <c r="CC56" s="1">
        <v>4</v>
      </c>
      <c r="CD56" s="1">
        <v>4</v>
      </c>
      <c r="CE56" s="1">
        <v>4</v>
      </c>
      <c r="CF56" s="57">
        <v>4</v>
      </c>
      <c r="CG56" s="57">
        <v>4</v>
      </c>
      <c r="CH56" s="4">
        <v>4</v>
      </c>
      <c r="CI56" s="4">
        <v>4</v>
      </c>
      <c r="CJ56" s="4">
        <v>4</v>
      </c>
      <c r="CK56" s="17">
        <v>4</v>
      </c>
      <c r="CL56" s="17">
        <v>4</v>
      </c>
      <c r="CM56" s="17">
        <v>4</v>
      </c>
      <c r="CN56" s="57">
        <v>4</v>
      </c>
      <c r="CO56" s="17">
        <v>4</v>
      </c>
      <c r="CP56" s="17">
        <v>4</v>
      </c>
      <c r="CQ56" s="57">
        <v>4</v>
      </c>
      <c r="CR56" s="17">
        <v>4</v>
      </c>
      <c r="CS56" s="17">
        <v>4</v>
      </c>
      <c r="CT56" s="1">
        <v>4</v>
      </c>
      <c r="CU56" s="1">
        <v>4</v>
      </c>
      <c r="CV56" s="1">
        <v>4</v>
      </c>
      <c r="CW56" s="17">
        <v>4</v>
      </c>
      <c r="CX56" s="1">
        <v>4</v>
      </c>
      <c r="CY56" s="1">
        <v>4</v>
      </c>
      <c r="CZ56" s="17">
        <v>4</v>
      </c>
      <c r="DA56" s="17">
        <v>4</v>
      </c>
      <c r="DB56" s="1">
        <v>4</v>
      </c>
      <c r="DC56" s="1">
        <v>4</v>
      </c>
      <c r="DD56" s="1">
        <v>4</v>
      </c>
      <c r="DE56" s="17">
        <v>4</v>
      </c>
      <c r="DF56" s="57">
        <v>4</v>
      </c>
      <c r="DG56" s="1">
        <v>4</v>
      </c>
      <c r="DH56" s="1">
        <v>4</v>
      </c>
      <c r="DI56" s="1">
        <v>4</v>
      </c>
      <c r="DJ56" s="1">
        <v>4</v>
      </c>
      <c r="DK56" s="1">
        <v>4</v>
      </c>
      <c r="DL56" s="1">
        <v>4</v>
      </c>
      <c r="DM56" s="1">
        <v>4</v>
      </c>
      <c r="DN56" s="1">
        <v>4</v>
      </c>
      <c r="DO56" s="1">
        <v>4</v>
      </c>
      <c r="DP56" s="1">
        <v>4</v>
      </c>
      <c r="DQ56" s="1">
        <v>4</v>
      </c>
      <c r="DR56" s="1">
        <v>4</v>
      </c>
      <c r="DS56" s="1">
        <v>4</v>
      </c>
      <c r="DT56" s="1">
        <v>4</v>
      </c>
    </row>
    <row r="57" spans="1:125" x14ac:dyDescent="0.2">
      <c r="A57" t="s">
        <v>1414</v>
      </c>
      <c r="B57" s="1" t="s">
        <v>1410</v>
      </c>
      <c r="C57" s="1" t="s">
        <v>1248</v>
      </c>
      <c r="E57" s="62">
        <v>1</v>
      </c>
      <c r="F57" s="57">
        <v>4</v>
      </c>
      <c r="G57" s="56">
        <v>1</v>
      </c>
      <c r="H57" s="56">
        <v>1</v>
      </c>
      <c r="I57" s="1">
        <v>4</v>
      </c>
      <c r="J57" s="56">
        <v>1</v>
      </c>
      <c r="K57" s="4">
        <v>4</v>
      </c>
      <c r="L57" s="1">
        <v>4</v>
      </c>
      <c r="M57" s="1">
        <v>4</v>
      </c>
      <c r="N57" s="1">
        <v>4</v>
      </c>
      <c r="O57" s="1">
        <v>4</v>
      </c>
      <c r="P57" s="1">
        <v>4</v>
      </c>
      <c r="Q57" s="1">
        <v>4</v>
      </c>
      <c r="R57" s="1">
        <v>4</v>
      </c>
      <c r="S57" s="56">
        <v>1</v>
      </c>
      <c r="T57" s="56">
        <v>1</v>
      </c>
      <c r="U57" s="1">
        <v>4</v>
      </c>
      <c r="V57" s="57">
        <v>4</v>
      </c>
      <c r="W57" s="1">
        <v>4</v>
      </c>
      <c r="X57" s="1">
        <v>4</v>
      </c>
      <c r="Y57" s="1">
        <v>4</v>
      </c>
      <c r="Z57" s="4">
        <v>4</v>
      </c>
      <c r="AA57" s="4">
        <v>4</v>
      </c>
      <c r="AB57" s="4">
        <v>4</v>
      </c>
      <c r="AC57" s="57">
        <v>4</v>
      </c>
      <c r="AD57" s="1">
        <v>4</v>
      </c>
      <c r="AE57" s="1">
        <v>4</v>
      </c>
      <c r="AF57" s="1">
        <v>4</v>
      </c>
      <c r="AG57" s="1">
        <v>4</v>
      </c>
      <c r="AH57" s="1">
        <v>4</v>
      </c>
      <c r="AI57" s="4">
        <v>1</v>
      </c>
      <c r="AJ57" s="56">
        <v>1</v>
      </c>
      <c r="AK57" s="56">
        <v>1</v>
      </c>
      <c r="AL57" s="1">
        <v>4</v>
      </c>
      <c r="AM57" s="1">
        <v>4</v>
      </c>
      <c r="AN57" s="56">
        <v>1</v>
      </c>
      <c r="AO57" s="17">
        <v>4</v>
      </c>
      <c r="AP57" s="17">
        <v>4</v>
      </c>
      <c r="AQ57" s="17">
        <v>4</v>
      </c>
      <c r="AR57" s="17">
        <v>4</v>
      </c>
      <c r="AS57" s="17">
        <v>4</v>
      </c>
      <c r="AT57" s="17">
        <v>4</v>
      </c>
      <c r="AU57" s="17">
        <v>4</v>
      </c>
      <c r="AV57" s="57">
        <v>4</v>
      </c>
      <c r="AW57" s="17">
        <v>4</v>
      </c>
      <c r="AX57" s="17">
        <v>4</v>
      </c>
      <c r="AY57" s="4">
        <v>4</v>
      </c>
      <c r="AZ57" s="4">
        <v>4</v>
      </c>
      <c r="BA57" s="57">
        <v>4</v>
      </c>
      <c r="BB57" s="57">
        <v>4</v>
      </c>
      <c r="BC57" s="56">
        <v>1</v>
      </c>
      <c r="BD57" s="56">
        <v>1</v>
      </c>
      <c r="BE57" s="4">
        <v>4</v>
      </c>
      <c r="BF57" s="4">
        <v>4</v>
      </c>
      <c r="BG57" s="4">
        <v>4</v>
      </c>
      <c r="BH57" s="4">
        <v>3</v>
      </c>
      <c r="BI57" s="1">
        <v>4</v>
      </c>
      <c r="BJ57" s="1">
        <v>4</v>
      </c>
      <c r="BK57" s="1">
        <v>4</v>
      </c>
      <c r="BL57" s="4">
        <v>4</v>
      </c>
      <c r="BM57" s="4">
        <v>4</v>
      </c>
      <c r="BN57" s="4">
        <v>4</v>
      </c>
      <c r="BO57" s="1">
        <v>4</v>
      </c>
      <c r="BP57" s="1">
        <v>4</v>
      </c>
      <c r="BQ57" s="4">
        <v>4</v>
      </c>
      <c r="BR57" s="4">
        <v>4</v>
      </c>
      <c r="BS57" s="4">
        <v>4</v>
      </c>
      <c r="BT57" s="1">
        <v>4</v>
      </c>
      <c r="BU57" s="1">
        <v>4</v>
      </c>
      <c r="BV57" s="1">
        <v>4</v>
      </c>
      <c r="BW57" s="1">
        <v>4</v>
      </c>
      <c r="BX57" s="1">
        <v>4</v>
      </c>
      <c r="BY57" s="4">
        <v>4</v>
      </c>
      <c r="BZ57" s="1">
        <v>4</v>
      </c>
      <c r="CA57" s="1">
        <v>4</v>
      </c>
      <c r="CB57" s="17">
        <v>4</v>
      </c>
      <c r="CC57" s="1">
        <v>4</v>
      </c>
      <c r="CD57" s="1">
        <v>4</v>
      </c>
      <c r="CE57" s="1">
        <v>4</v>
      </c>
      <c r="CF57" s="57">
        <v>4</v>
      </c>
      <c r="CG57" s="57">
        <v>4</v>
      </c>
      <c r="CH57" s="4">
        <v>4</v>
      </c>
      <c r="CI57" s="4">
        <v>4</v>
      </c>
      <c r="CJ57" s="4">
        <v>4</v>
      </c>
      <c r="CK57" s="17">
        <v>4</v>
      </c>
      <c r="CL57" s="17">
        <v>4</v>
      </c>
      <c r="CM57" s="17">
        <v>4</v>
      </c>
      <c r="CN57" s="57">
        <v>4</v>
      </c>
      <c r="CO57" s="17">
        <v>4</v>
      </c>
      <c r="CP57" s="17">
        <v>4</v>
      </c>
      <c r="CQ57" s="57">
        <v>4</v>
      </c>
      <c r="CR57" s="17">
        <v>4</v>
      </c>
      <c r="CS57" s="17">
        <v>4</v>
      </c>
      <c r="CT57" s="1">
        <v>4</v>
      </c>
      <c r="CU57" s="1">
        <v>4</v>
      </c>
      <c r="CV57" s="1">
        <v>4</v>
      </c>
      <c r="CW57" s="17">
        <v>4</v>
      </c>
      <c r="CX57" s="1">
        <v>4</v>
      </c>
      <c r="CY57" s="1">
        <v>4</v>
      </c>
      <c r="CZ57" s="17">
        <v>4</v>
      </c>
      <c r="DA57" s="17">
        <v>4</v>
      </c>
      <c r="DB57" s="1">
        <v>4</v>
      </c>
      <c r="DC57" s="1">
        <v>4</v>
      </c>
      <c r="DD57" s="1">
        <v>4</v>
      </c>
      <c r="DE57" s="17">
        <v>4</v>
      </c>
      <c r="DF57" s="57">
        <v>4</v>
      </c>
      <c r="DG57" s="1">
        <v>4</v>
      </c>
      <c r="DH57" s="1">
        <v>4</v>
      </c>
      <c r="DI57" s="1">
        <v>4</v>
      </c>
      <c r="DJ57" s="1">
        <v>4</v>
      </c>
      <c r="DK57" s="1">
        <v>4</v>
      </c>
      <c r="DL57" s="1">
        <v>4</v>
      </c>
      <c r="DM57" s="1">
        <v>4</v>
      </c>
      <c r="DN57" s="1">
        <v>4</v>
      </c>
      <c r="DO57" s="1">
        <v>4</v>
      </c>
      <c r="DP57" s="1">
        <v>4</v>
      </c>
      <c r="DQ57" s="1">
        <v>4</v>
      </c>
      <c r="DR57" s="1">
        <v>4</v>
      </c>
      <c r="DS57" s="1">
        <v>4</v>
      </c>
      <c r="DT57" s="1">
        <v>4</v>
      </c>
    </row>
    <row r="58" spans="1:125" x14ac:dyDescent="0.2">
      <c r="A58" t="s">
        <v>1415</v>
      </c>
      <c r="B58" s="1" t="s">
        <v>1410</v>
      </c>
      <c r="C58" s="1" t="s">
        <v>1248</v>
      </c>
      <c r="E58" s="62">
        <v>1</v>
      </c>
      <c r="F58" s="57">
        <v>4</v>
      </c>
      <c r="G58" s="56">
        <v>1</v>
      </c>
      <c r="H58" s="56">
        <v>1</v>
      </c>
      <c r="I58" s="1">
        <v>4</v>
      </c>
      <c r="J58" s="56">
        <v>1</v>
      </c>
      <c r="K58" s="4">
        <v>4</v>
      </c>
      <c r="L58" s="1">
        <v>1</v>
      </c>
      <c r="M58" s="1">
        <v>1</v>
      </c>
      <c r="N58" s="1">
        <v>4</v>
      </c>
      <c r="O58" s="1">
        <v>4</v>
      </c>
      <c r="P58" s="1">
        <v>4</v>
      </c>
      <c r="Q58" s="1">
        <v>4</v>
      </c>
      <c r="R58" s="1">
        <v>4</v>
      </c>
      <c r="S58" s="56">
        <v>1</v>
      </c>
      <c r="T58" s="56">
        <v>1</v>
      </c>
      <c r="U58" s="1">
        <v>4</v>
      </c>
      <c r="V58" s="57">
        <v>4</v>
      </c>
      <c r="W58" s="1">
        <v>4</v>
      </c>
      <c r="X58" s="1">
        <v>4</v>
      </c>
      <c r="Y58" s="1">
        <v>4</v>
      </c>
      <c r="Z58" s="4">
        <v>4</v>
      </c>
      <c r="AA58" s="4">
        <v>4</v>
      </c>
      <c r="AB58" s="4">
        <v>4</v>
      </c>
      <c r="AC58" s="57">
        <v>4</v>
      </c>
      <c r="AD58" s="1">
        <v>4</v>
      </c>
      <c r="AE58" s="1">
        <v>4</v>
      </c>
      <c r="AF58" s="4">
        <v>1</v>
      </c>
      <c r="AG58" s="4">
        <v>1</v>
      </c>
      <c r="AH58" s="4">
        <v>1</v>
      </c>
      <c r="AI58" s="1">
        <v>4</v>
      </c>
      <c r="AJ58" s="56">
        <v>1</v>
      </c>
      <c r="AK58" s="56">
        <v>1</v>
      </c>
      <c r="AL58" s="1">
        <v>4</v>
      </c>
      <c r="AM58" s="1">
        <v>4</v>
      </c>
      <c r="AN58" s="1">
        <v>4</v>
      </c>
      <c r="AO58" s="17">
        <v>4</v>
      </c>
      <c r="AP58" s="17">
        <v>4</v>
      </c>
      <c r="AQ58" s="17">
        <v>4</v>
      </c>
      <c r="AR58" s="17">
        <v>4</v>
      </c>
      <c r="AS58" s="17">
        <v>4</v>
      </c>
      <c r="AT58" s="17">
        <v>4</v>
      </c>
      <c r="AU58" s="17">
        <v>4</v>
      </c>
      <c r="AV58" s="57">
        <v>4</v>
      </c>
      <c r="AW58" s="17">
        <v>4</v>
      </c>
      <c r="AX58" s="17">
        <v>4</v>
      </c>
      <c r="AY58" s="4">
        <v>4</v>
      </c>
      <c r="AZ58" s="4">
        <v>4</v>
      </c>
      <c r="BA58" s="57">
        <v>4</v>
      </c>
      <c r="BB58" s="57">
        <v>4</v>
      </c>
      <c r="BC58" s="56">
        <v>1</v>
      </c>
      <c r="BD58" s="56">
        <v>1</v>
      </c>
      <c r="BE58" s="4">
        <v>4</v>
      </c>
      <c r="BF58" s="1">
        <v>1</v>
      </c>
      <c r="BG58" s="1">
        <v>1</v>
      </c>
      <c r="BH58" s="4">
        <v>4</v>
      </c>
      <c r="BI58" s="1">
        <v>1</v>
      </c>
      <c r="BJ58" s="1">
        <v>1</v>
      </c>
      <c r="BK58" s="1">
        <v>4</v>
      </c>
      <c r="BL58" s="4">
        <v>4</v>
      </c>
      <c r="BM58" s="4">
        <v>4</v>
      </c>
      <c r="BN58" s="4">
        <v>1</v>
      </c>
      <c r="BO58" s="1">
        <v>3</v>
      </c>
      <c r="BP58" s="1">
        <v>1</v>
      </c>
      <c r="BQ58" s="4">
        <v>4</v>
      </c>
      <c r="BR58" s="4">
        <v>4</v>
      </c>
      <c r="BS58" s="56">
        <v>1</v>
      </c>
      <c r="BT58" s="56">
        <v>1</v>
      </c>
      <c r="BU58" s="56">
        <v>1</v>
      </c>
      <c r="BV58" s="56">
        <v>1</v>
      </c>
      <c r="BW58" s="56">
        <v>1</v>
      </c>
      <c r="BX58" s="56">
        <v>1</v>
      </c>
      <c r="BY58" s="4">
        <v>4</v>
      </c>
      <c r="BZ58" s="1">
        <v>4</v>
      </c>
      <c r="CA58" s="1">
        <v>4</v>
      </c>
      <c r="CB58" s="17">
        <v>4</v>
      </c>
      <c r="CC58" s="1">
        <v>4</v>
      </c>
      <c r="CD58" s="1">
        <v>4</v>
      </c>
      <c r="CE58" s="1">
        <v>4</v>
      </c>
      <c r="CF58" s="57">
        <v>4</v>
      </c>
      <c r="CG58" s="57">
        <v>4</v>
      </c>
      <c r="CH58" s="4">
        <v>4</v>
      </c>
      <c r="CI58" s="4">
        <v>4</v>
      </c>
      <c r="CJ58" s="4">
        <v>4</v>
      </c>
      <c r="CK58" s="17">
        <v>4</v>
      </c>
      <c r="CL58" s="17">
        <v>4</v>
      </c>
      <c r="CM58" s="17">
        <v>4</v>
      </c>
      <c r="CN58" s="57">
        <v>4</v>
      </c>
      <c r="CO58" s="17">
        <v>4</v>
      </c>
      <c r="CP58" s="17">
        <v>4</v>
      </c>
      <c r="CQ58" s="57">
        <v>4</v>
      </c>
      <c r="CR58" s="17">
        <v>4</v>
      </c>
      <c r="CS58" s="17">
        <v>4</v>
      </c>
      <c r="CT58" s="1">
        <v>1</v>
      </c>
      <c r="CU58" s="1">
        <v>4</v>
      </c>
      <c r="CV58" s="1">
        <v>4</v>
      </c>
      <c r="CW58" s="17">
        <v>4</v>
      </c>
      <c r="CX58" s="1">
        <v>4</v>
      </c>
      <c r="CY58" s="1">
        <v>4</v>
      </c>
      <c r="CZ58" s="17">
        <v>4</v>
      </c>
      <c r="DA58" s="17">
        <v>4</v>
      </c>
      <c r="DB58" s="1">
        <v>4</v>
      </c>
      <c r="DC58" s="1">
        <v>4</v>
      </c>
      <c r="DD58" s="1">
        <v>4</v>
      </c>
      <c r="DE58" s="17">
        <v>4</v>
      </c>
      <c r="DF58" s="57">
        <v>4</v>
      </c>
      <c r="DG58" s="1">
        <v>4</v>
      </c>
      <c r="DH58" s="1">
        <v>4</v>
      </c>
      <c r="DI58" s="1">
        <v>4</v>
      </c>
      <c r="DJ58" s="1">
        <v>4</v>
      </c>
      <c r="DK58" s="1">
        <v>4</v>
      </c>
      <c r="DL58" s="1">
        <v>4</v>
      </c>
      <c r="DM58" s="1">
        <v>4</v>
      </c>
      <c r="DN58" s="1">
        <v>4</v>
      </c>
      <c r="DO58" s="1">
        <v>4</v>
      </c>
      <c r="DP58" s="1">
        <v>4</v>
      </c>
      <c r="DQ58" s="1">
        <v>4</v>
      </c>
      <c r="DR58" s="1">
        <v>4</v>
      </c>
      <c r="DS58" s="1">
        <v>4</v>
      </c>
      <c r="DT58" s="1">
        <v>4</v>
      </c>
    </row>
    <row r="59" spans="1:125" x14ac:dyDescent="0.2">
      <c r="A59" t="s">
        <v>82</v>
      </c>
      <c r="B59" s="1" t="s">
        <v>1410</v>
      </c>
      <c r="C59" s="1" t="s">
        <v>1248</v>
      </c>
      <c r="E59" s="62">
        <v>1</v>
      </c>
      <c r="F59" s="57">
        <v>4</v>
      </c>
      <c r="G59" s="56">
        <v>1</v>
      </c>
      <c r="H59" s="56">
        <v>1</v>
      </c>
      <c r="I59" s="1">
        <v>4</v>
      </c>
      <c r="J59" s="56">
        <v>1</v>
      </c>
      <c r="K59" s="4">
        <v>4</v>
      </c>
      <c r="L59" s="1">
        <v>1</v>
      </c>
      <c r="M59" s="1">
        <v>1</v>
      </c>
      <c r="N59" s="1">
        <v>4</v>
      </c>
      <c r="O59" s="1">
        <v>4</v>
      </c>
      <c r="P59" s="1">
        <v>4</v>
      </c>
      <c r="Q59" s="1">
        <v>4</v>
      </c>
      <c r="R59" s="1">
        <v>4</v>
      </c>
      <c r="S59" s="56">
        <v>1</v>
      </c>
      <c r="T59" s="56">
        <v>1</v>
      </c>
      <c r="U59" s="1">
        <v>4</v>
      </c>
      <c r="V59" s="57">
        <v>4</v>
      </c>
      <c r="W59" s="1">
        <v>4</v>
      </c>
      <c r="X59" s="1">
        <v>4</v>
      </c>
      <c r="Y59" s="1">
        <v>4</v>
      </c>
      <c r="Z59" s="4">
        <v>4</v>
      </c>
      <c r="AA59" s="4">
        <v>4</v>
      </c>
      <c r="AB59" s="4">
        <v>4</v>
      </c>
      <c r="AC59" s="57">
        <v>4</v>
      </c>
      <c r="AD59" s="1">
        <v>4</v>
      </c>
      <c r="AE59" s="1">
        <v>4</v>
      </c>
      <c r="AF59" s="4">
        <v>1</v>
      </c>
      <c r="AG59" s="4">
        <v>1</v>
      </c>
      <c r="AH59" s="4">
        <v>1</v>
      </c>
      <c r="AI59" s="1">
        <v>4</v>
      </c>
      <c r="AJ59" s="56">
        <v>1</v>
      </c>
      <c r="AK59" s="56">
        <v>1</v>
      </c>
      <c r="AL59" s="1">
        <v>4</v>
      </c>
      <c r="AM59" s="1">
        <v>4</v>
      </c>
      <c r="AN59" s="1">
        <v>4</v>
      </c>
      <c r="AO59" s="17">
        <v>4</v>
      </c>
      <c r="AP59" s="17">
        <v>4</v>
      </c>
      <c r="AQ59" s="17">
        <v>4</v>
      </c>
      <c r="AR59" s="17">
        <v>4</v>
      </c>
      <c r="AS59" s="17">
        <v>4</v>
      </c>
      <c r="AT59" s="17">
        <v>4</v>
      </c>
      <c r="AU59" s="17">
        <v>4</v>
      </c>
      <c r="AV59" s="57">
        <v>4</v>
      </c>
      <c r="AW59" s="17">
        <v>4</v>
      </c>
      <c r="AX59" s="17">
        <v>4</v>
      </c>
      <c r="AY59" s="4">
        <v>4</v>
      </c>
      <c r="AZ59" s="4">
        <v>4</v>
      </c>
      <c r="BA59" s="57">
        <v>4</v>
      </c>
      <c r="BB59" s="57">
        <v>4</v>
      </c>
      <c r="BC59" s="56">
        <v>1</v>
      </c>
      <c r="BD59" s="56">
        <v>1</v>
      </c>
      <c r="BE59" s="4">
        <v>4</v>
      </c>
      <c r="BF59" s="1">
        <v>1</v>
      </c>
      <c r="BG59" s="1">
        <v>1</v>
      </c>
      <c r="BH59" s="4">
        <v>4</v>
      </c>
      <c r="BI59" s="1">
        <v>1</v>
      </c>
      <c r="BJ59" s="1">
        <v>1</v>
      </c>
      <c r="BK59" s="1">
        <v>4</v>
      </c>
      <c r="BL59" s="4">
        <v>4</v>
      </c>
      <c r="BM59" s="4">
        <v>4</v>
      </c>
      <c r="BN59" s="4">
        <v>1</v>
      </c>
      <c r="BO59" s="1">
        <v>3</v>
      </c>
      <c r="BP59" s="1">
        <v>1</v>
      </c>
      <c r="BQ59" s="4">
        <v>4</v>
      </c>
      <c r="BR59" s="4">
        <v>4</v>
      </c>
      <c r="BS59" s="56">
        <v>1</v>
      </c>
      <c r="BT59" s="56">
        <v>1</v>
      </c>
      <c r="BU59" s="56">
        <v>1</v>
      </c>
      <c r="BV59" s="56">
        <v>1</v>
      </c>
      <c r="BW59" s="56">
        <v>1</v>
      </c>
      <c r="BX59" s="56">
        <v>1</v>
      </c>
      <c r="BY59" s="4">
        <v>4</v>
      </c>
      <c r="BZ59" s="1">
        <v>4</v>
      </c>
      <c r="CA59" s="1">
        <v>4</v>
      </c>
      <c r="CB59" s="17">
        <v>4</v>
      </c>
      <c r="CC59" s="1">
        <v>4</v>
      </c>
      <c r="CD59" s="1">
        <v>4</v>
      </c>
      <c r="CE59" s="1">
        <v>4</v>
      </c>
      <c r="CF59" s="57">
        <v>4</v>
      </c>
      <c r="CG59" s="57">
        <v>4</v>
      </c>
      <c r="CH59" s="4">
        <v>4</v>
      </c>
      <c r="CI59" s="4">
        <v>4</v>
      </c>
      <c r="CJ59" s="4">
        <v>4</v>
      </c>
      <c r="CK59" s="17">
        <v>4</v>
      </c>
      <c r="CL59" s="17">
        <v>4</v>
      </c>
      <c r="CM59" s="17">
        <v>4</v>
      </c>
      <c r="CN59" s="57">
        <v>4</v>
      </c>
      <c r="CO59" s="17">
        <v>4</v>
      </c>
      <c r="CP59" s="17">
        <v>4</v>
      </c>
      <c r="CQ59" s="57">
        <v>4</v>
      </c>
      <c r="CR59" s="17">
        <v>4</v>
      </c>
      <c r="CS59" s="17">
        <v>4</v>
      </c>
      <c r="CT59" s="1">
        <v>1</v>
      </c>
      <c r="CU59" s="1">
        <v>4</v>
      </c>
      <c r="CV59" s="1">
        <v>4</v>
      </c>
      <c r="CW59" s="17">
        <v>4</v>
      </c>
      <c r="CX59" s="1">
        <v>4</v>
      </c>
      <c r="CY59" s="1">
        <v>4</v>
      </c>
      <c r="CZ59" s="17">
        <v>4</v>
      </c>
      <c r="DA59" s="17">
        <v>4</v>
      </c>
      <c r="DB59" s="1">
        <v>4</v>
      </c>
      <c r="DC59" s="1">
        <v>4</v>
      </c>
      <c r="DD59" s="1">
        <v>4</v>
      </c>
      <c r="DE59" s="17">
        <v>4</v>
      </c>
      <c r="DF59" s="57">
        <v>4</v>
      </c>
      <c r="DG59" s="1">
        <v>4</v>
      </c>
      <c r="DH59" s="1">
        <v>4</v>
      </c>
      <c r="DI59" s="1">
        <v>4</v>
      </c>
      <c r="DJ59" s="1">
        <v>4</v>
      </c>
      <c r="DK59" s="1">
        <v>4</v>
      </c>
      <c r="DL59" s="1">
        <v>4</v>
      </c>
      <c r="DM59" s="1">
        <v>4</v>
      </c>
      <c r="DN59" s="1">
        <v>4</v>
      </c>
      <c r="DO59" s="1">
        <v>4</v>
      </c>
      <c r="DP59" s="1">
        <v>4</v>
      </c>
      <c r="DQ59" s="1">
        <v>4</v>
      </c>
      <c r="DR59" s="1">
        <v>4</v>
      </c>
      <c r="DS59" s="1">
        <v>4</v>
      </c>
      <c r="DT59" s="1">
        <v>4</v>
      </c>
    </row>
    <row r="60" spans="1:125" x14ac:dyDescent="0.2">
      <c r="A60" t="s">
        <v>96</v>
      </c>
      <c r="B60" s="1" t="s">
        <v>1410</v>
      </c>
      <c r="C60" s="1" t="s">
        <v>1246</v>
      </c>
      <c r="E60" s="62">
        <v>1</v>
      </c>
      <c r="F60" s="57">
        <v>4</v>
      </c>
      <c r="G60" s="56">
        <v>1</v>
      </c>
      <c r="H60" s="56">
        <v>1</v>
      </c>
      <c r="I60" s="1">
        <v>4</v>
      </c>
      <c r="J60" s="56">
        <v>1</v>
      </c>
      <c r="K60" s="4">
        <v>4</v>
      </c>
      <c r="L60" s="4">
        <v>3</v>
      </c>
      <c r="M60" s="4">
        <v>3</v>
      </c>
      <c r="N60" s="1">
        <v>4</v>
      </c>
      <c r="O60" s="4">
        <v>4</v>
      </c>
      <c r="P60" s="4">
        <v>4</v>
      </c>
      <c r="Q60" s="4">
        <v>4</v>
      </c>
      <c r="R60" s="1">
        <v>4</v>
      </c>
      <c r="S60" s="4">
        <v>3</v>
      </c>
      <c r="T60" s="4">
        <v>3</v>
      </c>
      <c r="U60" s="1">
        <v>4</v>
      </c>
      <c r="V60" s="57">
        <v>4</v>
      </c>
      <c r="W60" s="4">
        <v>4</v>
      </c>
      <c r="X60" s="4">
        <v>4</v>
      </c>
      <c r="Y60" s="1">
        <v>4</v>
      </c>
      <c r="Z60" s="4">
        <v>4</v>
      </c>
      <c r="AA60" s="4">
        <v>4</v>
      </c>
      <c r="AB60" s="4">
        <v>4</v>
      </c>
      <c r="AC60" s="57">
        <v>4</v>
      </c>
      <c r="AD60" s="1">
        <v>4</v>
      </c>
      <c r="AE60" s="1">
        <v>4</v>
      </c>
      <c r="AF60" s="4">
        <v>1</v>
      </c>
      <c r="AG60" s="4">
        <v>1</v>
      </c>
      <c r="AH60" s="4">
        <v>1</v>
      </c>
      <c r="AI60" s="1">
        <v>4</v>
      </c>
      <c r="AJ60" s="56">
        <v>1</v>
      </c>
      <c r="AK60" s="56">
        <v>1</v>
      </c>
      <c r="AL60" s="4">
        <v>4</v>
      </c>
      <c r="AM60" s="4">
        <v>4</v>
      </c>
      <c r="AN60" s="1">
        <v>4</v>
      </c>
      <c r="AO60" s="17">
        <v>4</v>
      </c>
      <c r="AP60" s="17">
        <v>4</v>
      </c>
      <c r="AQ60" s="17">
        <v>4</v>
      </c>
      <c r="AR60" s="17">
        <v>4</v>
      </c>
      <c r="AS60" s="17">
        <v>4</v>
      </c>
      <c r="AT60" s="17">
        <v>4</v>
      </c>
      <c r="AU60" s="17">
        <v>4</v>
      </c>
      <c r="AV60" s="57">
        <v>4</v>
      </c>
      <c r="AW60" s="17">
        <v>4</v>
      </c>
      <c r="AX60" s="17">
        <v>4</v>
      </c>
      <c r="AY60" s="4">
        <v>4</v>
      </c>
      <c r="AZ60" s="4">
        <v>4</v>
      </c>
      <c r="BA60" s="57">
        <v>4</v>
      </c>
      <c r="BB60" s="57">
        <v>4</v>
      </c>
      <c r="BC60" s="4">
        <v>3</v>
      </c>
      <c r="BD60" s="4">
        <v>3</v>
      </c>
      <c r="BE60" s="4">
        <v>4</v>
      </c>
      <c r="BF60" s="4">
        <v>3</v>
      </c>
      <c r="BG60" s="4">
        <v>3</v>
      </c>
      <c r="BH60" s="4">
        <v>4</v>
      </c>
      <c r="BI60" s="4">
        <v>3</v>
      </c>
      <c r="BJ60" s="4">
        <v>3</v>
      </c>
      <c r="BK60" s="1">
        <v>4</v>
      </c>
      <c r="BL60" s="4">
        <v>4</v>
      </c>
      <c r="BM60" s="4">
        <v>4</v>
      </c>
      <c r="BN60" s="4">
        <v>1</v>
      </c>
      <c r="BO60" s="1">
        <v>3</v>
      </c>
      <c r="BP60" s="1">
        <v>1</v>
      </c>
      <c r="BQ60" s="4">
        <v>4</v>
      </c>
      <c r="BR60" s="4">
        <v>4</v>
      </c>
      <c r="BS60" s="56">
        <v>1</v>
      </c>
      <c r="BT60" s="56">
        <v>1</v>
      </c>
      <c r="BU60" s="56">
        <v>1</v>
      </c>
      <c r="BV60" s="56">
        <v>1</v>
      </c>
      <c r="BW60" s="4">
        <v>3</v>
      </c>
      <c r="BX60" s="4">
        <v>3</v>
      </c>
      <c r="BY60" s="4">
        <v>4</v>
      </c>
      <c r="BZ60" s="4">
        <v>4</v>
      </c>
      <c r="CA60" s="1">
        <v>4</v>
      </c>
      <c r="CB60" s="17">
        <v>4</v>
      </c>
      <c r="CC60" s="4">
        <v>4</v>
      </c>
      <c r="CD60" s="4">
        <v>4</v>
      </c>
      <c r="CE60" s="1">
        <v>4</v>
      </c>
      <c r="CF60" s="57">
        <v>4</v>
      </c>
      <c r="CG60" s="57">
        <v>4</v>
      </c>
      <c r="CH60" s="4">
        <v>4</v>
      </c>
      <c r="CI60" s="4">
        <v>4</v>
      </c>
      <c r="CJ60" s="4">
        <v>4</v>
      </c>
      <c r="CK60" s="17">
        <v>4</v>
      </c>
      <c r="CL60" s="17">
        <v>4</v>
      </c>
      <c r="CM60" s="17">
        <v>4</v>
      </c>
      <c r="CN60" s="57">
        <v>4</v>
      </c>
      <c r="CO60" s="17">
        <v>4</v>
      </c>
      <c r="CP60" s="17">
        <v>4</v>
      </c>
      <c r="CQ60" s="57">
        <v>4</v>
      </c>
      <c r="CR60" s="17">
        <v>4</v>
      </c>
      <c r="CS60" s="17">
        <v>4</v>
      </c>
      <c r="CT60" s="1">
        <v>1</v>
      </c>
      <c r="CU60" s="4">
        <v>4</v>
      </c>
      <c r="CV60" s="4">
        <v>4</v>
      </c>
      <c r="CW60" s="17">
        <v>4</v>
      </c>
      <c r="CX60" s="4">
        <v>4</v>
      </c>
      <c r="CY60" s="4">
        <v>4</v>
      </c>
      <c r="CZ60" s="17">
        <v>4</v>
      </c>
      <c r="DA60" s="17">
        <v>4</v>
      </c>
      <c r="DB60" s="1">
        <v>4</v>
      </c>
      <c r="DC60" s="1">
        <v>4</v>
      </c>
      <c r="DD60" s="1">
        <v>4</v>
      </c>
      <c r="DE60" s="17">
        <v>4</v>
      </c>
      <c r="DF60" s="57">
        <v>4</v>
      </c>
      <c r="DG60" s="4">
        <v>4</v>
      </c>
      <c r="DH60" s="1">
        <v>4</v>
      </c>
      <c r="DI60" s="4">
        <v>4</v>
      </c>
      <c r="DJ60" s="4">
        <v>4</v>
      </c>
      <c r="DK60" s="1">
        <v>4</v>
      </c>
      <c r="DL60" s="1">
        <v>4</v>
      </c>
      <c r="DM60" s="1">
        <v>4</v>
      </c>
      <c r="DN60" s="1">
        <v>4</v>
      </c>
      <c r="DO60" s="1">
        <v>4</v>
      </c>
      <c r="DP60" s="1">
        <v>4</v>
      </c>
      <c r="DQ60" s="1">
        <v>4</v>
      </c>
      <c r="DR60" s="1">
        <v>4</v>
      </c>
      <c r="DS60" s="1">
        <v>4</v>
      </c>
      <c r="DT60" s="1">
        <v>4</v>
      </c>
    </row>
    <row r="61" spans="1:125" x14ac:dyDescent="0.2">
      <c r="A61" t="s">
        <v>97</v>
      </c>
      <c r="B61" s="1" t="s">
        <v>1410</v>
      </c>
      <c r="C61" s="1" t="s">
        <v>1246</v>
      </c>
      <c r="E61" s="62">
        <v>1</v>
      </c>
      <c r="F61" s="57">
        <v>4</v>
      </c>
      <c r="G61" s="56">
        <v>1</v>
      </c>
      <c r="H61" s="56">
        <v>1</v>
      </c>
      <c r="I61" s="1">
        <v>4</v>
      </c>
      <c r="J61" s="56">
        <v>1</v>
      </c>
      <c r="K61" s="4">
        <v>4</v>
      </c>
      <c r="L61" s="4">
        <v>3</v>
      </c>
      <c r="M61" s="4">
        <v>3</v>
      </c>
      <c r="N61" s="1">
        <v>4</v>
      </c>
      <c r="O61" s="4">
        <v>4</v>
      </c>
      <c r="P61" s="4">
        <v>4</v>
      </c>
      <c r="Q61" s="4">
        <v>4</v>
      </c>
      <c r="R61" s="1">
        <v>4</v>
      </c>
      <c r="S61" s="4">
        <v>3</v>
      </c>
      <c r="T61" s="4">
        <v>3</v>
      </c>
      <c r="U61" s="1">
        <v>4</v>
      </c>
      <c r="V61" s="57">
        <v>4</v>
      </c>
      <c r="W61" s="4">
        <v>4</v>
      </c>
      <c r="X61" s="4">
        <v>4</v>
      </c>
      <c r="Y61" s="1">
        <v>4</v>
      </c>
      <c r="Z61" s="4">
        <v>4</v>
      </c>
      <c r="AA61" s="4">
        <v>4</v>
      </c>
      <c r="AB61" s="4">
        <v>4</v>
      </c>
      <c r="AC61" s="57">
        <v>4</v>
      </c>
      <c r="AD61" s="1">
        <v>4</v>
      </c>
      <c r="AE61" s="1">
        <v>4</v>
      </c>
      <c r="AF61" s="4">
        <v>1</v>
      </c>
      <c r="AG61" s="4">
        <v>1</v>
      </c>
      <c r="AH61" s="4">
        <v>1</v>
      </c>
      <c r="AI61" s="1">
        <v>4</v>
      </c>
      <c r="AJ61" s="56">
        <v>1</v>
      </c>
      <c r="AK61" s="56">
        <v>1</v>
      </c>
      <c r="AL61" s="4">
        <v>4</v>
      </c>
      <c r="AM61" s="4">
        <v>4</v>
      </c>
      <c r="AN61" s="1">
        <v>4</v>
      </c>
      <c r="AO61" s="17">
        <v>4</v>
      </c>
      <c r="AP61" s="17">
        <v>4</v>
      </c>
      <c r="AQ61" s="17">
        <v>4</v>
      </c>
      <c r="AR61" s="17">
        <v>4</v>
      </c>
      <c r="AS61" s="17">
        <v>4</v>
      </c>
      <c r="AT61" s="17">
        <v>4</v>
      </c>
      <c r="AU61" s="17">
        <v>4</v>
      </c>
      <c r="AV61" s="57">
        <v>4</v>
      </c>
      <c r="AW61" s="17">
        <v>4</v>
      </c>
      <c r="AX61" s="17">
        <v>4</v>
      </c>
      <c r="AY61" s="4">
        <v>4</v>
      </c>
      <c r="AZ61" s="4">
        <v>4</v>
      </c>
      <c r="BA61" s="57">
        <v>4</v>
      </c>
      <c r="BB61" s="57">
        <v>4</v>
      </c>
      <c r="BC61" s="4">
        <v>1</v>
      </c>
      <c r="BD61" s="4">
        <v>3</v>
      </c>
      <c r="BE61" s="4">
        <v>4</v>
      </c>
      <c r="BF61" s="4">
        <v>1</v>
      </c>
      <c r="BG61" s="4">
        <v>1</v>
      </c>
      <c r="BH61" s="4">
        <v>4</v>
      </c>
      <c r="BI61" s="4">
        <v>1</v>
      </c>
      <c r="BJ61" s="4">
        <v>1</v>
      </c>
      <c r="BK61" s="1">
        <v>4</v>
      </c>
      <c r="BL61" s="4">
        <v>4</v>
      </c>
      <c r="BM61" s="4">
        <v>4</v>
      </c>
      <c r="BN61" s="4">
        <v>1</v>
      </c>
      <c r="BO61" s="1">
        <v>3</v>
      </c>
      <c r="BP61" s="1">
        <v>1</v>
      </c>
      <c r="BQ61" s="4">
        <v>4</v>
      </c>
      <c r="BR61" s="4">
        <v>4</v>
      </c>
      <c r="BS61" s="56">
        <v>1</v>
      </c>
      <c r="BT61" s="56">
        <v>1</v>
      </c>
      <c r="BU61" s="56">
        <v>1</v>
      </c>
      <c r="BV61" s="56">
        <v>1</v>
      </c>
      <c r="BW61" s="4">
        <v>3</v>
      </c>
      <c r="BX61" s="4">
        <v>3</v>
      </c>
      <c r="BY61" s="4">
        <v>4</v>
      </c>
      <c r="BZ61" s="4">
        <v>4</v>
      </c>
      <c r="CA61" s="1">
        <v>4</v>
      </c>
      <c r="CB61" s="17">
        <v>4</v>
      </c>
      <c r="CC61" s="4">
        <v>4</v>
      </c>
      <c r="CD61" s="4">
        <v>4</v>
      </c>
      <c r="CE61" s="1">
        <v>4</v>
      </c>
      <c r="CF61" s="57">
        <v>4</v>
      </c>
      <c r="CG61" s="57">
        <v>4</v>
      </c>
      <c r="CH61" s="4">
        <v>4</v>
      </c>
      <c r="CI61" s="4">
        <v>4</v>
      </c>
      <c r="CJ61" s="4">
        <v>4</v>
      </c>
      <c r="CK61" s="17">
        <v>4</v>
      </c>
      <c r="CL61" s="17">
        <v>4</v>
      </c>
      <c r="CM61" s="17">
        <v>4</v>
      </c>
      <c r="CN61" s="57">
        <v>4</v>
      </c>
      <c r="CO61" s="17">
        <v>4</v>
      </c>
      <c r="CP61" s="17">
        <v>4</v>
      </c>
      <c r="CQ61" s="57">
        <v>4</v>
      </c>
      <c r="CR61" s="17">
        <v>4</v>
      </c>
      <c r="CS61" s="17">
        <v>4</v>
      </c>
      <c r="CT61" s="1">
        <v>1</v>
      </c>
      <c r="CU61" s="4">
        <v>4</v>
      </c>
      <c r="CV61" s="4">
        <v>4</v>
      </c>
      <c r="CW61" s="17">
        <v>4</v>
      </c>
      <c r="CX61" s="4">
        <v>4</v>
      </c>
      <c r="CY61" s="4">
        <v>4</v>
      </c>
      <c r="CZ61" s="17">
        <v>4</v>
      </c>
      <c r="DA61" s="17">
        <v>4</v>
      </c>
      <c r="DB61" s="1">
        <v>4</v>
      </c>
      <c r="DC61" s="1">
        <v>4</v>
      </c>
      <c r="DD61" s="1">
        <v>4</v>
      </c>
      <c r="DE61" s="17">
        <v>4</v>
      </c>
      <c r="DF61" s="57">
        <v>4</v>
      </c>
      <c r="DG61" s="4">
        <v>4</v>
      </c>
      <c r="DH61" s="1">
        <v>4</v>
      </c>
      <c r="DI61" s="4">
        <v>4</v>
      </c>
      <c r="DJ61" s="4">
        <v>4</v>
      </c>
      <c r="DK61" s="1">
        <v>4</v>
      </c>
      <c r="DL61" s="1">
        <v>4</v>
      </c>
      <c r="DM61" s="1">
        <v>4</v>
      </c>
      <c r="DN61" s="1">
        <v>4</v>
      </c>
      <c r="DO61" s="1">
        <v>4</v>
      </c>
      <c r="DP61" s="1">
        <v>4</v>
      </c>
      <c r="DQ61" s="1">
        <v>4</v>
      </c>
      <c r="DR61" s="1">
        <v>4</v>
      </c>
      <c r="DS61" s="1">
        <v>4</v>
      </c>
      <c r="DT61" s="1">
        <v>4</v>
      </c>
    </row>
    <row r="62" spans="1:125" x14ac:dyDescent="0.2">
      <c r="A62" t="s">
        <v>99</v>
      </c>
      <c r="B62" s="1" t="s">
        <v>1410</v>
      </c>
      <c r="C62" s="1" t="s">
        <v>1246</v>
      </c>
      <c r="E62" s="62">
        <v>1</v>
      </c>
      <c r="F62" s="57">
        <v>4</v>
      </c>
      <c r="G62" s="56">
        <v>1</v>
      </c>
      <c r="H62" s="56">
        <v>1</v>
      </c>
      <c r="I62" s="1">
        <v>4</v>
      </c>
      <c r="J62" s="56">
        <v>1</v>
      </c>
      <c r="K62" s="4">
        <v>4</v>
      </c>
      <c r="L62" s="4">
        <v>2</v>
      </c>
      <c r="M62" s="4">
        <v>2</v>
      </c>
      <c r="N62" s="1">
        <v>4</v>
      </c>
      <c r="O62" s="4">
        <v>4</v>
      </c>
      <c r="P62" s="4">
        <v>4</v>
      </c>
      <c r="Q62" s="4">
        <v>4</v>
      </c>
      <c r="R62" s="1">
        <v>4</v>
      </c>
      <c r="S62" s="4">
        <v>1</v>
      </c>
      <c r="T62" s="4">
        <v>1</v>
      </c>
      <c r="U62" s="1">
        <v>4</v>
      </c>
      <c r="V62" s="57">
        <v>4</v>
      </c>
      <c r="W62" s="4">
        <v>4</v>
      </c>
      <c r="X62" s="4">
        <v>4</v>
      </c>
      <c r="Y62" s="1">
        <v>4</v>
      </c>
      <c r="Z62" s="4">
        <v>4</v>
      </c>
      <c r="AA62" s="4">
        <v>4</v>
      </c>
      <c r="AB62" s="4">
        <v>4</v>
      </c>
      <c r="AC62" s="57">
        <v>4</v>
      </c>
      <c r="AD62" s="1">
        <v>4</v>
      </c>
      <c r="AE62" s="1">
        <v>4</v>
      </c>
      <c r="AF62" s="4">
        <v>1</v>
      </c>
      <c r="AG62" s="4">
        <v>1</v>
      </c>
      <c r="AH62" s="4">
        <v>1</v>
      </c>
      <c r="AI62" s="1">
        <v>4</v>
      </c>
      <c r="AJ62" s="56">
        <v>1</v>
      </c>
      <c r="AK62" s="56">
        <v>1</v>
      </c>
      <c r="AL62" s="4">
        <v>4</v>
      </c>
      <c r="AM62" s="4">
        <v>4</v>
      </c>
      <c r="AN62" s="1">
        <v>4</v>
      </c>
      <c r="AO62" s="17">
        <v>4</v>
      </c>
      <c r="AP62" s="17">
        <v>4</v>
      </c>
      <c r="AQ62" s="17">
        <v>4</v>
      </c>
      <c r="AR62" s="17">
        <v>4</v>
      </c>
      <c r="AS62" s="17">
        <v>4</v>
      </c>
      <c r="AT62" s="17">
        <v>4</v>
      </c>
      <c r="AU62" s="17">
        <v>4</v>
      </c>
      <c r="AV62" s="57">
        <v>4</v>
      </c>
      <c r="AW62" s="17">
        <v>4</v>
      </c>
      <c r="AX62" s="17">
        <v>4</v>
      </c>
      <c r="AY62" s="4">
        <v>4</v>
      </c>
      <c r="AZ62" s="4">
        <v>4</v>
      </c>
      <c r="BA62" s="57">
        <v>4</v>
      </c>
      <c r="BB62" s="57">
        <v>4</v>
      </c>
      <c r="BC62" s="4">
        <v>1</v>
      </c>
      <c r="BD62" s="4">
        <v>3</v>
      </c>
      <c r="BE62" s="4">
        <v>4</v>
      </c>
      <c r="BF62" s="4">
        <v>1</v>
      </c>
      <c r="BG62" s="4">
        <v>1</v>
      </c>
      <c r="BH62" s="4">
        <v>4</v>
      </c>
      <c r="BI62" s="4">
        <v>1</v>
      </c>
      <c r="BJ62" s="4">
        <v>1</v>
      </c>
      <c r="BK62" s="1">
        <v>4</v>
      </c>
      <c r="BL62" s="4">
        <v>4</v>
      </c>
      <c r="BM62" s="4">
        <v>4</v>
      </c>
      <c r="BN62" s="4">
        <v>1</v>
      </c>
      <c r="BO62" s="1">
        <v>3</v>
      </c>
      <c r="BP62" s="1">
        <v>1</v>
      </c>
      <c r="BQ62" s="4">
        <v>4</v>
      </c>
      <c r="BR62" s="4">
        <v>4</v>
      </c>
      <c r="BS62" s="56">
        <v>1</v>
      </c>
      <c r="BT62" s="56">
        <v>1</v>
      </c>
      <c r="BU62" s="56">
        <v>1</v>
      </c>
      <c r="BV62" s="56">
        <v>1</v>
      </c>
      <c r="BW62" s="56">
        <v>1</v>
      </c>
      <c r="BX62" s="56">
        <v>1</v>
      </c>
      <c r="BY62" s="4">
        <v>4</v>
      </c>
      <c r="BZ62" s="4">
        <v>4</v>
      </c>
      <c r="CA62" s="1">
        <v>4</v>
      </c>
      <c r="CB62" s="17">
        <v>4</v>
      </c>
      <c r="CC62" s="4">
        <v>4</v>
      </c>
      <c r="CD62" s="4">
        <v>4</v>
      </c>
      <c r="CE62" s="1">
        <v>4</v>
      </c>
      <c r="CF62" s="57">
        <v>4</v>
      </c>
      <c r="CG62" s="57">
        <v>4</v>
      </c>
      <c r="CH62" s="4">
        <v>4</v>
      </c>
      <c r="CI62" s="4">
        <v>4</v>
      </c>
      <c r="CJ62" s="4">
        <v>4</v>
      </c>
      <c r="CK62" s="17">
        <v>4</v>
      </c>
      <c r="CL62" s="17">
        <v>4</v>
      </c>
      <c r="CM62" s="17">
        <v>4</v>
      </c>
      <c r="CN62" s="57">
        <v>4</v>
      </c>
      <c r="CO62" s="17">
        <v>4</v>
      </c>
      <c r="CP62" s="17">
        <v>4</v>
      </c>
      <c r="CQ62" s="57">
        <v>4</v>
      </c>
      <c r="CR62" s="17">
        <v>4</v>
      </c>
      <c r="CS62" s="17">
        <v>4</v>
      </c>
      <c r="CT62" s="1">
        <v>1</v>
      </c>
      <c r="CU62" s="4">
        <v>4</v>
      </c>
      <c r="CV62" s="4">
        <v>4</v>
      </c>
      <c r="CW62" s="17">
        <v>4</v>
      </c>
      <c r="CX62" s="4">
        <v>4</v>
      </c>
      <c r="CY62" s="4">
        <v>4</v>
      </c>
      <c r="CZ62" s="17">
        <v>4</v>
      </c>
      <c r="DA62" s="17">
        <v>4</v>
      </c>
      <c r="DB62" s="1">
        <v>4</v>
      </c>
      <c r="DC62" s="1">
        <v>4</v>
      </c>
      <c r="DD62" s="1">
        <v>4</v>
      </c>
      <c r="DE62" s="17">
        <v>4</v>
      </c>
      <c r="DF62" s="57">
        <v>4</v>
      </c>
      <c r="DG62" s="4">
        <v>4</v>
      </c>
      <c r="DH62" s="1">
        <v>4</v>
      </c>
      <c r="DI62" s="4">
        <v>4</v>
      </c>
      <c r="DJ62" s="4">
        <v>4</v>
      </c>
      <c r="DK62" s="1">
        <v>4</v>
      </c>
      <c r="DL62" s="1">
        <v>4</v>
      </c>
      <c r="DM62" s="1">
        <v>4</v>
      </c>
      <c r="DN62" s="1">
        <v>4</v>
      </c>
      <c r="DO62" s="1">
        <v>4</v>
      </c>
      <c r="DP62" s="1">
        <v>4</v>
      </c>
      <c r="DQ62" s="1">
        <v>4</v>
      </c>
      <c r="DR62" s="1">
        <v>4</v>
      </c>
      <c r="DS62" s="1">
        <v>4</v>
      </c>
      <c r="DT62" s="1">
        <v>4</v>
      </c>
    </row>
    <row r="63" spans="1:125" x14ac:dyDescent="0.2">
      <c r="A63" t="s">
        <v>1072</v>
      </c>
      <c r="B63" s="1" t="s">
        <v>1410</v>
      </c>
      <c r="C63" s="1" t="s">
        <v>1246</v>
      </c>
      <c r="E63" s="62">
        <v>1</v>
      </c>
      <c r="F63" s="57">
        <v>4</v>
      </c>
      <c r="G63" s="56">
        <v>1</v>
      </c>
      <c r="H63" s="56">
        <v>1</v>
      </c>
      <c r="I63" s="1">
        <v>4</v>
      </c>
      <c r="J63" s="56">
        <v>1</v>
      </c>
      <c r="K63" s="4">
        <v>4</v>
      </c>
      <c r="L63" s="1">
        <v>1</v>
      </c>
      <c r="M63" s="1">
        <v>1</v>
      </c>
      <c r="N63" s="1">
        <v>4</v>
      </c>
      <c r="O63" s="1">
        <v>4</v>
      </c>
      <c r="P63" s="1">
        <v>4</v>
      </c>
      <c r="Q63" s="1">
        <v>4</v>
      </c>
      <c r="R63" s="1">
        <v>4</v>
      </c>
      <c r="S63" s="4">
        <v>1</v>
      </c>
      <c r="T63" s="1">
        <v>3</v>
      </c>
      <c r="U63" s="1">
        <v>4</v>
      </c>
      <c r="V63" s="57">
        <v>4</v>
      </c>
      <c r="W63" s="1">
        <v>1</v>
      </c>
      <c r="X63" s="1">
        <v>1</v>
      </c>
      <c r="Y63" s="1">
        <v>4</v>
      </c>
      <c r="Z63" s="4">
        <v>4</v>
      </c>
      <c r="AA63" s="4">
        <v>4</v>
      </c>
      <c r="AB63" s="4">
        <v>4</v>
      </c>
      <c r="AC63" s="57">
        <v>4</v>
      </c>
      <c r="AD63" s="1">
        <v>4</v>
      </c>
      <c r="AE63" s="1">
        <v>4</v>
      </c>
      <c r="AF63" s="4">
        <v>2</v>
      </c>
      <c r="AG63" s="4">
        <v>1</v>
      </c>
      <c r="AH63" s="4">
        <v>1</v>
      </c>
      <c r="AI63" s="1">
        <v>4</v>
      </c>
      <c r="AJ63" s="1">
        <v>3</v>
      </c>
      <c r="AK63" s="56">
        <v>1</v>
      </c>
      <c r="AL63" s="4">
        <v>4</v>
      </c>
      <c r="AM63" s="4">
        <v>4</v>
      </c>
      <c r="AN63" s="4">
        <v>3</v>
      </c>
      <c r="AO63" s="17">
        <v>4</v>
      </c>
      <c r="AP63" s="17">
        <v>4</v>
      </c>
      <c r="AQ63" s="17">
        <v>4</v>
      </c>
      <c r="AR63" s="17">
        <v>4</v>
      </c>
      <c r="AS63" s="17">
        <v>4</v>
      </c>
      <c r="AT63" s="17">
        <v>4</v>
      </c>
      <c r="AU63" s="17">
        <v>4</v>
      </c>
      <c r="AV63" s="57">
        <v>4</v>
      </c>
      <c r="AW63" s="17">
        <v>4</v>
      </c>
      <c r="AX63" s="17">
        <v>4</v>
      </c>
      <c r="AY63" s="4">
        <v>4</v>
      </c>
      <c r="AZ63" s="4">
        <v>4</v>
      </c>
      <c r="BA63" s="57">
        <v>4</v>
      </c>
      <c r="BB63" s="57">
        <v>4</v>
      </c>
      <c r="BC63" s="1">
        <v>1</v>
      </c>
      <c r="BD63" s="1">
        <v>1</v>
      </c>
      <c r="BE63" s="4">
        <v>4</v>
      </c>
      <c r="BF63" s="4">
        <v>1</v>
      </c>
      <c r="BG63" s="4">
        <v>1</v>
      </c>
      <c r="BH63" s="4">
        <v>4</v>
      </c>
      <c r="BI63" s="4">
        <v>1</v>
      </c>
      <c r="BJ63" s="4">
        <v>1</v>
      </c>
      <c r="BK63" s="1">
        <v>4</v>
      </c>
      <c r="BL63" s="1">
        <v>4</v>
      </c>
      <c r="BM63" s="1">
        <v>4</v>
      </c>
      <c r="BN63" s="4">
        <v>1</v>
      </c>
      <c r="BO63" s="1">
        <v>1</v>
      </c>
      <c r="BP63" s="1">
        <v>1</v>
      </c>
      <c r="BQ63" s="4">
        <v>4</v>
      </c>
      <c r="BR63" s="4">
        <v>4</v>
      </c>
      <c r="BS63" s="56">
        <v>1</v>
      </c>
      <c r="BT63" s="56">
        <v>1</v>
      </c>
      <c r="BU63" s="56">
        <v>1</v>
      </c>
      <c r="BV63" s="56">
        <v>1</v>
      </c>
      <c r="BW63" s="56">
        <v>1</v>
      </c>
      <c r="BX63" s="56">
        <v>1</v>
      </c>
      <c r="BY63" s="4">
        <v>4</v>
      </c>
      <c r="BZ63" s="1">
        <v>4</v>
      </c>
      <c r="CA63" s="1">
        <v>4</v>
      </c>
      <c r="CB63" s="17">
        <v>4</v>
      </c>
      <c r="CC63" s="1">
        <v>4</v>
      </c>
      <c r="CD63" s="1">
        <v>4</v>
      </c>
      <c r="CE63" s="1">
        <v>4</v>
      </c>
      <c r="CF63" s="57">
        <v>4</v>
      </c>
      <c r="CG63" s="57">
        <v>4</v>
      </c>
      <c r="CH63" s="4">
        <v>4</v>
      </c>
      <c r="CI63" s="4">
        <v>4</v>
      </c>
      <c r="CJ63" s="4">
        <v>4</v>
      </c>
      <c r="CK63" s="17">
        <v>4</v>
      </c>
      <c r="CL63" s="17">
        <v>4</v>
      </c>
      <c r="CM63" s="17">
        <v>4</v>
      </c>
      <c r="CN63" s="57">
        <v>4</v>
      </c>
      <c r="CO63" s="17">
        <v>4</v>
      </c>
      <c r="CP63" s="17">
        <v>4</v>
      </c>
      <c r="CQ63" s="57">
        <v>4</v>
      </c>
      <c r="CR63" s="17">
        <v>4</v>
      </c>
      <c r="CS63" s="17">
        <v>4</v>
      </c>
      <c r="CT63" s="1">
        <v>1</v>
      </c>
      <c r="CU63" s="4">
        <v>4</v>
      </c>
      <c r="CV63" s="4">
        <v>4</v>
      </c>
      <c r="CW63" s="4">
        <v>2</v>
      </c>
      <c r="CX63" s="4">
        <v>4</v>
      </c>
      <c r="CY63" s="4">
        <v>4</v>
      </c>
      <c r="CZ63" s="4">
        <v>2</v>
      </c>
      <c r="DA63" s="17">
        <v>4</v>
      </c>
      <c r="DB63" s="1">
        <v>4</v>
      </c>
      <c r="DC63" s="1">
        <v>4</v>
      </c>
      <c r="DD63" s="1">
        <v>4</v>
      </c>
      <c r="DE63" s="17">
        <v>4</v>
      </c>
      <c r="DF63" s="57">
        <v>4</v>
      </c>
      <c r="DG63" s="4">
        <v>4</v>
      </c>
      <c r="DH63" s="1">
        <v>4</v>
      </c>
      <c r="DI63" s="4">
        <v>4</v>
      </c>
      <c r="DJ63" s="4">
        <v>4</v>
      </c>
      <c r="DK63" s="1">
        <v>4</v>
      </c>
      <c r="DL63" s="1">
        <v>4</v>
      </c>
      <c r="DM63" s="1">
        <v>4</v>
      </c>
      <c r="DN63" s="1">
        <v>4</v>
      </c>
      <c r="DO63" s="1">
        <v>4</v>
      </c>
      <c r="DP63" s="1">
        <v>4</v>
      </c>
      <c r="DQ63" s="1">
        <v>4</v>
      </c>
      <c r="DR63" s="1">
        <v>4</v>
      </c>
      <c r="DS63" s="1">
        <v>4</v>
      </c>
      <c r="DT63" s="1">
        <v>4</v>
      </c>
    </row>
    <row r="64" spans="1:125" x14ac:dyDescent="0.2">
      <c r="A64" t="s">
        <v>1073</v>
      </c>
      <c r="B64" s="1" t="s">
        <v>1410</v>
      </c>
      <c r="C64" s="1" t="s">
        <v>1246</v>
      </c>
      <c r="E64" s="62">
        <v>1</v>
      </c>
      <c r="F64" s="57">
        <v>4</v>
      </c>
      <c r="G64" s="56">
        <v>1</v>
      </c>
      <c r="H64" s="56">
        <v>1</v>
      </c>
      <c r="I64" s="1">
        <v>4</v>
      </c>
      <c r="J64" s="56">
        <v>1</v>
      </c>
      <c r="K64" s="4">
        <v>4</v>
      </c>
      <c r="L64" s="1">
        <v>1</v>
      </c>
      <c r="M64" s="1">
        <v>1</v>
      </c>
      <c r="N64" s="1">
        <v>4</v>
      </c>
      <c r="O64" s="4">
        <v>4</v>
      </c>
      <c r="P64" s="4">
        <v>4</v>
      </c>
      <c r="Q64" s="4">
        <v>4</v>
      </c>
      <c r="R64" s="1">
        <v>4</v>
      </c>
      <c r="S64" s="4">
        <v>1</v>
      </c>
      <c r="T64" s="4">
        <v>1</v>
      </c>
      <c r="U64" s="1">
        <v>4</v>
      </c>
      <c r="V64" s="57">
        <v>4</v>
      </c>
      <c r="W64" s="4">
        <v>1</v>
      </c>
      <c r="X64" s="4">
        <v>1</v>
      </c>
      <c r="Y64" s="1">
        <v>4</v>
      </c>
      <c r="Z64" s="4">
        <v>4</v>
      </c>
      <c r="AA64" s="4">
        <v>4</v>
      </c>
      <c r="AB64" s="4">
        <v>4</v>
      </c>
      <c r="AC64" s="57">
        <v>4</v>
      </c>
      <c r="AD64" s="1">
        <v>4</v>
      </c>
      <c r="AE64" s="1">
        <v>4</v>
      </c>
      <c r="AF64" s="4">
        <v>1</v>
      </c>
      <c r="AG64" s="4">
        <v>1</v>
      </c>
      <c r="AH64" s="4">
        <v>1</v>
      </c>
      <c r="AI64" s="1">
        <v>4</v>
      </c>
      <c r="AJ64" s="4">
        <v>2</v>
      </c>
      <c r="AK64" s="56">
        <v>1</v>
      </c>
      <c r="AL64" s="4">
        <v>4</v>
      </c>
      <c r="AM64" s="4">
        <v>4</v>
      </c>
      <c r="AN64" s="4">
        <v>3</v>
      </c>
      <c r="AO64" s="17">
        <v>4</v>
      </c>
      <c r="AP64" s="17">
        <v>4</v>
      </c>
      <c r="AQ64" s="17">
        <v>4</v>
      </c>
      <c r="AR64" s="17">
        <v>4</v>
      </c>
      <c r="AS64" s="17">
        <v>4</v>
      </c>
      <c r="AT64" s="17">
        <v>4</v>
      </c>
      <c r="AU64" s="17">
        <v>4</v>
      </c>
      <c r="AV64" s="57">
        <v>4</v>
      </c>
      <c r="AW64" s="17">
        <v>4</v>
      </c>
      <c r="AX64" s="17">
        <v>4</v>
      </c>
      <c r="AY64" s="4">
        <v>4</v>
      </c>
      <c r="AZ64" s="4">
        <v>4</v>
      </c>
      <c r="BA64" s="57">
        <v>4</v>
      </c>
      <c r="BB64" s="57">
        <v>4</v>
      </c>
      <c r="BC64" s="4">
        <v>1</v>
      </c>
      <c r="BD64" s="1">
        <v>1</v>
      </c>
      <c r="BE64" s="4">
        <v>4</v>
      </c>
      <c r="BF64" s="4">
        <v>1</v>
      </c>
      <c r="BG64" s="4">
        <v>1</v>
      </c>
      <c r="BH64" s="4">
        <v>4</v>
      </c>
      <c r="BI64" s="4">
        <v>1</v>
      </c>
      <c r="BJ64" s="4">
        <v>1</v>
      </c>
      <c r="BK64" s="1">
        <v>4</v>
      </c>
      <c r="BL64" s="4">
        <v>4</v>
      </c>
      <c r="BM64" s="4">
        <v>4</v>
      </c>
      <c r="BN64" s="4">
        <v>1</v>
      </c>
      <c r="BO64" s="4">
        <v>1</v>
      </c>
      <c r="BP64" s="1">
        <v>1</v>
      </c>
      <c r="BQ64" s="4">
        <v>4</v>
      </c>
      <c r="BR64" s="4">
        <v>4</v>
      </c>
      <c r="BS64" s="56">
        <v>1</v>
      </c>
      <c r="BT64" s="56">
        <v>1</v>
      </c>
      <c r="BU64" s="56">
        <v>1</v>
      </c>
      <c r="BV64" s="56">
        <v>1</v>
      </c>
      <c r="BW64" s="56">
        <v>1</v>
      </c>
      <c r="BX64" s="56">
        <v>1</v>
      </c>
      <c r="BY64" s="4">
        <v>4</v>
      </c>
      <c r="BZ64" s="17">
        <v>4</v>
      </c>
      <c r="CA64" s="1">
        <v>4</v>
      </c>
      <c r="CB64" s="17">
        <v>4</v>
      </c>
      <c r="CC64" s="17">
        <v>4</v>
      </c>
      <c r="CD64" s="17">
        <v>4</v>
      </c>
      <c r="CE64" s="1">
        <v>4</v>
      </c>
      <c r="CF64" s="57">
        <v>4</v>
      </c>
      <c r="CG64" s="57">
        <v>4</v>
      </c>
      <c r="CH64" s="4">
        <v>4</v>
      </c>
      <c r="CI64" s="4">
        <v>4</v>
      </c>
      <c r="CJ64" s="4">
        <v>4</v>
      </c>
      <c r="CK64" s="17">
        <v>4</v>
      </c>
      <c r="CL64" s="17">
        <v>4</v>
      </c>
      <c r="CM64" s="17">
        <v>4</v>
      </c>
      <c r="CN64" s="57">
        <v>4</v>
      </c>
      <c r="CO64" s="17">
        <v>4</v>
      </c>
      <c r="CP64" s="17">
        <v>4</v>
      </c>
      <c r="CQ64" s="57">
        <v>4</v>
      </c>
      <c r="CR64" s="17">
        <v>4</v>
      </c>
      <c r="CS64" s="17">
        <v>4</v>
      </c>
      <c r="CT64" s="1">
        <v>1</v>
      </c>
      <c r="CU64" s="17">
        <v>4</v>
      </c>
      <c r="CV64" s="17">
        <v>4</v>
      </c>
      <c r="CW64" s="17">
        <v>4</v>
      </c>
      <c r="CX64" s="17">
        <v>4</v>
      </c>
      <c r="CY64" s="17">
        <v>4</v>
      </c>
      <c r="CZ64" s="17">
        <v>4</v>
      </c>
      <c r="DA64" s="17">
        <v>4</v>
      </c>
      <c r="DB64" s="17">
        <v>4</v>
      </c>
      <c r="DC64" s="17">
        <v>4</v>
      </c>
      <c r="DD64" s="1">
        <v>4</v>
      </c>
      <c r="DE64" s="17">
        <v>4</v>
      </c>
      <c r="DF64" s="57">
        <v>4</v>
      </c>
      <c r="DG64" s="17">
        <v>4</v>
      </c>
      <c r="DH64" s="1">
        <v>4</v>
      </c>
      <c r="DI64" s="17">
        <v>4</v>
      </c>
      <c r="DJ64" s="17">
        <v>4</v>
      </c>
      <c r="DK64" s="1">
        <v>4</v>
      </c>
      <c r="DL64" s="1">
        <v>4</v>
      </c>
      <c r="DM64" s="1">
        <v>4</v>
      </c>
      <c r="DN64" s="1">
        <v>4</v>
      </c>
      <c r="DO64" s="1">
        <v>4</v>
      </c>
      <c r="DP64" s="1">
        <v>4</v>
      </c>
      <c r="DQ64" s="1">
        <v>4</v>
      </c>
      <c r="DR64" s="1">
        <v>4</v>
      </c>
      <c r="DS64" s="1">
        <v>4</v>
      </c>
      <c r="DT64" s="1">
        <v>4</v>
      </c>
    </row>
    <row r="65" spans="1:124" x14ac:dyDescent="0.2">
      <c r="A65" t="s">
        <v>546</v>
      </c>
      <c r="B65" s="1" t="s">
        <v>1410</v>
      </c>
      <c r="C65" s="1" t="s">
        <v>1246</v>
      </c>
      <c r="E65" s="62">
        <v>1</v>
      </c>
      <c r="F65" s="57">
        <v>4</v>
      </c>
      <c r="G65" s="56">
        <v>1</v>
      </c>
      <c r="H65" s="56">
        <v>1</v>
      </c>
      <c r="I65" s="1">
        <v>4</v>
      </c>
      <c r="J65" s="56">
        <v>1</v>
      </c>
      <c r="K65" s="4">
        <v>4</v>
      </c>
      <c r="L65" s="1">
        <v>1</v>
      </c>
      <c r="M65" s="1">
        <v>1</v>
      </c>
      <c r="N65" s="1">
        <v>4</v>
      </c>
      <c r="O65" s="4">
        <v>4</v>
      </c>
      <c r="P65" s="4">
        <v>4</v>
      </c>
      <c r="Q65" s="4">
        <v>4</v>
      </c>
      <c r="R65" s="1">
        <v>4</v>
      </c>
      <c r="S65" s="4">
        <v>1</v>
      </c>
      <c r="T65" s="4">
        <v>1</v>
      </c>
      <c r="U65" s="1">
        <v>4</v>
      </c>
      <c r="V65" s="57">
        <v>4</v>
      </c>
      <c r="W65" s="4">
        <v>4</v>
      </c>
      <c r="X65" s="4">
        <v>4</v>
      </c>
      <c r="Y65" s="1">
        <v>4</v>
      </c>
      <c r="Z65" s="4">
        <v>4</v>
      </c>
      <c r="AA65" s="4">
        <v>4</v>
      </c>
      <c r="AB65" s="4">
        <v>4</v>
      </c>
      <c r="AC65" s="57">
        <v>4</v>
      </c>
      <c r="AD65" s="1">
        <v>4</v>
      </c>
      <c r="AE65" s="1">
        <v>4</v>
      </c>
      <c r="AF65" s="4">
        <v>1</v>
      </c>
      <c r="AG65" s="4">
        <v>1</v>
      </c>
      <c r="AH65" s="4">
        <v>1</v>
      </c>
      <c r="AI65" s="1">
        <v>4</v>
      </c>
      <c r="AJ65" s="56">
        <v>1</v>
      </c>
      <c r="AK65" s="56">
        <v>1</v>
      </c>
      <c r="AL65" s="4">
        <v>4</v>
      </c>
      <c r="AM65" s="4">
        <v>4</v>
      </c>
      <c r="AN65" s="4">
        <v>4</v>
      </c>
      <c r="AO65" s="17">
        <v>4</v>
      </c>
      <c r="AP65" s="17">
        <v>4</v>
      </c>
      <c r="AQ65" s="17">
        <v>4</v>
      </c>
      <c r="AR65" s="17">
        <v>4</v>
      </c>
      <c r="AS65" s="17">
        <v>4</v>
      </c>
      <c r="AT65" s="17">
        <v>4</v>
      </c>
      <c r="AU65" s="17">
        <v>4</v>
      </c>
      <c r="AV65" s="57">
        <v>4</v>
      </c>
      <c r="AW65" s="17">
        <v>4</v>
      </c>
      <c r="AX65" s="17">
        <v>4</v>
      </c>
      <c r="AY65" s="4">
        <v>4</v>
      </c>
      <c r="AZ65" s="4">
        <v>4</v>
      </c>
      <c r="BA65" s="57">
        <v>4</v>
      </c>
      <c r="BB65" s="57">
        <v>4</v>
      </c>
      <c r="BC65" s="4">
        <v>2</v>
      </c>
      <c r="BD65" s="1">
        <v>1</v>
      </c>
      <c r="BE65" s="4">
        <v>4</v>
      </c>
      <c r="BF65" s="4">
        <v>1</v>
      </c>
      <c r="BG65" s="4">
        <v>1</v>
      </c>
      <c r="BH65" s="4">
        <v>4</v>
      </c>
      <c r="BI65" s="4">
        <v>4</v>
      </c>
      <c r="BJ65" s="4">
        <v>4</v>
      </c>
      <c r="BK65" s="1">
        <v>4</v>
      </c>
      <c r="BL65" s="4">
        <v>4</v>
      </c>
      <c r="BM65" s="4">
        <v>4</v>
      </c>
      <c r="BN65" s="4">
        <v>4</v>
      </c>
      <c r="BO65" s="4">
        <v>4</v>
      </c>
      <c r="BP65" s="4">
        <v>4</v>
      </c>
      <c r="BQ65" s="4">
        <v>4</v>
      </c>
      <c r="BR65" s="4">
        <v>4</v>
      </c>
      <c r="BS65" s="4">
        <v>4</v>
      </c>
      <c r="BT65" s="4">
        <v>4</v>
      </c>
      <c r="BU65" s="4">
        <v>4</v>
      </c>
      <c r="BV65" s="4">
        <v>4</v>
      </c>
      <c r="BW65" s="56">
        <v>1</v>
      </c>
      <c r="BX65" s="56">
        <v>1</v>
      </c>
      <c r="BY65" s="4">
        <v>4</v>
      </c>
      <c r="BZ65" s="4">
        <v>4</v>
      </c>
      <c r="CA65" s="1">
        <v>4</v>
      </c>
      <c r="CB65" s="17">
        <v>4</v>
      </c>
      <c r="CC65" s="4">
        <v>4</v>
      </c>
      <c r="CD65" s="4">
        <v>4</v>
      </c>
      <c r="CE65" s="1">
        <v>4</v>
      </c>
      <c r="CF65" s="57">
        <v>4</v>
      </c>
      <c r="CG65" s="57">
        <v>4</v>
      </c>
      <c r="CH65" s="4">
        <v>4</v>
      </c>
      <c r="CI65" s="4">
        <v>4</v>
      </c>
      <c r="CJ65" s="4">
        <v>4</v>
      </c>
      <c r="CK65" s="17">
        <v>4</v>
      </c>
      <c r="CL65" s="17">
        <v>4</v>
      </c>
      <c r="CM65" s="17">
        <v>4</v>
      </c>
      <c r="CN65" s="57">
        <v>4</v>
      </c>
      <c r="CO65" s="17">
        <v>4</v>
      </c>
      <c r="CP65" s="17">
        <v>4</v>
      </c>
      <c r="CQ65" s="57">
        <v>4</v>
      </c>
      <c r="CR65" s="17">
        <v>4</v>
      </c>
      <c r="CS65" s="17">
        <v>4</v>
      </c>
      <c r="CT65" s="1">
        <v>1</v>
      </c>
      <c r="CU65" s="4">
        <v>4</v>
      </c>
      <c r="CV65" s="4">
        <v>4</v>
      </c>
      <c r="CW65" s="17">
        <v>4</v>
      </c>
      <c r="CX65" s="4">
        <v>4</v>
      </c>
      <c r="CY65" s="4">
        <v>4</v>
      </c>
      <c r="CZ65" s="17">
        <v>4</v>
      </c>
      <c r="DA65" s="17">
        <v>4</v>
      </c>
      <c r="DB65" s="4">
        <v>4</v>
      </c>
      <c r="DC65" s="4">
        <v>4</v>
      </c>
      <c r="DD65" s="1">
        <v>4</v>
      </c>
      <c r="DE65" s="17">
        <v>4</v>
      </c>
      <c r="DF65" s="57">
        <v>4</v>
      </c>
      <c r="DG65" s="4">
        <v>4</v>
      </c>
      <c r="DH65" s="1">
        <v>4</v>
      </c>
      <c r="DI65" s="4">
        <v>4</v>
      </c>
      <c r="DJ65" s="4">
        <v>4</v>
      </c>
      <c r="DK65" s="1">
        <v>4</v>
      </c>
      <c r="DL65" s="1">
        <v>4</v>
      </c>
      <c r="DM65" s="1">
        <v>4</v>
      </c>
      <c r="DN65" s="1">
        <v>4</v>
      </c>
      <c r="DO65" s="1">
        <v>4</v>
      </c>
      <c r="DP65" s="1">
        <v>4</v>
      </c>
      <c r="DQ65" s="1">
        <v>4</v>
      </c>
      <c r="DR65" s="1">
        <v>4</v>
      </c>
      <c r="DS65" s="1">
        <v>4</v>
      </c>
      <c r="DT65" s="1">
        <v>4</v>
      </c>
    </row>
    <row r="66" spans="1:124" x14ac:dyDescent="0.2">
      <c r="A66" t="s">
        <v>98</v>
      </c>
      <c r="B66" s="1" t="s">
        <v>1410</v>
      </c>
      <c r="C66" s="1" t="s">
        <v>1246</v>
      </c>
      <c r="E66" s="62">
        <v>1</v>
      </c>
      <c r="F66" s="57">
        <v>4</v>
      </c>
      <c r="G66" s="56">
        <v>1</v>
      </c>
      <c r="H66" s="56">
        <v>1</v>
      </c>
      <c r="I66" s="1">
        <v>4</v>
      </c>
      <c r="J66" s="56">
        <v>1</v>
      </c>
      <c r="K66" s="4">
        <v>1</v>
      </c>
      <c r="L66" s="1">
        <v>1</v>
      </c>
      <c r="M66" s="1">
        <v>1</v>
      </c>
      <c r="N66" s="1">
        <v>4</v>
      </c>
      <c r="O66" s="4">
        <v>4</v>
      </c>
      <c r="P66" s="4">
        <v>4</v>
      </c>
      <c r="Q66" s="4">
        <v>4</v>
      </c>
      <c r="R66" s="1">
        <v>4</v>
      </c>
      <c r="S66" s="4">
        <v>1</v>
      </c>
      <c r="T66" s="4">
        <v>1</v>
      </c>
      <c r="U66" s="1">
        <v>4</v>
      </c>
      <c r="V66" s="57">
        <v>4</v>
      </c>
      <c r="W66" s="4">
        <v>3</v>
      </c>
      <c r="X66" s="4">
        <v>1</v>
      </c>
      <c r="Y66" s="1">
        <v>4</v>
      </c>
      <c r="Z66" s="4">
        <v>1</v>
      </c>
      <c r="AA66" s="4">
        <v>3</v>
      </c>
      <c r="AB66" s="4">
        <v>3</v>
      </c>
      <c r="AC66" s="57">
        <v>4</v>
      </c>
      <c r="AD66" s="4">
        <v>1</v>
      </c>
      <c r="AE66" s="4">
        <v>1</v>
      </c>
      <c r="AF66" s="4">
        <v>4</v>
      </c>
      <c r="AG66" s="4">
        <v>1</v>
      </c>
      <c r="AH66" s="4">
        <v>1</v>
      </c>
      <c r="AI66" s="1">
        <v>4</v>
      </c>
      <c r="AJ66" s="56">
        <v>1</v>
      </c>
      <c r="AK66" s="56">
        <v>1</v>
      </c>
      <c r="AL66" s="4">
        <v>1</v>
      </c>
      <c r="AM66" s="4">
        <v>1</v>
      </c>
      <c r="AN66" s="4">
        <v>4</v>
      </c>
      <c r="AO66" s="17">
        <v>4</v>
      </c>
      <c r="AP66" s="17">
        <v>1</v>
      </c>
      <c r="AQ66" s="17">
        <v>1</v>
      </c>
      <c r="AR66" s="17">
        <f>12/AP27</f>
        <v>3</v>
      </c>
      <c r="AS66" s="17">
        <v>1</v>
      </c>
      <c r="AT66" s="17">
        <v>1</v>
      </c>
      <c r="AU66" s="17">
        <v>1</v>
      </c>
      <c r="AV66" s="57">
        <v>4</v>
      </c>
      <c r="AW66" s="17">
        <f>12/AT27</f>
        <v>3</v>
      </c>
      <c r="AX66" s="17">
        <v>1</v>
      </c>
      <c r="AY66" s="4">
        <v>4</v>
      </c>
      <c r="AZ66" s="4">
        <v>4</v>
      </c>
      <c r="BA66" s="57">
        <v>4</v>
      </c>
      <c r="BB66" s="57">
        <v>4</v>
      </c>
      <c r="BC66" s="4">
        <v>1</v>
      </c>
      <c r="BD66" s="1">
        <v>1</v>
      </c>
      <c r="BE66" s="4">
        <v>4</v>
      </c>
      <c r="BF66" s="4">
        <v>4</v>
      </c>
      <c r="BG66" s="4">
        <v>4</v>
      </c>
      <c r="BH66" s="4">
        <v>1</v>
      </c>
      <c r="BI66" s="1">
        <v>1</v>
      </c>
      <c r="BJ66" s="1">
        <v>1</v>
      </c>
      <c r="BK66" s="1">
        <v>4</v>
      </c>
      <c r="BL66" s="4">
        <v>4</v>
      </c>
      <c r="BM66" s="4">
        <v>4</v>
      </c>
      <c r="BN66" s="4">
        <v>4</v>
      </c>
      <c r="BO66" s="4">
        <v>4</v>
      </c>
      <c r="BP66" s="4">
        <v>4</v>
      </c>
      <c r="BQ66" s="4">
        <v>4</v>
      </c>
      <c r="BR66" s="4">
        <v>4</v>
      </c>
      <c r="BS66" s="4">
        <v>4</v>
      </c>
      <c r="BT66" s="4">
        <v>4</v>
      </c>
      <c r="BU66" s="4">
        <v>4</v>
      </c>
      <c r="BV66" s="4">
        <v>4</v>
      </c>
      <c r="BW66" s="56">
        <v>1</v>
      </c>
      <c r="BX66" s="56">
        <v>1</v>
      </c>
      <c r="BY66" s="4">
        <v>4</v>
      </c>
      <c r="BZ66" s="4">
        <v>4</v>
      </c>
      <c r="CA66" s="1">
        <v>4</v>
      </c>
      <c r="CB66" s="4">
        <v>4</v>
      </c>
      <c r="CC66" s="4">
        <v>4</v>
      </c>
      <c r="CD66" s="4">
        <v>4</v>
      </c>
      <c r="CE66" s="1">
        <v>4</v>
      </c>
      <c r="CF66" s="57">
        <v>4</v>
      </c>
      <c r="CG66" s="57">
        <v>4</v>
      </c>
      <c r="CH66" s="4">
        <v>4</v>
      </c>
      <c r="CI66" s="4">
        <v>4</v>
      </c>
      <c r="CJ66" s="4">
        <v>4</v>
      </c>
      <c r="CK66" s="17">
        <v>4</v>
      </c>
      <c r="CL66" s="4">
        <v>1</v>
      </c>
      <c r="CM66" s="4">
        <v>1</v>
      </c>
      <c r="CN66" s="57">
        <v>4</v>
      </c>
      <c r="CO66" s="4">
        <v>1</v>
      </c>
      <c r="CP66" s="4">
        <v>1</v>
      </c>
      <c r="CQ66" s="57">
        <v>4</v>
      </c>
      <c r="CR66" s="17">
        <v>4</v>
      </c>
      <c r="CS66" s="17">
        <v>4</v>
      </c>
      <c r="CT66" s="17">
        <v>4</v>
      </c>
      <c r="CU66" s="4">
        <v>1</v>
      </c>
      <c r="CV66" s="4">
        <v>1</v>
      </c>
      <c r="CW66" s="17">
        <v>4</v>
      </c>
      <c r="CX66" s="4">
        <v>1</v>
      </c>
      <c r="CY66" s="4">
        <v>1</v>
      </c>
      <c r="CZ66" s="17">
        <v>4</v>
      </c>
      <c r="DA66" s="17">
        <v>4</v>
      </c>
      <c r="DB66" s="4">
        <v>4</v>
      </c>
      <c r="DC66" s="4">
        <v>4</v>
      </c>
      <c r="DD66" s="1">
        <v>4</v>
      </c>
      <c r="DE66" s="17">
        <v>4</v>
      </c>
      <c r="DF66" s="57">
        <v>4</v>
      </c>
      <c r="DG66" s="4">
        <v>4</v>
      </c>
      <c r="DH66" s="1">
        <v>4</v>
      </c>
      <c r="DI66" s="4">
        <v>4</v>
      </c>
      <c r="DJ66" s="4">
        <v>4</v>
      </c>
      <c r="DK66" s="1">
        <v>4</v>
      </c>
      <c r="DL66" s="1">
        <v>4</v>
      </c>
      <c r="DM66" s="1">
        <v>4</v>
      </c>
      <c r="DN66" s="1">
        <v>4</v>
      </c>
      <c r="DO66" s="1">
        <v>4</v>
      </c>
      <c r="DP66" s="1">
        <v>4</v>
      </c>
      <c r="DQ66" s="1">
        <v>4</v>
      </c>
      <c r="DR66" s="1">
        <v>4</v>
      </c>
      <c r="DS66" s="1">
        <v>4</v>
      </c>
      <c r="DT66" s="1">
        <v>4</v>
      </c>
    </row>
    <row r="67" spans="1:124" x14ac:dyDescent="0.2">
      <c r="A67" t="s">
        <v>100</v>
      </c>
      <c r="B67" s="1" t="s">
        <v>1410</v>
      </c>
      <c r="C67" s="1" t="s">
        <v>1246</v>
      </c>
      <c r="E67" s="62">
        <v>1</v>
      </c>
      <c r="F67" s="57">
        <v>4</v>
      </c>
      <c r="G67" s="56">
        <v>1</v>
      </c>
      <c r="H67" s="56">
        <v>1</v>
      </c>
      <c r="I67" s="1">
        <v>4</v>
      </c>
      <c r="J67" s="56">
        <v>1</v>
      </c>
      <c r="K67" s="4">
        <v>4</v>
      </c>
      <c r="L67" s="1">
        <v>1</v>
      </c>
      <c r="M67" s="1">
        <v>1</v>
      </c>
      <c r="N67" s="1">
        <v>4</v>
      </c>
      <c r="O67" s="4">
        <v>4</v>
      </c>
      <c r="P67" s="4">
        <v>4</v>
      </c>
      <c r="Q67" s="4">
        <v>4</v>
      </c>
      <c r="R67" s="1">
        <v>4</v>
      </c>
      <c r="S67" s="4">
        <v>1</v>
      </c>
      <c r="T67" s="4">
        <v>1</v>
      </c>
      <c r="U67" s="1">
        <v>4</v>
      </c>
      <c r="V67" s="57">
        <v>4</v>
      </c>
      <c r="W67" s="4">
        <v>4</v>
      </c>
      <c r="X67" s="4">
        <v>4</v>
      </c>
      <c r="Y67" s="1">
        <v>4</v>
      </c>
      <c r="Z67" s="4">
        <v>4</v>
      </c>
      <c r="AA67" s="4">
        <v>4</v>
      </c>
      <c r="AB67" s="4">
        <v>4</v>
      </c>
      <c r="AC67" s="57">
        <v>4</v>
      </c>
      <c r="AD67" s="1">
        <v>4</v>
      </c>
      <c r="AE67" s="1">
        <v>4</v>
      </c>
      <c r="AF67" s="4">
        <v>1</v>
      </c>
      <c r="AG67" s="4">
        <v>1</v>
      </c>
      <c r="AH67" s="4">
        <v>1</v>
      </c>
      <c r="AI67" s="1">
        <v>4</v>
      </c>
      <c r="AJ67" s="56">
        <v>1</v>
      </c>
      <c r="AK67" s="56">
        <v>1</v>
      </c>
      <c r="AL67" s="4">
        <v>4</v>
      </c>
      <c r="AM67" s="4">
        <v>4</v>
      </c>
      <c r="AN67" s="4">
        <v>4</v>
      </c>
      <c r="AO67" s="17">
        <v>4</v>
      </c>
      <c r="AP67" s="17">
        <v>4</v>
      </c>
      <c r="AQ67" s="17">
        <v>4</v>
      </c>
      <c r="AR67" s="17">
        <v>4</v>
      </c>
      <c r="AS67" s="17">
        <v>4</v>
      </c>
      <c r="AT67" s="17">
        <v>4</v>
      </c>
      <c r="AU67" s="17">
        <v>4</v>
      </c>
      <c r="AV67" s="57">
        <v>4</v>
      </c>
      <c r="AW67" s="17">
        <v>4</v>
      </c>
      <c r="AX67" s="17">
        <v>4</v>
      </c>
      <c r="AY67" s="4">
        <v>4</v>
      </c>
      <c r="AZ67" s="4">
        <v>4</v>
      </c>
      <c r="BA67" s="57">
        <v>4</v>
      </c>
      <c r="BB67" s="57">
        <v>4</v>
      </c>
      <c r="BC67" s="4">
        <v>1</v>
      </c>
      <c r="BD67" s="1">
        <v>1</v>
      </c>
      <c r="BE67" s="4">
        <v>4</v>
      </c>
      <c r="BF67" s="4">
        <v>1</v>
      </c>
      <c r="BG67" s="4">
        <v>1</v>
      </c>
      <c r="BH67" s="4">
        <v>4</v>
      </c>
      <c r="BI67" s="1">
        <v>1</v>
      </c>
      <c r="BJ67" s="1">
        <v>1</v>
      </c>
      <c r="BK67" s="1">
        <v>4</v>
      </c>
      <c r="BL67" s="4">
        <v>4</v>
      </c>
      <c r="BM67" s="4">
        <v>4</v>
      </c>
      <c r="BN67" s="4">
        <v>1</v>
      </c>
      <c r="BO67" s="4">
        <v>3</v>
      </c>
      <c r="BP67" s="4">
        <v>1</v>
      </c>
      <c r="BQ67" s="4">
        <v>4</v>
      </c>
      <c r="BR67" s="4">
        <v>4</v>
      </c>
      <c r="BS67" s="56">
        <v>1</v>
      </c>
      <c r="BT67" s="56">
        <v>1</v>
      </c>
      <c r="BU67" s="56">
        <v>1</v>
      </c>
      <c r="BV67" s="56">
        <v>1</v>
      </c>
      <c r="BW67" s="56">
        <v>1</v>
      </c>
      <c r="BX67" s="56">
        <v>1</v>
      </c>
      <c r="BY67" s="4">
        <v>4</v>
      </c>
      <c r="BZ67" s="4">
        <v>4</v>
      </c>
      <c r="CA67" s="1">
        <v>4</v>
      </c>
      <c r="CB67" s="17">
        <v>4</v>
      </c>
      <c r="CC67" s="4">
        <v>4</v>
      </c>
      <c r="CD67" s="4">
        <v>4</v>
      </c>
      <c r="CE67" s="1">
        <v>4</v>
      </c>
      <c r="CF67" s="57">
        <v>4</v>
      </c>
      <c r="CG67" s="57">
        <v>4</v>
      </c>
      <c r="CH67" s="4">
        <v>4</v>
      </c>
      <c r="CI67" s="4">
        <v>4</v>
      </c>
      <c r="CJ67" s="4">
        <v>4</v>
      </c>
      <c r="CK67" s="17">
        <v>4</v>
      </c>
      <c r="CL67" s="17">
        <v>4</v>
      </c>
      <c r="CM67" s="17">
        <v>4</v>
      </c>
      <c r="CN67" s="57">
        <v>4</v>
      </c>
      <c r="CO67" s="17">
        <v>4</v>
      </c>
      <c r="CP67" s="17">
        <v>4</v>
      </c>
      <c r="CQ67" s="57">
        <v>4</v>
      </c>
      <c r="CR67" s="17">
        <v>4</v>
      </c>
      <c r="CS67" s="17">
        <v>4</v>
      </c>
      <c r="CT67" s="4">
        <v>1</v>
      </c>
      <c r="CU67" s="4">
        <v>4</v>
      </c>
      <c r="CV67" s="4">
        <v>4</v>
      </c>
      <c r="CW67" s="17">
        <v>4</v>
      </c>
      <c r="CX67" s="4">
        <v>4</v>
      </c>
      <c r="CY67" s="4">
        <v>4</v>
      </c>
      <c r="CZ67" s="17">
        <v>4</v>
      </c>
      <c r="DA67" s="17">
        <v>4</v>
      </c>
      <c r="DB67" s="1">
        <v>4</v>
      </c>
      <c r="DC67" s="1">
        <v>4</v>
      </c>
      <c r="DD67" s="1">
        <v>4</v>
      </c>
      <c r="DE67" s="17">
        <v>4</v>
      </c>
      <c r="DF67" s="57">
        <v>4</v>
      </c>
      <c r="DG67" s="4">
        <v>4</v>
      </c>
      <c r="DH67" s="1">
        <v>4</v>
      </c>
      <c r="DI67" s="4">
        <v>4</v>
      </c>
      <c r="DJ67" s="4">
        <v>4</v>
      </c>
      <c r="DK67" s="1">
        <v>4</v>
      </c>
      <c r="DL67" s="1">
        <v>4</v>
      </c>
      <c r="DM67" s="1">
        <v>4</v>
      </c>
      <c r="DN67" s="1">
        <v>4</v>
      </c>
      <c r="DO67" s="1">
        <v>4</v>
      </c>
      <c r="DP67" s="1">
        <v>4</v>
      </c>
      <c r="DQ67" s="1">
        <v>4</v>
      </c>
      <c r="DR67" s="1">
        <v>4</v>
      </c>
      <c r="DS67" s="1">
        <v>4</v>
      </c>
      <c r="DT67" s="1">
        <v>4</v>
      </c>
    </row>
    <row r="68" spans="1:124" x14ac:dyDescent="0.2">
      <c r="A68" t="s">
        <v>101</v>
      </c>
      <c r="B68" s="1" t="s">
        <v>1410</v>
      </c>
      <c r="C68" s="1" t="s">
        <v>1246</v>
      </c>
      <c r="E68" s="62">
        <v>1</v>
      </c>
      <c r="F68" s="57">
        <v>4</v>
      </c>
      <c r="G68" s="56">
        <v>1</v>
      </c>
      <c r="H68" s="56">
        <v>1</v>
      </c>
      <c r="I68" s="1">
        <v>4</v>
      </c>
      <c r="J68" s="56">
        <v>1</v>
      </c>
      <c r="K68" s="4">
        <v>4</v>
      </c>
      <c r="L68" s="1">
        <v>1</v>
      </c>
      <c r="M68" s="1">
        <v>1</v>
      </c>
      <c r="N68" s="1">
        <v>4</v>
      </c>
      <c r="O68" s="4">
        <v>4</v>
      </c>
      <c r="P68" s="4">
        <v>4</v>
      </c>
      <c r="Q68" s="4">
        <v>4</v>
      </c>
      <c r="R68" s="1">
        <v>4</v>
      </c>
      <c r="S68" s="4">
        <v>1</v>
      </c>
      <c r="T68" s="4">
        <v>1</v>
      </c>
      <c r="U68" s="1">
        <v>4</v>
      </c>
      <c r="V68" s="57">
        <v>4</v>
      </c>
      <c r="W68" s="4">
        <v>4</v>
      </c>
      <c r="X68" s="4">
        <v>4</v>
      </c>
      <c r="Y68" s="1">
        <v>4</v>
      </c>
      <c r="Z68" s="4">
        <v>4</v>
      </c>
      <c r="AA68" s="4">
        <v>4</v>
      </c>
      <c r="AB68" s="4">
        <v>4</v>
      </c>
      <c r="AC68" s="57">
        <v>4</v>
      </c>
      <c r="AD68" s="1">
        <v>4</v>
      </c>
      <c r="AE68" s="1">
        <v>4</v>
      </c>
      <c r="AF68" s="4">
        <v>1</v>
      </c>
      <c r="AG68" s="4">
        <v>1</v>
      </c>
      <c r="AH68" s="4">
        <v>1</v>
      </c>
      <c r="AI68" s="1">
        <v>4</v>
      </c>
      <c r="AJ68" s="56">
        <v>1</v>
      </c>
      <c r="AK68" s="56">
        <v>1</v>
      </c>
      <c r="AL68" s="4">
        <v>4</v>
      </c>
      <c r="AM68" s="4">
        <v>4</v>
      </c>
      <c r="AN68" s="4">
        <v>4</v>
      </c>
      <c r="AO68" s="17">
        <v>4</v>
      </c>
      <c r="AP68" s="17">
        <v>4</v>
      </c>
      <c r="AQ68" s="17">
        <v>4</v>
      </c>
      <c r="AR68" s="17">
        <v>4</v>
      </c>
      <c r="AS68" s="17">
        <v>4</v>
      </c>
      <c r="AT68" s="17">
        <v>4</v>
      </c>
      <c r="AU68" s="17">
        <v>4</v>
      </c>
      <c r="AV68" s="57">
        <v>4</v>
      </c>
      <c r="AW68" s="17">
        <v>4</v>
      </c>
      <c r="AX68" s="17">
        <v>4</v>
      </c>
      <c r="AY68" s="4">
        <v>4</v>
      </c>
      <c r="AZ68" s="4">
        <v>4</v>
      </c>
      <c r="BA68" s="57">
        <v>4</v>
      </c>
      <c r="BB68" s="57">
        <v>4</v>
      </c>
      <c r="BC68" s="4">
        <v>1</v>
      </c>
      <c r="BD68" s="1">
        <v>1</v>
      </c>
      <c r="BE68" s="4">
        <v>4</v>
      </c>
      <c r="BF68" s="4">
        <v>1</v>
      </c>
      <c r="BG68" s="4">
        <v>1</v>
      </c>
      <c r="BH68" s="4">
        <v>4</v>
      </c>
      <c r="BI68" s="1">
        <v>1</v>
      </c>
      <c r="BJ68" s="1">
        <v>1</v>
      </c>
      <c r="BK68" s="1">
        <v>4</v>
      </c>
      <c r="BL68" s="4">
        <v>4</v>
      </c>
      <c r="BM68" s="4">
        <v>4</v>
      </c>
      <c r="BN68" s="4">
        <v>1</v>
      </c>
      <c r="BO68" s="4">
        <v>3</v>
      </c>
      <c r="BP68" s="4">
        <v>1</v>
      </c>
      <c r="BQ68" s="4">
        <v>4</v>
      </c>
      <c r="BR68" s="4">
        <v>4</v>
      </c>
      <c r="BS68" s="56">
        <v>1</v>
      </c>
      <c r="BT68" s="56">
        <v>1</v>
      </c>
      <c r="BU68" s="56">
        <v>1</v>
      </c>
      <c r="BV68" s="56">
        <v>1</v>
      </c>
      <c r="BW68" s="56">
        <v>1</v>
      </c>
      <c r="BX68" s="56">
        <v>1</v>
      </c>
      <c r="BY68" s="4">
        <v>4</v>
      </c>
      <c r="BZ68" s="4">
        <v>4</v>
      </c>
      <c r="CA68" s="1">
        <v>4</v>
      </c>
      <c r="CB68" s="17">
        <v>4</v>
      </c>
      <c r="CC68" s="4">
        <v>4</v>
      </c>
      <c r="CD68" s="4">
        <v>4</v>
      </c>
      <c r="CE68" s="1">
        <v>4</v>
      </c>
      <c r="CF68" s="57">
        <v>4</v>
      </c>
      <c r="CG68" s="57">
        <v>4</v>
      </c>
      <c r="CH68" s="4">
        <v>4</v>
      </c>
      <c r="CI68" s="4">
        <v>4</v>
      </c>
      <c r="CJ68" s="4">
        <v>4</v>
      </c>
      <c r="CK68" s="17">
        <v>4</v>
      </c>
      <c r="CL68" s="17">
        <v>4</v>
      </c>
      <c r="CM68" s="17">
        <v>4</v>
      </c>
      <c r="CN68" s="57">
        <v>4</v>
      </c>
      <c r="CO68" s="17">
        <v>4</v>
      </c>
      <c r="CP68" s="17">
        <v>4</v>
      </c>
      <c r="CQ68" s="57">
        <v>4</v>
      </c>
      <c r="CR68" s="17">
        <v>4</v>
      </c>
      <c r="CS68" s="17">
        <v>4</v>
      </c>
      <c r="CT68" s="4">
        <v>1</v>
      </c>
      <c r="CU68" s="4">
        <v>4</v>
      </c>
      <c r="CV68" s="4">
        <v>4</v>
      </c>
      <c r="CW68" s="17">
        <v>4</v>
      </c>
      <c r="CX68" s="4">
        <v>4</v>
      </c>
      <c r="CY68" s="4">
        <v>4</v>
      </c>
      <c r="CZ68" s="17">
        <v>4</v>
      </c>
      <c r="DA68" s="17">
        <v>4</v>
      </c>
      <c r="DB68" s="1">
        <v>4</v>
      </c>
      <c r="DC68" s="1">
        <v>4</v>
      </c>
      <c r="DD68" s="1">
        <v>4</v>
      </c>
      <c r="DE68" s="17">
        <v>4</v>
      </c>
      <c r="DF68" s="57">
        <v>4</v>
      </c>
      <c r="DG68" s="4">
        <v>4</v>
      </c>
      <c r="DH68" s="1">
        <v>4</v>
      </c>
      <c r="DI68" s="4">
        <v>4</v>
      </c>
      <c r="DJ68" s="4">
        <v>4</v>
      </c>
      <c r="DK68" s="1">
        <v>4</v>
      </c>
      <c r="DL68" s="1">
        <v>4</v>
      </c>
      <c r="DM68" s="1">
        <v>4</v>
      </c>
      <c r="DN68" s="1">
        <v>4</v>
      </c>
      <c r="DO68" s="1">
        <v>4</v>
      </c>
      <c r="DP68" s="1">
        <v>4</v>
      </c>
      <c r="DQ68" s="1">
        <v>4</v>
      </c>
      <c r="DR68" s="1">
        <v>4</v>
      </c>
      <c r="DS68" s="1">
        <v>4</v>
      </c>
      <c r="DT68" s="1">
        <v>4</v>
      </c>
    </row>
    <row r="69" spans="1:124" x14ac:dyDescent="0.2">
      <c r="A69" t="s">
        <v>102</v>
      </c>
      <c r="B69" s="1" t="s">
        <v>1410</v>
      </c>
      <c r="C69" s="1" t="s">
        <v>1246</v>
      </c>
      <c r="E69" s="62">
        <v>1</v>
      </c>
      <c r="F69" s="57">
        <v>4</v>
      </c>
      <c r="G69" s="56">
        <v>1</v>
      </c>
      <c r="H69" s="56">
        <v>1</v>
      </c>
      <c r="I69" s="1">
        <v>4</v>
      </c>
      <c r="J69" s="56">
        <v>1</v>
      </c>
      <c r="K69" s="4">
        <v>4</v>
      </c>
      <c r="L69" s="1">
        <v>1</v>
      </c>
      <c r="M69" s="1">
        <v>1</v>
      </c>
      <c r="N69" s="1">
        <v>4</v>
      </c>
      <c r="O69" s="4">
        <v>4</v>
      </c>
      <c r="P69" s="4">
        <v>4</v>
      </c>
      <c r="Q69" s="4">
        <v>4</v>
      </c>
      <c r="R69" s="1">
        <v>4</v>
      </c>
      <c r="S69" s="4">
        <v>1</v>
      </c>
      <c r="T69" s="4">
        <v>1</v>
      </c>
      <c r="U69" s="1">
        <v>4</v>
      </c>
      <c r="V69" s="57">
        <v>4</v>
      </c>
      <c r="W69" s="4">
        <v>4</v>
      </c>
      <c r="X69" s="4">
        <v>4</v>
      </c>
      <c r="Y69" s="1">
        <v>4</v>
      </c>
      <c r="Z69" s="4">
        <v>4</v>
      </c>
      <c r="AA69" s="4">
        <v>4</v>
      </c>
      <c r="AB69" s="4">
        <v>4</v>
      </c>
      <c r="AC69" s="57">
        <v>4</v>
      </c>
      <c r="AD69" s="1">
        <v>4</v>
      </c>
      <c r="AE69" s="1">
        <v>4</v>
      </c>
      <c r="AF69" s="4">
        <v>1</v>
      </c>
      <c r="AG69" s="4">
        <v>1</v>
      </c>
      <c r="AH69" s="4">
        <v>1</v>
      </c>
      <c r="AI69" s="1">
        <v>4</v>
      </c>
      <c r="AJ69" s="56">
        <v>1</v>
      </c>
      <c r="AK69" s="56">
        <v>1</v>
      </c>
      <c r="AL69" s="4">
        <v>4</v>
      </c>
      <c r="AM69" s="4">
        <v>4</v>
      </c>
      <c r="AN69" s="4">
        <v>4</v>
      </c>
      <c r="AO69" s="17">
        <v>4</v>
      </c>
      <c r="AP69" s="17">
        <v>4</v>
      </c>
      <c r="AQ69" s="17">
        <v>4</v>
      </c>
      <c r="AR69" s="17">
        <v>4</v>
      </c>
      <c r="AS69" s="17">
        <v>4</v>
      </c>
      <c r="AT69" s="17">
        <v>4</v>
      </c>
      <c r="AU69" s="17">
        <v>4</v>
      </c>
      <c r="AV69" s="57">
        <v>4</v>
      </c>
      <c r="AW69" s="17">
        <v>4</v>
      </c>
      <c r="AX69" s="17">
        <v>4</v>
      </c>
      <c r="AY69" s="4">
        <v>4</v>
      </c>
      <c r="AZ69" s="4">
        <v>4</v>
      </c>
      <c r="BA69" s="57">
        <v>4</v>
      </c>
      <c r="BB69" s="57">
        <v>4</v>
      </c>
      <c r="BC69" s="4">
        <v>1</v>
      </c>
      <c r="BD69" s="1">
        <v>1</v>
      </c>
      <c r="BE69" s="4">
        <v>4</v>
      </c>
      <c r="BF69" s="4">
        <v>1</v>
      </c>
      <c r="BG69" s="4">
        <v>1</v>
      </c>
      <c r="BH69" s="4">
        <v>4</v>
      </c>
      <c r="BI69" s="1">
        <v>1</v>
      </c>
      <c r="BJ69" s="1">
        <v>1</v>
      </c>
      <c r="BK69" s="1">
        <v>4</v>
      </c>
      <c r="BL69" s="4">
        <v>4</v>
      </c>
      <c r="BM69" s="4">
        <v>4</v>
      </c>
      <c r="BN69" s="4">
        <v>1</v>
      </c>
      <c r="BO69" s="4">
        <v>3</v>
      </c>
      <c r="BP69" s="4">
        <v>1</v>
      </c>
      <c r="BQ69" s="4">
        <v>4</v>
      </c>
      <c r="BR69" s="4">
        <v>4</v>
      </c>
      <c r="BS69" s="56">
        <v>1</v>
      </c>
      <c r="BT69" s="56">
        <v>1</v>
      </c>
      <c r="BU69" s="56">
        <v>1</v>
      </c>
      <c r="BV69" s="56">
        <v>1</v>
      </c>
      <c r="BW69" s="56">
        <v>1</v>
      </c>
      <c r="BX69" s="56">
        <v>1</v>
      </c>
      <c r="BY69" s="4">
        <v>4</v>
      </c>
      <c r="BZ69" s="4">
        <v>4</v>
      </c>
      <c r="CA69" s="1">
        <v>4</v>
      </c>
      <c r="CB69" s="17">
        <v>4</v>
      </c>
      <c r="CC69" s="4">
        <v>4</v>
      </c>
      <c r="CD69" s="4">
        <v>4</v>
      </c>
      <c r="CE69" s="1">
        <v>4</v>
      </c>
      <c r="CF69" s="57">
        <v>4</v>
      </c>
      <c r="CG69" s="57">
        <v>4</v>
      </c>
      <c r="CH69" s="4">
        <v>4</v>
      </c>
      <c r="CI69" s="4">
        <v>4</v>
      </c>
      <c r="CJ69" s="4">
        <v>4</v>
      </c>
      <c r="CK69" s="17">
        <v>4</v>
      </c>
      <c r="CL69" s="17">
        <v>4</v>
      </c>
      <c r="CM69" s="17">
        <v>4</v>
      </c>
      <c r="CN69" s="57">
        <v>4</v>
      </c>
      <c r="CO69" s="17">
        <v>4</v>
      </c>
      <c r="CP69" s="17">
        <v>4</v>
      </c>
      <c r="CQ69" s="57">
        <v>4</v>
      </c>
      <c r="CR69" s="17">
        <v>4</v>
      </c>
      <c r="CS69" s="17">
        <v>4</v>
      </c>
      <c r="CT69" s="4">
        <v>1</v>
      </c>
      <c r="CU69" s="4">
        <v>4</v>
      </c>
      <c r="CV69" s="4">
        <v>4</v>
      </c>
      <c r="CW69" s="17">
        <v>4</v>
      </c>
      <c r="CX69" s="4">
        <v>4</v>
      </c>
      <c r="CY69" s="4">
        <v>4</v>
      </c>
      <c r="CZ69" s="17">
        <v>4</v>
      </c>
      <c r="DA69" s="17">
        <v>4</v>
      </c>
      <c r="DB69" s="1">
        <v>4</v>
      </c>
      <c r="DC69" s="1">
        <v>4</v>
      </c>
      <c r="DD69" s="1">
        <v>4</v>
      </c>
      <c r="DE69" s="17">
        <v>4</v>
      </c>
      <c r="DF69" s="57">
        <v>4</v>
      </c>
      <c r="DG69" s="4">
        <v>4</v>
      </c>
      <c r="DH69" s="1">
        <v>4</v>
      </c>
      <c r="DI69" s="4">
        <v>4</v>
      </c>
      <c r="DJ69" s="4">
        <v>4</v>
      </c>
      <c r="DK69" s="1">
        <v>4</v>
      </c>
      <c r="DL69" s="1">
        <v>4</v>
      </c>
      <c r="DM69" s="1">
        <v>4</v>
      </c>
      <c r="DN69" s="1">
        <v>4</v>
      </c>
      <c r="DO69" s="1">
        <v>4</v>
      </c>
      <c r="DP69" s="1">
        <v>4</v>
      </c>
      <c r="DQ69" s="1">
        <v>4</v>
      </c>
      <c r="DR69" s="1">
        <v>4</v>
      </c>
      <c r="DS69" s="1">
        <v>4</v>
      </c>
      <c r="DT69" s="1">
        <v>4</v>
      </c>
    </row>
    <row r="70" spans="1:124" x14ac:dyDescent="0.2">
      <c r="A70" t="s">
        <v>104</v>
      </c>
      <c r="B70" s="1" t="s">
        <v>1410</v>
      </c>
      <c r="C70" s="1" t="s">
        <v>1246</v>
      </c>
      <c r="E70" s="62">
        <v>1</v>
      </c>
      <c r="F70" s="57">
        <v>4</v>
      </c>
      <c r="G70" s="56">
        <v>1</v>
      </c>
      <c r="H70" s="56">
        <v>1</v>
      </c>
      <c r="I70" s="1">
        <v>4</v>
      </c>
      <c r="J70" s="56">
        <v>1</v>
      </c>
      <c r="K70" s="4">
        <v>4</v>
      </c>
      <c r="L70" s="1">
        <v>1</v>
      </c>
      <c r="M70" s="1">
        <v>1</v>
      </c>
      <c r="N70" s="1">
        <v>4</v>
      </c>
      <c r="O70" s="1">
        <v>4</v>
      </c>
      <c r="P70" s="1">
        <v>4</v>
      </c>
      <c r="Q70" s="1">
        <v>4</v>
      </c>
      <c r="R70" s="1">
        <v>4</v>
      </c>
      <c r="S70" s="4">
        <v>1</v>
      </c>
      <c r="T70" s="4">
        <v>1</v>
      </c>
      <c r="U70" s="1">
        <v>4</v>
      </c>
      <c r="V70" s="57">
        <v>4</v>
      </c>
      <c r="W70" s="1">
        <v>2</v>
      </c>
      <c r="X70" s="1">
        <v>2</v>
      </c>
      <c r="Y70" s="1">
        <v>4</v>
      </c>
      <c r="Z70" s="4">
        <v>4</v>
      </c>
      <c r="AA70" s="4">
        <v>4</v>
      </c>
      <c r="AB70" s="4">
        <v>4</v>
      </c>
      <c r="AC70" s="57">
        <v>4</v>
      </c>
      <c r="AD70" s="1">
        <v>4</v>
      </c>
      <c r="AE70" s="1">
        <v>4</v>
      </c>
      <c r="AF70" s="4">
        <v>1</v>
      </c>
      <c r="AG70" s="4">
        <v>1</v>
      </c>
      <c r="AH70" s="4">
        <v>1</v>
      </c>
      <c r="AI70" s="1">
        <v>4</v>
      </c>
      <c r="AJ70" s="1">
        <v>3</v>
      </c>
      <c r="AK70" s="56">
        <v>1</v>
      </c>
      <c r="AL70" s="4">
        <v>4</v>
      </c>
      <c r="AM70" s="4">
        <v>4</v>
      </c>
      <c r="AN70" s="4">
        <v>3</v>
      </c>
      <c r="AO70" s="17">
        <v>4</v>
      </c>
      <c r="AP70" s="17">
        <v>4</v>
      </c>
      <c r="AQ70" s="17">
        <v>4</v>
      </c>
      <c r="AR70" s="17">
        <v>4</v>
      </c>
      <c r="AS70" s="17">
        <v>4</v>
      </c>
      <c r="AT70" s="17">
        <v>4</v>
      </c>
      <c r="AU70" s="17">
        <v>4</v>
      </c>
      <c r="AV70" s="57">
        <v>4</v>
      </c>
      <c r="AW70" s="17">
        <v>4</v>
      </c>
      <c r="AX70" s="17">
        <v>4</v>
      </c>
      <c r="AY70" s="4">
        <v>4</v>
      </c>
      <c r="AZ70" s="4">
        <v>4</v>
      </c>
      <c r="BA70" s="57">
        <v>4</v>
      </c>
      <c r="BB70" s="57">
        <v>4</v>
      </c>
      <c r="BC70" s="1">
        <v>1</v>
      </c>
      <c r="BD70" s="1">
        <v>1</v>
      </c>
      <c r="BE70" s="4">
        <v>4</v>
      </c>
      <c r="BF70" s="1">
        <v>1</v>
      </c>
      <c r="BG70" s="1">
        <v>4</v>
      </c>
      <c r="BH70" s="4">
        <v>4</v>
      </c>
      <c r="BI70" s="1">
        <v>1</v>
      </c>
      <c r="BJ70" s="1">
        <v>1</v>
      </c>
      <c r="BK70" s="1">
        <v>4</v>
      </c>
      <c r="BL70" s="4">
        <v>4</v>
      </c>
      <c r="BM70" s="4">
        <v>4</v>
      </c>
      <c r="BN70" s="4">
        <v>1</v>
      </c>
      <c r="BO70" s="1">
        <v>1</v>
      </c>
      <c r="BP70" s="1">
        <v>1</v>
      </c>
      <c r="BQ70" s="4">
        <v>4</v>
      </c>
      <c r="BR70" s="4">
        <v>4</v>
      </c>
      <c r="BS70" s="56">
        <v>1</v>
      </c>
      <c r="BT70" s="56">
        <v>1</v>
      </c>
      <c r="BU70" s="56">
        <v>1</v>
      </c>
      <c r="BV70" s="56">
        <v>1</v>
      </c>
      <c r="BW70" s="56">
        <v>1</v>
      </c>
      <c r="BX70" s="56">
        <v>1</v>
      </c>
      <c r="BY70" s="4">
        <v>4</v>
      </c>
      <c r="BZ70" s="1">
        <v>4</v>
      </c>
      <c r="CA70" s="1">
        <v>4</v>
      </c>
      <c r="CB70" s="17">
        <v>4</v>
      </c>
      <c r="CC70" s="1">
        <v>4</v>
      </c>
      <c r="CD70" s="1">
        <v>4</v>
      </c>
      <c r="CE70" s="1">
        <v>4</v>
      </c>
      <c r="CF70" s="57">
        <v>4</v>
      </c>
      <c r="CG70" s="57">
        <v>4</v>
      </c>
      <c r="CH70" s="4">
        <v>4</v>
      </c>
      <c r="CI70" s="4">
        <v>4</v>
      </c>
      <c r="CJ70" s="4">
        <v>4</v>
      </c>
      <c r="CK70" s="17">
        <v>4</v>
      </c>
      <c r="CL70" s="17">
        <v>4</v>
      </c>
      <c r="CM70" s="17">
        <v>4</v>
      </c>
      <c r="CN70" s="57">
        <v>4</v>
      </c>
      <c r="CO70" s="17">
        <v>4</v>
      </c>
      <c r="CP70" s="17">
        <v>4</v>
      </c>
      <c r="CQ70" s="57">
        <v>4</v>
      </c>
      <c r="CR70" s="17">
        <v>4</v>
      </c>
      <c r="CS70" s="17">
        <v>4</v>
      </c>
      <c r="CT70" s="4">
        <v>2</v>
      </c>
      <c r="CU70" s="4">
        <v>4</v>
      </c>
      <c r="CV70" s="4">
        <v>4</v>
      </c>
      <c r="CW70" s="4">
        <v>2</v>
      </c>
      <c r="CX70" s="4">
        <v>4</v>
      </c>
      <c r="CY70" s="4">
        <v>4</v>
      </c>
      <c r="CZ70" s="4">
        <v>2</v>
      </c>
      <c r="DA70" s="17">
        <v>4</v>
      </c>
      <c r="DB70" s="1">
        <v>4</v>
      </c>
      <c r="DC70" s="1">
        <v>4</v>
      </c>
      <c r="DD70" s="1">
        <v>4</v>
      </c>
      <c r="DE70" s="17">
        <v>4</v>
      </c>
      <c r="DF70" s="57">
        <v>4</v>
      </c>
      <c r="DG70" s="4">
        <v>4</v>
      </c>
      <c r="DH70" s="1">
        <v>4</v>
      </c>
      <c r="DI70" s="4">
        <v>4</v>
      </c>
      <c r="DJ70" s="4">
        <v>4</v>
      </c>
      <c r="DK70" s="1">
        <v>4</v>
      </c>
      <c r="DL70" s="1">
        <v>4</v>
      </c>
      <c r="DM70" s="1">
        <v>4</v>
      </c>
      <c r="DN70" s="1">
        <v>4</v>
      </c>
      <c r="DO70" s="1">
        <v>4</v>
      </c>
      <c r="DP70" s="1">
        <v>4</v>
      </c>
      <c r="DQ70" s="1">
        <v>4</v>
      </c>
      <c r="DR70" s="1">
        <v>4</v>
      </c>
      <c r="DS70" s="1">
        <v>4</v>
      </c>
      <c r="DT70" s="1">
        <v>4</v>
      </c>
    </row>
    <row r="71" spans="1:124" x14ac:dyDescent="0.2">
      <c r="A71" t="s">
        <v>105</v>
      </c>
      <c r="B71" s="1" t="s">
        <v>1410</v>
      </c>
      <c r="C71" s="1" t="s">
        <v>1246</v>
      </c>
      <c r="E71" s="62">
        <v>1</v>
      </c>
      <c r="F71" s="57">
        <v>4</v>
      </c>
      <c r="G71" s="1">
        <v>3</v>
      </c>
      <c r="H71" s="1">
        <v>3</v>
      </c>
      <c r="I71" s="1">
        <v>4</v>
      </c>
      <c r="J71" s="1">
        <v>3</v>
      </c>
      <c r="K71" s="4">
        <v>4</v>
      </c>
      <c r="L71" s="1">
        <v>3</v>
      </c>
      <c r="M71" s="1">
        <v>3</v>
      </c>
      <c r="N71" s="1">
        <v>4</v>
      </c>
      <c r="O71" s="1">
        <v>4</v>
      </c>
      <c r="P71" s="1">
        <v>4</v>
      </c>
      <c r="Q71" s="1">
        <v>4</v>
      </c>
      <c r="R71" s="1">
        <v>4</v>
      </c>
      <c r="S71" s="1">
        <v>3</v>
      </c>
      <c r="T71" s="1">
        <v>3</v>
      </c>
      <c r="U71" s="1">
        <v>4</v>
      </c>
      <c r="V71" s="57">
        <v>4</v>
      </c>
      <c r="W71" s="1">
        <v>2</v>
      </c>
      <c r="X71" s="1">
        <v>2</v>
      </c>
      <c r="Y71" s="1">
        <v>4</v>
      </c>
      <c r="Z71" s="4">
        <v>4</v>
      </c>
      <c r="AA71" s="4">
        <v>4</v>
      </c>
      <c r="AB71" s="4">
        <v>4</v>
      </c>
      <c r="AC71" s="57">
        <v>4</v>
      </c>
      <c r="AD71" s="1">
        <v>4</v>
      </c>
      <c r="AE71" s="1">
        <v>4</v>
      </c>
      <c r="AF71" s="4">
        <v>3</v>
      </c>
      <c r="AG71" s="1">
        <v>3</v>
      </c>
      <c r="AH71" s="1">
        <v>3</v>
      </c>
      <c r="AI71" s="1">
        <v>4</v>
      </c>
      <c r="AJ71" s="1">
        <v>3</v>
      </c>
      <c r="AK71" s="56">
        <v>1</v>
      </c>
      <c r="AL71" s="4">
        <v>4</v>
      </c>
      <c r="AM71" s="4">
        <v>4</v>
      </c>
      <c r="AN71" s="4">
        <v>3</v>
      </c>
      <c r="AO71" s="17">
        <v>4</v>
      </c>
      <c r="AP71" s="17">
        <v>4</v>
      </c>
      <c r="AQ71" s="17">
        <v>4</v>
      </c>
      <c r="AR71" s="17">
        <v>4</v>
      </c>
      <c r="AS71" s="17">
        <v>4</v>
      </c>
      <c r="AT71" s="17">
        <v>4</v>
      </c>
      <c r="AU71" s="17">
        <v>4</v>
      </c>
      <c r="AV71" s="57">
        <v>4</v>
      </c>
      <c r="AW71" s="17">
        <v>4</v>
      </c>
      <c r="AX71" s="17">
        <v>4</v>
      </c>
      <c r="AY71" s="4">
        <v>4</v>
      </c>
      <c r="AZ71" s="4">
        <v>4</v>
      </c>
      <c r="BA71" s="57">
        <v>4</v>
      </c>
      <c r="BB71" s="57">
        <v>4</v>
      </c>
      <c r="BC71" s="1">
        <v>3</v>
      </c>
      <c r="BD71" s="1">
        <v>3</v>
      </c>
      <c r="BE71" s="4">
        <v>4</v>
      </c>
      <c r="BF71" s="1">
        <v>3</v>
      </c>
      <c r="BG71" s="1">
        <v>3</v>
      </c>
      <c r="BH71" s="4">
        <v>4</v>
      </c>
      <c r="BI71" s="1">
        <v>3</v>
      </c>
      <c r="BJ71" s="1">
        <v>3</v>
      </c>
      <c r="BK71" s="1">
        <v>4</v>
      </c>
      <c r="BL71" s="4">
        <v>4</v>
      </c>
      <c r="BM71" s="4">
        <v>4</v>
      </c>
      <c r="BN71" s="4">
        <v>2</v>
      </c>
      <c r="BO71" s="1">
        <v>2</v>
      </c>
      <c r="BP71" s="1">
        <v>2</v>
      </c>
      <c r="BQ71" s="4">
        <v>4</v>
      </c>
      <c r="BR71" s="4">
        <v>4</v>
      </c>
      <c r="BS71" s="4">
        <v>2</v>
      </c>
      <c r="BT71" s="1">
        <v>2</v>
      </c>
      <c r="BU71" s="1">
        <v>2</v>
      </c>
      <c r="BV71" s="1">
        <v>2</v>
      </c>
      <c r="BW71" s="1">
        <v>3</v>
      </c>
      <c r="BX71" s="1">
        <v>3</v>
      </c>
      <c r="BY71" s="4">
        <v>4</v>
      </c>
      <c r="BZ71" s="1">
        <v>4</v>
      </c>
      <c r="CA71" s="1">
        <v>4</v>
      </c>
      <c r="CB71" s="17">
        <v>4</v>
      </c>
      <c r="CC71" s="1">
        <v>4</v>
      </c>
      <c r="CD71" s="1">
        <v>4</v>
      </c>
      <c r="CE71" s="1">
        <v>4</v>
      </c>
      <c r="CF71" s="57">
        <v>4</v>
      </c>
      <c r="CG71" s="57">
        <v>4</v>
      </c>
      <c r="CH71" s="4">
        <v>4</v>
      </c>
      <c r="CI71" s="4">
        <v>4</v>
      </c>
      <c r="CJ71" s="4">
        <v>4</v>
      </c>
      <c r="CK71" s="17">
        <v>4</v>
      </c>
      <c r="CL71" s="17">
        <v>4</v>
      </c>
      <c r="CM71" s="17">
        <v>4</v>
      </c>
      <c r="CN71" s="57">
        <v>4</v>
      </c>
      <c r="CO71" s="17">
        <v>4</v>
      </c>
      <c r="CP71" s="17">
        <v>4</v>
      </c>
      <c r="CQ71" s="57">
        <v>4</v>
      </c>
      <c r="CR71" s="17">
        <v>4</v>
      </c>
      <c r="CS71" s="17">
        <v>4</v>
      </c>
      <c r="CT71" s="4">
        <v>1</v>
      </c>
      <c r="CU71" s="4">
        <v>4</v>
      </c>
      <c r="CV71" s="4">
        <v>4</v>
      </c>
      <c r="CW71" s="4">
        <v>2</v>
      </c>
      <c r="CX71" s="4">
        <v>4</v>
      </c>
      <c r="CY71" s="4">
        <v>4</v>
      </c>
      <c r="CZ71" s="4">
        <v>2</v>
      </c>
      <c r="DA71" s="17">
        <v>4</v>
      </c>
      <c r="DB71" s="1">
        <v>4</v>
      </c>
      <c r="DC71" s="1">
        <v>4</v>
      </c>
      <c r="DD71" s="1">
        <v>4</v>
      </c>
      <c r="DE71" s="17">
        <v>4</v>
      </c>
      <c r="DF71" s="57">
        <v>4</v>
      </c>
      <c r="DG71" s="4">
        <v>4</v>
      </c>
      <c r="DH71" s="1">
        <v>4</v>
      </c>
      <c r="DI71" s="4">
        <v>4</v>
      </c>
      <c r="DJ71" s="4">
        <v>4</v>
      </c>
      <c r="DK71" s="1">
        <v>4</v>
      </c>
      <c r="DL71" s="1">
        <v>4</v>
      </c>
      <c r="DM71" s="1">
        <v>4</v>
      </c>
      <c r="DN71" s="1">
        <v>4</v>
      </c>
      <c r="DO71" s="1">
        <v>4</v>
      </c>
      <c r="DP71" s="1">
        <v>4</v>
      </c>
      <c r="DQ71" s="1">
        <v>4</v>
      </c>
      <c r="DR71" s="1">
        <v>4</v>
      </c>
      <c r="DS71" s="1">
        <v>4</v>
      </c>
      <c r="DT71" s="1">
        <v>4</v>
      </c>
    </row>
    <row r="72" spans="1:124" x14ac:dyDescent="0.2">
      <c r="A72" t="s">
        <v>463</v>
      </c>
      <c r="B72" s="1" t="s">
        <v>1410</v>
      </c>
      <c r="C72" s="1" t="s">
        <v>1246</v>
      </c>
      <c r="E72" s="62">
        <v>1</v>
      </c>
      <c r="F72" s="57">
        <v>4</v>
      </c>
      <c r="G72" s="1">
        <v>1</v>
      </c>
      <c r="H72" s="1">
        <v>1</v>
      </c>
      <c r="I72" s="1">
        <v>4</v>
      </c>
      <c r="J72" s="1">
        <v>1</v>
      </c>
      <c r="K72" s="4">
        <v>4</v>
      </c>
      <c r="L72" s="1">
        <v>4</v>
      </c>
      <c r="M72" s="1">
        <v>1</v>
      </c>
      <c r="N72" s="1">
        <v>4</v>
      </c>
      <c r="O72" s="1">
        <v>4</v>
      </c>
      <c r="P72" s="1">
        <v>4</v>
      </c>
      <c r="Q72" s="1">
        <v>4</v>
      </c>
      <c r="R72" s="1">
        <v>4</v>
      </c>
      <c r="S72" s="1">
        <v>4</v>
      </c>
      <c r="T72" s="1">
        <v>1</v>
      </c>
      <c r="U72" s="1">
        <v>4</v>
      </c>
      <c r="V72" s="57">
        <v>4</v>
      </c>
      <c r="W72" s="1">
        <v>4</v>
      </c>
      <c r="X72" s="1">
        <v>4</v>
      </c>
      <c r="Y72" s="1">
        <v>4</v>
      </c>
      <c r="Z72" s="4">
        <v>4</v>
      </c>
      <c r="AA72" s="4">
        <v>4</v>
      </c>
      <c r="AB72" s="4">
        <v>4</v>
      </c>
      <c r="AC72" s="57">
        <v>4</v>
      </c>
      <c r="AD72" s="1">
        <v>4</v>
      </c>
      <c r="AE72" s="1">
        <v>4</v>
      </c>
      <c r="AF72" s="4">
        <v>1</v>
      </c>
      <c r="AG72" s="1">
        <v>4</v>
      </c>
      <c r="AH72" s="1">
        <v>4</v>
      </c>
      <c r="AI72" s="4">
        <v>1</v>
      </c>
      <c r="AJ72" s="1">
        <v>1</v>
      </c>
      <c r="AK72" s="56">
        <v>1</v>
      </c>
      <c r="AL72" s="4">
        <v>4</v>
      </c>
      <c r="AM72" s="4">
        <v>4</v>
      </c>
      <c r="AN72" s="4">
        <v>1</v>
      </c>
      <c r="AO72" s="17">
        <v>4</v>
      </c>
      <c r="AP72" s="17">
        <v>4</v>
      </c>
      <c r="AQ72" s="17">
        <v>4</v>
      </c>
      <c r="AR72" s="17">
        <v>4</v>
      </c>
      <c r="AS72" s="17">
        <v>4</v>
      </c>
      <c r="AT72" s="17">
        <v>4</v>
      </c>
      <c r="AU72" s="17">
        <v>4</v>
      </c>
      <c r="AV72" s="57">
        <v>4</v>
      </c>
      <c r="AW72" s="17">
        <v>4</v>
      </c>
      <c r="AX72" s="17">
        <v>4</v>
      </c>
      <c r="AY72" s="4">
        <v>4</v>
      </c>
      <c r="AZ72" s="4">
        <v>4</v>
      </c>
      <c r="BA72" s="57">
        <v>4</v>
      </c>
      <c r="BB72" s="57">
        <v>4</v>
      </c>
      <c r="BC72" s="4">
        <v>4</v>
      </c>
      <c r="BD72" s="4">
        <v>4</v>
      </c>
      <c r="BE72" s="4">
        <v>1</v>
      </c>
      <c r="BF72" s="4">
        <v>4</v>
      </c>
      <c r="BG72" s="4">
        <v>4</v>
      </c>
      <c r="BH72" s="4">
        <v>1</v>
      </c>
      <c r="BI72" s="4">
        <v>4</v>
      </c>
      <c r="BJ72" s="4">
        <v>4</v>
      </c>
      <c r="BK72" s="4">
        <v>1</v>
      </c>
      <c r="BL72" s="1">
        <v>4</v>
      </c>
      <c r="BM72" s="1">
        <v>4</v>
      </c>
      <c r="BN72" s="1">
        <v>4</v>
      </c>
      <c r="BO72" s="1">
        <v>4</v>
      </c>
      <c r="BP72" s="1">
        <v>4</v>
      </c>
      <c r="BQ72" s="4">
        <v>4</v>
      </c>
      <c r="BR72" s="4">
        <v>4</v>
      </c>
      <c r="BS72" s="1">
        <v>4</v>
      </c>
      <c r="BT72" s="1">
        <v>4</v>
      </c>
      <c r="BU72" s="1">
        <v>4</v>
      </c>
      <c r="BV72" s="1">
        <v>1</v>
      </c>
      <c r="BW72" s="1">
        <v>2</v>
      </c>
      <c r="BX72" s="1">
        <v>1</v>
      </c>
      <c r="BY72" s="4">
        <v>4</v>
      </c>
      <c r="BZ72" s="1">
        <v>4</v>
      </c>
      <c r="CA72" s="1">
        <v>4</v>
      </c>
      <c r="CB72" s="17">
        <v>4</v>
      </c>
      <c r="CC72" s="1">
        <v>4</v>
      </c>
      <c r="CD72" s="1">
        <v>4</v>
      </c>
      <c r="CE72" s="1">
        <v>4</v>
      </c>
      <c r="CF72" s="57">
        <v>4</v>
      </c>
      <c r="CG72" s="57">
        <v>4</v>
      </c>
      <c r="CH72" s="4">
        <v>4</v>
      </c>
      <c r="CI72" s="4">
        <v>4</v>
      </c>
      <c r="CJ72" s="4">
        <v>4</v>
      </c>
      <c r="CK72" s="17">
        <v>4</v>
      </c>
      <c r="CL72" s="17">
        <v>4</v>
      </c>
      <c r="CM72" s="17">
        <v>4</v>
      </c>
      <c r="CN72" s="57">
        <v>4</v>
      </c>
      <c r="CO72" s="17">
        <v>4</v>
      </c>
      <c r="CP72" s="17">
        <v>4</v>
      </c>
      <c r="CQ72" s="57">
        <v>4</v>
      </c>
      <c r="CR72" s="17">
        <v>4</v>
      </c>
      <c r="CS72" s="17">
        <v>4</v>
      </c>
      <c r="CT72" s="4">
        <v>4</v>
      </c>
      <c r="CU72" s="4">
        <v>4</v>
      </c>
      <c r="CV72" s="4">
        <v>1</v>
      </c>
      <c r="CW72" s="4">
        <v>4</v>
      </c>
      <c r="CX72" s="4">
        <v>4</v>
      </c>
      <c r="CY72" s="4">
        <v>2</v>
      </c>
      <c r="CZ72" s="17">
        <v>4</v>
      </c>
      <c r="DA72" s="17">
        <v>4</v>
      </c>
      <c r="DB72" s="4">
        <v>4</v>
      </c>
      <c r="DC72" s="4">
        <v>4</v>
      </c>
      <c r="DD72" s="1">
        <v>4</v>
      </c>
      <c r="DE72" s="17">
        <v>4</v>
      </c>
      <c r="DF72" s="57">
        <v>4</v>
      </c>
      <c r="DG72" s="4">
        <v>4</v>
      </c>
      <c r="DH72" s="1">
        <v>4</v>
      </c>
      <c r="DI72" s="4">
        <v>4</v>
      </c>
      <c r="DJ72" s="4">
        <v>4</v>
      </c>
      <c r="DK72" s="1">
        <v>4</v>
      </c>
      <c r="DL72" s="1">
        <v>4</v>
      </c>
      <c r="DM72" s="1">
        <v>4</v>
      </c>
      <c r="DN72" s="1">
        <v>4</v>
      </c>
      <c r="DO72" s="1">
        <v>4</v>
      </c>
      <c r="DP72" s="1">
        <v>4</v>
      </c>
      <c r="DQ72" s="1">
        <v>4</v>
      </c>
      <c r="DR72" s="1">
        <v>4</v>
      </c>
      <c r="DS72" s="1">
        <v>4</v>
      </c>
      <c r="DT72" s="1">
        <v>4</v>
      </c>
    </row>
    <row r="73" spans="1:124" x14ac:dyDescent="0.2">
      <c r="A73" t="s">
        <v>1416</v>
      </c>
      <c r="B73" s="1" t="s">
        <v>1410</v>
      </c>
      <c r="C73" s="1" t="s">
        <v>1246</v>
      </c>
      <c r="E73" s="62">
        <v>1</v>
      </c>
      <c r="F73" s="57">
        <v>4</v>
      </c>
      <c r="G73" s="1">
        <v>1</v>
      </c>
      <c r="H73" s="1">
        <v>1</v>
      </c>
      <c r="I73" s="1">
        <v>4</v>
      </c>
      <c r="J73" s="1">
        <v>1</v>
      </c>
      <c r="K73" s="4">
        <v>4</v>
      </c>
      <c r="L73" s="1">
        <v>1</v>
      </c>
      <c r="M73" s="1">
        <v>1</v>
      </c>
      <c r="N73" s="1">
        <v>4</v>
      </c>
      <c r="O73" s="1">
        <v>4</v>
      </c>
      <c r="P73" s="1">
        <v>4</v>
      </c>
      <c r="Q73" s="1">
        <v>4</v>
      </c>
      <c r="R73" s="1">
        <v>4</v>
      </c>
      <c r="S73" s="1">
        <v>1</v>
      </c>
      <c r="T73" s="1">
        <v>1</v>
      </c>
      <c r="U73" s="1">
        <v>4</v>
      </c>
      <c r="V73" s="57">
        <v>4</v>
      </c>
      <c r="W73" s="1">
        <v>3</v>
      </c>
      <c r="X73" s="1">
        <v>3</v>
      </c>
      <c r="Y73" s="1">
        <v>4</v>
      </c>
      <c r="Z73" s="4">
        <v>4</v>
      </c>
      <c r="AA73" s="4">
        <v>4</v>
      </c>
      <c r="AB73" s="4">
        <v>4</v>
      </c>
      <c r="AC73" s="57">
        <v>4</v>
      </c>
      <c r="AD73" s="1">
        <v>4</v>
      </c>
      <c r="AE73" s="1">
        <v>4</v>
      </c>
      <c r="AF73" s="4">
        <v>3</v>
      </c>
      <c r="AG73" s="1">
        <v>3</v>
      </c>
      <c r="AH73" s="1">
        <v>3</v>
      </c>
      <c r="AI73" s="1">
        <v>4</v>
      </c>
      <c r="AJ73" s="1">
        <v>1</v>
      </c>
      <c r="AK73" s="1">
        <v>3</v>
      </c>
      <c r="AL73" s="4">
        <v>4</v>
      </c>
      <c r="AM73" s="4">
        <v>4</v>
      </c>
      <c r="AN73" s="4">
        <v>3</v>
      </c>
      <c r="AO73" s="17">
        <v>4</v>
      </c>
      <c r="AP73" s="17">
        <v>4</v>
      </c>
      <c r="AQ73" s="17">
        <v>4</v>
      </c>
      <c r="AR73" s="17">
        <v>4</v>
      </c>
      <c r="AS73" s="17">
        <v>4</v>
      </c>
      <c r="AT73" s="17">
        <v>4</v>
      </c>
      <c r="AU73" s="17">
        <v>4</v>
      </c>
      <c r="AV73" s="57">
        <v>4</v>
      </c>
      <c r="AW73" s="17">
        <v>4</v>
      </c>
      <c r="AX73" s="17">
        <v>4</v>
      </c>
      <c r="AY73" s="4">
        <v>4</v>
      </c>
      <c r="AZ73" s="4">
        <v>4</v>
      </c>
      <c r="BA73" s="57">
        <v>4</v>
      </c>
      <c r="BB73" s="57">
        <v>4</v>
      </c>
      <c r="BC73" s="1">
        <v>3</v>
      </c>
      <c r="BD73" s="1">
        <v>1</v>
      </c>
      <c r="BE73" s="4">
        <v>4</v>
      </c>
      <c r="BF73" s="1">
        <v>3</v>
      </c>
      <c r="BG73" s="1">
        <v>3</v>
      </c>
      <c r="BH73" s="4">
        <v>4</v>
      </c>
      <c r="BI73" s="1">
        <v>4</v>
      </c>
      <c r="BJ73" s="1">
        <v>4</v>
      </c>
      <c r="BK73" s="1">
        <v>4</v>
      </c>
      <c r="BL73" s="1">
        <v>4</v>
      </c>
      <c r="BM73" s="1">
        <v>4</v>
      </c>
      <c r="BN73" s="1">
        <v>4</v>
      </c>
      <c r="BO73" s="1">
        <v>4</v>
      </c>
      <c r="BP73" s="1">
        <v>3</v>
      </c>
      <c r="BQ73" s="4">
        <v>4</v>
      </c>
      <c r="BR73" s="4">
        <v>4</v>
      </c>
      <c r="BS73" s="1">
        <v>4</v>
      </c>
      <c r="BT73" s="1">
        <v>4</v>
      </c>
      <c r="BU73" s="1">
        <v>4</v>
      </c>
      <c r="BV73" s="1">
        <v>3</v>
      </c>
      <c r="BW73" s="1">
        <v>1</v>
      </c>
      <c r="BX73" s="1">
        <v>1</v>
      </c>
      <c r="BY73" s="4">
        <v>4</v>
      </c>
      <c r="BZ73" s="1">
        <v>4</v>
      </c>
      <c r="CA73" s="1">
        <v>4</v>
      </c>
      <c r="CB73" s="17">
        <v>4</v>
      </c>
      <c r="CC73" s="1">
        <v>4</v>
      </c>
      <c r="CD73" s="1">
        <v>4</v>
      </c>
      <c r="CE73" s="1">
        <v>4</v>
      </c>
      <c r="CF73" s="57">
        <v>4</v>
      </c>
      <c r="CG73" s="57">
        <v>4</v>
      </c>
      <c r="CH73" s="4">
        <v>4</v>
      </c>
      <c r="CI73" s="4">
        <v>4</v>
      </c>
      <c r="CJ73" s="4">
        <v>4</v>
      </c>
      <c r="CK73" s="17">
        <v>4</v>
      </c>
      <c r="CL73" s="17">
        <v>4</v>
      </c>
      <c r="CM73" s="17">
        <v>4</v>
      </c>
      <c r="CN73" s="57">
        <v>4</v>
      </c>
      <c r="CO73" s="17">
        <v>4</v>
      </c>
      <c r="CP73" s="17">
        <v>4</v>
      </c>
      <c r="CQ73" s="57">
        <v>4</v>
      </c>
      <c r="CR73" s="17">
        <v>4</v>
      </c>
      <c r="CS73" s="17">
        <v>4</v>
      </c>
      <c r="CT73" s="1">
        <v>1</v>
      </c>
      <c r="CU73" s="1">
        <v>4</v>
      </c>
      <c r="CV73" s="1">
        <v>4</v>
      </c>
      <c r="CW73" s="4">
        <v>4</v>
      </c>
      <c r="CX73" s="1">
        <v>4</v>
      </c>
      <c r="CY73" s="1">
        <v>4</v>
      </c>
      <c r="CZ73" s="17">
        <v>4</v>
      </c>
      <c r="DA73" s="17">
        <v>4</v>
      </c>
      <c r="DB73" s="1">
        <v>4</v>
      </c>
      <c r="DC73" s="1">
        <v>4</v>
      </c>
      <c r="DD73" s="1">
        <v>4</v>
      </c>
      <c r="DE73" s="17">
        <v>4</v>
      </c>
      <c r="DF73" s="57">
        <v>4</v>
      </c>
      <c r="DG73" s="1">
        <v>4</v>
      </c>
      <c r="DH73" s="1">
        <v>4</v>
      </c>
      <c r="DI73" s="1">
        <v>4</v>
      </c>
      <c r="DJ73" s="1">
        <v>4</v>
      </c>
      <c r="DK73" s="1">
        <v>4</v>
      </c>
      <c r="DL73" s="1">
        <v>4</v>
      </c>
      <c r="DM73" s="1">
        <v>4</v>
      </c>
      <c r="DN73" s="1">
        <v>4</v>
      </c>
      <c r="DO73" s="1">
        <v>4</v>
      </c>
      <c r="DP73" s="1">
        <v>4</v>
      </c>
      <c r="DQ73" s="1">
        <v>4</v>
      </c>
      <c r="DR73" s="1">
        <v>4</v>
      </c>
      <c r="DS73" s="1">
        <v>4</v>
      </c>
      <c r="DT73" s="1">
        <v>4</v>
      </c>
    </row>
    <row r="74" spans="1:124" x14ac:dyDescent="0.2">
      <c r="A74" t="s">
        <v>1417</v>
      </c>
      <c r="B74" s="1" t="s">
        <v>1410</v>
      </c>
      <c r="C74" s="1" t="s">
        <v>1246</v>
      </c>
      <c r="E74" s="62">
        <v>1</v>
      </c>
      <c r="F74" s="57">
        <v>4</v>
      </c>
      <c r="G74" s="1">
        <v>1</v>
      </c>
      <c r="H74" s="1">
        <v>1</v>
      </c>
      <c r="I74" s="1">
        <v>4</v>
      </c>
      <c r="J74" s="1">
        <v>1</v>
      </c>
      <c r="K74" s="4">
        <v>4</v>
      </c>
      <c r="L74" s="1">
        <v>1</v>
      </c>
      <c r="M74" s="1">
        <v>1</v>
      </c>
      <c r="N74" s="1">
        <v>4</v>
      </c>
      <c r="O74" s="1">
        <v>4</v>
      </c>
      <c r="P74" s="1">
        <v>4</v>
      </c>
      <c r="Q74" s="1">
        <v>4</v>
      </c>
      <c r="R74" s="1">
        <v>4</v>
      </c>
      <c r="S74" s="1">
        <v>1</v>
      </c>
      <c r="T74" s="1">
        <v>1</v>
      </c>
      <c r="U74" s="1">
        <v>4</v>
      </c>
      <c r="V74" s="57">
        <v>4</v>
      </c>
      <c r="W74" s="1">
        <v>3</v>
      </c>
      <c r="X74" s="1">
        <v>1</v>
      </c>
      <c r="Y74" s="1">
        <v>4</v>
      </c>
      <c r="Z74" s="4">
        <v>4</v>
      </c>
      <c r="AA74" s="4">
        <v>4</v>
      </c>
      <c r="AB74" s="4">
        <v>4</v>
      </c>
      <c r="AC74" s="57">
        <v>4</v>
      </c>
      <c r="AD74" s="1">
        <v>4</v>
      </c>
      <c r="AE74" s="1">
        <v>4</v>
      </c>
      <c r="AF74" s="4">
        <v>1</v>
      </c>
      <c r="AG74" s="1">
        <v>1</v>
      </c>
      <c r="AH74" s="1">
        <v>1</v>
      </c>
      <c r="AI74" s="1">
        <v>4</v>
      </c>
      <c r="AJ74" s="1">
        <v>1</v>
      </c>
      <c r="AK74" s="1">
        <v>3</v>
      </c>
      <c r="AL74" s="4">
        <v>4</v>
      </c>
      <c r="AM74" s="4">
        <v>4</v>
      </c>
      <c r="AN74" s="4">
        <v>3</v>
      </c>
      <c r="AO74" s="17">
        <v>4</v>
      </c>
      <c r="AP74" s="17">
        <v>4</v>
      </c>
      <c r="AQ74" s="17">
        <v>4</v>
      </c>
      <c r="AR74" s="17">
        <v>4</v>
      </c>
      <c r="AS74" s="17">
        <v>4</v>
      </c>
      <c r="AT74" s="17">
        <v>4</v>
      </c>
      <c r="AU74" s="17">
        <v>4</v>
      </c>
      <c r="AV74" s="57">
        <v>4</v>
      </c>
      <c r="AW74" s="17">
        <v>4</v>
      </c>
      <c r="AX74" s="17">
        <v>4</v>
      </c>
      <c r="AY74" s="4">
        <v>4</v>
      </c>
      <c r="AZ74" s="4">
        <v>4</v>
      </c>
      <c r="BA74" s="57">
        <v>4</v>
      </c>
      <c r="BB74" s="57">
        <v>4</v>
      </c>
      <c r="BC74" s="1">
        <v>1</v>
      </c>
      <c r="BD74" s="1">
        <v>1</v>
      </c>
      <c r="BE74" s="4">
        <v>4</v>
      </c>
      <c r="BF74" s="1">
        <v>3</v>
      </c>
      <c r="BG74" s="1">
        <v>3</v>
      </c>
      <c r="BH74" s="4">
        <v>4</v>
      </c>
      <c r="BI74" s="1">
        <v>4</v>
      </c>
      <c r="BJ74" s="1">
        <v>4</v>
      </c>
      <c r="BK74" s="1">
        <v>4</v>
      </c>
      <c r="BL74" s="1">
        <v>4</v>
      </c>
      <c r="BM74" s="1">
        <v>4</v>
      </c>
      <c r="BN74" s="1">
        <v>4</v>
      </c>
      <c r="BO74" s="1">
        <v>4</v>
      </c>
      <c r="BP74" s="1">
        <v>3</v>
      </c>
      <c r="BQ74" s="4">
        <v>4</v>
      </c>
      <c r="BR74" s="4">
        <v>4</v>
      </c>
      <c r="BS74" s="1">
        <v>4</v>
      </c>
      <c r="BT74" s="1">
        <v>4</v>
      </c>
      <c r="BU74" s="1">
        <v>4</v>
      </c>
      <c r="BV74" s="1">
        <v>1</v>
      </c>
      <c r="BW74" s="1">
        <v>1</v>
      </c>
      <c r="BX74" s="1">
        <v>1</v>
      </c>
      <c r="BY74" s="4">
        <v>4</v>
      </c>
      <c r="BZ74" s="1">
        <v>4</v>
      </c>
      <c r="CA74" s="1">
        <v>4</v>
      </c>
      <c r="CB74" s="17">
        <v>4</v>
      </c>
      <c r="CC74" s="1">
        <v>4</v>
      </c>
      <c r="CD74" s="1">
        <v>4</v>
      </c>
      <c r="CE74" s="1">
        <v>4</v>
      </c>
      <c r="CF74" s="57">
        <v>4</v>
      </c>
      <c r="CG74" s="57">
        <v>4</v>
      </c>
      <c r="CH74" s="4">
        <v>4</v>
      </c>
      <c r="CI74" s="4">
        <v>4</v>
      </c>
      <c r="CJ74" s="4">
        <v>4</v>
      </c>
      <c r="CK74" s="17">
        <v>4</v>
      </c>
      <c r="CL74" s="17">
        <v>4</v>
      </c>
      <c r="CM74" s="17">
        <v>4</v>
      </c>
      <c r="CN74" s="57">
        <v>4</v>
      </c>
      <c r="CO74" s="17">
        <v>4</v>
      </c>
      <c r="CP74" s="17">
        <v>4</v>
      </c>
      <c r="CQ74" s="57">
        <v>4</v>
      </c>
      <c r="CR74" s="17">
        <v>4</v>
      </c>
      <c r="CS74" s="17">
        <v>4</v>
      </c>
      <c r="CT74" s="1">
        <v>1</v>
      </c>
      <c r="CU74" s="1">
        <v>4</v>
      </c>
      <c r="CV74" s="1">
        <v>4</v>
      </c>
      <c r="CW74" s="4">
        <v>4</v>
      </c>
      <c r="CX74" s="1">
        <v>4</v>
      </c>
      <c r="CY74" s="1">
        <v>4</v>
      </c>
      <c r="CZ74" s="17">
        <v>4</v>
      </c>
      <c r="DA74" s="17">
        <v>4</v>
      </c>
      <c r="DB74" s="1">
        <v>4</v>
      </c>
      <c r="DC74" s="1">
        <v>4</v>
      </c>
      <c r="DD74" s="1">
        <v>4</v>
      </c>
      <c r="DE74" s="17">
        <v>4</v>
      </c>
      <c r="DF74" s="57">
        <v>4</v>
      </c>
      <c r="DG74" s="1">
        <v>4</v>
      </c>
      <c r="DH74" s="1">
        <v>4</v>
      </c>
      <c r="DI74" s="1">
        <v>4</v>
      </c>
      <c r="DJ74" s="1">
        <v>4</v>
      </c>
      <c r="DK74" s="1">
        <v>4</v>
      </c>
      <c r="DL74" s="1">
        <v>4</v>
      </c>
      <c r="DM74" s="1">
        <v>4</v>
      </c>
      <c r="DN74" s="1">
        <v>4</v>
      </c>
      <c r="DO74" s="1">
        <v>4</v>
      </c>
      <c r="DP74" s="1">
        <v>4</v>
      </c>
      <c r="DQ74" s="1">
        <v>4</v>
      </c>
      <c r="DR74" s="1">
        <v>4</v>
      </c>
      <c r="DS74" s="1">
        <v>4</v>
      </c>
      <c r="DT74" s="1">
        <v>4</v>
      </c>
    </row>
    <row r="75" spans="1:124" x14ac:dyDescent="0.2">
      <c r="A75" t="s">
        <v>1418</v>
      </c>
      <c r="B75" s="1" t="s">
        <v>1410</v>
      </c>
      <c r="C75" s="1" t="s">
        <v>1246</v>
      </c>
      <c r="E75" s="62">
        <v>1</v>
      </c>
      <c r="F75" s="57">
        <v>4</v>
      </c>
      <c r="G75" s="1">
        <v>1</v>
      </c>
      <c r="H75" s="1">
        <v>1</v>
      </c>
      <c r="I75" s="1">
        <v>4</v>
      </c>
      <c r="J75" s="1">
        <v>1</v>
      </c>
      <c r="K75" s="4">
        <v>4</v>
      </c>
      <c r="L75" s="1">
        <v>1</v>
      </c>
      <c r="M75" s="1">
        <v>1</v>
      </c>
      <c r="N75" s="1">
        <v>4</v>
      </c>
      <c r="O75" s="1">
        <v>4</v>
      </c>
      <c r="P75" s="1">
        <v>4</v>
      </c>
      <c r="Q75" s="1">
        <v>4</v>
      </c>
      <c r="R75" s="1">
        <v>4</v>
      </c>
      <c r="S75" s="1">
        <v>1</v>
      </c>
      <c r="T75" s="1">
        <v>1</v>
      </c>
      <c r="U75" s="1">
        <v>4</v>
      </c>
      <c r="V75" s="57">
        <v>4</v>
      </c>
      <c r="W75" s="1">
        <v>1</v>
      </c>
      <c r="X75" s="1">
        <v>1</v>
      </c>
      <c r="Y75" s="1">
        <v>4</v>
      </c>
      <c r="Z75" s="4">
        <v>4</v>
      </c>
      <c r="AA75" s="4">
        <v>4</v>
      </c>
      <c r="AB75" s="4">
        <v>4</v>
      </c>
      <c r="AC75" s="57">
        <v>4</v>
      </c>
      <c r="AD75" s="1">
        <v>4</v>
      </c>
      <c r="AE75" s="1">
        <v>4</v>
      </c>
      <c r="AF75" s="4">
        <v>1</v>
      </c>
      <c r="AG75" s="1">
        <v>1</v>
      </c>
      <c r="AH75" s="1">
        <v>1</v>
      </c>
      <c r="AI75" s="1">
        <v>4</v>
      </c>
      <c r="AJ75" s="1">
        <v>1</v>
      </c>
      <c r="AK75" s="1">
        <v>3</v>
      </c>
      <c r="AL75" s="4">
        <v>4</v>
      </c>
      <c r="AM75" s="4">
        <v>4</v>
      </c>
      <c r="AN75" s="4">
        <v>3</v>
      </c>
      <c r="AO75" s="17">
        <v>4</v>
      </c>
      <c r="AP75" s="17">
        <v>4</v>
      </c>
      <c r="AQ75" s="17">
        <v>4</v>
      </c>
      <c r="AR75" s="17">
        <v>4</v>
      </c>
      <c r="AS75" s="17">
        <v>4</v>
      </c>
      <c r="AT75" s="17">
        <v>4</v>
      </c>
      <c r="AU75" s="17">
        <v>4</v>
      </c>
      <c r="AV75" s="57">
        <v>4</v>
      </c>
      <c r="AW75" s="17">
        <v>4</v>
      </c>
      <c r="AX75" s="17">
        <v>4</v>
      </c>
      <c r="AY75" s="4">
        <v>4</v>
      </c>
      <c r="AZ75" s="4">
        <v>4</v>
      </c>
      <c r="BA75" s="57">
        <v>4</v>
      </c>
      <c r="BB75" s="57">
        <v>4</v>
      </c>
      <c r="BC75" s="1">
        <v>1</v>
      </c>
      <c r="BD75" s="1">
        <v>1</v>
      </c>
      <c r="BE75" s="4">
        <v>4</v>
      </c>
      <c r="BF75" s="1">
        <v>3</v>
      </c>
      <c r="BG75" s="1">
        <v>3</v>
      </c>
      <c r="BH75" s="4">
        <v>4</v>
      </c>
      <c r="BI75" s="1">
        <v>4</v>
      </c>
      <c r="BJ75" s="1">
        <v>4</v>
      </c>
      <c r="BK75" s="1">
        <v>4</v>
      </c>
      <c r="BL75" s="1">
        <v>4</v>
      </c>
      <c r="BM75" s="1">
        <v>4</v>
      </c>
      <c r="BN75" s="1">
        <v>4</v>
      </c>
      <c r="BO75" s="1">
        <v>4</v>
      </c>
      <c r="BP75" s="1">
        <v>3</v>
      </c>
      <c r="BQ75" s="4">
        <v>4</v>
      </c>
      <c r="BR75" s="4">
        <v>4</v>
      </c>
      <c r="BS75" s="1">
        <v>4</v>
      </c>
      <c r="BT75" s="1">
        <v>4</v>
      </c>
      <c r="BU75" s="1">
        <v>4</v>
      </c>
      <c r="BV75" s="1">
        <v>1</v>
      </c>
      <c r="BW75" s="1">
        <v>1</v>
      </c>
      <c r="BX75" s="1">
        <v>1</v>
      </c>
      <c r="BY75" s="4">
        <v>4</v>
      </c>
      <c r="BZ75" s="1">
        <v>4</v>
      </c>
      <c r="CA75" s="1">
        <v>4</v>
      </c>
      <c r="CB75" s="17">
        <v>4</v>
      </c>
      <c r="CC75" s="1">
        <v>4</v>
      </c>
      <c r="CD75" s="1">
        <v>4</v>
      </c>
      <c r="CE75" s="1">
        <v>4</v>
      </c>
      <c r="CF75" s="57">
        <v>4</v>
      </c>
      <c r="CG75" s="57">
        <v>4</v>
      </c>
      <c r="CH75" s="4">
        <v>4</v>
      </c>
      <c r="CI75" s="4">
        <v>4</v>
      </c>
      <c r="CJ75" s="4">
        <v>4</v>
      </c>
      <c r="CK75" s="17">
        <v>4</v>
      </c>
      <c r="CL75" s="17">
        <v>4</v>
      </c>
      <c r="CM75" s="17">
        <v>4</v>
      </c>
      <c r="CN75" s="57">
        <v>4</v>
      </c>
      <c r="CO75" s="17">
        <v>4</v>
      </c>
      <c r="CP75" s="17">
        <v>4</v>
      </c>
      <c r="CQ75" s="57">
        <v>4</v>
      </c>
      <c r="CR75" s="17">
        <v>4</v>
      </c>
      <c r="CS75" s="17">
        <v>4</v>
      </c>
      <c r="CT75" s="1">
        <v>1</v>
      </c>
      <c r="CU75" s="1">
        <v>4</v>
      </c>
      <c r="CV75" s="1">
        <v>4</v>
      </c>
      <c r="CW75" s="4">
        <v>4</v>
      </c>
      <c r="CX75" s="1">
        <v>4</v>
      </c>
      <c r="CY75" s="1">
        <v>4</v>
      </c>
      <c r="CZ75" s="17">
        <v>4</v>
      </c>
      <c r="DA75" s="17">
        <v>4</v>
      </c>
      <c r="DB75" s="1">
        <v>4</v>
      </c>
      <c r="DC75" s="1">
        <v>4</v>
      </c>
      <c r="DD75" s="1">
        <v>4</v>
      </c>
      <c r="DE75" s="17">
        <v>4</v>
      </c>
      <c r="DF75" s="57">
        <v>4</v>
      </c>
      <c r="DG75" s="1">
        <v>4</v>
      </c>
      <c r="DH75" s="1">
        <v>4</v>
      </c>
      <c r="DI75" s="1">
        <v>4</v>
      </c>
      <c r="DJ75" s="1">
        <v>4</v>
      </c>
      <c r="DK75" s="1">
        <v>4</v>
      </c>
      <c r="DL75" s="1">
        <v>4</v>
      </c>
      <c r="DM75" s="1">
        <v>4</v>
      </c>
      <c r="DN75" s="1">
        <v>4</v>
      </c>
      <c r="DO75" s="1">
        <v>4</v>
      </c>
      <c r="DP75" s="1">
        <v>4</v>
      </c>
      <c r="DQ75" s="1">
        <v>4</v>
      </c>
      <c r="DR75" s="1">
        <v>4</v>
      </c>
      <c r="DS75" s="1">
        <v>4</v>
      </c>
      <c r="DT75" s="1">
        <v>4</v>
      </c>
    </row>
    <row r="76" spans="1:124" x14ac:dyDescent="0.2">
      <c r="A76" t="s">
        <v>109</v>
      </c>
      <c r="B76" s="1" t="s">
        <v>1410</v>
      </c>
      <c r="C76" s="1" t="s">
        <v>1246</v>
      </c>
      <c r="E76" s="62">
        <v>1</v>
      </c>
      <c r="F76" s="57">
        <v>4</v>
      </c>
      <c r="G76" s="1">
        <v>1</v>
      </c>
      <c r="H76" s="1">
        <v>1</v>
      </c>
      <c r="I76" s="1">
        <v>4</v>
      </c>
      <c r="J76" s="1">
        <v>1</v>
      </c>
      <c r="K76" s="4">
        <v>4</v>
      </c>
      <c r="L76" s="1">
        <v>4</v>
      </c>
      <c r="M76" s="1">
        <v>4</v>
      </c>
      <c r="N76" s="1">
        <v>4</v>
      </c>
      <c r="O76" s="1">
        <v>4</v>
      </c>
      <c r="P76" s="1">
        <v>4</v>
      </c>
      <c r="Q76" s="1">
        <v>4</v>
      </c>
      <c r="R76" s="1">
        <v>4</v>
      </c>
      <c r="S76" s="1">
        <v>1</v>
      </c>
      <c r="T76" s="1">
        <v>1</v>
      </c>
      <c r="U76" s="1">
        <v>4</v>
      </c>
      <c r="V76" s="57">
        <v>4</v>
      </c>
      <c r="W76" s="1">
        <v>4</v>
      </c>
      <c r="X76" s="1">
        <v>4</v>
      </c>
      <c r="Y76" s="1">
        <v>4</v>
      </c>
      <c r="Z76" s="4">
        <v>4</v>
      </c>
      <c r="AA76" s="4">
        <v>4</v>
      </c>
      <c r="AB76" s="4">
        <v>4</v>
      </c>
      <c r="AC76" s="57">
        <v>4</v>
      </c>
      <c r="AD76" s="1">
        <v>4</v>
      </c>
      <c r="AE76" s="1">
        <v>4</v>
      </c>
      <c r="AF76" s="4">
        <v>1</v>
      </c>
      <c r="AG76" s="1">
        <v>3</v>
      </c>
      <c r="AH76" s="1">
        <v>3</v>
      </c>
      <c r="AI76" s="1">
        <v>4</v>
      </c>
      <c r="AJ76" s="1">
        <v>1</v>
      </c>
      <c r="AK76" s="1">
        <v>3</v>
      </c>
      <c r="AL76" s="4">
        <v>4</v>
      </c>
      <c r="AM76" s="4">
        <v>4</v>
      </c>
      <c r="AN76" s="4">
        <v>3</v>
      </c>
      <c r="AO76" s="17">
        <v>4</v>
      </c>
      <c r="AP76" s="17">
        <v>4</v>
      </c>
      <c r="AQ76" s="17">
        <v>4</v>
      </c>
      <c r="AR76" s="17">
        <v>4</v>
      </c>
      <c r="AS76" s="17">
        <v>4</v>
      </c>
      <c r="AT76" s="17">
        <v>4</v>
      </c>
      <c r="AU76" s="17">
        <v>4</v>
      </c>
      <c r="AV76" s="57">
        <v>4</v>
      </c>
      <c r="AW76" s="17">
        <v>4</v>
      </c>
      <c r="AX76" s="17">
        <v>4</v>
      </c>
      <c r="AY76" s="4">
        <v>4</v>
      </c>
      <c r="AZ76" s="4">
        <v>4</v>
      </c>
      <c r="BA76" s="57">
        <v>4</v>
      </c>
      <c r="BB76" s="57">
        <v>4</v>
      </c>
      <c r="BC76" s="1">
        <v>1</v>
      </c>
      <c r="BD76" s="1">
        <v>1</v>
      </c>
      <c r="BE76" s="4">
        <v>4</v>
      </c>
      <c r="BF76" s="1">
        <v>1</v>
      </c>
      <c r="BG76" s="1">
        <v>1</v>
      </c>
      <c r="BH76" s="4">
        <v>4</v>
      </c>
      <c r="BI76" s="1">
        <v>1</v>
      </c>
      <c r="BJ76" s="1">
        <v>1</v>
      </c>
      <c r="BK76" s="1">
        <v>4</v>
      </c>
      <c r="BL76" s="1">
        <v>4</v>
      </c>
      <c r="BM76" s="1">
        <v>4</v>
      </c>
      <c r="BN76" s="4">
        <v>4</v>
      </c>
      <c r="BO76" s="1">
        <v>4</v>
      </c>
      <c r="BP76" s="1">
        <v>4</v>
      </c>
      <c r="BQ76" s="4">
        <v>4</v>
      </c>
      <c r="BR76" s="4">
        <v>4</v>
      </c>
      <c r="BS76" s="4">
        <v>4</v>
      </c>
      <c r="BT76" s="1">
        <v>4</v>
      </c>
      <c r="BU76" s="1">
        <v>4</v>
      </c>
      <c r="BV76" s="1">
        <v>4</v>
      </c>
      <c r="BW76" s="1">
        <v>1</v>
      </c>
      <c r="BX76" s="1">
        <v>1</v>
      </c>
      <c r="BY76" s="4">
        <v>4</v>
      </c>
      <c r="BZ76" s="1">
        <v>4</v>
      </c>
      <c r="CA76" s="1">
        <v>4</v>
      </c>
      <c r="CB76" s="17">
        <v>4</v>
      </c>
      <c r="CC76" s="1">
        <v>4</v>
      </c>
      <c r="CD76" s="1">
        <v>4</v>
      </c>
      <c r="CE76" s="1">
        <v>4</v>
      </c>
      <c r="CF76" s="57">
        <v>4</v>
      </c>
      <c r="CG76" s="57">
        <v>4</v>
      </c>
      <c r="CH76" s="4">
        <v>4</v>
      </c>
      <c r="CI76" s="4">
        <v>4</v>
      </c>
      <c r="CJ76" s="4">
        <v>4</v>
      </c>
      <c r="CK76" s="17">
        <v>4</v>
      </c>
      <c r="CL76" s="17">
        <v>4</v>
      </c>
      <c r="CM76" s="17">
        <v>4</v>
      </c>
      <c r="CN76" s="57">
        <v>4</v>
      </c>
      <c r="CO76" s="17">
        <v>4</v>
      </c>
      <c r="CP76" s="17">
        <v>4</v>
      </c>
      <c r="CQ76" s="57">
        <v>4</v>
      </c>
      <c r="CR76" s="17">
        <v>4</v>
      </c>
      <c r="CS76" s="17">
        <v>4</v>
      </c>
      <c r="CT76" s="4">
        <v>3</v>
      </c>
      <c r="CU76" s="1">
        <v>4</v>
      </c>
      <c r="CV76" s="1">
        <v>4</v>
      </c>
      <c r="CW76" s="4">
        <v>3</v>
      </c>
      <c r="CX76" s="1">
        <v>4</v>
      </c>
      <c r="CY76" s="1">
        <v>4</v>
      </c>
      <c r="CZ76" s="17">
        <v>4</v>
      </c>
      <c r="DA76" s="17">
        <v>4</v>
      </c>
      <c r="DB76" s="1">
        <v>4</v>
      </c>
      <c r="DC76" s="1">
        <v>4</v>
      </c>
      <c r="DD76" s="1">
        <v>4</v>
      </c>
      <c r="DE76" s="17">
        <v>4</v>
      </c>
      <c r="DF76" s="57">
        <v>4</v>
      </c>
      <c r="DG76" s="4">
        <v>4</v>
      </c>
      <c r="DH76" s="1">
        <v>4</v>
      </c>
      <c r="DI76" s="4">
        <v>4</v>
      </c>
      <c r="DJ76" s="4">
        <v>4</v>
      </c>
      <c r="DK76" s="1">
        <v>4</v>
      </c>
      <c r="DL76" s="1">
        <v>4</v>
      </c>
      <c r="DM76" s="1">
        <v>4</v>
      </c>
      <c r="DN76" s="1">
        <v>4</v>
      </c>
      <c r="DO76" s="1">
        <v>4</v>
      </c>
      <c r="DP76" s="1">
        <v>4</v>
      </c>
      <c r="DQ76" s="1">
        <v>4</v>
      </c>
      <c r="DR76" s="1">
        <v>4</v>
      </c>
      <c r="DS76" s="1">
        <v>4</v>
      </c>
      <c r="DT76" s="1">
        <v>4</v>
      </c>
    </row>
    <row r="77" spans="1:124" x14ac:dyDescent="0.2">
      <c r="A77" t="s">
        <v>107</v>
      </c>
      <c r="B77" s="1" t="s">
        <v>1410</v>
      </c>
      <c r="C77" s="1" t="s">
        <v>1246</v>
      </c>
      <c r="E77" s="62">
        <v>1</v>
      </c>
      <c r="F77" s="57">
        <v>4</v>
      </c>
      <c r="G77" s="1">
        <v>1</v>
      </c>
      <c r="H77" s="1">
        <v>1</v>
      </c>
      <c r="I77" s="1">
        <v>4</v>
      </c>
      <c r="J77" s="1">
        <v>1</v>
      </c>
      <c r="K77" s="4">
        <v>4</v>
      </c>
      <c r="L77" s="1">
        <v>1</v>
      </c>
      <c r="M77" s="1">
        <v>1</v>
      </c>
      <c r="N77" s="1">
        <v>4</v>
      </c>
      <c r="O77" s="1">
        <v>4</v>
      </c>
      <c r="P77" s="1">
        <v>4</v>
      </c>
      <c r="Q77" s="1">
        <v>4</v>
      </c>
      <c r="R77" s="1">
        <v>4</v>
      </c>
      <c r="S77" s="1">
        <v>1</v>
      </c>
      <c r="T77" s="1">
        <v>1</v>
      </c>
      <c r="U77" s="1">
        <v>4</v>
      </c>
      <c r="V77" s="57">
        <v>4</v>
      </c>
      <c r="W77" s="1">
        <v>1</v>
      </c>
      <c r="X77" s="1">
        <v>1</v>
      </c>
      <c r="Y77" s="1">
        <v>4</v>
      </c>
      <c r="Z77" s="4">
        <v>4</v>
      </c>
      <c r="AA77" s="4">
        <v>4</v>
      </c>
      <c r="AB77" s="4">
        <v>4</v>
      </c>
      <c r="AC77" s="57">
        <v>4</v>
      </c>
      <c r="AD77" s="1">
        <v>4</v>
      </c>
      <c r="AE77" s="1">
        <v>4</v>
      </c>
      <c r="AF77" s="4">
        <v>1</v>
      </c>
      <c r="AG77" s="1">
        <v>1</v>
      </c>
      <c r="AH77" s="1">
        <v>1</v>
      </c>
      <c r="AI77" s="1">
        <v>4</v>
      </c>
      <c r="AJ77" s="1">
        <v>3</v>
      </c>
      <c r="AK77" s="1">
        <v>1</v>
      </c>
      <c r="AL77" s="4">
        <v>4</v>
      </c>
      <c r="AM77" s="4">
        <v>4</v>
      </c>
      <c r="AN77" s="4">
        <v>3</v>
      </c>
      <c r="AO77" s="17">
        <v>4</v>
      </c>
      <c r="AP77" s="17">
        <v>4</v>
      </c>
      <c r="AQ77" s="17">
        <v>4</v>
      </c>
      <c r="AR77" s="17">
        <v>4</v>
      </c>
      <c r="AS77" s="17">
        <v>4</v>
      </c>
      <c r="AT77" s="17">
        <v>4</v>
      </c>
      <c r="AU77" s="17">
        <v>4</v>
      </c>
      <c r="AV77" s="57">
        <v>4</v>
      </c>
      <c r="AW77" s="17">
        <v>4</v>
      </c>
      <c r="AX77" s="17">
        <v>4</v>
      </c>
      <c r="AY77" s="4">
        <v>4</v>
      </c>
      <c r="AZ77" s="4">
        <v>4</v>
      </c>
      <c r="BA77" s="57">
        <v>4</v>
      </c>
      <c r="BB77" s="57">
        <v>4</v>
      </c>
      <c r="BC77" s="1">
        <v>1</v>
      </c>
      <c r="BD77" s="1">
        <v>1</v>
      </c>
      <c r="BE77" s="4">
        <v>4</v>
      </c>
      <c r="BF77" s="1">
        <v>4</v>
      </c>
      <c r="BG77" s="1">
        <v>1</v>
      </c>
      <c r="BH77" s="4">
        <v>4</v>
      </c>
      <c r="BI77" s="1">
        <v>1</v>
      </c>
      <c r="BJ77" s="1">
        <v>1</v>
      </c>
      <c r="BK77" s="1">
        <v>4</v>
      </c>
      <c r="BL77" s="1">
        <v>4</v>
      </c>
      <c r="BM77" s="1">
        <v>4</v>
      </c>
      <c r="BN77" s="4">
        <v>1</v>
      </c>
      <c r="BO77" s="1">
        <v>1</v>
      </c>
      <c r="BP77" s="1">
        <v>1</v>
      </c>
      <c r="BQ77" s="4">
        <v>4</v>
      </c>
      <c r="BR77" s="4">
        <v>4</v>
      </c>
      <c r="BS77" s="4">
        <v>1</v>
      </c>
      <c r="BT77" s="4">
        <v>1</v>
      </c>
      <c r="BU77" s="4">
        <v>1</v>
      </c>
      <c r="BV77" s="4">
        <v>1</v>
      </c>
      <c r="BW77" s="4">
        <v>1</v>
      </c>
      <c r="BX77" s="4">
        <v>1</v>
      </c>
      <c r="BY77" s="4">
        <v>4</v>
      </c>
      <c r="BZ77" s="4">
        <v>4</v>
      </c>
      <c r="CA77" s="1">
        <v>4</v>
      </c>
      <c r="CB77" s="17">
        <v>4</v>
      </c>
      <c r="CC77" s="4">
        <v>4</v>
      </c>
      <c r="CD77" s="4">
        <v>4</v>
      </c>
      <c r="CE77" s="1">
        <v>4</v>
      </c>
      <c r="CF77" s="57">
        <v>4</v>
      </c>
      <c r="CG77" s="57">
        <v>4</v>
      </c>
      <c r="CH77" s="4">
        <v>4</v>
      </c>
      <c r="CI77" s="4">
        <v>4</v>
      </c>
      <c r="CJ77" s="4">
        <v>4</v>
      </c>
      <c r="CK77" s="17">
        <v>4</v>
      </c>
      <c r="CL77" s="17">
        <v>4</v>
      </c>
      <c r="CM77" s="17">
        <v>4</v>
      </c>
      <c r="CN77" s="57">
        <v>4</v>
      </c>
      <c r="CO77" s="17">
        <v>4</v>
      </c>
      <c r="CP77" s="17">
        <v>4</v>
      </c>
      <c r="CQ77" s="57">
        <v>4</v>
      </c>
      <c r="CR77" s="17">
        <v>4</v>
      </c>
      <c r="CS77" s="17">
        <v>4</v>
      </c>
      <c r="CT77" s="4">
        <v>4</v>
      </c>
      <c r="CU77" s="4">
        <v>4</v>
      </c>
      <c r="CV77" s="4">
        <v>4</v>
      </c>
      <c r="CW77" s="4">
        <v>4</v>
      </c>
      <c r="CX77" s="4">
        <v>4</v>
      </c>
      <c r="CY77" s="4">
        <v>4</v>
      </c>
      <c r="CZ77" s="17">
        <v>4</v>
      </c>
      <c r="DA77" s="17">
        <v>4</v>
      </c>
      <c r="DB77" s="1">
        <v>4</v>
      </c>
      <c r="DC77" s="1">
        <v>4</v>
      </c>
      <c r="DD77" s="1">
        <v>4</v>
      </c>
      <c r="DE77" s="17">
        <v>4</v>
      </c>
      <c r="DF77" s="57">
        <v>4</v>
      </c>
      <c r="DG77" s="4">
        <v>4</v>
      </c>
      <c r="DH77" s="1">
        <v>4</v>
      </c>
      <c r="DI77" s="4">
        <v>4</v>
      </c>
      <c r="DJ77" s="4">
        <v>4</v>
      </c>
      <c r="DK77" s="1">
        <v>4</v>
      </c>
      <c r="DL77" s="1">
        <v>4</v>
      </c>
      <c r="DM77" s="1">
        <v>4</v>
      </c>
      <c r="DN77" s="1">
        <v>4</v>
      </c>
      <c r="DO77" s="1">
        <v>4</v>
      </c>
      <c r="DP77" s="1">
        <v>4</v>
      </c>
      <c r="DQ77" s="1">
        <v>4</v>
      </c>
      <c r="DR77" s="1">
        <v>4</v>
      </c>
      <c r="DS77" s="1">
        <v>4</v>
      </c>
      <c r="DT77" s="1">
        <v>4</v>
      </c>
    </row>
    <row r="78" spans="1:124" x14ac:dyDescent="0.2">
      <c r="A78" t="s">
        <v>108</v>
      </c>
      <c r="B78" s="1" t="s">
        <v>1410</v>
      </c>
      <c r="C78" s="1" t="s">
        <v>1246</v>
      </c>
      <c r="E78" s="62">
        <v>1</v>
      </c>
      <c r="F78" s="57">
        <v>4</v>
      </c>
      <c r="G78" s="1">
        <v>1</v>
      </c>
      <c r="H78" s="1">
        <v>1</v>
      </c>
      <c r="I78" s="1">
        <v>4</v>
      </c>
      <c r="J78" s="1">
        <v>1</v>
      </c>
      <c r="K78" s="4">
        <v>4</v>
      </c>
      <c r="L78" s="1">
        <v>1</v>
      </c>
      <c r="M78" s="1">
        <v>1</v>
      </c>
      <c r="N78" s="1">
        <v>4</v>
      </c>
      <c r="O78" s="1">
        <v>4</v>
      </c>
      <c r="P78" s="1">
        <v>4</v>
      </c>
      <c r="Q78" s="1">
        <v>4</v>
      </c>
      <c r="R78" s="1">
        <v>4</v>
      </c>
      <c r="S78" s="1">
        <v>1</v>
      </c>
      <c r="T78" s="1">
        <v>1</v>
      </c>
      <c r="U78" s="1">
        <v>4</v>
      </c>
      <c r="V78" s="57">
        <v>4</v>
      </c>
      <c r="W78" s="1">
        <v>1</v>
      </c>
      <c r="X78" s="1">
        <v>1</v>
      </c>
      <c r="Y78" s="1">
        <v>4</v>
      </c>
      <c r="Z78" s="4">
        <v>4</v>
      </c>
      <c r="AA78" s="4">
        <v>4</v>
      </c>
      <c r="AB78" s="4">
        <v>4</v>
      </c>
      <c r="AC78" s="57">
        <v>4</v>
      </c>
      <c r="AD78" s="1">
        <v>4</v>
      </c>
      <c r="AE78" s="1">
        <v>4</v>
      </c>
      <c r="AF78" s="4">
        <v>1</v>
      </c>
      <c r="AG78" s="1">
        <v>1</v>
      </c>
      <c r="AH78" s="1">
        <v>1</v>
      </c>
      <c r="AI78" s="1">
        <v>4</v>
      </c>
      <c r="AJ78" s="1">
        <v>3</v>
      </c>
      <c r="AK78" s="1">
        <v>1</v>
      </c>
      <c r="AL78" s="4">
        <v>4</v>
      </c>
      <c r="AM78" s="4">
        <v>4</v>
      </c>
      <c r="AN78" s="4">
        <v>3</v>
      </c>
      <c r="AO78" s="17">
        <v>4</v>
      </c>
      <c r="AP78" s="17">
        <v>4</v>
      </c>
      <c r="AQ78" s="17">
        <v>4</v>
      </c>
      <c r="AR78" s="17">
        <v>4</v>
      </c>
      <c r="AS78" s="17">
        <v>4</v>
      </c>
      <c r="AT78" s="17">
        <v>4</v>
      </c>
      <c r="AU78" s="17">
        <v>4</v>
      </c>
      <c r="AV78" s="57">
        <v>4</v>
      </c>
      <c r="AW78" s="17">
        <v>4</v>
      </c>
      <c r="AX78" s="17">
        <v>4</v>
      </c>
      <c r="AY78" s="4">
        <v>4</v>
      </c>
      <c r="AZ78" s="4">
        <v>4</v>
      </c>
      <c r="BA78" s="57">
        <v>4</v>
      </c>
      <c r="BB78" s="57">
        <v>4</v>
      </c>
      <c r="BC78" s="1">
        <v>1</v>
      </c>
      <c r="BD78" s="1">
        <v>1</v>
      </c>
      <c r="BE78" s="4">
        <v>4</v>
      </c>
      <c r="BF78" s="1">
        <v>1</v>
      </c>
      <c r="BG78" s="1">
        <v>1</v>
      </c>
      <c r="BH78" s="4">
        <v>4</v>
      </c>
      <c r="BI78" s="1">
        <v>1</v>
      </c>
      <c r="BJ78" s="1">
        <v>1</v>
      </c>
      <c r="BK78" s="1">
        <v>4</v>
      </c>
      <c r="BL78" s="1">
        <v>4</v>
      </c>
      <c r="BM78" s="1">
        <v>4</v>
      </c>
      <c r="BN78" s="4">
        <v>1</v>
      </c>
      <c r="BO78" s="1">
        <v>1</v>
      </c>
      <c r="BP78" s="1">
        <v>1</v>
      </c>
      <c r="BQ78" s="4">
        <v>4</v>
      </c>
      <c r="BR78" s="4">
        <v>4</v>
      </c>
      <c r="BS78" s="4">
        <v>1</v>
      </c>
      <c r="BT78" s="4">
        <v>1</v>
      </c>
      <c r="BU78" s="4">
        <v>1</v>
      </c>
      <c r="BV78" s="4">
        <v>1</v>
      </c>
      <c r="BW78" s="4">
        <v>1</v>
      </c>
      <c r="BX78" s="4">
        <v>1</v>
      </c>
      <c r="BY78" s="4">
        <v>4</v>
      </c>
      <c r="BZ78" s="4">
        <v>4</v>
      </c>
      <c r="CA78" s="1">
        <v>4</v>
      </c>
      <c r="CB78" s="17">
        <v>4</v>
      </c>
      <c r="CC78" s="4">
        <v>4</v>
      </c>
      <c r="CD78" s="4">
        <v>4</v>
      </c>
      <c r="CE78" s="1">
        <v>4</v>
      </c>
      <c r="CF78" s="57">
        <v>4</v>
      </c>
      <c r="CG78" s="57">
        <v>4</v>
      </c>
      <c r="CH78" s="4">
        <v>4</v>
      </c>
      <c r="CI78" s="4">
        <v>4</v>
      </c>
      <c r="CJ78" s="4">
        <v>4</v>
      </c>
      <c r="CK78" s="17">
        <v>4</v>
      </c>
      <c r="CL78" s="17">
        <v>4</v>
      </c>
      <c r="CM78" s="17">
        <v>4</v>
      </c>
      <c r="CN78" s="57">
        <v>4</v>
      </c>
      <c r="CO78" s="17">
        <v>4</v>
      </c>
      <c r="CP78" s="17">
        <v>4</v>
      </c>
      <c r="CQ78" s="57">
        <v>4</v>
      </c>
      <c r="CR78" s="17">
        <v>4</v>
      </c>
      <c r="CS78" s="17">
        <v>4</v>
      </c>
      <c r="CT78" s="4">
        <v>4</v>
      </c>
      <c r="CU78" s="4">
        <v>4</v>
      </c>
      <c r="CV78" s="4">
        <v>4</v>
      </c>
      <c r="CW78" s="4">
        <v>4</v>
      </c>
      <c r="CX78" s="4">
        <v>4</v>
      </c>
      <c r="CY78" s="4">
        <v>4</v>
      </c>
      <c r="CZ78" s="17">
        <v>4</v>
      </c>
      <c r="DA78" s="17">
        <v>4</v>
      </c>
      <c r="DB78" s="1">
        <v>4</v>
      </c>
      <c r="DC78" s="1">
        <v>4</v>
      </c>
      <c r="DD78" s="1">
        <v>4</v>
      </c>
      <c r="DE78" s="17">
        <v>4</v>
      </c>
      <c r="DF78" s="57">
        <v>4</v>
      </c>
      <c r="DG78" s="4">
        <v>4</v>
      </c>
      <c r="DH78" s="1">
        <v>4</v>
      </c>
      <c r="DI78" s="4">
        <v>4</v>
      </c>
      <c r="DJ78" s="4">
        <v>4</v>
      </c>
      <c r="DK78" s="1">
        <v>4</v>
      </c>
      <c r="DL78" s="1">
        <v>4</v>
      </c>
      <c r="DM78" s="1">
        <v>4</v>
      </c>
      <c r="DN78" s="1">
        <v>4</v>
      </c>
      <c r="DO78" s="1">
        <v>4</v>
      </c>
      <c r="DP78" s="1">
        <v>4</v>
      </c>
      <c r="DQ78" s="1">
        <v>4</v>
      </c>
      <c r="DR78" s="1">
        <v>4</v>
      </c>
      <c r="DS78" s="1">
        <v>4</v>
      </c>
      <c r="DT78" s="1">
        <v>4</v>
      </c>
    </row>
    <row r="79" spans="1:124" x14ac:dyDescent="0.2">
      <c r="A79" t="s">
        <v>159</v>
      </c>
      <c r="B79" s="1" t="s">
        <v>1410</v>
      </c>
      <c r="C79" s="1" t="s">
        <v>1245</v>
      </c>
      <c r="E79" s="62">
        <v>1</v>
      </c>
      <c r="F79" s="57">
        <v>4</v>
      </c>
      <c r="G79" s="1">
        <v>1</v>
      </c>
      <c r="H79" s="1">
        <v>1</v>
      </c>
      <c r="I79" s="1">
        <v>4</v>
      </c>
      <c r="J79" s="1">
        <v>1</v>
      </c>
      <c r="K79" s="4">
        <v>4</v>
      </c>
      <c r="L79" s="4">
        <v>3</v>
      </c>
      <c r="M79" s="4">
        <v>3</v>
      </c>
      <c r="N79" s="1">
        <v>4</v>
      </c>
      <c r="O79" s="4">
        <v>4</v>
      </c>
      <c r="P79" s="4">
        <v>4</v>
      </c>
      <c r="Q79" s="4">
        <v>4</v>
      </c>
      <c r="R79" s="1">
        <v>4</v>
      </c>
      <c r="S79" s="1">
        <v>1</v>
      </c>
      <c r="T79" s="1">
        <v>1</v>
      </c>
      <c r="U79" s="1">
        <v>4</v>
      </c>
      <c r="V79" s="57">
        <v>4</v>
      </c>
      <c r="W79" s="4">
        <v>4</v>
      </c>
      <c r="X79" s="4">
        <v>4</v>
      </c>
      <c r="Y79" s="1">
        <v>4</v>
      </c>
      <c r="Z79" s="4">
        <v>4</v>
      </c>
      <c r="AA79" s="4">
        <v>4</v>
      </c>
      <c r="AB79" s="4">
        <v>4</v>
      </c>
      <c r="AC79" s="57">
        <v>4</v>
      </c>
      <c r="AD79" s="1">
        <v>4</v>
      </c>
      <c r="AE79" s="1">
        <v>4</v>
      </c>
      <c r="AF79" s="4">
        <v>1</v>
      </c>
      <c r="AG79" s="1">
        <v>1</v>
      </c>
      <c r="AH79" s="1">
        <v>1</v>
      </c>
      <c r="AI79" s="1">
        <v>4</v>
      </c>
      <c r="AJ79" s="1">
        <v>1</v>
      </c>
      <c r="AK79" s="1">
        <v>1</v>
      </c>
      <c r="AL79" s="4">
        <v>4</v>
      </c>
      <c r="AM79" s="4">
        <v>4</v>
      </c>
      <c r="AN79" s="4">
        <v>4</v>
      </c>
      <c r="AO79" s="17">
        <v>4</v>
      </c>
      <c r="AP79" s="17">
        <v>4</v>
      </c>
      <c r="AQ79" s="17">
        <v>4</v>
      </c>
      <c r="AR79" s="17">
        <v>4</v>
      </c>
      <c r="AS79" s="17">
        <v>4</v>
      </c>
      <c r="AT79" s="17">
        <v>4</v>
      </c>
      <c r="AU79" s="17">
        <v>4</v>
      </c>
      <c r="AV79" s="57">
        <v>4</v>
      </c>
      <c r="AW79" s="17">
        <v>4</v>
      </c>
      <c r="AX79" s="17">
        <v>4</v>
      </c>
      <c r="AY79" s="4">
        <v>4</v>
      </c>
      <c r="AZ79" s="4">
        <v>4</v>
      </c>
      <c r="BA79" s="57">
        <v>4</v>
      </c>
      <c r="BB79" s="57">
        <v>4</v>
      </c>
      <c r="BC79" s="1">
        <v>1</v>
      </c>
      <c r="BD79" s="1">
        <v>1</v>
      </c>
      <c r="BE79" s="4">
        <v>4</v>
      </c>
      <c r="BF79" s="4">
        <v>1</v>
      </c>
      <c r="BG79" s="1">
        <v>1</v>
      </c>
      <c r="BH79" s="4">
        <v>4</v>
      </c>
      <c r="BI79" s="1">
        <v>1</v>
      </c>
      <c r="BJ79" s="1">
        <v>1</v>
      </c>
      <c r="BK79" s="1">
        <v>4</v>
      </c>
      <c r="BL79" s="1">
        <v>4</v>
      </c>
      <c r="BM79" s="1">
        <v>4</v>
      </c>
      <c r="BN79" s="4">
        <v>1</v>
      </c>
      <c r="BO79" s="4">
        <v>3</v>
      </c>
      <c r="BP79" s="4">
        <v>1</v>
      </c>
      <c r="BQ79" s="4">
        <v>4</v>
      </c>
      <c r="BR79" s="4">
        <v>4</v>
      </c>
      <c r="BS79" s="4">
        <v>1</v>
      </c>
      <c r="BT79" s="4">
        <v>1</v>
      </c>
      <c r="BU79" s="4">
        <v>1</v>
      </c>
      <c r="BV79" s="4">
        <v>1</v>
      </c>
      <c r="BW79" s="4">
        <v>1</v>
      </c>
      <c r="BX79" s="4">
        <v>1</v>
      </c>
      <c r="BY79" s="4">
        <v>4</v>
      </c>
      <c r="BZ79" s="4">
        <v>4</v>
      </c>
      <c r="CA79" s="1">
        <v>4</v>
      </c>
      <c r="CB79" s="17">
        <v>4</v>
      </c>
      <c r="CC79" s="4">
        <v>4</v>
      </c>
      <c r="CD79" s="4">
        <v>4</v>
      </c>
      <c r="CE79" s="1">
        <v>4</v>
      </c>
      <c r="CF79" s="57">
        <v>4</v>
      </c>
      <c r="CG79" s="57">
        <v>4</v>
      </c>
      <c r="CH79" s="4">
        <v>4</v>
      </c>
      <c r="CI79" s="4">
        <v>4</v>
      </c>
      <c r="CJ79" s="4">
        <v>4</v>
      </c>
      <c r="CK79" s="17">
        <v>4</v>
      </c>
      <c r="CL79" s="17">
        <v>4</v>
      </c>
      <c r="CM79" s="17">
        <v>4</v>
      </c>
      <c r="CN79" s="57">
        <v>4</v>
      </c>
      <c r="CO79" s="17">
        <v>4</v>
      </c>
      <c r="CP79" s="17">
        <v>4</v>
      </c>
      <c r="CQ79" s="57">
        <v>4</v>
      </c>
      <c r="CR79" s="17">
        <v>4</v>
      </c>
      <c r="CS79" s="17">
        <v>4</v>
      </c>
      <c r="CT79" s="4">
        <v>1</v>
      </c>
      <c r="CU79" s="4">
        <v>4</v>
      </c>
      <c r="CV79" s="4">
        <v>4</v>
      </c>
      <c r="CW79" s="4">
        <v>4</v>
      </c>
      <c r="CX79" s="4">
        <v>4</v>
      </c>
      <c r="CY79" s="4">
        <v>4</v>
      </c>
      <c r="CZ79" s="4">
        <v>4</v>
      </c>
      <c r="DA79" s="17">
        <v>4</v>
      </c>
      <c r="DB79" s="1">
        <v>4</v>
      </c>
      <c r="DC79" s="1">
        <v>4</v>
      </c>
      <c r="DD79" s="1">
        <v>4</v>
      </c>
      <c r="DE79" s="17">
        <v>4</v>
      </c>
      <c r="DF79" s="57">
        <v>4</v>
      </c>
      <c r="DG79" s="4">
        <v>4</v>
      </c>
      <c r="DH79" s="1">
        <v>4</v>
      </c>
      <c r="DI79" s="4">
        <v>4</v>
      </c>
      <c r="DJ79" s="4">
        <v>4</v>
      </c>
      <c r="DK79" s="1">
        <v>4</v>
      </c>
      <c r="DL79" s="1">
        <v>4</v>
      </c>
      <c r="DM79" s="1">
        <v>4</v>
      </c>
      <c r="DN79" s="1">
        <v>4</v>
      </c>
      <c r="DO79" s="1">
        <v>4</v>
      </c>
      <c r="DP79" s="1">
        <v>4</v>
      </c>
      <c r="DQ79" s="1">
        <v>4</v>
      </c>
      <c r="DR79" s="1">
        <v>4</v>
      </c>
      <c r="DS79" s="1">
        <v>4</v>
      </c>
      <c r="DT79" s="1">
        <v>4</v>
      </c>
    </row>
    <row r="80" spans="1:124" x14ac:dyDescent="0.2">
      <c r="A80" t="s">
        <v>164</v>
      </c>
      <c r="B80" s="1" t="s">
        <v>1410</v>
      </c>
      <c r="C80" s="1" t="s">
        <v>1245</v>
      </c>
      <c r="E80" s="62">
        <v>1</v>
      </c>
      <c r="F80" s="57">
        <v>4</v>
      </c>
      <c r="G80" s="1">
        <v>1</v>
      </c>
      <c r="H80" s="1">
        <v>1</v>
      </c>
      <c r="I80" s="1">
        <v>4</v>
      </c>
      <c r="J80" s="1">
        <v>1</v>
      </c>
      <c r="K80" s="4">
        <v>4</v>
      </c>
      <c r="L80" s="1">
        <v>1</v>
      </c>
      <c r="M80" s="1">
        <v>1</v>
      </c>
      <c r="N80" s="1">
        <v>4</v>
      </c>
      <c r="O80" s="4">
        <v>4</v>
      </c>
      <c r="P80" s="4">
        <v>4</v>
      </c>
      <c r="Q80" s="4">
        <v>4</v>
      </c>
      <c r="R80" s="1">
        <v>4</v>
      </c>
      <c r="S80" s="1">
        <v>1</v>
      </c>
      <c r="T80" s="1">
        <v>1</v>
      </c>
      <c r="U80" s="1">
        <v>4</v>
      </c>
      <c r="V80" s="57">
        <v>4</v>
      </c>
      <c r="W80" s="4">
        <v>4</v>
      </c>
      <c r="X80" s="4">
        <v>4</v>
      </c>
      <c r="Y80" s="1">
        <v>4</v>
      </c>
      <c r="Z80" s="4">
        <v>4</v>
      </c>
      <c r="AA80" s="4">
        <v>4</v>
      </c>
      <c r="AB80" s="4">
        <v>4</v>
      </c>
      <c r="AC80" s="57">
        <v>4</v>
      </c>
      <c r="AD80" s="1">
        <v>4</v>
      </c>
      <c r="AE80" s="1">
        <v>4</v>
      </c>
      <c r="AF80" s="4">
        <v>1</v>
      </c>
      <c r="AG80" s="1">
        <v>1</v>
      </c>
      <c r="AH80" s="1">
        <v>1</v>
      </c>
      <c r="AI80" s="1">
        <v>4</v>
      </c>
      <c r="AJ80" s="1">
        <v>1</v>
      </c>
      <c r="AK80" s="1">
        <v>1</v>
      </c>
      <c r="AL80" s="4">
        <v>4</v>
      </c>
      <c r="AM80" s="4">
        <v>4</v>
      </c>
      <c r="AN80" s="4">
        <v>1</v>
      </c>
      <c r="AO80" s="17">
        <v>4</v>
      </c>
      <c r="AP80" s="17">
        <v>4</v>
      </c>
      <c r="AQ80" s="17">
        <v>4</v>
      </c>
      <c r="AR80" s="17">
        <v>4</v>
      </c>
      <c r="AS80" s="17">
        <v>4</v>
      </c>
      <c r="AT80" s="17">
        <v>4</v>
      </c>
      <c r="AU80" s="17">
        <v>4</v>
      </c>
      <c r="AV80" s="57">
        <v>4</v>
      </c>
      <c r="AW80" s="17">
        <v>4</v>
      </c>
      <c r="AX80" s="17">
        <v>4</v>
      </c>
      <c r="AY80" s="4">
        <v>4</v>
      </c>
      <c r="AZ80" s="4">
        <v>4</v>
      </c>
      <c r="BA80" s="57">
        <v>4</v>
      </c>
      <c r="BB80" s="57">
        <v>4</v>
      </c>
      <c r="BC80" s="1">
        <v>1</v>
      </c>
      <c r="BD80" s="1">
        <v>1</v>
      </c>
      <c r="BE80" s="4">
        <v>4</v>
      </c>
      <c r="BF80" s="4">
        <v>1</v>
      </c>
      <c r="BG80" s="1">
        <v>1</v>
      </c>
      <c r="BH80" s="4">
        <v>4</v>
      </c>
      <c r="BI80" s="4">
        <v>4</v>
      </c>
      <c r="BJ80" s="4">
        <v>4</v>
      </c>
      <c r="BK80" s="4">
        <v>1</v>
      </c>
      <c r="BL80" s="1">
        <v>4</v>
      </c>
      <c r="BM80" s="1">
        <v>4</v>
      </c>
      <c r="BN80" s="4">
        <v>1</v>
      </c>
      <c r="BO80" s="4">
        <v>3</v>
      </c>
      <c r="BP80" s="4">
        <v>1</v>
      </c>
      <c r="BQ80" s="4">
        <v>4</v>
      </c>
      <c r="BR80" s="4">
        <v>4</v>
      </c>
      <c r="BS80" s="4">
        <v>1</v>
      </c>
      <c r="BT80" s="4">
        <v>1</v>
      </c>
      <c r="BU80" s="4">
        <v>1</v>
      </c>
      <c r="BV80" s="4">
        <v>1</v>
      </c>
      <c r="BW80" s="4">
        <v>1</v>
      </c>
      <c r="BX80" s="4">
        <v>1</v>
      </c>
      <c r="BY80" s="4">
        <v>4</v>
      </c>
      <c r="BZ80" s="4">
        <v>4</v>
      </c>
      <c r="CA80" s="1">
        <v>4</v>
      </c>
      <c r="CB80" s="17">
        <v>4</v>
      </c>
      <c r="CC80" s="4">
        <v>4</v>
      </c>
      <c r="CD80" s="4">
        <v>4</v>
      </c>
      <c r="CE80" s="1">
        <v>4</v>
      </c>
      <c r="CF80" s="57">
        <v>4</v>
      </c>
      <c r="CG80" s="57">
        <v>4</v>
      </c>
      <c r="CH80" s="4">
        <v>4</v>
      </c>
      <c r="CI80" s="4">
        <v>4</v>
      </c>
      <c r="CJ80" s="4">
        <v>4</v>
      </c>
      <c r="CK80" s="17">
        <v>4</v>
      </c>
      <c r="CL80" s="17">
        <v>4</v>
      </c>
      <c r="CM80" s="17">
        <v>4</v>
      </c>
      <c r="CN80" s="57">
        <v>4</v>
      </c>
      <c r="CO80" s="17">
        <v>4</v>
      </c>
      <c r="CP80" s="17">
        <v>4</v>
      </c>
      <c r="CQ80" s="57">
        <v>4</v>
      </c>
      <c r="CR80" s="17">
        <v>4</v>
      </c>
      <c r="CS80" s="17">
        <v>4</v>
      </c>
      <c r="CT80" s="4">
        <v>2</v>
      </c>
      <c r="CU80" s="4">
        <v>4</v>
      </c>
      <c r="CV80" s="4">
        <v>4</v>
      </c>
      <c r="CW80" s="4">
        <v>4</v>
      </c>
      <c r="CX80" s="4">
        <v>4</v>
      </c>
      <c r="CY80" s="4">
        <v>4</v>
      </c>
      <c r="CZ80" s="4">
        <v>4</v>
      </c>
      <c r="DA80" s="17">
        <v>4</v>
      </c>
      <c r="DB80" s="1">
        <v>4</v>
      </c>
      <c r="DC80" s="1">
        <v>4</v>
      </c>
      <c r="DD80" s="1">
        <v>4</v>
      </c>
      <c r="DE80" s="17">
        <v>4</v>
      </c>
      <c r="DF80" s="57">
        <v>4</v>
      </c>
      <c r="DG80" s="4">
        <v>4</v>
      </c>
      <c r="DH80" s="1">
        <v>4</v>
      </c>
      <c r="DI80" s="4">
        <v>4</v>
      </c>
      <c r="DJ80" s="4">
        <v>4</v>
      </c>
      <c r="DK80" s="1">
        <v>4</v>
      </c>
      <c r="DL80" s="1">
        <v>4</v>
      </c>
      <c r="DM80" s="1">
        <v>4</v>
      </c>
      <c r="DN80" s="1">
        <v>4</v>
      </c>
      <c r="DO80" s="1">
        <v>4</v>
      </c>
      <c r="DP80" s="1">
        <v>4</v>
      </c>
      <c r="DQ80" s="1">
        <v>4</v>
      </c>
      <c r="DR80" s="1">
        <v>4</v>
      </c>
      <c r="DS80" s="1">
        <v>4</v>
      </c>
      <c r="DT80" s="1">
        <v>4</v>
      </c>
    </row>
    <row r="81" spans="1:124" x14ac:dyDescent="0.2">
      <c r="A81" t="s">
        <v>165</v>
      </c>
      <c r="B81" s="1" t="s">
        <v>1410</v>
      </c>
      <c r="C81" s="1" t="s">
        <v>1245</v>
      </c>
      <c r="E81" s="62">
        <v>1</v>
      </c>
      <c r="F81" s="57">
        <v>4</v>
      </c>
      <c r="G81" s="1">
        <v>1</v>
      </c>
      <c r="H81" s="1">
        <v>1</v>
      </c>
      <c r="I81" s="1">
        <v>4</v>
      </c>
      <c r="J81" s="1">
        <v>1</v>
      </c>
      <c r="K81" s="4">
        <v>4</v>
      </c>
      <c r="L81" s="1">
        <v>1</v>
      </c>
      <c r="M81" s="1">
        <v>1</v>
      </c>
      <c r="N81" s="1">
        <v>4</v>
      </c>
      <c r="O81" s="4">
        <v>4</v>
      </c>
      <c r="P81" s="4">
        <v>4</v>
      </c>
      <c r="Q81" s="4">
        <v>4</v>
      </c>
      <c r="R81" s="1">
        <v>4</v>
      </c>
      <c r="S81" s="1">
        <v>1</v>
      </c>
      <c r="T81" s="1">
        <v>1</v>
      </c>
      <c r="U81" s="1">
        <v>4</v>
      </c>
      <c r="V81" s="57">
        <v>4</v>
      </c>
      <c r="W81" s="4">
        <v>4</v>
      </c>
      <c r="X81" s="4">
        <v>4</v>
      </c>
      <c r="Y81" s="1">
        <v>4</v>
      </c>
      <c r="Z81" s="4">
        <v>4</v>
      </c>
      <c r="AA81" s="4">
        <v>4</v>
      </c>
      <c r="AB81" s="4">
        <v>4</v>
      </c>
      <c r="AC81" s="57">
        <v>4</v>
      </c>
      <c r="AD81" s="1">
        <v>4</v>
      </c>
      <c r="AE81" s="1">
        <v>4</v>
      </c>
      <c r="AF81" s="4">
        <v>3</v>
      </c>
      <c r="AG81" s="1">
        <v>1</v>
      </c>
      <c r="AH81" s="1">
        <v>1</v>
      </c>
      <c r="AI81" s="1">
        <v>4</v>
      </c>
      <c r="AJ81" s="1">
        <v>1</v>
      </c>
      <c r="AK81" s="1">
        <v>1</v>
      </c>
      <c r="AL81" s="4">
        <v>4</v>
      </c>
      <c r="AM81" s="4">
        <v>4</v>
      </c>
      <c r="AN81" s="4">
        <v>3</v>
      </c>
      <c r="AO81" s="17">
        <v>4</v>
      </c>
      <c r="AP81" s="17">
        <v>4</v>
      </c>
      <c r="AQ81" s="17">
        <v>4</v>
      </c>
      <c r="AR81" s="17">
        <v>4</v>
      </c>
      <c r="AS81" s="17">
        <v>4</v>
      </c>
      <c r="AT81" s="17">
        <v>4</v>
      </c>
      <c r="AU81" s="17">
        <v>4</v>
      </c>
      <c r="AV81" s="57">
        <v>4</v>
      </c>
      <c r="AW81" s="17">
        <v>4</v>
      </c>
      <c r="AX81" s="17">
        <v>4</v>
      </c>
      <c r="AY81" s="4">
        <v>4</v>
      </c>
      <c r="AZ81" s="4">
        <v>4</v>
      </c>
      <c r="BA81" s="57">
        <v>4</v>
      </c>
      <c r="BB81" s="57">
        <v>4</v>
      </c>
      <c r="BC81" s="1">
        <v>3</v>
      </c>
      <c r="BD81" s="1">
        <v>1</v>
      </c>
      <c r="BE81" s="4">
        <v>4</v>
      </c>
      <c r="BF81" s="1">
        <v>3</v>
      </c>
      <c r="BG81" s="1">
        <v>3</v>
      </c>
      <c r="BH81" s="4">
        <v>4</v>
      </c>
      <c r="BI81" s="4">
        <v>4</v>
      </c>
      <c r="BJ81" s="4">
        <v>4</v>
      </c>
      <c r="BK81" s="4">
        <v>3</v>
      </c>
      <c r="BL81" s="1">
        <v>4</v>
      </c>
      <c r="BM81" s="1">
        <v>4</v>
      </c>
      <c r="BN81" s="4">
        <v>3</v>
      </c>
      <c r="BO81" s="1">
        <v>3</v>
      </c>
      <c r="BP81" s="1">
        <v>3</v>
      </c>
      <c r="BQ81" s="4">
        <v>4</v>
      </c>
      <c r="BR81" s="4">
        <v>4</v>
      </c>
      <c r="BS81" s="4">
        <v>3</v>
      </c>
      <c r="BT81" s="1">
        <v>3</v>
      </c>
      <c r="BU81" s="1">
        <v>3</v>
      </c>
      <c r="BV81" s="1">
        <v>3</v>
      </c>
      <c r="BW81" s="4">
        <v>1</v>
      </c>
      <c r="BX81" s="4">
        <v>1</v>
      </c>
      <c r="BY81" s="4">
        <v>4</v>
      </c>
      <c r="BZ81" s="4">
        <v>4</v>
      </c>
      <c r="CA81" s="1">
        <v>4</v>
      </c>
      <c r="CB81" s="17">
        <v>4</v>
      </c>
      <c r="CC81" s="4">
        <v>4</v>
      </c>
      <c r="CD81" s="4">
        <v>4</v>
      </c>
      <c r="CE81" s="1">
        <v>4</v>
      </c>
      <c r="CF81" s="57">
        <v>4</v>
      </c>
      <c r="CG81" s="57">
        <v>4</v>
      </c>
      <c r="CH81" s="4">
        <v>4</v>
      </c>
      <c r="CI81" s="4">
        <v>4</v>
      </c>
      <c r="CJ81" s="4">
        <v>4</v>
      </c>
      <c r="CK81" s="17">
        <v>4</v>
      </c>
      <c r="CL81" s="17">
        <v>4</v>
      </c>
      <c r="CM81" s="17">
        <v>4</v>
      </c>
      <c r="CN81" s="57">
        <v>4</v>
      </c>
      <c r="CO81" s="17">
        <v>4</v>
      </c>
      <c r="CP81" s="17">
        <v>4</v>
      </c>
      <c r="CQ81" s="57">
        <v>4</v>
      </c>
      <c r="CR81" s="17">
        <v>4</v>
      </c>
      <c r="CS81" s="17">
        <v>4</v>
      </c>
      <c r="CT81" s="4">
        <v>1</v>
      </c>
      <c r="CU81" s="4">
        <v>4</v>
      </c>
      <c r="CV81" s="4">
        <v>4</v>
      </c>
      <c r="CW81" s="4">
        <v>4</v>
      </c>
      <c r="CX81" s="4">
        <v>4</v>
      </c>
      <c r="CY81" s="4">
        <v>4</v>
      </c>
      <c r="CZ81" s="4">
        <v>4</v>
      </c>
      <c r="DA81" s="17">
        <v>4</v>
      </c>
      <c r="DB81" s="1">
        <v>4</v>
      </c>
      <c r="DC81" s="1">
        <v>4</v>
      </c>
      <c r="DD81" s="1">
        <v>4</v>
      </c>
      <c r="DE81" s="17">
        <v>4</v>
      </c>
      <c r="DF81" s="57">
        <v>4</v>
      </c>
      <c r="DG81" s="4">
        <v>4</v>
      </c>
      <c r="DH81" s="1">
        <v>4</v>
      </c>
      <c r="DI81" s="4">
        <v>4</v>
      </c>
      <c r="DJ81" s="4">
        <v>4</v>
      </c>
      <c r="DK81" s="1">
        <v>4</v>
      </c>
      <c r="DL81" s="1">
        <v>4</v>
      </c>
      <c r="DM81" s="1">
        <v>4</v>
      </c>
      <c r="DN81" s="1">
        <v>4</v>
      </c>
      <c r="DO81" s="1">
        <v>4</v>
      </c>
      <c r="DP81" s="1">
        <v>4</v>
      </c>
      <c r="DQ81" s="1">
        <v>4</v>
      </c>
      <c r="DR81" s="1">
        <v>4</v>
      </c>
      <c r="DS81" s="1">
        <v>4</v>
      </c>
      <c r="DT81" s="1">
        <v>4</v>
      </c>
    </row>
    <row r="82" spans="1:124" x14ac:dyDescent="0.2">
      <c r="A82" t="s">
        <v>166</v>
      </c>
      <c r="B82" s="1" t="s">
        <v>1410</v>
      </c>
      <c r="C82" s="1" t="s">
        <v>1245</v>
      </c>
      <c r="E82" s="62">
        <v>1</v>
      </c>
      <c r="F82" s="57">
        <v>4</v>
      </c>
      <c r="G82" s="1">
        <v>1</v>
      </c>
      <c r="H82" s="1">
        <v>1</v>
      </c>
      <c r="I82" s="1">
        <v>4</v>
      </c>
      <c r="J82" s="1">
        <v>1</v>
      </c>
      <c r="K82" s="4">
        <v>4</v>
      </c>
      <c r="L82" s="1">
        <v>3</v>
      </c>
      <c r="M82" s="1">
        <v>1</v>
      </c>
      <c r="N82" s="1">
        <v>4</v>
      </c>
      <c r="O82" s="4">
        <v>4</v>
      </c>
      <c r="P82" s="4">
        <v>4</v>
      </c>
      <c r="Q82" s="4">
        <v>4</v>
      </c>
      <c r="R82" s="1">
        <v>4</v>
      </c>
      <c r="S82" s="1">
        <v>1</v>
      </c>
      <c r="T82" s="1">
        <v>1</v>
      </c>
      <c r="U82" s="1">
        <v>4</v>
      </c>
      <c r="V82" s="57">
        <v>4</v>
      </c>
      <c r="W82" s="4">
        <v>4</v>
      </c>
      <c r="X82" s="4">
        <v>4</v>
      </c>
      <c r="Y82" s="1">
        <v>4</v>
      </c>
      <c r="Z82" s="4">
        <v>4</v>
      </c>
      <c r="AA82" s="4">
        <v>4</v>
      </c>
      <c r="AB82" s="4">
        <v>4</v>
      </c>
      <c r="AC82" s="57">
        <v>4</v>
      </c>
      <c r="AD82" s="1">
        <v>4</v>
      </c>
      <c r="AE82" s="1">
        <v>4</v>
      </c>
      <c r="AF82" s="4">
        <v>1</v>
      </c>
      <c r="AG82" s="1">
        <v>3</v>
      </c>
      <c r="AH82" s="1">
        <v>3</v>
      </c>
      <c r="AI82" s="1">
        <v>4</v>
      </c>
      <c r="AJ82" s="1">
        <v>1</v>
      </c>
      <c r="AK82" s="1">
        <v>1</v>
      </c>
      <c r="AL82" s="4">
        <v>4</v>
      </c>
      <c r="AM82" s="4">
        <v>4</v>
      </c>
      <c r="AN82" s="4">
        <v>3</v>
      </c>
      <c r="AO82" s="17">
        <v>4</v>
      </c>
      <c r="AP82" s="17">
        <v>4</v>
      </c>
      <c r="AQ82" s="17">
        <v>4</v>
      </c>
      <c r="AR82" s="17">
        <v>4</v>
      </c>
      <c r="AS82" s="17">
        <v>4</v>
      </c>
      <c r="AT82" s="17">
        <v>4</v>
      </c>
      <c r="AU82" s="17">
        <v>4</v>
      </c>
      <c r="AV82" s="57">
        <v>4</v>
      </c>
      <c r="AW82" s="17">
        <v>4</v>
      </c>
      <c r="AX82" s="17">
        <v>4</v>
      </c>
      <c r="AY82" s="4">
        <v>4</v>
      </c>
      <c r="AZ82" s="4">
        <v>4</v>
      </c>
      <c r="BA82" s="57">
        <v>4</v>
      </c>
      <c r="BB82" s="57">
        <v>4</v>
      </c>
      <c r="BC82" s="1">
        <v>3</v>
      </c>
      <c r="BD82" s="1">
        <v>1</v>
      </c>
      <c r="BE82" s="4">
        <v>4</v>
      </c>
      <c r="BF82" s="1">
        <v>3</v>
      </c>
      <c r="BG82" s="1">
        <v>3</v>
      </c>
      <c r="BH82" s="4">
        <v>4</v>
      </c>
      <c r="BI82" s="4">
        <v>3</v>
      </c>
      <c r="BJ82" s="4">
        <v>3</v>
      </c>
      <c r="BK82" s="4">
        <v>4</v>
      </c>
      <c r="BL82" s="1">
        <v>4</v>
      </c>
      <c r="BM82" s="1">
        <v>4</v>
      </c>
      <c r="BN82" s="4">
        <v>3</v>
      </c>
      <c r="BO82" s="1">
        <v>3</v>
      </c>
      <c r="BP82" s="1">
        <v>1</v>
      </c>
      <c r="BQ82" s="4">
        <v>4</v>
      </c>
      <c r="BR82" s="4">
        <v>4</v>
      </c>
      <c r="BS82" s="4">
        <v>3</v>
      </c>
      <c r="BT82" s="1">
        <v>3</v>
      </c>
      <c r="BU82" s="1">
        <v>3</v>
      </c>
      <c r="BV82" s="1">
        <v>3</v>
      </c>
      <c r="BW82" s="4">
        <v>1</v>
      </c>
      <c r="BX82" s="4">
        <v>1</v>
      </c>
      <c r="BY82" s="4">
        <v>4</v>
      </c>
      <c r="BZ82" s="4">
        <v>4</v>
      </c>
      <c r="CA82" s="1">
        <v>4</v>
      </c>
      <c r="CB82" s="17">
        <v>4</v>
      </c>
      <c r="CC82" s="4">
        <v>4</v>
      </c>
      <c r="CD82" s="4">
        <v>4</v>
      </c>
      <c r="CE82" s="1">
        <v>4</v>
      </c>
      <c r="CF82" s="57">
        <v>4</v>
      </c>
      <c r="CG82" s="57">
        <v>4</v>
      </c>
      <c r="CH82" s="4">
        <v>4</v>
      </c>
      <c r="CI82" s="4">
        <v>4</v>
      </c>
      <c r="CJ82" s="4">
        <v>4</v>
      </c>
      <c r="CK82" s="17">
        <v>4</v>
      </c>
      <c r="CL82" s="17">
        <v>4</v>
      </c>
      <c r="CM82" s="17">
        <v>4</v>
      </c>
      <c r="CN82" s="57">
        <v>4</v>
      </c>
      <c r="CO82" s="17">
        <v>4</v>
      </c>
      <c r="CP82" s="17">
        <v>4</v>
      </c>
      <c r="CQ82" s="57">
        <v>4</v>
      </c>
      <c r="CR82" s="17">
        <v>4</v>
      </c>
      <c r="CS82" s="17">
        <v>4</v>
      </c>
      <c r="CT82" s="4">
        <v>1</v>
      </c>
      <c r="CU82" s="4">
        <v>4</v>
      </c>
      <c r="CV82" s="4">
        <v>4</v>
      </c>
      <c r="CW82" s="4">
        <v>4</v>
      </c>
      <c r="CX82" s="4">
        <v>4</v>
      </c>
      <c r="CY82" s="4">
        <v>4</v>
      </c>
      <c r="CZ82" s="4">
        <v>4</v>
      </c>
      <c r="DA82" s="17">
        <v>4</v>
      </c>
      <c r="DB82" s="1">
        <v>4</v>
      </c>
      <c r="DC82" s="1">
        <v>4</v>
      </c>
      <c r="DD82" s="1">
        <v>4</v>
      </c>
      <c r="DE82" s="17">
        <v>4</v>
      </c>
      <c r="DF82" s="57">
        <v>4</v>
      </c>
      <c r="DG82" s="4">
        <v>4</v>
      </c>
      <c r="DH82" s="1">
        <v>4</v>
      </c>
      <c r="DI82" s="4">
        <v>4</v>
      </c>
      <c r="DJ82" s="4">
        <v>4</v>
      </c>
      <c r="DK82" s="1">
        <v>4</v>
      </c>
      <c r="DL82" s="1">
        <v>4</v>
      </c>
      <c r="DM82" s="1">
        <v>4</v>
      </c>
      <c r="DN82" s="1">
        <v>4</v>
      </c>
      <c r="DO82" s="1">
        <v>4</v>
      </c>
      <c r="DP82" s="1">
        <v>4</v>
      </c>
      <c r="DQ82" s="1">
        <v>4</v>
      </c>
      <c r="DR82" s="1">
        <v>4</v>
      </c>
      <c r="DS82" s="1">
        <v>4</v>
      </c>
      <c r="DT82" s="1">
        <v>4</v>
      </c>
    </row>
    <row r="83" spans="1:124" x14ac:dyDescent="0.2">
      <c r="A83" t="s">
        <v>198</v>
      </c>
      <c r="B83" s="1" t="s">
        <v>1410</v>
      </c>
      <c r="C83" s="1" t="s">
        <v>1227</v>
      </c>
      <c r="E83" s="62">
        <v>1</v>
      </c>
      <c r="F83" s="57">
        <v>4</v>
      </c>
      <c r="G83" s="1">
        <v>1</v>
      </c>
      <c r="H83" s="1">
        <v>1</v>
      </c>
      <c r="I83" s="1">
        <v>4</v>
      </c>
      <c r="J83" s="1">
        <v>1</v>
      </c>
      <c r="K83" s="4">
        <v>4</v>
      </c>
      <c r="L83" s="4">
        <v>3</v>
      </c>
      <c r="M83" s="1">
        <v>1</v>
      </c>
      <c r="N83" s="1">
        <v>4</v>
      </c>
      <c r="O83" s="4">
        <v>4</v>
      </c>
      <c r="P83" s="4">
        <v>4</v>
      </c>
      <c r="Q83" s="4">
        <v>4</v>
      </c>
      <c r="R83" s="1">
        <v>4</v>
      </c>
      <c r="S83" s="4">
        <v>3</v>
      </c>
      <c r="T83" s="4">
        <v>3</v>
      </c>
      <c r="U83" s="1">
        <v>4</v>
      </c>
      <c r="V83" s="57">
        <v>4</v>
      </c>
      <c r="W83" s="4">
        <v>4</v>
      </c>
      <c r="X83" s="4">
        <v>4</v>
      </c>
      <c r="Y83" s="1">
        <v>4</v>
      </c>
      <c r="Z83" s="4">
        <v>4</v>
      </c>
      <c r="AA83" s="4">
        <v>4</v>
      </c>
      <c r="AB83" s="4">
        <v>4</v>
      </c>
      <c r="AC83" s="57">
        <v>4</v>
      </c>
      <c r="AD83" s="1">
        <v>4</v>
      </c>
      <c r="AE83" s="1">
        <v>4</v>
      </c>
      <c r="AF83" s="4">
        <v>3</v>
      </c>
      <c r="AG83" s="1">
        <v>1</v>
      </c>
      <c r="AH83" s="1">
        <v>1</v>
      </c>
      <c r="AI83" s="1">
        <v>4</v>
      </c>
      <c r="AJ83" s="1">
        <v>1</v>
      </c>
      <c r="AK83" s="1">
        <v>1</v>
      </c>
      <c r="AL83" s="4">
        <v>4</v>
      </c>
      <c r="AM83" s="4">
        <v>4</v>
      </c>
      <c r="AN83" s="4">
        <v>3</v>
      </c>
      <c r="AO83" s="17">
        <v>4</v>
      </c>
      <c r="AP83" s="17">
        <v>4</v>
      </c>
      <c r="AQ83" s="17">
        <v>4</v>
      </c>
      <c r="AR83" s="17">
        <v>4</v>
      </c>
      <c r="AS83" s="17">
        <v>4</v>
      </c>
      <c r="AT83" s="17">
        <v>4</v>
      </c>
      <c r="AU83" s="17">
        <v>4</v>
      </c>
      <c r="AV83" s="57">
        <v>4</v>
      </c>
      <c r="AW83" s="17">
        <v>4</v>
      </c>
      <c r="AX83" s="17">
        <v>4</v>
      </c>
      <c r="AY83" s="4">
        <v>4</v>
      </c>
      <c r="AZ83" s="4">
        <v>4</v>
      </c>
      <c r="BA83" s="57">
        <v>4</v>
      </c>
      <c r="BB83" s="57">
        <v>4</v>
      </c>
      <c r="BC83" s="4">
        <v>1</v>
      </c>
      <c r="BD83" s="1">
        <v>1</v>
      </c>
      <c r="BE83" s="4">
        <v>4</v>
      </c>
      <c r="BF83" s="1">
        <v>3</v>
      </c>
      <c r="BG83" s="1">
        <v>3</v>
      </c>
      <c r="BH83" s="4">
        <v>4</v>
      </c>
      <c r="BI83" s="4">
        <v>3</v>
      </c>
      <c r="BJ83" s="4">
        <v>3</v>
      </c>
      <c r="BK83" s="4">
        <v>4</v>
      </c>
      <c r="BL83" s="1">
        <v>4</v>
      </c>
      <c r="BM83" s="1">
        <v>4</v>
      </c>
      <c r="BN83" s="4">
        <v>1</v>
      </c>
      <c r="BO83" s="4">
        <v>4</v>
      </c>
      <c r="BP83" s="4">
        <v>1</v>
      </c>
      <c r="BQ83" s="4">
        <v>4</v>
      </c>
      <c r="BR83" s="4">
        <v>4</v>
      </c>
      <c r="BS83" s="4">
        <v>1</v>
      </c>
      <c r="BT83" s="1">
        <v>3</v>
      </c>
      <c r="BU83" s="4">
        <v>1</v>
      </c>
      <c r="BV83" s="4">
        <v>1</v>
      </c>
      <c r="BW83" s="4">
        <v>3</v>
      </c>
      <c r="BX83" s="4">
        <v>1</v>
      </c>
      <c r="BY83" s="4">
        <v>4</v>
      </c>
      <c r="BZ83" s="4">
        <v>4</v>
      </c>
      <c r="CA83" s="1">
        <v>4</v>
      </c>
      <c r="CB83" s="17">
        <v>4</v>
      </c>
      <c r="CC83" s="4">
        <v>4</v>
      </c>
      <c r="CD83" s="4">
        <v>4</v>
      </c>
      <c r="CE83" s="1">
        <v>4</v>
      </c>
      <c r="CF83" s="57">
        <v>4</v>
      </c>
      <c r="CG83" s="57">
        <v>4</v>
      </c>
      <c r="CH83" s="4">
        <v>4</v>
      </c>
      <c r="CI83" s="4">
        <v>4</v>
      </c>
      <c r="CJ83" s="4">
        <v>4</v>
      </c>
      <c r="CK83" s="17">
        <v>4</v>
      </c>
      <c r="CL83" s="17">
        <v>4</v>
      </c>
      <c r="CM83" s="17">
        <v>4</v>
      </c>
      <c r="CN83" s="57">
        <v>4</v>
      </c>
      <c r="CO83" s="17">
        <v>4</v>
      </c>
      <c r="CP83" s="17">
        <v>4</v>
      </c>
      <c r="CQ83" s="57">
        <v>4</v>
      </c>
      <c r="CR83" s="17">
        <v>4</v>
      </c>
      <c r="CS83" s="17">
        <v>4</v>
      </c>
      <c r="CT83" s="4">
        <v>1</v>
      </c>
      <c r="CU83" s="4">
        <v>4</v>
      </c>
      <c r="CV83" s="4">
        <v>4</v>
      </c>
      <c r="CW83" s="4">
        <v>4</v>
      </c>
      <c r="CX83" s="4">
        <v>4</v>
      </c>
      <c r="CY83" s="4">
        <v>4</v>
      </c>
      <c r="CZ83" s="4">
        <v>4</v>
      </c>
      <c r="DA83" s="17">
        <v>4</v>
      </c>
      <c r="DB83" s="1">
        <v>4</v>
      </c>
      <c r="DC83" s="1">
        <v>4</v>
      </c>
      <c r="DD83" s="1">
        <v>4</v>
      </c>
      <c r="DE83" s="17">
        <v>4</v>
      </c>
      <c r="DF83" s="57">
        <v>4</v>
      </c>
      <c r="DG83" s="4">
        <v>4</v>
      </c>
      <c r="DH83" s="1">
        <v>4</v>
      </c>
      <c r="DI83" s="4">
        <v>4</v>
      </c>
      <c r="DJ83" s="4">
        <v>4</v>
      </c>
      <c r="DK83" s="1">
        <v>4</v>
      </c>
      <c r="DL83" s="1">
        <v>4</v>
      </c>
      <c r="DM83" s="1">
        <v>4</v>
      </c>
      <c r="DN83" s="1">
        <v>4</v>
      </c>
      <c r="DO83" s="1">
        <v>4</v>
      </c>
      <c r="DP83" s="1">
        <v>4</v>
      </c>
      <c r="DQ83" s="1">
        <v>4</v>
      </c>
      <c r="DR83" s="1">
        <v>4</v>
      </c>
      <c r="DS83" s="1">
        <v>4</v>
      </c>
      <c r="DT83" s="1">
        <v>4</v>
      </c>
    </row>
    <row r="84" spans="1:124" x14ac:dyDescent="0.2">
      <c r="A84" t="s">
        <v>171</v>
      </c>
      <c r="B84" s="1" t="s">
        <v>1410</v>
      </c>
      <c r="C84" s="1" t="s">
        <v>1227</v>
      </c>
      <c r="E84" s="62">
        <v>1</v>
      </c>
      <c r="F84" s="57">
        <v>4</v>
      </c>
      <c r="G84" s="1">
        <v>1</v>
      </c>
      <c r="H84" s="1">
        <v>1</v>
      </c>
      <c r="I84" s="1">
        <v>4</v>
      </c>
      <c r="J84" s="1">
        <v>1</v>
      </c>
      <c r="K84" s="4">
        <v>4</v>
      </c>
      <c r="L84" s="4">
        <v>3</v>
      </c>
      <c r="M84" s="1">
        <v>1</v>
      </c>
      <c r="N84" s="1">
        <v>4</v>
      </c>
      <c r="O84" s="4">
        <v>4</v>
      </c>
      <c r="P84" s="4">
        <v>4</v>
      </c>
      <c r="Q84" s="4">
        <v>4</v>
      </c>
      <c r="R84" s="1">
        <v>4</v>
      </c>
      <c r="S84" s="4">
        <v>3</v>
      </c>
      <c r="T84" s="4">
        <v>3</v>
      </c>
      <c r="U84" s="1">
        <v>4</v>
      </c>
      <c r="V84" s="57">
        <v>4</v>
      </c>
      <c r="W84" s="4">
        <v>4</v>
      </c>
      <c r="X84" s="4">
        <v>4</v>
      </c>
      <c r="Y84" s="1">
        <v>4</v>
      </c>
      <c r="Z84" s="4">
        <v>4</v>
      </c>
      <c r="AA84" s="4">
        <v>4</v>
      </c>
      <c r="AB84" s="4">
        <v>4</v>
      </c>
      <c r="AC84" s="57">
        <v>4</v>
      </c>
      <c r="AD84" s="1">
        <v>4</v>
      </c>
      <c r="AE84" s="1">
        <v>4</v>
      </c>
      <c r="AF84" s="4">
        <v>3</v>
      </c>
      <c r="AG84" s="1">
        <v>1</v>
      </c>
      <c r="AH84" s="1">
        <v>1</v>
      </c>
      <c r="AI84" s="1">
        <v>4</v>
      </c>
      <c r="AJ84" s="1">
        <v>1</v>
      </c>
      <c r="AK84" s="1">
        <v>1</v>
      </c>
      <c r="AL84" s="4">
        <v>4</v>
      </c>
      <c r="AM84" s="4">
        <v>4</v>
      </c>
      <c r="AN84" s="4">
        <v>3</v>
      </c>
      <c r="AO84" s="17">
        <v>4</v>
      </c>
      <c r="AP84" s="17">
        <v>4</v>
      </c>
      <c r="AQ84" s="17">
        <v>4</v>
      </c>
      <c r="AR84" s="17">
        <v>4</v>
      </c>
      <c r="AS84" s="17">
        <v>4</v>
      </c>
      <c r="AT84" s="17">
        <v>4</v>
      </c>
      <c r="AU84" s="17">
        <v>4</v>
      </c>
      <c r="AV84" s="57">
        <v>4</v>
      </c>
      <c r="AW84" s="17">
        <v>4</v>
      </c>
      <c r="AX84" s="17">
        <v>4</v>
      </c>
      <c r="AY84" s="4">
        <v>4</v>
      </c>
      <c r="AZ84" s="4">
        <v>4</v>
      </c>
      <c r="BA84" s="57">
        <v>4</v>
      </c>
      <c r="BB84" s="57">
        <v>4</v>
      </c>
      <c r="BC84" s="4">
        <v>1</v>
      </c>
      <c r="BD84" s="1">
        <v>1</v>
      </c>
      <c r="BE84" s="4">
        <v>4</v>
      </c>
      <c r="BF84" s="1">
        <v>3</v>
      </c>
      <c r="BG84" s="1">
        <v>3</v>
      </c>
      <c r="BH84" s="4">
        <v>4</v>
      </c>
      <c r="BI84" s="4">
        <v>3</v>
      </c>
      <c r="BJ84" s="4">
        <v>3</v>
      </c>
      <c r="BK84" s="4">
        <v>4</v>
      </c>
      <c r="BL84" s="1">
        <v>4</v>
      </c>
      <c r="BM84" s="1">
        <v>4</v>
      </c>
      <c r="BN84" s="4">
        <v>3</v>
      </c>
      <c r="BO84" s="4">
        <v>4</v>
      </c>
      <c r="BP84" s="4">
        <v>3</v>
      </c>
      <c r="BQ84" s="4">
        <v>4</v>
      </c>
      <c r="BR84" s="4">
        <v>4</v>
      </c>
      <c r="BS84" s="4">
        <v>3</v>
      </c>
      <c r="BT84" s="1">
        <v>3</v>
      </c>
      <c r="BU84" s="4">
        <v>3</v>
      </c>
      <c r="BV84" s="4">
        <v>1</v>
      </c>
      <c r="BW84" s="4">
        <v>3</v>
      </c>
      <c r="BX84" s="4">
        <v>3</v>
      </c>
      <c r="BY84" s="4">
        <v>4</v>
      </c>
      <c r="BZ84" s="4">
        <v>4</v>
      </c>
      <c r="CA84" s="1">
        <v>4</v>
      </c>
      <c r="CB84" s="17">
        <v>4</v>
      </c>
      <c r="CC84" s="4">
        <v>4</v>
      </c>
      <c r="CD84" s="4">
        <v>4</v>
      </c>
      <c r="CE84" s="1">
        <v>4</v>
      </c>
      <c r="CF84" s="57">
        <v>4</v>
      </c>
      <c r="CG84" s="57">
        <v>4</v>
      </c>
      <c r="CH84" s="4">
        <v>4</v>
      </c>
      <c r="CI84" s="4">
        <v>4</v>
      </c>
      <c r="CJ84" s="4">
        <v>4</v>
      </c>
      <c r="CK84" s="17">
        <v>4</v>
      </c>
      <c r="CL84" s="17">
        <v>4</v>
      </c>
      <c r="CM84" s="17">
        <v>4</v>
      </c>
      <c r="CN84" s="57">
        <v>4</v>
      </c>
      <c r="CO84" s="17">
        <v>4</v>
      </c>
      <c r="CP84" s="17">
        <v>4</v>
      </c>
      <c r="CQ84" s="57">
        <v>4</v>
      </c>
      <c r="CR84" s="17">
        <v>4</v>
      </c>
      <c r="CS84" s="17">
        <v>4</v>
      </c>
      <c r="CT84" s="4">
        <v>1</v>
      </c>
      <c r="CU84" s="4">
        <v>4</v>
      </c>
      <c r="CV84" s="4">
        <v>4</v>
      </c>
      <c r="CW84" s="4">
        <v>4</v>
      </c>
      <c r="CX84" s="4">
        <v>4</v>
      </c>
      <c r="CY84" s="4">
        <v>4</v>
      </c>
      <c r="CZ84" s="4">
        <v>4</v>
      </c>
      <c r="DA84" s="17">
        <v>4</v>
      </c>
      <c r="DB84" s="1">
        <v>4</v>
      </c>
      <c r="DC84" s="1">
        <v>4</v>
      </c>
      <c r="DD84" s="1">
        <v>4</v>
      </c>
      <c r="DE84" s="17">
        <v>4</v>
      </c>
      <c r="DF84" s="57">
        <v>4</v>
      </c>
      <c r="DG84" s="4">
        <v>4</v>
      </c>
      <c r="DH84" s="1">
        <v>4</v>
      </c>
      <c r="DI84" s="4">
        <v>4</v>
      </c>
      <c r="DJ84" s="4">
        <v>4</v>
      </c>
      <c r="DK84" s="1">
        <v>4</v>
      </c>
      <c r="DL84" s="1">
        <v>4</v>
      </c>
      <c r="DM84" s="1">
        <v>4</v>
      </c>
      <c r="DN84" s="1">
        <v>4</v>
      </c>
      <c r="DO84" s="1">
        <v>4</v>
      </c>
      <c r="DP84" s="1">
        <v>4</v>
      </c>
      <c r="DQ84" s="1">
        <v>4</v>
      </c>
      <c r="DR84" s="1">
        <v>4</v>
      </c>
      <c r="DS84" s="1">
        <v>4</v>
      </c>
      <c r="DT84" s="1">
        <v>4</v>
      </c>
    </row>
    <row r="85" spans="1:124" x14ac:dyDescent="0.2">
      <c r="A85" t="s">
        <v>173</v>
      </c>
      <c r="B85" s="1" t="s">
        <v>1410</v>
      </c>
      <c r="C85" s="1" t="s">
        <v>1227</v>
      </c>
      <c r="E85" s="62">
        <v>1</v>
      </c>
      <c r="F85" s="57">
        <v>4</v>
      </c>
      <c r="G85" s="1">
        <v>1</v>
      </c>
      <c r="H85" s="1">
        <v>1</v>
      </c>
      <c r="I85" s="1">
        <v>4</v>
      </c>
      <c r="J85" s="1">
        <v>1</v>
      </c>
      <c r="K85" s="4">
        <v>4</v>
      </c>
      <c r="L85" s="4">
        <v>1</v>
      </c>
      <c r="M85" s="1">
        <v>1</v>
      </c>
      <c r="N85" s="1">
        <v>4</v>
      </c>
      <c r="O85" s="4">
        <v>4</v>
      </c>
      <c r="P85" s="4">
        <v>4</v>
      </c>
      <c r="Q85" s="4">
        <v>4</v>
      </c>
      <c r="R85" s="1">
        <v>4</v>
      </c>
      <c r="S85" s="4">
        <v>1</v>
      </c>
      <c r="T85" s="4">
        <v>1</v>
      </c>
      <c r="U85" s="1">
        <v>4</v>
      </c>
      <c r="V85" s="57">
        <v>4</v>
      </c>
      <c r="W85" s="4">
        <v>4</v>
      </c>
      <c r="X85" s="4">
        <v>4</v>
      </c>
      <c r="Y85" s="1">
        <v>4</v>
      </c>
      <c r="Z85" s="4">
        <v>4</v>
      </c>
      <c r="AA85" s="4">
        <v>4</v>
      </c>
      <c r="AB85" s="4">
        <v>4</v>
      </c>
      <c r="AC85" s="57">
        <v>4</v>
      </c>
      <c r="AD85" s="1">
        <v>4</v>
      </c>
      <c r="AE85" s="1">
        <v>4</v>
      </c>
      <c r="AF85" s="1">
        <v>1</v>
      </c>
      <c r="AG85" s="1">
        <v>1</v>
      </c>
      <c r="AH85" s="1">
        <v>1</v>
      </c>
      <c r="AI85" s="1">
        <v>4</v>
      </c>
      <c r="AJ85" s="1">
        <v>1</v>
      </c>
      <c r="AK85" s="1">
        <v>1</v>
      </c>
      <c r="AL85" s="4">
        <v>4</v>
      </c>
      <c r="AM85" s="4">
        <v>4</v>
      </c>
      <c r="AN85" s="4">
        <v>3</v>
      </c>
      <c r="AO85" s="17">
        <v>4</v>
      </c>
      <c r="AP85" s="17">
        <v>4</v>
      </c>
      <c r="AQ85" s="17">
        <v>4</v>
      </c>
      <c r="AR85" s="17">
        <v>4</v>
      </c>
      <c r="AS85" s="17">
        <v>4</v>
      </c>
      <c r="AT85" s="17">
        <v>4</v>
      </c>
      <c r="AU85" s="17">
        <v>4</v>
      </c>
      <c r="AV85" s="57">
        <v>4</v>
      </c>
      <c r="AW85" s="17">
        <v>4</v>
      </c>
      <c r="AX85" s="17">
        <v>4</v>
      </c>
      <c r="AY85" s="4">
        <v>4</v>
      </c>
      <c r="AZ85" s="4">
        <v>4</v>
      </c>
      <c r="BA85" s="57">
        <v>4</v>
      </c>
      <c r="BB85" s="57">
        <v>4</v>
      </c>
      <c r="BC85" s="4">
        <v>3</v>
      </c>
      <c r="BD85" s="1">
        <v>1</v>
      </c>
      <c r="BE85" s="4">
        <v>4</v>
      </c>
      <c r="BF85" s="4">
        <v>1</v>
      </c>
      <c r="BG85" s="4">
        <v>3</v>
      </c>
      <c r="BH85" s="4">
        <v>4</v>
      </c>
      <c r="BI85" s="4">
        <v>3</v>
      </c>
      <c r="BJ85" s="4">
        <v>3</v>
      </c>
      <c r="BK85" s="4">
        <v>4</v>
      </c>
      <c r="BL85" s="1">
        <v>4</v>
      </c>
      <c r="BM85" s="1">
        <v>4</v>
      </c>
      <c r="BN85" s="4">
        <v>3</v>
      </c>
      <c r="BO85" s="4">
        <v>4</v>
      </c>
      <c r="BP85" s="4">
        <v>1</v>
      </c>
      <c r="BQ85" s="4">
        <v>4</v>
      </c>
      <c r="BR85" s="4">
        <v>4</v>
      </c>
      <c r="BS85" s="4">
        <v>1</v>
      </c>
      <c r="BT85" s="1">
        <v>3</v>
      </c>
      <c r="BU85" s="4">
        <v>1</v>
      </c>
      <c r="BV85" s="4">
        <v>1</v>
      </c>
      <c r="BW85" s="4">
        <v>1</v>
      </c>
      <c r="BX85" s="4">
        <v>1</v>
      </c>
      <c r="BY85" s="4">
        <v>4</v>
      </c>
      <c r="BZ85" s="4">
        <v>4</v>
      </c>
      <c r="CA85" s="1">
        <v>4</v>
      </c>
      <c r="CB85" s="17">
        <v>4</v>
      </c>
      <c r="CC85" s="4">
        <v>4</v>
      </c>
      <c r="CD85" s="4">
        <v>4</v>
      </c>
      <c r="CE85" s="1">
        <v>4</v>
      </c>
      <c r="CF85" s="57">
        <v>4</v>
      </c>
      <c r="CG85" s="57">
        <v>4</v>
      </c>
      <c r="CH85" s="4">
        <v>4</v>
      </c>
      <c r="CI85" s="4">
        <v>4</v>
      </c>
      <c r="CJ85" s="4">
        <v>4</v>
      </c>
      <c r="CK85" s="17">
        <v>4</v>
      </c>
      <c r="CL85" s="17">
        <v>4</v>
      </c>
      <c r="CM85" s="17">
        <v>4</v>
      </c>
      <c r="CN85" s="57">
        <v>4</v>
      </c>
      <c r="CO85" s="17">
        <v>4</v>
      </c>
      <c r="CP85" s="17">
        <v>4</v>
      </c>
      <c r="CQ85" s="57">
        <v>4</v>
      </c>
      <c r="CR85" s="17">
        <v>4</v>
      </c>
      <c r="CS85" s="17">
        <v>4</v>
      </c>
      <c r="CT85" s="4">
        <v>1</v>
      </c>
      <c r="CU85" s="4">
        <v>4</v>
      </c>
      <c r="CV85" s="4">
        <v>4</v>
      </c>
      <c r="CW85" s="4">
        <v>4</v>
      </c>
      <c r="CX85" s="4">
        <v>4</v>
      </c>
      <c r="CY85" s="4">
        <v>4</v>
      </c>
      <c r="CZ85" s="4">
        <v>4</v>
      </c>
      <c r="DA85" s="17">
        <v>4</v>
      </c>
      <c r="DB85" s="1">
        <v>4</v>
      </c>
      <c r="DC85" s="1">
        <v>4</v>
      </c>
      <c r="DD85" s="1">
        <v>4</v>
      </c>
      <c r="DE85" s="17">
        <v>4</v>
      </c>
      <c r="DF85" s="57">
        <v>4</v>
      </c>
      <c r="DG85" s="4">
        <v>4</v>
      </c>
      <c r="DH85" s="1">
        <v>4</v>
      </c>
      <c r="DI85" s="4">
        <v>4</v>
      </c>
      <c r="DJ85" s="4">
        <v>4</v>
      </c>
      <c r="DK85" s="1">
        <v>4</v>
      </c>
      <c r="DL85" s="1">
        <v>4</v>
      </c>
      <c r="DM85" s="1">
        <v>4</v>
      </c>
      <c r="DN85" s="1">
        <v>4</v>
      </c>
      <c r="DO85" s="1">
        <v>4</v>
      </c>
      <c r="DP85" s="1">
        <v>4</v>
      </c>
      <c r="DQ85" s="1">
        <v>4</v>
      </c>
      <c r="DR85" s="1">
        <v>4</v>
      </c>
      <c r="DS85" s="1">
        <v>4</v>
      </c>
      <c r="DT85" s="1">
        <v>4</v>
      </c>
    </row>
    <row r="86" spans="1:124" x14ac:dyDescent="0.2">
      <c r="A86" t="s">
        <v>175</v>
      </c>
      <c r="B86" s="1" t="s">
        <v>1410</v>
      </c>
      <c r="C86" s="1" t="s">
        <v>1227</v>
      </c>
      <c r="E86" s="62">
        <v>1</v>
      </c>
      <c r="F86" s="57">
        <v>4</v>
      </c>
      <c r="G86" s="1">
        <v>1</v>
      </c>
      <c r="H86" s="1">
        <v>1</v>
      </c>
      <c r="I86" s="1">
        <v>4</v>
      </c>
      <c r="J86" s="1">
        <v>1</v>
      </c>
      <c r="K86" s="4">
        <v>4</v>
      </c>
      <c r="L86" s="4">
        <v>3</v>
      </c>
      <c r="M86" s="1">
        <v>1</v>
      </c>
      <c r="N86" s="1">
        <v>4</v>
      </c>
      <c r="O86" s="4">
        <v>4</v>
      </c>
      <c r="P86" s="4">
        <v>4</v>
      </c>
      <c r="Q86" s="4">
        <v>4</v>
      </c>
      <c r="R86" s="1">
        <v>4</v>
      </c>
      <c r="S86" s="4">
        <v>1</v>
      </c>
      <c r="T86" s="4">
        <v>1</v>
      </c>
      <c r="U86" s="1">
        <v>4</v>
      </c>
      <c r="V86" s="57">
        <v>4</v>
      </c>
      <c r="W86" s="4">
        <v>4</v>
      </c>
      <c r="X86" s="4">
        <v>4</v>
      </c>
      <c r="Y86" s="1">
        <v>4</v>
      </c>
      <c r="Z86" s="4">
        <v>4</v>
      </c>
      <c r="AA86" s="4">
        <v>4</v>
      </c>
      <c r="AB86" s="4">
        <v>4</v>
      </c>
      <c r="AC86" s="57">
        <v>4</v>
      </c>
      <c r="AD86" s="1">
        <v>4</v>
      </c>
      <c r="AE86" s="1">
        <v>4</v>
      </c>
      <c r="AF86" s="1">
        <v>1</v>
      </c>
      <c r="AG86" s="1">
        <v>1</v>
      </c>
      <c r="AH86" s="1">
        <v>1</v>
      </c>
      <c r="AI86" s="1">
        <v>4</v>
      </c>
      <c r="AJ86" s="1">
        <v>1</v>
      </c>
      <c r="AK86" s="1">
        <v>1</v>
      </c>
      <c r="AL86" s="4">
        <v>4</v>
      </c>
      <c r="AM86" s="4">
        <v>4</v>
      </c>
      <c r="AN86" s="4">
        <v>3</v>
      </c>
      <c r="AO86" s="17">
        <v>4</v>
      </c>
      <c r="AP86" s="17">
        <v>4</v>
      </c>
      <c r="AQ86" s="17">
        <v>4</v>
      </c>
      <c r="AR86" s="17">
        <v>4</v>
      </c>
      <c r="AS86" s="17">
        <v>4</v>
      </c>
      <c r="AT86" s="17">
        <v>4</v>
      </c>
      <c r="AU86" s="17">
        <v>4</v>
      </c>
      <c r="AV86" s="57">
        <v>4</v>
      </c>
      <c r="AW86" s="17">
        <v>4</v>
      </c>
      <c r="AX86" s="17">
        <v>4</v>
      </c>
      <c r="AY86" s="4">
        <v>4</v>
      </c>
      <c r="AZ86" s="4">
        <v>4</v>
      </c>
      <c r="BA86" s="57">
        <v>4</v>
      </c>
      <c r="BB86" s="57">
        <v>4</v>
      </c>
      <c r="BC86" s="4">
        <v>3</v>
      </c>
      <c r="BD86" s="4">
        <v>3</v>
      </c>
      <c r="BE86" s="4">
        <v>4</v>
      </c>
      <c r="BF86" s="4">
        <v>3</v>
      </c>
      <c r="BG86" s="4">
        <v>3</v>
      </c>
      <c r="BH86" s="4">
        <v>4</v>
      </c>
      <c r="BI86" s="4">
        <v>3</v>
      </c>
      <c r="BJ86" s="4">
        <v>3</v>
      </c>
      <c r="BK86" s="4">
        <v>4</v>
      </c>
      <c r="BL86" s="1">
        <v>4</v>
      </c>
      <c r="BM86" s="1">
        <v>4</v>
      </c>
      <c r="BN86" s="4">
        <v>3</v>
      </c>
      <c r="BO86" s="4">
        <v>4</v>
      </c>
      <c r="BP86" s="4">
        <v>1</v>
      </c>
      <c r="BQ86" s="4">
        <v>4</v>
      </c>
      <c r="BR86" s="4">
        <v>4</v>
      </c>
      <c r="BS86" s="4">
        <v>3</v>
      </c>
      <c r="BT86" s="1">
        <v>3</v>
      </c>
      <c r="BU86" s="4">
        <v>1</v>
      </c>
      <c r="BV86" s="4">
        <v>1</v>
      </c>
      <c r="BW86" s="4">
        <v>1</v>
      </c>
      <c r="BX86" s="4">
        <v>1</v>
      </c>
      <c r="BY86" s="4">
        <v>4</v>
      </c>
      <c r="BZ86" s="4">
        <v>4</v>
      </c>
      <c r="CA86" s="1">
        <v>4</v>
      </c>
      <c r="CB86" s="17">
        <v>4</v>
      </c>
      <c r="CC86" s="4">
        <v>4</v>
      </c>
      <c r="CD86" s="4">
        <v>4</v>
      </c>
      <c r="CE86" s="1">
        <v>4</v>
      </c>
      <c r="CF86" s="57">
        <v>4</v>
      </c>
      <c r="CG86" s="57">
        <v>4</v>
      </c>
      <c r="CH86" s="4">
        <v>4</v>
      </c>
      <c r="CI86" s="4">
        <v>4</v>
      </c>
      <c r="CJ86" s="4">
        <v>4</v>
      </c>
      <c r="CK86" s="17">
        <v>4</v>
      </c>
      <c r="CL86" s="17">
        <v>4</v>
      </c>
      <c r="CM86" s="17">
        <v>4</v>
      </c>
      <c r="CN86" s="57">
        <v>4</v>
      </c>
      <c r="CO86" s="17">
        <v>4</v>
      </c>
      <c r="CP86" s="17">
        <v>4</v>
      </c>
      <c r="CQ86" s="57">
        <v>4</v>
      </c>
      <c r="CR86" s="17">
        <v>4</v>
      </c>
      <c r="CS86" s="17">
        <v>4</v>
      </c>
      <c r="CT86" s="4">
        <v>1</v>
      </c>
      <c r="CU86" s="4">
        <v>4</v>
      </c>
      <c r="CV86" s="4">
        <v>4</v>
      </c>
      <c r="CW86" s="4">
        <v>4</v>
      </c>
      <c r="CX86" s="4">
        <v>4</v>
      </c>
      <c r="CY86" s="4">
        <v>4</v>
      </c>
      <c r="CZ86" s="4">
        <v>4</v>
      </c>
      <c r="DA86" s="17">
        <v>4</v>
      </c>
      <c r="DB86" s="1">
        <v>4</v>
      </c>
      <c r="DC86" s="1">
        <v>4</v>
      </c>
      <c r="DD86" s="1">
        <v>4</v>
      </c>
      <c r="DE86" s="17">
        <v>4</v>
      </c>
      <c r="DF86" s="57">
        <v>4</v>
      </c>
      <c r="DG86" s="4">
        <v>4</v>
      </c>
      <c r="DH86" s="1">
        <v>4</v>
      </c>
      <c r="DI86" s="4">
        <v>4</v>
      </c>
      <c r="DJ86" s="4">
        <v>4</v>
      </c>
      <c r="DK86" s="1">
        <v>4</v>
      </c>
      <c r="DL86" s="1">
        <v>4</v>
      </c>
      <c r="DM86" s="1">
        <v>4</v>
      </c>
      <c r="DN86" s="1">
        <v>4</v>
      </c>
      <c r="DO86" s="1">
        <v>4</v>
      </c>
      <c r="DP86" s="1">
        <v>4</v>
      </c>
      <c r="DQ86" s="1">
        <v>4</v>
      </c>
      <c r="DR86" s="1">
        <v>4</v>
      </c>
      <c r="DS86" s="1">
        <v>4</v>
      </c>
      <c r="DT86" s="1">
        <v>4</v>
      </c>
    </row>
    <row r="87" spans="1:124" x14ac:dyDescent="0.2">
      <c r="A87" t="s">
        <v>177</v>
      </c>
      <c r="B87" s="1" t="s">
        <v>1410</v>
      </c>
      <c r="C87" s="1" t="s">
        <v>1227</v>
      </c>
      <c r="E87" s="62">
        <v>1</v>
      </c>
      <c r="F87" s="57">
        <v>4</v>
      </c>
      <c r="G87" s="1">
        <v>1</v>
      </c>
      <c r="H87" s="1">
        <v>1</v>
      </c>
      <c r="I87" s="1">
        <v>4</v>
      </c>
      <c r="J87" s="1">
        <v>1</v>
      </c>
      <c r="K87" s="4">
        <v>4</v>
      </c>
      <c r="L87" s="4">
        <v>3</v>
      </c>
      <c r="M87" s="1">
        <v>1</v>
      </c>
      <c r="N87" s="1">
        <v>4</v>
      </c>
      <c r="O87" s="4">
        <v>4</v>
      </c>
      <c r="P87" s="4">
        <v>4</v>
      </c>
      <c r="Q87" s="4">
        <v>4</v>
      </c>
      <c r="R87" s="1">
        <v>4</v>
      </c>
      <c r="S87" s="4">
        <v>3</v>
      </c>
      <c r="T87" s="4">
        <v>3</v>
      </c>
      <c r="U87" s="1">
        <v>4</v>
      </c>
      <c r="V87" s="57">
        <v>4</v>
      </c>
      <c r="W87" s="4">
        <v>4</v>
      </c>
      <c r="X87" s="4">
        <v>4</v>
      </c>
      <c r="Y87" s="1">
        <v>4</v>
      </c>
      <c r="Z87" s="4">
        <v>4</v>
      </c>
      <c r="AA87" s="4">
        <v>4</v>
      </c>
      <c r="AB87" s="4">
        <v>4</v>
      </c>
      <c r="AC87" s="57">
        <v>4</v>
      </c>
      <c r="AD87" s="1">
        <v>4</v>
      </c>
      <c r="AE87" s="1">
        <v>4</v>
      </c>
      <c r="AF87" s="1">
        <v>1</v>
      </c>
      <c r="AG87" s="1">
        <v>1</v>
      </c>
      <c r="AH87" s="1">
        <v>1</v>
      </c>
      <c r="AI87" s="1">
        <v>4</v>
      </c>
      <c r="AJ87" s="1">
        <v>1</v>
      </c>
      <c r="AK87" s="4">
        <v>3</v>
      </c>
      <c r="AL87" s="4">
        <v>4</v>
      </c>
      <c r="AM87" s="4">
        <v>4</v>
      </c>
      <c r="AN87" s="4">
        <v>3</v>
      </c>
      <c r="AO87" s="17">
        <v>4</v>
      </c>
      <c r="AP87" s="17">
        <v>4</v>
      </c>
      <c r="AQ87" s="17">
        <v>4</v>
      </c>
      <c r="AR87" s="17">
        <v>4</v>
      </c>
      <c r="AS87" s="17">
        <v>4</v>
      </c>
      <c r="AT87" s="17">
        <v>4</v>
      </c>
      <c r="AU87" s="17">
        <v>4</v>
      </c>
      <c r="AV87" s="57">
        <v>4</v>
      </c>
      <c r="AW87" s="17">
        <v>4</v>
      </c>
      <c r="AX87" s="17">
        <v>4</v>
      </c>
      <c r="AY87" s="4">
        <v>4</v>
      </c>
      <c r="AZ87" s="4">
        <v>4</v>
      </c>
      <c r="BA87" s="57">
        <v>4</v>
      </c>
      <c r="BB87" s="57">
        <v>4</v>
      </c>
      <c r="BC87" s="4">
        <v>3</v>
      </c>
      <c r="BD87" s="4">
        <v>1</v>
      </c>
      <c r="BE87" s="4">
        <v>4</v>
      </c>
      <c r="BF87" s="4">
        <v>3</v>
      </c>
      <c r="BG87" s="4">
        <v>3</v>
      </c>
      <c r="BH87" s="4">
        <v>4</v>
      </c>
      <c r="BI87" s="4">
        <v>3</v>
      </c>
      <c r="BJ87" s="4">
        <v>3</v>
      </c>
      <c r="BK87" s="4">
        <v>4</v>
      </c>
      <c r="BL87" s="1">
        <v>4</v>
      </c>
      <c r="BM87" s="1">
        <v>4</v>
      </c>
      <c r="BN87" s="4">
        <v>1</v>
      </c>
      <c r="BO87" s="4">
        <v>4</v>
      </c>
      <c r="BP87" s="4">
        <v>1</v>
      </c>
      <c r="BQ87" s="4">
        <v>4</v>
      </c>
      <c r="BR87" s="4">
        <v>4</v>
      </c>
      <c r="BS87" s="4">
        <v>1</v>
      </c>
      <c r="BT87" s="1">
        <v>3</v>
      </c>
      <c r="BU87" s="4">
        <v>3</v>
      </c>
      <c r="BV87" s="4">
        <v>1</v>
      </c>
      <c r="BW87" s="4">
        <v>1</v>
      </c>
      <c r="BX87" s="4">
        <v>1</v>
      </c>
      <c r="BY87" s="4">
        <v>4</v>
      </c>
      <c r="BZ87" s="4">
        <v>4</v>
      </c>
      <c r="CA87" s="1">
        <v>4</v>
      </c>
      <c r="CB87" s="17">
        <v>4</v>
      </c>
      <c r="CC87" s="4">
        <v>4</v>
      </c>
      <c r="CD87" s="4">
        <v>4</v>
      </c>
      <c r="CE87" s="1">
        <v>4</v>
      </c>
      <c r="CF87" s="57">
        <v>4</v>
      </c>
      <c r="CG87" s="57">
        <v>4</v>
      </c>
      <c r="CH87" s="4">
        <v>4</v>
      </c>
      <c r="CI87" s="4">
        <v>4</v>
      </c>
      <c r="CJ87" s="4">
        <v>4</v>
      </c>
      <c r="CK87" s="17">
        <v>4</v>
      </c>
      <c r="CL87" s="17">
        <v>4</v>
      </c>
      <c r="CM87" s="17">
        <v>4</v>
      </c>
      <c r="CN87" s="57">
        <v>4</v>
      </c>
      <c r="CO87" s="17">
        <v>4</v>
      </c>
      <c r="CP87" s="17">
        <v>4</v>
      </c>
      <c r="CQ87" s="57">
        <v>4</v>
      </c>
      <c r="CR87" s="17">
        <v>4</v>
      </c>
      <c r="CS87" s="17">
        <v>4</v>
      </c>
      <c r="CT87" s="4">
        <v>1</v>
      </c>
      <c r="CU87" s="4">
        <v>4</v>
      </c>
      <c r="CV87" s="4">
        <v>4</v>
      </c>
      <c r="CW87" s="4">
        <v>4</v>
      </c>
      <c r="CX87" s="4">
        <v>4</v>
      </c>
      <c r="CY87" s="4">
        <v>4</v>
      </c>
      <c r="CZ87" s="4">
        <v>4</v>
      </c>
      <c r="DA87" s="17">
        <v>4</v>
      </c>
      <c r="DB87" s="1">
        <v>4</v>
      </c>
      <c r="DC87" s="1">
        <v>4</v>
      </c>
      <c r="DD87" s="1">
        <v>4</v>
      </c>
      <c r="DE87" s="17">
        <v>4</v>
      </c>
      <c r="DF87" s="57">
        <v>4</v>
      </c>
      <c r="DG87" s="4">
        <v>4</v>
      </c>
      <c r="DH87" s="1">
        <v>4</v>
      </c>
      <c r="DI87" s="4">
        <v>4</v>
      </c>
      <c r="DJ87" s="4">
        <v>4</v>
      </c>
      <c r="DK87" s="1">
        <v>4</v>
      </c>
      <c r="DL87" s="1">
        <v>4</v>
      </c>
      <c r="DM87" s="1">
        <v>4</v>
      </c>
      <c r="DN87" s="1">
        <v>4</v>
      </c>
      <c r="DO87" s="1">
        <v>4</v>
      </c>
      <c r="DP87" s="1">
        <v>4</v>
      </c>
      <c r="DQ87" s="1">
        <v>4</v>
      </c>
      <c r="DR87" s="1">
        <v>4</v>
      </c>
      <c r="DS87" s="1">
        <v>4</v>
      </c>
      <c r="DT87" s="1">
        <v>4</v>
      </c>
    </row>
    <row r="88" spans="1:124" x14ac:dyDescent="0.2">
      <c r="A88" t="s">
        <v>449</v>
      </c>
      <c r="B88" s="1" t="s">
        <v>1410</v>
      </c>
      <c r="C88" s="1" t="s">
        <v>1227</v>
      </c>
      <c r="E88" s="62">
        <v>1</v>
      </c>
      <c r="F88" s="57">
        <v>4</v>
      </c>
      <c r="G88" s="1">
        <v>1</v>
      </c>
      <c r="H88" s="1">
        <v>1</v>
      </c>
      <c r="I88" s="1">
        <v>4</v>
      </c>
      <c r="J88" s="1">
        <v>1</v>
      </c>
      <c r="K88" s="4">
        <v>4</v>
      </c>
      <c r="L88" s="4">
        <v>3</v>
      </c>
      <c r="M88" s="4">
        <v>3</v>
      </c>
      <c r="N88" s="1">
        <v>4</v>
      </c>
      <c r="O88" s="4">
        <v>4</v>
      </c>
      <c r="P88" s="4">
        <v>4</v>
      </c>
      <c r="Q88" s="4">
        <v>4</v>
      </c>
      <c r="R88" s="1">
        <v>4</v>
      </c>
      <c r="S88" s="4">
        <v>3</v>
      </c>
      <c r="T88" s="4">
        <v>1</v>
      </c>
      <c r="U88" s="1">
        <v>4</v>
      </c>
      <c r="V88" s="57">
        <v>4</v>
      </c>
      <c r="W88" s="4">
        <v>3</v>
      </c>
      <c r="X88" s="4">
        <v>3</v>
      </c>
      <c r="Y88" s="1">
        <v>4</v>
      </c>
      <c r="Z88" s="4">
        <v>4</v>
      </c>
      <c r="AA88" s="4">
        <v>4</v>
      </c>
      <c r="AB88" s="4">
        <v>4</v>
      </c>
      <c r="AC88" s="57">
        <v>4</v>
      </c>
      <c r="AD88" s="1">
        <v>4</v>
      </c>
      <c r="AE88" s="1">
        <v>4</v>
      </c>
      <c r="AF88" s="1">
        <v>1</v>
      </c>
      <c r="AG88" s="1">
        <v>1</v>
      </c>
      <c r="AH88" s="1">
        <v>1</v>
      </c>
      <c r="AI88" s="1">
        <v>4</v>
      </c>
      <c r="AJ88" s="1">
        <v>1</v>
      </c>
      <c r="AK88" s="4">
        <v>1</v>
      </c>
      <c r="AL88" s="4">
        <v>4</v>
      </c>
      <c r="AM88" s="4">
        <v>4</v>
      </c>
      <c r="AN88" s="4">
        <v>4</v>
      </c>
      <c r="AO88" s="17">
        <v>4</v>
      </c>
      <c r="AP88" s="17">
        <v>4</v>
      </c>
      <c r="AQ88" s="17">
        <v>4</v>
      </c>
      <c r="AR88" s="17">
        <v>4</v>
      </c>
      <c r="AS88" s="17">
        <v>4</v>
      </c>
      <c r="AT88" s="17">
        <v>4</v>
      </c>
      <c r="AU88" s="17">
        <v>4</v>
      </c>
      <c r="AV88" s="57">
        <v>4</v>
      </c>
      <c r="AW88" s="17">
        <v>4</v>
      </c>
      <c r="AX88" s="17">
        <v>4</v>
      </c>
      <c r="AY88" s="4">
        <v>4</v>
      </c>
      <c r="AZ88" s="4">
        <v>4</v>
      </c>
      <c r="BA88" s="57">
        <v>4</v>
      </c>
      <c r="BB88" s="57">
        <v>4</v>
      </c>
      <c r="BC88" s="4">
        <v>1</v>
      </c>
      <c r="BD88" s="4">
        <v>1</v>
      </c>
      <c r="BE88" s="4">
        <v>4</v>
      </c>
      <c r="BF88" s="4">
        <v>1</v>
      </c>
      <c r="BG88" s="4">
        <v>1</v>
      </c>
      <c r="BH88" s="4">
        <v>4</v>
      </c>
      <c r="BI88" s="4">
        <v>1</v>
      </c>
      <c r="BJ88" s="4">
        <v>1</v>
      </c>
      <c r="BK88" s="4">
        <v>4</v>
      </c>
      <c r="BL88" s="1">
        <v>4</v>
      </c>
      <c r="BM88" s="1">
        <v>4</v>
      </c>
      <c r="BN88" s="4">
        <v>1</v>
      </c>
      <c r="BO88" s="4">
        <v>3</v>
      </c>
      <c r="BP88" s="4">
        <v>1</v>
      </c>
      <c r="BQ88" s="4">
        <v>4</v>
      </c>
      <c r="BR88" s="4">
        <v>4</v>
      </c>
      <c r="BS88" s="4">
        <v>1</v>
      </c>
      <c r="BT88" s="4">
        <v>1</v>
      </c>
      <c r="BU88" s="4">
        <v>1</v>
      </c>
      <c r="BV88" s="4">
        <v>1</v>
      </c>
      <c r="BW88" s="4">
        <v>1</v>
      </c>
      <c r="BX88" s="4">
        <v>1</v>
      </c>
      <c r="BY88" s="4">
        <v>4</v>
      </c>
      <c r="BZ88" s="4">
        <v>4</v>
      </c>
      <c r="CA88" s="1">
        <v>4</v>
      </c>
      <c r="CB88" s="17">
        <v>4</v>
      </c>
      <c r="CC88" s="4">
        <v>4</v>
      </c>
      <c r="CD88" s="4">
        <v>4</v>
      </c>
      <c r="CE88" s="1">
        <v>4</v>
      </c>
      <c r="CF88" s="57">
        <v>4</v>
      </c>
      <c r="CG88" s="57">
        <v>4</v>
      </c>
      <c r="CH88" s="4">
        <v>4</v>
      </c>
      <c r="CI88" s="4">
        <v>4</v>
      </c>
      <c r="CJ88" s="4">
        <v>4</v>
      </c>
      <c r="CK88" s="17">
        <v>4</v>
      </c>
      <c r="CL88" s="17">
        <v>4</v>
      </c>
      <c r="CM88" s="17">
        <v>4</v>
      </c>
      <c r="CN88" s="57">
        <v>4</v>
      </c>
      <c r="CO88" s="17">
        <v>4</v>
      </c>
      <c r="CP88" s="17">
        <v>4</v>
      </c>
      <c r="CQ88" s="57">
        <v>4</v>
      </c>
      <c r="CR88" s="17">
        <v>4</v>
      </c>
      <c r="CS88" s="17">
        <v>4</v>
      </c>
      <c r="CT88" s="4">
        <v>3</v>
      </c>
      <c r="CU88" s="4">
        <v>4</v>
      </c>
      <c r="CV88" s="4">
        <v>4</v>
      </c>
      <c r="CW88" s="4">
        <v>4</v>
      </c>
      <c r="CX88" s="4">
        <v>4</v>
      </c>
      <c r="CY88" s="4">
        <v>4</v>
      </c>
      <c r="CZ88" s="4">
        <v>4</v>
      </c>
      <c r="DA88" s="17">
        <v>4</v>
      </c>
      <c r="DB88" s="1">
        <v>4</v>
      </c>
      <c r="DC88" s="1">
        <v>4</v>
      </c>
      <c r="DD88" s="1">
        <v>4</v>
      </c>
      <c r="DE88" s="17">
        <v>4</v>
      </c>
      <c r="DF88" s="57">
        <v>4</v>
      </c>
      <c r="DG88" s="4">
        <v>4</v>
      </c>
      <c r="DH88" s="1">
        <v>4</v>
      </c>
      <c r="DI88" s="4">
        <v>4</v>
      </c>
      <c r="DJ88" s="4">
        <v>4</v>
      </c>
      <c r="DK88" s="1">
        <v>4</v>
      </c>
      <c r="DL88" s="1">
        <v>4</v>
      </c>
      <c r="DM88" s="1">
        <v>4</v>
      </c>
      <c r="DN88" s="1">
        <v>4</v>
      </c>
      <c r="DO88" s="1">
        <v>4</v>
      </c>
      <c r="DP88" s="1">
        <v>4</v>
      </c>
      <c r="DQ88" s="1">
        <v>4</v>
      </c>
      <c r="DR88" s="1">
        <v>4</v>
      </c>
      <c r="DS88" s="1">
        <v>4</v>
      </c>
      <c r="DT88" s="1">
        <v>4</v>
      </c>
    </row>
    <row r="89" spans="1:124" x14ac:dyDescent="0.2">
      <c r="A89" t="s">
        <v>179</v>
      </c>
      <c r="B89" s="1" t="s">
        <v>1410</v>
      </c>
      <c r="C89" s="1" t="s">
        <v>1244</v>
      </c>
      <c r="E89" s="62">
        <v>1</v>
      </c>
      <c r="F89" s="57">
        <v>4</v>
      </c>
      <c r="G89" s="1">
        <v>1</v>
      </c>
      <c r="H89" s="1">
        <v>1</v>
      </c>
      <c r="I89" s="1">
        <v>4</v>
      </c>
      <c r="J89" s="1">
        <v>1</v>
      </c>
      <c r="K89" s="4">
        <v>4</v>
      </c>
      <c r="L89" s="4">
        <v>3</v>
      </c>
      <c r="M89" s="4">
        <v>1</v>
      </c>
      <c r="N89" s="1">
        <v>4</v>
      </c>
      <c r="O89" s="4">
        <v>4</v>
      </c>
      <c r="P89" s="4">
        <v>4</v>
      </c>
      <c r="Q89" s="4">
        <v>4</v>
      </c>
      <c r="R89" s="1">
        <v>4</v>
      </c>
      <c r="S89" s="4">
        <v>3</v>
      </c>
      <c r="T89" s="4">
        <v>3</v>
      </c>
      <c r="U89" s="1">
        <v>4</v>
      </c>
      <c r="V89" s="57">
        <v>4</v>
      </c>
      <c r="W89" s="4">
        <v>4</v>
      </c>
      <c r="X89" s="4">
        <v>4</v>
      </c>
      <c r="Y89" s="1">
        <v>4</v>
      </c>
      <c r="Z89" s="4">
        <v>4</v>
      </c>
      <c r="AA89" s="4">
        <v>4</v>
      </c>
      <c r="AB89" s="4">
        <v>4</v>
      </c>
      <c r="AC89" s="57">
        <v>4</v>
      </c>
      <c r="AD89" s="1">
        <v>4</v>
      </c>
      <c r="AE89" s="1">
        <v>4</v>
      </c>
      <c r="AF89" s="1">
        <v>1</v>
      </c>
      <c r="AG89" s="4">
        <v>3</v>
      </c>
      <c r="AH89" s="4">
        <v>1</v>
      </c>
      <c r="AI89" s="1">
        <v>4</v>
      </c>
      <c r="AJ89" s="1">
        <v>1</v>
      </c>
      <c r="AK89" s="4">
        <v>1</v>
      </c>
      <c r="AL89" s="4">
        <v>4</v>
      </c>
      <c r="AM89" s="4">
        <v>4</v>
      </c>
      <c r="AN89" s="4">
        <v>1</v>
      </c>
      <c r="AO89" s="17">
        <v>4</v>
      </c>
      <c r="AP89" s="17">
        <v>4</v>
      </c>
      <c r="AQ89" s="17">
        <v>4</v>
      </c>
      <c r="AR89" s="17">
        <v>4</v>
      </c>
      <c r="AS89" s="17">
        <v>4</v>
      </c>
      <c r="AT89" s="17">
        <v>4</v>
      </c>
      <c r="AU89" s="17">
        <v>4</v>
      </c>
      <c r="AV89" s="57">
        <v>4</v>
      </c>
      <c r="AW89" s="17">
        <v>4</v>
      </c>
      <c r="AX89" s="17">
        <v>4</v>
      </c>
      <c r="AY89" s="4">
        <v>4</v>
      </c>
      <c r="AZ89" s="4">
        <v>4</v>
      </c>
      <c r="BA89" s="57">
        <v>4</v>
      </c>
      <c r="BB89" s="57">
        <v>4</v>
      </c>
      <c r="BC89" s="4">
        <v>1</v>
      </c>
      <c r="BD89" s="4">
        <v>1</v>
      </c>
      <c r="BE89" s="4">
        <v>4</v>
      </c>
      <c r="BF89" s="4">
        <v>3</v>
      </c>
      <c r="BG89" s="4">
        <v>3</v>
      </c>
      <c r="BH89" s="4">
        <v>4</v>
      </c>
      <c r="BI89" s="4">
        <v>3</v>
      </c>
      <c r="BJ89" s="4">
        <v>3</v>
      </c>
      <c r="BK89" s="4">
        <v>4</v>
      </c>
      <c r="BL89" s="1">
        <v>4</v>
      </c>
      <c r="BM89" s="1">
        <v>4</v>
      </c>
      <c r="BN89" s="4">
        <v>3</v>
      </c>
      <c r="BO89" s="17">
        <v>4</v>
      </c>
      <c r="BP89" s="17">
        <v>3</v>
      </c>
      <c r="BQ89" s="4">
        <v>4</v>
      </c>
      <c r="BR89" s="4">
        <v>4</v>
      </c>
      <c r="BS89" s="4">
        <v>1</v>
      </c>
      <c r="BT89" s="1">
        <v>3</v>
      </c>
      <c r="BU89" s="17">
        <v>3</v>
      </c>
      <c r="BV89" s="4">
        <v>1</v>
      </c>
      <c r="BW89" s="4">
        <v>1</v>
      </c>
      <c r="BX89" s="4">
        <v>1</v>
      </c>
      <c r="BY89" s="4">
        <v>4</v>
      </c>
      <c r="BZ89" s="4">
        <v>4</v>
      </c>
      <c r="CA89" s="1">
        <v>4</v>
      </c>
      <c r="CB89" s="17">
        <v>4</v>
      </c>
      <c r="CC89" s="4">
        <v>4</v>
      </c>
      <c r="CD89" s="4">
        <v>4</v>
      </c>
      <c r="CE89" s="1">
        <v>4</v>
      </c>
      <c r="CF89" s="57">
        <v>4</v>
      </c>
      <c r="CG89" s="57">
        <v>4</v>
      </c>
      <c r="CH89" s="4">
        <v>4</v>
      </c>
      <c r="CI89" s="4">
        <v>4</v>
      </c>
      <c r="CJ89" s="4">
        <v>4</v>
      </c>
      <c r="CK89" s="17">
        <v>4</v>
      </c>
      <c r="CL89" s="17">
        <v>4</v>
      </c>
      <c r="CM89" s="17">
        <v>4</v>
      </c>
      <c r="CN89" s="57">
        <v>4</v>
      </c>
      <c r="CO89" s="17">
        <v>4</v>
      </c>
      <c r="CP89" s="17">
        <v>4</v>
      </c>
      <c r="CQ89" s="57">
        <v>4</v>
      </c>
      <c r="CR89" s="17">
        <v>4</v>
      </c>
      <c r="CS89" s="17">
        <v>4</v>
      </c>
      <c r="CT89" s="4">
        <v>1</v>
      </c>
      <c r="CU89" s="4">
        <v>4</v>
      </c>
      <c r="CV89" s="4">
        <v>4</v>
      </c>
      <c r="CW89" s="4">
        <v>4</v>
      </c>
      <c r="CX89" s="4">
        <v>4</v>
      </c>
      <c r="CY89" s="4">
        <v>4</v>
      </c>
      <c r="CZ89" s="4">
        <v>4</v>
      </c>
      <c r="DA89" s="17">
        <v>4</v>
      </c>
      <c r="DB89" s="1">
        <v>4</v>
      </c>
      <c r="DC89" s="1">
        <v>4</v>
      </c>
      <c r="DD89" s="1">
        <v>4</v>
      </c>
      <c r="DE89" s="17">
        <v>4</v>
      </c>
      <c r="DF89" s="57">
        <v>4</v>
      </c>
      <c r="DG89" s="4">
        <v>4</v>
      </c>
      <c r="DH89" s="1">
        <v>4</v>
      </c>
      <c r="DI89" s="4">
        <v>4</v>
      </c>
      <c r="DJ89" s="4">
        <v>4</v>
      </c>
      <c r="DK89" s="1">
        <v>4</v>
      </c>
      <c r="DL89" s="1">
        <v>4</v>
      </c>
      <c r="DM89" s="1">
        <v>4</v>
      </c>
      <c r="DN89" s="1">
        <v>4</v>
      </c>
      <c r="DO89" s="1">
        <v>4</v>
      </c>
      <c r="DP89" s="1">
        <v>4</v>
      </c>
      <c r="DQ89" s="1">
        <v>4</v>
      </c>
      <c r="DR89" s="1">
        <v>4</v>
      </c>
      <c r="DS89" s="1">
        <v>4</v>
      </c>
      <c r="DT89" s="1">
        <v>4</v>
      </c>
    </row>
    <row r="90" spans="1:124" x14ac:dyDescent="0.2">
      <c r="A90" t="s">
        <v>183</v>
      </c>
      <c r="B90" s="1" t="s">
        <v>1410</v>
      </c>
      <c r="C90" s="1" t="s">
        <v>1244</v>
      </c>
      <c r="E90" s="62">
        <v>1</v>
      </c>
      <c r="F90" s="57">
        <v>4</v>
      </c>
      <c r="G90" s="1">
        <v>1</v>
      </c>
      <c r="H90" s="1">
        <v>1</v>
      </c>
      <c r="I90" s="1">
        <v>4</v>
      </c>
      <c r="J90" s="1">
        <v>1</v>
      </c>
      <c r="K90" s="4">
        <v>4</v>
      </c>
      <c r="L90" s="4">
        <v>3</v>
      </c>
      <c r="M90" s="4">
        <v>1</v>
      </c>
      <c r="N90" s="1">
        <v>4</v>
      </c>
      <c r="O90" s="4">
        <v>4</v>
      </c>
      <c r="P90" s="4">
        <v>4</v>
      </c>
      <c r="Q90" s="4">
        <v>4</v>
      </c>
      <c r="R90" s="1">
        <v>4</v>
      </c>
      <c r="S90" s="4">
        <v>1</v>
      </c>
      <c r="T90" s="4">
        <v>1</v>
      </c>
      <c r="U90" s="1">
        <v>4</v>
      </c>
      <c r="V90" s="57">
        <v>4</v>
      </c>
      <c r="W90" s="4">
        <v>4</v>
      </c>
      <c r="X90" s="4">
        <v>4</v>
      </c>
      <c r="Y90" s="1">
        <v>4</v>
      </c>
      <c r="Z90" s="4">
        <v>4</v>
      </c>
      <c r="AA90" s="4">
        <v>4</v>
      </c>
      <c r="AB90" s="4">
        <v>4</v>
      </c>
      <c r="AC90" s="57">
        <v>4</v>
      </c>
      <c r="AD90" s="1">
        <v>4</v>
      </c>
      <c r="AE90" s="1">
        <v>4</v>
      </c>
      <c r="AF90" s="1">
        <v>1</v>
      </c>
      <c r="AG90" s="4">
        <v>1</v>
      </c>
      <c r="AH90" s="4">
        <v>3</v>
      </c>
      <c r="AI90" s="1">
        <v>4</v>
      </c>
      <c r="AJ90" s="1">
        <v>1</v>
      </c>
      <c r="AK90" s="4">
        <v>1</v>
      </c>
      <c r="AL90" s="4">
        <v>4</v>
      </c>
      <c r="AM90" s="4">
        <v>4</v>
      </c>
      <c r="AN90" s="4">
        <v>3</v>
      </c>
      <c r="AO90" s="17">
        <v>4</v>
      </c>
      <c r="AP90" s="17">
        <v>4</v>
      </c>
      <c r="AQ90" s="17">
        <v>4</v>
      </c>
      <c r="AR90" s="17">
        <v>4</v>
      </c>
      <c r="AS90" s="17">
        <v>4</v>
      </c>
      <c r="AT90" s="17">
        <v>4</v>
      </c>
      <c r="AU90" s="17">
        <v>4</v>
      </c>
      <c r="AV90" s="57">
        <v>4</v>
      </c>
      <c r="AW90" s="17">
        <v>4</v>
      </c>
      <c r="AX90" s="17">
        <v>4</v>
      </c>
      <c r="AY90" s="4">
        <v>4</v>
      </c>
      <c r="AZ90" s="4">
        <v>4</v>
      </c>
      <c r="BA90" s="57">
        <v>4</v>
      </c>
      <c r="BB90" s="57">
        <v>4</v>
      </c>
      <c r="BC90" s="4">
        <v>1</v>
      </c>
      <c r="BD90" s="4">
        <v>1</v>
      </c>
      <c r="BE90" s="4">
        <v>4</v>
      </c>
      <c r="BF90" s="4">
        <v>3</v>
      </c>
      <c r="BG90" s="4">
        <v>3</v>
      </c>
      <c r="BH90" s="4">
        <v>4</v>
      </c>
      <c r="BI90" s="4">
        <v>3</v>
      </c>
      <c r="BJ90" s="4">
        <v>3</v>
      </c>
      <c r="BK90" s="4">
        <v>4</v>
      </c>
      <c r="BL90" s="1">
        <v>4</v>
      </c>
      <c r="BM90" s="1">
        <v>4</v>
      </c>
      <c r="BN90" s="4">
        <v>3</v>
      </c>
      <c r="BO90" s="17">
        <v>4</v>
      </c>
      <c r="BP90" s="4">
        <v>1</v>
      </c>
      <c r="BQ90" s="4">
        <v>4</v>
      </c>
      <c r="BR90" s="4">
        <v>4</v>
      </c>
      <c r="BS90" s="4">
        <v>1</v>
      </c>
      <c r="BT90" s="1">
        <v>3</v>
      </c>
      <c r="BU90" s="17">
        <v>3</v>
      </c>
      <c r="BV90" s="4">
        <v>1</v>
      </c>
      <c r="BW90" s="4">
        <v>1</v>
      </c>
      <c r="BX90" s="4">
        <v>1</v>
      </c>
      <c r="BY90" s="4">
        <v>4</v>
      </c>
      <c r="BZ90" s="4">
        <v>4</v>
      </c>
      <c r="CA90" s="1">
        <v>4</v>
      </c>
      <c r="CB90" s="17">
        <v>4</v>
      </c>
      <c r="CC90" s="4">
        <v>4</v>
      </c>
      <c r="CD90" s="4">
        <v>4</v>
      </c>
      <c r="CE90" s="1">
        <v>4</v>
      </c>
      <c r="CF90" s="57">
        <v>4</v>
      </c>
      <c r="CG90" s="57">
        <v>4</v>
      </c>
      <c r="CH90" s="4">
        <v>4</v>
      </c>
      <c r="CI90" s="4">
        <v>4</v>
      </c>
      <c r="CJ90" s="4">
        <v>4</v>
      </c>
      <c r="CK90" s="17">
        <v>4</v>
      </c>
      <c r="CL90" s="17">
        <v>4</v>
      </c>
      <c r="CM90" s="17">
        <v>4</v>
      </c>
      <c r="CN90" s="57">
        <v>4</v>
      </c>
      <c r="CO90" s="17">
        <v>4</v>
      </c>
      <c r="CP90" s="17">
        <v>4</v>
      </c>
      <c r="CQ90" s="57">
        <v>4</v>
      </c>
      <c r="CR90" s="17">
        <v>4</v>
      </c>
      <c r="CS90" s="17">
        <v>4</v>
      </c>
      <c r="CT90" s="4">
        <v>1</v>
      </c>
      <c r="CU90" s="4">
        <v>4</v>
      </c>
      <c r="CV90" s="4">
        <v>4</v>
      </c>
      <c r="CW90" s="4">
        <v>4</v>
      </c>
      <c r="CX90" s="4">
        <v>4</v>
      </c>
      <c r="CY90" s="4">
        <v>4</v>
      </c>
      <c r="CZ90" s="4">
        <v>4</v>
      </c>
      <c r="DA90" s="17">
        <v>4</v>
      </c>
      <c r="DB90" s="1">
        <v>4</v>
      </c>
      <c r="DC90" s="1">
        <v>4</v>
      </c>
      <c r="DD90" s="1">
        <v>4</v>
      </c>
      <c r="DE90" s="17">
        <v>4</v>
      </c>
      <c r="DF90" s="57">
        <v>4</v>
      </c>
      <c r="DG90" s="4">
        <v>4</v>
      </c>
      <c r="DH90" s="1">
        <v>4</v>
      </c>
      <c r="DI90" s="4">
        <v>4</v>
      </c>
      <c r="DJ90" s="4">
        <v>4</v>
      </c>
      <c r="DK90" s="1">
        <v>4</v>
      </c>
      <c r="DL90" s="1">
        <v>4</v>
      </c>
      <c r="DM90" s="1">
        <v>4</v>
      </c>
      <c r="DN90" s="1">
        <v>4</v>
      </c>
      <c r="DO90" s="1">
        <v>4</v>
      </c>
      <c r="DP90" s="1">
        <v>4</v>
      </c>
      <c r="DQ90" s="1">
        <v>4</v>
      </c>
      <c r="DR90" s="1">
        <v>4</v>
      </c>
      <c r="DS90" s="1">
        <v>4</v>
      </c>
      <c r="DT90" s="1">
        <v>4</v>
      </c>
    </row>
    <row r="91" spans="1:124" x14ac:dyDescent="0.2">
      <c r="A91" t="s">
        <v>185</v>
      </c>
      <c r="B91" s="1" t="s">
        <v>1410</v>
      </c>
      <c r="C91" s="1" t="s">
        <v>1244</v>
      </c>
      <c r="E91" s="62">
        <v>1</v>
      </c>
      <c r="F91" s="57">
        <v>4</v>
      </c>
      <c r="G91" s="1">
        <v>1</v>
      </c>
      <c r="H91" s="1">
        <v>1</v>
      </c>
      <c r="I91" s="1">
        <v>4</v>
      </c>
      <c r="J91" s="1">
        <v>1</v>
      </c>
      <c r="K91" s="4">
        <v>4</v>
      </c>
      <c r="L91" s="4">
        <v>3</v>
      </c>
      <c r="M91" s="4">
        <v>1</v>
      </c>
      <c r="N91" s="1">
        <v>4</v>
      </c>
      <c r="O91" s="4">
        <v>4</v>
      </c>
      <c r="P91" s="4">
        <v>4</v>
      </c>
      <c r="Q91" s="4">
        <v>4</v>
      </c>
      <c r="R91" s="1">
        <v>4</v>
      </c>
      <c r="S91" s="4">
        <v>3</v>
      </c>
      <c r="T91" s="4">
        <v>3</v>
      </c>
      <c r="U91" s="1">
        <v>4</v>
      </c>
      <c r="V91" s="57">
        <v>4</v>
      </c>
      <c r="W91" s="4">
        <v>4</v>
      </c>
      <c r="X91" s="4">
        <v>4</v>
      </c>
      <c r="Y91" s="1">
        <v>4</v>
      </c>
      <c r="Z91" s="4">
        <v>4</v>
      </c>
      <c r="AA91" s="4">
        <v>4</v>
      </c>
      <c r="AB91" s="4">
        <v>4</v>
      </c>
      <c r="AC91" s="57">
        <v>4</v>
      </c>
      <c r="AD91" s="1">
        <v>4</v>
      </c>
      <c r="AE91" s="1">
        <v>4</v>
      </c>
      <c r="AF91" s="1">
        <v>1</v>
      </c>
      <c r="AG91" s="4">
        <v>1</v>
      </c>
      <c r="AH91" s="4">
        <v>3</v>
      </c>
      <c r="AI91" s="1">
        <v>4</v>
      </c>
      <c r="AJ91" s="1">
        <v>1</v>
      </c>
      <c r="AK91" s="4">
        <v>3</v>
      </c>
      <c r="AL91" s="4">
        <v>4</v>
      </c>
      <c r="AM91" s="4">
        <v>4</v>
      </c>
      <c r="AN91" s="4">
        <v>3</v>
      </c>
      <c r="AO91" s="17">
        <v>4</v>
      </c>
      <c r="AP91" s="17">
        <v>4</v>
      </c>
      <c r="AQ91" s="17">
        <v>4</v>
      </c>
      <c r="AR91" s="17">
        <v>4</v>
      </c>
      <c r="AS91" s="17">
        <v>4</v>
      </c>
      <c r="AT91" s="17">
        <v>4</v>
      </c>
      <c r="AU91" s="17">
        <v>4</v>
      </c>
      <c r="AV91" s="57">
        <v>4</v>
      </c>
      <c r="AW91" s="17">
        <v>4</v>
      </c>
      <c r="AX91" s="17">
        <v>4</v>
      </c>
      <c r="AY91" s="4">
        <v>4</v>
      </c>
      <c r="AZ91" s="4">
        <v>4</v>
      </c>
      <c r="BA91" s="57">
        <v>4</v>
      </c>
      <c r="BB91" s="57">
        <v>4</v>
      </c>
      <c r="BC91" s="4">
        <v>1</v>
      </c>
      <c r="BD91" s="4">
        <v>1</v>
      </c>
      <c r="BE91" s="4">
        <v>4</v>
      </c>
      <c r="BF91" s="4">
        <v>3</v>
      </c>
      <c r="BG91" s="4">
        <v>3</v>
      </c>
      <c r="BH91" s="4">
        <v>4</v>
      </c>
      <c r="BI91" s="4">
        <v>3</v>
      </c>
      <c r="BJ91" s="4">
        <v>3</v>
      </c>
      <c r="BK91" s="4">
        <v>4</v>
      </c>
      <c r="BL91" s="1">
        <v>4</v>
      </c>
      <c r="BM91" s="1">
        <v>4</v>
      </c>
      <c r="BN91" s="17">
        <v>1</v>
      </c>
      <c r="BO91" s="17">
        <v>4</v>
      </c>
      <c r="BP91" s="17">
        <v>3</v>
      </c>
      <c r="BQ91" s="4">
        <v>4</v>
      </c>
      <c r="BR91" s="4">
        <v>4</v>
      </c>
      <c r="BS91" s="4">
        <v>1</v>
      </c>
      <c r="BT91" s="1">
        <v>3</v>
      </c>
      <c r="BU91" s="17">
        <v>1</v>
      </c>
      <c r="BV91" s="4">
        <v>1</v>
      </c>
      <c r="BW91" s="4">
        <v>1</v>
      </c>
      <c r="BX91" s="4">
        <v>1</v>
      </c>
      <c r="BY91" s="4">
        <v>4</v>
      </c>
      <c r="BZ91" s="4">
        <v>4</v>
      </c>
      <c r="CA91" s="1">
        <v>4</v>
      </c>
      <c r="CB91" s="17">
        <v>4</v>
      </c>
      <c r="CC91" s="4">
        <v>4</v>
      </c>
      <c r="CD91" s="4">
        <v>4</v>
      </c>
      <c r="CE91" s="1">
        <v>4</v>
      </c>
      <c r="CF91" s="57">
        <v>4</v>
      </c>
      <c r="CG91" s="57">
        <v>4</v>
      </c>
      <c r="CH91" s="4">
        <v>4</v>
      </c>
      <c r="CI91" s="4">
        <v>4</v>
      </c>
      <c r="CJ91" s="4">
        <v>4</v>
      </c>
      <c r="CK91" s="17">
        <v>4</v>
      </c>
      <c r="CL91" s="17">
        <v>4</v>
      </c>
      <c r="CM91" s="17">
        <v>4</v>
      </c>
      <c r="CN91" s="57">
        <v>4</v>
      </c>
      <c r="CO91" s="17">
        <v>4</v>
      </c>
      <c r="CP91" s="17">
        <v>4</v>
      </c>
      <c r="CQ91" s="57">
        <v>4</v>
      </c>
      <c r="CR91" s="17">
        <v>4</v>
      </c>
      <c r="CS91" s="17">
        <v>4</v>
      </c>
      <c r="CT91" s="4">
        <v>1</v>
      </c>
      <c r="CU91" s="4">
        <v>4</v>
      </c>
      <c r="CV91" s="4">
        <v>4</v>
      </c>
      <c r="CW91" s="4">
        <v>4</v>
      </c>
      <c r="CX91" s="4">
        <v>4</v>
      </c>
      <c r="CY91" s="4">
        <v>4</v>
      </c>
      <c r="CZ91" s="4">
        <v>4</v>
      </c>
      <c r="DA91" s="17">
        <v>4</v>
      </c>
      <c r="DB91" s="1">
        <v>4</v>
      </c>
      <c r="DC91" s="1">
        <v>4</v>
      </c>
      <c r="DD91" s="1">
        <v>4</v>
      </c>
      <c r="DE91" s="17">
        <v>4</v>
      </c>
      <c r="DF91" s="57">
        <v>4</v>
      </c>
      <c r="DG91" s="4">
        <v>4</v>
      </c>
      <c r="DH91" s="1">
        <v>4</v>
      </c>
      <c r="DI91" s="4">
        <v>4</v>
      </c>
      <c r="DJ91" s="4">
        <v>4</v>
      </c>
      <c r="DK91" s="1">
        <v>4</v>
      </c>
      <c r="DL91" s="1">
        <v>4</v>
      </c>
      <c r="DM91" s="1">
        <v>4</v>
      </c>
      <c r="DN91" s="1">
        <v>4</v>
      </c>
      <c r="DO91" s="1">
        <v>4</v>
      </c>
      <c r="DP91" s="1">
        <v>4</v>
      </c>
      <c r="DQ91" s="1">
        <v>4</v>
      </c>
      <c r="DR91" s="1">
        <v>4</v>
      </c>
      <c r="DS91" s="1">
        <v>4</v>
      </c>
      <c r="DT91" s="1">
        <v>4</v>
      </c>
    </row>
    <row r="92" spans="1:124" x14ac:dyDescent="0.2">
      <c r="A92" t="s">
        <v>188</v>
      </c>
      <c r="B92" s="1" t="s">
        <v>1410</v>
      </c>
      <c r="C92" s="1" t="s">
        <v>1244</v>
      </c>
      <c r="E92" s="62">
        <v>1</v>
      </c>
      <c r="F92" s="57">
        <v>4</v>
      </c>
      <c r="G92" s="1">
        <v>1</v>
      </c>
      <c r="H92" s="1">
        <v>1</v>
      </c>
      <c r="I92" s="1">
        <v>4</v>
      </c>
      <c r="J92" s="1">
        <v>1</v>
      </c>
      <c r="K92" s="4">
        <v>4</v>
      </c>
      <c r="L92" s="4">
        <v>1</v>
      </c>
      <c r="M92" s="4">
        <v>1</v>
      </c>
      <c r="N92" s="1">
        <v>4</v>
      </c>
      <c r="O92" s="4">
        <v>4</v>
      </c>
      <c r="P92" s="4">
        <v>4</v>
      </c>
      <c r="Q92" s="4">
        <v>4</v>
      </c>
      <c r="R92" s="1">
        <v>4</v>
      </c>
      <c r="S92" s="4">
        <v>3</v>
      </c>
      <c r="T92" s="4">
        <v>3</v>
      </c>
      <c r="U92" s="1">
        <v>4</v>
      </c>
      <c r="V92" s="57">
        <v>4</v>
      </c>
      <c r="W92" s="4">
        <v>4</v>
      </c>
      <c r="X92" s="4">
        <v>4</v>
      </c>
      <c r="Y92" s="1">
        <v>4</v>
      </c>
      <c r="Z92" s="4">
        <v>4</v>
      </c>
      <c r="AA92" s="4">
        <v>4</v>
      </c>
      <c r="AB92" s="4">
        <v>4</v>
      </c>
      <c r="AC92" s="57">
        <v>4</v>
      </c>
      <c r="AD92" s="1">
        <v>4</v>
      </c>
      <c r="AE92" s="1">
        <v>4</v>
      </c>
      <c r="AF92" s="4">
        <v>3</v>
      </c>
      <c r="AG92" s="4">
        <v>3</v>
      </c>
      <c r="AH92" s="4">
        <v>3</v>
      </c>
      <c r="AI92" s="1">
        <v>4</v>
      </c>
      <c r="AJ92" s="1">
        <v>1</v>
      </c>
      <c r="AK92" s="4">
        <v>1</v>
      </c>
      <c r="AL92" s="4">
        <v>4</v>
      </c>
      <c r="AM92" s="4">
        <v>4</v>
      </c>
      <c r="AN92" s="4">
        <v>3</v>
      </c>
      <c r="AO92" s="17">
        <v>4</v>
      </c>
      <c r="AP92" s="17">
        <v>4</v>
      </c>
      <c r="AQ92" s="17">
        <v>4</v>
      </c>
      <c r="AR92" s="17">
        <v>4</v>
      </c>
      <c r="AS92" s="17">
        <v>4</v>
      </c>
      <c r="AT92" s="17">
        <v>4</v>
      </c>
      <c r="AU92" s="17">
        <v>4</v>
      </c>
      <c r="AV92" s="57">
        <v>4</v>
      </c>
      <c r="AW92" s="17">
        <v>4</v>
      </c>
      <c r="AX92" s="17">
        <v>4</v>
      </c>
      <c r="AY92" s="4">
        <v>4</v>
      </c>
      <c r="AZ92" s="4">
        <v>4</v>
      </c>
      <c r="BA92" s="57">
        <v>4</v>
      </c>
      <c r="BB92" s="57">
        <v>4</v>
      </c>
      <c r="BC92" s="17">
        <v>3</v>
      </c>
      <c r="BD92" s="4">
        <v>1</v>
      </c>
      <c r="BE92" s="4">
        <v>4</v>
      </c>
      <c r="BF92" s="4">
        <v>3</v>
      </c>
      <c r="BG92" s="4">
        <v>3</v>
      </c>
      <c r="BH92" s="4">
        <v>4</v>
      </c>
      <c r="BI92" s="4">
        <v>3</v>
      </c>
      <c r="BJ92" s="4">
        <v>3</v>
      </c>
      <c r="BK92" s="4">
        <v>4</v>
      </c>
      <c r="BL92" s="1">
        <v>4</v>
      </c>
      <c r="BM92" s="1">
        <v>4</v>
      </c>
      <c r="BN92" s="4">
        <v>3</v>
      </c>
      <c r="BO92" s="17">
        <v>4</v>
      </c>
      <c r="BP92" s="4">
        <v>3</v>
      </c>
      <c r="BQ92" s="4">
        <v>4</v>
      </c>
      <c r="BR92" s="4">
        <v>4</v>
      </c>
      <c r="BS92" s="4">
        <v>3</v>
      </c>
      <c r="BT92" s="1">
        <v>3</v>
      </c>
      <c r="BU92" s="4">
        <v>3</v>
      </c>
      <c r="BV92" s="4">
        <v>1</v>
      </c>
      <c r="BW92" s="4">
        <v>1</v>
      </c>
      <c r="BX92" s="4">
        <v>1</v>
      </c>
      <c r="BY92" s="4">
        <v>4</v>
      </c>
      <c r="BZ92" s="4">
        <v>4</v>
      </c>
      <c r="CA92" s="1">
        <v>4</v>
      </c>
      <c r="CB92" s="17">
        <v>4</v>
      </c>
      <c r="CC92" s="4">
        <v>4</v>
      </c>
      <c r="CD92" s="4">
        <v>4</v>
      </c>
      <c r="CE92" s="1">
        <v>4</v>
      </c>
      <c r="CF92" s="57">
        <v>4</v>
      </c>
      <c r="CG92" s="57">
        <v>4</v>
      </c>
      <c r="CH92" s="4">
        <v>4</v>
      </c>
      <c r="CI92" s="4">
        <v>4</v>
      </c>
      <c r="CJ92" s="4">
        <v>4</v>
      </c>
      <c r="CK92" s="17">
        <v>4</v>
      </c>
      <c r="CL92" s="17">
        <v>4</v>
      </c>
      <c r="CM92" s="17">
        <v>4</v>
      </c>
      <c r="CN92" s="57">
        <v>4</v>
      </c>
      <c r="CO92" s="17">
        <v>4</v>
      </c>
      <c r="CP92" s="17">
        <v>4</v>
      </c>
      <c r="CQ92" s="57">
        <v>4</v>
      </c>
      <c r="CR92" s="17">
        <v>4</v>
      </c>
      <c r="CS92" s="17">
        <v>4</v>
      </c>
      <c r="CT92" s="4">
        <v>1</v>
      </c>
      <c r="CU92" s="4">
        <v>4</v>
      </c>
      <c r="CV92" s="4">
        <v>4</v>
      </c>
      <c r="CW92" s="4">
        <v>4</v>
      </c>
      <c r="CX92" s="4">
        <v>4</v>
      </c>
      <c r="CY92" s="4">
        <v>4</v>
      </c>
      <c r="CZ92" s="4">
        <v>4</v>
      </c>
      <c r="DA92" s="17">
        <v>4</v>
      </c>
      <c r="DB92" s="1">
        <v>4</v>
      </c>
      <c r="DC92" s="1">
        <v>4</v>
      </c>
      <c r="DD92" s="1">
        <v>4</v>
      </c>
      <c r="DE92" s="17">
        <v>4</v>
      </c>
      <c r="DF92" s="57">
        <v>4</v>
      </c>
      <c r="DG92" s="4">
        <v>4</v>
      </c>
      <c r="DH92" s="1">
        <v>4</v>
      </c>
      <c r="DI92" s="4">
        <v>4</v>
      </c>
      <c r="DJ92" s="4">
        <v>4</v>
      </c>
      <c r="DK92" s="1">
        <v>4</v>
      </c>
      <c r="DL92" s="1">
        <v>4</v>
      </c>
      <c r="DM92" s="1">
        <v>4</v>
      </c>
      <c r="DN92" s="1">
        <v>4</v>
      </c>
      <c r="DO92" s="1">
        <v>4</v>
      </c>
      <c r="DP92" s="1">
        <v>4</v>
      </c>
      <c r="DQ92" s="1">
        <v>4</v>
      </c>
      <c r="DR92" s="1">
        <v>4</v>
      </c>
      <c r="DS92" s="1">
        <v>4</v>
      </c>
      <c r="DT92" s="1">
        <v>4</v>
      </c>
    </row>
    <row r="93" spans="1:124" x14ac:dyDescent="0.2">
      <c r="A93" t="s">
        <v>187</v>
      </c>
      <c r="B93" s="1" t="s">
        <v>1410</v>
      </c>
      <c r="C93" s="1" t="s">
        <v>1244</v>
      </c>
      <c r="E93" s="62">
        <v>1</v>
      </c>
      <c r="F93" s="57">
        <v>4</v>
      </c>
      <c r="G93" s="1">
        <v>1</v>
      </c>
      <c r="H93" s="1">
        <v>1</v>
      </c>
      <c r="I93" s="1">
        <v>4</v>
      </c>
      <c r="J93" s="1">
        <v>1</v>
      </c>
      <c r="K93" s="4">
        <v>4</v>
      </c>
      <c r="L93" s="4">
        <v>3</v>
      </c>
      <c r="M93" s="4">
        <v>1</v>
      </c>
      <c r="N93" s="1">
        <v>4</v>
      </c>
      <c r="O93" s="4">
        <v>4</v>
      </c>
      <c r="P93" s="4">
        <v>4</v>
      </c>
      <c r="Q93" s="4">
        <v>4</v>
      </c>
      <c r="R93" s="1">
        <v>4</v>
      </c>
      <c r="S93" s="4">
        <v>3</v>
      </c>
      <c r="T93" s="1">
        <v>1</v>
      </c>
      <c r="U93" s="1">
        <v>4</v>
      </c>
      <c r="V93" s="57">
        <v>4</v>
      </c>
      <c r="W93" s="4">
        <v>4</v>
      </c>
      <c r="X93" s="4">
        <v>4</v>
      </c>
      <c r="Y93" s="1">
        <v>4</v>
      </c>
      <c r="Z93" s="4">
        <v>4</v>
      </c>
      <c r="AA93" s="4">
        <v>4</v>
      </c>
      <c r="AB93" s="4">
        <v>4</v>
      </c>
      <c r="AC93" s="57">
        <v>4</v>
      </c>
      <c r="AD93" s="1">
        <v>4</v>
      </c>
      <c r="AE93" s="1">
        <v>4</v>
      </c>
      <c r="AF93" s="4">
        <v>1</v>
      </c>
      <c r="AG93" s="4">
        <v>1</v>
      </c>
      <c r="AH93" s="4">
        <v>1</v>
      </c>
      <c r="AI93" s="1">
        <v>4</v>
      </c>
      <c r="AJ93" s="1">
        <v>1</v>
      </c>
      <c r="AK93" s="4">
        <v>1</v>
      </c>
      <c r="AL93" s="4">
        <v>4</v>
      </c>
      <c r="AM93" s="4">
        <v>4</v>
      </c>
      <c r="AN93" s="4">
        <v>3</v>
      </c>
      <c r="AO93" s="17">
        <v>4</v>
      </c>
      <c r="AP93" s="17">
        <v>4</v>
      </c>
      <c r="AQ93" s="17">
        <v>4</v>
      </c>
      <c r="AR93" s="17">
        <v>4</v>
      </c>
      <c r="AS93" s="17">
        <v>4</v>
      </c>
      <c r="AT93" s="17">
        <v>4</v>
      </c>
      <c r="AU93" s="17">
        <v>4</v>
      </c>
      <c r="AV93" s="57">
        <v>4</v>
      </c>
      <c r="AW93" s="17">
        <v>4</v>
      </c>
      <c r="AX93" s="17">
        <v>4</v>
      </c>
      <c r="AY93" s="4">
        <v>4</v>
      </c>
      <c r="AZ93" s="4">
        <v>4</v>
      </c>
      <c r="BA93" s="57">
        <v>4</v>
      </c>
      <c r="BB93" s="57">
        <v>4</v>
      </c>
      <c r="BC93" s="4">
        <v>1</v>
      </c>
      <c r="BD93" s="4">
        <v>1</v>
      </c>
      <c r="BE93" s="4">
        <v>4</v>
      </c>
      <c r="BF93" s="4">
        <v>3</v>
      </c>
      <c r="BG93" s="4">
        <v>3</v>
      </c>
      <c r="BH93" s="4">
        <v>4</v>
      </c>
      <c r="BI93" s="4">
        <v>3</v>
      </c>
      <c r="BJ93" s="4">
        <v>3</v>
      </c>
      <c r="BK93" s="4">
        <v>4</v>
      </c>
      <c r="BL93" s="1">
        <v>4</v>
      </c>
      <c r="BM93" s="1">
        <v>4</v>
      </c>
      <c r="BN93" s="17">
        <v>3</v>
      </c>
      <c r="BO93" s="17">
        <v>4</v>
      </c>
      <c r="BP93" s="17">
        <v>3</v>
      </c>
      <c r="BQ93" s="4">
        <v>4</v>
      </c>
      <c r="BR93" s="4">
        <v>4</v>
      </c>
      <c r="BS93" s="17">
        <v>3</v>
      </c>
      <c r="BT93" s="1">
        <v>3</v>
      </c>
      <c r="BU93" s="17">
        <v>3</v>
      </c>
      <c r="BV93" s="4">
        <v>1</v>
      </c>
      <c r="BW93" s="17">
        <v>3</v>
      </c>
      <c r="BX93" s="4">
        <f>16/BS2</f>
        <v>4</v>
      </c>
      <c r="BY93" s="4">
        <v>4</v>
      </c>
      <c r="BZ93" s="4">
        <v>4</v>
      </c>
      <c r="CA93" s="1">
        <v>4</v>
      </c>
      <c r="CB93" s="17">
        <v>4</v>
      </c>
      <c r="CC93" s="4">
        <v>4</v>
      </c>
      <c r="CD93" s="4">
        <v>4</v>
      </c>
      <c r="CE93" s="1">
        <v>4</v>
      </c>
      <c r="CF93" s="57">
        <v>4</v>
      </c>
      <c r="CG93" s="57">
        <v>4</v>
      </c>
      <c r="CH93" s="4">
        <v>4</v>
      </c>
      <c r="CI93" s="4">
        <v>4</v>
      </c>
      <c r="CJ93" s="4">
        <v>4</v>
      </c>
      <c r="CK93" s="17">
        <v>4</v>
      </c>
      <c r="CL93" s="17">
        <v>4</v>
      </c>
      <c r="CM93" s="17">
        <v>4</v>
      </c>
      <c r="CN93" s="57">
        <v>4</v>
      </c>
      <c r="CO93" s="17">
        <v>4</v>
      </c>
      <c r="CP93" s="17">
        <v>4</v>
      </c>
      <c r="CQ93" s="57">
        <v>4</v>
      </c>
      <c r="CR93" s="17">
        <v>4</v>
      </c>
      <c r="CS93" s="17">
        <v>4</v>
      </c>
      <c r="CT93" s="4">
        <v>1</v>
      </c>
      <c r="CU93" s="4">
        <v>4</v>
      </c>
      <c r="CV93" s="4">
        <v>4</v>
      </c>
      <c r="CW93" s="4">
        <v>4</v>
      </c>
      <c r="CX93" s="4">
        <v>4</v>
      </c>
      <c r="CY93" s="4">
        <v>4</v>
      </c>
      <c r="CZ93" s="4">
        <v>4</v>
      </c>
      <c r="DA93" s="17">
        <v>4</v>
      </c>
      <c r="DB93" s="1">
        <v>4</v>
      </c>
      <c r="DC93" s="1">
        <v>4</v>
      </c>
      <c r="DD93" s="1">
        <v>4</v>
      </c>
      <c r="DE93" s="17">
        <v>4</v>
      </c>
      <c r="DF93" s="57">
        <v>4</v>
      </c>
      <c r="DG93" s="4">
        <v>4</v>
      </c>
      <c r="DH93" s="1">
        <v>4</v>
      </c>
      <c r="DI93" s="4">
        <v>4</v>
      </c>
      <c r="DJ93" s="4">
        <v>4</v>
      </c>
      <c r="DK93" s="1">
        <v>4</v>
      </c>
      <c r="DL93" s="1">
        <v>4</v>
      </c>
      <c r="DM93" s="1">
        <v>4</v>
      </c>
      <c r="DN93" s="1">
        <v>4</v>
      </c>
      <c r="DO93" s="1">
        <v>4</v>
      </c>
      <c r="DP93" s="1">
        <v>4</v>
      </c>
      <c r="DQ93" s="1">
        <v>4</v>
      </c>
      <c r="DR93" s="1">
        <v>4</v>
      </c>
      <c r="DS93" s="1">
        <v>4</v>
      </c>
      <c r="DT93" s="1">
        <v>4</v>
      </c>
    </row>
    <row r="94" spans="1:124" x14ac:dyDescent="0.2">
      <c r="A94" t="s">
        <v>206</v>
      </c>
      <c r="B94" s="1" t="s">
        <v>1410</v>
      </c>
      <c r="C94" s="1" t="s">
        <v>1244</v>
      </c>
      <c r="E94" s="62">
        <v>1</v>
      </c>
      <c r="F94" s="57">
        <v>4</v>
      </c>
      <c r="G94" s="1">
        <v>1</v>
      </c>
      <c r="H94" s="1">
        <v>1</v>
      </c>
      <c r="I94" s="1">
        <v>4</v>
      </c>
      <c r="J94" s="1">
        <v>1</v>
      </c>
      <c r="K94" s="4">
        <v>4</v>
      </c>
      <c r="L94" s="4">
        <v>1</v>
      </c>
      <c r="M94" s="4">
        <v>1</v>
      </c>
      <c r="N94" s="1">
        <v>4</v>
      </c>
      <c r="O94" s="4">
        <v>4</v>
      </c>
      <c r="P94" s="4">
        <v>4</v>
      </c>
      <c r="Q94" s="4">
        <v>4</v>
      </c>
      <c r="R94" s="1">
        <v>4</v>
      </c>
      <c r="S94" s="1">
        <v>1</v>
      </c>
      <c r="T94" s="1">
        <v>1</v>
      </c>
      <c r="U94" s="1">
        <v>4</v>
      </c>
      <c r="V94" s="57">
        <v>4</v>
      </c>
      <c r="W94" s="4">
        <v>4</v>
      </c>
      <c r="X94" s="4">
        <v>4</v>
      </c>
      <c r="Y94" s="1">
        <v>4</v>
      </c>
      <c r="Z94" s="4">
        <v>4</v>
      </c>
      <c r="AA94" s="4">
        <v>4</v>
      </c>
      <c r="AB94" s="4">
        <v>4</v>
      </c>
      <c r="AC94" s="57">
        <v>4</v>
      </c>
      <c r="AD94" s="1">
        <v>4</v>
      </c>
      <c r="AE94" s="1">
        <v>4</v>
      </c>
      <c r="AF94" s="4">
        <v>1</v>
      </c>
      <c r="AG94" s="4">
        <v>1</v>
      </c>
      <c r="AH94" s="4">
        <v>1</v>
      </c>
      <c r="AI94" s="1">
        <v>4</v>
      </c>
      <c r="AJ94" s="1">
        <v>1</v>
      </c>
      <c r="AK94" s="4">
        <v>1</v>
      </c>
      <c r="AL94" s="4">
        <v>4</v>
      </c>
      <c r="AM94" s="4">
        <v>4</v>
      </c>
      <c r="AN94" s="17">
        <v>3</v>
      </c>
      <c r="AO94" s="17">
        <v>4</v>
      </c>
      <c r="AP94" s="17">
        <v>4</v>
      </c>
      <c r="AQ94" s="17">
        <v>4</v>
      </c>
      <c r="AR94" s="17">
        <v>4</v>
      </c>
      <c r="AS94" s="17">
        <v>4</v>
      </c>
      <c r="AT94" s="17">
        <v>4</v>
      </c>
      <c r="AU94" s="17">
        <v>4</v>
      </c>
      <c r="AV94" s="57">
        <v>4</v>
      </c>
      <c r="AW94" s="17">
        <v>4</v>
      </c>
      <c r="AX94" s="17">
        <v>4</v>
      </c>
      <c r="AY94" s="4">
        <v>4</v>
      </c>
      <c r="AZ94" s="4">
        <v>4</v>
      </c>
      <c r="BA94" s="57">
        <v>4</v>
      </c>
      <c r="BB94" s="57">
        <v>4</v>
      </c>
      <c r="BC94" s="4">
        <v>1</v>
      </c>
      <c r="BD94" s="4">
        <v>1</v>
      </c>
      <c r="BE94" s="4">
        <v>4</v>
      </c>
      <c r="BF94" s="4">
        <v>3</v>
      </c>
      <c r="BG94" s="4">
        <v>3</v>
      </c>
      <c r="BH94" s="4">
        <v>4</v>
      </c>
      <c r="BI94" s="17">
        <v>3</v>
      </c>
      <c r="BJ94" s="17">
        <v>1</v>
      </c>
      <c r="BK94" s="4">
        <v>4</v>
      </c>
      <c r="BL94" s="1">
        <v>4</v>
      </c>
      <c r="BM94" s="1">
        <v>4</v>
      </c>
      <c r="BN94" s="17">
        <v>1</v>
      </c>
      <c r="BO94" s="17">
        <v>4</v>
      </c>
      <c r="BP94" s="4">
        <v>1</v>
      </c>
      <c r="BQ94" s="4">
        <v>4</v>
      </c>
      <c r="BR94" s="4">
        <v>4</v>
      </c>
      <c r="BS94" s="17">
        <v>3</v>
      </c>
      <c r="BT94" s="1">
        <v>3</v>
      </c>
      <c r="BU94" s="17">
        <v>1</v>
      </c>
      <c r="BV94" s="4">
        <v>1</v>
      </c>
      <c r="BW94" s="17">
        <v>1</v>
      </c>
      <c r="BX94" s="17">
        <v>1</v>
      </c>
      <c r="BY94" s="4">
        <v>4</v>
      </c>
      <c r="BZ94" s="4">
        <v>4</v>
      </c>
      <c r="CA94" s="1">
        <v>4</v>
      </c>
      <c r="CB94" s="17">
        <v>4</v>
      </c>
      <c r="CC94" s="4">
        <v>4</v>
      </c>
      <c r="CD94" s="4">
        <v>4</v>
      </c>
      <c r="CE94" s="1">
        <v>4</v>
      </c>
      <c r="CF94" s="57">
        <v>4</v>
      </c>
      <c r="CG94" s="57">
        <v>4</v>
      </c>
      <c r="CH94" s="4">
        <v>4</v>
      </c>
      <c r="CI94" s="4">
        <v>4</v>
      </c>
      <c r="CJ94" s="4">
        <v>4</v>
      </c>
      <c r="CK94" s="17">
        <v>4</v>
      </c>
      <c r="CL94" s="17">
        <v>4</v>
      </c>
      <c r="CM94" s="17">
        <v>4</v>
      </c>
      <c r="CN94" s="57">
        <v>4</v>
      </c>
      <c r="CO94" s="17">
        <v>4</v>
      </c>
      <c r="CP94" s="17">
        <v>4</v>
      </c>
      <c r="CQ94" s="57">
        <v>4</v>
      </c>
      <c r="CR94" s="17">
        <v>4</v>
      </c>
      <c r="CS94" s="17">
        <v>4</v>
      </c>
      <c r="CT94" s="4">
        <v>1</v>
      </c>
      <c r="CU94" s="4">
        <v>4</v>
      </c>
      <c r="CV94" s="4">
        <v>4</v>
      </c>
      <c r="CW94" s="4">
        <v>4</v>
      </c>
      <c r="CX94" s="4">
        <v>4</v>
      </c>
      <c r="CY94" s="4">
        <v>4</v>
      </c>
      <c r="CZ94" s="4">
        <v>4</v>
      </c>
      <c r="DA94" s="17">
        <v>4</v>
      </c>
      <c r="DB94" s="1">
        <v>4</v>
      </c>
      <c r="DC94" s="1">
        <v>4</v>
      </c>
      <c r="DD94" s="1">
        <v>4</v>
      </c>
      <c r="DE94" s="17">
        <v>4</v>
      </c>
      <c r="DF94" s="57">
        <v>4</v>
      </c>
      <c r="DG94" s="4">
        <v>4</v>
      </c>
      <c r="DH94" s="1">
        <v>4</v>
      </c>
      <c r="DI94" s="4">
        <v>4</v>
      </c>
      <c r="DJ94" s="4">
        <v>4</v>
      </c>
      <c r="DK94" s="1">
        <v>4</v>
      </c>
      <c r="DL94" s="1">
        <v>4</v>
      </c>
      <c r="DM94" s="1">
        <v>4</v>
      </c>
      <c r="DN94" s="1">
        <v>4</v>
      </c>
      <c r="DO94" s="1">
        <v>4</v>
      </c>
      <c r="DP94" s="1">
        <v>4</v>
      </c>
      <c r="DQ94" s="1">
        <v>4</v>
      </c>
      <c r="DR94" s="1">
        <v>4</v>
      </c>
      <c r="DS94" s="1">
        <v>4</v>
      </c>
      <c r="DT94" s="1">
        <v>4</v>
      </c>
    </row>
    <row r="95" spans="1:124" x14ac:dyDescent="0.2">
      <c r="A95" t="s">
        <v>193</v>
      </c>
      <c r="B95" s="1" t="s">
        <v>1410</v>
      </c>
      <c r="C95" s="1" t="s">
        <v>1239</v>
      </c>
      <c r="E95" s="62">
        <v>1</v>
      </c>
      <c r="F95" s="57">
        <v>4</v>
      </c>
      <c r="G95" s="1">
        <v>1</v>
      </c>
      <c r="H95" s="1">
        <v>1</v>
      </c>
      <c r="I95" s="1">
        <v>4</v>
      </c>
      <c r="J95" s="1">
        <v>1</v>
      </c>
      <c r="K95" s="4">
        <v>4</v>
      </c>
      <c r="L95" s="4">
        <v>3</v>
      </c>
      <c r="M95" s="4">
        <v>1</v>
      </c>
      <c r="N95" s="1">
        <v>4</v>
      </c>
      <c r="O95" s="4">
        <v>4</v>
      </c>
      <c r="P95" s="4">
        <v>4</v>
      </c>
      <c r="Q95" s="4">
        <v>4</v>
      </c>
      <c r="R95" s="1">
        <v>4</v>
      </c>
      <c r="S95" s="1">
        <v>1</v>
      </c>
      <c r="T95" s="1">
        <v>1</v>
      </c>
      <c r="U95" s="1">
        <v>4</v>
      </c>
      <c r="V95" s="57">
        <v>4</v>
      </c>
      <c r="W95" s="4">
        <v>4</v>
      </c>
      <c r="X95" s="4">
        <v>4</v>
      </c>
      <c r="Y95" s="1">
        <v>4</v>
      </c>
      <c r="Z95" s="4">
        <v>4</v>
      </c>
      <c r="AA95" s="4">
        <v>4</v>
      </c>
      <c r="AB95" s="4">
        <v>4</v>
      </c>
      <c r="AC95" s="57">
        <v>4</v>
      </c>
      <c r="AD95" s="1">
        <v>4</v>
      </c>
      <c r="AE95" s="1">
        <v>4</v>
      </c>
      <c r="AF95" s="4">
        <v>3</v>
      </c>
      <c r="AG95" s="4">
        <v>3</v>
      </c>
      <c r="AH95" s="4">
        <v>3</v>
      </c>
      <c r="AI95" s="1">
        <v>4</v>
      </c>
      <c r="AJ95" s="1">
        <v>1</v>
      </c>
      <c r="AK95" s="4">
        <v>3</v>
      </c>
      <c r="AL95" s="4">
        <v>4</v>
      </c>
      <c r="AM95" s="4">
        <v>4</v>
      </c>
      <c r="AN95" s="4">
        <v>3</v>
      </c>
      <c r="AO95" s="17">
        <v>4</v>
      </c>
      <c r="AP95" s="17">
        <v>4</v>
      </c>
      <c r="AQ95" s="17">
        <v>4</v>
      </c>
      <c r="AR95" s="17">
        <v>4</v>
      </c>
      <c r="AS95" s="17">
        <v>4</v>
      </c>
      <c r="AT95" s="17">
        <v>4</v>
      </c>
      <c r="AU95" s="17">
        <v>4</v>
      </c>
      <c r="AV95" s="57">
        <v>4</v>
      </c>
      <c r="AW95" s="17">
        <v>4</v>
      </c>
      <c r="AX95" s="17">
        <v>4</v>
      </c>
      <c r="AY95" s="4">
        <v>4</v>
      </c>
      <c r="AZ95" s="4">
        <v>4</v>
      </c>
      <c r="BA95" s="57">
        <v>4</v>
      </c>
      <c r="BB95" s="57">
        <v>4</v>
      </c>
      <c r="BC95" s="4">
        <v>1</v>
      </c>
      <c r="BD95" s="4">
        <v>1</v>
      </c>
      <c r="BE95" s="4">
        <v>4</v>
      </c>
      <c r="BF95" s="4">
        <v>3</v>
      </c>
      <c r="BG95" s="4">
        <v>3</v>
      </c>
      <c r="BH95" s="4">
        <v>4</v>
      </c>
      <c r="BI95" s="4">
        <v>3</v>
      </c>
      <c r="BJ95" s="4">
        <v>3</v>
      </c>
      <c r="BK95" s="4">
        <v>4</v>
      </c>
      <c r="BL95" s="1">
        <v>4</v>
      </c>
      <c r="BM95" s="1">
        <v>4</v>
      </c>
      <c r="BN95" s="17">
        <v>3</v>
      </c>
      <c r="BO95" s="4">
        <v>4</v>
      </c>
      <c r="BP95" s="4">
        <v>3</v>
      </c>
      <c r="BQ95" s="4">
        <v>4</v>
      </c>
      <c r="BR95" s="4">
        <v>4</v>
      </c>
      <c r="BS95" s="4">
        <v>1</v>
      </c>
      <c r="BT95" s="1">
        <v>3</v>
      </c>
      <c r="BU95" s="4">
        <v>3</v>
      </c>
      <c r="BV95" s="4">
        <v>1</v>
      </c>
      <c r="BW95" s="4">
        <v>3</v>
      </c>
      <c r="BX95" s="4">
        <v>1</v>
      </c>
      <c r="BY95" s="4">
        <v>4</v>
      </c>
      <c r="BZ95" s="4">
        <v>4</v>
      </c>
      <c r="CA95" s="1">
        <v>4</v>
      </c>
      <c r="CB95" s="17">
        <v>4</v>
      </c>
      <c r="CC95" s="4">
        <v>4</v>
      </c>
      <c r="CD95" s="4">
        <v>4</v>
      </c>
      <c r="CE95" s="1">
        <v>4</v>
      </c>
      <c r="CF95" s="57">
        <v>4</v>
      </c>
      <c r="CG95" s="57">
        <v>4</v>
      </c>
      <c r="CH95" s="4">
        <v>4</v>
      </c>
      <c r="CI95" s="4">
        <v>4</v>
      </c>
      <c r="CJ95" s="4">
        <v>4</v>
      </c>
      <c r="CK95" s="17">
        <v>4</v>
      </c>
      <c r="CL95" s="17">
        <v>4</v>
      </c>
      <c r="CM95" s="17">
        <v>4</v>
      </c>
      <c r="CN95" s="57">
        <v>4</v>
      </c>
      <c r="CO95" s="17">
        <v>4</v>
      </c>
      <c r="CP95" s="17">
        <v>4</v>
      </c>
      <c r="CQ95" s="57">
        <v>4</v>
      </c>
      <c r="CR95" s="17">
        <v>4</v>
      </c>
      <c r="CS95" s="17">
        <v>4</v>
      </c>
      <c r="CT95" s="4">
        <v>1</v>
      </c>
      <c r="CU95" s="4">
        <v>4</v>
      </c>
      <c r="CV95" s="4">
        <v>4</v>
      </c>
      <c r="CW95" s="4">
        <v>4</v>
      </c>
      <c r="CX95" s="4">
        <v>4</v>
      </c>
      <c r="CY95" s="4">
        <v>4</v>
      </c>
      <c r="CZ95" s="4">
        <v>4</v>
      </c>
      <c r="DA95" s="17">
        <v>4</v>
      </c>
      <c r="DB95" s="1">
        <v>4</v>
      </c>
      <c r="DC95" s="1">
        <v>4</v>
      </c>
      <c r="DD95" s="1">
        <v>4</v>
      </c>
      <c r="DE95" s="17">
        <v>4</v>
      </c>
      <c r="DF95" s="57">
        <v>4</v>
      </c>
      <c r="DG95" s="4">
        <v>4</v>
      </c>
      <c r="DH95" s="1">
        <v>4</v>
      </c>
      <c r="DI95" s="4">
        <v>4</v>
      </c>
      <c r="DJ95" s="4">
        <v>4</v>
      </c>
      <c r="DK95" s="1">
        <v>4</v>
      </c>
      <c r="DL95" s="1">
        <v>4</v>
      </c>
      <c r="DM95" s="1">
        <v>4</v>
      </c>
      <c r="DN95" s="1">
        <v>4</v>
      </c>
      <c r="DO95" s="1">
        <v>4</v>
      </c>
      <c r="DP95" s="1">
        <v>4</v>
      </c>
      <c r="DQ95" s="1">
        <v>4</v>
      </c>
      <c r="DR95" s="1">
        <v>4</v>
      </c>
      <c r="DS95" s="1">
        <v>4</v>
      </c>
      <c r="DT95" s="1">
        <v>4</v>
      </c>
    </row>
    <row r="96" spans="1:124" x14ac:dyDescent="0.2">
      <c r="A96" t="s">
        <v>194</v>
      </c>
      <c r="B96" s="1" t="s">
        <v>1410</v>
      </c>
      <c r="C96" s="1" t="s">
        <v>1239</v>
      </c>
      <c r="E96" s="62">
        <v>1</v>
      </c>
      <c r="F96" s="57">
        <v>4</v>
      </c>
      <c r="G96" s="1">
        <v>1</v>
      </c>
      <c r="H96" s="1">
        <v>1</v>
      </c>
      <c r="I96" s="1">
        <v>4</v>
      </c>
      <c r="J96" s="1">
        <v>1</v>
      </c>
      <c r="K96" s="4">
        <v>4</v>
      </c>
      <c r="L96" s="4">
        <v>3</v>
      </c>
      <c r="M96" s="4">
        <v>1</v>
      </c>
      <c r="N96" s="1">
        <v>4</v>
      </c>
      <c r="O96" s="4">
        <v>4</v>
      </c>
      <c r="P96" s="4">
        <v>4</v>
      </c>
      <c r="Q96" s="4">
        <v>4</v>
      </c>
      <c r="R96" s="1">
        <v>4</v>
      </c>
      <c r="S96" s="1">
        <v>1</v>
      </c>
      <c r="T96" s="1">
        <v>1</v>
      </c>
      <c r="U96" s="1">
        <v>4</v>
      </c>
      <c r="V96" s="57">
        <v>4</v>
      </c>
      <c r="W96" s="4">
        <v>4</v>
      </c>
      <c r="X96" s="4">
        <v>4</v>
      </c>
      <c r="Y96" s="1">
        <v>4</v>
      </c>
      <c r="Z96" s="4">
        <v>4</v>
      </c>
      <c r="AA96" s="4">
        <v>4</v>
      </c>
      <c r="AB96" s="4">
        <v>4</v>
      </c>
      <c r="AC96" s="57">
        <v>4</v>
      </c>
      <c r="AD96" s="1">
        <v>4</v>
      </c>
      <c r="AE96" s="1">
        <v>4</v>
      </c>
      <c r="AF96" s="4">
        <v>1</v>
      </c>
      <c r="AG96" s="4">
        <v>1</v>
      </c>
      <c r="AH96" s="4">
        <v>1</v>
      </c>
      <c r="AI96" s="1">
        <v>4</v>
      </c>
      <c r="AJ96" s="1">
        <v>1</v>
      </c>
      <c r="AK96" s="4">
        <v>1</v>
      </c>
      <c r="AL96" s="4">
        <v>4</v>
      </c>
      <c r="AM96" s="4">
        <v>4</v>
      </c>
      <c r="AN96" s="4">
        <v>1</v>
      </c>
      <c r="AO96" s="17">
        <v>4</v>
      </c>
      <c r="AP96" s="17">
        <v>4</v>
      </c>
      <c r="AQ96" s="17">
        <v>4</v>
      </c>
      <c r="AR96" s="17">
        <v>4</v>
      </c>
      <c r="AS96" s="17">
        <v>4</v>
      </c>
      <c r="AT96" s="17">
        <v>4</v>
      </c>
      <c r="AU96" s="17">
        <v>4</v>
      </c>
      <c r="AV96" s="57">
        <v>4</v>
      </c>
      <c r="AW96" s="17">
        <v>4</v>
      </c>
      <c r="AX96" s="17">
        <v>4</v>
      </c>
      <c r="AY96" s="4">
        <v>4</v>
      </c>
      <c r="AZ96" s="4">
        <v>4</v>
      </c>
      <c r="BA96" s="57">
        <v>4</v>
      </c>
      <c r="BB96" s="57">
        <v>4</v>
      </c>
      <c r="BC96" s="4">
        <v>1</v>
      </c>
      <c r="BD96" s="4">
        <v>1</v>
      </c>
      <c r="BE96" s="4">
        <v>4</v>
      </c>
      <c r="BF96" s="4">
        <v>3</v>
      </c>
      <c r="BG96" s="4">
        <v>3</v>
      </c>
      <c r="BH96" s="4">
        <v>4</v>
      </c>
      <c r="BI96" s="4">
        <v>3</v>
      </c>
      <c r="BJ96" s="4">
        <v>3</v>
      </c>
      <c r="BK96" s="4">
        <v>4</v>
      </c>
      <c r="BL96" s="1">
        <v>4</v>
      </c>
      <c r="BM96" s="1">
        <v>4</v>
      </c>
      <c r="BN96" s="17">
        <v>3</v>
      </c>
      <c r="BO96" s="4">
        <v>4</v>
      </c>
      <c r="BP96" s="4">
        <v>1</v>
      </c>
      <c r="BQ96" s="4">
        <v>4</v>
      </c>
      <c r="BR96" s="4">
        <v>4</v>
      </c>
      <c r="BS96" s="4">
        <v>3</v>
      </c>
      <c r="BT96" s="1">
        <v>3</v>
      </c>
      <c r="BU96" s="17">
        <v>3</v>
      </c>
      <c r="BV96" s="4">
        <v>1</v>
      </c>
      <c r="BW96" s="4">
        <v>1</v>
      </c>
      <c r="BX96" s="4">
        <v>1</v>
      </c>
      <c r="BY96" s="4">
        <v>4</v>
      </c>
      <c r="BZ96" s="4">
        <v>4</v>
      </c>
      <c r="CA96" s="1">
        <v>4</v>
      </c>
      <c r="CB96" s="17">
        <v>4</v>
      </c>
      <c r="CC96" s="4">
        <v>4</v>
      </c>
      <c r="CD96" s="4">
        <v>4</v>
      </c>
      <c r="CE96" s="1">
        <v>4</v>
      </c>
      <c r="CF96" s="57">
        <v>4</v>
      </c>
      <c r="CG96" s="57">
        <v>4</v>
      </c>
      <c r="CH96" s="4">
        <v>4</v>
      </c>
      <c r="CI96" s="4">
        <v>4</v>
      </c>
      <c r="CJ96" s="4">
        <v>4</v>
      </c>
      <c r="CK96" s="17">
        <v>4</v>
      </c>
      <c r="CL96" s="17">
        <v>4</v>
      </c>
      <c r="CM96" s="17">
        <v>4</v>
      </c>
      <c r="CN96" s="57">
        <v>4</v>
      </c>
      <c r="CO96" s="17">
        <v>4</v>
      </c>
      <c r="CP96" s="17">
        <v>4</v>
      </c>
      <c r="CQ96" s="57">
        <v>4</v>
      </c>
      <c r="CR96" s="17">
        <v>4</v>
      </c>
      <c r="CS96" s="17">
        <v>4</v>
      </c>
      <c r="CT96" s="4">
        <v>1</v>
      </c>
      <c r="CU96" s="4">
        <v>4</v>
      </c>
      <c r="CV96" s="4">
        <v>4</v>
      </c>
      <c r="CW96" s="4">
        <v>4</v>
      </c>
      <c r="CX96" s="4">
        <v>4</v>
      </c>
      <c r="CY96" s="4">
        <v>4</v>
      </c>
      <c r="CZ96" s="4">
        <v>4</v>
      </c>
      <c r="DA96" s="17">
        <v>4</v>
      </c>
      <c r="DB96" s="1">
        <v>4</v>
      </c>
      <c r="DC96" s="1">
        <v>4</v>
      </c>
      <c r="DD96" s="1">
        <v>4</v>
      </c>
      <c r="DE96" s="17">
        <v>4</v>
      </c>
      <c r="DF96" s="57">
        <v>4</v>
      </c>
      <c r="DG96" s="4">
        <v>4</v>
      </c>
      <c r="DH96" s="1">
        <v>4</v>
      </c>
      <c r="DI96" s="4">
        <v>4</v>
      </c>
      <c r="DJ96" s="4">
        <v>4</v>
      </c>
      <c r="DK96" s="1">
        <v>4</v>
      </c>
      <c r="DL96" s="1">
        <v>4</v>
      </c>
      <c r="DM96" s="1">
        <v>4</v>
      </c>
      <c r="DN96" s="1">
        <v>4</v>
      </c>
      <c r="DO96" s="1">
        <v>4</v>
      </c>
      <c r="DP96" s="1">
        <v>4</v>
      </c>
      <c r="DQ96" s="1">
        <v>4</v>
      </c>
      <c r="DR96" s="1">
        <v>4</v>
      </c>
      <c r="DS96" s="1">
        <v>4</v>
      </c>
      <c r="DT96" s="1">
        <v>4</v>
      </c>
    </row>
    <row r="97" spans="1:124" x14ac:dyDescent="0.2">
      <c r="A97" t="s">
        <v>196</v>
      </c>
      <c r="B97" s="1" t="s">
        <v>1410</v>
      </c>
      <c r="C97" s="1" t="s">
        <v>1239</v>
      </c>
      <c r="E97" s="62">
        <v>1</v>
      </c>
      <c r="F97" s="57">
        <v>4</v>
      </c>
      <c r="G97" s="1">
        <v>1</v>
      </c>
      <c r="H97" s="1">
        <v>1</v>
      </c>
      <c r="I97" s="1">
        <v>4</v>
      </c>
      <c r="J97" s="1">
        <v>1</v>
      </c>
      <c r="K97" s="4">
        <v>4</v>
      </c>
      <c r="L97" s="4">
        <v>1</v>
      </c>
      <c r="M97" s="4">
        <v>1</v>
      </c>
      <c r="N97" s="1">
        <v>4</v>
      </c>
      <c r="O97" s="4">
        <v>4</v>
      </c>
      <c r="P97" s="4">
        <v>4</v>
      </c>
      <c r="Q97" s="4">
        <v>4</v>
      </c>
      <c r="R97" s="1">
        <v>4</v>
      </c>
      <c r="S97" s="1">
        <v>1</v>
      </c>
      <c r="T97" s="1">
        <v>1</v>
      </c>
      <c r="U97" s="1">
        <v>4</v>
      </c>
      <c r="V97" s="57">
        <v>4</v>
      </c>
      <c r="W97" s="4">
        <v>4</v>
      </c>
      <c r="X97" s="4">
        <v>4</v>
      </c>
      <c r="Y97" s="1">
        <v>4</v>
      </c>
      <c r="Z97" s="4">
        <v>4</v>
      </c>
      <c r="AA97" s="4">
        <v>4</v>
      </c>
      <c r="AB97" s="4">
        <v>4</v>
      </c>
      <c r="AC97" s="57">
        <v>4</v>
      </c>
      <c r="AD97" s="1">
        <v>4</v>
      </c>
      <c r="AE97" s="1">
        <v>4</v>
      </c>
      <c r="AF97" s="4">
        <v>1</v>
      </c>
      <c r="AG97" s="4">
        <v>1</v>
      </c>
      <c r="AH97" s="4">
        <v>1</v>
      </c>
      <c r="AI97" s="1">
        <v>4</v>
      </c>
      <c r="AJ97" s="1">
        <v>1</v>
      </c>
      <c r="AK97" s="4">
        <v>1</v>
      </c>
      <c r="AL97" s="4">
        <v>4</v>
      </c>
      <c r="AM97" s="4">
        <v>4</v>
      </c>
      <c r="AN97" s="4">
        <v>1</v>
      </c>
      <c r="AO97" s="17">
        <v>4</v>
      </c>
      <c r="AP97" s="17">
        <v>4</v>
      </c>
      <c r="AQ97" s="17">
        <v>4</v>
      </c>
      <c r="AR97" s="17">
        <v>4</v>
      </c>
      <c r="AS97" s="17">
        <v>4</v>
      </c>
      <c r="AT97" s="17">
        <v>4</v>
      </c>
      <c r="AU97" s="17">
        <v>4</v>
      </c>
      <c r="AV97" s="57">
        <v>4</v>
      </c>
      <c r="AW97" s="17">
        <v>4</v>
      </c>
      <c r="AX97" s="17">
        <v>4</v>
      </c>
      <c r="AY97" s="4">
        <v>4</v>
      </c>
      <c r="AZ97" s="4">
        <v>4</v>
      </c>
      <c r="BA97" s="57">
        <v>4</v>
      </c>
      <c r="BB97" s="57">
        <v>4</v>
      </c>
      <c r="BC97" s="4">
        <v>1</v>
      </c>
      <c r="BD97" s="4">
        <v>1</v>
      </c>
      <c r="BE97" s="4">
        <v>4</v>
      </c>
      <c r="BF97" s="4">
        <v>1</v>
      </c>
      <c r="BG97" s="4">
        <v>1</v>
      </c>
      <c r="BH97" s="4">
        <v>4</v>
      </c>
      <c r="BI97" s="4">
        <v>3</v>
      </c>
      <c r="BJ97" s="4">
        <v>3</v>
      </c>
      <c r="BK97" s="4">
        <v>4</v>
      </c>
      <c r="BL97" s="1">
        <v>4</v>
      </c>
      <c r="BM97" s="1">
        <v>4</v>
      </c>
      <c r="BN97" s="17">
        <v>3</v>
      </c>
      <c r="BO97" s="4">
        <v>4</v>
      </c>
      <c r="BP97" s="4">
        <v>1</v>
      </c>
      <c r="BQ97" s="4">
        <v>4</v>
      </c>
      <c r="BR97" s="4">
        <v>4</v>
      </c>
      <c r="BS97" s="17">
        <v>3</v>
      </c>
      <c r="BT97" s="1">
        <v>3</v>
      </c>
      <c r="BU97" s="17">
        <v>3</v>
      </c>
      <c r="BV97" s="4">
        <v>1</v>
      </c>
      <c r="BW97" s="4">
        <v>1</v>
      </c>
      <c r="BX97" s="4">
        <v>1</v>
      </c>
      <c r="BY97" s="4">
        <v>4</v>
      </c>
      <c r="BZ97" s="4">
        <v>4</v>
      </c>
      <c r="CA97" s="1">
        <v>4</v>
      </c>
      <c r="CB97" s="17">
        <v>4</v>
      </c>
      <c r="CC97" s="4">
        <v>4</v>
      </c>
      <c r="CD97" s="4">
        <v>4</v>
      </c>
      <c r="CE97" s="1">
        <v>4</v>
      </c>
      <c r="CF97" s="57">
        <v>4</v>
      </c>
      <c r="CG97" s="57">
        <v>4</v>
      </c>
      <c r="CH97" s="4">
        <v>4</v>
      </c>
      <c r="CI97" s="4">
        <v>4</v>
      </c>
      <c r="CJ97" s="4">
        <v>4</v>
      </c>
      <c r="CK97" s="17">
        <v>4</v>
      </c>
      <c r="CL97" s="17">
        <v>4</v>
      </c>
      <c r="CM97" s="17">
        <v>4</v>
      </c>
      <c r="CN97" s="57">
        <v>4</v>
      </c>
      <c r="CO97" s="17">
        <v>4</v>
      </c>
      <c r="CP97" s="17">
        <v>4</v>
      </c>
      <c r="CQ97" s="57">
        <v>4</v>
      </c>
      <c r="CR97" s="17">
        <v>4</v>
      </c>
      <c r="CS97" s="17">
        <v>4</v>
      </c>
      <c r="CT97" s="4">
        <v>1</v>
      </c>
      <c r="CU97" s="4">
        <v>4</v>
      </c>
      <c r="CV97" s="4">
        <v>4</v>
      </c>
      <c r="CW97" s="4">
        <v>4</v>
      </c>
      <c r="CX97" s="4">
        <v>4</v>
      </c>
      <c r="CY97" s="4">
        <v>4</v>
      </c>
      <c r="CZ97" s="4">
        <v>4</v>
      </c>
      <c r="DA97" s="17">
        <v>4</v>
      </c>
      <c r="DB97" s="1">
        <v>4</v>
      </c>
      <c r="DC97" s="1">
        <v>4</v>
      </c>
      <c r="DD97" s="1">
        <v>4</v>
      </c>
      <c r="DE97" s="17">
        <v>4</v>
      </c>
      <c r="DF97" s="57">
        <v>4</v>
      </c>
      <c r="DG97" s="4">
        <v>4</v>
      </c>
      <c r="DH97" s="1">
        <v>4</v>
      </c>
      <c r="DI97" s="4">
        <v>4</v>
      </c>
      <c r="DJ97" s="4">
        <v>4</v>
      </c>
      <c r="DK97" s="1">
        <v>4</v>
      </c>
      <c r="DL97" s="1">
        <v>4</v>
      </c>
      <c r="DM97" s="1">
        <v>4</v>
      </c>
      <c r="DN97" s="1">
        <v>4</v>
      </c>
      <c r="DO97" s="1">
        <v>4</v>
      </c>
      <c r="DP97" s="1">
        <v>4</v>
      </c>
      <c r="DQ97" s="1">
        <v>4</v>
      </c>
      <c r="DR97" s="1">
        <v>4</v>
      </c>
      <c r="DS97" s="1">
        <v>4</v>
      </c>
      <c r="DT97" s="1">
        <v>4</v>
      </c>
    </row>
    <row r="98" spans="1:124" x14ac:dyDescent="0.2">
      <c r="A98" t="s">
        <v>291</v>
      </c>
      <c r="B98" s="1" t="s">
        <v>1410</v>
      </c>
      <c r="C98" s="1" t="s">
        <v>1239</v>
      </c>
      <c r="E98" s="62">
        <v>1</v>
      </c>
      <c r="F98" s="57">
        <v>4</v>
      </c>
      <c r="G98" s="1">
        <v>1</v>
      </c>
      <c r="H98" s="1">
        <v>1</v>
      </c>
      <c r="I98" s="1">
        <v>4</v>
      </c>
      <c r="J98" s="1">
        <v>1</v>
      </c>
      <c r="K98" s="4">
        <v>4</v>
      </c>
      <c r="L98" s="4">
        <v>4</v>
      </c>
      <c r="M98" s="4">
        <v>4</v>
      </c>
      <c r="N98" s="1">
        <v>4</v>
      </c>
      <c r="O98" s="4">
        <v>4</v>
      </c>
      <c r="P98" s="4">
        <v>4</v>
      </c>
      <c r="Q98" s="4">
        <v>4</v>
      </c>
      <c r="R98" s="1">
        <v>4</v>
      </c>
      <c r="S98" s="1">
        <v>1</v>
      </c>
      <c r="T98" s="1">
        <v>1</v>
      </c>
      <c r="U98" s="1">
        <v>4</v>
      </c>
      <c r="V98" s="57">
        <v>4</v>
      </c>
      <c r="W98" s="4">
        <v>4</v>
      </c>
      <c r="X98" s="4">
        <v>4</v>
      </c>
      <c r="Y98" s="1">
        <v>4</v>
      </c>
      <c r="Z98" s="4">
        <v>4</v>
      </c>
      <c r="AA98" s="4">
        <v>4</v>
      </c>
      <c r="AB98" s="4">
        <v>4</v>
      </c>
      <c r="AC98" s="57">
        <v>4</v>
      </c>
      <c r="AD98" s="4">
        <v>4</v>
      </c>
      <c r="AE98" s="4">
        <v>4</v>
      </c>
      <c r="AF98" s="4">
        <v>4</v>
      </c>
      <c r="AG98" s="4">
        <v>4</v>
      </c>
      <c r="AH98" s="4">
        <v>4</v>
      </c>
      <c r="AI98" s="1">
        <v>4</v>
      </c>
      <c r="AJ98" s="1">
        <v>1</v>
      </c>
      <c r="AK98" s="4">
        <v>1</v>
      </c>
      <c r="AL98" s="4">
        <v>4</v>
      </c>
      <c r="AM98" s="4">
        <v>4</v>
      </c>
      <c r="AN98" s="4">
        <v>4</v>
      </c>
      <c r="AO98" s="17">
        <v>4</v>
      </c>
      <c r="AP98" s="17">
        <v>4</v>
      </c>
      <c r="AQ98" s="17">
        <v>4</v>
      </c>
      <c r="AR98" s="17">
        <v>4</v>
      </c>
      <c r="AS98" s="17">
        <v>4</v>
      </c>
      <c r="AT98" s="17">
        <v>4</v>
      </c>
      <c r="AU98" s="17">
        <v>4</v>
      </c>
      <c r="AV98" s="57">
        <v>4</v>
      </c>
      <c r="AW98" s="17">
        <v>4</v>
      </c>
      <c r="AX98" s="17">
        <v>4</v>
      </c>
      <c r="AY98" s="4">
        <v>4</v>
      </c>
      <c r="AZ98" s="4">
        <v>4</v>
      </c>
      <c r="BA98" s="57">
        <v>4</v>
      </c>
      <c r="BB98" s="57">
        <v>4</v>
      </c>
      <c r="BC98" s="4">
        <v>1</v>
      </c>
      <c r="BD98" s="4">
        <v>1</v>
      </c>
      <c r="BE98" s="4">
        <v>4</v>
      </c>
      <c r="BF98" s="4">
        <v>4</v>
      </c>
      <c r="BG98" s="4">
        <v>4</v>
      </c>
      <c r="BH98" s="4">
        <v>4</v>
      </c>
      <c r="BI98" s="4">
        <v>4</v>
      </c>
      <c r="BJ98" s="4">
        <v>4</v>
      </c>
      <c r="BK98" s="4">
        <v>4</v>
      </c>
      <c r="BL98" s="4">
        <v>4</v>
      </c>
      <c r="BM98" s="4">
        <v>4</v>
      </c>
      <c r="BN98" s="4">
        <v>4</v>
      </c>
      <c r="BO98" s="4">
        <v>4</v>
      </c>
      <c r="BP98" s="4">
        <v>4</v>
      </c>
      <c r="BQ98" s="4">
        <v>4</v>
      </c>
      <c r="BR98" s="4">
        <v>4</v>
      </c>
      <c r="BS98" s="4">
        <v>4</v>
      </c>
      <c r="BT98" s="4">
        <v>4</v>
      </c>
      <c r="BU98" s="4">
        <v>4</v>
      </c>
      <c r="BV98" s="4">
        <v>4</v>
      </c>
      <c r="BW98" s="4">
        <v>1</v>
      </c>
      <c r="BX98" s="4">
        <v>1</v>
      </c>
      <c r="BY98" s="4">
        <v>4</v>
      </c>
      <c r="BZ98" s="4">
        <v>4</v>
      </c>
      <c r="CA98" s="1">
        <v>4</v>
      </c>
      <c r="CB98" s="17">
        <v>4</v>
      </c>
      <c r="CC98" s="4">
        <v>4</v>
      </c>
      <c r="CD98" s="4">
        <v>4</v>
      </c>
      <c r="CE98" s="1">
        <v>4</v>
      </c>
      <c r="CF98" s="57">
        <v>4</v>
      </c>
      <c r="CG98" s="57">
        <v>4</v>
      </c>
      <c r="CH98" s="4">
        <v>4</v>
      </c>
      <c r="CI98" s="4">
        <v>4</v>
      </c>
      <c r="CJ98" s="4">
        <v>4</v>
      </c>
      <c r="CK98" s="17">
        <v>4</v>
      </c>
      <c r="CL98" s="17">
        <v>4</v>
      </c>
      <c r="CM98" s="17">
        <v>4</v>
      </c>
      <c r="CN98" s="57">
        <v>4</v>
      </c>
      <c r="CO98" s="17">
        <v>4</v>
      </c>
      <c r="CP98" s="17">
        <v>4</v>
      </c>
      <c r="CQ98" s="57">
        <v>4</v>
      </c>
      <c r="CR98" s="17">
        <v>4</v>
      </c>
      <c r="CS98" s="17">
        <v>4</v>
      </c>
      <c r="CT98" s="4">
        <v>1</v>
      </c>
      <c r="CU98" s="4">
        <v>4</v>
      </c>
      <c r="CV98" s="4">
        <v>4</v>
      </c>
      <c r="CW98" s="4">
        <v>4</v>
      </c>
      <c r="CX98" s="4">
        <v>4</v>
      </c>
      <c r="CY98" s="4">
        <v>4</v>
      </c>
      <c r="CZ98" s="4">
        <v>4</v>
      </c>
      <c r="DA98" s="17">
        <v>4</v>
      </c>
      <c r="DB98" s="1">
        <v>4</v>
      </c>
      <c r="DC98" s="1">
        <v>4</v>
      </c>
      <c r="DD98" s="1">
        <v>4</v>
      </c>
      <c r="DE98" s="17">
        <v>4</v>
      </c>
      <c r="DF98" s="57">
        <v>4</v>
      </c>
      <c r="DG98" s="4">
        <v>4</v>
      </c>
      <c r="DH98" s="1">
        <v>4</v>
      </c>
      <c r="DI98" s="4">
        <v>4</v>
      </c>
      <c r="DJ98" s="4">
        <v>4</v>
      </c>
      <c r="DK98" s="1">
        <v>4</v>
      </c>
      <c r="DL98" s="1">
        <v>4</v>
      </c>
      <c r="DM98" s="1">
        <v>4</v>
      </c>
      <c r="DN98" s="1">
        <v>4</v>
      </c>
      <c r="DO98" s="1">
        <v>4</v>
      </c>
      <c r="DP98" s="1">
        <v>4</v>
      </c>
      <c r="DQ98" s="1">
        <v>4</v>
      </c>
      <c r="DR98" s="1">
        <v>4</v>
      </c>
      <c r="DS98" s="1">
        <v>4</v>
      </c>
      <c r="DT98" s="1">
        <v>4</v>
      </c>
    </row>
    <row r="99" spans="1:124" x14ac:dyDescent="0.2">
      <c r="A99" t="s">
        <v>292</v>
      </c>
      <c r="B99" s="1" t="s">
        <v>1410</v>
      </c>
      <c r="C99" s="1" t="s">
        <v>1239</v>
      </c>
      <c r="E99" s="62">
        <v>1</v>
      </c>
      <c r="F99" s="57">
        <v>4</v>
      </c>
      <c r="G99" s="1">
        <v>1</v>
      </c>
      <c r="H99" s="1">
        <v>1</v>
      </c>
      <c r="I99" s="1">
        <v>4</v>
      </c>
      <c r="J99" s="1">
        <v>1</v>
      </c>
      <c r="K99" s="4">
        <v>4</v>
      </c>
      <c r="L99" s="4">
        <v>4</v>
      </c>
      <c r="M99" s="4">
        <v>4</v>
      </c>
      <c r="N99" s="1">
        <v>4</v>
      </c>
      <c r="O99" s="4">
        <v>4</v>
      </c>
      <c r="P99" s="4">
        <v>4</v>
      </c>
      <c r="Q99" s="4">
        <v>4</v>
      </c>
      <c r="R99" s="1">
        <v>4</v>
      </c>
      <c r="S99" s="1">
        <v>1</v>
      </c>
      <c r="T99" s="1">
        <v>1</v>
      </c>
      <c r="U99" s="1">
        <v>4</v>
      </c>
      <c r="V99" s="57">
        <v>4</v>
      </c>
      <c r="W99" s="4">
        <v>4</v>
      </c>
      <c r="X99" s="4">
        <v>4</v>
      </c>
      <c r="Y99" s="1">
        <v>4</v>
      </c>
      <c r="Z99" s="4">
        <v>4</v>
      </c>
      <c r="AA99" s="4">
        <v>4</v>
      </c>
      <c r="AB99" s="4">
        <v>4</v>
      </c>
      <c r="AC99" s="57">
        <v>4</v>
      </c>
      <c r="AD99" s="4">
        <v>4</v>
      </c>
      <c r="AE99" s="4">
        <v>4</v>
      </c>
      <c r="AF99" s="4">
        <v>4</v>
      </c>
      <c r="AG99" s="4">
        <v>4</v>
      </c>
      <c r="AH99" s="4">
        <v>4</v>
      </c>
      <c r="AI99" s="1">
        <v>4</v>
      </c>
      <c r="AJ99" s="4">
        <v>2</v>
      </c>
      <c r="AK99" s="4">
        <v>2</v>
      </c>
      <c r="AL99" s="4">
        <v>4</v>
      </c>
      <c r="AM99" s="4">
        <v>4</v>
      </c>
      <c r="AN99" s="4">
        <v>4</v>
      </c>
      <c r="AO99" s="17">
        <v>4</v>
      </c>
      <c r="AP99" s="17">
        <v>4</v>
      </c>
      <c r="AQ99" s="17">
        <v>4</v>
      </c>
      <c r="AR99" s="17">
        <v>4</v>
      </c>
      <c r="AS99" s="17">
        <v>4</v>
      </c>
      <c r="AT99" s="17">
        <v>4</v>
      </c>
      <c r="AU99" s="17">
        <v>4</v>
      </c>
      <c r="AV99" s="57">
        <v>4</v>
      </c>
      <c r="AW99" s="17">
        <v>4</v>
      </c>
      <c r="AX99" s="17">
        <v>4</v>
      </c>
      <c r="AY99" s="4">
        <v>4</v>
      </c>
      <c r="AZ99" s="4">
        <v>4</v>
      </c>
      <c r="BA99" s="57">
        <v>4</v>
      </c>
      <c r="BB99" s="57">
        <v>4</v>
      </c>
      <c r="BC99" s="4">
        <v>1</v>
      </c>
      <c r="BD99" s="4">
        <v>1</v>
      </c>
      <c r="BE99" s="4">
        <v>4</v>
      </c>
      <c r="BF99" s="4">
        <v>4</v>
      </c>
      <c r="BG99" s="4">
        <v>4</v>
      </c>
      <c r="BH99" s="4">
        <v>4</v>
      </c>
      <c r="BI99" s="4">
        <v>4</v>
      </c>
      <c r="BJ99" s="4">
        <v>4</v>
      </c>
      <c r="BK99" s="4">
        <v>4</v>
      </c>
      <c r="BL99" s="4">
        <v>4</v>
      </c>
      <c r="BM99" s="4">
        <v>4</v>
      </c>
      <c r="BN99" s="4">
        <v>4</v>
      </c>
      <c r="BO99" s="4">
        <v>4</v>
      </c>
      <c r="BP99" s="4">
        <v>4</v>
      </c>
      <c r="BQ99" s="4">
        <v>4</v>
      </c>
      <c r="BR99" s="4">
        <v>4</v>
      </c>
      <c r="BS99" s="4">
        <v>4</v>
      </c>
      <c r="BT99" s="4">
        <v>4</v>
      </c>
      <c r="BU99" s="4">
        <v>4</v>
      </c>
      <c r="BV99" s="4">
        <v>4</v>
      </c>
      <c r="BW99" s="4">
        <v>1</v>
      </c>
      <c r="BX99" s="4">
        <v>1</v>
      </c>
      <c r="BY99" s="4">
        <v>4</v>
      </c>
      <c r="BZ99" s="4">
        <v>4</v>
      </c>
      <c r="CA99" s="1">
        <v>4</v>
      </c>
      <c r="CB99" s="17">
        <v>4</v>
      </c>
      <c r="CC99" s="4">
        <v>4</v>
      </c>
      <c r="CD99" s="4">
        <v>4</v>
      </c>
      <c r="CE99" s="1">
        <v>4</v>
      </c>
      <c r="CF99" s="57">
        <v>4</v>
      </c>
      <c r="CG99" s="57">
        <v>4</v>
      </c>
      <c r="CH99" s="4">
        <v>4</v>
      </c>
      <c r="CI99" s="4">
        <v>4</v>
      </c>
      <c r="CJ99" s="4">
        <v>4</v>
      </c>
      <c r="CK99" s="17">
        <v>4</v>
      </c>
      <c r="CL99" s="17">
        <v>4</v>
      </c>
      <c r="CM99" s="17">
        <v>4</v>
      </c>
      <c r="CN99" s="57">
        <v>4</v>
      </c>
      <c r="CO99" s="17">
        <v>4</v>
      </c>
      <c r="CP99" s="17">
        <v>4</v>
      </c>
      <c r="CQ99" s="57">
        <v>4</v>
      </c>
      <c r="CR99" s="17">
        <v>4</v>
      </c>
      <c r="CS99" s="17">
        <v>4</v>
      </c>
      <c r="CT99" s="4">
        <v>1</v>
      </c>
      <c r="CU99" s="4">
        <v>4</v>
      </c>
      <c r="CV99" s="4">
        <v>4</v>
      </c>
      <c r="CW99" s="4">
        <v>4</v>
      </c>
      <c r="CX99" s="4">
        <v>4</v>
      </c>
      <c r="CY99" s="4">
        <v>4</v>
      </c>
      <c r="CZ99" s="4">
        <v>4</v>
      </c>
      <c r="DA99" s="17">
        <v>4</v>
      </c>
      <c r="DB99" s="1">
        <v>4</v>
      </c>
      <c r="DC99" s="1">
        <v>4</v>
      </c>
      <c r="DD99" s="1">
        <v>4</v>
      </c>
      <c r="DE99" s="17">
        <v>4</v>
      </c>
      <c r="DF99" s="57">
        <v>4</v>
      </c>
      <c r="DG99" s="4">
        <v>4</v>
      </c>
      <c r="DH99" s="1">
        <v>4</v>
      </c>
      <c r="DI99" s="4">
        <v>4</v>
      </c>
      <c r="DJ99" s="4">
        <v>4</v>
      </c>
      <c r="DK99" s="1">
        <v>4</v>
      </c>
      <c r="DL99" s="1">
        <v>4</v>
      </c>
      <c r="DM99" s="1">
        <v>4</v>
      </c>
      <c r="DN99" s="1">
        <v>4</v>
      </c>
      <c r="DO99" s="1">
        <v>4</v>
      </c>
      <c r="DP99" s="1">
        <v>4</v>
      </c>
      <c r="DQ99" s="1">
        <v>4</v>
      </c>
      <c r="DR99" s="1">
        <v>4</v>
      </c>
      <c r="DS99" s="1">
        <v>4</v>
      </c>
      <c r="DT99" s="1">
        <v>4</v>
      </c>
    </row>
    <row r="100" spans="1:124" x14ac:dyDescent="0.2">
      <c r="A100" t="s">
        <v>212</v>
      </c>
      <c r="B100" s="1" t="s">
        <v>1410</v>
      </c>
      <c r="C100" s="1" t="s">
        <v>1243</v>
      </c>
      <c r="E100" s="62">
        <v>1</v>
      </c>
      <c r="F100" s="57">
        <v>4</v>
      </c>
      <c r="G100" s="1">
        <v>1</v>
      </c>
      <c r="H100" s="1">
        <v>1</v>
      </c>
      <c r="I100" s="1">
        <v>4</v>
      </c>
      <c r="J100" s="1">
        <v>1</v>
      </c>
      <c r="K100" s="4">
        <v>4</v>
      </c>
      <c r="L100" s="4">
        <v>1</v>
      </c>
      <c r="M100" s="4">
        <v>1</v>
      </c>
      <c r="N100" s="1">
        <v>4</v>
      </c>
      <c r="O100" s="4">
        <v>4</v>
      </c>
      <c r="P100" s="4">
        <v>4</v>
      </c>
      <c r="Q100" s="4">
        <v>4</v>
      </c>
      <c r="R100" s="1">
        <v>4</v>
      </c>
      <c r="S100" s="1">
        <v>1</v>
      </c>
      <c r="T100" s="1">
        <v>1</v>
      </c>
      <c r="U100" s="1">
        <v>4</v>
      </c>
      <c r="V100" s="57">
        <v>4</v>
      </c>
      <c r="W100" s="4">
        <v>4</v>
      </c>
      <c r="X100" s="4">
        <v>4</v>
      </c>
      <c r="Y100" s="1">
        <v>4</v>
      </c>
      <c r="Z100" s="4">
        <v>4</v>
      </c>
      <c r="AA100" s="4">
        <v>4</v>
      </c>
      <c r="AB100" s="4">
        <v>4</v>
      </c>
      <c r="AC100" s="57">
        <v>4</v>
      </c>
      <c r="AD100" s="4">
        <v>4</v>
      </c>
      <c r="AE100" s="4">
        <v>4</v>
      </c>
      <c r="AF100" s="4">
        <v>1</v>
      </c>
      <c r="AG100" s="4">
        <v>1</v>
      </c>
      <c r="AH100" s="4">
        <v>1</v>
      </c>
      <c r="AI100" s="1">
        <v>4</v>
      </c>
      <c r="AJ100" s="4">
        <v>1</v>
      </c>
      <c r="AK100" s="4">
        <v>1</v>
      </c>
      <c r="AL100" s="4">
        <v>4</v>
      </c>
      <c r="AM100" s="4">
        <v>4</v>
      </c>
      <c r="AN100" s="4">
        <v>1</v>
      </c>
      <c r="AO100" s="17">
        <v>4</v>
      </c>
      <c r="AP100" s="17">
        <v>4</v>
      </c>
      <c r="AQ100" s="17">
        <v>4</v>
      </c>
      <c r="AR100" s="17">
        <v>4</v>
      </c>
      <c r="AS100" s="17">
        <v>4</v>
      </c>
      <c r="AT100" s="17">
        <v>4</v>
      </c>
      <c r="AU100" s="17">
        <v>4</v>
      </c>
      <c r="AV100" s="57">
        <v>4</v>
      </c>
      <c r="AW100" s="17">
        <v>4</v>
      </c>
      <c r="AX100" s="17">
        <v>4</v>
      </c>
      <c r="AY100" s="4">
        <v>4</v>
      </c>
      <c r="AZ100" s="4">
        <v>4</v>
      </c>
      <c r="BA100" s="57">
        <v>4</v>
      </c>
      <c r="BB100" s="57">
        <v>4</v>
      </c>
      <c r="BC100" s="4">
        <v>1</v>
      </c>
      <c r="BD100" s="4">
        <v>1</v>
      </c>
      <c r="BE100" s="4">
        <v>4</v>
      </c>
      <c r="BF100" s="4">
        <v>1</v>
      </c>
      <c r="BG100" s="4">
        <v>1</v>
      </c>
      <c r="BH100" s="4">
        <v>4</v>
      </c>
      <c r="BI100" s="4">
        <v>4</v>
      </c>
      <c r="BJ100" s="4">
        <v>4</v>
      </c>
      <c r="BK100" s="4">
        <v>1</v>
      </c>
      <c r="BL100" s="4">
        <v>1</v>
      </c>
      <c r="BM100" s="4">
        <v>1</v>
      </c>
      <c r="BN100" s="4">
        <v>4</v>
      </c>
      <c r="BO100" s="4">
        <v>4</v>
      </c>
      <c r="BP100" s="4">
        <v>1</v>
      </c>
      <c r="BQ100" s="4">
        <v>1</v>
      </c>
      <c r="BR100" s="4">
        <v>1</v>
      </c>
      <c r="BS100" s="4">
        <v>4</v>
      </c>
      <c r="BT100" s="4">
        <v>1</v>
      </c>
      <c r="BU100" s="4">
        <v>1</v>
      </c>
      <c r="BV100" s="4">
        <v>1</v>
      </c>
      <c r="BW100" s="4">
        <v>1</v>
      </c>
      <c r="BX100" s="4">
        <v>1</v>
      </c>
      <c r="BY100" s="4">
        <v>4</v>
      </c>
      <c r="BZ100" s="4">
        <v>4</v>
      </c>
      <c r="CA100" s="1">
        <v>4</v>
      </c>
      <c r="CB100" s="17">
        <v>4</v>
      </c>
      <c r="CC100" s="4">
        <v>4</v>
      </c>
      <c r="CD100" s="4">
        <v>4</v>
      </c>
      <c r="CE100" s="1">
        <v>4</v>
      </c>
      <c r="CF100" s="57">
        <v>4</v>
      </c>
      <c r="CG100" s="57">
        <v>4</v>
      </c>
      <c r="CH100" s="4">
        <v>4</v>
      </c>
      <c r="CI100" s="4">
        <v>4</v>
      </c>
      <c r="CJ100" s="4">
        <v>4</v>
      </c>
      <c r="CK100" s="17">
        <v>4</v>
      </c>
      <c r="CL100" s="17">
        <v>4</v>
      </c>
      <c r="CM100" s="17">
        <v>4</v>
      </c>
      <c r="CN100" s="57">
        <v>4</v>
      </c>
      <c r="CO100" s="17">
        <v>4</v>
      </c>
      <c r="CP100" s="17">
        <v>4</v>
      </c>
      <c r="CQ100" s="57">
        <v>4</v>
      </c>
      <c r="CR100" s="17">
        <v>4</v>
      </c>
      <c r="CS100" s="17">
        <v>4</v>
      </c>
      <c r="CT100" s="4">
        <v>1</v>
      </c>
      <c r="CU100" s="4">
        <v>4</v>
      </c>
      <c r="CV100" s="4">
        <v>4</v>
      </c>
      <c r="CW100" s="4">
        <v>4</v>
      </c>
      <c r="CX100" s="4">
        <v>4</v>
      </c>
      <c r="CY100" s="4">
        <v>4</v>
      </c>
      <c r="CZ100" s="4">
        <v>4</v>
      </c>
      <c r="DA100" s="17">
        <v>4</v>
      </c>
      <c r="DB100" s="1">
        <v>4</v>
      </c>
      <c r="DC100" s="1">
        <v>4</v>
      </c>
      <c r="DD100" s="1">
        <v>4</v>
      </c>
      <c r="DE100" s="17">
        <v>4</v>
      </c>
      <c r="DF100" s="57">
        <v>4</v>
      </c>
      <c r="DG100" s="4">
        <v>4</v>
      </c>
      <c r="DH100" s="1">
        <v>4</v>
      </c>
      <c r="DI100" s="4">
        <v>4</v>
      </c>
      <c r="DJ100" s="4">
        <v>4</v>
      </c>
      <c r="DK100" s="1">
        <v>4</v>
      </c>
      <c r="DL100" s="1">
        <v>4</v>
      </c>
      <c r="DM100" s="1">
        <v>4</v>
      </c>
      <c r="DN100" s="1">
        <v>4</v>
      </c>
      <c r="DO100" s="1">
        <v>4</v>
      </c>
      <c r="DP100" s="1">
        <v>4</v>
      </c>
      <c r="DQ100" s="1">
        <v>4</v>
      </c>
      <c r="DR100" s="1">
        <v>4</v>
      </c>
      <c r="DS100" s="1">
        <v>4</v>
      </c>
      <c r="DT100" s="1">
        <v>4</v>
      </c>
    </row>
    <row r="101" spans="1:124" x14ac:dyDescent="0.2">
      <c r="A101" t="s">
        <v>215</v>
      </c>
      <c r="B101" s="1" t="s">
        <v>1410</v>
      </c>
      <c r="C101" s="1" t="s">
        <v>1243</v>
      </c>
      <c r="E101" s="62">
        <v>1</v>
      </c>
      <c r="F101" s="57">
        <v>4</v>
      </c>
      <c r="G101" s="1">
        <v>1</v>
      </c>
      <c r="H101" s="1">
        <v>1</v>
      </c>
      <c r="I101" s="1">
        <v>4</v>
      </c>
      <c r="J101" s="1">
        <v>1</v>
      </c>
      <c r="K101" s="4">
        <v>4</v>
      </c>
      <c r="L101" s="4">
        <v>1</v>
      </c>
      <c r="M101" s="4">
        <v>1</v>
      </c>
      <c r="N101" s="1">
        <v>4</v>
      </c>
      <c r="O101" s="4">
        <v>4</v>
      </c>
      <c r="P101" s="4">
        <v>4</v>
      </c>
      <c r="Q101" s="4">
        <v>4</v>
      </c>
      <c r="R101" s="1">
        <v>4</v>
      </c>
      <c r="S101" s="1">
        <v>1</v>
      </c>
      <c r="T101" s="1">
        <v>1</v>
      </c>
      <c r="U101" s="1">
        <v>4</v>
      </c>
      <c r="V101" s="57">
        <v>4</v>
      </c>
      <c r="W101" s="4">
        <v>4</v>
      </c>
      <c r="X101" s="4">
        <v>4</v>
      </c>
      <c r="Y101" s="1">
        <v>4</v>
      </c>
      <c r="Z101" s="4">
        <v>4</v>
      </c>
      <c r="AA101" s="4">
        <v>4</v>
      </c>
      <c r="AB101" s="4">
        <v>4</v>
      </c>
      <c r="AC101" s="57">
        <v>4</v>
      </c>
      <c r="AD101" s="4">
        <v>4</v>
      </c>
      <c r="AE101" s="4">
        <v>4</v>
      </c>
      <c r="AF101" s="4">
        <v>1</v>
      </c>
      <c r="AG101" s="4">
        <v>1</v>
      </c>
      <c r="AH101" s="4">
        <v>1</v>
      </c>
      <c r="AI101" s="1">
        <v>4</v>
      </c>
      <c r="AJ101" s="4">
        <v>1</v>
      </c>
      <c r="AK101" s="4">
        <v>1</v>
      </c>
      <c r="AL101" s="4">
        <v>4</v>
      </c>
      <c r="AM101" s="4">
        <v>4</v>
      </c>
      <c r="AN101" s="4">
        <v>1</v>
      </c>
      <c r="AO101" s="17">
        <v>4</v>
      </c>
      <c r="AP101" s="17">
        <v>4</v>
      </c>
      <c r="AQ101" s="17">
        <v>4</v>
      </c>
      <c r="AR101" s="17">
        <v>4</v>
      </c>
      <c r="AS101" s="17">
        <v>4</v>
      </c>
      <c r="AT101" s="17">
        <v>4</v>
      </c>
      <c r="AU101" s="17">
        <v>4</v>
      </c>
      <c r="AV101" s="57">
        <v>4</v>
      </c>
      <c r="AW101" s="17">
        <v>4</v>
      </c>
      <c r="AX101" s="17">
        <v>4</v>
      </c>
      <c r="AY101" s="4">
        <v>4</v>
      </c>
      <c r="AZ101" s="4">
        <v>4</v>
      </c>
      <c r="BA101" s="57">
        <v>4</v>
      </c>
      <c r="BB101" s="57">
        <v>4</v>
      </c>
      <c r="BC101" s="4">
        <v>1</v>
      </c>
      <c r="BD101" s="4">
        <v>1</v>
      </c>
      <c r="BE101" s="4">
        <v>4</v>
      </c>
      <c r="BF101" s="4">
        <v>1</v>
      </c>
      <c r="BG101" s="4">
        <v>1</v>
      </c>
      <c r="BH101" s="4">
        <v>4</v>
      </c>
      <c r="BI101" s="4">
        <v>4</v>
      </c>
      <c r="BJ101" s="4">
        <v>4</v>
      </c>
      <c r="BK101" s="4">
        <v>1</v>
      </c>
      <c r="BL101" s="4">
        <v>1</v>
      </c>
      <c r="BM101" s="4">
        <v>1</v>
      </c>
      <c r="BN101" s="4">
        <v>4</v>
      </c>
      <c r="BO101" s="4">
        <v>4</v>
      </c>
      <c r="BP101" s="4">
        <v>1</v>
      </c>
      <c r="BQ101" s="4">
        <v>1</v>
      </c>
      <c r="BR101" s="4">
        <v>1</v>
      </c>
      <c r="BS101" s="4">
        <v>4</v>
      </c>
      <c r="BT101" s="4">
        <v>1</v>
      </c>
      <c r="BU101" s="4">
        <v>1</v>
      </c>
      <c r="BV101" s="4">
        <v>1</v>
      </c>
      <c r="BW101" s="4">
        <v>1</v>
      </c>
      <c r="BX101" s="4">
        <v>1</v>
      </c>
      <c r="BY101" s="4">
        <v>4</v>
      </c>
      <c r="BZ101" s="4">
        <v>4</v>
      </c>
      <c r="CA101" s="1">
        <v>4</v>
      </c>
      <c r="CB101" s="17">
        <v>4</v>
      </c>
      <c r="CC101" s="4">
        <v>4</v>
      </c>
      <c r="CD101" s="4">
        <v>4</v>
      </c>
      <c r="CE101" s="1">
        <v>4</v>
      </c>
      <c r="CF101" s="57">
        <v>4</v>
      </c>
      <c r="CG101" s="57">
        <v>4</v>
      </c>
      <c r="CH101" s="4">
        <v>4</v>
      </c>
      <c r="CI101" s="4">
        <v>4</v>
      </c>
      <c r="CJ101" s="4">
        <v>4</v>
      </c>
      <c r="CK101" s="17">
        <v>4</v>
      </c>
      <c r="CL101" s="17">
        <v>4</v>
      </c>
      <c r="CM101" s="17">
        <v>4</v>
      </c>
      <c r="CN101" s="57">
        <v>4</v>
      </c>
      <c r="CO101" s="17">
        <v>4</v>
      </c>
      <c r="CP101" s="17">
        <v>4</v>
      </c>
      <c r="CQ101" s="57">
        <v>4</v>
      </c>
      <c r="CR101" s="17">
        <v>4</v>
      </c>
      <c r="CS101" s="17">
        <v>4</v>
      </c>
      <c r="CT101" s="4">
        <v>1</v>
      </c>
      <c r="CU101" s="4">
        <v>4</v>
      </c>
      <c r="CV101" s="4">
        <v>4</v>
      </c>
      <c r="CW101" s="4">
        <v>4</v>
      </c>
      <c r="CX101" s="4">
        <v>4</v>
      </c>
      <c r="CY101" s="4">
        <v>4</v>
      </c>
      <c r="CZ101" s="4">
        <v>4</v>
      </c>
      <c r="DA101" s="17">
        <v>4</v>
      </c>
      <c r="DB101" s="1">
        <v>4</v>
      </c>
      <c r="DC101" s="1">
        <v>4</v>
      </c>
      <c r="DD101" s="1">
        <v>4</v>
      </c>
      <c r="DE101" s="17">
        <v>4</v>
      </c>
      <c r="DF101" s="57">
        <v>4</v>
      </c>
      <c r="DG101" s="4">
        <v>4</v>
      </c>
      <c r="DH101" s="1">
        <v>4</v>
      </c>
      <c r="DI101" s="4">
        <v>4</v>
      </c>
      <c r="DJ101" s="4">
        <v>4</v>
      </c>
      <c r="DK101" s="1">
        <v>4</v>
      </c>
      <c r="DL101" s="1">
        <v>4</v>
      </c>
      <c r="DM101" s="1">
        <v>4</v>
      </c>
      <c r="DN101" s="1">
        <v>4</v>
      </c>
      <c r="DO101" s="1">
        <v>4</v>
      </c>
      <c r="DP101" s="1">
        <v>4</v>
      </c>
      <c r="DQ101" s="1">
        <v>4</v>
      </c>
      <c r="DR101" s="1">
        <v>4</v>
      </c>
      <c r="DS101" s="1">
        <v>4</v>
      </c>
      <c r="DT101" s="1">
        <v>4</v>
      </c>
    </row>
    <row r="102" spans="1:124" x14ac:dyDescent="0.2">
      <c r="A102" t="s">
        <v>216</v>
      </c>
      <c r="B102" s="1" t="s">
        <v>1410</v>
      </c>
      <c r="C102" s="1" t="s">
        <v>1243</v>
      </c>
      <c r="E102" s="62">
        <v>1</v>
      </c>
      <c r="F102" s="57">
        <v>4</v>
      </c>
      <c r="G102" s="1">
        <v>1</v>
      </c>
      <c r="H102" s="1">
        <v>1</v>
      </c>
      <c r="I102" s="1">
        <v>4</v>
      </c>
      <c r="J102" s="1">
        <v>1</v>
      </c>
      <c r="K102" s="4">
        <v>4</v>
      </c>
      <c r="L102" s="4">
        <v>1</v>
      </c>
      <c r="M102" s="4">
        <v>1</v>
      </c>
      <c r="N102" s="1">
        <v>4</v>
      </c>
      <c r="O102" s="4">
        <v>4</v>
      </c>
      <c r="P102" s="4">
        <v>4</v>
      </c>
      <c r="Q102" s="4">
        <v>4</v>
      </c>
      <c r="R102" s="1">
        <v>4</v>
      </c>
      <c r="S102" s="1">
        <v>1</v>
      </c>
      <c r="T102" s="1">
        <v>1</v>
      </c>
      <c r="U102" s="1">
        <v>4</v>
      </c>
      <c r="V102" s="57">
        <v>4</v>
      </c>
      <c r="W102" s="4">
        <v>4</v>
      </c>
      <c r="X102" s="4">
        <v>4</v>
      </c>
      <c r="Y102" s="1">
        <v>4</v>
      </c>
      <c r="Z102" s="4">
        <v>4</v>
      </c>
      <c r="AA102" s="4">
        <v>4</v>
      </c>
      <c r="AB102" s="4">
        <v>4</v>
      </c>
      <c r="AC102" s="57">
        <v>4</v>
      </c>
      <c r="AD102" s="4">
        <v>4</v>
      </c>
      <c r="AE102" s="4">
        <v>4</v>
      </c>
      <c r="AF102" s="4">
        <v>1</v>
      </c>
      <c r="AG102" s="4">
        <v>1</v>
      </c>
      <c r="AH102" s="4">
        <v>1</v>
      </c>
      <c r="AI102" s="1">
        <v>4</v>
      </c>
      <c r="AJ102" s="4">
        <v>1</v>
      </c>
      <c r="AK102" s="4">
        <v>1</v>
      </c>
      <c r="AL102" s="4">
        <v>4</v>
      </c>
      <c r="AM102" s="4">
        <v>4</v>
      </c>
      <c r="AN102" s="4">
        <v>1</v>
      </c>
      <c r="AO102" s="17">
        <v>4</v>
      </c>
      <c r="AP102" s="17">
        <v>4</v>
      </c>
      <c r="AQ102" s="17">
        <v>4</v>
      </c>
      <c r="AR102" s="17">
        <v>4</v>
      </c>
      <c r="AS102" s="17">
        <v>4</v>
      </c>
      <c r="AT102" s="17">
        <v>4</v>
      </c>
      <c r="AU102" s="17">
        <v>4</v>
      </c>
      <c r="AV102" s="57">
        <v>4</v>
      </c>
      <c r="AW102" s="17">
        <v>4</v>
      </c>
      <c r="AX102" s="17">
        <v>4</v>
      </c>
      <c r="AY102" s="4">
        <v>4</v>
      </c>
      <c r="AZ102" s="4">
        <v>4</v>
      </c>
      <c r="BA102" s="57">
        <v>4</v>
      </c>
      <c r="BB102" s="57">
        <v>4</v>
      </c>
      <c r="BC102" s="4">
        <v>1</v>
      </c>
      <c r="BD102" s="4">
        <v>1</v>
      </c>
      <c r="BE102" s="4">
        <v>4</v>
      </c>
      <c r="BF102" s="4">
        <v>1</v>
      </c>
      <c r="BG102" s="4">
        <v>1</v>
      </c>
      <c r="BH102" s="4">
        <v>4</v>
      </c>
      <c r="BI102" s="4">
        <v>4</v>
      </c>
      <c r="BJ102" s="4">
        <v>4</v>
      </c>
      <c r="BK102" s="4">
        <v>1</v>
      </c>
      <c r="BL102" s="4">
        <v>1</v>
      </c>
      <c r="BM102" s="4">
        <v>1</v>
      </c>
      <c r="BN102" s="4">
        <v>4</v>
      </c>
      <c r="BO102" s="4">
        <v>4</v>
      </c>
      <c r="BP102" s="4">
        <v>1</v>
      </c>
      <c r="BQ102" s="4">
        <v>1</v>
      </c>
      <c r="BR102" s="4">
        <v>1</v>
      </c>
      <c r="BS102" s="4">
        <v>4</v>
      </c>
      <c r="BT102" s="4">
        <v>1</v>
      </c>
      <c r="BU102" s="4">
        <v>1</v>
      </c>
      <c r="BV102" s="4">
        <v>1</v>
      </c>
      <c r="BW102" s="4">
        <v>1</v>
      </c>
      <c r="BX102" s="4">
        <v>1</v>
      </c>
      <c r="BY102" s="4">
        <v>4</v>
      </c>
      <c r="BZ102" s="4">
        <v>4</v>
      </c>
      <c r="CA102" s="1">
        <v>4</v>
      </c>
      <c r="CB102" s="17">
        <v>4</v>
      </c>
      <c r="CC102" s="4">
        <v>4</v>
      </c>
      <c r="CD102" s="4">
        <v>4</v>
      </c>
      <c r="CE102" s="1">
        <v>4</v>
      </c>
      <c r="CF102" s="57">
        <v>4</v>
      </c>
      <c r="CG102" s="57">
        <v>4</v>
      </c>
      <c r="CH102" s="4">
        <v>4</v>
      </c>
      <c r="CI102" s="4">
        <v>4</v>
      </c>
      <c r="CJ102" s="4">
        <v>4</v>
      </c>
      <c r="CK102" s="17">
        <v>4</v>
      </c>
      <c r="CL102" s="17">
        <v>4</v>
      </c>
      <c r="CM102" s="17">
        <v>4</v>
      </c>
      <c r="CN102" s="57">
        <v>4</v>
      </c>
      <c r="CO102" s="17">
        <v>4</v>
      </c>
      <c r="CP102" s="17">
        <v>4</v>
      </c>
      <c r="CQ102" s="57">
        <v>4</v>
      </c>
      <c r="CR102" s="17">
        <v>4</v>
      </c>
      <c r="CS102" s="17">
        <v>4</v>
      </c>
      <c r="CT102" s="4">
        <v>1</v>
      </c>
      <c r="CU102" s="4">
        <v>4</v>
      </c>
      <c r="CV102" s="4">
        <v>4</v>
      </c>
      <c r="CW102" s="4">
        <v>4</v>
      </c>
      <c r="CX102" s="4">
        <v>4</v>
      </c>
      <c r="CY102" s="4">
        <v>4</v>
      </c>
      <c r="CZ102" s="4">
        <v>4</v>
      </c>
      <c r="DA102" s="17">
        <v>4</v>
      </c>
      <c r="DB102" s="1">
        <v>4</v>
      </c>
      <c r="DC102" s="1">
        <v>4</v>
      </c>
      <c r="DD102" s="1">
        <v>4</v>
      </c>
      <c r="DE102" s="17">
        <v>4</v>
      </c>
      <c r="DF102" s="57">
        <v>4</v>
      </c>
      <c r="DG102" s="4">
        <v>4</v>
      </c>
      <c r="DH102" s="1">
        <v>4</v>
      </c>
      <c r="DI102" s="4">
        <v>4</v>
      </c>
      <c r="DJ102" s="4">
        <v>4</v>
      </c>
      <c r="DK102" s="1">
        <v>4</v>
      </c>
      <c r="DL102" s="1">
        <v>4</v>
      </c>
      <c r="DM102" s="1">
        <v>4</v>
      </c>
      <c r="DN102" s="1">
        <v>4</v>
      </c>
      <c r="DO102" s="1">
        <v>4</v>
      </c>
      <c r="DP102" s="1">
        <v>4</v>
      </c>
      <c r="DQ102" s="1">
        <v>4</v>
      </c>
      <c r="DR102" s="1">
        <v>4</v>
      </c>
      <c r="DS102" s="1">
        <v>4</v>
      </c>
      <c r="DT102" s="1">
        <v>4</v>
      </c>
    </row>
    <row r="103" spans="1:124" x14ac:dyDescent="0.2">
      <c r="A103" t="s">
        <v>217</v>
      </c>
      <c r="B103" s="1" t="s">
        <v>1410</v>
      </c>
      <c r="C103" s="1" t="s">
        <v>1242</v>
      </c>
      <c r="E103" s="62">
        <v>1</v>
      </c>
      <c r="F103" s="57">
        <v>4</v>
      </c>
      <c r="G103" s="1">
        <v>1</v>
      </c>
      <c r="H103" s="1">
        <v>1</v>
      </c>
      <c r="I103" s="1">
        <v>4</v>
      </c>
      <c r="J103" s="1">
        <v>1</v>
      </c>
      <c r="K103" s="4">
        <v>4</v>
      </c>
      <c r="L103" s="4">
        <v>1</v>
      </c>
      <c r="M103" s="4">
        <v>1</v>
      </c>
      <c r="N103" s="1">
        <v>4</v>
      </c>
      <c r="O103" s="4">
        <v>4</v>
      </c>
      <c r="P103" s="4">
        <v>4</v>
      </c>
      <c r="Q103" s="4">
        <v>4</v>
      </c>
      <c r="R103" s="1">
        <v>4</v>
      </c>
      <c r="S103" s="1">
        <v>1</v>
      </c>
      <c r="T103" s="1">
        <v>1</v>
      </c>
      <c r="U103" s="1">
        <v>4</v>
      </c>
      <c r="V103" s="57">
        <v>4</v>
      </c>
      <c r="W103" s="4">
        <v>4</v>
      </c>
      <c r="X103" s="4">
        <v>4</v>
      </c>
      <c r="Y103" s="1">
        <v>4</v>
      </c>
      <c r="Z103" s="4">
        <v>4</v>
      </c>
      <c r="AA103" s="4">
        <v>4</v>
      </c>
      <c r="AB103" s="4">
        <v>4</v>
      </c>
      <c r="AC103" s="57">
        <v>4</v>
      </c>
      <c r="AD103" s="4">
        <v>4</v>
      </c>
      <c r="AE103" s="4">
        <v>4</v>
      </c>
      <c r="AF103" s="4">
        <v>3</v>
      </c>
      <c r="AG103" s="4">
        <v>3</v>
      </c>
      <c r="AH103" s="4">
        <v>3</v>
      </c>
      <c r="AI103" s="1">
        <v>4</v>
      </c>
      <c r="AJ103" s="4">
        <v>1</v>
      </c>
      <c r="AK103" s="4">
        <v>3</v>
      </c>
      <c r="AL103" s="4">
        <v>4</v>
      </c>
      <c r="AM103" s="4">
        <v>4</v>
      </c>
      <c r="AN103" s="4">
        <v>3</v>
      </c>
      <c r="AO103" s="17">
        <v>4</v>
      </c>
      <c r="AP103" s="17">
        <v>4</v>
      </c>
      <c r="AQ103" s="17">
        <v>4</v>
      </c>
      <c r="AR103" s="17">
        <v>4</v>
      </c>
      <c r="AS103" s="17">
        <v>4</v>
      </c>
      <c r="AT103" s="17">
        <v>4</v>
      </c>
      <c r="AU103" s="17">
        <v>4</v>
      </c>
      <c r="AV103" s="57">
        <v>4</v>
      </c>
      <c r="AW103" s="17">
        <v>4</v>
      </c>
      <c r="AX103" s="17">
        <v>4</v>
      </c>
      <c r="AY103" s="4">
        <v>4</v>
      </c>
      <c r="AZ103" s="4">
        <v>4</v>
      </c>
      <c r="BA103" s="57">
        <v>4</v>
      </c>
      <c r="BB103" s="57">
        <v>4</v>
      </c>
      <c r="BC103" s="4">
        <v>1</v>
      </c>
      <c r="BD103" s="4">
        <v>1</v>
      </c>
      <c r="BE103" s="4">
        <v>4</v>
      </c>
      <c r="BF103" s="4">
        <v>3</v>
      </c>
      <c r="BG103" s="4">
        <v>3</v>
      </c>
      <c r="BH103" s="4">
        <v>4</v>
      </c>
      <c r="BI103" s="4">
        <v>4</v>
      </c>
      <c r="BJ103" s="4">
        <v>4</v>
      </c>
      <c r="BK103" s="4">
        <v>3</v>
      </c>
      <c r="BL103" s="4">
        <v>3</v>
      </c>
      <c r="BM103" s="4">
        <v>3</v>
      </c>
      <c r="BN103" s="4">
        <v>4</v>
      </c>
      <c r="BO103" s="4">
        <v>4</v>
      </c>
      <c r="BP103" s="4">
        <v>3</v>
      </c>
      <c r="BQ103" s="4">
        <v>3</v>
      </c>
      <c r="BR103" s="4">
        <v>3</v>
      </c>
      <c r="BS103" s="4">
        <v>4</v>
      </c>
      <c r="BT103" s="4">
        <v>3</v>
      </c>
      <c r="BU103" s="4">
        <v>3</v>
      </c>
      <c r="BV103" s="4">
        <v>1</v>
      </c>
      <c r="BW103" s="4">
        <v>1</v>
      </c>
      <c r="BX103" s="4">
        <v>1</v>
      </c>
      <c r="BY103" s="4">
        <v>4</v>
      </c>
      <c r="BZ103" s="4">
        <v>4</v>
      </c>
      <c r="CA103" s="1">
        <v>4</v>
      </c>
      <c r="CB103" s="17">
        <v>4</v>
      </c>
      <c r="CC103" s="4">
        <v>4</v>
      </c>
      <c r="CD103" s="4">
        <v>4</v>
      </c>
      <c r="CE103" s="1">
        <v>4</v>
      </c>
      <c r="CF103" s="57">
        <v>4</v>
      </c>
      <c r="CG103" s="57">
        <v>4</v>
      </c>
      <c r="CH103" s="4">
        <v>4</v>
      </c>
      <c r="CI103" s="4">
        <v>4</v>
      </c>
      <c r="CJ103" s="4">
        <v>4</v>
      </c>
      <c r="CK103" s="17">
        <v>4</v>
      </c>
      <c r="CL103" s="17">
        <v>4</v>
      </c>
      <c r="CM103" s="17">
        <v>4</v>
      </c>
      <c r="CN103" s="57">
        <v>4</v>
      </c>
      <c r="CO103" s="17">
        <v>4</v>
      </c>
      <c r="CP103" s="17">
        <v>4</v>
      </c>
      <c r="CQ103" s="57">
        <v>4</v>
      </c>
      <c r="CR103" s="17">
        <v>4</v>
      </c>
      <c r="CS103" s="17">
        <v>4</v>
      </c>
      <c r="CT103" s="4">
        <v>1</v>
      </c>
      <c r="CU103" s="4">
        <v>4</v>
      </c>
      <c r="CV103" s="4">
        <v>4</v>
      </c>
      <c r="CW103" s="4">
        <v>4</v>
      </c>
      <c r="CX103" s="4">
        <v>4</v>
      </c>
      <c r="CY103" s="4">
        <v>4</v>
      </c>
      <c r="CZ103" s="4">
        <v>4</v>
      </c>
      <c r="DA103" s="17">
        <v>4</v>
      </c>
      <c r="DB103" s="1">
        <v>4</v>
      </c>
      <c r="DC103" s="1">
        <v>4</v>
      </c>
      <c r="DD103" s="1">
        <v>4</v>
      </c>
      <c r="DE103" s="17">
        <v>4</v>
      </c>
      <c r="DF103" s="57">
        <v>4</v>
      </c>
      <c r="DG103" s="4">
        <v>4</v>
      </c>
      <c r="DH103" s="1">
        <v>4</v>
      </c>
      <c r="DI103" s="4">
        <v>4</v>
      </c>
      <c r="DJ103" s="4">
        <v>4</v>
      </c>
      <c r="DK103" s="1">
        <v>4</v>
      </c>
      <c r="DL103" s="1">
        <v>4</v>
      </c>
      <c r="DM103" s="1">
        <v>4</v>
      </c>
      <c r="DN103" s="1">
        <v>4</v>
      </c>
      <c r="DO103" s="1">
        <v>4</v>
      </c>
      <c r="DP103" s="1">
        <v>4</v>
      </c>
      <c r="DQ103" s="1">
        <v>4</v>
      </c>
      <c r="DR103" s="1">
        <v>4</v>
      </c>
      <c r="DS103" s="1">
        <v>4</v>
      </c>
      <c r="DT103" s="1">
        <v>4</v>
      </c>
    </row>
    <row r="104" spans="1:124" x14ac:dyDescent="0.2">
      <c r="A104" t="s">
        <v>218</v>
      </c>
      <c r="B104" s="1" t="s">
        <v>1410</v>
      </c>
      <c r="C104" s="1" t="s">
        <v>1242</v>
      </c>
      <c r="E104" s="62">
        <v>1</v>
      </c>
      <c r="F104" s="57">
        <v>4</v>
      </c>
      <c r="G104" s="1">
        <v>1</v>
      </c>
      <c r="H104" s="1">
        <v>1</v>
      </c>
      <c r="I104" s="1">
        <v>4</v>
      </c>
      <c r="J104" s="1">
        <v>1</v>
      </c>
      <c r="K104" s="4">
        <v>4</v>
      </c>
      <c r="L104" s="4">
        <v>1</v>
      </c>
      <c r="M104" s="4">
        <v>1</v>
      </c>
      <c r="N104" s="1">
        <v>4</v>
      </c>
      <c r="O104" s="4">
        <v>4</v>
      </c>
      <c r="P104" s="4">
        <v>4</v>
      </c>
      <c r="Q104" s="4">
        <v>4</v>
      </c>
      <c r="R104" s="1">
        <v>4</v>
      </c>
      <c r="S104" s="1">
        <v>1</v>
      </c>
      <c r="T104" s="1">
        <v>1</v>
      </c>
      <c r="U104" s="1">
        <v>4</v>
      </c>
      <c r="V104" s="57">
        <v>4</v>
      </c>
      <c r="W104" s="4">
        <v>4</v>
      </c>
      <c r="X104" s="4">
        <v>4</v>
      </c>
      <c r="Y104" s="1">
        <v>4</v>
      </c>
      <c r="Z104" s="4">
        <v>4</v>
      </c>
      <c r="AA104" s="4">
        <v>4</v>
      </c>
      <c r="AB104" s="4">
        <v>4</v>
      </c>
      <c r="AC104" s="57">
        <v>4</v>
      </c>
      <c r="AD104" s="4">
        <v>4</v>
      </c>
      <c r="AE104" s="4">
        <v>4</v>
      </c>
      <c r="AF104" s="4">
        <v>1</v>
      </c>
      <c r="AG104" s="4">
        <v>1</v>
      </c>
      <c r="AH104" s="4">
        <v>1</v>
      </c>
      <c r="AI104" s="1">
        <v>4</v>
      </c>
      <c r="AJ104" s="4">
        <v>1</v>
      </c>
      <c r="AK104" s="4">
        <v>1</v>
      </c>
      <c r="AL104" s="4">
        <v>4</v>
      </c>
      <c r="AM104" s="4">
        <v>4</v>
      </c>
      <c r="AN104" s="4">
        <v>1</v>
      </c>
      <c r="AO104" s="17">
        <v>4</v>
      </c>
      <c r="AP104" s="17">
        <v>4</v>
      </c>
      <c r="AQ104" s="17">
        <v>4</v>
      </c>
      <c r="AR104" s="17">
        <v>4</v>
      </c>
      <c r="AS104" s="17">
        <v>4</v>
      </c>
      <c r="AT104" s="17">
        <v>4</v>
      </c>
      <c r="AU104" s="17">
        <v>4</v>
      </c>
      <c r="AV104" s="57">
        <v>4</v>
      </c>
      <c r="AW104" s="17">
        <v>4</v>
      </c>
      <c r="AX104" s="17">
        <v>4</v>
      </c>
      <c r="AY104" s="4">
        <v>4</v>
      </c>
      <c r="AZ104" s="4">
        <v>4</v>
      </c>
      <c r="BA104" s="57">
        <v>4</v>
      </c>
      <c r="BB104" s="57">
        <v>4</v>
      </c>
      <c r="BC104" s="4">
        <v>1</v>
      </c>
      <c r="BD104" s="4">
        <v>1</v>
      </c>
      <c r="BE104" s="4">
        <v>4</v>
      </c>
      <c r="BF104" s="4">
        <v>1</v>
      </c>
      <c r="BG104" s="4">
        <v>1</v>
      </c>
      <c r="BH104" s="4">
        <v>4</v>
      </c>
      <c r="BI104" s="4">
        <v>4</v>
      </c>
      <c r="BJ104" s="4">
        <v>4</v>
      </c>
      <c r="BK104" s="4">
        <v>1</v>
      </c>
      <c r="BL104" s="4">
        <v>1</v>
      </c>
      <c r="BM104" s="4">
        <v>1</v>
      </c>
      <c r="BN104" s="4">
        <v>4</v>
      </c>
      <c r="BO104" s="4">
        <v>4</v>
      </c>
      <c r="BP104" s="4">
        <v>1</v>
      </c>
      <c r="BQ104" s="4">
        <v>1</v>
      </c>
      <c r="BR104" s="4">
        <v>1</v>
      </c>
      <c r="BS104" s="4">
        <v>4</v>
      </c>
      <c r="BT104" s="4">
        <v>1</v>
      </c>
      <c r="BU104" s="4">
        <v>1</v>
      </c>
      <c r="BV104" s="4">
        <v>1</v>
      </c>
      <c r="BW104" s="4">
        <v>1</v>
      </c>
      <c r="BX104" s="4">
        <v>1</v>
      </c>
      <c r="BY104" s="4">
        <v>4</v>
      </c>
      <c r="BZ104" s="4">
        <v>4</v>
      </c>
      <c r="CA104" s="1">
        <v>4</v>
      </c>
      <c r="CB104" s="17">
        <v>4</v>
      </c>
      <c r="CC104" s="4">
        <v>4</v>
      </c>
      <c r="CD104" s="4">
        <v>4</v>
      </c>
      <c r="CE104" s="1">
        <v>4</v>
      </c>
      <c r="CF104" s="57">
        <v>4</v>
      </c>
      <c r="CG104" s="57">
        <v>4</v>
      </c>
      <c r="CH104" s="4">
        <v>4</v>
      </c>
      <c r="CI104" s="4">
        <v>4</v>
      </c>
      <c r="CJ104" s="4">
        <v>4</v>
      </c>
      <c r="CK104" s="17">
        <v>4</v>
      </c>
      <c r="CL104" s="17">
        <v>4</v>
      </c>
      <c r="CM104" s="17">
        <v>4</v>
      </c>
      <c r="CN104" s="57">
        <v>4</v>
      </c>
      <c r="CO104" s="17">
        <v>4</v>
      </c>
      <c r="CP104" s="17">
        <v>4</v>
      </c>
      <c r="CQ104" s="57">
        <v>4</v>
      </c>
      <c r="CR104" s="17">
        <v>4</v>
      </c>
      <c r="CS104" s="17">
        <v>4</v>
      </c>
      <c r="CT104" s="4">
        <v>1</v>
      </c>
      <c r="CU104" s="4">
        <v>4</v>
      </c>
      <c r="CV104" s="4">
        <v>4</v>
      </c>
      <c r="CW104" s="4">
        <v>4</v>
      </c>
      <c r="CX104" s="4">
        <v>4</v>
      </c>
      <c r="CY104" s="4">
        <v>4</v>
      </c>
      <c r="CZ104" s="4">
        <v>4</v>
      </c>
      <c r="DA104" s="17">
        <v>4</v>
      </c>
      <c r="DB104" s="1">
        <v>4</v>
      </c>
      <c r="DC104" s="1">
        <v>4</v>
      </c>
      <c r="DD104" s="1">
        <v>4</v>
      </c>
      <c r="DE104" s="17">
        <v>4</v>
      </c>
      <c r="DF104" s="57">
        <v>4</v>
      </c>
      <c r="DG104" s="4">
        <v>4</v>
      </c>
      <c r="DH104" s="1">
        <v>4</v>
      </c>
      <c r="DI104" s="4">
        <v>4</v>
      </c>
      <c r="DJ104" s="4">
        <v>4</v>
      </c>
      <c r="DK104" s="1">
        <v>4</v>
      </c>
      <c r="DL104" s="1">
        <v>4</v>
      </c>
      <c r="DM104" s="1">
        <v>4</v>
      </c>
      <c r="DN104" s="1">
        <v>4</v>
      </c>
      <c r="DO104" s="1">
        <v>4</v>
      </c>
      <c r="DP104" s="1">
        <v>4</v>
      </c>
      <c r="DQ104" s="1">
        <v>4</v>
      </c>
      <c r="DR104" s="1">
        <v>4</v>
      </c>
      <c r="DS104" s="1">
        <v>4</v>
      </c>
      <c r="DT104" s="1">
        <v>4</v>
      </c>
    </row>
    <row r="105" spans="1:124" x14ac:dyDescent="0.2">
      <c r="A105" t="s">
        <v>219</v>
      </c>
      <c r="B105" s="1" t="s">
        <v>1410</v>
      </c>
      <c r="C105" s="1" t="s">
        <v>1242</v>
      </c>
      <c r="E105" s="62">
        <v>1</v>
      </c>
      <c r="F105" s="57">
        <v>4</v>
      </c>
      <c r="G105" s="4">
        <v>1</v>
      </c>
      <c r="H105" s="4">
        <v>3</v>
      </c>
      <c r="I105" s="1">
        <v>4</v>
      </c>
      <c r="J105" s="1">
        <v>1</v>
      </c>
      <c r="K105" s="4">
        <v>4</v>
      </c>
      <c r="L105" s="4">
        <v>1</v>
      </c>
      <c r="M105" s="4">
        <v>1</v>
      </c>
      <c r="N105" s="1">
        <v>4</v>
      </c>
      <c r="O105" s="4">
        <v>4</v>
      </c>
      <c r="P105" s="4">
        <v>4</v>
      </c>
      <c r="Q105" s="4">
        <v>4</v>
      </c>
      <c r="R105" s="1">
        <v>4</v>
      </c>
      <c r="S105" s="1">
        <v>1</v>
      </c>
      <c r="T105" s="1">
        <v>1</v>
      </c>
      <c r="U105" s="1">
        <v>4</v>
      </c>
      <c r="V105" s="57">
        <v>4</v>
      </c>
      <c r="W105" s="4">
        <v>4</v>
      </c>
      <c r="X105" s="4">
        <v>4</v>
      </c>
      <c r="Y105" s="1">
        <v>4</v>
      </c>
      <c r="Z105" s="4">
        <v>4</v>
      </c>
      <c r="AA105" s="4">
        <v>4</v>
      </c>
      <c r="AB105" s="4">
        <v>4</v>
      </c>
      <c r="AC105" s="57">
        <v>4</v>
      </c>
      <c r="AD105" s="4">
        <v>4</v>
      </c>
      <c r="AE105" s="4">
        <v>4</v>
      </c>
      <c r="AF105" s="4">
        <v>1</v>
      </c>
      <c r="AG105" s="4">
        <v>1</v>
      </c>
      <c r="AH105" s="4">
        <v>1</v>
      </c>
      <c r="AI105" s="1">
        <v>4</v>
      </c>
      <c r="AJ105" s="4">
        <v>1</v>
      </c>
      <c r="AK105" s="4">
        <v>1</v>
      </c>
      <c r="AL105" s="4">
        <v>4</v>
      </c>
      <c r="AM105" s="4">
        <v>4</v>
      </c>
      <c r="AN105" s="4">
        <v>1</v>
      </c>
      <c r="AO105" s="17">
        <v>4</v>
      </c>
      <c r="AP105" s="17">
        <v>4</v>
      </c>
      <c r="AQ105" s="17">
        <v>4</v>
      </c>
      <c r="AR105" s="17">
        <v>4</v>
      </c>
      <c r="AS105" s="17">
        <v>4</v>
      </c>
      <c r="AT105" s="17">
        <v>4</v>
      </c>
      <c r="AU105" s="17">
        <v>4</v>
      </c>
      <c r="AV105" s="57">
        <v>4</v>
      </c>
      <c r="AW105" s="17">
        <v>4</v>
      </c>
      <c r="AX105" s="17">
        <v>4</v>
      </c>
      <c r="AY105" s="4">
        <v>4</v>
      </c>
      <c r="AZ105" s="4">
        <v>4</v>
      </c>
      <c r="BA105" s="57">
        <v>4</v>
      </c>
      <c r="BB105" s="57">
        <v>4</v>
      </c>
      <c r="BC105" s="4">
        <v>1</v>
      </c>
      <c r="BD105" s="4">
        <v>1</v>
      </c>
      <c r="BE105" s="4">
        <v>4</v>
      </c>
      <c r="BF105" s="4">
        <v>1</v>
      </c>
      <c r="BG105" s="4">
        <v>1</v>
      </c>
      <c r="BH105" s="4">
        <v>4</v>
      </c>
      <c r="BI105" s="4">
        <v>4</v>
      </c>
      <c r="BJ105" s="4">
        <v>4</v>
      </c>
      <c r="BK105" s="4">
        <v>1</v>
      </c>
      <c r="BL105" s="4">
        <v>1</v>
      </c>
      <c r="BM105" s="4">
        <v>1</v>
      </c>
      <c r="BN105" s="4">
        <v>4</v>
      </c>
      <c r="BO105" s="4">
        <v>4</v>
      </c>
      <c r="BP105" s="4">
        <v>1</v>
      </c>
      <c r="BQ105" s="4">
        <v>1</v>
      </c>
      <c r="BR105" s="4">
        <v>1</v>
      </c>
      <c r="BS105" s="4">
        <v>4</v>
      </c>
      <c r="BT105" s="4">
        <v>1</v>
      </c>
      <c r="BU105" s="4">
        <v>1</v>
      </c>
      <c r="BV105" s="4">
        <v>1</v>
      </c>
      <c r="BW105" s="4">
        <v>1</v>
      </c>
      <c r="BX105" s="4">
        <v>1</v>
      </c>
      <c r="BY105" s="4">
        <v>4</v>
      </c>
      <c r="BZ105" s="4">
        <v>4</v>
      </c>
      <c r="CA105" s="1">
        <v>4</v>
      </c>
      <c r="CB105" s="17">
        <v>4</v>
      </c>
      <c r="CC105" s="4">
        <v>4</v>
      </c>
      <c r="CD105" s="4">
        <v>4</v>
      </c>
      <c r="CE105" s="1">
        <v>4</v>
      </c>
      <c r="CF105" s="57">
        <v>4</v>
      </c>
      <c r="CG105" s="57">
        <v>4</v>
      </c>
      <c r="CH105" s="4">
        <v>4</v>
      </c>
      <c r="CI105" s="4">
        <v>4</v>
      </c>
      <c r="CJ105" s="4">
        <v>4</v>
      </c>
      <c r="CK105" s="17">
        <v>4</v>
      </c>
      <c r="CL105" s="17">
        <v>4</v>
      </c>
      <c r="CM105" s="17">
        <v>4</v>
      </c>
      <c r="CN105" s="57">
        <v>4</v>
      </c>
      <c r="CO105" s="17">
        <v>4</v>
      </c>
      <c r="CP105" s="17">
        <v>4</v>
      </c>
      <c r="CQ105" s="57">
        <v>4</v>
      </c>
      <c r="CR105" s="17">
        <v>4</v>
      </c>
      <c r="CS105" s="17">
        <v>4</v>
      </c>
      <c r="CT105" s="4">
        <v>1</v>
      </c>
      <c r="CU105" s="4">
        <v>4</v>
      </c>
      <c r="CV105" s="4">
        <v>4</v>
      </c>
      <c r="CW105" s="4">
        <v>4</v>
      </c>
      <c r="CX105" s="4">
        <v>4</v>
      </c>
      <c r="CY105" s="4">
        <v>4</v>
      </c>
      <c r="CZ105" s="4">
        <v>4</v>
      </c>
      <c r="DA105" s="17">
        <v>4</v>
      </c>
      <c r="DB105" s="1">
        <v>4</v>
      </c>
      <c r="DC105" s="1">
        <v>4</v>
      </c>
      <c r="DD105" s="1">
        <v>4</v>
      </c>
      <c r="DE105" s="17">
        <v>4</v>
      </c>
      <c r="DF105" s="57">
        <v>4</v>
      </c>
      <c r="DG105" s="4">
        <v>4</v>
      </c>
      <c r="DH105" s="1">
        <v>4</v>
      </c>
      <c r="DI105" s="4">
        <v>4</v>
      </c>
      <c r="DJ105" s="4">
        <v>4</v>
      </c>
      <c r="DK105" s="1">
        <v>4</v>
      </c>
      <c r="DL105" s="1">
        <v>4</v>
      </c>
      <c r="DM105" s="1">
        <v>4</v>
      </c>
      <c r="DN105" s="1">
        <v>4</v>
      </c>
      <c r="DO105" s="1">
        <v>4</v>
      </c>
      <c r="DP105" s="1">
        <v>4</v>
      </c>
      <c r="DQ105" s="1">
        <v>4</v>
      </c>
      <c r="DR105" s="1">
        <v>4</v>
      </c>
      <c r="DS105" s="1">
        <v>4</v>
      </c>
      <c r="DT105" s="1">
        <v>4</v>
      </c>
    </row>
    <row r="106" spans="1:124" x14ac:dyDescent="0.2">
      <c r="A106" t="s">
        <v>252</v>
      </c>
      <c r="B106" s="1" t="s">
        <v>1410</v>
      </c>
      <c r="C106" s="1" t="s">
        <v>1241</v>
      </c>
      <c r="E106" s="62">
        <v>1</v>
      </c>
      <c r="F106" s="57">
        <v>4</v>
      </c>
      <c r="G106" s="4">
        <v>1</v>
      </c>
      <c r="H106" s="4">
        <v>1</v>
      </c>
      <c r="I106" s="1">
        <v>4</v>
      </c>
      <c r="J106" s="1">
        <v>1</v>
      </c>
      <c r="K106" s="4">
        <v>4</v>
      </c>
      <c r="L106" s="4">
        <v>1</v>
      </c>
      <c r="M106" s="4">
        <v>1</v>
      </c>
      <c r="N106" s="1">
        <v>4</v>
      </c>
      <c r="O106" s="4">
        <v>4</v>
      </c>
      <c r="P106" s="4">
        <v>4</v>
      </c>
      <c r="Q106" s="4">
        <v>4</v>
      </c>
      <c r="R106" s="1">
        <v>4</v>
      </c>
      <c r="S106" s="1">
        <v>1</v>
      </c>
      <c r="T106" s="1">
        <v>1</v>
      </c>
      <c r="U106" s="1">
        <v>4</v>
      </c>
      <c r="V106" s="57">
        <v>4</v>
      </c>
      <c r="W106" s="4">
        <v>4</v>
      </c>
      <c r="X106" s="4">
        <v>4</v>
      </c>
      <c r="Y106" s="1">
        <v>4</v>
      </c>
      <c r="Z106" s="4">
        <v>4</v>
      </c>
      <c r="AA106" s="4">
        <v>4</v>
      </c>
      <c r="AB106" s="4">
        <v>4</v>
      </c>
      <c r="AC106" s="57">
        <v>4</v>
      </c>
      <c r="AD106" s="4">
        <v>4</v>
      </c>
      <c r="AE106" s="4">
        <v>4</v>
      </c>
      <c r="AF106" s="4">
        <v>1</v>
      </c>
      <c r="AG106" s="4">
        <v>1</v>
      </c>
      <c r="AH106" s="4">
        <v>1</v>
      </c>
      <c r="AI106" s="1">
        <v>4</v>
      </c>
      <c r="AJ106" s="4">
        <v>1</v>
      </c>
      <c r="AK106" s="4">
        <v>1</v>
      </c>
      <c r="AL106" s="4">
        <v>4</v>
      </c>
      <c r="AM106" s="4">
        <v>4</v>
      </c>
      <c r="AN106" s="4">
        <v>1</v>
      </c>
      <c r="AO106" s="17">
        <v>4</v>
      </c>
      <c r="AP106" s="17">
        <v>4</v>
      </c>
      <c r="AQ106" s="17">
        <v>4</v>
      </c>
      <c r="AR106" s="17">
        <v>4</v>
      </c>
      <c r="AS106" s="17">
        <v>4</v>
      </c>
      <c r="AT106" s="17">
        <v>4</v>
      </c>
      <c r="AU106" s="17">
        <v>4</v>
      </c>
      <c r="AV106" s="57">
        <v>4</v>
      </c>
      <c r="AW106" s="17">
        <v>4</v>
      </c>
      <c r="AX106" s="17">
        <v>4</v>
      </c>
      <c r="AY106" s="4">
        <v>4</v>
      </c>
      <c r="AZ106" s="4">
        <v>4</v>
      </c>
      <c r="BA106" s="57">
        <v>4</v>
      </c>
      <c r="BB106" s="57">
        <v>4</v>
      </c>
      <c r="BC106" s="4">
        <v>1</v>
      </c>
      <c r="BD106" s="4">
        <v>1</v>
      </c>
      <c r="BE106" s="4">
        <v>4</v>
      </c>
      <c r="BF106" s="4">
        <v>3</v>
      </c>
      <c r="BG106" s="4">
        <v>3</v>
      </c>
      <c r="BH106" s="4">
        <v>4</v>
      </c>
      <c r="BI106" s="4">
        <v>4</v>
      </c>
      <c r="BJ106" s="4">
        <v>4</v>
      </c>
      <c r="BK106" s="4">
        <v>3</v>
      </c>
      <c r="BL106" s="4">
        <v>4</v>
      </c>
      <c r="BM106" s="4">
        <v>4</v>
      </c>
      <c r="BN106" s="4">
        <v>4</v>
      </c>
      <c r="BO106" s="4">
        <v>3</v>
      </c>
      <c r="BP106" s="4">
        <v>1</v>
      </c>
      <c r="BQ106" s="4">
        <v>4</v>
      </c>
      <c r="BR106" s="4">
        <v>4</v>
      </c>
      <c r="BS106" s="4">
        <v>3</v>
      </c>
      <c r="BT106" s="4">
        <v>3</v>
      </c>
      <c r="BU106" s="4">
        <v>3</v>
      </c>
      <c r="BV106" s="4">
        <v>1</v>
      </c>
      <c r="BW106" s="4">
        <v>1</v>
      </c>
      <c r="BX106" s="4">
        <v>1</v>
      </c>
      <c r="BY106" s="4">
        <v>4</v>
      </c>
      <c r="BZ106" s="4">
        <v>4</v>
      </c>
      <c r="CA106" s="1">
        <v>4</v>
      </c>
      <c r="CB106" s="17">
        <v>4</v>
      </c>
      <c r="CC106" s="4">
        <v>4</v>
      </c>
      <c r="CD106" s="4">
        <v>4</v>
      </c>
      <c r="CE106" s="1">
        <v>4</v>
      </c>
      <c r="CF106" s="57">
        <v>4</v>
      </c>
      <c r="CG106" s="57">
        <v>4</v>
      </c>
      <c r="CH106" s="4">
        <v>4</v>
      </c>
      <c r="CI106" s="4">
        <v>4</v>
      </c>
      <c r="CJ106" s="4">
        <v>4</v>
      </c>
      <c r="CK106" s="17">
        <v>4</v>
      </c>
      <c r="CL106" s="17">
        <v>4</v>
      </c>
      <c r="CM106" s="17">
        <v>4</v>
      </c>
      <c r="CN106" s="57">
        <v>4</v>
      </c>
      <c r="CO106" s="17">
        <v>4</v>
      </c>
      <c r="CP106" s="17">
        <v>4</v>
      </c>
      <c r="CQ106" s="57">
        <v>4</v>
      </c>
      <c r="CR106" s="17">
        <v>4</v>
      </c>
      <c r="CS106" s="17">
        <v>4</v>
      </c>
      <c r="CT106" s="4">
        <v>1</v>
      </c>
      <c r="CU106" s="4">
        <v>4</v>
      </c>
      <c r="CV106" s="4">
        <v>4</v>
      </c>
      <c r="CW106" s="4">
        <v>4</v>
      </c>
      <c r="CX106" s="4">
        <v>4</v>
      </c>
      <c r="CY106" s="4">
        <v>4</v>
      </c>
      <c r="CZ106" s="4">
        <v>4</v>
      </c>
      <c r="DA106" s="17">
        <v>4</v>
      </c>
      <c r="DB106" s="1">
        <v>4</v>
      </c>
      <c r="DC106" s="1">
        <v>4</v>
      </c>
      <c r="DD106" s="1">
        <v>4</v>
      </c>
      <c r="DE106" s="17">
        <v>4</v>
      </c>
      <c r="DF106" s="57">
        <v>4</v>
      </c>
      <c r="DG106" s="4">
        <v>4</v>
      </c>
      <c r="DH106" s="1">
        <v>4</v>
      </c>
      <c r="DI106" s="4">
        <v>4</v>
      </c>
      <c r="DJ106" s="4">
        <v>4</v>
      </c>
      <c r="DK106" s="1">
        <v>4</v>
      </c>
      <c r="DL106" s="1">
        <v>4</v>
      </c>
      <c r="DM106" s="1">
        <v>4</v>
      </c>
      <c r="DN106" s="1">
        <v>4</v>
      </c>
      <c r="DO106" s="1">
        <v>4</v>
      </c>
      <c r="DP106" s="1">
        <v>4</v>
      </c>
      <c r="DQ106" s="1">
        <v>4</v>
      </c>
      <c r="DR106" s="1">
        <v>4</v>
      </c>
      <c r="DS106" s="1">
        <v>4</v>
      </c>
      <c r="DT106" s="1">
        <v>4</v>
      </c>
    </row>
    <row r="107" spans="1:124" x14ac:dyDescent="0.2">
      <c r="A107" t="s">
        <v>255</v>
      </c>
      <c r="B107" s="1" t="s">
        <v>1410</v>
      </c>
      <c r="C107" s="1" t="s">
        <v>1241</v>
      </c>
      <c r="E107" s="62">
        <v>1</v>
      </c>
      <c r="F107" s="57">
        <v>4</v>
      </c>
      <c r="G107" s="4">
        <v>3</v>
      </c>
      <c r="H107" s="4">
        <v>3</v>
      </c>
      <c r="I107" s="1">
        <v>4</v>
      </c>
      <c r="J107" s="1">
        <v>1</v>
      </c>
      <c r="K107" s="4">
        <v>4</v>
      </c>
      <c r="L107" s="4">
        <v>3</v>
      </c>
      <c r="M107" s="4">
        <v>3</v>
      </c>
      <c r="N107" s="1">
        <v>4</v>
      </c>
      <c r="O107" s="4">
        <v>4</v>
      </c>
      <c r="P107" s="4">
        <v>4</v>
      </c>
      <c r="Q107" s="4">
        <v>4</v>
      </c>
      <c r="R107" s="1">
        <v>4</v>
      </c>
      <c r="S107" s="4">
        <v>3</v>
      </c>
      <c r="T107" s="4">
        <v>3</v>
      </c>
      <c r="U107" s="1">
        <v>4</v>
      </c>
      <c r="V107" s="57">
        <v>4</v>
      </c>
      <c r="W107" s="4">
        <v>4</v>
      </c>
      <c r="X107" s="4">
        <v>4</v>
      </c>
      <c r="Y107" s="1">
        <v>4</v>
      </c>
      <c r="Z107" s="4">
        <v>4</v>
      </c>
      <c r="AA107" s="4">
        <v>4</v>
      </c>
      <c r="AB107" s="4">
        <v>4</v>
      </c>
      <c r="AC107" s="57">
        <v>4</v>
      </c>
      <c r="AD107" s="4">
        <v>4</v>
      </c>
      <c r="AE107" s="4">
        <v>4</v>
      </c>
      <c r="AF107" s="4">
        <v>3</v>
      </c>
      <c r="AG107" s="4">
        <v>3</v>
      </c>
      <c r="AH107" s="4">
        <v>3</v>
      </c>
      <c r="AI107" s="1">
        <v>4</v>
      </c>
      <c r="AJ107" s="4">
        <v>1</v>
      </c>
      <c r="AK107" s="4">
        <v>3</v>
      </c>
      <c r="AL107" s="4">
        <v>4</v>
      </c>
      <c r="AM107" s="4">
        <v>4</v>
      </c>
      <c r="AN107" s="4">
        <v>3</v>
      </c>
      <c r="AO107" s="17">
        <v>4</v>
      </c>
      <c r="AP107" s="17">
        <v>4</v>
      </c>
      <c r="AQ107" s="17">
        <v>4</v>
      </c>
      <c r="AR107" s="17">
        <v>4</v>
      </c>
      <c r="AS107" s="17">
        <v>4</v>
      </c>
      <c r="AT107" s="17">
        <v>4</v>
      </c>
      <c r="AU107" s="17">
        <v>4</v>
      </c>
      <c r="AV107" s="57">
        <v>4</v>
      </c>
      <c r="AW107" s="17">
        <v>4</v>
      </c>
      <c r="AX107" s="17">
        <v>4</v>
      </c>
      <c r="AY107" s="4">
        <v>4</v>
      </c>
      <c r="AZ107" s="4">
        <v>4</v>
      </c>
      <c r="BA107" s="57">
        <v>4</v>
      </c>
      <c r="BB107" s="57">
        <v>4</v>
      </c>
      <c r="BC107" s="4">
        <v>3</v>
      </c>
      <c r="BD107" s="4">
        <v>3</v>
      </c>
      <c r="BE107" s="4">
        <v>4</v>
      </c>
      <c r="BF107" s="4">
        <v>3</v>
      </c>
      <c r="BG107" s="4">
        <v>3</v>
      </c>
      <c r="BH107" s="4">
        <v>4</v>
      </c>
      <c r="BI107" s="4">
        <v>4</v>
      </c>
      <c r="BJ107" s="4">
        <v>4</v>
      </c>
      <c r="BK107" s="4">
        <v>3</v>
      </c>
      <c r="BL107" s="4">
        <v>4</v>
      </c>
      <c r="BM107" s="4">
        <v>4</v>
      </c>
      <c r="BN107" s="4">
        <v>3</v>
      </c>
      <c r="BO107" s="4">
        <v>3</v>
      </c>
      <c r="BP107" s="4">
        <v>3</v>
      </c>
      <c r="BQ107" s="4">
        <v>4</v>
      </c>
      <c r="BR107" s="4">
        <v>4</v>
      </c>
      <c r="BS107" s="4">
        <v>3</v>
      </c>
      <c r="BT107" s="4">
        <v>3</v>
      </c>
      <c r="BU107" s="4">
        <v>3</v>
      </c>
      <c r="BV107" s="4">
        <v>1</v>
      </c>
      <c r="BW107" s="4">
        <v>3</v>
      </c>
      <c r="BX107" s="4">
        <v>3</v>
      </c>
      <c r="BY107" s="4">
        <v>4</v>
      </c>
      <c r="BZ107" s="4">
        <v>4</v>
      </c>
      <c r="CA107" s="1">
        <v>4</v>
      </c>
      <c r="CB107" s="17">
        <v>4</v>
      </c>
      <c r="CC107" s="4">
        <v>4</v>
      </c>
      <c r="CD107" s="4">
        <v>4</v>
      </c>
      <c r="CE107" s="1">
        <v>4</v>
      </c>
      <c r="CF107" s="57">
        <v>4</v>
      </c>
      <c r="CG107" s="57">
        <v>4</v>
      </c>
      <c r="CH107" s="4">
        <v>4</v>
      </c>
      <c r="CI107" s="4">
        <v>4</v>
      </c>
      <c r="CJ107" s="4">
        <v>4</v>
      </c>
      <c r="CK107" s="17">
        <v>4</v>
      </c>
      <c r="CL107" s="17">
        <v>4</v>
      </c>
      <c r="CM107" s="17">
        <v>4</v>
      </c>
      <c r="CN107" s="57">
        <v>4</v>
      </c>
      <c r="CO107" s="17">
        <v>4</v>
      </c>
      <c r="CP107" s="17">
        <v>4</v>
      </c>
      <c r="CQ107" s="57">
        <v>4</v>
      </c>
      <c r="CR107" s="17">
        <v>4</v>
      </c>
      <c r="CS107" s="17">
        <v>4</v>
      </c>
      <c r="CT107" s="4">
        <v>1</v>
      </c>
      <c r="CU107" s="4">
        <v>4</v>
      </c>
      <c r="CV107" s="4">
        <v>4</v>
      </c>
      <c r="CW107" s="4">
        <v>4</v>
      </c>
      <c r="CX107" s="4">
        <v>4</v>
      </c>
      <c r="CY107" s="4">
        <v>4</v>
      </c>
      <c r="CZ107" s="4">
        <v>4</v>
      </c>
      <c r="DA107" s="17">
        <v>4</v>
      </c>
      <c r="DB107" s="1">
        <v>4</v>
      </c>
      <c r="DC107" s="1">
        <v>4</v>
      </c>
      <c r="DD107" s="1">
        <v>4</v>
      </c>
      <c r="DE107" s="17">
        <v>4</v>
      </c>
      <c r="DF107" s="57">
        <v>4</v>
      </c>
      <c r="DG107" s="4">
        <v>4</v>
      </c>
      <c r="DH107" s="1">
        <v>4</v>
      </c>
      <c r="DI107" s="4">
        <v>4</v>
      </c>
      <c r="DJ107" s="4">
        <v>4</v>
      </c>
      <c r="DK107" s="1">
        <v>4</v>
      </c>
      <c r="DL107" s="1">
        <v>4</v>
      </c>
      <c r="DM107" s="1">
        <v>4</v>
      </c>
      <c r="DN107" s="1">
        <v>4</v>
      </c>
      <c r="DO107" s="1">
        <v>4</v>
      </c>
      <c r="DP107" s="1">
        <v>4</v>
      </c>
      <c r="DQ107" s="1">
        <v>4</v>
      </c>
      <c r="DR107" s="1">
        <v>4</v>
      </c>
      <c r="DS107" s="1">
        <v>4</v>
      </c>
      <c r="DT107" s="1">
        <v>4</v>
      </c>
    </row>
    <row r="108" spans="1:124" x14ac:dyDescent="0.2">
      <c r="A108" t="s">
        <v>258</v>
      </c>
      <c r="B108" s="1" t="s">
        <v>1410</v>
      </c>
      <c r="C108" s="1" t="s">
        <v>1241</v>
      </c>
      <c r="E108" s="62">
        <v>1</v>
      </c>
      <c r="F108" s="1">
        <v>4</v>
      </c>
      <c r="G108" s="4">
        <v>3</v>
      </c>
      <c r="H108" s="4">
        <v>3</v>
      </c>
      <c r="I108" s="1">
        <v>4</v>
      </c>
      <c r="J108" s="1">
        <v>1</v>
      </c>
      <c r="K108" s="4">
        <v>4</v>
      </c>
      <c r="L108" s="4">
        <v>3</v>
      </c>
      <c r="M108" s="4">
        <v>3</v>
      </c>
      <c r="N108" s="1">
        <v>4</v>
      </c>
      <c r="O108" s="4">
        <v>4</v>
      </c>
      <c r="P108" s="4">
        <v>4</v>
      </c>
      <c r="Q108" s="4">
        <v>4</v>
      </c>
      <c r="R108" s="1">
        <v>4</v>
      </c>
      <c r="S108" s="4">
        <v>3</v>
      </c>
      <c r="T108" s="4">
        <v>3</v>
      </c>
      <c r="U108" s="1">
        <v>4</v>
      </c>
      <c r="V108" s="57">
        <v>4</v>
      </c>
      <c r="W108" s="4">
        <v>4</v>
      </c>
      <c r="X108" s="4">
        <v>4</v>
      </c>
      <c r="Y108" s="1">
        <v>4</v>
      </c>
      <c r="Z108" s="4">
        <v>4</v>
      </c>
      <c r="AA108" s="4">
        <v>4</v>
      </c>
      <c r="AB108" s="4">
        <v>4</v>
      </c>
      <c r="AC108" s="57">
        <v>4</v>
      </c>
      <c r="AD108" s="4">
        <v>4</v>
      </c>
      <c r="AE108" s="4">
        <v>4</v>
      </c>
      <c r="AF108" s="4">
        <v>3</v>
      </c>
      <c r="AG108" s="4">
        <v>3</v>
      </c>
      <c r="AH108" s="4">
        <v>3</v>
      </c>
      <c r="AI108" s="1">
        <v>4</v>
      </c>
      <c r="AJ108" s="4">
        <v>1</v>
      </c>
      <c r="AK108" s="4">
        <v>3</v>
      </c>
      <c r="AL108" s="4">
        <v>4</v>
      </c>
      <c r="AM108" s="4">
        <v>4</v>
      </c>
      <c r="AN108" s="4">
        <v>3</v>
      </c>
      <c r="AO108" s="17">
        <v>4</v>
      </c>
      <c r="AP108" s="17">
        <v>4</v>
      </c>
      <c r="AQ108" s="17">
        <v>4</v>
      </c>
      <c r="AR108" s="17">
        <v>4</v>
      </c>
      <c r="AS108" s="17">
        <v>4</v>
      </c>
      <c r="AT108" s="17">
        <v>4</v>
      </c>
      <c r="AU108" s="17">
        <v>4</v>
      </c>
      <c r="AV108" s="57">
        <v>4</v>
      </c>
      <c r="AW108" s="17">
        <v>4</v>
      </c>
      <c r="AX108" s="17">
        <v>4</v>
      </c>
      <c r="AY108" s="4">
        <v>4</v>
      </c>
      <c r="AZ108" s="4">
        <v>4</v>
      </c>
      <c r="BA108" s="57">
        <v>4</v>
      </c>
      <c r="BB108" s="57">
        <v>4</v>
      </c>
      <c r="BC108" s="4">
        <v>3</v>
      </c>
      <c r="BD108" s="4">
        <v>3</v>
      </c>
      <c r="BE108" s="4">
        <v>4</v>
      </c>
      <c r="BF108" s="4">
        <v>3</v>
      </c>
      <c r="BG108" s="4">
        <v>3</v>
      </c>
      <c r="BH108" s="4">
        <v>4</v>
      </c>
      <c r="BI108" s="4">
        <v>4</v>
      </c>
      <c r="BJ108" s="4">
        <v>4</v>
      </c>
      <c r="BK108" s="4">
        <v>3</v>
      </c>
      <c r="BL108" s="4">
        <v>4</v>
      </c>
      <c r="BM108" s="4">
        <v>4</v>
      </c>
      <c r="BN108" s="4">
        <v>3</v>
      </c>
      <c r="BO108" s="4">
        <v>3</v>
      </c>
      <c r="BP108" s="4">
        <v>3</v>
      </c>
      <c r="BQ108" s="4">
        <v>4</v>
      </c>
      <c r="BR108" s="4">
        <v>4</v>
      </c>
      <c r="BS108" s="4">
        <v>3</v>
      </c>
      <c r="BT108" s="4">
        <v>3</v>
      </c>
      <c r="BU108" s="4">
        <v>3</v>
      </c>
      <c r="BV108" s="4">
        <v>1</v>
      </c>
      <c r="BW108" s="4">
        <v>3</v>
      </c>
      <c r="BX108" s="4">
        <v>3</v>
      </c>
      <c r="BY108" s="4">
        <v>4</v>
      </c>
      <c r="BZ108" s="4">
        <v>4</v>
      </c>
      <c r="CA108" s="1">
        <v>4</v>
      </c>
      <c r="CB108" s="17">
        <v>4</v>
      </c>
      <c r="CC108" s="4">
        <v>4</v>
      </c>
      <c r="CD108" s="4">
        <v>4</v>
      </c>
      <c r="CE108" s="1">
        <v>4</v>
      </c>
      <c r="CF108" s="57">
        <v>4</v>
      </c>
      <c r="CG108" s="57">
        <v>4</v>
      </c>
      <c r="CH108" s="4">
        <v>4</v>
      </c>
      <c r="CI108" s="4">
        <v>4</v>
      </c>
      <c r="CJ108" s="4">
        <v>4</v>
      </c>
      <c r="CK108" s="17">
        <v>4</v>
      </c>
      <c r="CL108" s="17">
        <v>4</v>
      </c>
      <c r="CM108" s="17">
        <v>4</v>
      </c>
      <c r="CN108" s="57">
        <v>4</v>
      </c>
      <c r="CO108" s="17">
        <v>4</v>
      </c>
      <c r="CP108" s="17">
        <v>4</v>
      </c>
      <c r="CQ108" s="57">
        <v>4</v>
      </c>
      <c r="CR108" s="17">
        <v>4</v>
      </c>
      <c r="CS108" s="17">
        <v>4</v>
      </c>
      <c r="CT108" s="4">
        <v>1</v>
      </c>
      <c r="CU108" s="4">
        <v>4</v>
      </c>
      <c r="CV108" s="4">
        <v>4</v>
      </c>
      <c r="CW108" s="4">
        <v>4</v>
      </c>
      <c r="CX108" s="4">
        <v>4</v>
      </c>
      <c r="CY108" s="4">
        <v>4</v>
      </c>
      <c r="CZ108" s="4">
        <v>4</v>
      </c>
      <c r="DA108" s="17">
        <v>4</v>
      </c>
      <c r="DB108" s="1">
        <v>4</v>
      </c>
      <c r="DC108" s="1">
        <v>4</v>
      </c>
      <c r="DD108" s="1">
        <v>4</v>
      </c>
      <c r="DE108" s="17">
        <v>4</v>
      </c>
      <c r="DF108" s="57">
        <v>4</v>
      </c>
      <c r="DG108" s="4">
        <v>4</v>
      </c>
      <c r="DH108" s="1">
        <v>4</v>
      </c>
      <c r="DI108" s="4">
        <v>4</v>
      </c>
      <c r="DJ108" s="4">
        <v>4</v>
      </c>
      <c r="DK108" s="1">
        <v>4</v>
      </c>
      <c r="DL108" s="1">
        <v>4</v>
      </c>
      <c r="DM108" s="1">
        <v>4</v>
      </c>
      <c r="DN108" s="1">
        <v>4</v>
      </c>
      <c r="DO108" s="1">
        <v>4</v>
      </c>
      <c r="DP108" s="1">
        <v>4</v>
      </c>
      <c r="DQ108" s="1">
        <v>4</v>
      </c>
      <c r="DR108" s="1">
        <v>4</v>
      </c>
      <c r="DS108" s="1">
        <v>4</v>
      </c>
      <c r="DT108" s="1">
        <v>4</v>
      </c>
    </row>
    <row r="109" spans="1:124" x14ac:dyDescent="0.2">
      <c r="A109" t="s">
        <v>260</v>
      </c>
      <c r="B109" s="1" t="s">
        <v>1410</v>
      </c>
      <c r="C109" s="1" t="s">
        <v>1241</v>
      </c>
      <c r="E109" s="62">
        <v>1</v>
      </c>
      <c r="F109" s="1">
        <v>4</v>
      </c>
      <c r="G109" s="4">
        <v>1</v>
      </c>
      <c r="H109" s="4">
        <v>1</v>
      </c>
      <c r="I109" s="1">
        <v>4</v>
      </c>
      <c r="J109" s="1">
        <v>1</v>
      </c>
      <c r="K109" s="4">
        <v>4</v>
      </c>
      <c r="L109" s="4">
        <v>1</v>
      </c>
      <c r="M109" s="4">
        <v>1</v>
      </c>
      <c r="N109" s="1">
        <v>4</v>
      </c>
      <c r="O109" s="4">
        <v>4</v>
      </c>
      <c r="P109" s="4">
        <v>4</v>
      </c>
      <c r="Q109" s="4">
        <v>4</v>
      </c>
      <c r="R109" s="1">
        <v>4</v>
      </c>
      <c r="S109" s="1">
        <v>1</v>
      </c>
      <c r="T109" s="1">
        <v>1</v>
      </c>
      <c r="U109" s="1">
        <v>4</v>
      </c>
      <c r="V109" s="57">
        <v>4</v>
      </c>
      <c r="W109" s="4">
        <v>4</v>
      </c>
      <c r="X109" s="4">
        <v>4</v>
      </c>
      <c r="Y109" s="1">
        <v>4</v>
      </c>
      <c r="Z109" s="4">
        <v>4</v>
      </c>
      <c r="AA109" s="4">
        <v>4</v>
      </c>
      <c r="AB109" s="4">
        <v>4</v>
      </c>
      <c r="AC109" s="57">
        <v>4</v>
      </c>
      <c r="AD109" s="4">
        <v>4</v>
      </c>
      <c r="AE109" s="4">
        <v>4</v>
      </c>
      <c r="AF109" s="4">
        <v>3</v>
      </c>
      <c r="AG109" s="4">
        <v>3</v>
      </c>
      <c r="AH109" s="4">
        <v>3</v>
      </c>
      <c r="AI109" s="1">
        <v>4</v>
      </c>
      <c r="AJ109" s="4">
        <v>1</v>
      </c>
      <c r="AK109" s="4">
        <v>3</v>
      </c>
      <c r="AL109" s="4">
        <v>4</v>
      </c>
      <c r="AM109" s="4">
        <v>4</v>
      </c>
      <c r="AN109" s="4">
        <v>3</v>
      </c>
      <c r="AO109" s="17">
        <v>4</v>
      </c>
      <c r="AP109" s="17">
        <v>4</v>
      </c>
      <c r="AQ109" s="17">
        <v>4</v>
      </c>
      <c r="AR109" s="17">
        <v>4</v>
      </c>
      <c r="AS109" s="17">
        <v>4</v>
      </c>
      <c r="AT109" s="17">
        <v>4</v>
      </c>
      <c r="AU109" s="17">
        <v>4</v>
      </c>
      <c r="AV109" s="57">
        <v>4</v>
      </c>
      <c r="AW109" s="17">
        <v>4</v>
      </c>
      <c r="AX109" s="17">
        <v>4</v>
      </c>
      <c r="AY109" s="4">
        <v>4</v>
      </c>
      <c r="AZ109" s="4">
        <v>4</v>
      </c>
      <c r="BA109" s="57">
        <v>4</v>
      </c>
      <c r="BB109" s="57">
        <v>4</v>
      </c>
      <c r="BC109" s="4">
        <v>3</v>
      </c>
      <c r="BD109" s="4">
        <v>3</v>
      </c>
      <c r="BE109" s="4">
        <v>4</v>
      </c>
      <c r="BF109" s="4">
        <v>3</v>
      </c>
      <c r="BG109" s="4">
        <v>3</v>
      </c>
      <c r="BH109" s="4">
        <v>4</v>
      </c>
      <c r="BI109" s="4">
        <v>4</v>
      </c>
      <c r="BJ109" s="4">
        <v>4</v>
      </c>
      <c r="BK109" s="4">
        <v>3</v>
      </c>
      <c r="BL109" s="4">
        <v>4</v>
      </c>
      <c r="BM109" s="4">
        <v>4</v>
      </c>
      <c r="BN109" s="4">
        <v>3</v>
      </c>
      <c r="BO109" s="4">
        <v>3</v>
      </c>
      <c r="BP109" s="4">
        <v>3</v>
      </c>
      <c r="BQ109" s="4">
        <v>4</v>
      </c>
      <c r="BR109" s="4">
        <v>4</v>
      </c>
      <c r="BS109" s="4">
        <v>3</v>
      </c>
      <c r="BT109" s="4">
        <v>3</v>
      </c>
      <c r="BU109" s="4">
        <v>3</v>
      </c>
      <c r="BV109" s="4">
        <v>1</v>
      </c>
      <c r="BW109" s="4">
        <v>1</v>
      </c>
      <c r="BX109" s="4">
        <v>1</v>
      </c>
      <c r="BY109" s="4">
        <v>4</v>
      </c>
      <c r="BZ109" s="4">
        <v>4</v>
      </c>
      <c r="CA109" s="1">
        <v>4</v>
      </c>
      <c r="CB109" s="17">
        <v>4</v>
      </c>
      <c r="CC109" s="4">
        <v>4</v>
      </c>
      <c r="CD109" s="4">
        <v>4</v>
      </c>
      <c r="CE109" s="1">
        <v>4</v>
      </c>
      <c r="CF109" s="57">
        <v>4</v>
      </c>
      <c r="CG109" s="57">
        <v>4</v>
      </c>
      <c r="CH109" s="4">
        <v>4</v>
      </c>
      <c r="CI109" s="4">
        <v>4</v>
      </c>
      <c r="CJ109" s="4">
        <v>4</v>
      </c>
      <c r="CK109" s="17">
        <v>4</v>
      </c>
      <c r="CL109" s="17">
        <v>4</v>
      </c>
      <c r="CM109" s="17">
        <v>4</v>
      </c>
      <c r="CN109" s="57">
        <v>4</v>
      </c>
      <c r="CO109" s="17">
        <v>4</v>
      </c>
      <c r="CP109" s="17">
        <v>4</v>
      </c>
      <c r="CQ109" s="57">
        <v>4</v>
      </c>
      <c r="CR109" s="17">
        <v>4</v>
      </c>
      <c r="CS109" s="17">
        <v>4</v>
      </c>
      <c r="CT109" s="4">
        <v>1</v>
      </c>
      <c r="CU109" s="4">
        <v>4</v>
      </c>
      <c r="CV109" s="4">
        <v>4</v>
      </c>
      <c r="CW109" s="4">
        <v>4</v>
      </c>
      <c r="CX109" s="4">
        <v>4</v>
      </c>
      <c r="CY109" s="4">
        <v>4</v>
      </c>
      <c r="CZ109" s="4">
        <v>4</v>
      </c>
      <c r="DA109" s="17">
        <v>4</v>
      </c>
      <c r="DB109" s="1">
        <v>4</v>
      </c>
      <c r="DC109" s="1">
        <v>4</v>
      </c>
      <c r="DD109" s="1">
        <v>4</v>
      </c>
      <c r="DE109" s="17">
        <v>4</v>
      </c>
      <c r="DF109" s="57">
        <v>4</v>
      </c>
      <c r="DG109" s="4">
        <v>4</v>
      </c>
      <c r="DH109" s="1">
        <v>4</v>
      </c>
      <c r="DI109" s="4">
        <v>4</v>
      </c>
      <c r="DJ109" s="4">
        <v>4</v>
      </c>
      <c r="DK109" s="1">
        <v>4</v>
      </c>
      <c r="DL109" s="1">
        <v>4</v>
      </c>
      <c r="DM109" s="1">
        <v>4</v>
      </c>
      <c r="DN109" s="1">
        <v>4</v>
      </c>
      <c r="DO109" s="1">
        <v>4</v>
      </c>
      <c r="DP109" s="1">
        <v>4</v>
      </c>
      <c r="DQ109" s="1">
        <v>4</v>
      </c>
      <c r="DR109" s="1">
        <v>4</v>
      </c>
      <c r="DS109" s="1">
        <v>4</v>
      </c>
      <c r="DT109" s="1">
        <v>4</v>
      </c>
    </row>
    <row r="110" spans="1:124" x14ac:dyDescent="0.2">
      <c r="A110" t="s">
        <v>262</v>
      </c>
      <c r="B110" s="1" t="s">
        <v>1410</v>
      </c>
      <c r="C110" s="1" t="s">
        <v>1241</v>
      </c>
      <c r="E110" s="62">
        <v>1</v>
      </c>
      <c r="F110" s="1">
        <v>4</v>
      </c>
      <c r="G110" s="4">
        <v>1</v>
      </c>
      <c r="H110" s="4">
        <v>1</v>
      </c>
      <c r="I110" s="1">
        <v>4</v>
      </c>
      <c r="J110" s="1">
        <v>1</v>
      </c>
      <c r="K110" s="4">
        <v>4</v>
      </c>
      <c r="L110" s="4">
        <v>3</v>
      </c>
      <c r="M110" s="4">
        <v>3</v>
      </c>
      <c r="N110" s="1">
        <v>4</v>
      </c>
      <c r="O110" s="4">
        <v>4</v>
      </c>
      <c r="P110" s="4">
        <v>4</v>
      </c>
      <c r="Q110" s="4">
        <v>4</v>
      </c>
      <c r="R110" s="1">
        <v>4</v>
      </c>
      <c r="S110" s="1">
        <v>1</v>
      </c>
      <c r="T110" s="1">
        <v>1</v>
      </c>
      <c r="U110" s="1">
        <v>4</v>
      </c>
      <c r="V110" s="57">
        <v>4</v>
      </c>
      <c r="W110" s="4">
        <v>4</v>
      </c>
      <c r="X110" s="4">
        <v>4</v>
      </c>
      <c r="Y110" s="1">
        <v>4</v>
      </c>
      <c r="Z110" s="4">
        <v>4</v>
      </c>
      <c r="AA110" s="4">
        <v>4</v>
      </c>
      <c r="AB110" s="4">
        <v>4</v>
      </c>
      <c r="AC110" s="57">
        <v>4</v>
      </c>
      <c r="AD110" s="4">
        <v>4</v>
      </c>
      <c r="AE110" s="4">
        <v>4</v>
      </c>
      <c r="AF110" s="4">
        <v>3</v>
      </c>
      <c r="AG110" s="4">
        <v>1</v>
      </c>
      <c r="AH110" s="4">
        <v>1</v>
      </c>
      <c r="AI110" s="1">
        <v>4</v>
      </c>
      <c r="AJ110" s="4">
        <v>1</v>
      </c>
      <c r="AK110" s="4">
        <v>1</v>
      </c>
      <c r="AL110" s="4">
        <v>4</v>
      </c>
      <c r="AM110" s="4">
        <v>4</v>
      </c>
      <c r="AN110" s="4">
        <v>3</v>
      </c>
      <c r="AO110" s="17">
        <v>4</v>
      </c>
      <c r="AP110" s="17">
        <v>4</v>
      </c>
      <c r="AQ110" s="17">
        <v>4</v>
      </c>
      <c r="AR110" s="17">
        <v>4</v>
      </c>
      <c r="AS110" s="17">
        <v>4</v>
      </c>
      <c r="AT110" s="17">
        <v>4</v>
      </c>
      <c r="AU110" s="17">
        <v>4</v>
      </c>
      <c r="AV110" s="57">
        <v>4</v>
      </c>
      <c r="AW110" s="17">
        <v>4</v>
      </c>
      <c r="AX110" s="17">
        <v>4</v>
      </c>
      <c r="AY110" s="4">
        <v>4</v>
      </c>
      <c r="AZ110" s="4">
        <v>4</v>
      </c>
      <c r="BA110" s="57">
        <v>4</v>
      </c>
      <c r="BB110" s="57">
        <v>4</v>
      </c>
      <c r="BC110" s="4">
        <v>3</v>
      </c>
      <c r="BD110" s="4">
        <v>1</v>
      </c>
      <c r="BE110" s="4">
        <v>4</v>
      </c>
      <c r="BF110" s="4">
        <v>3</v>
      </c>
      <c r="BG110" s="4">
        <v>3</v>
      </c>
      <c r="BH110" s="4">
        <v>4</v>
      </c>
      <c r="BI110" s="4">
        <v>4</v>
      </c>
      <c r="BJ110" s="4">
        <v>4</v>
      </c>
      <c r="BK110" s="4">
        <v>3</v>
      </c>
      <c r="BL110" s="4">
        <v>4</v>
      </c>
      <c r="BM110" s="4">
        <v>4</v>
      </c>
      <c r="BN110" s="4">
        <v>3</v>
      </c>
      <c r="BO110" s="4">
        <v>3</v>
      </c>
      <c r="BP110" s="4">
        <v>3</v>
      </c>
      <c r="BQ110" s="4">
        <v>4</v>
      </c>
      <c r="BR110" s="4">
        <v>4</v>
      </c>
      <c r="BS110" s="4">
        <v>3</v>
      </c>
      <c r="BT110" s="4">
        <v>3</v>
      </c>
      <c r="BU110" s="4">
        <v>3</v>
      </c>
      <c r="BV110" s="4">
        <v>1</v>
      </c>
      <c r="BW110" s="4">
        <v>1</v>
      </c>
      <c r="BX110" s="4">
        <v>1</v>
      </c>
      <c r="BY110" s="4">
        <v>4</v>
      </c>
      <c r="BZ110" s="4">
        <v>4</v>
      </c>
      <c r="CA110" s="1">
        <v>4</v>
      </c>
      <c r="CB110" s="17">
        <v>4</v>
      </c>
      <c r="CC110" s="4">
        <v>4</v>
      </c>
      <c r="CD110" s="4">
        <v>4</v>
      </c>
      <c r="CE110" s="1">
        <v>4</v>
      </c>
      <c r="CF110" s="57">
        <v>4</v>
      </c>
      <c r="CG110" s="57">
        <v>4</v>
      </c>
      <c r="CH110" s="4">
        <v>4</v>
      </c>
      <c r="CI110" s="4">
        <v>4</v>
      </c>
      <c r="CJ110" s="4">
        <v>4</v>
      </c>
      <c r="CK110" s="17">
        <v>4</v>
      </c>
      <c r="CL110" s="17">
        <v>4</v>
      </c>
      <c r="CM110" s="17">
        <v>4</v>
      </c>
      <c r="CN110" s="57">
        <v>4</v>
      </c>
      <c r="CO110" s="17">
        <v>4</v>
      </c>
      <c r="CP110" s="17">
        <v>4</v>
      </c>
      <c r="CQ110" s="57">
        <v>4</v>
      </c>
      <c r="CR110" s="17">
        <v>4</v>
      </c>
      <c r="CS110" s="17">
        <v>4</v>
      </c>
      <c r="CT110" s="4">
        <v>1</v>
      </c>
      <c r="CU110" s="4">
        <v>4</v>
      </c>
      <c r="CV110" s="4">
        <v>4</v>
      </c>
      <c r="CW110" s="4">
        <v>4</v>
      </c>
      <c r="CX110" s="4">
        <v>4</v>
      </c>
      <c r="CY110" s="4">
        <v>4</v>
      </c>
      <c r="CZ110" s="4">
        <v>4</v>
      </c>
      <c r="DA110" s="17">
        <v>4</v>
      </c>
      <c r="DB110" s="1">
        <v>4</v>
      </c>
      <c r="DC110" s="1">
        <v>4</v>
      </c>
      <c r="DD110" s="1">
        <v>4</v>
      </c>
      <c r="DE110" s="17">
        <v>4</v>
      </c>
      <c r="DF110" s="57">
        <v>4</v>
      </c>
      <c r="DG110" s="4">
        <v>4</v>
      </c>
      <c r="DH110" s="1">
        <v>4</v>
      </c>
      <c r="DI110" s="4">
        <v>4</v>
      </c>
      <c r="DJ110" s="4">
        <v>4</v>
      </c>
      <c r="DK110" s="1">
        <v>4</v>
      </c>
      <c r="DL110" s="1">
        <v>4</v>
      </c>
      <c r="DM110" s="1">
        <v>4</v>
      </c>
      <c r="DN110" s="1">
        <v>4</v>
      </c>
      <c r="DO110" s="1">
        <v>4</v>
      </c>
      <c r="DP110" s="1">
        <v>4</v>
      </c>
      <c r="DQ110" s="1">
        <v>4</v>
      </c>
      <c r="DR110" s="1">
        <v>4</v>
      </c>
      <c r="DS110" s="1">
        <v>4</v>
      </c>
      <c r="DT110" s="1">
        <v>4</v>
      </c>
    </row>
    <row r="111" spans="1:124" x14ac:dyDescent="0.2">
      <c r="A111" t="s">
        <v>265</v>
      </c>
      <c r="B111" s="1" t="s">
        <v>1410</v>
      </c>
      <c r="C111" s="1" t="s">
        <v>1241</v>
      </c>
      <c r="E111" s="62">
        <v>1</v>
      </c>
      <c r="F111" s="1">
        <v>4</v>
      </c>
      <c r="G111" s="4">
        <v>1</v>
      </c>
      <c r="H111" s="4">
        <v>1</v>
      </c>
      <c r="I111" s="1">
        <v>4</v>
      </c>
      <c r="J111" s="1">
        <v>1</v>
      </c>
      <c r="K111" s="4">
        <v>4</v>
      </c>
      <c r="L111" s="4">
        <v>1</v>
      </c>
      <c r="M111" s="4">
        <v>1</v>
      </c>
      <c r="N111" s="1">
        <v>4</v>
      </c>
      <c r="O111" s="4">
        <v>4</v>
      </c>
      <c r="P111" s="4">
        <v>4</v>
      </c>
      <c r="Q111" s="4">
        <v>4</v>
      </c>
      <c r="R111" s="1">
        <v>4</v>
      </c>
      <c r="S111" s="1">
        <v>1</v>
      </c>
      <c r="T111" s="1">
        <v>1</v>
      </c>
      <c r="U111" s="1">
        <v>4</v>
      </c>
      <c r="V111" s="57">
        <v>4</v>
      </c>
      <c r="W111" s="4">
        <v>4</v>
      </c>
      <c r="X111" s="4">
        <v>4</v>
      </c>
      <c r="Y111" s="1">
        <v>4</v>
      </c>
      <c r="Z111" s="4">
        <v>4</v>
      </c>
      <c r="AA111" s="4">
        <v>4</v>
      </c>
      <c r="AB111" s="4">
        <v>4</v>
      </c>
      <c r="AC111" s="57">
        <v>4</v>
      </c>
      <c r="AD111" s="4">
        <v>4</v>
      </c>
      <c r="AE111" s="4">
        <v>4</v>
      </c>
      <c r="AF111" s="4">
        <v>3</v>
      </c>
      <c r="AG111" s="4">
        <v>1</v>
      </c>
      <c r="AH111" s="4">
        <v>1</v>
      </c>
      <c r="AI111" s="1">
        <v>4</v>
      </c>
      <c r="AJ111" s="4">
        <v>1</v>
      </c>
      <c r="AK111" s="4">
        <v>3</v>
      </c>
      <c r="AL111" s="4">
        <v>4</v>
      </c>
      <c r="AM111" s="4">
        <v>4</v>
      </c>
      <c r="AN111" s="4">
        <v>3</v>
      </c>
      <c r="AO111" s="17">
        <v>4</v>
      </c>
      <c r="AP111" s="17">
        <v>4</v>
      </c>
      <c r="AQ111" s="17">
        <v>4</v>
      </c>
      <c r="AR111" s="17">
        <v>4</v>
      </c>
      <c r="AS111" s="17">
        <v>4</v>
      </c>
      <c r="AT111" s="17">
        <v>4</v>
      </c>
      <c r="AU111" s="17">
        <v>4</v>
      </c>
      <c r="AV111" s="57">
        <v>4</v>
      </c>
      <c r="AW111" s="17">
        <v>4</v>
      </c>
      <c r="AX111" s="17">
        <v>4</v>
      </c>
      <c r="AY111" s="4">
        <v>4</v>
      </c>
      <c r="AZ111" s="4">
        <v>4</v>
      </c>
      <c r="BA111" s="57">
        <v>4</v>
      </c>
      <c r="BB111" s="57">
        <v>4</v>
      </c>
      <c r="BC111" s="4">
        <v>3</v>
      </c>
      <c r="BD111" s="4">
        <v>1</v>
      </c>
      <c r="BE111" s="4">
        <v>4</v>
      </c>
      <c r="BF111" s="4">
        <v>3</v>
      </c>
      <c r="BG111" s="4">
        <v>3</v>
      </c>
      <c r="BH111" s="4">
        <v>4</v>
      </c>
      <c r="BI111" s="4">
        <v>4</v>
      </c>
      <c r="BJ111" s="4">
        <v>4</v>
      </c>
      <c r="BK111" s="4">
        <v>3</v>
      </c>
      <c r="BL111" s="4">
        <v>4</v>
      </c>
      <c r="BM111" s="4">
        <v>4</v>
      </c>
      <c r="BN111" s="4">
        <v>3</v>
      </c>
      <c r="BO111" s="4">
        <v>3</v>
      </c>
      <c r="BP111" s="4">
        <v>3</v>
      </c>
      <c r="BQ111" s="4">
        <v>4</v>
      </c>
      <c r="BR111" s="4">
        <v>4</v>
      </c>
      <c r="BS111" s="4">
        <v>3</v>
      </c>
      <c r="BT111" s="4">
        <v>3</v>
      </c>
      <c r="BU111" s="4">
        <v>3</v>
      </c>
      <c r="BV111" s="4">
        <v>1</v>
      </c>
      <c r="BW111" s="4">
        <v>1</v>
      </c>
      <c r="BX111" s="4">
        <v>1</v>
      </c>
      <c r="BY111" s="4">
        <v>4</v>
      </c>
      <c r="BZ111" s="4">
        <v>4</v>
      </c>
      <c r="CA111" s="1">
        <v>4</v>
      </c>
      <c r="CB111" s="17">
        <v>4</v>
      </c>
      <c r="CC111" s="4">
        <v>4</v>
      </c>
      <c r="CD111" s="4">
        <v>4</v>
      </c>
      <c r="CE111" s="1">
        <v>4</v>
      </c>
      <c r="CF111" s="57">
        <v>4</v>
      </c>
      <c r="CG111" s="57">
        <v>4</v>
      </c>
      <c r="CH111" s="4">
        <v>4</v>
      </c>
      <c r="CI111" s="4">
        <v>4</v>
      </c>
      <c r="CJ111" s="4">
        <v>4</v>
      </c>
      <c r="CK111" s="17">
        <v>4</v>
      </c>
      <c r="CL111" s="17">
        <v>4</v>
      </c>
      <c r="CM111" s="17">
        <v>4</v>
      </c>
      <c r="CN111" s="57">
        <v>4</v>
      </c>
      <c r="CO111" s="17">
        <v>4</v>
      </c>
      <c r="CP111" s="17">
        <v>4</v>
      </c>
      <c r="CQ111" s="57">
        <v>4</v>
      </c>
      <c r="CR111" s="17">
        <v>4</v>
      </c>
      <c r="CS111" s="17">
        <v>4</v>
      </c>
      <c r="CT111" s="4">
        <v>1</v>
      </c>
      <c r="CU111" s="4">
        <v>4</v>
      </c>
      <c r="CV111" s="4">
        <v>4</v>
      </c>
      <c r="CW111" s="4">
        <v>4</v>
      </c>
      <c r="CX111" s="4">
        <v>4</v>
      </c>
      <c r="CY111" s="4">
        <v>4</v>
      </c>
      <c r="CZ111" s="4">
        <v>4</v>
      </c>
      <c r="DA111" s="17">
        <v>4</v>
      </c>
      <c r="DB111" s="1">
        <v>4</v>
      </c>
      <c r="DC111" s="1">
        <v>4</v>
      </c>
      <c r="DD111" s="1">
        <v>4</v>
      </c>
      <c r="DE111" s="17">
        <v>4</v>
      </c>
      <c r="DF111" s="57">
        <v>4</v>
      </c>
      <c r="DG111" s="4">
        <v>4</v>
      </c>
      <c r="DH111" s="1">
        <v>4</v>
      </c>
      <c r="DI111" s="4">
        <v>4</v>
      </c>
      <c r="DJ111" s="4">
        <v>4</v>
      </c>
      <c r="DK111" s="1">
        <v>4</v>
      </c>
      <c r="DL111" s="1">
        <v>4</v>
      </c>
      <c r="DM111" s="1">
        <v>4</v>
      </c>
      <c r="DN111" s="1">
        <v>4</v>
      </c>
      <c r="DO111" s="1">
        <v>4</v>
      </c>
      <c r="DP111" s="1">
        <v>4</v>
      </c>
      <c r="DQ111" s="1">
        <v>4</v>
      </c>
      <c r="DR111" s="1">
        <v>4</v>
      </c>
      <c r="DS111" s="1">
        <v>4</v>
      </c>
      <c r="DT111" s="1">
        <v>4</v>
      </c>
    </row>
    <row r="112" spans="1:124" x14ac:dyDescent="0.2">
      <c r="A112" t="s">
        <v>268</v>
      </c>
      <c r="B112" s="1" t="s">
        <v>1410</v>
      </c>
      <c r="C112" s="1" t="s">
        <v>1241</v>
      </c>
      <c r="E112" s="62">
        <v>1</v>
      </c>
      <c r="F112" s="1">
        <v>4</v>
      </c>
      <c r="G112" s="4">
        <v>1</v>
      </c>
      <c r="H112" s="4">
        <v>1</v>
      </c>
      <c r="I112" s="1">
        <v>4</v>
      </c>
      <c r="J112" s="1">
        <v>1</v>
      </c>
      <c r="K112" s="4">
        <v>4</v>
      </c>
      <c r="L112" s="4">
        <v>1</v>
      </c>
      <c r="M112" s="4">
        <v>1</v>
      </c>
      <c r="N112" s="1">
        <v>4</v>
      </c>
      <c r="O112" s="4">
        <v>4</v>
      </c>
      <c r="P112" s="4">
        <v>4</v>
      </c>
      <c r="Q112" s="4">
        <v>4</v>
      </c>
      <c r="R112" s="1">
        <v>4</v>
      </c>
      <c r="S112" s="1">
        <v>1</v>
      </c>
      <c r="T112" s="1">
        <v>1</v>
      </c>
      <c r="U112" s="1">
        <v>4</v>
      </c>
      <c r="V112" s="57">
        <v>4</v>
      </c>
      <c r="W112" s="4">
        <v>4</v>
      </c>
      <c r="X112" s="4">
        <v>4</v>
      </c>
      <c r="Y112" s="1">
        <v>4</v>
      </c>
      <c r="Z112" s="4">
        <v>4</v>
      </c>
      <c r="AA112" s="4">
        <v>4</v>
      </c>
      <c r="AB112" s="4">
        <v>4</v>
      </c>
      <c r="AC112" s="57">
        <v>4</v>
      </c>
      <c r="AD112" s="4">
        <v>4</v>
      </c>
      <c r="AE112" s="4">
        <v>4</v>
      </c>
      <c r="AF112" s="4">
        <v>3</v>
      </c>
      <c r="AG112" s="4">
        <v>3</v>
      </c>
      <c r="AH112" s="4">
        <v>3</v>
      </c>
      <c r="AI112" s="1">
        <v>4</v>
      </c>
      <c r="AJ112" s="4">
        <v>1</v>
      </c>
      <c r="AK112" s="4">
        <v>3</v>
      </c>
      <c r="AL112" s="4">
        <v>4</v>
      </c>
      <c r="AM112" s="4">
        <v>4</v>
      </c>
      <c r="AN112" s="4">
        <v>3</v>
      </c>
      <c r="AO112" s="17">
        <v>4</v>
      </c>
      <c r="AP112" s="17">
        <v>4</v>
      </c>
      <c r="AQ112" s="17">
        <v>4</v>
      </c>
      <c r="AR112" s="17">
        <v>4</v>
      </c>
      <c r="AS112" s="17">
        <v>4</v>
      </c>
      <c r="AT112" s="17">
        <v>4</v>
      </c>
      <c r="AU112" s="17">
        <v>4</v>
      </c>
      <c r="AV112" s="57">
        <v>4</v>
      </c>
      <c r="AW112" s="17">
        <v>4</v>
      </c>
      <c r="AX112" s="17">
        <v>4</v>
      </c>
      <c r="AY112" s="4">
        <v>4</v>
      </c>
      <c r="AZ112" s="4">
        <v>4</v>
      </c>
      <c r="BA112" s="57">
        <v>4</v>
      </c>
      <c r="BB112" s="57">
        <v>4</v>
      </c>
      <c r="BC112" s="4">
        <v>3</v>
      </c>
      <c r="BD112" s="4">
        <v>1</v>
      </c>
      <c r="BE112" s="4">
        <v>4</v>
      </c>
      <c r="BF112" s="4">
        <v>3</v>
      </c>
      <c r="BG112" s="4">
        <v>3</v>
      </c>
      <c r="BH112" s="4">
        <v>4</v>
      </c>
      <c r="BI112" s="4">
        <v>4</v>
      </c>
      <c r="BJ112" s="4">
        <v>4</v>
      </c>
      <c r="BK112" s="4">
        <v>3</v>
      </c>
      <c r="BL112" s="4">
        <v>4</v>
      </c>
      <c r="BM112" s="4">
        <v>4</v>
      </c>
      <c r="BN112" s="4">
        <v>3</v>
      </c>
      <c r="BO112" s="4">
        <v>3</v>
      </c>
      <c r="BP112" s="4">
        <v>3</v>
      </c>
      <c r="BQ112" s="4">
        <v>4</v>
      </c>
      <c r="BR112" s="4">
        <v>4</v>
      </c>
      <c r="BS112" s="4">
        <v>3</v>
      </c>
      <c r="BT112" s="4">
        <v>3</v>
      </c>
      <c r="BU112" s="4">
        <v>3</v>
      </c>
      <c r="BV112" s="4">
        <v>1</v>
      </c>
      <c r="BW112" s="4">
        <v>1</v>
      </c>
      <c r="BX112" s="4">
        <v>1</v>
      </c>
      <c r="BY112" s="4">
        <v>4</v>
      </c>
      <c r="BZ112" s="4">
        <v>4</v>
      </c>
      <c r="CA112" s="1">
        <v>4</v>
      </c>
      <c r="CB112" s="17">
        <v>4</v>
      </c>
      <c r="CC112" s="4">
        <v>4</v>
      </c>
      <c r="CD112" s="4">
        <v>4</v>
      </c>
      <c r="CE112" s="1">
        <v>4</v>
      </c>
      <c r="CF112" s="57">
        <v>4</v>
      </c>
      <c r="CG112" s="57">
        <v>4</v>
      </c>
      <c r="CH112" s="4">
        <v>4</v>
      </c>
      <c r="CI112" s="4">
        <v>4</v>
      </c>
      <c r="CJ112" s="4">
        <v>4</v>
      </c>
      <c r="CK112" s="17">
        <v>4</v>
      </c>
      <c r="CL112" s="17">
        <v>4</v>
      </c>
      <c r="CM112" s="17">
        <v>4</v>
      </c>
      <c r="CN112" s="57">
        <v>4</v>
      </c>
      <c r="CO112" s="17">
        <v>4</v>
      </c>
      <c r="CP112" s="17">
        <v>4</v>
      </c>
      <c r="CQ112" s="57">
        <v>4</v>
      </c>
      <c r="CR112" s="17">
        <v>4</v>
      </c>
      <c r="CS112" s="17">
        <v>4</v>
      </c>
      <c r="CT112" s="4">
        <v>1</v>
      </c>
      <c r="CU112" s="4">
        <v>4</v>
      </c>
      <c r="CV112" s="4">
        <v>4</v>
      </c>
      <c r="CW112" s="4">
        <v>4</v>
      </c>
      <c r="CX112" s="4">
        <v>4</v>
      </c>
      <c r="CY112" s="4">
        <v>4</v>
      </c>
      <c r="CZ112" s="4">
        <v>4</v>
      </c>
      <c r="DA112" s="17">
        <v>4</v>
      </c>
      <c r="DB112" s="1">
        <v>4</v>
      </c>
      <c r="DC112" s="1">
        <v>4</v>
      </c>
      <c r="DD112" s="1">
        <v>4</v>
      </c>
      <c r="DE112" s="17">
        <v>4</v>
      </c>
      <c r="DF112" s="57">
        <v>4</v>
      </c>
      <c r="DG112" s="4">
        <v>4</v>
      </c>
      <c r="DH112" s="1">
        <v>4</v>
      </c>
      <c r="DI112" s="4">
        <v>4</v>
      </c>
      <c r="DJ112" s="4">
        <v>4</v>
      </c>
      <c r="DK112" s="1">
        <v>4</v>
      </c>
      <c r="DL112" s="1">
        <v>4</v>
      </c>
      <c r="DM112" s="1">
        <v>4</v>
      </c>
      <c r="DN112" s="1">
        <v>4</v>
      </c>
      <c r="DO112" s="1">
        <v>4</v>
      </c>
      <c r="DP112" s="1">
        <v>4</v>
      </c>
      <c r="DQ112" s="1">
        <v>4</v>
      </c>
      <c r="DR112" s="1">
        <v>4</v>
      </c>
      <c r="DS112" s="1">
        <v>4</v>
      </c>
      <c r="DT112" s="1">
        <v>4</v>
      </c>
    </row>
    <row r="113" spans="1:124" x14ac:dyDescent="0.2">
      <c r="A113" t="s">
        <v>284</v>
      </c>
      <c r="B113" s="1" t="s">
        <v>1410</v>
      </c>
      <c r="C113" s="1" t="s">
        <v>288</v>
      </c>
      <c r="E113" s="4">
        <v>3</v>
      </c>
      <c r="F113" s="1">
        <v>4</v>
      </c>
      <c r="G113" s="4">
        <v>3</v>
      </c>
      <c r="H113" s="4">
        <v>3</v>
      </c>
      <c r="I113" s="1">
        <v>4</v>
      </c>
      <c r="J113" s="1">
        <v>1</v>
      </c>
      <c r="K113" s="4">
        <v>4</v>
      </c>
      <c r="L113" s="4">
        <v>3</v>
      </c>
      <c r="M113" s="4">
        <v>3</v>
      </c>
      <c r="N113" s="1">
        <v>4</v>
      </c>
      <c r="O113" s="4">
        <v>4</v>
      </c>
      <c r="P113" s="4">
        <v>4</v>
      </c>
      <c r="Q113" s="4">
        <v>4</v>
      </c>
      <c r="R113" s="1">
        <v>4</v>
      </c>
      <c r="S113" s="4">
        <v>3</v>
      </c>
      <c r="T113" s="4">
        <v>3</v>
      </c>
      <c r="U113" s="1">
        <v>4</v>
      </c>
      <c r="V113" s="57">
        <v>4</v>
      </c>
      <c r="W113" s="4">
        <v>4</v>
      </c>
      <c r="X113" s="4">
        <v>4</v>
      </c>
      <c r="Y113" s="1">
        <v>4</v>
      </c>
      <c r="Z113" s="4">
        <v>4</v>
      </c>
      <c r="AA113" s="4">
        <v>4</v>
      </c>
      <c r="AB113" s="4">
        <v>4</v>
      </c>
      <c r="AC113" s="57">
        <v>4</v>
      </c>
      <c r="AD113" s="4">
        <v>4</v>
      </c>
      <c r="AE113" s="4">
        <v>4</v>
      </c>
      <c r="AF113" s="4">
        <v>3</v>
      </c>
      <c r="AG113" s="4">
        <v>3</v>
      </c>
      <c r="AH113" s="4">
        <v>3</v>
      </c>
      <c r="AI113" s="1">
        <v>4</v>
      </c>
      <c r="AJ113" s="4">
        <v>1</v>
      </c>
      <c r="AK113" s="4">
        <v>3</v>
      </c>
      <c r="AL113" s="4">
        <v>4</v>
      </c>
      <c r="AM113" s="4">
        <v>4</v>
      </c>
      <c r="AN113" s="4">
        <v>4</v>
      </c>
      <c r="AO113" s="17">
        <v>4</v>
      </c>
      <c r="AP113" s="17">
        <v>4</v>
      </c>
      <c r="AQ113" s="17">
        <v>4</v>
      </c>
      <c r="AR113" s="17">
        <v>4</v>
      </c>
      <c r="AS113" s="17">
        <v>4</v>
      </c>
      <c r="AT113" s="17">
        <v>4</v>
      </c>
      <c r="AU113" s="17">
        <v>4</v>
      </c>
      <c r="AV113" s="57">
        <v>4</v>
      </c>
      <c r="AW113" s="17">
        <v>4</v>
      </c>
      <c r="AX113" s="17">
        <v>4</v>
      </c>
      <c r="AY113" s="4">
        <v>4</v>
      </c>
      <c r="AZ113" s="4">
        <v>4</v>
      </c>
      <c r="BA113" s="57">
        <v>4</v>
      </c>
      <c r="BB113" s="57">
        <v>4</v>
      </c>
      <c r="BC113" s="4">
        <v>3</v>
      </c>
      <c r="BD113" s="4">
        <v>3</v>
      </c>
      <c r="BE113" s="4">
        <v>4</v>
      </c>
      <c r="BF113" s="4">
        <v>3</v>
      </c>
      <c r="BG113" s="4">
        <v>3</v>
      </c>
      <c r="BH113" s="4">
        <v>4</v>
      </c>
      <c r="BI113" s="4">
        <v>3</v>
      </c>
      <c r="BJ113" s="4">
        <v>3</v>
      </c>
      <c r="BK113" s="4">
        <v>4</v>
      </c>
      <c r="BL113" s="4">
        <v>4</v>
      </c>
      <c r="BM113" s="4">
        <v>4</v>
      </c>
      <c r="BN113" s="4">
        <v>3</v>
      </c>
      <c r="BO113" s="4">
        <v>3</v>
      </c>
      <c r="BP113" s="4">
        <v>3</v>
      </c>
      <c r="BQ113" s="4">
        <v>4</v>
      </c>
      <c r="BR113" s="4">
        <v>4</v>
      </c>
      <c r="BS113" s="4">
        <v>3</v>
      </c>
      <c r="BT113" s="4">
        <v>3</v>
      </c>
      <c r="BU113" s="4">
        <v>3</v>
      </c>
      <c r="BV113" s="4">
        <v>3</v>
      </c>
      <c r="BW113" s="4">
        <v>3</v>
      </c>
      <c r="BX113" s="4">
        <v>3</v>
      </c>
      <c r="BY113" s="4">
        <v>4</v>
      </c>
      <c r="BZ113" s="4">
        <v>4</v>
      </c>
      <c r="CA113" s="1">
        <v>4</v>
      </c>
      <c r="CB113" s="17">
        <v>4</v>
      </c>
      <c r="CC113" s="4">
        <v>4</v>
      </c>
      <c r="CD113" s="4">
        <v>4</v>
      </c>
      <c r="CE113" s="1">
        <v>4</v>
      </c>
      <c r="CF113" s="57">
        <v>4</v>
      </c>
      <c r="CG113" s="57">
        <v>4</v>
      </c>
      <c r="CH113" s="4">
        <v>4</v>
      </c>
      <c r="CI113" s="4">
        <v>4</v>
      </c>
      <c r="CJ113" s="4">
        <v>4</v>
      </c>
      <c r="CK113" s="17">
        <v>4</v>
      </c>
      <c r="CL113" s="17">
        <v>4</v>
      </c>
      <c r="CM113" s="17">
        <v>4</v>
      </c>
      <c r="CN113" s="57">
        <v>4</v>
      </c>
      <c r="CO113" s="17">
        <v>4</v>
      </c>
      <c r="CP113" s="17">
        <v>4</v>
      </c>
      <c r="CQ113" s="57">
        <v>4</v>
      </c>
      <c r="CR113" s="17">
        <v>4</v>
      </c>
      <c r="CS113" s="17">
        <v>4</v>
      </c>
      <c r="CT113" s="4">
        <v>1</v>
      </c>
      <c r="CU113" s="4">
        <v>4</v>
      </c>
      <c r="CV113" s="4">
        <v>4</v>
      </c>
      <c r="CW113" s="4">
        <v>4</v>
      </c>
      <c r="CX113" s="4">
        <v>4</v>
      </c>
      <c r="CY113" s="4">
        <v>4</v>
      </c>
      <c r="CZ113" s="4">
        <v>4</v>
      </c>
      <c r="DA113" s="17">
        <v>4</v>
      </c>
      <c r="DB113" s="1">
        <v>4</v>
      </c>
      <c r="DC113" s="1">
        <v>4</v>
      </c>
      <c r="DD113" s="1">
        <v>4</v>
      </c>
      <c r="DE113" s="17">
        <v>4</v>
      </c>
      <c r="DF113" s="57">
        <v>4</v>
      </c>
      <c r="DG113" s="4">
        <v>4</v>
      </c>
      <c r="DH113" s="1">
        <v>4</v>
      </c>
      <c r="DI113" s="4">
        <v>4</v>
      </c>
      <c r="DJ113" s="4">
        <v>4</v>
      </c>
      <c r="DK113" s="1">
        <v>4</v>
      </c>
      <c r="DL113" s="1">
        <v>4</v>
      </c>
      <c r="DM113" s="1">
        <v>4</v>
      </c>
      <c r="DN113" s="1">
        <v>4</v>
      </c>
      <c r="DO113" s="1">
        <v>4</v>
      </c>
      <c r="DP113" s="1">
        <v>4</v>
      </c>
      <c r="DQ113" s="1">
        <v>4</v>
      </c>
      <c r="DR113" s="1">
        <v>4</v>
      </c>
      <c r="DS113" s="1">
        <v>4</v>
      </c>
      <c r="DT113" s="1">
        <v>4</v>
      </c>
    </row>
    <row r="114" spans="1:124" x14ac:dyDescent="0.2">
      <c r="A114" t="s">
        <v>285</v>
      </c>
      <c r="B114" s="1" t="s">
        <v>1410</v>
      </c>
      <c r="C114" s="1" t="s">
        <v>288</v>
      </c>
      <c r="E114" s="4">
        <v>3</v>
      </c>
      <c r="F114" s="1">
        <v>4</v>
      </c>
      <c r="G114" s="4">
        <v>3</v>
      </c>
      <c r="H114" s="4">
        <v>3</v>
      </c>
      <c r="I114" s="1">
        <v>4</v>
      </c>
      <c r="J114" s="4">
        <v>3</v>
      </c>
      <c r="K114" s="4">
        <v>4</v>
      </c>
      <c r="L114" s="4">
        <v>3</v>
      </c>
      <c r="M114" s="4">
        <v>3</v>
      </c>
      <c r="N114" s="1">
        <v>4</v>
      </c>
      <c r="O114" s="4">
        <v>4</v>
      </c>
      <c r="P114" s="4">
        <v>4</v>
      </c>
      <c r="Q114" s="4">
        <v>4</v>
      </c>
      <c r="R114" s="1">
        <v>4</v>
      </c>
      <c r="S114" s="4">
        <v>3</v>
      </c>
      <c r="T114" s="4">
        <v>3</v>
      </c>
      <c r="U114" s="1">
        <v>4</v>
      </c>
      <c r="V114" s="57">
        <v>4</v>
      </c>
      <c r="W114" s="4">
        <v>4</v>
      </c>
      <c r="X114" s="4">
        <v>4</v>
      </c>
      <c r="Y114" s="1">
        <v>4</v>
      </c>
      <c r="Z114" s="4">
        <v>4</v>
      </c>
      <c r="AA114" s="4">
        <v>4</v>
      </c>
      <c r="AB114" s="4">
        <v>4</v>
      </c>
      <c r="AC114" s="57">
        <v>4</v>
      </c>
      <c r="AD114" s="4">
        <v>4</v>
      </c>
      <c r="AE114" s="4">
        <v>4</v>
      </c>
      <c r="AF114" s="4">
        <v>3</v>
      </c>
      <c r="AG114" s="4">
        <v>3</v>
      </c>
      <c r="AH114" s="4">
        <v>3</v>
      </c>
      <c r="AI114" s="1">
        <v>4</v>
      </c>
      <c r="AJ114" s="4">
        <v>1</v>
      </c>
      <c r="AK114" s="4">
        <v>3</v>
      </c>
      <c r="AL114" s="4">
        <v>4</v>
      </c>
      <c r="AM114" s="4">
        <v>4</v>
      </c>
      <c r="AN114" s="4">
        <v>4</v>
      </c>
      <c r="AO114" s="17">
        <v>4</v>
      </c>
      <c r="AP114" s="17">
        <v>4</v>
      </c>
      <c r="AQ114" s="17">
        <v>4</v>
      </c>
      <c r="AR114" s="17">
        <v>4</v>
      </c>
      <c r="AS114" s="17">
        <v>4</v>
      </c>
      <c r="AT114" s="17">
        <v>4</v>
      </c>
      <c r="AU114" s="17">
        <v>4</v>
      </c>
      <c r="AV114" s="57">
        <v>4</v>
      </c>
      <c r="AW114" s="17">
        <v>4</v>
      </c>
      <c r="AX114" s="17">
        <v>4</v>
      </c>
      <c r="AY114" s="4">
        <v>4</v>
      </c>
      <c r="AZ114" s="4">
        <v>4</v>
      </c>
      <c r="BA114" s="57">
        <v>4</v>
      </c>
      <c r="BB114" s="57">
        <v>4</v>
      </c>
      <c r="BC114" s="4">
        <v>3</v>
      </c>
      <c r="BD114" s="4">
        <v>3</v>
      </c>
      <c r="BE114" s="4">
        <v>4</v>
      </c>
      <c r="BF114" s="4">
        <v>3</v>
      </c>
      <c r="BG114" s="4">
        <v>3</v>
      </c>
      <c r="BH114" s="4">
        <v>4</v>
      </c>
      <c r="BI114" s="4">
        <v>3</v>
      </c>
      <c r="BJ114" s="4">
        <v>3</v>
      </c>
      <c r="BK114" s="4">
        <v>4</v>
      </c>
      <c r="BL114" s="4">
        <v>4</v>
      </c>
      <c r="BM114" s="4">
        <v>4</v>
      </c>
      <c r="BN114" s="4">
        <v>3</v>
      </c>
      <c r="BO114" s="4">
        <v>3</v>
      </c>
      <c r="BP114" s="4">
        <v>3</v>
      </c>
      <c r="BQ114" s="4">
        <v>4</v>
      </c>
      <c r="BR114" s="4">
        <v>4</v>
      </c>
      <c r="BS114" s="4">
        <v>3</v>
      </c>
      <c r="BT114" s="4">
        <v>3</v>
      </c>
      <c r="BU114" s="4">
        <v>3</v>
      </c>
      <c r="BV114" s="4">
        <v>3</v>
      </c>
      <c r="BW114" s="4">
        <v>3</v>
      </c>
      <c r="BX114" s="4">
        <v>3</v>
      </c>
      <c r="BY114" s="4">
        <v>4</v>
      </c>
      <c r="BZ114" s="4">
        <v>4</v>
      </c>
      <c r="CA114" s="1">
        <v>4</v>
      </c>
      <c r="CB114" s="17">
        <v>4</v>
      </c>
      <c r="CC114" s="4">
        <v>4</v>
      </c>
      <c r="CD114" s="4">
        <v>4</v>
      </c>
      <c r="CE114" s="1">
        <v>4</v>
      </c>
      <c r="CF114" s="57">
        <v>4</v>
      </c>
      <c r="CG114" s="57">
        <v>4</v>
      </c>
      <c r="CH114" s="4">
        <v>4</v>
      </c>
      <c r="CI114" s="4">
        <v>4</v>
      </c>
      <c r="CJ114" s="4">
        <v>4</v>
      </c>
      <c r="CK114" s="17">
        <v>4</v>
      </c>
      <c r="CL114" s="17">
        <v>4</v>
      </c>
      <c r="CM114" s="17">
        <v>4</v>
      </c>
      <c r="CN114" s="57">
        <v>4</v>
      </c>
      <c r="CO114" s="17">
        <v>4</v>
      </c>
      <c r="CP114" s="17">
        <v>4</v>
      </c>
      <c r="CQ114" s="57">
        <v>4</v>
      </c>
      <c r="CR114" s="17">
        <v>4</v>
      </c>
      <c r="CS114" s="17">
        <v>4</v>
      </c>
      <c r="CT114" s="4">
        <v>1</v>
      </c>
      <c r="CU114" s="4">
        <v>4</v>
      </c>
      <c r="CV114" s="4">
        <v>4</v>
      </c>
      <c r="CW114" s="4">
        <v>4</v>
      </c>
      <c r="CX114" s="4">
        <v>4</v>
      </c>
      <c r="CY114" s="4">
        <v>4</v>
      </c>
      <c r="CZ114" s="4">
        <v>4</v>
      </c>
      <c r="DA114" s="17">
        <v>4</v>
      </c>
      <c r="DB114" s="1">
        <v>4</v>
      </c>
      <c r="DC114" s="1">
        <v>4</v>
      </c>
      <c r="DD114" s="1">
        <v>4</v>
      </c>
      <c r="DE114" s="17">
        <v>4</v>
      </c>
      <c r="DF114" s="57">
        <v>4</v>
      </c>
      <c r="DG114" s="4">
        <v>4</v>
      </c>
      <c r="DH114" s="1">
        <v>4</v>
      </c>
      <c r="DI114" s="4">
        <v>4</v>
      </c>
      <c r="DJ114" s="4">
        <v>4</v>
      </c>
      <c r="DK114" s="1">
        <v>4</v>
      </c>
      <c r="DL114" s="1">
        <v>4</v>
      </c>
      <c r="DM114" s="1">
        <v>4</v>
      </c>
      <c r="DN114" s="1">
        <v>4</v>
      </c>
      <c r="DO114" s="1">
        <v>4</v>
      </c>
      <c r="DP114" s="1">
        <v>4</v>
      </c>
      <c r="DQ114" s="1">
        <v>4</v>
      </c>
      <c r="DR114" s="1">
        <v>4</v>
      </c>
      <c r="DS114" s="1">
        <v>4</v>
      </c>
      <c r="DT114" s="1">
        <v>4</v>
      </c>
    </row>
    <row r="115" spans="1:124" x14ac:dyDescent="0.2">
      <c r="A115" t="s">
        <v>286</v>
      </c>
      <c r="B115" s="1" t="s">
        <v>1410</v>
      </c>
      <c r="C115" s="1" t="s">
        <v>288</v>
      </c>
      <c r="E115" s="4">
        <v>1</v>
      </c>
      <c r="F115" s="1">
        <v>4</v>
      </c>
      <c r="G115" s="4">
        <v>3</v>
      </c>
      <c r="H115" s="4">
        <v>3</v>
      </c>
      <c r="I115" s="1">
        <v>4</v>
      </c>
      <c r="J115" s="4">
        <v>1</v>
      </c>
      <c r="K115" s="4">
        <v>4</v>
      </c>
      <c r="L115" s="4">
        <v>3</v>
      </c>
      <c r="M115" s="4">
        <v>3</v>
      </c>
      <c r="N115" s="1">
        <v>4</v>
      </c>
      <c r="O115" s="4">
        <v>4</v>
      </c>
      <c r="P115" s="4">
        <v>4</v>
      </c>
      <c r="Q115" s="4">
        <v>4</v>
      </c>
      <c r="R115" s="1">
        <v>4</v>
      </c>
      <c r="S115" s="4">
        <v>3</v>
      </c>
      <c r="T115" s="4">
        <v>3</v>
      </c>
      <c r="U115" s="1">
        <v>4</v>
      </c>
      <c r="V115" s="57">
        <v>4</v>
      </c>
      <c r="W115" s="4">
        <v>4</v>
      </c>
      <c r="X115" s="4">
        <v>4</v>
      </c>
      <c r="Y115" s="1">
        <v>4</v>
      </c>
      <c r="Z115" s="4">
        <v>4</v>
      </c>
      <c r="AA115" s="4">
        <v>4</v>
      </c>
      <c r="AB115" s="4">
        <v>4</v>
      </c>
      <c r="AC115" s="57">
        <v>4</v>
      </c>
      <c r="AD115" s="4">
        <v>4</v>
      </c>
      <c r="AE115" s="4">
        <v>4</v>
      </c>
      <c r="AF115" s="4">
        <v>3</v>
      </c>
      <c r="AG115" s="4">
        <v>3</v>
      </c>
      <c r="AH115" s="4">
        <v>3</v>
      </c>
      <c r="AI115" s="1">
        <v>4</v>
      </c>
      <c r="AJ115" s="4">
        <v>1</v>
      </c>
      <c r="AK115" s="4">
        <v>3</v>
      </c>
      <c r="AL115" s="4">
        <v>4</v>
      </c>
      <c r="AM115" s="4">
        <v>4</v>
      </c>
      <c r="AN115" s="4">
        <v>4</v>
      </c>
      <c r="AO115" s="17">
        <v>4</v>
      </c>
      <c r="AP115" s="17">
        <v>4</v>
      </c>
      <c r="AQ115" s="17">
        <v>4</v>
      </c>
      <c r="AR115" s="17">
        <v>4</v>
      </c>
      <c r="AS115" s="17">
        <v>4</v>
      </c>
      <c r="AT115" s="17">
        <v>4</v>
      </c>
      <c r="AU115" s="17">
        <v>4</v>
      </c>
      <c r="AV115" s="57">
        <v>4</v>
      </c>
      <c r="AW115" s="17">
        <v>4</v>
      </c>
      <c r="AX115" s="17">
        <v>4</v>
      </c>
      <c r="AY115" s="4">
        <v>4</v>
      </c>
      <c r="AZ115" s="4">
        <v>4</v>
      </c>
      <c r="BA115" s="57">
        <v>4</v>
      </c>
      <c r="BB115" s="57">
        <v>4</v>
      </c>
      <c r="BC115" s="4">
        <v>3</v>
      </c>
      <c r="BD115" s="4">
        <v>3</v>
      </c>
      <c r="BE115" s="4">
        <v>4</v>
      </c>
      <c r="BF115" s="4">
        <v>3</v>
      </c>
      <c r="BG115" s="4">
        <v>3</v>
      </c>
      <c r="BH115" s="4">
        <v>4</v>
      </c>
      <c r="BI115" s="4">
        <v>3</v>
      </c>
      <c r="BJ115" s="4">
        <v>3</v>
      </c>
      <c r="BK115" s="4">
        <v>4</v>
      </c>
      <c r="BL115" s="4">
        <v>4</v>
      </c>
      <c r="BM115" s="4">
        <v>4</v>
      </c>
      <c r="BN115" s="4">
        <v>3</v>
      </c>
      <c r="BO115" s="4">
        <v>3</v>
      </c>
      <c r="BP115" s="4">
        <v>3</v>
      </c>
      <c r="BQ115" s="4">
        <v>4</v>
      </c>
      <c r="BR115" s="4">
        <v>4</v>
      </c>
      <c r="BS115" s="4">
        <v>3</v>
      </c>
      <c r="BT115" s="4">
        <v>3</v>
      </c>
      <c r="BU115" s="4">
        <v>3</v>
      </c>
      <c r="BV115" s="4">
        <v>1</v>
      </c>
      <c r="BW115" s="4">
        <v>3</v>
      </c>
      <c r="BX115" s="4">
        <v>3</v>
      </c>
      <c r="BY115" s="4">
        <v>4</v>
      </c>
      <c r="BZ115" s="4">
        <v>4</v>
      </c>
      <c r="CA115" s="1">
        <v>4</v>
      </c>
      <c r="CB115" s="17">
        <v>4</v>
      </c>
      <c r="CC115" s="4">
        <v>4</v>
      </c>
      <c r="CD115" s="4">
        <v>4</v>
      </c>
      <c r="CE115" s="1">
        <v>4</v>
      </c>
      <c r="CF115" s="57">
        <v>4</v>
      </c>
      <c r="CG115" s="57">
        <v>4</v>
      </c>
      <c r="CH115" s="4">
        <v>4</v>
      </c>
      <c r="CI115" s="4">
        <v>4</v>
      </c>
      <c r="CJ115" s="4">
        <v>4</v>
      </c>
      <c r="CK115" s="17">
        <v>4</v>
      </c>
      <c r="CL115" s="17">
        <v>4</v>
      </c>
      <c r="CM115" s="17">
        <v>4</v>
      </c>
      <c r="CN115" s="57">
        <v>4</v>
      </c>
      <c r="CO115" s="17">
        <v>4</v>
      </c>
      <c r="CP115" s="17">
        <v>4</v>
      </c>
      <c r="CQ115" s="57">
        <v>4</v>
      </c>
      <c r="CR115" s="17">
        <v>4</v>
      </c>
      <c r="CS115" s="17">
        <v>4</v>
      </c>
      <c r="CT115" s="4">
        <v>1</v>
      </c>
      <c r="CU115" s="4">
        <v>4</v>
      </c>
      <c r="CV115" s="4">
        <v>4</v>
      </c>
      <c r="CW115" s="4">
        <v>4</v>
      </c>
      <c r="CX115" s="4">
        <v>4</v>
      </c>
      <c r="CY115" s="4">
        <v>4</v>
      </c>
      <c r="CZ115" s="4">
        <v>4</v>
      </c>
      <c r="DA115" s="17">
        <v>4</v>
      </c>
      <c r="DB115" s="1">
        <v>4</v>
      </c>
      <c r="DC115" s="1">
        <v>4</v>
      </c>
      <c r="DD115" s="1">
        <v>4</v>
      </c>
      <c r="DE115" s="17">
        <v>4</v>
      </c>
      <c r="DF115" s="57">
        <v>4</v>
      </c>
      <c r="DG115" s="4">
        <v>4</v>
      </c>
      <c r="DH115" s="1">
        <v>4</v>
      </c>
      <c r="DI115" s="4">
        <v>4</v>
      </c>
      <c r="DJ115" s="4">
        <v>4</v>
      </c>
      <c r="DK115" s="1">
        <v>4</v>
      </c>
      <c r="DL115" s="1">
        <v>4</v>
      </c>
      <c r="DM115" s="1">
        <v>4</v>
      </c>
      <c r="DN115" s="1">
        <v>4</v>
      </c>
      <c r="DO115" s="1">
        <v>4</v>
      </c>
      <c r="DP115" s="1">
        <v>4</v>
      </c>
      <c r="DQ115" s="1">
        <v>4</v>
      </c>
      <c r="DR115" s="1">
        <v>4</v>
      </c>
      <c r="DS115" s="1">
        <v>4</v>
      </c>
      <c r="DT115" s="1">
        <v>4</v>
      </c>
    </row>
    <row r="116" spans="1:124" x14ac:dyDescent="0.2">
      <c r="A116" t="s">
        <v>296</v>
      </c>
      <c r="B116" s="1" t="s">
        <v>1410</v>
      </c>
      <c r="C116" s="1" t="s">
        <v>298</v>
      </c>
      <c r="E116" s="4">
        <v>1</v>
      </c>
      <c r="F116" s="1">
        <v>4</v>
      </c>
      <c r="G116" s="1">
        <v>1</v>
      </c>
      <c r="H116" s="1">
        <v>1</v>
      </c>
      <c r="I116" s="1">
        <v>4</v>
      </c>
      <c r="J116" s="4">
        <v>1</v>
      </c>
      <c r="K116" s="4">
        <v>4</v>
      </c>
      <c r="L116" s="4">
        <v>4</v>
      </c>
      <c r="M116" s="4">
        <v>4</v>
      </c>
      <c r="N116" s="1">
        <v>4</v>
      </c>
      <c r="O116" s="4">
        <v>4</v>
      </c>
      <c r="P116" s="4">
        <v>4</v>
      </c>
      <c r="Q116" s="4">
        <v>4</v>
      </c>
      <c r="R116" s="1">
        <v>4</v>
      </c>
      <c r="S116" s="1">
        <v>1</v>
      </c>
      <c r="T116" s="1">
        <v>1</v>
      </c>
      <c r="U116" s="1">
        <v>4</v>
      </c>
      <c r="V116" s="57">
        <v>4</v>
      </c>
      <c r="W116" s="4">
        <v>4</v>
      </c>
      <c r="X116" s="4">
        <v>4</v>
      </c>
      <c r="Y116" s="1">
        <v>4</v>
      </c>
      <c r="Z116" s="4">
        <v>4</v>
      </c>
      <c r="AA116" s="4">
        <v>4</v>
      </c>
      <c r="AB116" s="4">
        <v>4</v>
      </c>
      <c r="AC116" s="57">
        <v>4</v>
      </c>
      <c r="AD116" s="4">
        <v>4</v>
      </c>
      <c r="AE116" s="4">
        <v>4</v>
      </c>
      <c r="AF116" s="4">
        <v>4</v>
      </c>
      <c r="AG116" s="4">
        <v>4</v>
      </c>
      <c r="AH116" s="4">
        <v>4</v>
      </c>
      <c r="AI116" s="1">
        <v>4</v>
      </c>
      <c r="AJ116" s="4">
        <v>1</v>
      </c>
      <c r="AK116" s="1">
        <v>1</v>
      </c>
      <c r="AL116" s="4">
        <v>4</v>
      </c>
      <c r="AM116" s="4">
        <v>4</v>
      </c>
      <c r="AN116" s="4">
        <v>4</v>
      </c>
      <c r="AO116" s="17">
        <v>4</v>
      </c>
      <c r="AP116" s="17">
        <v>4</v>
      </c>
      <c r="AQ116" s="17">
        <v>4</v>
      </c>
      <c r="AR116" s="17">
        <v>4</v>
      </c>
      <c r="AS116" s="17">
        <v>4</v>
      </c>
      <c r="AT116" s="17">
        <v>4</v>
      </c>
      <c r="AU116" s="17">
        <v>4</v>
      </c>
      <c r="AV116" s="57">
        <v>4</v>
      </c>
      <c r="AW116" s="17">
        <v>4</v>
      </c>
      <c r="AX116" s="17">
        <v>4</v>
      </c>
      <c r="AY116" s="4">
        <v>4</v>
      </c>
      <c r="AZ116" s="4">
        <v>4</v>
      </c>
      <c r="BA116" s="57">
        <v>4</v>
      </c>
      <c r="BB116" s="57">
        <v>4</v>
      </c>
      <c r="BC116" s="1">
        <v>1</v>
      </c>
      <c r="BD116" s="1">
        <v>1</v>
      </c>
      <c r="BE116" s="4">
        <v>4</v>
      </c>
      <c r="BF116" s="4">
        <v>4</v>
      </c>
      <c r="BG116" s="4">
        <v>4</v>
      </c>
      <c r="BH116" s="4">
        <v>4</v>
      </c>
      <c r="BI116" s="4">
        <v>4</v>
      </c>
      <c r="BJ116" s="4">
        <v>4</v>
      </c>
      <c r="BK116" s="4">
        <v>4</v>
      </c>
      <c r="BL116" s="4">
        <v>4</v>
      </c>
      <c r="BM116" s="4">
        <v>4</v>
      </c>
      <c r="BN116" s="4">
        <v>4</v>
      </c>
      <c r="BO116" s="4">
        <v>4</v>
      </c>
      <c r="BP116" s="4">
        <v>4</v>
      </c>
      <c r="BQ116" s="4">
        <v>4</v>
      </c>
      <c r="BR116" s="4">
        <v>4</v>
      </c>
      <c r="BS116" s="4">
        <v>4</v>
      </c>
      <c r="BT116" s="4">
        <v>4</v>
      </c>
      <c r="BU116" s="4">
        <v>4</v>
      </c>
      <c r="BV116" s="4">
        <v>4</v>
      </c>
      <c r="BW116" s="4">
        <v>1</v>
      </c>
      <c r="BX116" s="4">
        <v>1</v>
      </c>
      <c r="BY116" s="4">
        <v>4</v>
      </c>
      <c r="BZ116" s="4">
        <v>4</v>
      </c>
      <c r="CA116" s="1">
        <v>4</v>
      </c>
      <c r="CB116" s="17">
        <v>4</v>
      </c>
      <c r="CC116" s="4">
        <v>4</v>
      </c>
      <c r="CD116" s="4">
        <v>4</v>
      </c>
      <c r="CE116" s="1">
        <v>4</v>
      </c>
      <c r="CF116" s="57">
        <v>4</v>
      </c>
      <c r="CG116" s="57">
        <v>4</v>
      </c>
      <c r="CH116" s="4">
        <v>4</v>
      </c>
      <c r="CI116" s="4">
        <v>4</v>
      </c>
      <c r="CJ116" s="4">
        <v>4</v>
      </c>
      <c r="CK116" s="17">
        <v>4</v>
      </c>
      <c r="CL116" s="17">
        <v>4</v>
      </c>
      <c r="CM116" s="17">
        <v>4</v>
      </c>
      <c r="CN116" s="57">
        <v>4</v>
      </c>
      <c r="CO116" s="17">
        <v>4</v>
      </c>
      <c r="CP116" s="17">
        <v>4</v>
      </c>
      <c r="CQ116" s="57">
        <v>4</v>
      </c>
      <c r="CR116" s="17">
        <v>4</v>
      </c>
      <c r="CS116" s="17">
        <v>4</v>
      </c>
      <c r="CT116" s="4">
        <v>2</v>
      </c>
      <c r="CU116" s="4">
        <v>4</v>
      </c>
      <c r="CV116" s="4">
        <v>4</v>
      </c>
      <c r="CW116" s="4">
        <v>4</v>
      </c>
      <c r="CX116" s="4">
        <v>4</v>
      </c>
      <c r="CY116" s="4">
        <v>4</v>
      </c>
      <c r="CZ116" s="4">
        <v>4</v>
      </c>
      <c r="DA116" s="17">
        <v>4</v>
      </c>
      <c r="DB116" s="1">
        <v>4</v>
      </c>
      <c r="DC116" s="1">
        <v>4</v>
      </c>
      <c r="DD116" s="1">
        <v>4</v>
      </c>
      <c r="DE116" s="17">
        <v>4</v>
      </c>
      <c r="DF116" s="57">
        <v>4</v>
      </c>
      <c r="DG116" s="4">
        <v>4</v>
      </c>
      <c r="DH116" s="1">
        <v>4</v>
      </c>
      <c r="DI116" s="4">
        <v>4</v>
      </c>
      <c r="DJ116" s="4">
        <v>4</v>
      </c>
      <c r="DK116" s="1">
        <v>4</v>
      </c>
      <c r="DL116" s="1">
        <v>4</v>
      </c>
      <c r="DM116" s="1">
        <v>4</v>
      </c>
      <c r="DN116" s="1">
        <v>4</v>
      </c>
      <c r="DO116" s="1">
        <v>4</v>
      </c>
      <c r="DP116" s="1">
        <v>4</v>
      </c>
      <c r="DQ116" s="1">
        <v>4</v>
      </c>
      <c r="DR116" s="1">
        <v>4</v>
      </c>
      <c r="DS116" s="1">
        <v>4</v>
      </c>
      <c r="DT116" s="1">
        <v>4</v>
      </c>
    </row>
    <row r="117" spans="1:124" x14ac:dyDescent="0.2">
      <c r="A117" t="s">
        <v>297</v>
      </c>
      <c r="B117" s="1" t="s">
        <v>1410</v>
      </c>
      <c r="C117" s="1" t="s">
        <v>298</v>
      </c>
      <c r="E117" s="4">
        <v>1</v>
      </c>
      <c r="F117" s="1">
        <v>4</v>
      </c>
      <c r="G117" s="1">
        <v>1</v>
      </c>
      <c r="H117" s="1">
        <v>1</v>
      </c>
      <c r="I117" s="1">
        <v>4</v>
      </c>
      <c r="J117" s="4">
        <v>1</v>
      </c>
      <c r="K117" s="4">
        <v>4</v>
      </c>
      <c r="L117" s="4">
        <v>4</v>
      </c>
      <c r="M117" s="4">
        <v>4</v>
      </c>
      <c r="N117" s="1">
        <v>4</v>
      </c>
      <c r="O117" s="4">
        <v>4</v>
      </c>
      <c r="P117" s="4">
        <v>4</v>
      </c>
      <c r="Q117" s="4">
        <v>4</v>
      </c>
      <c r="R117" s="1">
        <v>4</v>
      </c>
      <c r="S117" s="1">
        <v>1</v>
      </c>
      <c r="T117" s="1">
        <v>1</v>
      </c>
      <c r="U117" s="1">
        <v>4</v>
      </c>
      <c r="V117" s="57">
        <v>4</v>
      </c>
      <c r="W117" s="4">
        <v>4</v>
      </c>
      <c r="X117" s="4">
        <v>4</v>
      </c>
      <c r="Y117" s="1">
        <v>4</v>
      </c>
      <c r="Z117" s="4">
        <v>4</v>
      </c>
      <c r="AA117" s="4">
        <v>4</v>
      </c>
      <c r="AB117" s="4">
        <v>4</v>
      </c>
      <c r="AC117" s="57">
        <v>4</v>
      </c>
      <c r="AD117" s="4">
        <v>4</v>
      </c>
      <c r="AE117" s="4">
        <v>4</v>
      </c>
      <c r="AF117" s="4">
        <v>4</v>
      </c>
      <c r="AG117" s="4">
        <v>4</v>
      </c>
      <c r="AH117" s="4">
        <v>4</v>
      </c>
      <c r="AI117" s="1">
        <v>4</v>
      </c>
      <c r="AJ117" s="4">
        <v>4</v>
      </c>
      <c r="AK117" s="4">
        <v>4</v>
      </c>
      <c r="AL117" s="4">
        <v>4</v>
      </c>
      <c r="AM117" s="4">
        <v>4</v>
      </c>
      <c r="AN117" s="4">
        <v>4</v>
      </c>
      <c r="AO117" s="17">
        <v>4</v>
      </c>
      <c r="AP117" s="17">
        <v>4</v>
      </c>
      <c r="AQ117" s="17">
        <v>4</v>
      </c>
      <c r="AR117" s="17">
        <v>4</v>
      </c>
      <c r="AS117" s="17">
        <v>4</v>
      </c>
      <c r="AT117" s="17">
        <v>4</v>
      </c>
      <c r="AU117" s="17">
        <v>4</v>
      </c>
      <c r="AV117" s="57">
        <v>4</v>
      </c>
      <c r="AW117" s="17">
        <v>4</v>
      </c>
      <c r="AX117" s="17">
        <v>4</v>
      </c>
      <c r="AY117" s="4">
        <v>4</v>
      </c>
      <c r="AZ117" s="4">
        <v>4</v>
      </c>
      <c r="BA117" s="57">
        <v>4</v>
      </c>
      <c r="BB117" s="57">
        <v>4</v>
      </c>
      <c r="BC117" s="1">
        <v>1</v>
      </c>
      <c r="BD117" s="1">
        <v>1</v>
      </c>
      <c r="BE117" s="4">
        <v>4</v>
      </c>
      <c r="BF117" s="4">
        <v>4</v>
      </c>
      <c r="BG117" s="4">
        <v>4</v>
      </c>
      <c r="BH117" s="4">
        <v>4</v>
      </c>
      <c r="BI117" s="4">
        <v>4</v>
      </c>
      <c r="BJ117" s="4">
        <v>4</v>
      </c>
      <c r="BK117" s="4">
        <v>4</v>
      </c>
      <c r="BL117" s="4">
        <v>4</v>
      </c>
      <c r="BM117" s="4">
        <v>4</v>
      </c>
      <c r="BN117" s="4">
        <v>4</v>
      </c>
      <c r="BO117" s="4">
        <v>4</v>
      </c>
      <c r="BP117" s="4">
        <v>4</v>
      </c>
      <c r="BQ117" s="4">
        <v>4</v>
      </c>
      <c r="BR117" s="4">
        <v>4</v>
      </c>
      <c r="BS117" s="4">
        <v>4</v>
      </c>
      <c r="BT117" s="4">
        <v>4</v>
      </c>
      <c r="BU117" s="4">
        <v>4</v>
      </c>
      <c r="BV117" s="4">
        <v>4</v>
      </c>
      <c r="BW117" s="4">
        <v>1</v>
      </c>
      <c r="BX117" s="4">
        <v>1</v>
      </c>
      <c r="BY117" s="4">
        <v>4</v>
      </c>
      <c r="BZ117" s="4">
        <v>4</v>
      </c>
      <c r="CA117" s="1">
        <v>4</v>
      </c>
      <c r="CB117" s="17">
        <v>4</v>
      </c>
      <c r="CC117" s="4">
        <v>4</v>
      </c>
      <c r="CD117" s="4">
        <v>4</v>
      </c>
      <c r="CE117" s="1">
        <v>4</v>
      </c>
      <c r="CF117" s="57">
        <v>4</v>
      </c>
      <c r="CG117" s="57">
        <v>4</v>
      </c>
      <c r="CH117" s="4">
        <v>4</v>
      </c>
      <c r="CI117" s="4">
        <v>4</v>
      </c>
      <c r="CJ117" s="4">
        <v>4</v>
      </c>
      <c r="CK117" s="17">
        <v>4</v>
      </c>
      <c r="CL117" s="17">
        <v>4</v>
      </c>
      <c r="CM117" s="17">
        <v>4</v>
      </c>
      <c r="CN117" s="57">
        <v>4</v>
      </c>
      <c r="CO117" s="17">
        <v>4</v>
      </c>
      <c r="CP117" s="17">
        <v>4</v>
      </c>
      <c r="CQ117" s="57">
        <v>4</v>
      </c>
      <c r="CR117" s="17">
        <v>4</v>
      </c>
      <c r="CS117" s="17">
        <v>4</v>
      </c>
      <c r="CT117" s="4">
        <v>2</v>
      </c>
      <c r="CU117" s="4">
        <v>4</v>
      </c>
      <c r="CV117" s="4">
        <v>4</v>
      </c>
      <c r="CW117" s="4">
        <v>4</v>
      </c>
      <c r="CX117" s="4">
        <v>4</v>
      </c>
      <c r="CY117" s="4">
        <v>4</v>
      </c>
      <c r="CZ117" s="4">
        <v>4</v>
      </c>
      <c r="DA117" s="17">
        <v>4</v>
      </c>
      <c r="DB117" s="1">
        <v>4</v>
      </c>
      <c r="DC117" s="1">
        <v>4</v>
      </c>
      <c r="DD117" s="1">
        <v>4</v>
      </c>
      <c r="DE117" s="17">
        <v>4</v>
      </c>
      <c r="DF117" s="57">
        <v>4</v>
      </c>
      <c r="DG117" s="4">
        <v>4</v>
      </c>
      <c r="DH117" s="1">
        <v>4</v>
      </c>
      <c r="DI117" s="4">
        <v>4</v>
      </c>
      <c r="DJ117" s="4">
        <v>4</v>
      </c>
      <c r="DK117" s="1">
        <v>4</v>
      </c>
      <c r="DL117" s="1">
        <v>4</v>
      </c>
      <c r="DM117" s="1">
        <v>4</v>
      </c>
      <c r="DN117" s="1">
        <v>4</v>
      </c>
      <c r="DO117" s="1">
        <v>4</v>
      </c>
      <c r="DP117" s="1">
        <v>4</v>
      </c>
      <c r="DQ117" s="1">
        <v>4</v>
      </c>
      <c r="DR117" s="1">
        <v>4</v>
      </c>
      <c r="DS117" s="1">
        <v>4</v>
      </c>
      <c r="DT117" s="1">
        <v>4</v>
      </c>
    </row>
    <row r="118" spans="1:124" x14ac:dyDescent="0.2">
      <c r="A118" t="s">
        <v>609</v>
      </c>
      <c r="B118" s="1" t="s">
        <v>1410</v>
      </c>
      <c r="C118" s="1" t="s">
        <v>610</v>
      </c>
      <c r="E118" s="4">
        <v>1</v>
      </c>
      <c r="F118" s="1">
        <v>4</v>
      </c>
      <c r="G118" s="1">
        <v>1</v>
      </c>
      <c r="H118" s="1">
        <v>1</v>
      </c>
      <c r="I118" s="1">
        <v>4</v>
      </c>
      <c r="J118" s="4">
        <v>1</v>
      </c>
      <c r="K118" s="4">
        <v>4</v>
      </c>
      <c r="L118" s="4">
        <v>3</v>
      </c>
      <c r="M118" s="4">
        <v>3</v>
      </c>
      <c r="N118" s="1">
        <v>4</v>
      </c>
      <c r="O118" s="4">
        <v>4</v>
      </c>
      <c r="P118" s="4">
        <v>4</v>
      </c>
      <c r="Q118" s="4">
        <v>4</v>
      </c>
      <c r="R118" s="1">
        <v>4</v>
      </c>
      <c r="S118" s="4">
        <v>3</v>
      </c>
      <c r="T118" s="4">
        <v>3</v>
      </c>
      <c r="U118" s="1">
        <v>4</v>
      </c>
      <c r="V118" s="57">
        <v>4</v>
      </c>
      <c r="W118" s="4">
        <v>3</v>
      </c>
      <c r="X118" s="4">
        <v>3</v>
      </c>
      <c r="Y118" s="1">
        <v>4</v>
      </c>
      <c r="Z118" s="4">
        <v>4</v>
      </c>
      <c r="AA118" s="4">
        <v>4</v>
      </c>
      <c r="AB118" s="4">
        <v>4</v>
      </c>
      <c r="AC118" s="57">
        <v>4</v>
      </c>
      <c r="AD118" s="4">
        <v>4</v>
      </c>
      <c r="AE118" s="4">
        <v>4</v>
      </c>
      <c r="AF118" s="4">
        <v>1</v>
      </c>
      <c r="AG118" s="4">
        <v>1</v>
      </c>
      <c r="AH118" s="4">
        <v>1</v>
      </c>
      <c r="AI118" s="1">
        <v>4</v>
      </c>
      <c r="AJ118" s="4">
        <v>1</v>
      </c>
      <c r="AK118" s="4">
        <v>1</v>
      </c>
      <c r="AL118" s="4">
        <v>4</v>
      </c>
      <c r="AM118" s="4">
        <v>4</v>
      </c>
      <c r="AN118" s="4">
        <v>4</v>
      </c>
      <c r="AO118" s="17">
        <v>4</v>
      </c>
      <c r="AP118" s="17">
        <v>4</v>
      </c>
      <c r="AQ118" s="17">
        <v>4</v>
      </c>
      <c r="AR118" s="17">
        <v>4</v>
      </c>
      <c r="AS118" s="17">
        <v>4</v>
      </c>
      <c r="AT118" s="17">
        <v>4</v>
      </c>
      <c r="AU118" s="17">
        <v>4</v>
      </c>
      <c r="AV118" s="57">
        <v>4</v>
      </c>
      <c r="AW118" s="17">
        <v>4</v>
      </c>
      <c r="AX118" s="17">
        <v>4</v>
      </c>
      <c r="AY118" s="4">
        <v>4</v>
      </c>
      <c r="AZ118" s="4">
        <v>4</v>
      </c>
      <c r="BA118" s="57">
        <v>4</v>
      </c>
      <c r="BB118" s="57">
        <v>4</v>
      </c>
      <c r="BC118" s="1">
        <v>3</v>
      </c>
      <c r="BD118" s="1">
        <v>3</v>
      </c>
      <c r="BE118" s="4">
        <v>4</v>
      </c>
      <c r="BF118" s="4">
        <v>4</v>
      </c>
      <c r="BG118" s="4">
        <v>4</v>
      </c>
      <c r="BH118" s="4">
        <v>3</v>
      </c>
      <c r="BI118" s="4">
        <v>4</v>
      </c>
      <c r="BJ118" s="4">
        <v>4</v>
      </c>
      <c r="BK118" s="4">
        <v>4</v>
      </c>
      <c r="BL118" s="4">
        <v>4</v>
      </c>
      <c r="BM118" s="4">
        <v>4</v>
      </c>
      <c r="BN118" s="4">
        <v>4</v>
      </c>
      <c r="BO118" s="4">
        <v>4</v>
      </c>
      <c r="BP118" s="4">
        <v>4</v>
      </c>
      <c r="BQ118" s="4">
        <v>4</v>
      </c>
      <c r="BR118" s="4">
        <v>4</v>
      </c>
      <c r="BS118" s="4">
        <v>4</v>
      </c>
      <c r="BT118" s="4">
        <v>4</v>
      </c>
      <c r="BU118" s="4">
        <v>4</v>
      </c>
      <c r="BV118" s="4">
        <v>4</v>
      </c>
      <c r="BW118" s="4">
        <v>3</v>
      </c>
      <c r="BX118" s="4">
        <v>3</v>
      </c>
      <c r="BY118" s="4">
        <v>4</v>
      </c>
      <c r="BZ118" s="4">
        <v>4</v>
      </c>
      <c r="CA118" s="1">
        <v>4</v>
      </c>
      <c r="CB118" s="17">
        <v>4</v>
      </c>
      <c r="CC118" s="4">
        <v>4</v>
      </c>
      <c r="CD118" s="4">
        <v>4</v>
      </c>
      <c r="CE118" s="1">
        <v>4</v>
      </c>
      <c r="CF118" s="57">
        <v>4</v>
      </c>
      <c r="CG118" s="57">
        <v>4</v>
      </c>
      <c r="CH118" s="4">
        <v>4</v>
      </c>
      <c r="CI118" s="4">
        <v>4</v>
      </c>
      <c r="CJ118" s="4">
        <v>4</v>
      </c>
      <c r="CK118" s="17">
        <v>4</v>
      </c>
      <c r="CL118" s="17">
        <v>4</v>
      </c>
      <c r="CM118" s="17">
        <v>4</v>
      </c>
      <c r="CN118" s="57">
        <v>4</v>
      </c>
      <c r="CO118" s="17">
        <v>4</v>
      </c>
      <c r="CP118" s="17">
        <v>4</v>
      </c>
      <c r="CQ118" s="57">
        <v>4</v>
      </c>
      <c r="CR118" s="17">
        <v>4</v>
      </c>
      <c r="CS118" s="17">
        <v>4</v>
      </c>
      <c r="CT118" s="4">
        <v>1</v>
      </c>
      <c r="CU118" s="4">
        <v>4</v>
      </c>
      <c r="CV118" s="4">
        <v>4</v>
      </c>
      <c r="CW118" s="4">
        <v>4</v>
      </c>
      <c r="CX118" s="4">
        <v>4</v>
      </c>
      <c r="CY118" s="4">
        <v>4</v>
      </c>
      <c r="CZ118" s="4">
        <v>4</v>
      </c>
      <c r="DA118" s="17">
        <v>4</v>
      </c>
      <c r="DB118" s="1">
        <v>4</v>
      </c>
      <c r="DC118" s="1">
        <v>4</v>
      </c>
      <c r="DD118" s="1">
        <v>4</v>
      </c>
      <c r="DE118" s="17">
        <v>4</v>
      </c>
      <c r="DF118" s="57">
        <v>4</v>
      </c>
      <c r="DG118" s="4">
        <v>4</v>
      </c>
      <c r="DH118" s="1">
        <v>4</v>
      </c>
      <c r="DI118" s="4">
        <v>4</v>
      </c>
      <c r="DJ118" s="4">
        <v>4</v>
      </c>
      <c r="DK118" s="1">
        <v>4</v>
      </c>
      <c r="DL118" s="1">
        <v>4</v>
      </c>
      <c r="DM118" s="1">
        <v>4</v>
      </c>
      <c r="DN118" s="1">
        <v>4</v>
      </c>
      <c r="DO118" s="1">
        <v>4</v>
      </c>
      <c r="DP118" s="1">
        <v>4</v>
      </c>
      <c r="DQ118" s="1">
        <v>4</v>
      </c>
      <c r="DR118" s="1">
        <v>4</v>
      </c>
      <c r="DS118" s="1">
        <v>4</v>
      </c>
      <c r="DT118" s="1">
        <v>4</v>
      </c>
    </row>
    <row r="119" spans="1:124" x14ac:dyDescent="0.2">
      <c r="A119" t="s">
        <v>398</v>
      </c>
      <c r="B119" s="1" t="s">
        <v>1238</v>
      </c>
      <c r="C119" s="1" t="s">
        <v>1238</v>
      </c>
      <c r="E119" s="4">
        <v>1</v>
      </c>
      <c r="F119" s="1">
        <v>4</v>
      </c>
      <c r="G119" s="1">
        <v>1</v>
      </c>
      <c r="H119" s="1">
        <v>1</v>
      </c>
      <c r="I119" s="1">
        <v>4</v>
      </c>
      <c r="J119" s="4">
        <v>1</v>
      </c>
      <c r="K119" s="4">
        <v>4</v>
      </c>
      <c r="L119" s="4">
        <v>3</v>
      </c>
      <c r="M119" s="4">
        <v>3</v>
      </c>
      <c r="N119" s="1">
        <v>4</v>
      </c>
      <c r="O119" s="4">
        <v>4</v>
      </c>
      <c r="P119" s="4">
        <v>4</v>
      </c>
      <c r="Q119" s="4">
        <v>4</v>
      </c>
      <c r="R119" s="1">
        <v>4</v>
      </c>
      <c r="S119" s="4">
        <v>3</v>
      </c>
      <c r="T119" s="4">
        <v>3</v>
      </c>
      <c r="U119" s="1">
        <v>4</v>
      </c>
      <c r="V119" s="57">
        <v>4</v>
      </c>
      <c r="W119" s="4">
        <v>3</v>
      </c>
      <c r="X119" s="4">
        <v>3</v>
      </c>
      <c r="Y119" s="1">
        <v>4</v>
      </c>
      <c r="Z119" s="4">
        <v>4</v>
      </c>
      <c r="AA119" s="4">
        <v>4</v>
      </c>
      <c r="AB119" s="4">
        <v>4</v>
      </c>
      <c r="AC119" s="57">
        <v>4</v>
      </c>
      <c r="AD119" s="4">
        <v>4</v>
      </c>
      <c r="AE119" s="4">
        <v>4</v>
      </c>
      <c r="AF119" s="4">
        <v>1</v>
      </c>
      <c r="AG119" s="4">
        <v>1</v>
      </c>
      <c r="AH119" s="4">
        <v>1</v>
      </c>
      <c r="AI119" s="1">
        <v>4</v>
      </c>
      <c r="AJ119" s="4">
        <v>1</v>
      </c>
      <c r="AK119" s="4">
        <v>1</v>
      </c>
      <c r="AL119" s="4">
        <v>4</v>
      </c>
      <c r="AM119" s="4">
        <v>4</v>
      </c>
      <c r="AN119" s="4">
        <v>4</v>
      </c>
      <c r="AO119" s="17">
        <v>4</v>
      </c>
      <c r="AP119" s="17">
        <v>4</v>
      </c>
      <c r="AQ119" s="17">
        <v>4</v>
      </c>
      <c r="AR119" s="17">
        <v>4</v>
      </c>
      <c r="AS119" s="17">
        <v>4</v>
      </c>
      <c r="AT119" s="17">
        <v>4</v>
      </c>
      <c r="AU119" s="17">
        <v>4</v>
      </c>
      <c r="AV119" s="57">
        <v>4</v>
      </c>
      <c r="AW119" s="17">
        <v>4</v>
      </c>
      <c r="AX119" s="17">
        <v>4</v>
      </c>
      <c r="AY119" s="4">
        <v>4</v>
      </c>
      <c r="AZ119" s="4">
        <v>4</v>
      </c>
      <c r="BA119" s="57">
        <v>4</v>
      </c>
      <c r="BB119" s="57">
        <v>4</v>
      </c>
      <c r="BC119" s="1">
        <v>3</v>
      </c>
      <c r="BD119" s="1">
        <v>3</v>
      </c>
      <c r="BE119" s="4">
        <v>4</v>
      </c>
      <c r="BF119" s="4">
        <v>4</v>
      </c>
      <c r="BG119" s="4">
        <v>4</v>
      </c>
      <c r="BH119" s="4">
        <v>3</v>
      </c>
      <c r="BI119" s="4">
        <v>4</v>
      </c>
      <c r="BJ119" s="4">
        <v>4</v>
      </c>
      <c r="BK119" s="4">
        <v>4</v>
      </c>
      <c r="BL119" s="4">
        <v>4</v>
      </c>
      <c r="BM119" s="4">
        <v>4</v>
      </c>
      <c r="BN119" s="4">
        <v>4</v>
      </c>
      <c r="BO119" s="4">
        <v>4</v>
      </c>
      <c r="BP119" s="4">
        <v>4</v>
      </c>
      <c r="BQ119" s="4">
        <v>4</v>
      </c>
      <c r="BR119" s="4">
        <v>4</v>
      </c>
      <c r="BS119" s="4">
        <v>4</v>
      </c>
      <c r="BT119" s="4">
        <v>4</v>
      </c>
      <c r="BU119" s="4">
        <v>4</v>
      </c>
      <c r="BV119" s="4">
        <v>4</v>
      </c>
      <c r="BW119" s="4">
        <v>3</v>
      </c>
      <c r="BX119" s="4">
        <v>3</v>
      </c>
      <c r="BY119" s="4">
        <v>4</v>
      </c>
      <c r="BZ119" s="4">
        <v>4</v>
      </c>
      <c r="CA119" s="1">
        <v>4</v>
      </c>
      <c r="CB119" s="17">
        <v>4</v>
      </c>
      <c r="CC119" s="4">
        <v>4</v>
      </c>
      <c r="CD119" s="4">
        <v>4</v>
      </c>
      <c r="CE119" s="1">
        <v>4</v>
      </c>
      <c r="CF119" s="57">
        <v>4</v>
      </c>
      <c r="CG119" s="57">
        <v>4</v>
      </c>
      <c r="CH119" s="4">
        <v>4</v>
      </c>
      <c r="CI119" s="4">
        <v>4</v>
      </c>
      <c r="CJ119" s="4">
        <v>4</v>
      </c>
      <c r="CK119" s="17">
        <v>4</v>
      </c>
      <c r="CL119" s="17">
        <v>4</v>
      </c>
      <c r="CM119" s="17">
        <v>4</v>
      </c>
      <c r="CN119" s="57">
        <v>4</v>
      </c>
      <c r="CO119" s="17">
        <v>4</v>
      </c>
      <c r="CP119" s="17">
        <v>4</v>
      </c>
      <c r="CQ119" s="57">
        <v>4</v>
      </c>
      <c r="CR119" s="17">
        <v>4</v>
      </c>
      <c r="CS119" s="17">
        <v>4</v>
      </c>
      <c r="CT119" s="4">
        <v>1</v>
      </c>
      <c r="CU119" s="4">
        <v>4</v>
      </c>
      <c r="CV119" s="4">
        <v>4</v>
      </c>
      <c r="CW119" s="4">
        <v>4</v>
      </c>
      <c r="CX119" s="4">
        <v>4</v>
      </c>
      <c r="CY119" s="4">
        <v>4</v>
      </c>
      <c r="CZ119" s="4">
        <v>4</v>
      </c>
      <c r="DA119" s="17">
        <v>4</v>
      </c>
      <c r="DB119" s="1">
        <v>4</v>
      </c>
      <c r="DC119" s="1">
        <v>4</v>
      </c>
      <c r="DD119" s="1">
        <v>4</v>
      </c>
      <c r="DE119" s="17">
        <v>4</v>
      </c>
      <c r="DF119" s="57">
        <v>4</v>
      </c>
      <c r="DG119" s="4">
        <v>4</v>
      </c>
      <c r="DH119" s="1">
        <v>4</v>
      </c>
      <c r="DI119" s="4">
        <v>4</v>
      </c>
      <c r="DJ119" s="4">
        <v>4</v>
      </c>
      <c r="DK119" s="1">
        <v>4</v>
      </c>
      <c r="DL119" s="1">
        <v>4</v>
      </c>
      <c r="DM119" s="1">
        <v>4</v>
      </c>
      <c r="DN119" s="1">
        <v>4</v>
      </c>
      <c r="DO119" s="1">
        <v>4</v>
      </c>
      <c r="DP119" s="1">
        <v>4</v>
      </c>
      <c r="DQ119" s="1">
        <v>4</v>
      </c>
      <c r="DR119" s="1">
        <v>4</v>
      </c>
      <c r="DS119" s="1">
        <v>4</v>
      </c>
      <c r="DT119" s="1">
        <v>4</v>
      </c>
    </row>
    <row r="120" spans="1:124" x14ac:dyDescent="0.2">
      <c r="A120" t="s">
        <v>399</v>
      </c>
      <c r="B120" s="1" t="s">
        <v>1238</v>
      </c>
      <c r="C120" s="1" t="s">
        <v>1238</v>
      </c>
      <c r="E120" s="4">
        <v>1</v>
      </c>
      <c r="F120" s="1">
        <v>4</v>
      </c>
      <c r="G120" s="1">
        <v>1</v>
      </c>
      <c r="H120" s="1">
        <v>1</v>
      </c>
      <c r="I120" s="1">
        <v>4</v>
      </c>
      <c r="J120" s="4">
        <v>1</v>
      </c>
      <c r="K120" s="4">
        <v>4</v>
      </c>
      <c r="L120" s="4">
        <v>1</v>
      </c>
      <c r="M120" s="4">
        <v>1</v>
      </c>
      <c r="N120" s="1">
        <v>4</v>
      </c>
      <c r="O120" s="4">
        <v>4</v>
      </c>
      <c r="P120" s="4">
        <v>4</v>
      </c>
      <c r="Q120" s="4">
        <v>4</v>
      </c>
      <c r="R120" s="1">
        <v>4</v>
      </c>
      <c r="S120" s="1">
        <v>1</v>
      </c>
      <c r="T120" s="1">
        <v>1</v>
      </c>
      <c r="U120" s="1">
        <v>4</v>
      </c>
      <c r="V120" s="57">
        <v>4</v>
      </c>
      <c r="W120" s="4">
        <v>3</v>
      </c>
      <c r="X120" s="4">
        <v>1</v>
      </c>
      <c r="Y120" s="1">
        <v>4</v>
      </c>
      <c r="Z120" s="4">
        <v>4</v>
      </c>
      <c r="AA120" s="4">
        <v>4</v>
      </c>
      <c r="AB120" s="4">
        <v>4</v>
      </c>
      <c r="AC120" s="57">
        <v>4</v>
      </c>
      <c r="AD120" s="4">
        <v>4</v>
      </c>
      <c r="AE120" s="4">
        <v>4</v>
      </c>
      <c r="AF120" s="4">
        <v>3</v>
      </c>
      <c r="AG120" s="4">
        <v>3</v>
      </c>
      <c r="AH120" s="4">
        <v>3</v>
      </c>
      <c r="AI120" s="1">
        <v>4</v>
      </c>
      <c r="AJ120" s="4">
        <v>3</v>
      </c>
      <c r="AK120" s="4">
        <v>1</v>
      </c>
      <c r="AL120" s="4">
        <v>4</v>
      </c>
      <c r="AM120" s="4">
        <v>4</v>
      </c>
      <c r="AN120" s="4">
        <v>4</v>
      </c>
      <c r="AO120" s="17">
        <v>4</v>
      </c>
      <c r="AP120" s="17">
        <v>4</v>
      </c>
      <c r="AQ120" s="17">
        <v>4</v>
      </c>
      <c r="AR120" s="17">
        <v>4</v>
      </c>
      <c r="AS120" s="17">
        <v>4</v>
      </c>
      <c r="AT120" s="17">
        <v>4</v>
      </c>
      <c r="AU120" s="17">
        <v>4</v>
      </c>
      <c r="AV120" s="57">
        <v>4</v>
      </c>
      <c r="AW120" s="17">
        <v>4</v>
      </c>
      <c r="AX120" s="17">
        <v>4</v>
      </c>
      <c r="AY120" s="4">
        <v>4</v>
      </c>
      <c r="AZ120" s="4">
        <v>4</v>
      </c>
      <c r="BA120" s="57">
        <v>4</v>
      </c>
      <c r="BB120" s="57">
        <v>4</v>
      </c>
      <c r="BC120" s="1">
        <v>3</v>
      </c>
      <c r="BD120" s="1">
        <v>1</v>
      </c>
      <c r="BE120" s="4">
        <v>4</v>
      </c>
      <c r="BF120" s="4">
        <v>4</v>
      </c>
      <c r="BG120" s="4">
        <v>4</v>
      </c>
      <c r="BH120" s="4">
        <v>3</v>
      </c>
      <c r="BI120" s="4">
        <v>4</v>
      </c>
      <c r="BJ120" s="4">
        <v>4</v>
      </c>
      <c r="BK120" s="4">
        <v>4</v>
      </c>
      <c r="BL120" s="4">
        <v>4</v>
      </c>
      <c r="BM120" s="4">
        <v>4</v>
      </c>
      <c r="BN120" s="4">
        <v>4</v>
      </c>
      <c r="BO120" s="4">
        <v>4</v>
      </c>
      <c r="BP120" s="4">
        <v>4</v>
      </c>
      <c r="BQ120" s="4">
        <v>4</v>
      </c>
      <c r="BR120" s="4">
        <v>4</v>
      </c>
      <c r="BS120" s="4">
        <v>4</v>
      </c>
      <c r="BT120" s="4">
        <v>4</v>
      </c>
      <c r="BU120" s="4">
        <v>4</v>
      </c>
      <c r="BV120" s="4">
        <v>4</v>
      </c>
      <c r="BW120" s="4">
        <v>4</v>
      </c>
      <c r="BX120" s="4">
        <v>4</v>
      </c>
      <c r="BY120" s="4">
        <v>1</v>
      </c>
      <c r="BZ120" s="4">
        <v>4</v>
      </c>
      <c r="CA120" s="1">
        <v>4</v>
      </c>
      <c r="CB120" s="17">
        <v>4</v>
      </c>
      <c r="CC120" s="4">
        <v>4</v>
      </c>
      <c r="CD120" s="4">
        <v>4</v>
      </c>
      <c r="CE120" s="1">
        <v>4</v>
      </c>
      <c r="CF120" s="57">
        <v>4</v>
      </c>
      <c r="CG120" s="57">
        <v>4</v>
      </c>
      <c r="CH120" s="4">
        <v>4</v>
      </c>
      <c r="CI120" s="4">
        <v>4</v>
      </c>
      <c r="CJ120" s="4">
        <v>4</v>
      </c>
      <c r="CK120" s="17">
        <v>4</v>
      </c>
      <c r="CL120" s="17">
        <v>4</v>
      </c>
      <c r="CM120" s="17">
        <v>4</v>
      </c>
      <c r="CN120" s="57">
        <v>4</v>
      </c>
      <c r="CO120" s="17">
        <v>4</v>
      </c>
      <c r="CP120" s="17">
        <v>4</v>
      </c>
      <c r="CQ120" s="57">
        <v>4</v>
      </c>
      <c r="CR120" s="17">
        <v>4</v>
      </c>
      <c r="CS120" s="17">
        <v>4</v>
      </c>
      <c r="CT120" s="4">
        <v>1</v>
      </c>
      <c r="CU120" s="4">
        <v>4</v>
      </c>
      <c r="CV120" s="4">
        <v>4</v>
      </c>
      <c r="CW120" s="4">
        <v>4</v>
      </c>
      <c r="CX120" s="4">
        <v>4</v>
      </c>
      <c r="CY120" s="4">
        <v>4</v>
      </c>
      <c r="CZ120" s="4">
        <v>4</v>
      </c>
      <c r="DA120" s="17">
        <v>4</v>
      </c>
      <c r="DB120" s="1">
        <v>4</v>
      </c>
      <c r="DC120" s="1">
        <v>4</v>
      </c>
      <c r="DD120" s="1">
        <v>4</v>
      </c>
      <c r="DE120" s="17">
        <v>4</v>
      </c>
      <c r="DF120" s="57">
        <v>4</v>
      </c>
      <c r="DG120" s="4">
        <v>4</v>
      </c>
      <c r="DH120" s="1">
        <v>4</v>
      </c>
      <c r="DI120" s="4">
        <v>4</v>
      </c>
      <c r="DJ120" s="4">
        <v>4</v>
      </c>
      <c r="DK120" s="1">
        <v>4</v>
      </c>
      <c r="DL120" s="1">
        <v>4</v>
      </c>
      <c r="DM120" s="1">
        <v>4</v>
      </c>
      <c r="DN120" s="1">
        <v>4</v>
      </c>
      <c r="DO120" s="1">
        <v>4</v>
      </c>
      <c r="DP120" s="1">
        <v>4</v>
      </c>
      <c r="DQ120" s="1">
        <v>4</v>
      </c>
      <c r="DR120" s="1">
        <v>4</v>
      </c>
      <c r="DS120" s="1">
        <v>4</v>
      </c>
      <c r="DT120" s="1">
        <v>4</v>
      </c>
    </row>
    <row r="121" spans="1:124" x14ac:dyDescent="0.2">
      <c r="A121" t="s">
        <v>400</v>
      </c>
      <c r="B121" s="1" t="s">
        <v>1238</v>
      </c>
      <c r="C121" s="1" t="s">
        <v>1238</v>
      </c>
      <c r="E121" s="4">
        <v>1</v>
      </c>
      <c r="F121" s="1">
        <v>4</v>
      </c>
      <c r="G121" s="1">
        <v>1</v>
      </c>
      <c r="H121" s="1">
        <v>1</v>
      </c>
      <c r="I121" s="1">
        <v>4</v>
      </c>
      <c r="J121" s="4">
        <v>1</v>
      </c>
      <c r="K121" s="4">
        <v>4</v>
      </c>
      <c r="L121" s="4">
        <v>1</v>
      </c>
      <c r="M121" s="4">
        <v>1</v>
      </c>
      <c r="N121" s="1">
        <v>4</v>
      </c>
      <c r="O121" s="4">
        <v>4</v>
      </c>
      <c r="P121" s="4">
        <v>4</v>
      </c>
      <c r="Q121" s="4">
        <v>4</v>
      </c>
      <c r="R121" s="1">
        <v>4</v>
      </c>
      <c r="S121" s="1">
        <v>1</v>
      </c>
      <c r="T121" s="1">
        <v>1</v>
      </c>
      <c r="U121" s="1">
        <v>4</v>
      </c>
      <c r="V121" s="57">
        <v>4</v>
      </c>
      <c r="W121" s="4">
        <v>3</v>
      </c>
      <c r="X121" s="4">
        <v>1</v>
      </c>
      <c r="Y121" s="1">
        <v>4</v>
      </c>
      <c r="Z121" s="4">
        <v>4</v>
      </c>
      <c r="AA121" s="4">
        <v>4</v>
      </c>
      <c r="AB121" s="4">
        <v>4</v>
      </c>
      <c r="AC121" s="57">
        <v>4</v>
      </c>
      <c r="AD121" s="4">
        <v>4</v>
      </c>
      <c r="AE121" s="4">
        <v>4</v>
      </c>
      <c r="AF121" s="4">
        <v>3</v>
      </c>
      <c r="AG121" s="4">
        <v>1</v>
      </c>
      <c r="AH121" s="4">
        <v>1</v>
      </c>
      <c r="AI121" s="1">
        <v>4</v>
      </c>
      <c r="AJ121" s="4">
        <v>1</v>
      </c>
      <c r="AK121" s="4">
        <v>1</v>
      </c>
      <c r="AL121" s="4">
        <v>4</v>
      </c>
      <c r="AM121" s="4">
        <v>4</v>
      </c>
      <c r="AN121" s="4">
        <v>4</v>
      </c>
      <c r="AO121" s="17">
        <v>4</v>
      </c>
      <c r="AP121" s="17">
        <v>4</v>
      </c>
      <c r="AQ121" s="17">
        <v>4</v>
      </c>
      <c r="AR121" s="17">
        <v>4</v>
      </c>
      <c r="AS121" s="17">
        <v>4</v>
      </c>
      <c r="AT121" s="17">
        <v>4</v>
      </c>
      <c r="AU121" s="17">
        <v>4</v>
      </c>
      <c r="AV121" s="57">
        <v>4</v>
      </c>
      <c r="AW121" s="17">
        <v>4</v>
      </c>
      <c r="AX121" s="17">
        <v>4</v>
      </c>
      <c r="AY121" s="4">
        <v>4</v>
      </c>
      <c r="AZ121" s="4">
        <v>4</v>
      </c>
      <c r="BA121" s="57">
        <v>4</v>
      </c>
      <c r="BB121" s="57">
        <v>4</v>
      </c>
      <c r="BC121" s="1">
        <v>3</v>
      </c>
      <c r="BD121" s="1">
        <v>1</v>
      </c>
      <c r="BE121" s="4">
        <v>4</v>
      </c>
      <c r="BF121" s="4">
        <v>4</v>
      </c>
      <c r="BG121" s="4">
        <v>4</v>
      </c>
      <c r="BH121" s="4">
        <v>3</v>
      </c>
      <c r="BI121" s="4">
        <v>4</v>
      </c>
      <c r="BJ121" s="4">
        <v>4</v>
      </c>
      <c r="BK121" s="4">
        <v>4</v>
      </c>
      <c r="BL121" s="4">
        <v>4</v>
      </c>
      <c r="BM121" s="4">
        <v>4</v>
      </c>
      <c r="BN121" s="4">
        <v>4</v>
      </c>
      <c r="BO121" s="4">
        <v>4</v>
      </c>
      <c r="BP121" s="4">
        <v>4</v>
      </c>
      <c r="BQ121" s="4">
        <v>4</v>
      </c>
      <c r="BR121" s="4">
        <v>4</v>
      </c>
      <c r="BS121" s="4">
        <v>4</v>
      </c>
      <c r="BT121" s="4">
        <v>4</v>
      </c>
      <c r="BU121" s="4">
        <v>4</v>
      </c>
      <c r="BV121" s="4">
        <v>4</v>
      </c>
      <c r="BW121" s="4">
        <v>4</v>
      </c>
      <c r="BX121" s="4">
        <v>4</v>
      </c>
      <c r="BY121" s="4">
        <v>1</v>
      </c>
      <c r="BZ121" s="4">
        <v>4</v>
      </c>
      <c r="CA121" s="1">
        <v>4</v>
      </c>
      <c r="CB121" s="17">
        <v>4</v>
      </c>
      <c r="CC121" s="4">
        <v>4</v>
      </c>
      <c r="CD121" s="4">
        <v>4</v>
      </c>
      <c r="CE121" s="1">
        <v>4</v>
      </c>
      <c r="CF121" s="57">
        <v>4</v>
      </c>
      <c r="CG121" s="57">
        <v>4</v>
      </c>
      <c r="CH121" s="4">
        <v>4</v>
      </c>
      <c r="CI121" s="4">
        <v>4</v>
      </c>
      <c r="CJ121" s="4">
        <v>4</v>
      </c>
      <c r="CK121" s="17">
        <v>4</v>
      </c>
      <c r="CL121" s="17">
        <v>4</v>
      </c>
      <c r="CM121" s="17">
        <v>4</v>
      </c>
      <c r="CN121" s="57">
        <v>4</v>
      </c>
      <c r="CO121" s="17">
        <v>4</v>
      </c>
      <c r="CP121" s="17">
        <v>4</v>
      </c>
      <c r="CQ121" s="57">
        <v>4</v>
      </c>
      <c r="CR121" s="17">
        <v>4</v>
      </c>
      <c r="CS121" s="17">
        <v>4</v>
      </c>
      <c r="CT121" s="4">
        <v>1</v>
      </c>
      <c r="CU121" s="4">
        <v>4</v>
      </c>
      <c r="CV121" s="4">
        <v>4</v>
      </c>
      <c r="CW121" s="4">
        <v>4</v>
      </c>
      <c r="CX121" s="4">
        <v>4</v>
      </c>
      <c r="CY121" s="4">
        <v>4</v>
      </c>
      <c r="CZ121" s="4">
        <v>4</v>
      </c>
      <c r="DA121" s="17">
        <v>4</v>
      </c>
      <c r="DB121" s="1">
        <v>4</v>
      </c>
      <c r="DC121" s="1">
        <v>4</v>
      </c>
      <c r="DD121" s="1">
        <v>4</v>
      </c>
      <c r="DE121" s="17">
        <v>4</v>
      </c>
      <c r="DF121" s="57">
        <v>4</v>
      </c>
      <c r="DG121" s="4">
        <v>4</v>
      </c>
      <c r="DH121" s="1">
        <v>4</v>
      </c>
      <c r="DI121" s="4">
        <v>4</v>
      </c>
      <c r="DJ121" s="4">
        <v>4</v>
      </c>
      <c r="DK121" s="1">
        <v>4</v>
      </c>
      <c r="DL121" s="1">
        <v>4</v>
      </c>
      <c r="DM121" s="1">
        <v>4</v>
      </c>
      <c r="DN121" s="1">
        <v>4</v>
      </c>
      <c r="DO121" s="1">
        <v>4</v>
      </c>
      <c r="DP121" s="1">
        <v>4</v>
      </c>
      <c r="DQ121" s="1">
        <v>4</v>
      </c>
      <c r="DR121" s="1">
        <v>4</v>
      </c>
      <c r="DS121" s="1">
        <v>4</v>
      </c>
      <c r="DT121" s="1">
        <v>4</v>
      </c>
    </row>
    <row r="122" spans="1:124" x14ac:dyDescent="0.2">
      <c r="A122" t="s">
        <v>401</v>
      </c>
      <c r="B122" s="1" t="s">
        <v>1238</v>
      </c>
      <c r="C122" s="1" t="s">
        <v>1238</v>
      </c>
      <c r="E122" s="4">
        <v>1</v>
      </c>
      <c r="F122" s="1">
        <v>4</v>
      </c>
      <c r="G122" s="1">
        <v>1</v>
      </c>
      <c r="H122" s="1">
        <v>1</v>
      </c>
      <c r="I122" s="1">
        <v>4</v>
      </c>
      <c r="J122" s="4">
        <v>1</v>
      </c>
      <c r="K122" s="4">
        <v>4</v>
      </c>
      <c r="L122" s="4">
        <v>1</v>
      </c>
      <c r="M122" s="4">
        <v>1</v>
      </c>
      <c r="N122" s="1">
        <v>4</v>
      </c>
      <c r="O122" s="4">
        <v>4</v>
      </c>
      <c r="P122" s="4">
        <v>4</v>
      </c>
      <c r="Q122" s="4">
        <v>4</v>
      </c>
      <c r="R122" s="1">
        <v>4</v>
      </c>
      <c r="S122" s="1">
        <v>1</v>
      </c>
      <c r="T122" s="1">
        <v>1</v>
      </c>
      <c r="U122" s="1">
        <v>4</v>
      </c>
      <c r="V122" s="57">
        <v>4</v>
      </c>
      <c r="W122" s="4">
        <v>3</v>
      </c>
      <c r="X122" s="4">
        <v>1</v>
      </c>
      <c r="Y122" s="1">
        <v>4</v>
      </c>
      <c r="Z122" s="4">
        <v>4</v>
      </c>
      <c r="AA122" s="4">
        <v>4</v>
      </c>
      <c r="AB122" s="4">
        <v>4</v>
      </c>
      <c r="AC122" s="57">
        <v>4</v>
      </c>
      <c r="AD122" s="4">
        <v>4</v>
      </c>
      <c r="AE122" s="4">
        <v>4</v>
      </c>
      <c r="AF122" s="4">
        <v>3</v>
      </c>
      <c r="AG122" s="4">
        <v>3</v>
      </c>
      <c r="AH122" s="4">
        <v>1</v>
      </c>
      <c r="AI122" s="1">
        <v>4</v>
      </c>
      <c r="AJ122" s="4">
        <v>3</v>
      </c>
      <c r="AK122" s="4">
        <v>1</v>
      </c>
      <c r="AL122" s="4">
        <v>4</v>
      </c>
      <c r="AM122" s="4">
        <v>4</v>
      </c>
      <c r="AN122" s="4">
        <v>4</v>
      </c>
      <c r="AO122" s="17">
        <v>4</v>
      </c>
      <c r="AP122" s="17">
        <v>4</v>
      </c>
      <c r="AQ122" s="17">
        <v>4</v>
      </c>
      <c r="AR122" s="17">
        <v>4</v>
      </c>
      <c r="AS122" s="17">
        <v>4</v>
      </c>
      <c r="AT122" s="17">
        <v>4</v>
      </c>
      <c r="AU122" s="17">
        <v>4</v>
      </c>
      <c r="AV122" s="57">
        <v>4</v>
      </c>
      <c r="AW122" s="17">
        <v>4</v>
      </c>
      <c r="AX122" s="17">
        <v>4</v>
      </c>
      <c r="AY122" s="4">
        <v>4</v>
      </c>
      <c r="AZ122" s="4">
        <v>4</v>
      </c>
      <c r="BA122" s="57">
        <v>4</v>
      </c>
      <c r="BB122" s="57">
        <v>4</v>
      </c>
      <c r="BC122" s="1">
        <v>3</v>
      </c>
      <c r="BD122" s="1">
        <v>1</v>
      </c>
      <c r="BE122" s="4">
        <v>4</v>
      </c>
      <c r="BF122" s="4">
        <v>4</v>
      </c>
      <c r="BG122" s="4">
        <v>4</v>
      </c>
      <c r="BH122" s="4">
        <v>3</v>
      </c>
      <c r="BI122" s="4">
        <v>4</v>
      </c>
      <c r="BJ122" s="4">
        <v>4</v>
      </c>
      <c r="BK122" s="4">
        <v>4</v>
      </c>
      <c r="BL122" s="4">
        <v>4</v>
      </c>
      <c r="BM122" s="4">
        <v>4</v>
      </c>
      <c r="BN122" s="4">
        <v>4</v>
      </c>
      <c r="BO122" s="4">
        <v>4</v>
      </c>
      <c r="BP122" s="4">
        <v>4</v>
      </c>
      <c r="BQ122" s="4">
        <v>4</v>
      </c>
      <c r="BR122" s="4">
        <v>4</v>
      </c>
      <c r="BS122" s="4">
        <v>4</v>
      </c>
      <c r="BT122" s="4">
        <v>4</v>
      </c>
      <c r="BU122" s="4">
        <v>4</v>
      </c>
      <c r="BV122" s="4">
        <v>4</v>
      </c>
      <c r="BW122" s="4">
        <v>4</v>
      </c>
      <c r="BX122" s="4">
        <v>4</v>
      </c>
      <c r="BY122" s="4">
        <v>1</v>
      </c>
      <c r="BZ122" s="4">
        <v>4</v>
      </c>
      <c r="CA122" s="1">
        <v>4</v>
      </c>
      <c r="CB122" s="17">
        <v>4</v>
      </c>
      <c r="CC122" s="4">
        <v>4</v>
      </c>
      <c r="CD122" s="4">
        <v>4</v>
      </c>
      <c r="CE122" s="1">
        <v>4</v>
      </c>
      <c r="CF122" s="57">
        <v>4</v>
      </c>
      <c r="CG122" s="57">
        <v>4</v>
      </c>
      <c r="CH122" s="4">
        <v>4</v>
      </c>
      <c r="CI122" s="4">
        <v>4</v>
      </c>
      <c r="CJ122" s="4">
        <v>4</v>
      </c>
      <c r="CK122" s="17">
        <v>4</v>
      </c>
      <c r="CL122" s="17">
        <v>4</v>
      </c>
      <c r="CM122" s="17">
        <v>4</v>
      </c>
      <c r="CN122" s="57">
        <v>4</v>
      </c>
      <c r="CO122" s="17">
        <v>4</v>
      </c>
      <c r="CP122" s="17">
        <v>4</v>
      </c>
      <c r="CQ122" s="57">
        <v>4</v>
      </c>
      <c r="CR122" s="17">
        <v>4</v>
      </c>
      <c r="CS122" s="17">
        <v>4</v>
      </c>
      <c r="CT122" s="4">
        <v>1</v>
      </c>
      <c r="CU122" s="4">
        <v>4</v>
      </c>
      <c r="CV122" s="4">
        <v>4</v>
      </c>
      <c r="CW122" s="4">
        <v>4</v>
      </c>
      <c r="CX122" s="4">
        <v>4</v>
      </c>
      <c r="CY122" s="4">
        <v>4</v>
      </c>
      <c r="CZ122" s="4">
        <v>4</v>
      </c>
      <c r="DA122" s="17">
        <v>4</v>
      </c>
      <c r="DB122" s="1">
        <v>4</v>
      </c>
      <c r="DC122" s="1">
        <v>4</v>
      </c>
      <c r="DD122" s="1">
        <v>4</v>
      </c>
      <c r="DE122" s="17">
        <v>4</v>
      </c>
      <c r="DF122" s="57">
        <v>4</v>
      </c>
      <c r="DG122" s="4">
        <v>4</v>
      </c>
      <c r="DH122" s="1">
        <v>4</v>
      </c>
      <c r="DI122" s="4">
        <v>4</v>
      </c>
      <c r="DJ122" s="4">
        <v>4</v>
      </c>
      <c r="DK122" s="1">
        <v>4</v>
      </c>
      <c r="DL122" s="1">
        <v>4</v>
      </c>
      <c r="DM122" s="1">
        <v>4</v>
      </c>
      <c r="DN122" s="1">
        <v>4</v>
      </c>
      <c r="DO122" s="1">
        <v>4</v>
      </c>
      <c r="DP122" s="1">
        <v>4</v>
      </c>
      <c r="DQ122" s="1">
        <v>4</v>
      </c>
      <c r="DR122" s="1">
        <v>4</v>
      </c>
      <c r="DS122" s="1">
        <v>4</v>
      </c>
      <c r="DT122" s="1">
        <v>4</v>
      </c>
    </row>
    <row r="123" spans="1:124" x14ac:dyDescent="0.2">
      <c r="A123" t="s">
        <v>402</v>
      </c>
      <c r="B123" s="1" t="s">
        <v>1238</v>
      </c>
      <c r="C123" s="1" t="s">
        <v>1238</v>
      </c>
      <c r="E123" s="4">
        <v>1</v>
      </c>
      <c r="F123" s="1">
        <v>4</v>
      </c>
      <c r="G123" s="1">
        <v>1</v>
      </c>
      <c r="H123" s="1">
        <v>1</v>
      </c>
      <c r="I123" s="1">
        <v>4</v>
      </c>
      <c r="J123" s="4">
        <v>1</v>
      </c>
      <c r="K123" s="4">
        <v>4</v>
      </c>
      <c r="L123" s="4">
        <v>1</v>
      </c>
      <c r="M123" s="4">
        <v>1</v>
      </c>
      <c r="N123" s="1">
        <v>4</v>
      </c>
      <c r="O123" s="4">
        <v>4</v>
      </c>
      <c r="P123" s="4">
        <v>4</v>
      </c>
      <c r="Q123" s="4">
        <v>4</v>
      </c>
      <c r="R123" s="1">
        <v>4</v>
      </c>
      <c r="S123" s="1">
        <v>1</v>
      </c>
      <c r="T123" s="1">
        <v>1</v>
      </c>
      <c r="U123" s="1">
        <v>4</v>
      </c>
      <c r="V123" s="57">
        <v>4</v>
      </c>
      <c r="W123" s="4">
        <v>3</v>
      </c>
      <c r="X123" s="4">
        <v>1</v>
      </c>
      <c r="Y123" s="1">
        <v>4</v>
      </c>
      <c r="Z123" s="4">
        <v>4</v>
      </c>
      <c r="AA123" s="4">
        <v>4</v>
      </c>
      <c r="AB123" s="4">
        <v>4</v>
      </c>
      <c r="AC123" s="57">
        <v>4</v>
      </c>
      <c r="AD123" s="4">
        <v>4</v>
      </c>
      <c r="AE123" s="4">
        <v>4</v>
      </c>
      <c r="AF123" s="4">
        <v>3</v>
      </c>
      <c r="AG123" s="4">
        <v>3</v>
      </c>
      <c r="AH123" s="4">
        <v>3</v>
      </c>
      <c r="AI123" s="1">
        <v>4</v>
      </c>
      <c r="AJ123" s="4">
        <v>1</v>
      </c>
      <c r="AK123" s="4">
        <v>3</v>
      </c>
      <c r="AL123" s="4">
        <v>4</v>
      </c>
      <c r="AM123" s="4">
        <v>4</v>
      </c>
      <c r="AN123" s="4">
        <v>4</v>
      </c>
      <c r="AO123" s="17">
        <v>4</v>
      </c>
      <c r="AP123" s="17">
        <v>4</v>
      </c>
      <c r="AQ123" s="17">
        <v>4</v>
      </c>
      <c r="AR123" s="17">
        <v>4</v>
      </c>
      <c r="AS123" s="17">
        <v>4</v>
      </c>
      <c r="AT123" s="17">
        <v>4</v>
      </c>
      <c r="AU123" s="17">
        <v>4</v>
      </c>
      <c r="AV123" s="57">
        <v>4</v>
      </c>
      <c r="AW123" s="17">
        <v>4</v>
      </c>
      <c r="AX123" s="17">
        <v>4</v>
      </c>
      <c r="AY123" s="4">
        <v>4</v>
      </c>
      <c r="AZ123" s="4">
        <v>4</v>
      </c>
      <c r="BA123" s="57">
        <v>4</v>
      </c>
      <c r="BB123" s="57">
        <v>4</v>
      </c>
      <c r="BC123" s="1">
        <v>3</v>
      </c>
      <c r="BD123" s="1">
        <v>1</v>
      </c>
      <c r="BE123" s="4">
        <v>4</v>
      </c>
      <c r="BF123" s="4">
        <v>4</v>
      </c>
      <c r="BG123" s="4">
        <v>4</v>
      </c>
      <c r="BH123" s="4">
        <v>3</v>
      </c>
      <c r="BI123" s="4">
        <v>4</v>
      </c>
      <c r="BJ123" s="4">
        <v>4</v>
      </c>
      <c r="BK123" s="4">
        <v>4</v>
      </c>
      <c r="BL123" s="4">
        <v>4</v>
      </c>
      <c r="BM123" s="4">
        <v>4</v>
      </c>
      <c r="BN123" s="4">
        <v>4</v>
      </c>
      <c r="BO123" s="4">
        <v>4</v>
      </c>
      <c r="BP123" s="4">
        <v>4</v>
      </c>
      <c r="BQ123" s="4">
        <v>4</v>
      </c>
      <c r="BR123" s="4">
        <v>4</v>
      </c>
      <c r="BS123" s="4">
        <v>4</v>
      </c>
      <c r="BT123" s="4">
        <v>4</v>
      </c>
      <c r="BU123" s="4">
        <v>4</v>
      </c>
      <c r="BV123" s="4">
        <v>4</v>
      </c>
      <c r="BW123" s="4">
        <v>1</v>
      </c>
      <c r="BX123" s="4">
        <v>1</v>
      </c>
      <c r="BY123" s="4">
        <v>4</v>
      </c>
      <c r="BZ123" s="4">
        <v>4</v>
      </c>
      <c r="CA123" s="1">
        <v>4</v>
      </c>
      <c r="CB123" s="17">
        <v>4</v>
      </c>
      <c r="CC123" s="4">
        <v>4</v>
      </c>
      <c r="CD123" s="4">
        <v>4</v>
      </c>
      <c r="CE123" s="1">
        <v>4</v>
      </c>
      <c r="CF123" s="57">
        <v>4</v>
      </c>
      <c r="CG123" s="57">
        <v>4</v>
      </c>
      <c r="CH123" s="4">
        <v>4</v>
      </c>
      <c r="CI123" s="4">
        <v>4</v>
      </c>
      <c r="CJ123" s="4">
        <v>4</v>
      </c>
      <c r="CK123" s="17">
        <v>4</v>
      </c>
      <c r="CL123" s="17">
        <v>4</v>
      </c>
      <c r="CM123" s="17">
        <v>4</v>
      </c>
      <c r="CN123" s="57">
        <v>4</v>
      </c>
      <c r="CO123" s="17">
        <v>4</v>
      </c>
      <c r="CP123" s="17">
        <v>4</v>
      </c>
      <c r="CQ123" s="57">
        <v>4</v>
      </c>
      <c r="CR123" s="17">
        <v>4</v>
      </c>
      <c r="CS123" s="17">
        <v>4</v>
      </c>
      <c r="CT123" s="4">
        <v>1</v>
      </c>
      <c r="CU123" s="4">
        <v>4</v>
      </c>
      <c r="CV123" s="4">
        <v>4</v>
      </c>
      <c r="CW123" s="4">
        <v>4</v>
      </c>
      <c r="CX123" s="4">
        <v>4</v>
      </c>
      <c r="CY123" s="4">
        <v>4</v>
      </c>
      <c r="CZ123" s="4">
        <v>4</v>
      </c>
      <c r="DA123" s="17">
        <v>4</v>
      </c>
      <c r="DB123" s="1">
        <v>4</v>
      </c>
      <c r="DC123" s="1">
        <v>4</v>
      </c>
      <c r="DD123" s="1">
        <v>4</v>
      </c>
      <c r="DE123" s="17">
        <v>4</v>
      </c>
      <c r="DF123" s="57">
        <v>4</v>
      </c>
      <c r="DG123" s="4">
        <v>4</v>
      </c>
      <c r="DH123" s="1">
        <v>4</v>
      </c>
      <c r="DI123" s="4">
        <v>4</v>
      </c>
      <c r="DJ123" s="4">
        <v>4</v>
      </c>
      <c r="DK123" s="1">
        <v>4</v>
      </c>
      <c r="DL123" s="1">
        <v>4</v>
      </c>
      <c r="DM123" s="1">
        <v>4</v>
      </c>
      <c r="DN123" s="1">
        <v>4</v>
      </c>
      <c r="DO123" s="1">
        <v>4</v>
      </c>
      <c r="DP123" s="1">
        <v>4</v>
      </c>
      <c r="DQ123" s="1">
        <v>4</v>
      </c>
      <c r="DR123" s="1">
        <v>4</v>
      </c>
      <c r="DS123" s="1">
        <v>4</v>
      </c>
      <c r="DT123" s="1">
        <v>4</v>
      </c>
    </row>
    <row r="124" spans="1:124" x14ac:dyDescent="0.2">
      <c r="A124" t="s">
        <v>1419</v>
      </c>
      <c r="B124" s="1" t="s">
        <v>1238</v>
      </c>
      <c r="C124" s="1" t="s">
        <v>1238</v>
      </c>
      <c r="E124" s="4">
        <v>1</v>
      </c>
      <c r="F124" s="1">
        <v>4</v>
      </c>
      <c r="G124" s="4">
        <v>3</v>
      </c>
      <c r="H124" s="4">
        <v>3</v>
      </c>
      <c r="I124" s="1">
        <v>4</v>
      </c>
      <c r="J124" s="4">
        <v>1</v>
      </c>
      <c r="K124" s="4">
        <v>4</v>
      </c>
      <c r="L124" s="4">
        <v>3</v>
      </c>
      <c r="M124" s="4">
        <v>3</v>
      </c>
      <c r="N124" s="1">
        <v>4</v>
      </c>
      <c r="O124" s="4">
        <v>4</v>
      </c>
      <c r="P124" s="4">
        <v>4</v>
      </c>
      <c r="Q124" s="4">
        <v>4</v>
      </c>
      <c r="R124" s="1">
        <v>4</v>
      </c>
      <c r="S124" s="1">
        <v>1</v>
      </c>
      <c r="T124" s="4">
        <v>3</v>
      </c>
      <c r="U124" s="1">
        <v>4</v>
      </c>
      <c r="V124" s="57">
        <v>4</v>
      </c>
      <c r="W124" s="4">
        <v>3</v>
      </c>
      <c r="X124" s="4">
        <v>3</v>
      </c>
      <c r="Y124" s="1">
        <v>4</v>
      </c>
      <c r="Z124" s="4">
        <v>4</v>
      </c>
      <c r="AA124" s="4">
        <v>4</v>
      </c>
      <c r="AB124" s="4">
        <v>4</v>
      </c>
      <c r="AC124" s="57">
        <v>4</v>
      </c>
      <c r="AD124" s="4">
        <v>4</v>
      </c>
      <c r="AE124" s="4">
        <v>4</v>
      </c>
      <c r="AF124" s="4">
        <v>3</v>
      </c>
      <c r="AG124" s="4">
        <v>3</v>
      </c>
      <c r="AH124" s="4">
        <v>3</v>
      </c>
      <c r="AI124" s="1">
        <v>4</v>
      </c>
      <c r="AJ124" s="4">
        <v>1</v>
      </c>
      <c r="AK124" s="4">
        <v>3</v>
      </c>
      <c r="AL124" s="4">
        <v>4</v>
      </c>
      <c r="AM124" s="4">
        <v>4</v>
      </c>
      <c r="AN124" s="4">
        <v>4</v>
      </c>
      <c r="AO124" s="17">
        <v>4</v>
      </c>
      <c r="AP124" s="17">
        <v>4</v>
      </c>
      <c r="AQ124" s="17">
        <v>4</v>
      </c>
      <c r="AR124" s="17">
        <v>4</v>
      </c>
      <c r="AS124" s="17">
        <v>4</v>
      </c>
      <c r="AT124" s="17">
        <v>4</v>
      </c>
      <c r="AU124" s="17">
        <v>4</v>
      </c>
      <c r="AV124" s="57">
        <v>4</v>
      </c>
      <c r="AW124" s="17">
        <v>4</v>
      </c>
      <c r="AX124" s="17">
        <v>4</v>
      </c>
      <c r="AY124" s="4">
        <v>4</v>
      </c>
      <c r="AZ124" s="4">
        <v>4</v>
      </c>
      <c r="BA124" s="57">
        <v>4</v>
      </c>
      <c r="BB124" s="57">
        <v>4</v>
      </c>
      <c r="BC124" s="1">
        <v>3</v>
      </c>
      <c r="BD124" s="1">
        <v>3</v>
      </c>
      <c r="BE124" s="4">
        <v>4</v>
      </c>
      <c r="BF124" s="4">
        <v>4</v>
      </c>
      <c r="BG124" s="4">
        <v>4</v>
      </c>
      <c r="BH124" s="4">
        <v>3</v>
      </c>
      <c r="BI124" s="4">
        <v>4</v>
      </c>
      <c r="BJ124" s="4">
        <v>4</v>
      </c>
      <c r="BK124" s="4">
        <v>4</v>
      </c>
      <c r="BL124" s="4">
        <v>4</v>
      </c>
      <c r="BM124" s="4">
        <v>4</v>
      </c>
      <c r="BN124" s="4">
        <v>4</v>
      </c>
      <c r="BO124" s="4">
        <v>4</v>
      </c>
      <c r="BP124" s="4">
        <v>4</v>
      </c>
      <c r="BQ124" s="4">
        <v>4</v>
      </c>
      <c r="BR124" s="4">
        <v>4</v>
      </c>
      <c r="BS124" s="4">
        <v>4</v>
      </c>
      <c r="BT124" s="4">
        <v>4</v>
      </c>
      <c r="BU124" s="4">
        <v>4</v>
      </c>
      <c r="BV124" s="4">
        <v>4</v>
      </c>
      <c r="BW124" s="4">
        <v>3</v>
      </c>
      <c r="BX124" s="4">
        <v>3</v>
      </c>
      <c r="BY124" s="4">
        <v>4</v>
      </c>
      <c r="BZ124" s="4">
        <v>4</v>
      </c>
      <c r="CA124" s="1">
        <v>4</v>
      </c>
      <c r="CB124" s="17">
        <v>4</v>
      </c>
      <c r="CC124" s="4">
        <v>4</v>
      </c>
      <c r="CD124" s="4">
        <v>4</v>
      </c>
      <c r="CE124" s="1">
        <v>4</v>
      </c>
      <c r="CF124" s="57">
        <v>4</v>
      </c>
      <c r="CG124" s="57">
        <v>4</v>
      </c>
      <c r="CH124" s="4">
        <v>4</v>
      </c>
      <c r="CI124" s="4">
        <v>4</v>
      </c>
      <c r="CJ124" s="4">
        <v>4</v>
      </c>
      <c r="CK124" s="17">
        <v>4</v>
      </c>
      <c r="CL124" s="17">
        <v>4</v>
      </c>
      <c r="CM124" s="17">
        <v>4</v>
      </c>
      <c r="CN124" s="57">
        <v>4</v>
      </c>
      <c r="CO124" s="17">
        <v>4</v>
      </c>
      <c r="CP124" s="17">
        <v>4</v>
      </c>
      <c r="CQ124" s="57">
        <v>4</v>
      </c>
      <c r="CR124" s="17">
        <v>4</v>
      </c>
      <c r="CS124" s="17">
        <v>4</v>
      </c>
      <c r="CT124" s="4">
        <v>1</v>
      </c>
      <c r="CU124" s="4">
        <v>4</v>
      </c>
      <c r="CV124" s="4">
        <v>4</v>
      </c>
      <c r="CW124" s="4">
        <v>4</v>
      </c>
      <c r="CX124" s="4">
        <v>4</v>
      </c>
      <c r="CY124" s="4">
        <v>4</v>
      </c>
      <c r="CZ124" s="4">
        <v>4</v>
      </c>
      <c r="DA124" s="17">
        <v>4</v>
      </c>
      <c r="DB124" s="1">
        <v>4</v>
      </c>
      <c r="DC124" s="1">
        <v>4</v>
      </c>
      <c r="DD124" s="1">
        <v>4</v>
      </c>
      <c r="DE124" s="17">
        <v>4</v>
      </c>
      <c r="DF124" s="57">
        <v>4</v>
      </c>
      <c r="DG124" s="4">
        <v>4</v>
      </c>
      <c r="DH124" s="1">
        <v>4</v>
      </c>
      <c r="DI124" s="4">
        <v>4</v>
      </c>
      <c r="DJ124" s="4">
        <v>4</v>
      </c>
      <c r="DK124" s="1">
        <v>4</v>
      </c>
      <c r="DL124" s="1">
        <v>4</v>
      </c>
      <c r="DM124" s="1">
        <v>4</v>
      </c>
      <c r="DN124" s="1">
        <v>4</v>
      </c>
      <c r="DO124" s="1">
        <v>4</v>
      </c>
      <c r="DP124" s="1">
        <v>4</v>
      </c>
      <c r="DQ124" s="1">
        <v>4</v>
      </c>
      <c r="DR124" s="1">
        <v>4</v>
      </c>
      <c r="DS124" s="1">
        <v>4</v>
      </c>
      <c r="DT124" s="1">
        <v>4</v>
      </c>
    </row>
    <row r="125" spans="1:124" x14ac:dyDescent="0.2">
      <c r="A125" t="s">
        <v>1420</v>
      </c>
      <c r="B125" s="1" t="s">
        <v>1238</v>
      </c>
      <c r="C125" s="1" t="s">
        <v>1238</v>
      </c>
      <c r="E125" s="4">
        <v>1</v>
      </c>
      <c r="F125" s="1">
        <v>4</v>
      </c>
      <c r="G125" s="1">
        <v>1</v>
      </c>
      <c r="H125" s="1">
        <v>1</v>
      </c>
      <c r="I125" s="1">
        <v>4</v>
      </c>
      <c r="J125" s="4">
        <v>1</v>
      </c>
      <c r="K125" s="4">
        <v>4</v>
      </c>
      <c r="L125" s="4">
        <v>1</v>
      </c>
      <c r="M125" s="4">
        <v>1</v>
      </c>
      <c r="N125" s="1">
        <v>4</v>
      </c>
      <c r="O125" s="4">
        <v>4</v>
      </c>
      <c r="P125" s="4">
        <v>4</v>
      </c>
      <c r="Q125" s="4">
        <v>4</v>
      </c>
      <c r="R125" s="1">
        <v>4</v>
      </c>
      <c r="S125" s="1">
        <v>1</v>
      </c>
      <c r="T125" s="4">
        <v>1</v>
      </c>
      <c r="U125" s="1">
        <v>4</v>
      </c>
      <c r="V125" s="57">
        <v>4</v>
      </c>
      <c r="W125" s="4">
        <v>3</v>
      </c>
      <c r="X125" s="4">
        <v>1</v>
      </c>
      <c r="Y125" s="1">
        <v>4</v>
      </c>
      <c r="Z125" s="4">
        <v>4</v>
      </c>
      <c r="AA125" s="4">
        <v>4</v>
      </c>
      <c r="AB125" s="4">
        <v>4</v>
      </c>
      <c r="AC125" s="57">
        <v>4</v>
      </c>
      <c r="AD125" s="4">
        <v>4</v>
      </c>
      <c r="AE125" s="4">
        <v>4</v>
      </c>
      <c r="AF125" s="4">
        <v>1</v>
      </c>
      <c r="AG125" s="4">
        <v>1</v>
      </c>
      <c r="AH125" s="4">
        <v>1</v>
      </c>
      <c r="AI125" s="1">
        <v>4</v>
      </c>
      <c r="AJ125" s="4">
        <v>1</v>
      </c>
      <c r="AK125" s="4">
        <v>1</v>
      </c>
      <c r="AL125" s="4">
        <v>4</v>
      </c>
      <c r="AM125" s="4">
        <v>4</v>
      </c>
      <c r="AN125" s="4">
        <v>4</v>
      </c>
      <c r="AO125" s="17">
        <v>4</v>
      </c>
      <c r="AP125" s="17">
        <v>4</v>
      </c>
      <c r="AQ125" s="17">
        <v>4</v>
      </c>
      <c r="AR125" s="17">
        <v>4</v>
      </c>
      <c r="AS125" s="17">
        <v>4</v>
      </c>
      <c r="AT125" s="17">
        <v>4</v>
      </c>
      <c r="AU125" s="17">
        <v>4</v>
      </c>
      <c r="AV125" s="57">
        <v>4</v>
      </c>
      <c r="AW125" s="17">
        <v>4</v>
      </c>
      <c r="AX125" s="17">
        <v>4</v>
      </c>
      <c r="AY125" s="4">
        <v>4</v>
      </c>
      <c r="AZ125" s="4">
        <v>4</v>
      </c>
      <c r="BA125" s="57">
        <v>4</v>
      </c>
      <c r="BB125" s="57">
        <v>4</v>
      </c>
      <c r="BC125" s="1">
        <v>3</v>
      </c>
      <c r="BD125" s="4">
        <v>1</v>
      </c>
      <c r="BE125" s="4">
        <v>4</v>
      </c>
      <c r="BF125" s="4">
        <v>4</v>
      </c>
      <c r="BG125" s="4">
        <v>4</v>
      </c>
      <c r="BH125" s="4">
        <v>3</v>
      </c>
      <c r="BI125" s="4">
        <v>4</v>
      </c>
      <c r="BJ125" s="4">
        <v>4</v>
      </c>
      <c r="BK125" s="4">
        <v>4</v>
      </c>
      <c r="BL125" s="4">
        <v>4</v>
      </c>
      <c r="BM125" s="4">
        <v>4</v>
      </c>
      <c r="BN125" s="4">
        <v>4</v>
      </c>
      <c r="BO125" s="4">
        <v>4</v>
      </c>
      <c r="BP125" s="4">
        <v>4</v>
      </c>
      <c r="BQ125" s="4">
        <v>4</v>
      </c>
      <c r="BR125" s="4">
        <v>4</v>
      </c>
      <c r="BS125" s="4">
        <v>4</v>
      </c>
      <c r="BT125" s="4">
        <v>4</v>
      </c>
      <c r="BU125" s="4">
        <v>4</v>
      </c>
      <c r="BV125" s="4">
        <v>4</v>
      </c>
      <c r="BW125" s="4">
        <v>4</v>
      </c>
      <c r="BX125" s="4">
        <v>4</v>
      </c>
      <c r="BY125" s="4">
        <v>1</v>
      </c>
      <c r="BZ125" s="4">
        <v>4</v>
      </c>
      <c r="CA125" s="1">
        <v>4</v>
      </c>
      <c r="CB125" s="17">
        <v>4</v>
      </c>
      <c r="CC125" s="4">
        <v>4</v>
      </c>
      <c r="CD125" s="4">
        <v>4</v>
      </c>
      <c r="CE125" s="1">
        <v>4</v>
      </c>
      <c r="CF125" s="57">
        <v>4</v>
      </c>
      <c r="CG125" s="57">
        <v>4</v>
      </c>
      <c r="CH125" s="4">
        <v>4</v>
      </c>
      <c r="CI125" s="4">
        <v>4</v>
      </c>
      <c r="CJ125" s="4">
        <v>4</v>
      </c>
      <c r="CK125" s="17">
        <v>4</v>
      </c>
      <c r="CL125" s="17">
        <v>4</v>
      </c>
      <c r="CM125" s="17">
        <v>4</v>
      </c>
      <c r="CN125" s="57">
        <v>4</v>
      </c>
      <c r="CO125" s="17">
        <v>4</v>
      </c>
      <c r="CP125" s="17">
        <v>4</v>
      </c>
      <c r="CQ125" s="57">
        <v>4</v>
      </c>
      <c r="CR125" s="17">
        <v>4</v>
      </c>
      <c r="CS125" s="17">
        <v>4</v>
      </c>
      <c r="CT125" s="4">
        <v>1</v>
      </c>
      <c r="CU125" s="4">
        <v>4</v>
      </c>
      <c r="CV125" s="4">
        <v>4</v>
      </c>
      <c r="CW125" s="4">
        <v>4</v>
      </c>
      <c r="CX125" s="4">
        <v>4</v>
      </c>
      <c r="CY125" s="4">
        <v>4</v>
      </c>
      <c r="CZ125" s="4">
        <v>4</v>
      </c>
      <c r="DA125" s="17">
        <v>4</v>
      </c>
      <c r="DB125" s="4">
        <v>4</v>
      </c>
      <c r="DC125" s="4">
        <v>4</v>
      </c>
      <c r="DD125" s="1">
        <v>4</v>
      </c>
      <c r="DE125" s="17">
        <v>4</v>
      </c>
      <c r="DF125" s="57">
        <v>4</v>
      </c>
      <c r="DG125" s="4">
        <v>4</v>
      </c>
      <c r="DH125" s="1">
        <v>4</v>
      </c>
      <c r="DI125" s="4">
        <v>4</v>
      </c>
      <c r="DJ125" s="4">
        <v>4</v>
      </c>
      <c r="DK125" s="1">
        <v>4</v>
      </c>
      <c r="DL125" s="1">
        <v>4</v>
      </c>
      <c r="DM125" s="1">
        <v>4</v>
      </c>
      <c r="DN125" s="1">
        <v>4</v>
      </c>
      <c r="DO125" s="1">
        <v>4</v>
      </c>
      <c r="DP125" s="1">
        <v>4</v>
      </c>
      <c r="DQ125" s="1">
        <v>4</v>
      </c>
      <c r="DR125" s="1">
        <v>4</v>
      </c>
      <c r="DS125" s="1">
        <v>4</v>
      </c>
      <c r="DT125" s="1">
        <v>4</v>
      </c>
    </row>
    <row r="126" spans="1:124" x14ac:dyDescent="0.2">
      <c r="A126" t="s">
        <v>416</v>
      </c>
      <c r="B126" s="1" t="s">
        <v>1238</v>
      </c>
      <c r="C126" s="1" t="s">
        <v>1238</v>
      </c>
      <c r="E126" s="4">
        <v>1</v>
      </c>
      <c r="F126" s="1">
        <v>4</v>
      </c>
      <c r="G126" s="1">
        <v>1</v>
      </c>
      <c r="H126" s="1">
        <v>1</v>
      </c>
      <c r="I126" s="1">
        <v>4</v>
      </c>
      <c r="J126" s="4">
        <v>1</v>
      </c>
      <c r="K126" s="4">
        <v>4</v>
      </c>
      <c r="L126" s="4">
        <v>1</v>
      </c>
      <c r="M126" s="4">
        <v>1</v>
      </c>
      <c r="N126" s="1">
        <v>4</v>
      </c>
      <c r="O126" s="4">
        <v>4</v>
      </c>
      <c r="P126" s="4">
        <v>4</v>
      </c>
      <c r="Q126" s="4">
        <v>4</v>
      </c>
      <c r="R126" s="1">
        <v>4</v>
      </c>
      <c r="S126" s="1">
        <v>1</v>
      </c>
      <c r="T126" s="4">
        <v>1</v>
      </c>
      <c r="U126" s="1">
        <v>4</v>
      </c>
      <c r="V126" s="57">
        <v>4</v>
      </c>
      <c r="W126" s="4">
        <v>3</v>
      </c>
      <c r="X126" s="4">
        <v>1</v>
      </c>
      <c r="Y126" s="1">
        <v>4</v>
      </c>
      <c r="Z126" s="4">
        <v>4</v>
      </c>
      <c r="AA126" s="4">
        <v>4</v>
      </c>
      <c r="AB126" s="4">
        <v>4</v>
      </c>
      <c r="AC126" s="57">
        <v>4</v>
      </c>
      <c r="AD126" s="4">
        <v>4</v>
      </c>
      <c r="AE126" s="4">
        <v>4</v>
      </c>
      <c r="AF126" s="4">
        <v>1</v>
      </c>
      <c r="AG126" s="4">
        <v>1</v>
      </c>
      <c r="AH126" s="4">
        <v>1</v>
      </c>
      <c r="AI126" s="1">
        <v>4</v>
      </c>
      <c r="AJ126" s="4">
        <v>1</v>
      </c>
      <c r="AK126" s="4">
        <v>1</v>
      </c>
      <c r="AL126" s="4">
        <v>4</v>
      </c>
      <c r="AM126" s="4">
        <v>4</v>
      </c>
      <c r="AN126" s="4">
        <v>4</v>
      </c>
      <c r="AO126" s="17">
        <v>4</v>
      </c>
      <c r="AP126" s="17">
        <v>4</v>
      </c>
      <c r="AQ126" s="17">
        <v>4</v>
      </c>
      <c r="AR126" s="17">
        <v>4</v>
      </c>
      <c r="AS126" s="17">
        <v>4</v>
      </c>
      <c r="AT126" s="17">
        <v>4</v>
      </c>
      <c r="AU126" s="17">
        <v>4</v>
      </c>
      <c r="AV126" s="57">
        <v>4</v>
      </c>
      <c r="AW126" s="17">
        <v>4</v>
      </c>
      <c r="AX126" s="17">
        <v>4</v>
      </c>
      <c r="AY126" s="4">
        <v>4</v>
      </c>
      <c r="AZ126" s="4">
        <v>4</v>
      </c>
      <c r="BA126" s="57">
        <v>4</v>
      </c>
      <c r="BB126" s="57">
        <v>4</v>
      </c>
      <c r="BC126" s="1">
        <v>3</v>
      </c>
      <c r="BD126" s="4">
        <v>1</v>
      </c>
      <c r="BE126" s="4">
        <v>4</v>
      </c>
      <c r="BF126" s="4">
        <v>4</v>
      </c>
      <c r="BG126" s="4">
        <v>4</v>
      </c>
      <c r="BH126" s="4">
        <v>3</v>
      </c>
      <c r="BI126" s="4">
        <v>4</v>
      </c>
      <c r="BJ126" s="4">
        <v>4</v>
      </c>
      <c r="BK126" s="4">
        <v>4</v>
      </c>
      <c r="BL126" s="4">
        <v>4</v>
      </c>
      <c r="BM126" s="4">
        <v>4</v>
      </c>
      <c r="BN126" s="4">
        <v>4</v>
      </c>
      <c r="BO126" s="4">
        <v>4</v>
      </c>
      <c r="BP126" s="4">
        <v>4</v>
      </c>
      <c r="BQ126" s="4">
        <v>4</v>
      </c>
      <c r="BR126" s="4">
        <v>4</v>
      </c>
      <c r="BS126" s="4">
        <v>4</v>
      </c>
      <c r="BT126" s="4">
        <v>4</v>
      </c>
      <c r="BU126" s="4">
        <v>4</v>
      </c>
      <c r="BV126" s="4">
        <v>4</v>
      </c>
      <c r="BW126" s="4">
        <v>4</v>
      </c>
      <c r="BX126" s="4">
        <v>4</v>
      </c>
      <c r="BY126" s="4">
        <v>1</v>
      </c>
      <c r="BZ126" s="4">
        <v>4</v>
      </c>
      <c r="CA126" s="1">
        <v>4</v>
      </c>
      <c r="CB126" s="17">
        <v>4</v>
      </c>
      <c r="CC126" s="4">
        <v>4</v>
      </c>
      <c r="CD126" s="4">
        <v>4</v>
      </c>
      <c r="CE126" s="1">
        <v>4</v>
      </c>
      <c r="CF126" s="57">
        <v>4</v>
      </c>
      <c r="CG126" s="57">
        <v>4</v>
      </c>
      <c r="CH126" s="4">
        <v>4</v>
      </c>
      <c r="CI126" s="4">
        <v>4</v>
      </c>
      <c r="CJ126" s="4">
        <v>4</v>
      </c>
      <c r="CK126" s="17">
        <v>4</v>
      </c>
      <c r="CL126" s="17">
        <v>4</v>
      </c>
      <c r="CM126" s="17">
        <v>4</v>
      </c>
      <c r="CN126" s="57">
        <v>4</v>
      </c>
      <c r="CO126" s="17">
        <v>4</v>
      </c>
      <c r="CP126" s="17">
        <v>4</v>
      </c>
      <c r="CQ126" s="57">
        <v>4</v>
      </c>
      <c r="CR126" s="17">
        <v>4</v>
      </c>
      <c r="CS126" s="17">
        <v>4</v>
      </c>
      <c r="CT126" s="4">
        <v>1</v>
      </c>
      <c r="CU126" s="4">
        <v>4</v>
      </c>
      <c r="CV126" s="4">
        <v>4</v>
      </c>
      <c r="CW126" s="4">
        <v>4</v>
      </c>
      <c r="CX126" s="4">
        <v>4</v>
      </c>
      <c r="CY126" s="4">
        <v>4</v>
      </c>
      <c r="CZ126" s="4">
        <v>4</v>
      </c>
      <c r="DA126" s="17">
        <v>4</v>
      </c>
      <c r="DB126" s="4">
        <v>4</v>
      </c>
      <c r="DC126" s="4">
        <v>4</v>
      </c>
      <c r="DD126" s="1">
        <v>4</v>
      </c>
      <c r="DE126" s="17">
        <v>4</v>
      </c>
      <c r="DF126" s="57">
        <v>4</v>
      </c>
      <c r="DG126" s="4">
        <v>4</v>
      </c>
      <c r="DH126" s="1">
        <v>4</v>
      </c>
      <c r="DI126" s="4">
        <v>4</v>
      </c>
      <c r="DJ126" s="4">
        <v>4</v>
      </c>
      <c r="DK126" s="1">
        <v>4</v>
      </c>
      <c r="DL126" s="1">
        <v>4</v>
      </c>
      <c r="DM126" s="1">
        <v>4</v>
      </c>
      <c r="DN126" s="1">
        <v>4</v>
      </c>
      <c r="DO126" s="1">
        <v>4</v>
      </c>
      <c r="DP126" s="1">
        <v>4</v>
      </c>
      <c r="DQ126" s="1">
        <v>4</v>
      </c>
      <c r="DR126" s="1">
        <v>4</v>
      </c>
      <c r="DS126" s="1">
        <v>4</v>
      </c>
      <c r="DT126" s="1">
        <v>4</v>
      </c>
    </row>
    <row r="127" spans="1:124" x14ac:dyDescent="0.2">
      <c r="A127" t="s">
        <v>415</v>
      </c>
      <c r="B127" s="1" t="s">
        <v>1238</v>
      </c>
      <c r="C127" s="1" t="s">
        <v>1238</v>
      </c>
      <c r="E127" s="4">
        <v>1</v>
      </c>
      <c r="F127" s="1">
        <v>4</v>
      </c>
      <c r="G127" s="1">
        <v>1</v>
      </c>
      <c r="H127" s="1">
        <v>1</v>
      </c>
      <c r="I127" s="1">
        <v>4</v>
      </c>
      <c r="J127" s="4">
        <v>1</v>
      </c>
      <c r="K127" s="4">
        <v>4</v>
      </c>
      <c r="L127" s="4">
        <v>1</v>
      </c>
      <c r="M127" s="4">
        <v>1</v>
      </c>
      <c r="N127" s="1">
        <v>4</v>
      </c>
      <c r="O127" s="4">
        <v>4</v>
      </c>
      <c r="P127" s="4">
        <v>4</v>
      </c>
      <c r="Q127" s="4">
        <v>4</v>
      </c>
      <c r="R127" s="1">
        <v>4</v>
      </c>
      <c r="S127" s="1">
        <v>1</v>
      </c>
      <c r="T127" s="4">
        <v>1</v>
      </c>
      <c r="U127" s="1">
        <v>4</v>
      </c>
      <c r="V127" s="57">
        <v>4</v>
      </c>
      <c r="W127" s="4">
        <v>3</v>
      </c>
      <c r="X127" s="4">
        <v>1</v>
      </c>
      <c r="Y127" s="1">
        <v>4</v>
      </c>
      <c r="Z127" s="4">
        <v>4</v>
      </c>
      <c r="AA127" s="4">
        <v>4</v>
      </c>
      <c r="AB127" s="4">
        <v>4</v>
      </c>
      <c r="AC127" s="57">
        <v>4</v>
      </c>
      <c r="AD127" s="4">
        <v>4</v>
      </c>
      <c r="AE127" s="4">
        <v>4</v>
      </c>
      <c r="AF127" s="4">
        <v>1</v>
      </c>
      <c r="AG127" s="4">
        <v>1</v>
      </c>
      <c r="AH127" s="4">
        <v>1</v>
      </c>
      <c r="AI127" s="1">
        <v>4</v>
      </c>
      <c r="AJ127" s="4">
        <v>1</v>
      </c>
      <c r="AK127" s="4">
        <v>1</v>
      </c>
      <c r="AL127" s="4">
        <v>4</v>
      </c>
      <c r="AM127" s="4">
        <v>4</v>
      </c>
      <c r="AN127" s="4">
        <v>4</v>
      </c>
      <c r="AO127" s="17">
        <v>4</v>
      </c>
      <c r="AP127" s="17">
        <v>4</v>
      </c>
      <c r="AQ127" s="17">
        <v>4</v>
      </c>
      <c r="AR127" s="17">
        <v>4</v>
      </c>
      <c r="AS127" s="17">
        <v>4</v>
      </c>
      <c r="AT127" s="17">
        <v>4</v>
      </c>
      <c r="AU127" s="17">
        <v>4</v>
      </c>
      <c r="AV127" s="57">
        <v>4</v>
      </c>
      <c r="AW127" s="17">
        <v>4</v>
      </c>
      <c r="AX127" s="17">
        <v>4</v>
      </c>
      <c r="AY127" s="4">
        <v>4</v>
      </c>
      <c r="AZ127" s="4">
        <v>4</v>
      </c>
      <c r="BA127" s="57">
        <v>4</v>
      </c>
      <c r="BB127" s="57">
        <v>4</v>
      </c>
      <c r="BC127" s="1">
        <v>3</v>
      </c>
      <c r="BD127" s="4">
        <v>1</v>
      </c>
      <c r="BE127" s="4">
        <v>4</v>
      </c>
      <c r="BF127" s="4">
        <v>4</v>
      </c>
      <c r="BG127" s="4">
        <v>4</v>
      </c>
      <c r="BH127" s="4">
        <v>3</v>
      </c>
      <c r="BI127" s="4">
        <v>4</v>
      </c>
      <c r="BJ127" s="4">
        <v>4</v>
      </c>
      <c r="BK127" s="4">
        <v>4</v>
      </c>
      <c r="BL127" s="4">
        <v>4</v>
      </c>
      <c r="BM127" s="4">
        <v>4</v>
      </c>
      <c r="BN127" s="4">
        <v>4</v>
      </c>
      <c r="BO127" s="4">
        <v>4</v>
      </c>
      <c r="BP127" s="4">
        <v>4</v>
      </c>
      <c r="BQ127" s="4">
        <v>4</v>
      </c>
      <c r="BR127" s="4">
        <v>4</v>
      </c>
      <c r="BS127" s="4">
        <v>4</v>
      </c>
      <c r="BT127" s="4">
        <v>4</v>
      </c>
      <c r="BU127" s="4">
        <v>4</v>
      </c>
      <c r="BV127" s="4">
        <v>4</v>
      </c>
      <c r="BW127" s="4">
        <v>4</v>
      </c>
      <c r="BX127" s="4">
        <v>4</v>
      </c>
      <c r="BY127" s="4">
        <v>1</v>
      </c>
      <c r="BZ127" s="4">
        <v>4</v>
      </c>
      <c r="CA127" s="1">
        <v>4</v>
      </c>
      <c r="CB127" s="17">
        <v>4</v>
      </c>
      <c r="CC127" s="4">
        <v>4</v>
      </c>
      <c r="CD127" s="4">
        <v>4</v>
      </c>
      <c r="CE127" s="1">
        <v>4</v>
      </c>
      <c r="CF127" s="57">
        <v>4</v>
      </c>
      <c r="CG127" s="57">
        <v>4</v>
      </c>
      <c r="CH127" s="4">
        <v>4</v>
      </c>
      <c r="CI127" s="4">
        <v>4</v>
      </c>
      <c r="CJ127" s="4">
        <v>4</v>
      </c>
      <c r="CK127" s="17">
        <v>4</v>
      </c>
      <c r="CL127" s="17">
        <v>4</v>
      </c>
      <c r="CM127" s="17">
        <v>4</v>
      </c>
      <c r="CN127" s="57">
        <v>4</v>
      </c>
      <c r="CO127" s="17">
        <v>4</v>
      </c>
      <c r="CP127" s="17">
        <v>4</v>
      </c>
      <c r="CQ127" s="57">
        <v>4</v>
      </c>
      <c r="CR127" s="17">
        <v>4</v>
      </c>
      <c r="CS127" s="17">
        <v>4</v>
      </c>
      <c r="CT127" s="4">
        <v>1</v>
      </c>
      <c r="CU127" s="4">
        <v>4</v>
      </c>
      <c r="CV127" s="4">
        <v>4</v>
      </c>
      <c r="CW127" s="4">
        <v>4</v>
      </c>
      <c r="CX127" s="4">
        <v>4</v>
      </c>
      <c r="CY127" s="4">
        <v>4</v>
      </c>
      <c r="CZ127" s="4">
        <v>4</v>
      </c>
      <c r="DA127" s="17">
        <v>4</v>
      </c>
      <c r="DB127" s="4">
        <v>4</v>
      </c>
      <c r="DC127" s="4">
        <v>4</v>
      </c>
      <c r="DD127" s="1">
        <v>4</v>
      </c>
      <c r="DE127" s="17">
        <v>4</v>
      </c>
      <c r="DF127" s="57">
        <v>4</v>
      </c>
      <c r="DG127" s="4">
        <v>4</v>
      </c>
      <c r="DH127" s="1">
        <v>4</v>
      </c>
      <c r="DI127" s="4">
        <v>4</v>
      </c>
      <c r="DJ127" s="4">
        <v>4</v>
      </c>
      <c r="DK127" s="1">
        <v>4</v>
      </c>
      <c r="DL127" s="1">
        <v>4</v>
      </c>
      <c r="DM127" s="1">
        <v>4</v>
      </c>
      <c r="DN127" s="1">
        <v>4</v>
      </c>
      <c r="DO127" s="1">
        <v>4</v>
      </c>
      <c r="DP127" s="1">
        <v>4</v>
      </c>
      <c r="DQ127" s="1">
        <v>4</v>
      </c>
      <c r="DR127" s="1">
        <v>4</v>
      </c>
      <c r="DS127" s="1">
        <v>4</v>
      </c>
      <c r="DT127" s="1">
        <v>4</v>
      </c>
    </row>
    <row r="128" spans="1:124" x14ac:dyDescent="0.2">
      <c r="A128" t="s">
        <v>412</v>
      </c>
      <c r="B128" s="1" t="s">
        <v>1238</v>
      </c>
      <c r="C128" s="1" t="s">
        <v>1238</v>
      </c>
      <c r="E128" s="4">
        <v>1</v>
      </c>
      <c r="F128" s="1">
        <v>4</v>
      </c>
      <c r="G128" s="1">
        <v>1</v>
      </c>
      <c r="H128" s="1">
        <v>1</v>
      </c>
      <c r="I128" s="1">
        <v>4</v>
      </c>
      <c r="J128" s="4">
        <v>1</v>
      </c>
      <c r="K128" s="4">
        <v>4</v>
      </c>
      <c r="L128" s="4">
        <v>1</v>
      </c>
      <c r="M128" s="4">
        <v>1</v>
      </c>
      <c r="N128" s="1">
        <v>4</v>
      </c>
      <c r="O128" s="4">
        <v>4</v>
      </c>
      <c r="P128" s="4">
        <v>4</v>
      </c>
      <c r="Q128" s="4">
        <v>4</v>
      </c>
      <c r="R128" s="1">
        <v>4</v>
      </c>
      <c r="S128" s="1">
        <v>1</v>
      </c>
      <c r="T128" s="4">
        <v>1</v>
      </c>
      <c r="U128" s="1">
        <v>4</v>
      </c>
      <c r="V128" s="57">
        <v>4</v>
      </c>
      <c r="W128" s="4">
        <v>3</v>
      </c>
      <c r="X128" s="4">
        <v>1</v>
      </c>
      <c r="Y128" s="1">
        <v>4</v>
      </c>
      <c r="Z128" s="4">
        <v>4</v>
      </c>
      <c r="AA128" s="4">
        <v>4</v>
      </c>
      <c r="AB128" s="4">
        <v>4</v>
      </c>
      <c r="AC128" s="57">
        <v>4</v>
      </c>
      <c r="AD128" s="4">
        <v>4</v>
      </c>
      <c r="AE128" s="4">
        <v>4</v>
      </c>
      <c r="AF128" s="4">
        <v>1</v>
      </c>
      <c r="AG128" s="4">
        <v>1</v>
      </c>
      <c r="AH128" s="4">
        <v>1</v>
      </c>
      <c r="AI128" s="1">
        <v>4</v>
      </c>
      <c r="AJ128" s="4">
        <v>1</v>
      </c>
      <c r="AK128" s="4">
        <v>1</v>
      </c>
      <c r="AL128" s="4">
        <v>4</v>
      </c>
      <c r="AM128" s="4">
        <v>4</v>
      </c>
      <c r="AN128" s="4">
        <v>4</v>
      </c>
      <c r="AO128" s="17">
        <v>4</v>
      </c>
      <c r="AP128" s="17">
        <v>4</v>
      </c>
      <c r="AQ128" s="17">
        <v>4</v>
      </c>
      <c r="AR128" s="17">
        <v>4</v>
      </c>
      <c r="AS128" s="17">
        <v>4</v>
      </c>
      <c r="AT128" s="17">
        <v>4</v>
      </c>
      <c r="AU128" s="17">
        <v>4</v>
      </c>
      <c r="AV128" s="57">
        <v>4</v>
      </c>
      <c r="AW128" s="17">
        <v>4</v>
      </c>
      <c r="AX128" s="17">
        <v>4</v>
      </c>
      <c r="AY128" s="4">
        <v>4</v>
      </c>
      <c r="AZ128" s="4">
        <v>4</v>
      </c>
      <c r="BA128" s="57">
        <v>4</v>
      </c>
      <c r="BB128" s="57">
        <v>4</v>
      </c>
      <c r="BC128" s="1">
        <v>3</v>
      </c>
      <c r="BD128" s="4">
        <v>1</v>
      </c>
      <c r="BE128" s="4">
        <v>4</v>
      </c>
      <c r="BF128" s="4">
        <v>4</v>
      </c>
      <c r="BG128" s="4">
        <v>4</v>
      </c>
      <c r="BH128" s="4">
        <v>3</v>
      </c>
      <c r="BI128" s="4">
        <v>4</v>
      </c>
      <c r="BJ128" s="4">
        <v>4</v>
      </c>
      <c r="BK128" s="4">
        <v>4</v>
      </c>
      <c r="BL128" s="4">
        <v>4</v>
      </c>
      <c r="BM128" s="4">
        <v>4</v>
      </c>
      <c r="BN128" s="4">
        <v>4</v>
      </c>
      <c r="BO128" s="4">
        <v>4</v>
      </c>
      <c r="BP128" s="4">
        <v>4</v>
      </c>
      <c r="BQ128" s="4">
        <v>4</v>
      </c>
      <c r="BR128" s="4">
        <v>4</v>
      </c>
      <c r="BS128" s="4">
        <v>4</v>
      </c>
      <c r="BT128" s="4">
        <v>4</v>
      </c>
      <c r="BU128" s="4">
        <v>4</v>
      </c>
      <c r="BV128" s="4">
        <v>4</v>
      </c>
      <c r="BW128" s="4">
        <v>1</v>
      </c>
      <c r="BX128" s="4">
        <v>1</v>
      </c>
      <c r="BY128" s="4">
        <v>4</v>
      </c>
      <c r="BZ128" s="4">
        <v>4</v>
      </c>
      <c r="CA128" s="1">
        <v>4</v>
      </c>
      <c r="CB128" s="17">
        <v>4</v>
      </c>
      <c r="CC128" s="4">
        <v>4</v>
      </c>
      <c r="CD128" s="4">
        <v>4</v>
      </c>
      <c r="CE128" s="1">
        <v>4</v>
      </c>
      <c r="CF128" s="57">
        <v>4</v>
      </c>
      <c r="CG128" s="57">
        <v>4</v>
      </c>
      <c r="CH128" s="4">
        <v>4</v>
      </c>
      <c r="CI128" s="4">
        <v>4</v>
      </c>
      <c r="CJ128" s="4">
        <v>4</v>
      </c>
      <c r="CK128" s="17">
        <v>4</v>
      </c>
      <c r="CL128" s="17">
        <v>4</v>
      </c>
      <c r="CM128" s="17">
        <v>4</v>
      </c>
      <c r="CN128" s="57">
        <v>4</v>
      </c>
      <c r="CO128" s="17">
        <v>4</v>
      </c>
      <c r="CP128" s="17">
        <v>4</v>
      </c>
      <c r="CQ128" s="57">
        <v>4</v>
      </c>
      <c r="CR128" s="17">
        <v>4</v>
      </c>
      <c r="CS128" s="17">
        <v>4</v>
      </c>
      <c r="CT128" s="4">
        <v>1</v>
      </c>
      <c r="CU128" s="4">
        <v>4</v>
      </c>
      <c r="CV128" s="4">
        <v>4</v>
      </c>
      <c r="CW128" s="4">
        <v>4</v>
      </c>
      <c r="CX128" s="4">
        <v>4</v>
      </c>
      <c r="CY128" s="4">
        <v>4</v>
      </c>
      <c r="CZ128" s="4">
        <v>4</v>
      </c>
      <c r="DA128" s="17">
        <v>4</v>
      </c>
      <c r="DB128" s="4">
        <v>4</v>
      </c>
      <c r="DC128" s="4">
        <v>4</v>
      </c>
      <c r="DD128" s="1">
        <v>4</v>
      </c>
      <c r="DE128" s="17">
        <v>4</v>
      </c>
      <c r="DF128" s="57">
        <v>4</v>
      </c>
      <c r="DG128" s="4">
        <v>4</v>
      </c>
      <c r="DH128" s="1">
        <v>4</v>
      </c>
      <c r="DI128" s="4">
        <v>4</v>
      </c>
      <c r="DJ128" s="4">
        <v>4</v>
      </c>
      <c r="DK128" s="1">
        <v>4</v>
      </c>
      <c r="DL128" s="1">
        <v>4</v>
      </c>
      <c r="DM128" s="1">
        <v>4</v>
      </c>
      <c r="DN128" s="1">
        <v>4</v>
      </c>
      <c r="DO128" s="1">
        <v>4</v>
      </c>
      <c r="DP128" s="1">
        <v>4</v>
      </c>
      <c r="DQ128" s="1">
        <v>4</v>
      </c>
      <c r="DR128" s="1">
        <v>4</v>
      </c>
      <c r="DS128" s="1">
        <v>4</v>
      </c>
      <c r="DT128" s="1">
        <v>4</v>
      </c>
    </row>
    <row r="129" spans="1:124" x14ac:dyDescent="0.2">
      <c r="A129" t="s">
        <v>1421</v>
      </c>
      <c r="B129" s="1" t="s">
        <v>1238</v>
      </c>
      <c r="C129" s="1" t="s">
        <v>1238</v>
      </c>
      <c r="E129" s="4">
        <v>1</v>
      </c>
      <c r="F129" s="1">
        <v>4</v>
      </c>
      <c r="G129" s="1">
        <v>1</v>
      </c>
      <c r="H129" s="1">
        <v>1</v>
      </c>
      <c r="I129" s="1">
        <v>4</v>
      </c>
      <c r="J129" s="4">
        <v>1</v>
      </c>
      <c r="K129" s="4">
        <v>4</v>
      </c>
      <c r="L129" s="4">
        <v>1</v>
      </c>
      <c r="M129" s="4">
        <v>1</v>
      </c>
      <c r="N129" s="1">
        <v>4</v>
      </c>
      <c r="O129" s="4">
        <v>4</v>
      </c>
      <c r="P129" s="4">
        <v>4</v>
      </c>
      <c r="Q129" s="4">
        <v>4</v>
      </c>
      <c r="R129" s="1">
        <v>4</v>
      </c>
      <c r="S129" s="1">
        <v>1</v>
      </c>
      <c r="T129" s="4">
        <v>1</v>
      </c>
      <c r="U129" s="1">
        <v>4</v>
      </c>
      <c r="V129" s="57">
        <v>4</v>
      </c>
      <c r="W129" s="4">
        <v>3</v>
      </c>
      <c r="X129" s="4">
        <v>1</v>
      </c>
      <c r="Y129" s="1">
        <v>4</v>
      </c>
      <c r="Z129" s="4">
        <v>4</v>
      </c>
      <c r="AA129" s="4">
        <v>4</v>
      </c>
      <c r="AB129" s="4">
        <v>4</v>
      </c>
      <c r="AC129" s="57">
        <v>4</v>
      </c>
      <c r="AD129" s="4">
        <v>4</v>
      </c>
      <c r="AE129" s="4">
        <v>4</v>
      </c>
      <c r="AF129" s="4">
        <v>1</v>
      </c>
      <c r="AG129" s="4">
        <v>1</v>
      </c>
      <c r="AH129" s="4">
        <v>1</v>
      </c>
      <c r="AI129" s="1">
        <v>4</v>
      </c>
      <c r="AJ129" s="4">
        <v>1</v>
      </c>
      <c r="AK129" s="4">
        <v>1</v>
      </c>
      <c r="AL129" s="4">
        <v>4</v>
      </c>
      <c r="AM129" s="4">
        <v>4</v>
      </c>
      <c r="AN129" s="4">
        <v>4</v>
      </c>
      <c r="AO129" s="17">
        <v>4</v>
      </c>
      <c r="AP129" s="17">
        <v>4</v>
      </c>
      <c r="AQ129" s="17">
        <v>4</v>
      </c>
      <c r="AR129" s="17">
        <v>4</v>
      </c>
      <c r="AS129" s="17">
        <v>4</v>
      </c>
      <c r="AT129" s="17">
        <v>4</v>
      </c>
      <c r="AU129" s="17">
        <v>4</v>
      </c>
      <c r="AV129" s="57">
        <v>4</v>
      </c>
      <c r="AW129" s="17">
        <v>4</v>
      </c>
      <c r="AX129" s="17">
        <v>4</v>
      </c>
      <c r="AY129" s="4">
        <v>4</v>
      </c>
      <c r="AZ129" s="4">
        <v>4</v>
      </c>
      <c r="BA129" s="57">
        <v>4</v>
      </c>
      <c r="BB129" s="57">
        <v>4</v>
      </c>
      <c r="BC129" s="1">
        <v>3</v>
      </c>
      <c r="BD129" s="4">
        <v>1</v>
      </c>
      <c r="BE129" s="4">
        <v>4</v>
      </c>
      <c r="BF129" s="4">
        <v>4</v>
      </c>
      <c r="BG129" s="4">
        <v>4</v>
      </c>
      <c r="BH129" s="4">
        <v>3</v>
      </c>
      <c r="BI129" s="4">
        <v>4</v>
      </c>
      <c r="BJ129" s="4">
        <v>4</v>
      </c>
      <c r="BK129" s="4">
        <v>4</v>
      </c>
      <c r="BL129" s="4">
        <v>4</v>
      </c>
      <c r="BM129" s="4">
        <v>4</v>
      </c>
      <c r="BN129" s="4">
        <v>4</v>
      </c>
      <c r="BO129" s="4">
        <v>4</v>
      </c>
      <c r="BP129" s="4">
        <v>4</v>
      </c>
      <c r="BQ129" s="4">
        <v>4</v>
      </c>
      <c r="BR129" s="4">
        <v>4</v>
      </c>
      <c r="BS129" s="4">
        <v>4</v>
      </c>
      <c r="BT129" s="4">
        <v>4</v>
      </c>
      <c r="BU129" s="4">
        <v>4</v>
      </c>
      <c r="BV129" s="4">
        <v>4</v>
      </c>
      <c r="BW129" s="4">
        <v>4</v>
      </c>
      <c r="BX129" s="4">
        <v>4</v>
      </c>
      <c r="BY129" s="4">
        <v>1</v>
      </c>
      <c r="BZ129" s="4">
        <v>4</v>
      </c>
      <c r="CA129" s="1">
        <v>4</v>
      </c>
      <c r="CB129" s="17">
        <v>4</v>
      </c>
      <c r="CC129" s="4">
        <v>4</v>
      </c>
      <c r="CD129" s="4">
        <v>4</v>
      </c>
      <c r="CE129" s="1">
        <v>4</v>
      </c>
      <c r="CF129" s="57">
        <v>4</v>
      </c>
      <c r="CG129" s="57">
        <v>4</v>
      </c>
      <c r="CH129" s="4">
        <v>4</v>
      </c>
      <c r="CI129" s="4">
        <v>4</v>
      </c>
      <c r="CJ129" s="4">
        <v>4</v>
      </c>
      <c r="CK129" s="17">
        <v>4</v>
      </c>
      <c r="CL129" s="17">
        <v>4</v>
      </c>
      <c r="CM129" s="17">
        <v>4</v>
      </c>
      <c r="CN129" s="57">
        <v>4</v>
      </c>
      <c r="CO129" s="17">
        <v>4</v>
      </c>
      <c r="CP129" s="17">
        <v>4</v>
      </c>
      <c r="CQ129" s="57">
        <v>4</v>
      </c>
      <c r="CR129" s="17">
        <v>4</v>
      </c>
      <c r="CS129" s="17">
        <v>4</v>
      </c>
      <c r="CT129" s="4">
        <v>1</v>
      </c>
      <c r="CU129" s="4">
        <v>4</v>
      </c>
      <c r="CV129" s="4">
        <v>4</v>
      </c>
      <c r="CW129" s="4">
        <v>4</v>
      </c>
      <c r="CX129" s="4">
        <v>4</v>
      </c>
      <c r="CY129" s="4">
        <v>4</v>
      </c>
      <c r="CZ129" s="4">
        <v>4</v>
      </c>
      <c r="DA129" s="17">
        <v>4</v>
      </c>
      <c r="DB129" s="4">
        <v>4</v>
      </c>
      <c r="DC129" s="4">
        <v>4</v>
      </c>
      <c r="DD129" s="1">
        <v>4</v>
      </c>
      <c r="DE129" s="17">
        <v>4</v>
      </c>
      <c r="DF129" s="57">
        <v>4</v>
      </c>
      <c r="DG129" s="4">
        <v>4</v>
      </c>
      <c r="DH129" s="1">
        <v>4</v>
      </c>
      <c r="DI129" s="4">
        <v>4</v>
      </c>
      <c r="DJ129" s="4">
        <v>4</v>
      </c>
      <c r="DK129" s="1">
        <v>4</v>
      </c>
      <c r="DL129" s="1">
        <v>4</v>
      </c>
      <c r="DM129" s="1">
        <v>4</v>
      </c>
      <c r="DN129" s="1">
        <v>4</v>
      </c>
      <c r="DO129" s="1">
        <v>4</v>
      </c>
      <c r="DP129" s="1">
        <v>4</v>
      </c>
      <c r="DQ129" s="1">
        <v>4</v>
      </c>
      <c r="DR129" s="1">
        <v>4</v>
      </c>
      <c r="DS129" s="1">
        <v>4</v>
      </c>
      <c r="DT129" s="1">
        <v>4</v>
      </c>
    </row>
    <row r="130" spans="1:124" x14ac:dyDescent="0.2">
      <c r="A130" t="s">
        <v>413</v>
      </c>
      <c r="B130" s="1" t="s">
        <v>1238</v>
      </c>
      <c r="C130" s="1" t="s">
        <v>1238</v>
      </c>
      <c r="E130" s="4">
        <v>1</v>
      </c>
      <c r="F130" s="1">
        <v>4</v>
      </c>
      <c r="G130" s="1">
        <v>1</v>
      </c>
      <c r="H130" s="1">
        <v>1</v>
      </c>
      <c r="I130" s="1">
        <v>4</v>
      </c>
      <c r="J130" s="4">
        <v>1</v>
      </c>
      <c r="K130" s="4">
        <v>4</v>
      </c>
      <c r="L130" s="4">
        <v>1</v>
      </c>
      <c r="M130" s="4">
        <v>1</v>
      </c>
      <c r="N130" s="1">
        <v>4</v>
      </c>
      <c r="O130" s="4">
        <v>4</v>
      </c>
      <c r="P130" s="4">
        <v>4</v>
      </c>
      <c r="Q130" s="4">
        <v>4</v>
      </c>
      <c r="R130" s="1">
        <v>4</v>
      </c>
      <c r="S130" s="1">
        <v>1</v>
      </c>
      <c r="T130" s="4">
        <v>1</v>
      </c>
      <c r="U130" s="1">
        <v>4</v>
      </c>
      <c r="V130" s="57">
        <v>4</v>
      </c>
      <c r="W130" s="4">
        <v>3</v>
      </c>
      <c r="X130" s="4">
        <v>1</v>
      </c>
      <c r="Y130" s="1">
        <v>4</v>
      </c>
      <c r="Z130" s="4">
        <v>4</v>
      </c>
      <c r="AA130" s="4">
        <v>4</v>
      </c>
      <c r="AB130" s="4">
        <v>4</v>
      </c>
      <c r="AC130" s="57">
        <v>4</v>
      </c>
      <c r="AD130" s="4">
        <v>4</v>
      </c>
      <c r="AE130" s="4">
        <v>4</v>
      </c>
      <c r="AF130" s="4">
        <v>1</v>
      </c>
      <c r="AG130" s="4">
        <v>1</v>
      </c>
      <c r="AH130" s="4">
        <v>1</v>
      </c>
      <c r="AI130" s="1">
        <v>4</v>
      </c>
      <c r="AJ130" s="4">
        <v>1</v>
      </c>
      <c r="AK130" s="4">
        <v>1</v>
      </c>
      <c r="AL130" s="4">
        <v>4</v>
      </c>
      <c r="AM130" s="4">
        <v>4</v>
      </c>
      <c r="AN130" s="4">
        <v>4</v>
      </c>
      <c r="AO130" s="17">
        <v>4</v>
      </c>
      <c r="AP130" s="17">
        <v>4</v>
      </c>
      <c r="AQ130" s="17">
        <v>4</v>
      </c>
      <c r="AR130" s="17">
        <v>4</v>
      </c>
      <c r="AS130" s="17">
        <v>4</v>
      </c>
      <c r="AT130" s="17">
        <v>4</v>
      </c>
      <c r="AU130" s="17">
        <v>4</v>
      </c>
      <c r="AV130" s="57">
        <v>4</v>
      </c>
      <c r="AW130" s="17">
        <v>4</v>
      </c>
      <c r="AX130" s="17">
        <v>4</v>
      </c>
      <c r="AY130" s="4">
        <v>4</v>
      </c>
      <c r="AZ130" s="4">
        <v>4</v>
      </c>
      <c r="BA130" s="57">
        <v>4</v>
      </c>
      <c r="BB130" s="57">
        <v>4</v>
      </c>
      <c r="BC130" s="1">
        <v>3</v>
      </c>
      <c r="BD130" s="4">
        <v>1</v>
      </c>
      <c r="BE130" s="4">
        <v>4</v>
      </c>
      <c r="BF130" s="4">
        <v>4</v>
      </c>
      <c r="BG130" s="4">
        <v>4</v>
      </c>
      <c r="BH130" s="4">
        <v>3</v>
      </c>
      <c r="BI130" s="4">
        <v>4</v>
      </c>
      <c r="BJ130" s="4">
        <v>4</v>
      </c>
      <c r="BK130" s="4">
        <v>4</v>
      </c>
      <c r="BL130" s="4">
        <v>4</v>
      </c>
      <c r="BM130" s="4">
        <v>4</v>
      </c>
      <c r="BN130" s="4">
        <v>4</v>
      </c>
      <c r="BO130" s="4">
        <v>4</v>
      </c>
      <c r="BP130" s="4">
        <v>4</v>
      </c>
      <c r="BQ130" s="4">
        <v>4</v>
      </c>
      <c r="BR130" s="4">
        <v>4</v>
      </c>
      <c r="BS130" s="4">
        <v>4</v>
      </c>
      <c r="BT130" s="4">
        <v>4</v>
      </c>
      <c r="BU130" s="4">
        <v>4</v>
      </c>
      <c r="BV130" s="4">
        <v>4</v>
      </c>
      <c r="BW130" s="4">
        <v>4</v>
      </c>
      <c r="BX130" s="4">
        <v>4</v>
      </c>
      <c r="BY130" s="4">
        <v>1</v>
      </c>
      <c r="BZ130" s="4">
        <v>4</v>
      </c>
      <c r="CA130" s="1">
        <v>4</v>
      </c>
      <c r="CB130" s="17">
        <v>4</v>
      </c>
      <c r="CC130" s="4">
        <v>4</v>
      </c>
      <c r="CD130" s="4">
        <v>4</v>
      </c>
      <c r="CE130" s="1">
        <v>4</v>
      </c>
      <c r="CF130" s="57">
        <v>4</v>
      </c>
      <c r="CG130" s="57">
        <v>4</v>
      </c>
      <c r="CH130" s="4">
        <v>4</v>
      </c>
      <c r="CI130" s="4">
        <v>4</v>
      </c>
      <c r="CJ130" s="4">
        <v>4</v>
      </c>
      <c r="CK130" s="17">
        <v>4</v>
      </c>
      <c r="CL130" s="17">
        <v>4</v>
      </c>
      <c r="CM130" s="17">
        <v>4</v>
      </c>
      <c r="CN130" s="57">
        <v>4</v>
      </c>
      <c r="CO130" s="17">
        <v>4</v>
      </c>
      <c r="CP130" s="17">
        <v>4</v>
      </c>
      <c r="CQ130" s="57">
        <v>4</v>
      </c>
      <c r="CR130" s="17">
        <v>4</v>
      </c>
      <c r="CS130" s="17">
        <v>4</v>
      </c>
      <c r="CT130" s="4">
        <v>1</v>
      </c>
      <c r="CU130" s="4">
        <v>4</v>
      </c>
      <c r="CV130" s="4">
        <v>4</v>
      </c>
      <c r="CW130" s="4">
        <v>4</v>
      </c>
      <c r="CX130" s="4">
        <v>4</v>
      </c>
      <c r="CY130" s="4">
        <v>4</v>
      </c>
      <c r="CZ130" s="4">
        <v>4</v>
      </c>
      <c r="DA130" s="17">
        <v>4</v>
      </c>
      <c r="DB130" s="4">
        <v>4</v>
      </c>
      <c r="DC130" s="4">
        <v>4</v>
      </c>
      <c r="DD130" s="1">
        <v>4</v>
      </c>
      <c r="DE130" s="17">
        <v>4</v>
      </c>
      <c r="DF130" s="57">
        <v>4</v>
      </c>
      <c r="DG130" s="4">
        <v>4</v>
      </c>
      <c r="DH130" s="1">
        <v>4</v>
      </c>
      <c r="DI130" s="4">
        <v>4</v>
      </c>
      <c r="DJ130" s="4">
        <v>4</v>
      </c>
      <c r="DK130" s="1">
        <v>4</v>
      </c>
      <c r="DL130" s="1">
        <v>4</v>
      </c>
      <c r="DM130" s="1">
        <v>4</v>
      </c>
      <c r="DN130" s="1">
        <v>4</v>
      </c>
      <c r="DO130" s="1">
        <v>4</v>
      </c>
      <c r="DP130" s="1">
        <v>4</v>
      </c>
      <c r="DQ130" s="1">
        <v>4</v>
      </c>
      <c r="DR130" s="1">
        <v>4</v>
      </c>
      <c r="DS130" s="1">
        <v>4</v>
      </c>
      <c r="DT130" s="1">
        <v>4</v>
      </c>
    </row>
    <row r="131" spans="1:124" x14ac:dyDescent="0.2">
      <c r="A131" t="s">
        <v>414</v>
      </c>
      <c r="B131" s="1" t="s">
        <v>1238</v>
      </c>
      <c r="C131" s="1" t="s">
        <v>1238</v>
      </c>
      <c r="E131" s="4">
        <v>1</v>
      </c>
      <c r="F131" s="1">
        <v>4</v>
      </c>
      <c r="G131" s="1">
        <v>1</v>
      </c>
      <c r="H131" s="1">
        <v>1</v>
      </c>
      <c r="I131" s="1">
        <v>4</v>
      </c>
      <c r="J131" s="4">
        <v>1</v>
      </c>
      <c r="K131" s="4">
        <v>4</v>
      </c>
      <c r="L131" s="4">
        <v>1</v>
      </c>
      <c r="M131" s="4">
        <v>1</v>
      </c>
      <c r="N131" s="1">
        <v>4</v>
      </c>
      <c r="O131" s="4">
        <v>4</v>
      </c>
      <c r="P131" s="4">
        <v>4</v>
      </c>
      <c r="Q131" s="4">
        <v>4</v>
      </c>
      <c r="R131" s="1">
        <v>4</v>
      </c>
      <c r="S131" s="1">
        <v>1</v>
      </c>
      <c r="T131" s="4">
        <v>1</v>
      </c>
      <c r="U131" s="1">
        <v>4</v>
      </c>
      <c r="V131" s="57">
        <v>4</v>
      </c>
      <c r="W131" s="4">
        <v>3</v>
      </c>
      <c r="X131" s="4">
        <v>1</v>
      </c>
      <c r="Y131" s="1">
        <v>4</v>
      </c>
      <c r="Z131" s="4">
        <v>4</v>
      </c>
      <c r="AA131" s="4">
        <v>4</v>
      </c>
      <c r="AB131" s="4">
        <v>4</v>
      </c>
      <c r="AC131" s="57">
        <v>4</v>
      </c>
      <c r="AD131" s="4">
        <v>4</v>
      </c>
      <c r="AE131" s="4">
        <v>4</v>
      </c>
      <c r="AF131" s="4">
        <v>1</v>
      </c>
      <c r="AG131" s="4">
        <v>1</v>
      </c>
      <c r="AH131" s="4">
        <v>1</v>
      </c>
      <c r="AI131" s="1">
        <v>4</v>
      </c>
      <c r="AJ131" s="4">
        <v>1</v>
      </c>
      <c r="AK131" s="4">
        <v>1</v>
      </c>
      <c r="AL131" s="4">
        <v>4</v>
      </c>
      <c r="AM131" s="4">
        <v>4</v>
      </c>
      <c r="AN131" s="4">
        <v>4</v>
      </c>
      <c r="AO131" s="17">
        <v>4</v>
      </c>
      <c r="AP131" s="17">
        <v>4</v>
      </c>
      <c r="AQ131" s="17">
        <v>4</v>
      </c>
      <c r="AR131" s="17">
        <v>4</v>
      </c>
      <c r="AS131" s="17">
        <v>4</v>
      </c>
      <c r="AT131" s="17">
        <v>4</v>
      </c>
      <c r="AU131" s="17">
        <v>4</v>
      </c>
      <c r="AV131" s="57">
        <v>4</v>
      </c>
      <c r="AW131" s="17">
        <v>4</v>
      </c>
      <c r="AX131" s="17">
        <v>4</v>
      </c>
      <c r="AY131" s="4">
        <v>4</v>
      </c>
      <c r="AZ131" s="4">
        <v>4</v>
      </c>
      <c r="BA131" s="57">
        <v>4</v>
      </c>
      <c r="BB131" s="57">
        <v>4</v>
      </c>
      <c r="BC131" s="1">
        <v>3</v>
      </c>
      <c r="BD131" s="4">
        <v>1</v>
      </c>
      <c r="BE131" s="4">
        <v>4</v>
      </c>
      <c r="BF131" s="4">
        <v>4</v>
      </c>
      <c r="BG131" s="4">
        <v>4</v>
      </c>
      <c r="BH131" s="4">
        <v>3</v>
      </c>
      <c r="BI131" s="4">
        <v>4</v>
      </c>
      <c r="BJ131" s="4">
        <v>4</v>
      </c>
      <c r="BK131" s="4">
        <v>4</v>
      </c>
      <c r="BL131" s="4">
        <v>4</v>
      </c>
      <c r="BM131" s="4">
        <v>4</v>
      </c>
      <c r="BN131" s="4">
        <v>4</v>
      </c>
      <c r="BO131" s="4">
        <v>4</v>
      </c>
      <c r="BP131" s="4">
        <v>4</v>
      </c>
      <c r="BQ131" s="4">
        <v>4</v>
      </c>
      <c r="BR131" s="4">
        <v>4</v>
      </c>
      <c r="BS131" s="4">
        <v>4</v>
      </c>
      <c r="BT131" s="4">
        <v>4</v>
      </c>
      <c r="BU131" s="4">
        <v>4</v>
      </c>
      <c r="BV131" s="4">
        <v>4</v>
      </c>
      <c r="BW131" s="4">
        <v>1</v>
      </c>
      <c r="BX131" s="4">
        <v>1</v>
      </c>
      <c r="BY131" s="4">
        <v>4</v>
      </c>
      <c r="BZ131" s="4">
        <v>4</v>
      </c>
      <c r="CA131" s="1">
        <v>4</v>
      </c>
      <c r="CB131" s="17">
        <v>4</v>
      </c>
      <c r="CC131" s="4">
        <v>4</v>
      </c>
      <c r="CD131" s="4">
        <v>4</v>
      </c>
      <c r="CE131" s="1">
        <v>4</v>
      </c>
      <c r="CF131" s="57">
        <v>4</v>
      </c>
      <c r="CG131" s="57">
        <v>4</v>
      </c>
      <c r="CH131" s="4">
        <v>4</v>
      </c>
      <c r="CI131" s="4">
        <v>4</v>
      </c>
      <c r="CJ131" s="4">
        <v>4</v>
      </c>
      <c r="CK131" s="17">
        <v>4</v>
      </c>
      <c r="CL131" s="17">
        <v>4</v>
      </c>
      <c r="CM131" s="17">
        <v>4</v>
      </c>
      <c r="CN131" s="57">
        <v>4</v>
      </c>
      <c r="CO131" s="17">
        <v>4</v>
      </c>
      <c r="CP131" s="17">
        <v>4</v>
      </c>
      <c r="CQ131" s="57">
        <v>4</v>
      </c>
      <c r="CR131" s="17">
        <v>4</v>
      </c>
      <c r="CS131" s="17">
        <v>4</v>
      </c>
      <c r="CT131" s="4">
        <v>1</v>
      </c>
      <c r="CU131" s="4">
        <v>4</v>
      </c>
      <c r="CV131" s="4">
        <v>4</v>
      </c>
      <c r="CW131" s="4">
        <v>4</v>
      </c>
      <c r="CX131" s="4">
        <v>4</v>
      </c>
      <c r="CY131" s="4">
        <v>4</v>
      </c>
      <c r="CZ131" s="4">
        <v>4</v>
      </c>
      <c r="DA131" s="17">
        <v>4</v>
      </c>
      <c r="DB131" s="4">
        <v>4</v>
      </c>
      <c r="DC131" s="4">
        <v>4</v>
      </c>
      <c r="DD131" s="1">
        <v>4</v>
      </c>
      <c r="DE131" s="17">
        <v>4</v>
      </c>
      <c r="DF131" s="57">
        <v>4</v>
      </c>
      <c r="DG131" s="4">
        <v>4</v>
      </c>
      <c r="DH131" s="1">
        <v>4</v>
      </c>
      <c r="DI131" s="4">
        <v>4</v>
      </c>
      <c r="DJ131" s="4">
        <v>4</v>
      </c>
      <c r="DK131" s="1">
        <v>4</v>
      </c>
      <c r="DL131" s="1">
        <v>4</v>
      </c>
      <c r="DM131" s="1">
        <v>4</v>
      </c>
      <c r="DN131" s="1">
        <v>4</v>
      </c>
      <c r="DO131" s="1">
        <v>4</v>
      </c>
      <c r="DP131" s="1">
        <v>4</v>
      </c>
      <c r="DQ131" s="1">
        <v>4</v>
      </c>
      <c r="DR131" s="1">
        <v>4</v>
      </c>
      <c r="DS131" s="1">
        <v>4</v>
      </c>
      <c r="DT131" s="1">
        <v>4</v>
      </c>
    </row>
    <row r="132" spans="1:124" x14ac:dyDescent="0.2">
      <c r="A132" t="s">
        <v>1422</v>
      </c>
      <c r="B132" s="1" t="s">
        <v>1238</v>
      </c>
      <c r="C132" s="1" t="s">
        <v>1238</v>
      </c>
      <c r="E132" s="4">
        <v>1</v>
      </c>
      <c r="F132" s="1">
        <v>4</v>
      </c>
      <c r="G132" s="1">
        <v>1</v>
      </c>
      <c r="H132" s="1">
        <v>1</v>
      </c>
      <c r="I132" s="1">
        <v>4</v>
      </c>
      <c r="J132" s="4">
        <v>1</v>
      </c>
      <c r="K132" s="4">
        <v>4</v>
      </c>
      <c r="L132" s="4">
        <v>1</v>
      </c>
      <c r="M132" s="4">
        <v>1</v>
      </c>
      <c r="N132" s="1">
        <v>4</v>
      </c>
      <c r="O132" s="4">
        <v>4</v>
      </c>
      <c r="P132" s="4">
        <v>4</v>
      </c>
      <c r="Q132" s="4">
        <v>4</v>
      </c>
      <c r="R132" s="1">
        <v>4</v>
      </c>
      <c r="S132" s="1">
        <v>1</v>
      </c>
      <c r="T132" s="4">
        <v>1</v>
      </c>
      <c r="U132" s="1">
        <v>4</v>
      </c>
      <c r="V132" s="57">
        <v>4</v>
      </c>
      <c r="W132" s="4">
        <v>4</v>
      </c>
      <c r="X132" s="4">
        <v>4</v>
      </c>
      <c r="Y132" s="1">
        <v>4</v>
      </c>
      <c r="Z132" s="4">
        <v>4</v>
      </c>
      <c r="AA132" s="4">
        <v>4</v>
      </c>
      <c r="AB132" s="4">
        <v>4</v>
      </c>
      <c r="AC132" s="57">
        <v>4</v>
      </c>
      <c r="AD132" s="4">
        <v>4</v>
      </c>
      <c r="AE132" s="4">
        <v>4</v>
      </c>
      <c r="AF132" s="4">
        <v>3</v>
      </c>
      <c r="AG132" s="4">
        <v>3</v>
      </c>
      <c r="AH132" s="4">
        <v>3</v>
      </c>
      <c r="AI132" s="1">
        <v>4</v>
      </c>
      <c r="AJ132" s="4">
        <v>1</v>
      </c>
      <c r="AK132" s="1">
        <v>3</v>
      </c>
      <c r="AL132" s="4">
        <v>4</v>
      </c>
      <c r="AM132" s="4">
        <v>4</v>
      </c>
      <c r="AN132" s="4">
        <v>4</v>
      </c>
      <c r="AO132" s="17">
        <v>4</v>
      </c>
      <c r="AP132" s="17">
        <v>4</v>
      </c>
      <c r="AQ132" s="17">
        <v>4</v>
      </c>
      <c r="AR132" s="17">
        <v>4</v>
      </c>
      <c r="AS132" s="17">
        <v>4</v>
      </c>
      <c r="AT132" s="17">
        <v>4</v>
      </c>
      <c r="AU132" s="17">
        <v>4</v>
      </c>
      <c r="AV132" s="57">
        <v>4</v>
      </c>
      <c r="AW132" s="17">
        <v>4</v>
      </c>
      <c r="AX132" s="17">
        <v>4</v>
      </c>
      <c r="AY132" s="4">
        <v>4</v>
      </c>
      <c r="AZ132" s="4">
        <v>4</v>
      </c>
      <c r="BA132" s="57">
        <v>4</v>
      </c>
      <c r="BB132" s="57">
        <v>4</v>
      </c>
      <c r="BC132" s="1">
        <v>3</v>
      </c>
      <c r="BD132" s="4">
        <v>1</v>
      </c>
      <c r="BE132" s="4">
        <v>4</v>
      </c>
      <c r="BF132" s="1">
        <v>3</v>
      </c>
      <c r="BG132" s="1">
        <v>3</v>
      </c>
      <c r="BH132" s="4">
        <v>4</v>
      </c>
      <c r="BI132" s="1">
        <v>3</v>
      </c>
      <c r="BJ132" s="1">
        <v>3</v>
      </c>
      <c r="BK132" s="4">
        <v>4</v>
      </c>
      <c r="BL132" s="4">
        <v>4</v>
      </c>
      <c r="BM132" s="4">
        <v>4</v>
      </c>
      <c r="BN132" s="4">
        <v>4</v>
      </c>
      <c r="BO132" s="4">
        <v>4</v>
      </c>
      <c r="BP132" s="4">
        <v>4</v>
      </c>
      <c r="BQ132" s="4">
        <v>4</v>
      </c>
      <c r="BR132" s="4">
        <v>4</v>
      </c>
      <c r="BS132" s="4">
        <v>4</v>
      </c>
      <c r="BT132" s="4">
        <v>4</v>
      </c>
      <c r="BU132" s="4">
        <v>4</v>
      </c>
      <c r="BV132" s="4">
        <v>4</v>
      </c>
      <c r="BW132" s="1">
        <v>1</v>
      </c>
      <c r="BX132" s="1">
        <v>3</v>
      </c>
      <c r="BY132" s="4">
        <v>4</v>
      </c>
      <c r="BZ132" s="4">
        <v>4</v>
      </c>
      <c r="CA132" s="1">
        <v>4</v>
      </c>
      <c r="CB132" s="17">
        <v>4</v>
      </c>
      <c r="CC132" s="4">
        <v>4</v>
      </c>
      <c r="CD132" s="4">
        <v>4</v>
      </c>
      <c r="CE132" s="1">
        <v>4</v>
      </c>
      <c r="CF132" s="57">
        <v>4</v>
      </c>
      <c r="CG132" s="57">
        <v>4</v>
      </c>
      <c r="CH132" s="4">
        <v>4</v>
      </c>
      <c r="CI132" s="4">
        <v>4</v>
      </c>
      <c r="CJ132" s="4">
        <v>4</v>
      </c>
      <c r="CK132" s="17">
        <v>4</v>
      </c>
      <c r="CL132" s="17">
        <v>4</v>
      </c>
      <c r="CM132" s="17">
        <v>4</v>
      </c>
      <c r="CN132" s="57">
        <v>4</v>
      </c>
      <c r="CO132" s="17">
        <v>4</v>
      </c>
      <c r="CP132" s="17">
        <v>4</v>
      </c>
      <c r="CQ132" s="57">
        <v>4</v>
      </c>
      <c r="CR132" s="17">
        <v>4</v>
      </c>
      <c r="CS132" s="17">
        <v>4</v>
      </c>
      <c r="CT132" s="4">
        <v>3</v>
      </c>
      <c r="CU132" s="4">
        <v>4</v>
      </c>
      <c r="CV132" s="4">
        <v>4</v>
      </c>
      <c r="CW132" s="4">
        <v>3</v>
      </c>
      <c r="CX132" s="4">
        <v>4</v>
      </c>
      <c r="CY132" s="4">
        <v>4</v>
      </c>
      <c r="CZ132" s="4">
        <v>3</v>
      </c>
      <c r="DA132" s="17">
        <v>4</v>
      </c>
      <c r="DB132" s="4">
        <v>4</v>
      </c>
      <c r="DC132" s="4">
        <v>4</v>
      </c>
      <c r="DD132" s="1">
        <v>4</v>
      </c>
      <c r="DE132" s="17">
        <v>4</v>
      </c>
      <c r="DF132" s="57">
        <v>4</v>
      </c>
      <c r="DG132" s="4">
        <v>4</v>
      </c>
      <c r="DH132" s="1">
        <v>4</v>
      </c>
      <c r="DI132" s="4">
        <v>4</v>
      </c>
      <c r="DJ132" s="4">
        <v>4</v>
      </c>
      <c r="DK132" s="1">
        <v>4</v>
      </c>
      <c r="DL132" s="1">
        <v>4</v>
      </c>
      <c r="DM132" s="1">
        <v>4</v>
      </c>
      <c r="DN132" s="1">
        <v>4</v>
      </c>
      <c r="DO132" s="1">
        <v>4</v>
      </c>
      <c r="DP132" s="1">
        <v>4</v>
      </c>
      <c r="DQ132" s="1">
        <v>4</v>
      </c>
      <c r="DR132" s="1">
        <v>4</v>
      </c>
      <c r="DS132" s="1">
        <v>4</v>
      </c>
      <c r="DT132" s="1">
        <v>4</v>
      </c>
    </row>
    <row r="133" spans="1:124" x14ac:dyDescent="0.2">
      <c r="A133" t="s">
        <v>429</v>
      </c>
      <c r="B133" s="1" t="s">
        <v>1238</v>
      </c>
      <c r="C133" s="1" t="s">
        <v>1238</v>
      </c>
      <c r="E133" s="4">
        <v>1</v>
      </c>
      <c r="F133" s="1">
        <v>4</v>
      </c>
      <c r="G133" s="1">
        <v>1</v>
      </c>
      <c r="H133" s="1">
        <v>1</v>
      </c>
      <c r="I133" s="1">
        <v>4</v>
      </c>
      <c r="J133" s="4">
        <v>1</v>
      </c>
      <c r="K133" s="4">
        <v>4</v>
      </c>
      <c r="L133" s="4">
        <v>1</v>
      </c>
      <c r="M133" s="4">
        <v>1</v>
      </c>
      <c r="N133" s="1">
        <v>4</v>
      </c>
      <c r="O133" s="4">
        <v>4</v>
      </c>
      <c r="P133" s="4">
        <v>4</v>
      </c>
      <c r="Q133" s="4">
        <v>4</v>
      </c>
      <c r="R133" s="1">
        <v>4</v>
      </c>
      <c r="S133" s="1">
        <v>1</v>
      </c>
      <c r="T133" s="4">
        <v>1</v>
      </c>
      <c r="U133" s="1">
        <v>4</v>
      </c>
      <c r="V133" s="57">
        <v>4</v>
      </c>
      <c r="W133" s="4">
        <v>4</v>
      </c>
      <c r="X133" s="4">
        <v>4</v>
      </c>
      <c r="Y133" s="1">
        <v>4</v>
      </c>
      <c r="Z133" s="4">
        <v>4</v>
      </c>
      <c r="AA133" s="4">
        <v>4</v>
      </c>
      <c r="AB133" s="4">
        <v>4</v>
      </c>
      <c r="AC133" s="57">
        <v>4</v>
      </c>
      <c r="AD133" s="4">
        <v>4</v>
      </c>
      <c r="AE133" s="4">
        <v>4</v>
      </c>
      <c r="AF133" s="4">
        <v>3</v>
      </c>
      <c r="AG133" s="4">
        <v>3</v>
      </c>
      <c r="AH133" s="4">
        <v>3</v>
      </c>
      <c r="AI133" s="1">
        <v>4</v>
      </c>
      <c r="AJ133" s="4">
        <v>1</v>
      </c>
      <c r="AK133" s="1">
        <v>3</v>
      </c>
      <c r="AL133" s="4">
        <v>4</v>
      </c>
      <c r="AM133" s="4">
        <v>4</v>
      </c>
      <c r="AN133" s="4">
        <v>4</v>
      </c>
      <c r="AO133" s="17">
        <v>4</v>
      </c>
      <c r="AP133" s="17">
        <v>4</v>
      </c>
      <c r="AQ133" s="17">
        <v>4</v>
      </c>
      <c r="AR133" s="17">
        <v>4</v>
      </c>
      <c r="AS133" s="17">
        <v>4</v>
      </c>
      <c r="AT133" s="17">
        <v>4</v>
      </c>
      <c r="AU133" s="17">
        <v>4</v>
      </c>
      <c r="AV133" s="57">
        <v>4</v>
      </c>
      <c r="AW133" s="17">
        <v>4</v>
      </c>
      <c r="AX133" s="17">
        <v>4</v>
      </c>
      <c r="AY133" s="4">
        <v>4</v>
      </c>
      <c r="AZ133" s="4">
        <v>4</v>
      </c>
      <c r="BA133" s="57">
        <v>4</v>
      </c>
      <c r="BB133" s="57">
        <v>4</v>
      </c>
      <c r="BC133" s="1">
        <v>3</v>
      </c>
      <c r="BD133" s="4">
        <v>1</v>
      </c>
      <c r="BE133" s="4">
        <v>4</v>
      </c>
      <c r="BF133" s="1">
        <v>3</v>
      </c>
      <c r="BG133" s="1">
        <v>3</v>
      </c>
      <c r="BH133" s="4">
        <v>4</v>
      </c>
      <c r="BI133" s="1">
        <v>3</v>
      </c>
      <c r="BJ133" s="1">
        <v>3</v>
      </c>
      <c r="BK133" s="4">
        <v>4</v>
      </c>
      <c r="BL133" s="4">
        <v>4</v>
      </c>
      <c r="BM133" s="4">
        <v>4</v>
      </c>
      <c r="BN133" s="4">
        <v>4</v>
      </c>
      <c r="BO133" s="4">
        <v>4</v>
      </c>
      <c r="BP133" s="4">
        <v>4</v>
      </c>
      <c r="BQ133" s="4">
        <v>4</v>
      </c>
      <c r="BR133" s="4">
        <v>4</v>
      </c>
      <c r="BS133" s="4">
        <v>4</v>
      </c>
      <c r="BT133" s="4">
        <v>4</v>
      </c>
      <c r="BU133" s="4">
        <v>4</v>
      </c>
      <c r="BV133" s="4">
        <v>4</v>
      </c>
      <c r="BW133" s="1">
        <v>3</v>
      </c>
      <c r="BX133" s="1">
        <v>3</v>
      </c>
      <c r="BY133" s="4">
        <v>4</v>
      </c>
      <c r="BZ133" s="4">
        <v>4</v>
      </c>
      <c r="CA133" s="1">
        <v>4</v>
      </c>
      <c r="CB133" s="17">
        <v>4</v>
      </c>
      <c r="CC133" s="4">
        <v>4</v>
      </c>
      <c r="CD133" s="4">
        <v>4</v>
      </c>
      <c r="CE133" s="1">
        <v>4</v>
      </c>
      <c r="CF133" s="57">
        <v>4</v>
      </c>
      <c r="CG133" s="57">
        <v>4</v>
      </c>
      <c r="CH133" s="4">
        <v>4</v>
      </c>
      <c r="CI133" s="4">
        <v>4</v>
      </c>
      <c r="CJ133" s="4">
        <v>4</v>
      </c>
      <c r="CK133" s="17">
        <v>4</v>
      </c>
      <c r="CL133" s="17">
        <v>4</v>
      </c>
      <c r="CM133" s="17">
        <v>4</v>
      </c>
      <c r="CN133" s="57">
        <v>4</v>
      </c>
      <c r="CO133" s="17">
        <v>4</v>
      </c>
      <c r="CP133" s="17">
        <v>4</v>
      </c>
      <c r="CQ133" s="57">
        <v>4</v>
      </c>
      <c r="CR133" s="17">
        <v>4</v>
      </c>
      <c r="CS133" s="17">
        <v>4</v>
      </c>
      <c r="CT133" s="4">
        <v>3</v>
      </c>
      <c r="CU133" s="4">
        <v>4</v>
      </c>
      <c r="CV133" s="4">
        <v>4</v>
      </c>
      <c r="CW133" s="4">
        <v>3</v>
      </c>
      <c r="CX133" s="4">
        <v>4</v>
      </c>
      <c r="CY133" s="4">
        <v>4</v>
      </c>
      <c r="CZ133" s="4">
        <v>3</v>
      </c>
      <c r="DA133" s="17">
        <v>4</v>
      </c>
      <c r="DB133" s="4">
        <v>4</v>
      </c>
      <c r="DC133" s="4">
        <v>4</v>
      </c>
      <c r="DD133" s="1">
        <v>4</v>
      </c>
      <c r="DE133" s="17">
        <v>4</v>
      </c>
      <c r="DF133" s="57">
        <v>4</v>
      </c>
      <c r="DG133" s="4">
        <v>4</v>
      </c>
      <c r="DH133" s="1">
        <v>4</v>
      </c>
      <c r="DI133" s="4">
        <v>4</v>
      </c>
      <c r="DJ133" s="4">
        <v>4</v>
      </c>
      <c r="DK133" s="1">
        <v>4</v>
      </c>
      <c r="DL133" s="1">
        <v>4</v>
      </c>
      <c r="DM133" s="1">
        <v>4</v>
      </c>
      <c r="DN133" s="1">
        <v>4</v>
      </c>
      <c r="DO133" s="1">
        <v>4</v>
      </c>
      <c r="DP133" s="1">
        <v>4</v>
      </c>
      <c r="DQ133" s="1">
        <v>4</v>
      </c>
      <c r="DR133" s="1">
        <v>4</v>
      </c>
      <c r="DS133" s="1">
        <v>4</v>
      </c>
      <c r="DT133" s="1">
        <v>4</v>
      </c>
    </row>
    <row r="134" spans="1:124" x14ac:dyDescent="0.2">
      <c r="A134" t="s">
        <v>430</v>
      </c>
      <c r="B134" s="1" t="s">
        <v>1238</v>
      </c>
      <c r="C134" s="1" t="s">
        <v>1238</v>
      </c>
      <c r="E134" s="4">
        <v>1</v>
      </c>
      <c r="F134" s="1">
        <v>4</v>
      </c>
      <c r="G134" s="1">
        <v>1</v>
      </c>
      <c r="H134" s="1">
        <v>1</v>
      </c>
      <c r="I134" s="1">
        <v>4</v>
      </c>
      <c r="J134" s="4">
        <v>1</v>
      </c>
      <c r="K134" s="4">
        <v>4</v>
      </c>
      <c r="L134" s="4">
        <v>1</v>
      </c>
      <c r="M134" s="4">
        <v>1</v>
      </c>
      <c r="N134" s="1">
        <v>4</v>
      </c>
      <c r="O134" s="4">
        <v>4</v>
      </c>
      <c r="P134" s="4">
        <v>4</v>
      </c>
      <c r="Q134" s="4">
        <v>4</v>
      </c>
      <c r="R134" s="1">
        <v>4</v>
      </c>
      <c r="S134" s="1">
        <v>3</v>
      </c>
      <c r="T134" s="4">
        <v>1</v>
      </c>
      <c r="U134" s="1">
        <v>4</v>
      </c>
      <c r="V134" s="57">
        <v>4</v>
      </c>
      <c r="W134" s="4">
        <v>4</v>
      </c>
      <c r="X134" s="4">
        <v>4</v>
      </c>
      <c r="Y134" s="1">
        <v>4</v>
      </c>
      <c r="Z134" s="4">
        <v>4</v>
      </c>
      <c r="AA134" s="4">
        <v>4</v>
      </c>
      <c r="AB134" s="4">
        <v>4</v>
      </c>
      <c r="AC134" s="57">
        <v>4</v>
      </c>
      <c r="AD134" s="4">
        <v>4</v>
      </c>
      <c r="AE134" s="4">
        <v>4</v>
      </c>
      <c r="AF134" s="4">
        <v>1</v>
      </c>
      <c r="AG134" s="4">
        <v>3</v>
      </c>
      <c r="AH134" s="4">
        <v>3</v>
      </c>
      <c r="AI134" s="1">
        <v>4</v>
      </c>
      <c r="AJ134" s="4">
        <v>1</v>
      </c>
      <c r="AK134" s="4">
        <v>1</v>
      </c>
      <c r="AL134" s="4">
        <v>4</v>
      </c>
      <c r="AM134" s="4">
        <v>4</v>
      </c>
      <c r="AN134" s="4">
        <v>4</v>
      </c>
      <c r="AO134" s="17">
        <v>4</v>
      </c>
      <c r="AP134" s="17">
        <v>4</v>
      </c>
      <c r="AQ134" s="17">
        <v>4</v>
      </c>
      <c r="AR134" s="17">
        <v>4</v>
      </c>
      <c r="AS134" s="17">
        <v>4</v>
      </c>
      <c r="AT134" s="17">
        <v>4</v>
      </c>
      <c r="AU134" s="17">
        <v>4</v>
      </c>
      <c r="AV134" s="57">
        <v>4</v>
      </c>
      <c r="AW134" s="17">
        <v>4</v>
      </c>
      <c r="AX134" s="17">
        <v>4</v>
      </c>
      <c r="AY134" s="4">
        <v>4</v>
      </c>
      <c r="AZ134" s="4">
        <v>4</v>
      </c>
      <c r="BA134" s="57">
        <v>4</v>
      </c>
      <c r="BB134" s="57">
        <v>4</v>
      </c>
      <c r="BC134" s="1">
        <v>1</v>
      </c>
      <c r="BD134" s="4">
        <v>1</v>
      </c>
      <c r="BE134" s="4">
        <v>4</v>
      </c>
      <c r="BF134" s="1">
        <v>3</v>
      </c>
      <c r="BG134" s="1">
        <v>3</v>
      </c>
      <c r="BH134" s="4">
        <v>4</v>
      </c>
      <c r="BI134" s="1">
        <v>3</v>
      </c>
      <c r="BJ134" s="1">
        <v>3</v>
      </c>
      <c r="BK134" s="4">
        <v>4</v>
      </c>
      <c r="BL134" s="4">
        <v>4</v>
      </c>
      <c r="BM134" s="4">
        <v>4</v>
      </c>
      <c r="BN134" s="4">
        <v>4</v>
      </c>
      <c r="BO134" s="4">
        <v>4</v>
      </c>
      <c r="BP134" s="4">
        <v>4</v>
      </c>
      <c r="BQ134" s="4">
        <v>4</v>
      </c>
      <c r="BR134" s="4">
        <v>4</v>
      </c>
      <c r="BS134" s="4">
        <v>4</v>
      </c>
      <c r="BT134" s="4">
        <v>4</v>
      </c>
      <c r="BU134" s="4">
        <v>4</v>
      </c>
      <c r="BV134" s="4">
        <v>4</v>
      </c>
      <c r="BW134" s="1">
        <v>1</v>
      </c>
      <c r="BX134" s="1">
        <v>1</v>
      </c>
      <c r="BY134" s="4">
        <v>4</v>
      </c>
      <c r="BZ134" s="4">
        <v>4</v>
      </c>
      <c r="CA134" s="1">
        <v>4</v>
      </c>
      <c r="CB134" s="17">
        <v>4</v>
      </c>
      <c r="CC134" s="4">
        <v>4</v>
      </c>
      <c r="CD134" s="4">
        <v>4</v>
      </c>
      <c r="CE134" s="1">
        <v>4</v>
      </c>
      <c r="CF134" s="57">
        <v>4</v>
      </c>
      <c r="CG134" s="57">
        <v>4</v>
      </c>
      <c r="CH134" s="4">
        <v>4</v>
      </c>
      <c r="CI134" s="4">
        <v>4</v>
      </c>
      <c r="CJ134" s="4">
        <v>4</v>
      </c>
      <c r="CK134" s="17">
        <v>4</v>
      </c>
      <c r="CL134" s="17">
        <v>4</v>
      </c>
      <c r="CM134" s="17">
        <v>4</v>
      </c>
      <c r="CN134" s="57">
        <v>4</v>
      </c>
      <c r="CO134" s="17">
        <v>4</v>
      </c>
      <c r="CP134" s="17">
        <v>4</v>
      </c>
      <c r="CQ134" s="57">
        <v>4</v>
      </c>
      <c r="CR134" s="17">
        <v>4</v>
      </c>
      <c r="CS134" s="17">
        <v>4</v>
      </c>
      <c r="CT134" s="4">
        <v>1</v>
      </c>
      <c r="CU134" s="4">
        <v>4</v>
      </c>
      <c r="CV134" s="4">
        <v>4</v>
      </c>
      <c r="CW134" s="4">
        <v>3</v>
      </c>
      <c r="CX134" s="4">
        <v>4</v>
      </c>
      <c r="CY134" s="4">
        <v>4</v>
      </c>
      <c r="CZ134" s="4">
        <v>3</v>
      </c>
      <c r="DA134" s="17">
        <v>4</v>
      </c>
      <c r="DB134" s="4">
        <v>4</v>
      </c>
      <c r="DC134" s="4">
        <v>4</v>
      </c>
      <c r="DD134" s="1">
        <v>4</v>
      </c>
      <c r="DE134" s="17">
        <v>4</v>
      </c>
      <c r="DF134" s="57">
        <v>4</v>
      </c>
      <c r="DG134" s="4">
        <v>4</v>
      </c>
      <c r="DH134" s="1">
        <v>4</v>
      </c>
      <c r="DI134" s="4">
        <v>4</v>
      </c>
      <c r="DJ134" s="4">
        <v>4</v>
      </c>
      <c r="DK134" s="1">
        <v>4</v>
      </c>
      <c r="DL134" s="1">
        <v>4</v>
      </c>
      <c r="DM134" s="1">
        <v>4</v>
      </c>
      <c r="DN134" s="1">
        <v>4</v>
      </c>
      <c r="DO134" s="1">
        <v>4</v>
      </c>
      <c r="DP134" s="1">
        <v>4</v>
      </c>
      <c r="DQ134" s="1">
        <v>4</v>
      </c>
      <c r="DR134" s="1">
        <v>4</v>
      </c>
      <c r="DS134" s="1">
        <v>4</v>
      </c>
      <c r="DT134" s="1">
        <v>4</v>
      </c>
    </row>
    <row r="135" spans="1:124" x14ac:dyDescent="0.2">
      <c r="A135" t="s">
        <v>431</v>
      </c>
      <c r="B135" s="1" t="s">
        <v>1238</v>
      </c>
      <c r="C135" s="1" t="s">
        <v>1238</v>
      </c>
      <c r="E135" s="4">
        <v>1</v>
      </c>
      <c r="F135" s="1">
        <v>4</v>
      </c>
      <c r="G135" s="1">
        <v>3</v>
      </c>
      <c r="H135" s="1">
        <v>1</v>
      </c>
      <c r="I135" s="1">
        <v>4</v>
      </c>
      <c r="J135" s="1">
        <v>3</v>
      </c>
      <c r="K135" s="4">
        <v>4</v>
      </c>
      <c r="L135" s="4">
        <v>3</v>
      </c>
      <c r="M135" s="4">
        <v>3</v>
      </c>
      <c r="N135" s="1">
        <v>4</v>
      </c>
      <c r="O135" s="4">
        <v>4</v>
      </c>
      <c r="P135" s="4">
        <v>4</v>
      </c>
      <c r="Q135" s="4">
        <v>4</v>
      </c>
      <c r="R135" s="1">
        <v>4</v>
      </c>
      <c r="S135" s="1">
        <v>1</v>
      </c>
      <c r="T135" s="4">
        <v>1</v>
      </c>
      <c r="U135" s="1">
        <v>4</v>
      </c>
      <c r="V135" s="57">
        <v>4</v>
      </c>
      <c r="W135" s="4">
        <v>4</v>
      </c>
      <c r="X135" s="4">
        <v>4</v>
      </c>
      <c r="Y135" s="1">
        <v>4</v>
      </c>
      <c r="Z135" s="4">
        <v>4</v>
      </c>
      <c r="AA135" s="4">
        <v>4</v>
      </c>
      <c r="AB135" s="4">
        <v>4</v>
      </c>
      <c r="AC135" s="57">
        <v>4</v>
      </c>
      <c r="AD135" s="4">
        <v>4</v>
      </c>
      <c r="AE135" s="4">
        <v>4</v>
      </c>
      <c r="AF135" s="4">
        <v>3</v>
      </c>
      <c r="AG135" s="4">
        <v>3</v>
      </c>
      <c r="AH135" s="4">
        <v>3</v>
      </c>
      <c r="AI135" s="1">
        <v>4</v>
      </c>
      <c r="AJ135" s="1">
        <v>3</v>
      </c>
      <c r="AK135" s="1">
        <v>3</v>
      </c>
      <c r="AL135" s="4">
        <v>4</v>
      </c>
      <c r="AM135" s="4">
        <v>4</v>
      </c>
      <c r="AN135" s="4">
        <v>4</v>
      </c>
      <c r="AO135" s="17">
        <v>4</v>
      </c>
      <c r="AP135" s="17">
        <v>4</v>
      </c>
      <c r="AQ135" s="17">
        <v>4</v>
      </c>
      <c r="AR135" s="17">
        <v>4</v>
      </c>
      <c r="AS135" s="17">
        <v>4</v>
      </c>
      <c r="AT135" s="17">
        <v>4</v>
      </c>
      <c r="AU135" s="17">
        <v>4</v>
      </c>
      <c r="AV135" s="57">
        <v>4</v>
      </c>
      <c r="AW135" s="17">
        <v>4</v>
      </c>
      <c r="AX135" s="17">
        <v>4</v>
      </c>
      <c r="AY135" s="4">
        <v>4</v>
      </c>
      <c r="AZ135" s="4">
        <v>4</v>
      </c>
      <c r="BA135" s="57">
        <v>4</v>
      </c>
      <c r="BB135" s="57">
        <v>4</v>
      </c>
      <c r="BC135" s="1">
        <v>3</v>
      </c>
      <c r="BD135" s="4">
        <v>1</v>
      </c>
      <c r="BE135" s="4">
        <v>4</v>
      </c>
      <c r="BF135" s="1">
        <v>3</v>
      </c>
      <c r="BG135" s="1">
        <v>3</v>
      </c>
      <c r="BH135" s="4">
        <v>4</v>
      </c>
      <c r="BI135" s="1">
        <v>3</v>
      </c>
      <c r="BJ135" s="1">
        <v>3</v>
      </c>
      <c r="BK135" s="4">
        <v>4</v>
      </c>
      <c r="BL135" s="4">
        <v>4</v>
      </c>
      <c r="BM135" s="4">
        <v>4</v>
      </c>
      <c r="BN135" s="4">
        <v>4</v>
      </c>
      <c r="BO135" s="4">
        <v>4</v>
      </c>
      <c r="BP135" s="4">
        <v>4</v>
      </c>
      <c r="BQ135" s="4">
        <v>4</v>
      </c>
      <c r="BR135" s="4">
        <v>4</v>
      </c>
      <c r="BS135" s="4">
        <v>4</v>
      </c>
      <c r="BT135" s="4">
        <v>4</v>
      </c>
      <c r="BU135" s="4">
        <v>4</v>
      </c>
      <c r="BV135" s="4">
        <v>4</v>
      </c>
      <c r="BW135" s="1">
        <v>1</v>
      </c>
      <c r="BX135" s="1">
        <v>1</v>
      </c>
      <c r="BY135" s="4">
        <v>4</v>
      </c>
      <c r="BZ135" s="4">
        <v>4</v>
      </c>
      <c r="CA135" s="1">
        <v>4</v>
      </c>
      <c r="CB135" s="17">
        <v>4</v>
      </c>
      <c r="CC135" s="4">
        <v>4</v>
      </c>
      <c r="CD135" s="4">
        <v>4</v>
      </c>
      <c r="CE135" s="1">
        <v>4</v>
      </c>
      <c r="CF135" s="57">
        <v>4</v>
      </c>
      <c r="CG135" s="57">
        <v>4</v>
      </c>
      <c r="CH135" s="4">
        <v>4</v>
      </c>
      <c r="CI135" s="4">
        <v>4</v>
      </c>
      <c r="CJ135" s="4">
        <v>4</v>
      </c>
      <c r="CK135" s="17">
        <v>4</v>
      </c>
      <c r="CL135" s="17">
        <v>4</v>
      </c>
      <c r="CM135" s="17">
        <v>4</v>
      </c>
      <c r="CN135" s="57">
        <v>4</v>
      </c>
      <c r="CO135" s="17">
        <v>4</v>
      </c>
      <c r="CP135" s="17">
        <v>4</v>
      </c>
      <c r="CQ135" s="57">
        <v>4</v>
      </c>
      <c r="CR135" s="17">
        <v>4</v>
      </c>
      <c r="CS135" s="17">
        <v>4</v>
      </c>
      <c r="CT135" s="4">
        <v>1</v>
      </c>
      <c r="CU135" s="4">
        <v>4</v>
      </c>
      <c r="CV135" s="4">
        <v>4</v>
      </c>
      <c r="CW135" s="4">
        <v>3</v>
      </c>
      <c r="CX135" s="4">
        <v>4</v>
      </c>
      <c r="CY135" s="4">
        <v>4</v>
      </c>
      <c r="CZ135" s="4">
        <v>3</v>
      </c>
      <c r="DA135" s="17">
        <v>4</v>
      </c>
      <c r="DB135" s="4">
        <v>4</v>
      </c>
      <c r="DC135" s="4">
        <v>4</v>
      </c>
      <c r="DD135" s="1">
        <v>4</v>
      </c>
      <c r="DE135" s="17">
        <v>4</v>
      </c>
      <c r="DF135" s="57">
        <v>4</v>
      </c>
      <c r="DG135" s="4">
        <v>4</v>
      </c>
      <c r="DH135" s="1">
        <v>4</v>
      </c>
      <c r="DI135" s="4">
        <v>4</v>
      </c>
      <c r="DJ135" s="4">
        <v>4</v>
      </c>
      <c r="DK135" s="1">
        <v>4</v>
      </c>
      <c r="DL135" s="1">
        <v>4</v>
      </c>
      <c r="DM135" s="1">
        <v>4</v>
      </c>
      <c r="DN135" s="1">
        <v>4</v>
      </c>
      <c r="DO135" s="1">
        <v>4</v>
      </c>
      <c r="DP135" s="1">
        <v>4</v>
      </c>
      <c r="DQ135" s="1">
        <v>4</v>
      </c>
      <c r="DR135" s="1">
        <v>4</v>
      </c>
      <c r="DS135" s="1">
        <v>4</v>
      </c>
      <c r="DT135" s="1">
        <v>4</v>
      </c>
    </row>
    <row r="136" spans="1:124" x14ac:dyDescent="0.2">
      <c r="A136" t="s">
        <v>432</v>
      </c>
      <c r="B136" s="1" t="s">
        <v>1238</v>
      </c>
      <c r="C136" s="1" t="s">
        <v>1238</v>
      </c>
      <c r="E136" s="4">
        <v>1</v>
      </c>
      <c r="F136" s="1">
        <v>4</v>
      </c>
      <c r="G136" s="1">
        <v>3</v>
      </c>
      <c r="H136" s="1">
        <v>3</v>
      </c>
      <c r="I136" s="1">
        <v>4</v>
      </c>
      <c r="J136" s="1">
        <v>3</v>
      </c>
      <c r="K136" s="4">
        <v>4</v>
      </c>
      <c r="L136" s="4">
        <v>3</v>
      </c>
      <c r="M136" s="4">
        <v>3</v>
      </c>
      <c r="N136" s="1">
        <v>4</v>
      </c>
      <c r="O136" s="4">
        <v>4</v>
      </c>
      <c r="P136" s="4">
        <v>4</v>
      </c>
      <c r="Q136" s="4">
        <v>4</v>
      </c>
      <c r="R136" s="1">
        <v>4</v>
      </c>
      <c r="S136" s="4">
        <v>3</v>
      </c>
      <c r="T136" s="4">
        <v>3</v>
      </c>
      <c r="U136" s="1">
        <v>4</v>
      </c>
      <c r="V136" s="57">
        <v>4</v>
      </c>
      <c r="W136" s="4">
        <v>4</v>
      </c>
      <c r="X136" s="4">
        <v>4</v>
      </c>
      <c r="Y136" s="1">
        <v>4</v>
      </c>
      <c r="Z136" s="4">
        <v>4</v>
      </c>
      <c r="AA136" s="4">
        <v>4</v>
      </c>
      <c r="AB136" s="4">
        <v>4</v>
      </c>
      <c r="AC136" s="57">
        <v>4</v>
      </c>
      <c r="AD136" s="4">
        <v>4</v>
      </c>
      <c r="AE136" s="4">
        <v>4</v>
      </c>
      <c r="AF136" s="4">
        <v>3</v>
      </c>
      <c r="AG136" s="4">
        <v>3</v>
      </c>
      <c r="AH136" s="4">
        <v>3</v>
      </c>
      <c r="AI136" s="1">
        <v>4</v>
      </c>
      <c r="AJ136" s="1">
        <v>3</v>
      </c>
      <c r="AK136" s="1">
        <v>3</v>
      </c>
      <c r="AL136" s="4">
        <v>4</v>
      </c>
      <c r="AM136" s="4">
        <v>4</v>
      </c>
      <c r="AN136" s="4">
        <v>4</v>
      </c>
      <c r="AO136" s="17">
        <v>4</v>
      </c>
      <c r="AP136" s="17">
        <v>4</v>
      </c>
      <c r="AQ136" s="17">
        <v>4</v>
      </c>
      <c r="AR136" s="17">
        <v>4</v>
      </c>
      <c r="AS136" s="17">
        <v>4</v>
      </c>
      <c r="AT136" s="17">
        <v>4</v>
      </c>
      <c r="AU136" s="17">
        <v>4</v>
      </c>
      <c r="AV136" s="57">
        <v>4</v>
      </c>
      <c r="AW136" s="17">
        <v>4</v>
      </c>
      <c r="AX136" s="17">
        <v>4</v>
      </c>
      <c r="AY136" s="4">
        <v>4</v>
      </c>
      <c r="AZ136" s="4">
        <v>4</v>
      </c>
      <c r="BA136" s="57">
        <v>4</v>
      </c>
      <c r="BB136" s="57">
        <v>4</v>
      </c>
      <c r="BC136" s="1">
        <v>3</v>
      </c>
      <c r="BD136" s="1">
        <v>3</v>
      </c>
      <c r="BE136" s="4">
        <v>4</v>
      </c>
      <c r="BF136" s="1">
        <v>3</v>
      </c>
      <c r="BG136" s="1">
        <v>3</v>
      </c>
      <c r="BH136" s="4">
        <v>4</v>
      </c>
      <c r="BI136" s="1">
        <v>3</v>
      </c>
      <c r="BJ136" s="1">
        <v>3</v>
      </c>
      <c r="BK136" s="4">
        <v>4</v>
      </c>
      <c r="BL136" s="4">
        <v>4</v>
      </c>
      <c r="BM136" s="4">
        <v>4</v>
      </c>
      <c r="BN136" s="4">
        <v>4</v>
      </c>
      <c r="BO136" s="4">
        <v>4</v>
      </c>
      <c r="BP136" s="4">
        <v>4</v>
      </c>
      <c r="BQ136" s="4">
        <v>4</v>
      </c>
      <c r="BR136" s="4">
        <v>4</v>
      </c>
      <c r="BS136" s="4">
        <v>4</v>
      </c>
      <c r="BT136" s="4">
        <v>4</v>
      </c>
      <c r="BU136" s="4">
        <v>4</v>
      </c>
      <c r="BV136" s="4">
        <v>4</v>
      </c>
      <c r="BW136" s="1">
        <v>3</v>
      </c>
      <c r="BX136" s="1">
        <v>3</v>
      </c>
      <c r="BY136" s="4">
        <v>4</v>
      </c>
      <c r="BZ136" s="4">
        <v>4</v>
      </c>
      <c r="CA136" s="1">
        <v>4</v>
      </c>
      <c r="CB136" s="17">
        <v>4</v>
      </c>
      <c r="CC136" s="4">
        <v>4</v>
      </c>
      <c r="CD136" s="4">
        <v>4</v>
      </c>
      <c r="CE136" s="1">
        <v>4</v>
      </c>
      <c r="CF136" s="57">
        <v>4</v>
      </c>
      <c r="CG136" s="57">
        <v>4</v>
      </c>
      <c r="CH136" s="4">
        <v>4</v>
      </c>
      <c r="CI136" s="4">
        <v>4</v>
      </c>
      <c r="CJ136" s="4">
        <v>4</v>
      </c>
      <c r="CK136" s="17">
        <v>4</v>
      </c>
      <c r="CL136" s="17">
        <v>4</v>
      </c>
      <c r="CM136" s="17">
        <v>4</v>
      </c>
      <c r="CN136" s="57">
        <v>4</v>
      </c>
      <c r="CO136" s="17">
        <v>4</v>
      </c>
      <c r="CP136" s="17">
        <v>4</v>
      </c>
      <c r="CQ136" s="57">
        <v>4</v>
      </c>
      <c r="CR136" s="17">
        <v>4</v>
      </c>
      <c r="CS136" s="17">
        <v>4</v>
      </c>
      <c r="CT136" s="4">
        <v>3</v>
      </c>
      <c r="CU136" s="4">
        <v>4</v>
      </c>
      <c r="CV136" s="4">
        <v>4</v>
      </c>
      <c r="CW136" s="4">
        <v>3</v>
      </c>
      <c r="CX136" s="4">
        <v>4</v>
      </c>
      <c r="CY136" s="4">
        <v>4</v>
      </c>
      <c r="CZ136" s="4">
        <v>3</v>
      </c>
      <c r="DA136" s="17">
        <v>4</v>
      </c>
      <c r="DB136" s="4">
        <v>4</v>
      </c>
      <c r="DC136" s="4">
        <v>4</v>
      </c>
      <c r="DD136" s="1">
        <v>4</v>
      </c>
      <c r="DE136" s="17">
        <v>4</v>
      </c>
      <c r="DF136" s="57">
        <v>4</v>
      </c>
      <c r="DG136" s="4">
        <v>4</v>
      </c>
      <c r="DH136" s="1">
        <v>4</v>
      </c>
      <c r="DI136" s="4">
        <v>4</v>
      </c>
      <c r="DJ136" s="4">
        <v>4</v>
      </c>
      <c r="DK136" s="1">
        <v>4</v>
      </c>
      <c r="DL136" s="1">
        <v>4</v>
      </c>
      <c r="DM136" s="1">
        <v>4</v>
      </c>
      <c r="DN136" s="1">
        <v>4</v>
      </c>
      <c r="DO136" s="1">
        <v>4</v>
      </c>
      <c r="DP136" s="1">
        <v>4</v>
      </c>
      <c r="DQ136" s="1">
        <v>4</v>
      </c>
      <c r="DR136" s="1">
        <v>4</v>
      </c>
      <c r="DS136" s="1">
        <v>4</v>
      </c>
      <c r="DT136" s="1">
        <v>4</v>
      </c>
    </row>
    <row r="137" spans="1:124" x14ac:dyDescent="0.2">
      <c r="A137" t="s">
        <v>433</v>
      </c>
      <c r="B137" s="1" t="s">
        <v>1238</v>
      </c>
      <c r="C137" s="1" t="s">
        <v>1238</v>
      </c>
      <c r="E137" s="4">
        <v>1</v>
      </c>
      <c r="F137" s="1">
        <v>4</v>
      </c>
      <c r="G137" s="1">
        <v>3</v>
      </c>
      <c r="H137" s="1">
        <v>3</v>
      </c>
      <c r="I137" s="1">
        <v>4</v>
      </c>
      <c r="J137" s="1">
        <v>3</v>
      </c>
      <c r="K137" s="4">
        <v>4</v>
      </c>
      <c r="L137" s="4">
        <v>3</v>
      </c>
      <c r="M137" s="4">
        <v>3</v>
      </c>
      <c r="N137" s="1">
        <v>4</v>
      </c>
      <c r="O137" s="4">
        <v>4</v>
      </c>
      <c r="P137" s="4">
        <v>4</v>
      </c>
      <c r="Q137" s="4">
        <v>4</v>
      </c>
      <c r="R137" s="1">
        <v>4</v>
      </c>
      <c r="S137" s="4">
        <v>3</v>
      </c>
      <c r="T137" s="4">
        <v>3</v>
      </c>
      <c r="U137" s="1">
        <v>4</v>
      </c>
      <c r="V137" s="57">
        <v>4</v>
      </c>
      <c r="W137" s="4">
        <v>4</v>
      </c>
      <c r="X137" s="4">
        <v>4</v>
      </c>
      <c r="Y137" s="1">
        <v>4</v>
      </c>
      <c r="Z137" s="4">
        <v>4</v>
      </c>
      <c r="AA137" s="4">
        <v>4</v>
      </c>
      <c r="AB137" s="4">
        <v>4</v>
      </c>
      <c r="AC137" s="57">
        <v>4</v>
      </c>
      <c r="AD137" s="4">
        <v>4</v>
      </c>
      <c r="AE137" s="4">
        <v>4</v>
      </c>
      <c r="AF137" s="4">
        <v>3</v>
      </c>
      <c r="AG137" s="4">
        <v>3</v>
      </c>
      <c r="AH137" s="4">
        <v>3</v>
      </c>
      <c r="AI137" s="1">
        <v>4</v>
      </c>
      <c r="AJ137" s="1">
        <v>3</v>
      </c>
      <c r="AK137" s="1">
        <v>3</v>
      </c>
      <c r="AL137" s="4">
        <v>4</v>
      </c>
      <c r="AM137" s="4">
        <v>4</v>
      </c>
      <c r="AN137" s="4">
        <v>4</v>
      </c>
      <c r="AO137" s="17">
        <v>4</v>
      </c>
      <c r="AP137" s="17">
        <v>4</v>
      </c>
      <c r="AQ137" s="17">
        <v>4</v>
      </c>
      <c r="AR137" s="17">
        <v>4</v>
      </c>
      <c r="AS137" s="17">
        <v>4</v>
      </c>
      <c r="AT137" s="17">
        <v>4</v>
      </c>
      <c r="AU137" s="17">
        <v>4</v>
      </c>
      <c r="AV137" s="57">
        <v>4</v>
      </c>
      <c r="AW137" s="17">
        <v>4</v>
      </c>
      <c r="AX137" s="17">
        <v>4</v>
      </c>
      <c r="AY137" s="4">
        <v>4</v>
      </c>
      <c r="AZ137" s="4">
        <v>4</v>
      </c>
      <c r="BA137" s="57">
        <v>4</v>
      </c>
      <c r="BB137" s="57">
        <v>4</v>
      </c>
      <c r="BC137" s="1">
        <v>3</v>
      </c>
      <c r="BD137" s="1">
        <v>3</v>
      </c>
      <c r="BE137" s="4">
        <v>4</v>
      </c>
      <c r="BF137" s="1">
        <v>3</v>
      </c>
      <c r="BG137" s="1">
        <v>3</v>
      </c>
      <c r="BH137" s="4">
        <v>4</v>
      </c>
      <c r="BI137" s="1">
        <v>3</v>
      </c>
      <c r="BJ137" s="1">
        <v>3</v>
      </c>
      <c r="BK137" s="4">
        <v>4</v>
      </c>
      <c r="BL137" s="4">
        <v>4</v>
      </c>
      <c r="BM137" s="4">
        <v>4</v>
      </c>
      <c r="BN137" s="4">
        <v>4</v>
      </c>
      <c r="BO137" s="4">
        <v>4</v>
      </c>
      <c r="BP137" s="4">
        <v>4</v>
      </c>
      <c r="BQ137" s="4">
        <v>4</v>
      </c>
      <c r="BR137" s="4">
        <v>4</v>
      </c>
      <c r="BS137" s="4">
        <v>4</v>
      </c>
      <c r="BT137" s="4">
        <v>4</v>
      </c>
      <c r="BU137" s="4">
        <v>4</v>
      </c>
      <c r="BV137" s="4">
        <v>4</v>
      </c>
      <c r="BW137" s="1">
        <v>3</v>
      </c>
      <c r="BX137" s="1">
        <v>3</v>
      </c>
      <c r="BY137" s="4">
        <v>4</v>
      </c>
      <c r="BZ137" s="4">
        <v>4</v>
      </c>
      <c r="CA137" s="1">
        <v>4</v>
      </c>
      <c r="CB137" s="17">
        <v>4</v>
      </c>
      <c r="CC137" s="4">
        <v>4</v>
      </c>
      <c r="CD137" s="4">
        <v>4</v>
      </c>
      <c r="CE137" s="1">
        <v>4</v>
      </c>
      <c r="CF137" s="57">
        <v>4</v>
      </c>
      <c r="CG137" s="57">
        <v>4</v>
      </c>
      <c r="CH137" s="4">
        <v>4</v>
      </c>
      <c r="CI137" s="4">
        <v>4</v>
      </c>
      <c r="CJ137" s="4">
        <v>4</v>
      </c>
      <c r="CK137" s="17">
        <v>4</v>
      </c>
      <c r="CL137" s="17">
        <v>4</v>
      </c>
      <c r="CM137" s="17">
        <v>4</v>
      </c>
      <c r="CN137" s="57">
        <v>4</v>
      </c>
      <c r="CO137" s="17">
        <v>4</v>
      </c>
      <c r="CP137" s="17">
        <v>4</v>
      </c>
      <c r="CQ137" s="57">
        <v>4</v>
      </c>
      <c r="CR137" s="17">
        <v>4</v>
      </c>
      <c r="CS137" s="17">
        <v>4</v>
      </c>
      <c r="CT137" s="4">
        <v>1</v>
      </c>
      <c r="CU137" s="4">
        <v>4</v>
      </c>
      <c r="CV137" s="4">
        <v>4</v>
      </c>
      <c r="CW137" s="4">
        <v>3</v>
      </c>
      <c r="CX137" s="4">
        <v>4</v>
      </c>
      <c r="CY137" s="4">
        <v>4</v>
      </c>
      <c r="CZ137" s="4">
        <v>3</v>
      </c>
      <c r="DA137" s="17">
        <v>4</v>
      </c>
      <c r="DB137" s="4">
        <v>4</v>
      </c>
      <c r="DC137" s="4">
        <v>4</v>
      </c>
      <c r="DD137" s="1">
        <v>4</v>
      </c>
      <c r="DE137" s="17">
        <v>4</v>
      </c>
      <c r="DF137" s="57">
        <v>4</v>
      </c>
      <c r="DG137" s="4">
        <v>4</v>
      </c>
      <c r="DH137" s="1">
        <v>4</v>
      </c>
      <c r="DI137" s="4">
        <v>4</v>
      </c>
      <c r="DJ137" s="4">
        <v>4</v>
      </c>
      <c r="DK137" s="1">
        <v>4</v>
      </c>
      <c r="DL137" s="1">
        <v>4</v>
      </c>
      <c r="DM137" s="1">
        <v>4</v>
      </c>
      <c r="DN137" s="1">
        <v>4</v>
      </c>
      <c r="DO137" s="1">
        <v>4</v>
      </c>
      <c r="DP137" s="1">
        <v>4</v>
      </c>
      <c r="DQ137" s="1">
        <v>4</v>
      </c>
      <c r="DR137" s="1">
        <v>4</v>
      </c>
      <c r="DS137" s="1">
        <v>4</v>
      </c>
      <c r="DT137" s="1">
        <v>4</v>
      </c>
    </row>
    <row r="138" spans="1:124" x14ac:dyDescent="0.2">
      <c r="A138" t="s">
        <v>434</v>
      </c>
      <c r="B138" s="1" t="s">
        <v>1238</v>
      </c>
      <c r="C138" s="1" t="s">
        <v>1238</v>
      </c>
      <c r="E138" s="4">
        <v>1</v>
      </c>
      <c r="F138" s="1">
        <v>4</v>
      </c>
      <c r="G138" s="1">
        <v>3</v>
      </c>
      <c r="H138" s="1">
        <v>3</v>
      </c>
      <c r="I138" s="1">
        <v>4</v>
      </c>
      <c r="J138" s="1">
        <v>1</v>
      </c>
      <c r="K138" s="4">
        <v>4</v>
      </c>
      <c r="L138" s="4">
        <v>3</v>
      </c>
      <c r="M138" s="4">
        <v>3</v>
      </c>
      <c r="N138" s="1">
        <v>4</v>
      </c>
      <c r="O138" s="4">
        <v>4</v>
      </c>
      <c r="P138" s="4">
        <v>4</v>
      </c>
      <c r="Q138" s="4">
        <v>4</v>
      </c>
      <c r="R138" s="1">
        <v>4</v>
      </c>
      <c r="S138" s="1">
        <v>1</v>
      </c>
      <c r="T138" s="4">
        <v>3</v>
      </c>
      <c r="U138" s="1">
        <v>4</v>
      </c>
      <c r="V138" s="57">
        <v>4</v>
      </c>
      <c r="W138" s="4">
        <v>4</v>
      </c>
      <c r="X138" s="4">
        <v>4</v>
      </c>
      <c r="Y138" s="1">
        <v>4</v>
      </c>
      <c r="Z138" s="4">
        <v>4</v>
      </c>
      <c r="AA138" s="4">
        <v>4</v>
      </c>
      <c r="AB138" s="4">
        <v>4</v>
      </c>
      <c r="AC138" s="57">
        <v>4</v>
      </c>
      <c r="AD138" s="4">
        <v>4</v>
      </c>
      <c r="AE138" s="4">
        <v>4</v>
      </c>
      <c r="AF138" s="4">
        <v>3</v>
      </c>
      <c r="AG138" s="4">
        <v>3</v>
      </c>
      <c r="AH138" s="4">
        <v>3</v>
      </c>
      <c r="AI138" s="1">
        <v>4</v>
      </c>
      <c r="AJ138" s="4">
        <v>1</v>
      </c>
      <c r="AK138" s="1">
        <v>3</v>
      </c>
      <c r="AL138" s="4">
        <v>4</v>
      </c>
      <c r="AM138" s="4">
        <v>4</v>
      </c>
      <c r="AN138" s="4">
        <v>4</v>
      </c>
      <c r="AO138" s="17">
        <v>4</v>
      </c>
      <c r="AP138" s="17">
        <v>4</v>
      </c>
      <c r="AQ138" s="17">
        <v>4</v>
      </c>
      <c r="AR138" s="17">
        <v>4</v>
      </c>
      <c r="AS138" s="17">
        <v>4</v>
      </c>
      <c r="AT138" s="17">
        <v>4</v>
      </c>
      <c r="AU138" s="17">
        <v>4</v>
      </c>
      <c r="AV138" s="57">
        <v>4</v>
      </c>
      <c r="AW138" s="17">
        <v>4</v>
      </c>
      <c r="AX138" s="17">
        <v>4</v>
      </c>
      <c r="AY138" s="4">
        <v>4</v>
      </c>
      <c r="AZ138" s="4">
        <v>4</v>
      </c>
      <c r="BA138" s="57">
        <v>4</v>
      </c>
      <c r="BB138" s="57">
        <v>4</v>
      </c>
      <c r="BC138" s="1">
        <v>3</v>
      </c>
      <c r="BD138" s="1">
        <v>3</v>
      </c>
      <c r="BE138" s="4">
        <v>4</v>
      </c>
      <c r="BF138" s="1">
        <v>3</v>
      </c>
      <c r="BG138" s="1">
        <v>3</v>
      </c>
      <c r="BH138" s="4">
        <v>4</v>
      </c>
      <c r="BI138" s="1">
        <v>3</v>
      </c>
      <c r="BJ138" s="1">
        <v>3</v>
      </c>
      <c r="BK138" s="4">
        <v>4</v>
      </c>
      <c r="BL138" s="4">
        <v>4</v>
      </c>
      <c r="BM138" s="4">
        <v>4</v>
      </c>
      <c r="BN138" s="4">
        <v>4</v>
      </c>
      <c r="BO138" s="4">
        <v>4</v>
      </c>
      <c r="BP138" s="4">
        <v>4</v>
      </c>
      <c r="BQ138" s="4">
        <v>4</v>
      </c>
      <c r="BR138" s="4">
        <v>4</v>
      </c>
      <c r="BS138" s="4">
        <v>4</v>
      </c>
      <c r="BT138" s="4">
        <v>4</v>
      </c>
      <c r="BU138" s="4">
        <v>4</v>
      </c>
      <c r="BV138" s="4">
        <v>4</v>
      </c>
      <c r="BW138" s="1">
        <v>3</v>
      </c>
      <c r="BX138" s="1">
        <v>3</v>
      </c>
      <c r="BY138" s="4">
        <v>4</v>
      </c>
      <c r="BZ138" s="4">
        <v>4</v>
      </c>
      <c r="CA138" s="1">
        <v>4</v>
      </c>
      <c r="CB138" s="17">
        <v>4</v>
      </c>
      <c r="CC138" s="4">
        <v>4</v>
      </c>
      <c r="CD138" s="4">
        <v>4</v>
      </c>
      <c r="CE138" s="1">
        <v>4</v>
      </c>
      <c r="CF138" s="57">
        <v>4</v>
      </c>
      <c r="CG138" s="57">
        <v>4</v>
      </c>
      <c r="CH138" s="4">
        <v>4</v>
      </c>
      <c r="CI138" s="4">
        <v>4</v>
      </c>
      <c r="CJ138" s="4">
        <v>4</v>
      </c>
      <c r="CK138" s="17">
        <v>4</v>
      </c>
      <c r="CL138" s="17">
        <v>4</v>
      </c>
      <c r="CM138" s="17">
        <v>4</v>
      </c>
      <c r="CN138" s="57">
        <v>4</v>
      </c>
      <c r="CO138" s="17">
        <v>4</v>
      </c>
      <c r="CP138" s="17">
        <v>4</v>
      </c>
      <c r="CQ138" s="57">
        <v>4</v>
      </c>
      <c r="CR138" s="17">
        <v>4</v>
      </c>
      <c r="CS138" s="17">
        <v>4</v>
      </c>
      <c r="CT138" s="4">
        <v>1</v>
      </c>
      <c r="CU138" s="4">
        <v>4</v>
      </c>
      <c r="CV138" s="4">
        <v>4</v>
      </c>
      <c r="CW138" s="4">
        <v>3</v>
      </c>
      <c r="CX138" s="4">
        <v>4</v>
      </c>
      <c r="CY138" s="4">
        <v>4</v>
      </c>
      <c r="CZ138" s="4">
        <v>3</v>
      </c>
      <c r="DA138" s="17">
        <v>4</v>
      </c>
      <c r="DB138" s="4">
        <v>4</v>
      </c>
      <c r="DC138" s="4">
        <v>4</v>
      </c>
      <c r="DD138" s="1">
        <v>4</v>
      </c>
      <c r="DE138" s="17">
        <v>4</v>
      </c>
      <c r="DF138" s="57">
        <v>4</v>
      </c>
      <c r="DG138" s="4">
        <v>4</v>
      </c>
      <c r="DH138" s="1">
        <v>4</v>
      </c>
      <c r="DI138" s="4">
        <v>4</v>
      </c>
      <c r="DJ138" s="4">
        <v>4</v>
      </c>
      <c r="DK138" s="1">
        <v>4</v>
      </c>
      <c r="DL138" s="1">
        <v>4</v>
      </c>
      <c r="DM138" s="1">
        <v>4</v>
      </c>
      <c r="DN138" s="1">
        <v>4</v>
      </c>
      <c r="DO138" s="1">
        <v>4</v>
      </c>
      <c r="DP138" s="1">
        <v>4</v>
      </c>
      <c r="DQ138" s="1">
        <v>4</v>
      </c>
      <c r="DR138" s="1">
        <v>4</v>
      </c>
      <c r="DS138" s="1">
        <v>4</v>
      </c>
      <c r="DT138" s="1">
        <v>4</v>
      </c>
    </row>
    <row r="139" spans="1:124" x14ac:dyDescent="0.2">
      <c r="A139" t="s">
        <v>435</v>
      </c>
      <c r="B139" s="1" t="s">
        <v>1238</v>
      </c>
      <c r="C139" s="1" t="s">
        <v>1238</v>
      </c>
      <c r="E139" s="1">
        <v>3</v>
      </c>
      <c r="F139" s="1">
        <v>4</v>
      </c>
      <c r="G139" s="1">
        <v>1</v>
      </c>
      <c r="H139" s="1">
        <v>3</v>
      </c>
      <c r="I139" s="1">
        <v>4</v>
      </c>
      <c r="J139" s="1">
        <v>1</v>
      </c>
      <c r="K139" s="4">
        <v>4</v>
      </c>
      <c r="L139" s="4">
        <v>3</v>
      </c>
      <c r="M139" s="4">
        <v>1</v>
      </c>
      <c r="N139" s="1">
        <v>4</v>
      </c>
      <c r="O139" s="4">
        <v>4</v>
      </c>
      <c r="P139" s="4">
        <v>4</v>
      </c>
      <c r="Q139" s="4">
        <v>4</v>
      </c>
      <c r="R139" s="1">
        <v>4</v>
      </c>
      <c r="S139" s="1">
        <v>1</v>
      </c>
      <c r="T139" s="4">
        <v>3</v>
      </c>
      <c r="U139" s="1">
        <v>4</v>
      </c>
      <c r="V139" s="57">
        <v>4</v>
      </c>
      <c r="W139" s="4">
        <v>4</v>
      </c>
      <c r="X139" s="4">
        <v>4</v>
      </c>
      <c r="Y139" s="1">
        <v>4</v>
      </c>
      <c r="Z139" s="4">
        <v>4</v>
      </c>
      <c r="AA139" s="4">
        <v>4</v>
      </c>
      <c r="AB139" s="4">
        <v>4</v>
      </c>
      <c r="AC139" s="57">
        <v>4</v>
      </c>
      <c r="AD139" s="4">
        <v>4</v>
      </c>
      <c r="AE139" s="4">
        <v>4</v>
      </c>
      <c r="AF139" s="4">
        <v>3</v>
      </c>
      <c r="AG139" s="4">
        <v>3</v>
      </c>
      <c r="AH139" s="4">
        <v>3</v>
      </c>
      <c r="AI139" s="1">
        <v>4</v>
      </c>
      <c r="AJ139" s="4">
        <v>1</v>
      </c>
      <c r="AK139" s="1">
        <v>3</v>
      </c>
      <c r="AL139" s="4">
        <v>4</v>
      </c>
      <c r="AM139" s="4">
        <v>4</v>
      </c>
      <c r="AN139" s="4">
        <v>4</v>
      </c>
      <c r="AO139" s="17">
        <v>4</v>
      </c>
      <c r="AP139" s="17">
        <v>4</v>
      </c>
      <c r="AQ139" s="17">
        <v>4</v>
      </c>
      <c r="AR139" s="17">
        <v>4</v>
      </c>
      <c r="AS139" s="17">
        <v>4</v>
      </c>
      <c r="AT139" s="17">
        <v>4</v>
      </c>
      <c r="AU139" s="17">
        <v>4</v>
      </c>
      <c r="AV139" s="57">
        <v>4</v>
      </c>
      <c r="AW139" s="17">
        <v>4</v>
      </c>
      <c r="AX139" s="17">
        <v>4</v>
      </c>
      <c r="AY139" s="4">
        <v>4</v>
      </c>
      <c r="AZ139" s="4">
        <v>4</v>
      </c>
      <c r="BA139" s="57">
        <v>4</v>
      </c>
      <c r="BB139" s="57">
        <v>4</v>
      </c>
      <c r="BC139" s="1">
        <v>3</v>
      </c>
      <c r="BD139" s="1">
        <v>3</v>
      </c>
      <c r="BE139" s="4">
        <v>4</v>
      </c>
      <c r="BF139" s="1">
        <v>3</v>
      </c>
      <c r="BG139" s="1">
        <v>3</v>
      </c>
      <c r="BH139" s="4">
        <v>4</v>
      </c>
      <c r="BI139" s="1">
        <v>3</v>
      </c>
      <c r="BJ139" s="1">
        <v>3</v>
      </c>
      <c r="BK139" s="4">
        <v>4</v>
      </c>
      <c r="BL139" s="4">
        <v>4</v>
      </c>
      <c r="BM139" s="4">
        <v>4</v>
      </c>
      <c r="BN139" s="4">
        <v>4</v>
      </c>
      <c r="BO139" s="4">
        <v>4</v>
      </c>
      <c r="BP139" s="4">
        <v>4</v>
      </c>
      <c r="BQ139" s="4">
        <v>4</v>
      </c>
      <c r="BR139" s="4">
        <v>4</v>
      </c>
      <c r="BS139" s="4">
        <v>4</v>
      </c>
      <c r="BT139" s="4">
        <v>4</v>
      </c>
      <c r="BU139" s="4">
        <v>4</v>
      </c>
      <c r="BV139" s="4">
        <v>4</v>
      </c>
      <c r="BW139" s="1">
        <v>3</v>
      </c>
      <c r="BX139" s="1">
        <v>3</v>
      </c>
      <c r="BY139" s="4">
        <v>4</v>
      </c>
      <c r="BZ139" s="4">
        <v>4</v>
      </c>
      <c r="CA139" s="1">
        <v>4</v>
      </c>
      <c r="CB139" s="17">
        <v>4</v>
      </c>
      <c r="CC139" s="4">
        <v>4</v>
      </c>
      <c r="CD139" s="4">
        <v>4</v>
      </c>
      <c r="CE139" s="1">
        <v>4</v>
      </c>
      <c r="CF139" s="57">
        <v>4</v>
      </c>
      <c r="CG139" s="57">
        <v>4</v>
      </c>
      <c r="CH139" s="4">
        <v>4</v>
      </c>
      <c r="CI139" s="4">
        <v>4</v>
      </c>
      <c r="CJ139" s="4">
        <v>4</v>
      </c>
      <c r="CK139" s="17">
        <v>4</v>
      </c>
      <c r="CL139" s="17">
        <v>4</v>
      </c>
      <c r="CM139" s="17">
        <v>4</v>
      </c>
      <c r="CN139" s="57">
        <v>4</v>
      </c>
      <c r="CO139" s="17">
        <v>4</v>
      </c>
      <c r="CP139" s="17">
        <v>4</v>
      </c>
      <c r="CQ139" s="57">
        <v>4</v>
      </c>
      <c r="CR139" s="17">
        <v>4</v>
      </c>
      <c r="CS139" s="17">
        <v>4</v>
      </c>
      <c r="CT139" s="4">
        <v>1</v>
      </c>
      <c r="CU139" s="4">
        <v>4</v>
      </c>
      <c r="CV139" s="4">
        <v>4</v>
      </c>
      <c r="CW139" s="4">
        <v>3</v>
      </c>
      <c r="CX139" s="4">
        <v>4</v>
      </c>
      <c r="CY139" s="4">
        <v>4</v>
      </c>
      <c r="CZ139" s="4">
        <v>3</v>
      </c>
      <c r="DA139" s="17">
        <v>4</v>
      </c>
      <c r="DB139" s="4">
        <v>4</v>
      </c>
      <c r="DC139" s="4">
        <v>4</v>
      </c>
      <c r="DD139" s="1">
        <v>4</v>
      </c>
      <c r="DE139" s="17">
        <v>4</v>
      </c>
      <c r="DF139" s="57">
        <v>4</v>
      </c>
      <c r="DG139" s="4">
        <v>4</v>
      </c>
      <c r="DH139" s="1">
        <v>4</v>
      </c>
      <c r="DI139" s="4">
        <v>4</v>
      </c>
      <c r="DJ139" s="4">
        <v>4</v>
      </c>
      <c r="DK139" s="1">
        <v>4</v>
      </c>
      <c r="DL139" s="1">
        <v>4</v>
      </c>
      <c r="DM139" s="1">
        <v>4</v>
      </c>
      <c r="DN139" s="1">
        <v>4</v>
      </c>
      <c r="DO139" s="1">
        <v>4</v>
      </c>
      <c r="DP139" s="1">
        <v>4</v>
      </c>
      <c r="DQ139" s="1">
        <v>4</v>
      </c>
      <c r="DR139" s="1">
        <v>4</v>
      </c>
      <c r="DS139" s="1">
        <v>4</v>
      </c>
      <c r="DT139" s="1">
        <v>4</v>
      </c>
    </row>
    <row r="140" spans="1:124" x14ac:dyDescent="0.2">
      <c r="A140" t="s">
        <v>436</v>
      </c>
      <c r="B140" s="1" t="s">
        <v>1238</v>
      </c>
      <c r="C140" s="1" t="s">
        <v>1238</v>
      </c>
      <c r="E140" s="1">
        <v>1</v>
      </c>
      <c r="F140" s="1">
        <v>4</v>
      </c>
      <c r="G140" s="1">
        <v>1</v>
      </c>
      <c r="H140" s="1">
        <v>1</v>
      </c>
      <c r="I140" s="1">
        <v>4</v>
      </c>
      <c r="J140" s="1">
        <v>1</v>
      </c>
      <c r="K140" s="4">
        <v>4</v>
      </c>
      <c r="L140" s="4">
        <v>1</v>
      </c>
      <c r="M140" s="4">
        <v>1</v>
      </c>
      <c r="N140" s="1">
        <v>4</v>
      </c>
      <c r="O140" s="4">
        <v>4</v>
      </c>
      <c r="P140" s="4">
        <v>4</v>
      </c>
      <c r="Q140" s="4">
        <v>4</v>
      </c>
      <c r="R140" s="1">
        <v>4</v>
      </c>
      <c r="S140" s="1">
        <v>1</v>
      </c>
      <c r="T140" s="1">
        <v>1</v>
      </c>
      <c r="U140" s="1">
        <v>4</v>
      </c>
      <c r="V140" s="57">
        <v>4</v>
      </c>
      <c r="W140" s="4">
        <v>4</v>
      </c>
      <c r="X140" s="4">
        <v>4</v>
      </c>
      <c r="Y140" s="1">
        <v>4</v>
      </c>
      <c r="Z140" s="4">
        <v>4</v>
      </c>
      <c r="AA140" s="4">
        <v>4</v>
      </c>
      <c r="AB140" s="4">
        <v>4</v>
      </c>
      <c r="AC140" s="57">
        <v>4</v>
      </c>
      <c r="AD140" s="4">
        <v>4</v>
      </c>
      <c r="AE140" s="4">
        <v>4</v>
      </c>
      <c r="AF140" s="4">
        <v>3</v>
      </c>
      <c r="AG140" s="4">
        <v>3</v>
      </c>
      <c r="AH140" s="4">
        <v>3</v>
      </c>
      <c r="AI140" s="1">
        <v>4</v>
      </c>
      <c r="AJ140" s="4">
        <v>1</v>
      </c>
      <c r="AK140" s="1">
        <v>3</v>
      </c>
      <c r="AL140" s="4">
        <v>4</v>
      </c>
      <c r="AM140" s="4">
        <v>4</v>
      </c>
      <c r="AN140" s="4">
        <v>4</v>
      </c>
      <c r="AO140" s="17">
        <v>4</v>
      </c>
      <c r="AP140" s="17">
        <v>4</v>
      </c>
      <c r="AQ140" s="17">
        <v>4</v>
      </c>
      <c r="AR140" s="17">
        <v>4</v>
      </c>
      <c r="AS140" s="17">
        <v>4</v>
      </c>
      <c r="AT140" s="17">
        <v>4</v>
      </c>
      <c r="AU140" s="17">
        <v>4</v>
      </c>
      <c r="AV140" s="57">
        <v>4</v>
      </c>
      <c r="AW140" s="17">
        <v>4</v>
      </c>
      <c r="AX140" s="17">
        <v>4</v>
      </c>
      <c r="AY140" s="4">
        <v>4</v>
      </c>
      <c r="AZ140" s="4">
        <v>4</v>
      </c>
      <c r="BA140" s="57">
        <v>4</v>
      </c>
      <c r="BB140" s="57">
        <v>4</v>
      </c>
      <c r="BC140" s="1">
        <v>3</v>
      </c>
      <c r="BD140" s="1">
        <v>1</v>
      </c>
      <c r="BE140" s="4">
        <v>4</v>
      </c>
      <c r="BF140" s="1">
        <v>3</v>
      </c>
      <c r="BG140" s="1">
        <v>3</v>
      </c>
      <c r="BH140" s="4">
        <v>4</v>
      </c>
      <c r="BI140" s="1">
        <v>3</v>
      </c>
      <c r="BJ140" s="1">
        <v>3</v>
      </c>
      <c r="BK140" s="4">
        <v>4</v>
      </c>
      <c r="BL140" s="4">
        <v>4</v>
      </c>
      <c r="BM140" s="4">
        <v>4</v>
      </c>
      <c r="BN140" s="4">
        <v>4</v>
      </c>
      <c r="BO140" s="4">
        <v>4</v>
      </c>
      <c r="BP140" s="4">
        <v>4</v>
      </c>
      <c r="BQ140" s="4">
        <v>4</v>
      </c>
      <c r="BR140" s="4">
        <v>4</v>
      </c>
      <c r="BS140" s="4">
        <v>4</v>
      </c>
      <c r="BT140" s="4">
        <v>4</v>
      </c>
      <c r="BU140" s="4">
        <v>4</v>
      </c>
      <c r="BV140" s="4">
        <v>4</v>
      </c>
      <c r="BW140" s="1">
        <v>3</v>
      </c>
      <c r="BX140" s="1">
        <v>1</v>
      </c>
      <c r="BY140" s="4">
        <v>4</v>
      </c>
      <c r="BZ140" s="4">
        <v>4</v>
      </c>
      <c r="CA140" s="1">
        <v>4</v>
      </c>
      <c r="CB140" s="17">
        <v>4</v>
      </c>
      <c r="CC140" s="4">
        <v>4</v>
      </c>
      <c r="CD140" s="4">
        <v>4</v>
      </c>
      <c r="CE140" s="1">
        <v>4</v>
      </c>
      <c r="CF140" s="57">
        <v>4</v>
      </c>
      <c r="CG140" s="57">
        <v>4</v>
      </c>
      <c r="CH140" s="4">
        <v>4</v>
      </c>
      <c r="CI140" s="4">
        <v>4</v>
      </c>
      <c r="CJ140" s="4">
        <v>4</v>
      </c>
      <c r="CK140" s="17">
        <v>4</v>
      </c>
      <c r="CL140" s="17">
        <v>4</v>
      </c>
      <c r="CM140" s="17">
        <v>4</v>
      </c>
      <c r="CN140" s="57">
        <v>4</v>
      </c>
      <c r="CO140" s="17">
        <v>4</v>
      </c>
      <c r="CP140" s="17">
        <v>4</v>
      </c>
      <c r="CQ140" s="57">
        <v>4</v>
      </c>
      <c r="CR140" s="17">
        <v>4</v>
      </c>
      <c r="CS140" s="17">
        <v>4</v>
      </c>
      <c r="CT140" s="4">
        <v>1</v>
      </c>
      <c r="CU140" s="4">
        <v>4</v>
      </c>
      <c r="CV140" s="4">
        <v>4</v>
      </c>
      <c r="CW140" s="4">
        <v>1</v>
      </c>
      <c r="CX140" s="4">
        <v>4</v>
      </c>
      <c r="CY140" s="4">
        <v>4</v>
      </c>
      <c r="CZ140" s="4">
        <v>1</v>
      </c>
      <c r="DA140" s="17">
        <v>4</v>
      </c>
      <c r="DB140" s="4">
        <v>4</v>
      </c>
      <c r="DC140" s="4">
        <v>4</v>
      </c>
      <c r="DD140" s="1">
        <v>4</v>
      </c>
      <c r="DE140" s="17">
        <v>4</v>
      </c>
      <c r="DF140" s="57">
        <v>4</v>
      </c>
      <c r="DG140" s="4">
        <v>4</v>
      </c>
      <c r="DH140" s="1">
        <v>4</v>
      </c>
      <c r="DI140" s="4">
        <v>4</v>
      </c>
      <c r="DJ140" s="4">
        <v>4</v>
      </c>
      <c r="DK140" s="1">
        <v>4</v>
      </c>
      <c r="DL140" s="1">
        <v>4</v>
      </c>
      <c r="DM140" s="1">
        <v>4</v>
      </c>
      <c r="DN140" s="1">
        <v>4</v>
      </c>
      <c r="DO140" s="1">
        <v>4</v>
      </c>
      <c r="DP140" s="1">
        <v>4</v>
      </c>
      <c r="DQ140" s="1">
        <v>4</v>
      </c>
      <c r="DR140" s="1">
        <v>4</v>
      </c>
      <c r="DS140" s="1">
        <v>4</v>
      </c>
      <c r="DT140" s="1">
        <v>4</v>
      </c>
    </row>
    <row r="141" spans="1:124" x14ac:dyDescent="0.2">
      <c r="A141" t="s">
        <v>437</v>
      </c>
      <c r="B141" s="1" t="s">
        <v>1238</v>
      </c>
      <c r="C141" s="1" t="s">
        <v>1238</v>
      </c>
      <c r="E141" s="1">
        <v>1</v>
      </c>
      <c r="F141" s="1">
        <v>4</v>
      </c>
      <c r="G141" s="1">
        <v>3</v>
      </c>
      <c r="H141" s="1">
        <v>3</v>
      </c>
      <c r="I141" s="1">
        <v>4</v>
      </c>
      <c r="J141" s="1">
        <v>1</v>
      </c>
      <c r="K141" s="4">
        <v>4</v>
      </c>
      <c r="L141" s="4">
        <v>3</v>
      </c>
      <c r="M141" s="4">
        <v>3</v>
      </c>
      <c r="N141" s="1">
        <v>4</v>
      </c>
      <c r="O141" s="4">
        <v>4</v>
      </c>
      <c r="P141" s="4">
        <v>4</v>
      </c>
      <c r="Q141" s="4">
        <v>4</v>
      </c>
      <c r="R141" s="1">
        <v>4</v>
      </c>
      <c r="S141" s="4">
        <v>3</v>
      </c>
      <c r="T141" s="4">
        <v>3</v>
      </c>
      <c r="U141" s="1">
        <v>4</v>
      </c>
      <c r="V141" s="57">
        <v>4</v>
      </c>
      <c r="W141" s="4">
        <v>4</v>
      </c>
      <c r="X141" s="4">
        <v>4</v>
      </c>
      <c r="Y141" s="1">
        <v>4</v>
      </c>
      <c r="Z141" s="4">
        <v>4</v>
      </c>
      <c r="AA141" s="4">
        <v>4</v>
      </c>
      <c r="AB141" s="4">
        <v>4</v>
      </c>
      <c r="AC141" s="57">
        <v>4</v>
      </c>
      <c r="AD141" s="4">
        <v>4</v>
      </c>
      <c r="AE141" s="4">
        <v>4</v>
      </c>
      <c r="AF141" s="4">
        <v>3</v>
      </c>
      <c r="AG141" s="4">
        <v>3</v>
      </c>
      <c r="AH141" s="4">
        <v>3</v>
      </c>
      <c r="AI141" s="1">
        <v>4</v>
      </c>
      <c r="AJ141" s="4">
        <v>1</v>
      </c>
      <c r="AK141" s="1">
        <v>3</v>
      </c>
      <c r="AL141" s="4">
        <v>4</v>
      </c>
      <c r="AM141" s="4">
        <v>4</v>
      </c>
      <c r="AN141" s="4">
        <v>4</v>
      </c>
      <c r="AO141" s="17">
        <v>4</v>
      </c>
      <c r="AP141" s="17">
        <v>4</v>
      </c>
      <c r="AQ141" s="17">
        <v>4</v>
      </c>
      <c r="AR141" s="17">
        <v>4</v>
      </c>
      <c r="AS141" s="17">
        <v>4</v>
      </c>
      <c r="AT141" s="17">
        <v>4</v>
      </c>
      <c r="AU141" s="17">
        <v>4</v>
      </c>
      <c r="AV141" s="57">
        <v>4</v>
      </c>
      <c r="AW141" s="17">
        <v>4</v>
      </c>
      <c r="AX141" s="17">
        <v>4</v>
      </c>
      <c r="AY141" s="4">
        <v>4</v>
      </c>
      <c r="AZ141" s="4">
        <v>4</v>
      </c>
      <c r="BA141" s="57">
        <v>4</v>
      </c>
      <c r="BB141" s="57">
        <v>4</v>
      </c>
      <c r="BC141" s="1">
        <v>3</v>
      </c>
      <c r="BD141" s="1">
        <v>3</v>
      </c>
      <c r="BE141" s="4">
        <v>4</v>
      </c>
      <c r="BF141" s="1">
        <v>3</v>
      </c>
      <c r="BG141" s="1">
        <v>3</v>
      </c>
      <c r="BH141" s="4">
        <v>4</v>
      </c>
      <c r="BI141" s="1">
        <v>3</v>
      </c>
      <c r="BJ141" s="1">
        <v>3</v>
      </c>
      <c r="BK141" s="4">
        <v>4</v>
      </c>
      <c r="BL141" s="4">
        <v>4</v>
      </c>
      <c r="BM141" s="4">
        <v>4</v>
      </c>
      <c r="BN141" s="4">
        <v>4</v>
      </c>
      <c r="BO141" s="4">
        <v>4</v>
      </c>
      <c r="BP141" s="4">
        <v>4</v>
      </c>
      <c r="BQ141" s="4">
        <v>4</v>
      </c>
      <c r="BR141" s="4">
        <v>4</v>
      </c>
      <c r="BS141" s="4">
        <v>4</v>
      </c>
      <c r="BT141" s="4">
        <v>4</v>
      </c>
      <c r="BU141" s="4">
        <v>4</v>
      </c>
      <c r="BV141" s="4">
        <v>4</v>
      </c>
      <c r="BW141" s="1">
        <v>3</v>
      </c>
      <c r="BX141" s="1">
        <v>3</v>
      </c>
      <c r="BY141" s="4">
        <v>4</v>
      </c>
      <c r="BZ141" s="4">
        <v>4</v>
      </c>
      <c r="CA141" s="1">
        <v>4</v>
      </c>
      <c r="CB141" s="17">
        <v>4</v>
      </c>
      <c r="CC141" s="4">
        <v>4</v>
      </c>
      <c r="CD141" s="4">
        <v>4</v>
      </c>
      <c r="CE141" s="1">
        <v>4</v>
      </c>
      <c r="CF141" s="57">
        <v>4</v>
      </c>
      <c r="CG141" s="57">
        <v>4</v>
      </c>
      <c r="CH141" s="4">
        <v>4</v>
      </c>
      <c r="CI141" s="4">
        <v>4</v>
      </c>
      <c r="CJ141" s="4">
        <v>4</v>
      </c>
      <c r="CK141" s="17">
        <v>4</v>
      </c>
      <c r="CL141" s="17">
        <v>4</v>
      </c>
      <c r="CM141" s="17">
        <v>4</v>
      </c>
      <c r="CN141" s="57">
        <v>4</v>
      </c>
      <c r="CO141" s="17">
        <v>4</v>
      </c>
      <c r="CP141" s="17">
        <v>4</v>
      </c>
      <c r="CQ141" s="57">
        <v>4</v>
      </c>
      <c r="CR141" s="17">
        <v>4</v>
      </c>
      <c r="CS141" s="17">
        <v>4</v>
      </c>
      <c r="CT141" s="4">
        <v>1</v>
      </c>
      <c r="CU141" s="4">
        <v>4</v>
      </c>
      <c r="CV141" s="4">
        <v>4</v>
      </c>
      <c r="CW141" s="4">
        <v>3</v>
      </c>
      <c r="CX141" s="4">
        <v>4</v>
      </c>
      <c r="CY141" s="4">
        <v>4</v>
      </c>
      <c r="CZ141" s="4">
        <v>3</v>
      </c>
      <c r="DA141" s="17">
        <v>4</v>
      </c>
      <c r="DB141" s="4">
        <v>4</v>
      </c>
      <c r="DC141" s="4">
        <v>4</v>
      </c>
      <c r="DD141" s="1">
        <v>4</v>
      </c>
      <c r="DE141" s="17">
        <v>4</v>
      </c>
      <c r="DF141" s="57">
        <v>4</v>
      </c>
      <c r="DG141" s="4">
        <v>4</v>
      </c>
      <c r="DH141" s="1">
        <v>4</v>
      </c>
      <c r="DI141" s="4">
        <v>4</v>
      </c>
      <c r="DJ141" s="4">
        <v>4</v>
      </c>
      <c r="DK141" s="1">
        <v>4</v>
      </c>
      <c r="DL141" s="1">
        <v>4</v>
      </c>
      <c r="DM141" s="1">
        <v>4</v>
      </c>
      <c r="DN141" s="1">
        <v>4</v>
      </c>
      <c r="DO141" s="1">
        <v>4</v>
      </c>
      <c r="DP141" s="1">
        <v>4</v>
      </c>
      <c r="DQ141" s="1">
        <v>4</v>
      </c>
      <c r="DR141" s="1">
        <v>4</v>
      </c>
      <c r="DS141" s="1">
        <v>4</v>
      </c>
      <c r="DT141" s="1">
        <v>4</v>
      </c>
    </row>
    <row r="142" spans="1:124" x14ac:dyDescent="0.2">
      <c r="A142" t="s">
        <v>1423</v>
      </c>
      <c r="B142" s="1" t="s">
        <v>1238</v>
      </c>
      <c r="C142" s="1" t="s">
        <v>1238</v>
      </c>
      <c r="E142" s="1">
        <v>1</v>
      </c>
      <c r="F142" s="1">
        <v>4</v>
      </c>
      <c r="G142" s="1">
        <v>3</v>
      </c>
      <c r="H142" s="1">
        <v>3</v>
      </c>
      <c r="I142" s="1">
        <v>4</v>
      </c>
      <c r="J142" s="1">
        <v>1</v>
      </c>
      <c r="K142" s="4">
        <v>4</v>
      </c>
      <c r="L142" s="4">
        <v>3</v>
      </c>
      <c r="M142" s="4">
        <v>1</v>
      </c>
      <c r="N142" s="1">
        <v>4</v>
      </c>
      <c r="O142" s="4">
        <v>4</v>
      </c>
      <c r="P142" s="4">
        <v>4</v>
      </c>
      <c r="Q142" s="4">
        <v>4</v>
      </c>
      <c r="R142" s="1">
        <v>4</v>
      </c>
      <c r="S142" s="1">
        <v>1</v>
      </c>
      <c r="T142" s="1">
        <v>1</v>
      </c>
      <c r="U142" s="1">
        <v>4</v>
      </c>
      <c r="V142" s="57">
        <v>4</v>
      </c>
      <c r="W142" s="4">
        <v>4</v>
      </c>
      <c r="X142" s="4">
        <v>4</v>
      </c>
      <c r="Y142" s="1">
        <v>4</v>
      </c>
      <c r="Z142" s="4">
        <v>4</v>
      </c>
      <c r="AA142" s="4">
        <v>4</v>
      </c>
      <c r="AB142" s="4">
        <v>4</v>
      </c>
      <c r="AC142" s="57">
        <v>4</v>
      </c>
      <c r="AD142" s="4">
        <v>4</v>
      </c>
      <c r="AE142" s="4">
        <v>4</v>
      </c>
      <c r="AF142" s="4">
        <v>3</v>
      </c>
      <c r="AG142" s="4">
        <v>3</v>
      </c>
      <c r="AH142" s="4">
        <v>3</v>
      </c>
      <c r="AI142" s="1">
        <v>4</v>
      </c>
      <c r="AJ142" s="4">
        <v>1</v>
      </c>
      <c r="AK142" s="1">
        <v>3</v>
      </c>
      <c r="AL142" s="4">
        <v>4</v>
      </c>
      <c r="AM142" s="4">
        <v>4</v>
      </c>
      <c r="AN142" s="4">
        <v>4</v>
      </c>
      <c r="AO142" s="17">
        <v>4</v>
      </c>
      <c r="AP142" s="17">
        <v>4</v>
      </c>
      <c r="AQ142" s="17">
        <v>4</v>
      </c>
      <c r="AR142" s="17">
        <v>4</v>
      </c>
      <c r="AS142" s="17">
        <v>4</v>
      </c>
      <c r="AT142" s="17">
        <v>4</v>
      </c>
      <c r="AU142" s="17">
        <v>4</v>
      </c>
      <c r="AV142" s="57">
        <v>4</v>
      </c>
      <c r="AW142" s="17">
        <v>4</v>
      </c>
      <c r="AX142" s="17">
        <v>4</v>
      </c>
      <c r="AY142" s="4">
        <v>4</v>
      </c>
      <c r="AZ142" s="4">
        <v>4</v>
      </c>
      <c r="BA142" s="57">
        <v>4</v>
      </c>
      <c r="BB142" s="57">
        <v>4</v>
      </c>
      <c r="BC142" s="1">
        <v>3</v>
      </c>
      <c r="BD142" s="1">
        <v>3</v>
      </c>
      <c r="BE142" s="4">
        <v>4</v>
      </c>
      <c r="BF142" s="1">
        <v>3</v>
      </c>
      <c r="BG142" s="1">
        <v>3</v>
      </c>
      <c r="BH142" s="4">
        <v>4</v>
      </c>
      <c r="BI142" s="1">
        <v>3</v>
      </c>
      <c r="BJ142" s="1">
        <v>3</v>
      </c>
      <c r="BK142" s="4">
        <v>4</v>
      </c>
      <c r="BL142" s="4">
        <v>4</v>
      </c>
      <c r="BM142" s="4">
        <v>4</v>
      </c>
      <c r="BN142" s="4">
        <v>4</v>
      </c>
      <c r="BO142" s="4">
        <v>4</v>
      </c>
      <c r="BP142" s="4">
        <v>4</v>
      </c>
      <c r="BQ142" s="4">
        <v>4</v>
      </c>
      <c r="BR142" s="4">
        <v>4</v>
      </c>
      <c r="BS142" s="4">
        <v>4</v>
      </c>
      <c r="BT142" s="4">
        <v>4</v>
      </c>
      <c r="BU142" s="4">
        <v>4</v>
      </c>
      <c r="BV142" s="4">
        <v>4</v>
      </c>
      <c r="BW142" s="1">
        <v>3</v>
      </c>
      <c r="BX142" s="1">
        <v>3</v>
      </c>
      <c r="BY142" s="4">
        <v>4</v>
      </c>
      <c r="BZ142" s="4">
        <v>4</v>
      </c>
      <c r="CA142" s="1">
        <v>4</v>
      </c>
      <c r="CB142" s="17">
        <v>4</v>
      </c>
      <c r="CC142" s="4">
        <v>4</v>
      </c>
      <c r="CD142" s="4">
        <v>4</v>
      </c>
      <c r="CE142" s="1">
        <v>4</v>
      </c>
      <c r="CF142" s="57">
        <v>4</v>
      </c>
      <c r="CG142" s="57">
        <v>4</v>
      </c>
      <c r="CH142" s="4">
        <v>4</v>
      </c>
      <c r="CI142" s="4">
        <v>4</v>
      </c>
      <c r="CJ142" s="4">
        <v>4</v>
      </c>
      <c r="CK142" s="17">
        <v>4</v>
      </c>
      <c r="CL142" s="17">
        <v>4</v>
      </c>
      <c r="CM142" s="17">
        <v>4</v>
      </c>
      <c r="CN142" s="57">
        <v>4</v>
      </c>
      <c r="CO142" s="17">
        <v>4</v>
      </c>
      <c r="CP142" s="17">
        <v>4</v>
      </c>
      <c r="CQ142" s="57">
        <v>4</v>
      </c>
      <c r="CR142" s="17">
        <v>4</v>
      </c>
      <c r="CS142" s="17">
        <v>4</v>
      </c>
      <c r="CT142" s="4">
        <v>1</v>
      </c>
      <c r="CU142" s="4">
        <v>4</v>
      </c>
      <c r="CV142" s="4">
        <v>4</v>
      </c>
      <c r="CW142" s="4">
        <v>3</v>
      </c>
      <c r="CX142" s="4">
        <v>4</v>
      </c>
      <c r="CY142" s="4">
        <v>4</v>
      </c>
      <c r="CZ142" s="4">
        <v>3</v>
      </c>
      <c r="DA142" s="17">
        <v>4</v>
      </c>
      <c r="DB142" s="4">
        <v>4</v>
      </c>
      <c r="DC142" s="4">
        <v>4</v>
      </c>
      <c r="DD142" s="1">
        <v>4</v>
      </c>
      <c r="DE142" s="17">
        <v>4</v>
      </c>
      <c r="DF142" s="57">
        <v>4</v>
      </c>
      <c r="DG142" s="4">
        <v>4</v>
      </c>
      <c r="DH142" s="1">
        <v>4</v>
      </c>
      <c r="DI142" s="4">
        <v>4</v>
      </c>
      <c r="DJ142" s="4">
        <v>4</v>
      </c>
      <c r="DK142" s="1">
        <v>4</v>
      </c>
      <c r="DL142" s="1">
        <v>4</v>
      </c>
      <c r="DM142" s="1">
        <v>4</v>
      </c>
      <c r="DN142" s="1">
        <v>4</v>
      </c>
      <c r="DO142" s="1">
        <v>4</v>
      </c>
      <c r="DP142" s="1">
        <v>4</v>
      </c>
      <c r="DQ142" s="1">
        <v>4</v>
      </c>
      <c r="DR142" s="1">
        <v>4</v>
      </c>
      <c r="DS142" s="1">
        <v>4</v>
      </c>
      <c r="DT142" s="1">
        <v>4</v>
      </c>
    </row>
    <row r="143" spans="1:124" x14ac:dyDescent="0.2">
      <c r="A143" t="s">
        <v>1424</v>
      </c>
      <c r="B143" s="1" t="s">
        <v>1238</v>
      </c>
      <c r="C143" s="1" t="s">
        <v>1238</v>
      </c>
      <c r="E143" s="1">
        <v>1</v>
      </c>
      <c r="F143" s="1">
        <v>4</v>
      </c>
      <c r="G143" s="1">
        <v>1</v>
      </c>
      <c r="H143" s="1">
        <v>1</v>
      </c>
      <c r="I143" s="1">
        <v>4</v>
      </c>
      <c r="J143" s="1">
        <v>1</v>
      </c>
      <c r="K143" s="4">
        <v>4</v>
      </c>
      <c r="L143" s="4">
        <v>1</v>
      </c>
      <c r="M143" s="4">
        <v>1</v>
      </c>
      <c r="N143" s="1">
        <v>4</v>
      </c>
      <c r="O143" s="4">
        <v>4</v>
      </c>
      <c r="P143" s="4">
        <v>4</v>
      </c>
      <c r="Q143" s="4">
        <v>4</v>
      </c>
      <c r="R143" s="1">
        <v>4</v>
      </c>
      <c r="S143" s="4">
        <v>3</v>
      </c>
      <c r="T143" s="1">
        <v>1</v>
      </c>
      <c r="U143" s="1">
        <v>4</v>
      </c>
      <c r="V143" s="57">
        <v>4</v>
      </c>
      <c r="W143" s="4">
        <v>4</v>
      </c>
      <c r="X143" s="4">
        <v>4</v>
      </c>
      <c r="Y143" s="1">
        <v>4</v>
      </c>
      <c r="Z143" s="4">
        <v>4</v>
      </c>
      <c r="AA143" s="4">
        <v>4</v>
      </c>
      <c r="AB143" s="4">
        <v>4</v>
      </c>
      <c r="AC143" s="57">
        <v>4</v>
      </c>
      <c r="AD143" s="4">
        <v>4</v>
      </c>
      <c r="AE143" s="4">
        <v>4</v>
      </c>
      <c r="AF143" s="4">
        <v>3</v>
      </c>
      <c r="AG143" s="4">
        <v>1</v>
      </c>
      <c r="AH143" s="4">
        <v>1</v>
      </c>
      <c r="AI143" s="1">
        <v>4</v>
      </c>
      <c r="AJ143" s="4">
        <v>1</v>
      </c>
      <c r="AK143" s="1">
        <v>3</v>
      </c>
      <c r="AL143" s="4">
        <v>4</v>
      </c>
      <c r="AM143" s="4">
        <v>4</v>
      </c>
      <c r="AN143" s="4">
        <v>4</v>
      </c>
      <c r="AO143" s="17">
        <v>4</v>
      </c>
      <c r="AP143" s="17">
        <v>4</v>
      </c>
      <c r="AQ143" s="17">
        <v>4</v>
      </c>
      <c r="AR143" s="17">
        <v>4</v>
      </c>
      <c r="AS143" s="17">
        <v>4</v>
      </c>
      <c r="AT143" s="17">
        <v>4</v>
      </c>
      <c r="AU143" s="17">
        <v>4</v>
      </c>
      <c r="AV143" s="57">
        <v>4</v>
      </c>
      <c r="AW143" s="17">
        <v>4</v>
      </c>
      <c r="AX143" s="17">
        <v>4</v>
      </c>
      <c r="AY143" s="4">
        <v>4</v>
      </c>
      <c r="AZ143" s="4">
        <v>4</v>
      </c>
      <c r="BA143" s="57">
        <v>4</v>
      </c>
      <c r="BB143" s="57">
        <v>4</v>
      </c>
      <c r="BC143" s="1">
        <v>3</v>
      </c>
      <c r="BD143" s="4">
        <v>1</v>
      </c>
      <c r="BE143" s="4">
        <v>4</v>
      </c>
      <c r="BF143" s="1">
        <v>3</v>
      </c>
      <c r="BG143" s="1">
        <v>3</v>
      </c>
      <c r="BH143" s="4">
        <v>4</v>
      </c>
      <c r="BI143" s="1">
        <v>3</v>
      </c>
      <c r="BJ143" s="1">
        <v>3</v>
      </c>
      <c r="BK143" s="4">
        <v>4</v>
      </c>
      <c r="BL143" s="4">
        <v>4</v>
      </c>
      <c r="BM143" s="4">
        <v>4</v>
      </c>
      <c r="BN143" s="4">
        <v>4</v>
      </c>
      <c r="BO143" s="4">
        <v>4</v>
      </c>
      <c r="BP143" s="4">
        <v>4</v>
      </c>
      <c r="BQ143" s="4">
        <v>4</v>
      </c>
      <c r="BR143" s="4">
        <v>4</v>
      </c>
      <c r="BS143" s="4">
        <v>4</v>
      </c>
      <c r="BT143" s="4">
        <v>4</v>
      </c>
      <c r="BU143" s="4">
        <v>4</v>
      </c>
      <c r="BV143" s="4">
        <v>4</v>
      </c>
      <c r="BW143" s="4">
        <v>1</v>
      </c>
      <c r="BX143" s="4">
        <v>1</v>
      </c>
      <c r="BY143" s="4">
        <v>4</v>
      </c>
      <c r="BZ143" s="4">
        <v>4</v>
      </c>
      <c r="CA143" s="1">
        <v>4</v>
      </c>
      <c r="CB143" s="17">
        <v>4</v>
      </c>
      <c r="CC143" s="4">
        <v>4</v>
      </c>
      <c r="CD143" s="4">
        <v>4</v>
      </c>
      <c r="CE143" s="1">
        <v>4</v>
      </c>
      <c r="CF143" s="57">
        <v>4</v>
      </c>
      <c r="CG143" s="57">
        <v>4</v>
      </c>
      <c r="CH143" s="4">
        <v>4</v>
      </c>
      <c r="CI143" s="4">
        <v>4</v>
      </c>
      <c r="CJ143" s="4">
        <v>4</v>
      </c>
      <c r="CK143" s="17">
        <v>4</v>
      </c>
      <c r="CL143" s="17">
        <v>4</v>
      </c>
      <c r="CM143" s="17">
        <v>4</v>
      </c>
      <c r="CN143" s="57">
        <v>4</v>
      </c>
      <c r="CO143" s="17">
        <v>4</v>
      </c>
      <c r="CP143" s="17">
        <v>4</v>
      </c>
      <c r="CQ143" s="57">
        <v>4</v>
      </c>
      <c r="CR143" s="17">
        <v>4</v>
      </c>
      <c r="CS143" s="17">
        <v>4</v>
      </c>
      <c r="CT143" s="4">
        <v>1</v>
      </c>
      <c r="CU143" s="4">
        <v>4</v>
      </c>
      <c r="CV143" s="4">
        <v>4</v>
      </c>
      <c r="CW143" s="4">
        <v>3</v>
      </c>
      <c r="CX143" s="4">
        <v>4</v>
      </c>
      <c r="CY143" s="4">
        <v>4</v>
      </c>
      <c r="CZ143" s="4">
        <v>3</v>
      </c>
      <c r="DA143" s="17">
        <v>4</v>
      </c>
      <c r="DB143" s="4">
        <v>4</v>
      </c>
      <c r="DC143" s="4">
        <v>4</v>
      </c>
      <c r="DD143" s="1">
        <v>4</v>
      </c>
      <c r="DE143" s="17">
        <v>4</v>
      </c>
      <c r="DF143" s="57">
        <v>4</v>
      </c>
      <c r="DG143" s="4">
        <v>4</v>
      </c>
      <c r="DH143" s="1">
        <v>4</v>
      </c>
      <c r="DI143" s="4">
        <v>4</v>
      </c>
      <c r="DJ143" s="4">
        <v>4</v>
      </c>
      <c r="DK143" s="1">
        <v>4</v>
      </c>
      <c r="DL143" s="1">
        <v>4</v>
      </c>
      <c r="DM143" s="1">
        <v>4</v>
      </c>
      <c r="DN143" s="1">
        <v>4</v>
      </c>
      <c r="DO143" s="1">
        <v>4</v>
      </c>
      <c r="DP143" s="1">
        <v>4</v>
      </c>
      <c r="DQ143" s="1">
        <v>4</v>
      </c>
      <c r="DR143" s="1">
        <v>4</v>
      </c>
      <c r="DS143" s="1">
        <v>4</v>
      </c>
      <c r="DT143" s="1">
        <v>4</v>
      </c>
    </row>
    <row r="144" spans="1:124" x14ac:dyDescent="0.2">
      <c r="A144" t="s">
        <v>440</v>
      </c>
      <c r="B144" s="1" t="s">
        <v>1238</v>
      </c>
      <c r="C144" s="1" t="s">
        <v>1238</v>
      </c>
      <c r="E144" s="1">
        <v>1</v>
      </c>
      <c r="F144" s="1">
        <v>4</v>
      </c>
      <c r="G144" s="1">
        <v>1</v>
      </c>
      <c r="H144" s="1">
        <v>3</v>
      </c>
      <c r="I144" s="1">
        <v>4</v>
      </c>
      <c r="J144" s="1">
        <v>1</v>
      </c>
      <c r="K144" s="4">
        <v>4</v>
      </c>
      <c r="L144" s="4">
        <v>1</v>
      </c>
      <c r="M144" s="4">
        <v>1</v>
      </c>
      <c r="N144" s="1">
        <v>4</v>
      </c>
      <c r="O144" s="4">
        <v>4</v>
      </c>
      <c r="P144" s="4">
        <v>4</v>
      </c>
      <c r="Q144" s="4">
        <v>4</v>
      </c>
      <c r="R144" s="1">
        <v>4</v>
      </c>
      <c r="S144" s="4">
        <v>3</v>
      </c>
      <c r="T144" s="1">
        <v>1</v>
      </c>
      <c r="U144" s="1">
        <v>4</v>
      </c>
      <c r="V144" s="57">
        <v>4</v>
      </c>
      <c r="W144" s="4">
        <v>3</v>
      </c>
      <c r="X144" s="4">
        <v>3</v>
      </c>
      <c r="Y144" s="1">
        <v>4</v>
      </c>
      <c r="Z144" s="4">
        <v>4</v>
      </c>
      <c r="AA144" s="4">
        <v>4</v>
      </c>
      <c r="AB144" s="4">
        <v>4</v>
      </c>
      <c r="AC144" s="57">
        <v>4</v>
      </c>
      <c r="AD144" s="4">
        <v>4</v>
      </c>
      <c r="AE144" s="4">
        <v>4</v>
      </c>
      <c r="AF144" s="4">
        <v>3</v>
      </c>
      <c r="AG144" s="4">
        <v>1</v>
      </c>
      <c r="AH144" s="4">
        <v>1</v>
      </c>
      <c r="AI144" s="1">
        <v>4</v>
      </c>
      <c r="AJ144" s="4">
        <v>1</v>
      </c>
      <c r="AK144" s="4">
        <v>1</v>
      </c>
      <c r="AL144" s="4">
        <v>1</v>
      </c>
      <c r="AM144" s="4">
        <v>1</v>
      </c>
      <c r="AN144" s="4">
        <v>1</v>
      </c>
      <c r="AO144" s="17">
        <v>4</v>
      </c>
      <c r="AP144" s="17">
        <v>4</v>
      </c>
      <c r="AQ144" s="17">
        <v>4</v>
      </c>
      <c r="AR144" s="17">
        <v>4</v>
      </c>
      <c r="AS144" s="17">
        <v>4</v>
      </c>
      <c r="AT144" s="17">
        <v>4</v>
      </c>
      <c r="AU144" s="17">
        <v>4</v>
      </c>
      <c r="AV144" s="57">
        <v>4</v>
      </c>
      <c r="AW144" s="17">
        <v>4</v>
      </c>
      <c r="AX144" s="17">
        <v>4</v>
      </c>
      <c r="AY144" s="4">
        <v>4</v>
      </c>
      <c r="AZ144" s="4">
        <v>4</v>
      </c>
      <c r="BA144" s="57">
        <v>4</v>
      </c>
      <c r="BB144" s="57">
        <v>4</v>
      </c>
      <c r="BC144" s="1">
        <v>3</v>
      </c>
      <c r="BD144" s="1">
        <v>3</v>
      </c>
      <c r="BE144" s="4">
        <v>4</v>
      </c>
      <c r="BF144" s="1">
        <v>3</v>
      </c>
      <c r="BG144" s="1">
        <v>3</v>
      </c>
      <c r="BH144" s="4">
        <v>4</v>
      </c>
      <c r="BI144" s="1">
        <v>3</v>
      </c>
      <c r="BJ144" s="1">
        <v>3</v>
      </c>
      <c r="BK144" s="4">
        <v>4</v>
      </c>
      <c r="BL144" s="4">
        <v>3</v>
      </c>
      <c r="BM144" s="4">
        <v>3</v>
      </c>
      <c r="BN144" s="4">
        <v>3</v>
      </c>
      <c r="BO144" s="4">
        <v>3</v>
      </c>
      <c r="BP144" s="4">
        <v>1</v>
      </c>
      <c r="BQ144" s="4">
        <v>3</v>
      </c>
      <c r="BR144" s="4">
        <v>3</v>
      </c>
      <c r="BS144" s="4">
        <v>3</v>
      </c>
      <c r="BT144" s="4">
        <v>3</v>
      </c>
      <c r="BU144" s="4">
        <v>3</v>
      </c>
      <c r="BV144" s="4">
        <v>1</v>
      </c>
      <c r="BW144" s="1">
        <v>3</v>
      </c>
      <c r="BX144" s="1">
        <v>3</v>
      </c>
      <c r="BY144" s="4">
        <v>4</v>
      </c>
      <c r="BZ144" s="4">
        <v>4</v>
      </c>
      <c r="CA144" s="1">
        <v>4</v>
      </c>
      <c r="CB144" s="17">
        <v>4</v>
      </c>
      <c r="CC144" s="4">
        <v>4</v>
      </c>
      <c r="CD144" s="4">
        <v>4</v>
      </c>
      <c r="CE144" s="1">
        <v>4</v>
      </c>
      <c r="CF144" s="57">
        <v>4</v>
      </c>
      <c r="CG144" s="57">
        <v>4</v>
      </c>
      <c r="CH144" s="4">
        <v>4</v>
      </c>
      <c r="CI144" s="4">
        <v>4</v>
      </c>
      <c r="CJ144" s="4">
        <v>4</v>
      </c>
      <c r="CK144" s="17">
        <v>4</v>
      </c>
      <c r="CL144" s="17">
        <v>4</v>
      </c>
      <c r="CM144" s="17">
        <v>4</v>
      </c>
      <c r="CN144" s="57">
        <v>4</v>
      </c>
      <c r="CO144" s="17">
        <v>4</v>
      </c>
      <c r="CP144" s="17">
        <v>4</v>
      </c>
      <c r="CQ144" s="57">
        <v>4</v>
      </c>
      <c r="CR144" s="17">
        <v>4</v>
      </c>
      <c r="CS144" s="17">
        <v>4</v>
      </c>
      <c r="CT144" s="4">
        <v>1</v>
      </c>
      <c r="CU144" s="4">
        <v>3</v>
      </c>
      <c r="CV144" s="4">
        <v>3</v>
      </c>
      <c r="CW144" s="17">
        <v>4</v>
      </c>
      <c r="CX144" s="4">
        <v>3</v>
      </c>
      <c r="CY144" s="4">
        <v>3</v>
      </c>
      <c r="CZ144" s="4">
        <v>3</v>
      </c>
      <c r="DA144" s="17">
        <v>4</v>
      </c>
      <c r="DB144" s="4">
        <v>4</v>
      </c>
      <c r="DC144" s="4">
        <v>4</v>
      </c>
      <c r="DD144" s="1">
        <v>4</v>
      </c>
      <c r="DE144" s="17">
        <v>4</v>
      </c>
      <c r="DF144" s="57">
        <v>4</v>
      </c>
      <c r="DG144" s="4">
        <v>4</v>
      </c>
      <c r="DH144" s="1">
        <v>4</v>
      </c>
      <c r="DI144" s="4">
        <v>4</v>
      </c>
      <c r="DJ144" s="4">
        <v>4</v>
      </c>
      <c r="DK144" s="1">
        <v>4</v>
      </c>
      <c r="DL144" s="1">
        <v>4</v>
      </c>
      <c r="DM144" s="1">
        <v>4</v>
      </c>
      <c r="DN144" s="1">
        <v>4</v>
      </c>
      <c r="DO144" s="1">
        <v>4</v>
      </c>
      <c r="DP144" s="1">
        <v>4</v>
      </c>
      <c r="DQ144" s="1">
        <v>4</v>
      </c>
      <c r="DR144" s="1">
        <v>4</v>
      </c>
      <c r="DS144" s="1">
        <v>4</v>
      </c>
      <c r="DT144" s="1">
        <v>4</v>
      </c>
    </row>
    <row r="145" spans="1:124" x14ac:dyDescent="0.2">
      <c r="A145" t="s">
        <v>425</v>
      </c>
      <c r="B145" s="1" t="s">
        <v>1425</v>
      </c>
      <c r="C145" s="1" t="s">
        <v>1237</v>
      </c>
      <c r="E145" s="1">
        <v>1</v>
      </c>
      <c r="F145" s="1">
        <v>4</v>
      </c>
      <c r="G145" s="1">
        <v>1</v>
      </c>
      <c r="H145" s="1">
        <v>1</v>
      </c>
      <c r="I145" s="1">
        <v>4</v>
      </c>
      <c r="J145" s="1">
        <v>1</v>
      </c>
      <c r="K145" s="4">
        <v>4</v>
      </c>
      <c r="L145" s="4">
        <v>1</v>
      </c>
      <c r="M145" s="4">
        <v>1</v>
      </c>
      <c r="N145" s="1">
        <v>4</v>
      </c>
      <c r="O145" s="4">
        <v>4</v>
      </c>
      <c r="P145" s="4">
        <v>4</v>
      </c>
      <c r="Q145" s="4">
        <v>4</v>
      </c>
      <c r="R145" s="1">
        <v>4</v>
      </c>
      <c r="S145" s="4">
        <v>3</v>
      </c>
      <c r="T145" s="1">
        <v>1</v>
      </c>
      <c r="U145" s="1">
        <v>4</v>
      </c>
      <c r="V145" s="57">
        <v>4</v>
      </c>
      <c r="W145" s="4">
        <v>3</v>
      </c>
      <c r="X145" s="4">
        <v>3</v>
      </c>
      <c r="Y145" s="1">
        <v>4</v>
      </c>
      <c r="Z145" s="4">
        <v>4</v>
      </c>
      <c r="AA145" s="4">
        <v>4</v>
      </c>
      <c r="AB145" s="4">
        <v>4</v>
      </c>
      <c r="AC145" s="57">
        <v>4</v>
      </c>
      <c r="AD145" s="4">
        <v>4</v>
      </c>
      <c r="AE145" s="4">
        <v>4</v>
      </c>
      <c r="AF145" s="4">
        <v>3</v>
      </c>
      <c r="AG145" s="4">
        <v>1</v>
      </c>
      <c r="AH145" s="4">
        <v>1</v>
      </c>
      <c r="AI145" s="1">
        <v>4</v>
      </c>
      <c r="AJ145" s="4">
        <v>1</v>
      </c>
      <c r="AK145" s="4">
        <v>1</v>
      </c>
      <c r="AL145" s="4">
        <v>1</v>
      </c>
      <c r="AM145" s="4">
        <v>1</v>
      </c>
      <c r="AN145" s="4">
        <v>1</v>
      </c>
      <c r="AO145" s="17">
        <v>4</v>
      </c>
      <c r="AP145" s="17">
        <v>4</v>
      </c>
      <c r="AQ145" s="17">
        <v>4</v>
      </c>
      <c r="AR145" s="17">
        <v>4</v>
      </c>
      <c r="AS145" s="17">
        <v>4</v>
      </c>
      <c r="AT145" s="17">
        <v>4</v>
      </c>
      <c r="AU145" s="17">
        <v>4</v>
      </c>
      <c r="AV145" s="57">
        <v>4</v>
      </c>
      <c r="AW145" s="17">
        <v>4</v>
      </c>
      <c r="AX145" s="17">
        <v>4</v>
      </c>
      <c r="AY145" s="4">
        <v>4</v>
      </c>
      <c r="AZ145" s="4">
        <v>4</v>
      </c>
      <c r="BA145" s="57">
        <v>4</v>
      </c>
      <c r="BB145" s="57">
        <v>4</v>
      </c>
      <c r="BC145" s="1">
        <v>3</v>
      </c>
      <c r="BD145" s="1">
        <v>3</v>
      </c>
      <c r="BE145" s="4">
        <v>4</v>
      </c>
      <c r="BF145" s="1">
        <v>3</v>
      </c>
      <c r="BG145" s="1">
        <v>3</v>
      </c>
      <c r="BH145" s="4">
        <v>4</v>
      </c>
      <c r="BI145" s="1">
        <v>3</v>
      </c>
      <c r="BJ145" s="1">
        <v>3</v>
      </c>
      <c r="BK145" s="4">
        <v>4</v>
      </c>
      <c r="BL145" s="4">
        <v>3</v>
      </c>
      <c r="BM145" s="4">
        <v>3</v>
      </c>
      <c r="BN145" s="4">
        <v>3</v>
      </c>
      <c r="BO145" s="4">
        <v>3</v>
      </c>
      <c r="BP145" s="4">
        <v>1</v>
      </c>
      <c r="BQ145" s="4">
        <v>3</v>
      </c>
      <c r="BR145" s="4">
        <v>3</v>
      </c>
      <c r="BS145" s="4">
        <v>3</v>
      </c>
      <c r="BT145" s="4">
        <v>3</v>
      </c>
      <c r="BU145" s="4">
        <v>3</v>
      </c>
      <c r="BV145" s="4">
        <v>1</v>
      </c>
      <c r="BW145" s="1">
        <v>3</v>
      </c>
      <c r="BX145" s="1">
        <v>3</v>
      </c>
      <c r="BY145" s="4">
        <v>4</v>
      </c>
      <c r="BZ145" s="4">
        <v>4</v>
      </c>
      <c r="CA145" s="1">
        <v>4</v>
      </c>
      <c r="CB145" s="17">
        <v>4</v>
      </c>
      <c r="CC145" s="4">
        <v>4</v>
      </c>
      <c r="CD145" s="4">
        <v>4</v>
      </c>
      <c r="CE145" s="1">
        <v>4</v>
      </c>
      <c r="CF145" s="57">
        <v>4</v>
      </c>
      <c r="CG145" s="57">
        <v>4</v>
      </c>
      <c r="CH145" s="4">
        <v>4</v>
      </c>
      <c r="CI145" s="4">
        <v>4</v>
      </c>
      <c r="CJ145" s="4">
        <v>4</v>
      </c>
      <c r="CK145" s="17">
        <v>4</v>
      </c>
      <c r="CL145" s="17">
        <v>4</v>
      </c>
      <c r="CM145" s="17">
        <v>4</v>
      </c>
      <c r="CN145" s="57">
        <v>4</v>
      </c>
      <c r="CO145" s="17">
        <v>4</v>
      </c>
      <c r="CP145" s="17">
        <v>4</v>
      </c>
      <c r="CQ145" s="57">
        <v>4</v>
      </c>
      <c r="CR145" s="17">
        <v>4</v>
      </c>
      <c r="CS145" s="17">
        <v>4</v>
      </c>
      <c r="CT145" s="4">
        <v>3</v>
      </c>
      <c r="CU145" s="4">
        <v>3</v>
      </c>
      <c r="CV145" s="4">
        <v>3</v>
      </c>
      <c r="CW145" s="17">
        <v>4</v>
      </c>
      <c r="CX145" s="4">
        <v>3</v>
      </c>
      <c r="CY145" s="4">
        <v>3</v>
      </c>
      <c r="CZ145" s="4">
        <v>3</v>
      </c>
      <c r="DA145" s="17">
        <v>4</v>
      </c>
      <c r="DB145" s="4">
        <v>4</v>
      </c>
      <c r="DC145" s="4">
        <v>4</v>
      </c>
      <c r="DD145" s="1">
        <v>4</v>
      </c>
      <c r="DE145" s="17">
        <v>4</v>
      </c>
      <c r="DF145" s="57">
        <v>4</v>
      </c>
      <c r="DG145" s="4">
        <v>4</v>
      </c>
      <c r="DH145" s="1">
        <v>4</v>
      </c>
      <c r="DI145" s="4">
        <v>4</v>
      </c>
      <c r="DJ145" s="4">
        <v>4</v>
      </c>
      <c r="DK145" s="1">
        <v>4</v>
      </c>
      <c r="DL145" s="1">
        <v>4</v>
      </c>
      <c r="DM145" s="1">
        <v>4</v>
      </c>
      <c r="DN145" s="1">
        <v>4</v>
      </c>
      <c r="DO145" s="1">
        <v>4</v>
      </c>
      <c r="DP145" s="1">
        <v>4</v>
      </c>
      <c r="DQ145" s="1">
        <v>4</v>
      </c>
      <c r="DR145" s="1">
        <v>4</v>
      </c>
      <c r="DS145" s="1">
        <v>4</v>
      </c>
      <c r="DT145" s="1">
        <v>4</v>
      </c>
    </row>
    <row r="146" spans="1:124" x14ac:dyDescent="0.2">
      <c r="A146" t="s">
        <v>426</v>
      </c>
      <c r="B146" s="1" t="s">
        <v>1425</v>
      </c>
      <c r="C146" s="1" t="s">
        <v>1237</v>
      </c>
      <c r="E146" s="4">
        <v>1</v>
      </c>
      <c r="F146" s="17">
        <v>4</v>
      </c>
      <c r="G146" s="1">
        <v>4</v>
      </c>
      <c r="H146" s="1">
        <v>1</v>
      </c>
      <c r="I146" s="17">
        <v>4</v>
      </c>
      <c r="J146" s="1">
        <v>1</v>
      </c>
      <c r="K146" s="17">
        <v>4</v>
      </c>
      <c r="L146" s="4">
        <v>1</v>
      </c>
      <c r="M146" s="4">
        <v>3</v>
      </c>
      <c r="N146" s="17">
        <v>4</v>
      </c>
      <c r="O146" s="17">
        <v>4</v>
      </c>
      <c r="P146" s="17">
        <v>4</v>
      </c>
      <c r="Q146" s="17">
        <v>4</v>
      </c>
      <c r="R146" s="17">
        <v>4</v>
      </c>
      <c r="S146" s="1">
        <v>1</v>
      </c>
      <c r="T146" s="1">
        <v>1</v>
      </c>
      <c r="U146" s="17">
        <v>4</v>
      </c>
      <c r="V146" s="57">
        <v>4</v>
      </c>
      <c r="W146" s="4">
        <v>3</v>
      </c>
      <c r="X146" s="4">
        <v>3</v>
      </c>
      <c r="Y146" s="17">
        <v>4</v>
      </c>
      <c r="Z146" s="17">
        <v>4</v>
      </c>
      <c r="AA146" s="17">
        <v>4</v>
      </c>
      <c r="AB146" s="17">
        <v>4</v>
      </c>
      <c r="AC146" s="57">
        <v>4</v>
      </c>
      <c r="AD146" s="17">
        <v>4</v>
      </c>
      <c r="AE146" s="17">
        <v>4</v>
      </c>
      <c r="AF146" s="4">
        <v>1</v>
      </c>
      <c r="AG146" s="4">
        <v>1</v>
      </c>
      <c r="AH146" s="4">
        <v>1</v>
      </c>
      <c r="AI146" s="17">
        <v>4</v>
      </c>
      <c r="AJ146" s="4">
        <v>1</v>
      </c>
      <c r="AK146" s="4">
        <v>1</v>
      </c>
      <c r="AL146" s="4">
        <v>1</v>
      </c>
      <c r="AM146" s="4">
        <v>1</v>
      </c>
      <c r="AN146" s="17">
        <v>4</v>
      </c>
      <c r="AO146" s="17">
        <v>4</v>
      </c>
      <c r="AP146" s="17">
        <v>4</v>
      </c>
      <c r="AQ146" s="17">
        <v>4</v>
      </c>
      <c r="AR146" s="17">
        <v>4</v>
      </c>
      <c r="AS146" s="17">
        <v>4</v>
      </c>
      <c r="AT146" s="17">
        <v>4</v>
      </c>
      <c r="AU146" s="17">
        <v>4</v>
      </c>
      <c r="AV146" s="57">
        <v>4</v>
      </c>
      <c r="AW146" s="17">
        <v>4</v>
      </c>
      <c r="AX146" s="17">
        <v>4</v>
      </c>
      <c r="AY146" s="17">
        <v>4</v>
      </c>
      <c r="AZ146" s="17">
        <v>4</v>
      </c>
      <c r="BA146" s="57">
        <v>4</v>
      </c>
      <c r="BB146" s="57">
        <v>4</v>
      </c>
      <c r="BC146" s="1">
        <v>1</v>
      </c>
      <c r="BD146" s="1">
        <v>1</v>
      </c>
      <c r="BE146" s="17">
        <v>4</v>
      </c>
      <c r="BF146" s="4">
        <v>1</v>
      </c>
      <c r="BG146" s="4">
        <v>1</v>
      </c>
      <c r="BH146" s="17">
        <v>4</v>
      </c>
      <c r="BI146" s="4">
        <v>1</v>
      </c>
      <c r="BJ146" s="4">
        <v>1</v>
      </c>
      <c r="BK146" s="17">
        <v>4</v>
      </c>
      <c r="BL146" s="4">
        <v>1</v>
      </c>
      <c r="BM146" s="4">
        <v>1</v>
      </c>
      <c r="BN146" s="17">
        <v>4</v>
      </c>
      <c r="BO146" s="4">
        <v>1</v>
      </c>
      <c r="BP146" s="4">
        <v>1</v>
      </c>
      <c r="BQ146" s="17">
        <v>4</v>
      </c>
      <c r="BR146" s="17">
        <v>4</v>
      </c>
      <c r="BS146" s="4">
        <v>1</v>
      </c>
      <c r="BT146" s="4">
        <v>1</v>
      </c>
      <c r="BU146" s="4">
        <v>1</v>
      </c>
      <c r="BV146" s="4">
        <v>1</v>
      </c>
      <c r="BW146" s="4">
        <v>1</v>
      </c>
      <c r="BX146" s="4">
        <v>1</v>
      </c>
      <c r="BY146" s="17">
        <v>4</v>
      </c>
      <c r="BZ146" s="17">
        <v>4</v>
      </c>
      <c r="CA146" s="17">
        <v>4</v>
      </c>
      <c r="CB146" s="17">
        <v>4</v>
      </c>
      <c r="CC146" s="17">
        <v>4</v>
      </c>
      <c r="CD146" s="17">
        <v>4</v>
      </c>
      <c r="CE146" s="17">
        <v>4</v>
      </c>
      <c r="CF146" s="57">
        <v>4</v>
      </c>
      <c r="CG146" s="57">
        <v>4</v>
      </c>
      <c r="CH146" s="17">
        <v>4</v>
      </c>
      <c r="CI146" s="17">
        <v>4</v>
      </c>
      <c r="CJ146" s="17">
        <v>4</v>
      </c>
      <c r="CK146" s="17">
        <v>4</v>
      </c>
      <c r="CL146" s="17">
        <v>4</v>
      </c>
      <c r="CM146" s="17">
        <v>4</v>
      </c>
      <c r="CN146" s="57">
        <v>4</v>
      </c>
      <c r="CO146" s="17">
        <v>4</v>
      </c>
      <c r="CP146" s="17">
        <v>4</v>
      </c>
      <c r="CQ146" s="57">
        <v>4</v>
      </c>
      <c r="CR146" s="17">
        <v>4</v>
      </c>
      <c r="CS146" s="17">
        <v>4</v>
      </c>
      <c r="CT146" s="4">
        <v>1</v>
      </c>
      <c r="CU146" s="4">
        <v>1</v>
      </c>
      <c r="CV146" s="4">
        <v>3</v>
      </c>
      <c r="CW146" s="17">
        <v>4</v>
      </c>
      <c r="CX146" s="4">
        <v>1</v>
      </c>
      <c r="CY146" s="4">
        <v>3</v>
      </c>
      <c r="CZ146" s="17">
        <v>4</v>
      </c>
      <c r="DA146" s="17">
        <v>4</v>
      </c>
      <c r="DB146" s="17">
        <v>4</v>
      </c>
      <c r="DC146" s="17">
        <v>4</v>
      </c>
      <c r="DD146" s="17">
        <v>4</v>
      </c>
      <c r="DE146" s="17">
        <v>4</v>
      </c>
      <c r="DF146" s="57">
        <v>4</v>
      </c>
      <c r="DG146" s="17">
        <v>4</v>
      </c>
      <c r="DH146" s="17">
        <v>4</v>
      </c>
      <c r="DI146" s="17">
        <v>4</v>
      </c>
      <c r="DJ146" s="17">
        <v>4</v>
      </c>
      <c r="DK146" s="17">
        <v>4</v>
      </c>
      <c r="DL146" s="17">
        <v>4</v>
      </c>
      <c r="DM146" s="17">
        <v>4</v>
      </c>
      <c r="DN146" s="17">
        <v>4</v>
      </c>
      <c r="DO146" s="17">
        <v>4</v>
      </c>
      <c r="DP146" s="17">
        <v>4</v>
      </c>
      <c r="DQ146" s="17">
        <v>4</v>
      </c>
      <c r="DR146" s="17">
        <v>4</v>
      </c>
      <c r="DS146" s="17">
        <v>4</v>
      </c>
      <c r="DT146" s="17">
        <v>4</v>
      </c>
    </row>
    <row r="147" spans="1:124" x14ac:dyDescent="0.2">
      <c r="A147" t="s">
        <v>1251</v>
      </c>
      <c r="B147" s="1" t="s">
        <v>1425</v>
      </c>
      <c r="C147" s="1" t="s">
        <v>1254</v>
      </c>
      <c r="E147" s="4">
        <v>1</v>
      </c>
      <c r="F147" s="1">
        <v>4</v>
      </c>
      <c r="G147" s="1">
        <v>1</v>
      </c>
      <c r="H147" s="1">
        <v>1</v>
      </c>
      <c r="I147" s="1">
        <v>4</v>
      </c>
      <c r="J147" s="1">
        <v>1</v>
      </c>
      <c r="K147" s="4">
        <v>4</v>
      </c>
      <c r="L147" s="4">
        <v>3</v>
      </c>
      <c r="M147" s="4">
        <v>3</v>
      </c>
      <c r="N147" s="1">
        <v>4</v>
      </c>
      <c r="O147" s="4">
        <v>4</v>
      </c>
      <c r="P147" s="4">
        <v>4</v>
      </c>
      <c r="Q147" s="4">
        <v>4</v>
      </c>
      <c r="R147" s="1">
        <v>4</v>
      </c>
      <c r="S147" s="4">
        <v>3</v>
      </c>
      <c r="T147" s="4">
        <v>3</v>
      </c>
      <c r="U147" s="1">
        <v>4</v>
      </c>
      <c r="V147" s="57">
        <v>4</v>
      </c>
      <c r="W147" s="4">
        <v>4</v>
      </c>
      <c r="X147" s="4">
        <v>4</v>
      </c>
      <c r="Y147" s="1">
        <v>4</v>
      </c>
      <c r="Z147" s="4">
        <v>4</v>
      </c>
      <c r="AA147" s="4">
        <v>4</v>
      </c>
      <c r="AB147" s="4">
        <v>4</v>
      </c>
      <c r="AC147" s="57">
        <v>4</v>
      </c>
      <c r="AD147" s="4">
        <v>4</v>
      </c>
      <c r="AE147" s="4">
        <v>4</v>
      </c>
      <c r="AF147" s="4">
        <v>3</v>
      </c>
      <c r="AG147" s="4">
        <v>3</v>
      </c>
      <c r="AH147" s="4">
        <v>3</v>
      </c>
      <c r="AI147" s="1">
        <v>4</v>
      </c>
      <c r="AJ147" s="4">
        <v>1</v>
      </c>
      <c r="AK147" s="4">
        <v>3</v>
      </c>
      <c r="AL147" s="17">
        <v>4</v>
      </c>
      <c r="AM147" s="17">
        <v>4</v>
      </c>
      <c r="AN147" s="4">
        <v>3</v>
      </c>
      <c r="AO147" s="17">
        <v>4</v>
      </c>
      <c r="AP147" s="17">
        <v>4</v>
      </c>
      <c r="AQ147" s="17">
        <v>4</v>
      </c>
      <c r="AR147" s="17">
        <v>4</v>
      </c>
      <c r="AS147" s="17">
        <v>4</v>
      </c>
      <c r="AT147" s="17">
        <v>4</v>
      </c>
      <c r="AU147" s="17">
        <v>4</v>
      </c>
      <c r="AV147" s="57">
        <v>4</v>
      </c>
      <c r="AW147" s="17">
        <v>4</v>
      </c>
      <c r="AX147" s="17">
        <v>4</v>
      </c>
      <c r="AY147" s="4">
        <v>4</v>
      </c>
      <c r="AZ147" s="4">
        <v>4</v>
      </c>
      <c r="BA147" s="57">
        <v>4</v>
      </c>
      <c r="BB147" s="57">
        <v>4</v>
      </c>
      <c r="BC147" s="1">
        <v>3</v>
      </c>
      <c r="BD147" s="1">
        <v>4</v>
      </c>
      <c r="BE147" s="4">
        <v>4</v>
      </c>
      <c r="BF147" s="4">
        <v>4</v>
      </c>
      <c r="BG147" s="4">
        <v>4</v>
      </c>
      <c r="BH147" s="4">
        <v>3</v>
      </c>
      <c r="BI147" s="4">
        <v>4</v>
      </c>
      <c r="BJ147" s="4">
        <v>4</v>
      </c>
      <c r="BK147" s="4">
        <v>4</v>
      </c>
      <c r="BL147" s="4">
        <v>4</v>
      </c>
      <c r="BM147" s="4">
        <v>4</v>
      </c>
      <c r="BN147" s="4">
        <v>4</v>
      </c>
      <c r="BO147" s="4">
        <v>4</v>
      </c>
      <c r="BP147" s="4">
        <v>3</v>
      </c>
      <c r="BQ147" s="4">
        <v>4</v>
      </c>
      <c r="BR147" s="4">
        <v>4</v>
      </c>
      <c r="BS147" s="4">
        <v>4</v>
      </c>
      <c r="BT147" s="4">
        <v>4</v>
      </c>
      <c r="BU147" s="4">
        <v>4</v>
      </c>
      <c r="BV147" s="4">
        <v>1</v>
      </c>
      <c r="BW147" s="1">
        <v>3</v>
      </c>
      <c r="BX147" s="1">
        <v>3</v>
      </c>
      <c r="BY147" s="4">
        <v>4</v>
      </c>
      <c r="BZ147" s="4">
        <v>4</v>
      </c>
      <c r="CA147" s="1">
        <v>4</v>
      </c>
      <c r="CB147" s="4">
        <v>4</v>
      </c>
      <c r="CC147" s="4">
        <v>4</v>
      </c>
      <c r="CD147" s="4">
        <v>4</v>
      </c>
      <c r="CE147" s="4">
        <v>4</v>
      </c>
      <c r="CF147" s="57">
        <v>4</v>
      </c>
      <c r="CG147" s="57">
        <v>4</v>
      </c>
      <c r="CH147" s="4">
        <v>4</v>
      </c>
      <c r="CI147" s="4">
        <v>4</v>
      </c>
      <c r="CJ147" s="4">
        <v>4</v>
      </c>
      <c r="CK147" s="17">
        <v>4</v>
      </c>
      <c r="CL147" s="17">
        <v>4</v>
      </c>
      <c r="CM147" s="17">
        <v>4</v>
      </c>
      <c r="CN147" s="57">
        <v>4</v>
      </c>
      <c r="CO147" s="17">
        <v>4</v>
      </c>
      <c r="CP147" s="17">
        <v>4</v>
      </c>
      <c r="CQ147" s="57">
        <v>4</v>
      </c>
      <c r="CR147" s="17">
        <v>4</v>
      </c>
      <c r="CS147" s="4">
        <v>4</v>
      </c>
      <c r="CT147" s="4">
        <v>1</v>
      </c>
      <c r="CU147" s="4">
        <v>4</v>
      </c>
      <c r="CV147" s="4">
        <v>4</v>
      </c>
      <c r="CW147" s="4">
        <v>4</v>
      </c>
      <c r="CX147" s="4">
        <v>4</v>
      </c>
      <c r="CY147" s="4">
        <v>4</v>
      </c>
      <c r="CZ147" s="4">
        <v>4</v>
      </c>
      <c r="DA147" s="17">
        <v>4</v>
      </c>
      <c r="DB147" s="4">
        <v>4</v>
      </c>
      <c r="DC147" s="4">
        <v>4</v>
      </c>
      <c r="DD147" s="1">
        <v>4</v>
      </c>
      <c r="DE147" s="17">
        <v>4</v>
      </c>
      <c r="DF147" s="57">
        <v>4</v>
      </c>
      <c r="DG147" s="4">
        <v>4</v>
      </c>
      <c r="DH147" s="1">
        <v>4</v>
      </c>
      <c r="DI147" s="4">
        <v>4</v>
      </c>
      <c r="DJ147" s="4">
        <v>4</v>
      </c>
      <c r="DK147" s="1">
        <v>4</v>
      </c>
      <c r="DL147" s="1">
        <v>4</v>
      </c>
      <c r="DM147" s="1">
        <v>4</v>
      </c>
      <c r="DN147" s="1">
        <v>4</v>
      </c>
      <c r="DO147" s="1">
        <v>4</v>
      </c>
      <c r="DP147" s="1">
        <v>4</v>
      </c>
      <c r="DQ147" s="1">
        <v>4</v>
      </c>
      <c r="DR147" s="1">
        <v>4</v>
      </c>
      <c r="DS147" s="1">
        <v>4</v>
      </c>
      <c r="DT147" s="1">
        <v>4</v>
      </c>
    </row>
    <row r="148" spans="1:124" x14ac:dyDescent="0.2">
      <c r="A148" t="s">
        <v>302</v>
      </c>
      <c r="B148" s="1" t="s">
        <v>1426</v>
      </c>
      <c r="C148" s="1" t="s">
        <v>1427</v>
      </c>
      <c r="E148" s="4">
        <v>1</v>
      </c>
      <c r="F148" s="1">
        <v>4</v>
      </c>
      <c r="G148" s="4">
        <v>4</v>
      </c>
      <c r="H148" s="1">
        <v>1</v>
      </c>
      <c r="I148" s="4">
        <v>4</v>
      </c>
      <c r="J148" s="1">
        <v>1</v>
      </c>
      <c r="K148" s="4">
        <v>4</v>
      </c>
      <c r="L148" s="4">
        <v>4</v>
      </c>
      <c r="M148" s="4">
        <v>1</v>
      </c>
      <c r="N148" s="4">
        <v>4</v>
      </c>
      <c r="O148" s="4">
        <v>4</v>
      </c>
      <c r="P148" s="4">
        <v>4</v>
      </c>
      <c r="Q148" s="4">
        <v>4</v>
      </c>
      <c r="R148" s="4">
        <v>4</v>
      </c>
      <c r="S148" s="4">
        <v>4</v>
      </c>
      <c r="T148" s="4">
        <v>3</v>
      </c>
      <c r="U148" s="4">
        <v>4</v>
      </c>
      <c r="V148" s="57">
        <v>4</v>
      </c>
      <c r="W148" s="4">
        <v>4</v>
      </c>
      <c r="X148" s="4">
        <v>1</v>
      </c>
      <c r="Y148" s="4">
        <v>4</v>
      </c>
      <c r="Z148" s="4">
        <v>4</v>
      </c>
      <c r="AA148" s="4">
        <v>4</v>
      </c>
      <c r="AB148" s="4">
        <v>4</v>
      </c>
      <c r="AC148" s="57">
        <v>4</v>
      </c>
      <c r="AD148" s="4">
        <v>4</v>
      </c>
      <c r="AE148" s="4">
        <v>4</v>
      </c>
      <c r="AF148" s="4">
        <v>4</v>
      </c>
      <c r="AG148" s="4">
        <v>4</v>
      </c>
      <c r="AH148" s="4">
        <v>4</v>
      </c>
      <c r="AI148" s="4">
        <v>4</v>
      </c>
      <c r="AJ148" s="4">
        <v>4</v>
      </c>
      <c r="AK148" s="4">
        <v>4</v>
      </c>
      <c r="AL148" s="4">
        <v>4</v>
      </c>
      <c r="AM148" s="4">
        <v>4</v>
      </c>
      <c r="AN148" s="4">
        <v>4</v>
      </c>
      <c r="AO148" s="17">
        <v>4</v>
      </c>
      <c r="AP148" s="17">
        <v>4</v>
      </c>
      <c r="AQ148" s="17">
        <v>4</v>
      </c>
      <c r="AR148" s="17">
        <v>4</v>
      </c>
      <c r="AS148" s="17">
        <v>4</v>
      </c>
      <c r="AT148" s="17">
        <v>4</v>
      </c>
      <c r="AU148" s="17">
        <v>4</v>
      </c>
      <c r="AV148" s="57">
        <v>4</v>
      </c>
      <c r="AW148" s="17">
        <v>4</v>
      </c>
      <c r="AX148" s="17">
        <v>4</v>
      </c>
      <c r="AY148" s="4">
        <v>4</v>
      </c>
      <c r="AZ148" s="4">
        <v>4</v>
      </c>
      <c r="BA148" s="57">
        <v>4</v>
      </c>
      <c r="BB148" s="57">
        <v>4</v>
      </c>
      <c r="BC148" s="4">
        <v>4</v>
      </c>
      <c r="BD148" s="4">
        <v>1</v>
      </c>
      <c r="BE148" s="4">
        <v>4</v>
      </c>
      <c r="BF148" s="4">
        <v>4</v>
      </c>
      <c r="BG148" s="4">
        <v>4</v>
      </c>
      <c r="BH148" s="4">
        <v>4</v>
      </c>
      <c r="BI148" s="4">
        <v>4</v>
      </c>
      <c r="BJ148" s="4">
        <v>4</v>
      </c>
      <c r="BK148" s="4">
        <v>4</v>
      </c>
      <c r="BL148" s="4">
        <v>4</v>
      </c>
      <c r="BM148" s="4">
        <v>4</v>
      </c>
      <c r="BN148" s="4">
        <v>4</v>
      </c>
      <c r="BO148" s="4">
        <v>4</v>
      </c>
      <c r="BP148" s="4">
        <v>4</v>
      </c>
      <c r="BQ148" s="4">
        <v>4</v>
      </c>
      <c r="BR148" s="4">
        <v>4</v>
      </c>
      <c r="BS148" s="4">
        <v>4</v>
      </c>
      <c r="BT148" s="4">
        <v>4</v>
      </c>
      <c r="BU148" s="4">
        <v>4</v>
      </c>
      <c r="BV148" s="4">
        <v>4</v>
      </c>
      <c r="BW148" s="4">
        <v>4</v>
      </c>
      <c r="BX148" s="4">
        <v>1</v>
      </c>
      <c r="BY148" s="4">
        <v>4</v>
      </c>
      <c r="BZ148" s="4">
        <v>4</v>
      </c>
      <c r="CA148" s="4">
        <v>4</v>
      </c>
      <c r="CB148" s="17">
        <v>4</v>
      </c>
      <c r="CC148" s="4">
        <v>4</v>
      </c>
      <c r="CD148" s="4">
        <v>1</v>
      </c>
      <c r="CE148" s="4">
        <v>4</v>
      </c>
      <c r="CF148" s="57">
        <v>4</v>
      </c>
      <c r="CG148" s="57">
        <v>4</v>
      </c>
      <c r="CH148" s="4">
        <v>4</v>
      </c>
      <c r="CI148" s="4">
        <v>4</v>
      </c>
      <c r="CJ148" s="4">
        <v>4</v>
      </c>
      <c r="CK148" s="17">
        <v>4</v>
      </c>
      <c r="CL148" s="17">
        <v>4</v>
      </c>
      <c r="CM148" s="17">
        <v>4</v>
      </c>
      <c r="CN148" s="57">
        <v>4</v>
      </c>
      <c r="CO148" s="17">
        <v>4</v>
      </c>
      <c r="CP148" s="17">
        <v>4</v>
      </c>
      <c r="CQ148" s="57">
        <v>4</v>
      </c>
      <c r="CR148" s="17">
        <v>4</v>
      </c>
      <c r="CS148" s="17">
        <v>4</v>
      </c>
      <c r="CT148" s="4">
        <v>4</v>
      </c>
      <c r="CU148" s="4">
        <v>4</v>
      </c>
      <c r="CV148" s="4">
        <v>1</v>
      </c>
      <c r="CW148" s="4">
        <v>4</v>
      </c>
      <c r="CX148" s="4">
        <v>4</v>
      </c>
      <c r="CY148" s="4">
        <v>1</v>
      </c>
      <c r="CZ148" s="17">
        <v>4</v>
      </c>
      <c r="DA148" s="17">
        <v>4</v>
      </c>
      <c r="DB148" s="1">
        <v>4</v>
      </c>
      <c r="DC148" s="4">
        <v>1</v>
      </c>
      <c r="DD148" s="1">
        <v>4</v>
      </c>
      <c r="DE148" s="17">
        <v>4</v>
      </c>
      <c r="DF148" s="57">
        <v>4</v>
      </c>
      <c r="DG148" s="4">
        <v>4</v>
      </c>
      <c r="DH148" s="17">
        <v>4</v>
      </c>
      <c r="DI148" s="4">
        <v>4</v>
      </c>
      <c r="DJ148" s="4">
        <v>4</v>
      </c>
      <c r="DK148" s="4">
        <v>4</v>
      </c>
      <c r="DL148" s="4">
        <v>4</v>
      </c>
      <c r="DM148" s="4">
        <v>1</v>
      </c>
      <c r="DN148" s="4">
        <v>4</v>
      </c>
      <c r="DO148" s="4">
        <v>4</v>
      </c>
      <c r="DP148" s="4">
        <v>4</v>
      </c>
      <c r="DQ148" s="4">
        <v>4</v>
      </c>
      <c r="DR148" s="4">
        <v>4</v>
      </c>
      <c r="DS148" s="4">
        <v>4</v>
      </c>
      <c r="DT148" s="4">
        <v>4</v>
      </c>
    </row>
    <row r="149" spans="1:124" x14ac:dyDescent="0.2">
      <c r="A149" t="s">
        <v>303</v>
      </c>
      <c r="B149" s="1" t="s">
        <v>1426</v>
      </c>
      <c r="C149" s="1" t="s">
        <v>1427</v>
      </c>
      <c r="E149" s="4">
        <v>1</v>
      </c>
      <c r="F149" s="1">
        <v>4</v>
      </c>
      <c r="G149" s="4">
        <v>4</v>
      </c>
      <c r="H149" s="1">
        <v>1</v>
      </c>
      <c r="I149" s="4">
        <v>4</v>
      </c>
      <c r="J149" s="1">
        <v>1</v>
      </c>
      <c r="K149" s="4">
        <v>4</v>
      </c>
      <c r="L149" s="4">
        <v>4</v>
      </c>
      <c r="M149" s="4">
        <v>1</v>
      </c>
      <c r="N149" s="4">
        <v>4</v>
      </c>
      <c r="O149" s="4">
        <v>4</v>
      </c>
      <c r="P149" s="4">
        <v>4</v>
      </c>
      <c r="Q149" s="4">
        <v>4</v>
      </c>
      <c r="R149" s="4">
        <v>4</v>
      </c>
      <c r="S149" s="4">
        <v>4</v>
      </c>
      <c r="T149" s="4">
        <v>1</v>
      </c>
      <c r="U149" s="4">
        <v>4</v>
      </c>
      <c r="V149" s="57">
        <v>4</v>
      </c>
      <c r="W149" s="4">
        <v>4</v>
      </c>
      <c r="X149" s="4">
        <v>1</v>
      </c>
      <c r="Y149" s="4">
        <v>4</v>
      </c>
      <c r="Z149" s="4">
        <v>4</v>
      </c>
      <c r="AA149" s="4">
        <v>4</v>
      </c>
      <c r="AB149" s="4">
        <v>4</v>
      </c>
      <c r="AC149" s="57">
        <v>4</v>
      </c>
      <c r="AD149" s="4">
        <v>4</v>
      </c>
      <c r="AE149" s="4">
        <v>4</v>
      </c>
      <c r="AF149" s="4">
        <v>4</v>
      </c>
      <c r="AG149" s="4">
        <v>4</v>
      </c>
      <c r="AH149" s="4">
        <v>4</v>
      </c>
      <c r="AI149" s="4">
        <v>4</v>
      </c>
      <c r="AJ149" s="4">
        <v>4</v>
      </c>
      <c r="AK149" s="4">
        <v>4</v>
      </c>
      <c r="AL149" s="4">
        <v>4</v>
      </c>
      <c r="AM149" s="4">
        <v>4</v>
      </c>
      <c r="AN149" s="4">
        <v>4</v>
      </c>
      <c r="AO149" s="17">
        <v>4</v>
      </c>
      <c r="AP149" s="17">
        <v>4</v>
      </c>
      <c r="AQ149" s="17">
        <v>4</v>
      </c>
      <c r="AR149" s="17">
        <v>4</v>
      </c>
      <c r="AS149" s="17">
        <v>4</v>
      </c>
      <c r="AT149" s="17">
        <v>4</v>
      </c>
      <c r="AU149" s="17">
        <v>4</v>
      </c>
      <c r="AV149" s="57">
        <v>4</v>
      </c>
      <c r="AW149" s="17">
        <v>4</v>
      </c>
      <c r="AX149" s="17">
        <v>4</v>
      </c>
      <c r="AY149" s="4">
        <v>4</v>
      </c>
      <c r="AZ149" s="4">
        <v>4</v>
      </c>
      <c r="BA149" s="57">
        <v>4</v>
      </c>
      <c r="BB149" s="57">
        <v>4</v>
      </c>
      <c r="BC149" s="4">
        <v>4</v>
      </c>
      <c r="BD149" s="4">
        <v>1</v>
      </c>
      <c r="BE149" s="4">
        <v>4</v>
      </c>
      <c r="BF149" s="4">
        <v>4</v>
      </c>
      <c r="BG149" s="4">
        <v>4</v>
      </c>
      <c r="BH149" s="4">
        <v>4</v>
      </c>
      <c r="BI149" s="4">
        <v>4</v>
      </c>
      <c r="BJ149" s="4">
        <v>4</v>
      </c>
      <c r="BK149" s="4">
        <v>4</v>
      </c>
      <c r="BL149" s="4">
        <v>4</v>
      </c>
      <c r="BM149" s="4">
        <v>4</v>
      </c>
      <c r="BN149" s="4">
        <v>4</v>
      </c>
      <c r="BO149" s="4">
        <v>4</v>
      </c>
      <c r="BP149" s="4">
        <v>4</v>
      </c>
      <c r="BQ149" s="4">
        <v>4</v>
      </c>
      <c r="BR149" s="4">
        <v>4</v>
      </c>
      <c r="BS149" s="4">
        <v>4</v>
      </c>
      <c r="BT149" s="4">
        <v>4</v>
      </c>
      <c r="BU149" s="4">
        <v>4</v>
      </c>
      <c r="BV149" s="4">
        <v>4</v>
      </c>
      <c r="BW149" s="4">
        <v>4</v>
      </c>
      <c r="BX149" s="4">
        <v>1</v>
      </c>
      <c r="BY149" s="4">
        <v>4</v>
      </c>
      <c r="BZ149" s="4">
        <v>4</v>
      </c>
      <c r="CA149" s="4">
        <v>4</v>
      </c>
      <c r="CB149" s="17">
        <v>4</v>
      </c>
      <c r="CC149" s="4">
        <v>4</v>
      </c>
      <c r="CD149" s="4">
        <v>1</v>
      </c>
      <c r="CE149" s="4">
        <v>4</v>
      </c>
      <c r="CF149" s="57">
        <v>4</v>
      </c>
      <c r="CG149" s="57">
        <v>4</v>
      </c>
      <c r="CH149" s="4">
        <v>4</v>
      </c>
      <c r="CI149" s="4">
        <v>4</v>
      </c>
      <c r="CJ149" s="4">
        <v>4</v>
      </c>
      <c r="CK149" s="17">
        <v>4</v>
      </c>
      <c r="CL149" s="17">
        <v>4</v>
      </c>
      <c r="CM149" s="17">
        <v>4</v>
      </c>
      <c r="CN149" s="57">
        <v>4</v>
      </c>
      <c r="CO149" s="17">
        <v>4</v>
      </c>
      <c r="CP149" s="17">
        <v>4</v>
      </c>
      <c r="CQ149" s="57">
        <v>4</v>
      </c>
      <c r="CR149" s="17">
        <v>4</v>
      </c>
      <c r="CS149" s="17">
        <v>4</v>
      </c>
      <c r="CT149" s="4">
        <v>4</v>
      </c>
      <c r="CU149" s="4">
        <v>4</v>
      </c>
      <c r="CV149" s="4">
        <v>1</v>
      </c>
      <c r="CW149" s="4">
        <v>4</v>
      </c>
      <c r="CX149" s="4">
        <v>4</v>
      </c>
      <c r="CY149" s="4">
        <v>3</v>
      </c>
      <c r="CZ149" s="17">
        <v>4</v>
      </c>
      <c r="DA149" s="17">
        <v>4</v>
      </c>
      <c r="DB149" s="1">
        <v>4</v>
      </c>
      <c r="DC149" s="4">
        <v>1</v>
      </c>
      <c r="DD149" s="1">
        <v>4</v>
      </c>
      <c r="DE149" s="17">
        <v>4</v>
      </c>
      <c r="DF149" s="57">
        <v>4</v>
      </c>
      <c r="DG149" s="4">
        <v>4</v>
      </c>
      <c r="DH149" s="17">
        <v>4</v>
      </c>
      <c r="DI149" s="4">
        <v>4</v>
      </c>
      <c r="DJ149" s="4">
        <v>4</v>
      </c>
      <c r="DK149" s="4">
        <v>4</v>
      </c>
      <c r="DL149" s="4">
        <v>4</v>
      </c>
      <c r="DM149" s="4">
        <v>1</v>
      </c>
      <c r="DN149" s="4">
        <v>4</v>
      </c>
      <c r="DO149" s="4">
        <v>4</v>
      </c>
      <c r="DP149" s="4">
        <v>4</v>
      </c>
      <c r="DQ149" s="4">
        <v>4</v>
      </c>
      <c r="DR149" s="4">
        <v>4</v>
      </c>
      <c r="DS149" s="4">
        <v>4</v>
      </c>
      <c r="DT149" s="4">
        <v>4</v>
      </c>
    </row>
    <row r="150" spans="1:124" x14ac:dyDescent="0.2">
      <c r="A150" t="s">
        <v>304</v>
      </c>
      <c r="B150" s="1" t="s">
        <v>1426</v>
      </c>
      <c r="C150" s="1" t="s">
        <v>1427</v>
      </c>
      <c r="E150" s="4">
        <v>1</v>
      </c>
      <c r="F150" s="1">
        <v>4</v>
      </c>
      <c r="G150" s="4">
        <v>4</v>
      </c>
      <c r="H150" s="1">
        <v>1</v>
      </c>
      <c r="I150" s="4">
        <v>4</v>
      </c>
      <c r="J150" s="1">
        <v>1</v>
      </c>
      <c r="K150" s="4">
        <v>4</v>
      </c>
      <c r="L150" s="4">
        <v>4</v>
      </c>
      <c r="M150" s="4">
        <v>1</v>
      </c>
      <c r="N150" s="4">
        <v>4</v>
      </c>
      <c r="O150" s="4">
        <v>4</v>
      </c>
      <c r="P150" s="4">
        <v>4</v>
      </c>
      <c r="Q150" s="4">
        <v>4</v>
      </c>
      <c r="R150" s="4">
        <v>4</v>
      </c>
      <c r="S150" s="4">
        <v>4</v>
      </c>
      <c r="T150" s="4">
        <v>1</v>
      </c>
      <c r="U150" s="4">
        <v>4</v>
      </c>
      <c r="V150" s="57">
        <v>4</v>
      </c>
      <c r="W150" s="4">
        <v>4</v>
      </c>
      <c r="X150" s="4">
        <v>1</v>
      </c>
      <c r="Y150" s="4">
        <v>4</v>
      </c>
      <c r="Z150" s="4">
        <v>4</v>
      </c>
      <c r="AA150" s="4">
        <v>4</v>
      </c>
      <c r="AB150" s="4">
        <v>4</v>
      </c>
      <c r="AC150" s="57">
        <v>4</v>
      </c>
      <c r="AD150" s="4">
        <v>4</v>
      </c>
      <c r="AE150" s="4">
        <v>4</v>
      </c>
      <c r="AF150" s="4">
        <v>4</v>
      </c>
      <c r="AG150" s="4">
        <v>4</v>
      </c>
      <c r="AH150" s="4">
        <v>4</v>
      </c>
      <c r="AI150" s="4">
        <v>4</v>
      </c>
      <c r="AJ150" s="4">
        <v>4</v>
      </c>
      <c r="AK150" s="4">
        <v>4</v>
      </c>
      <c r="AL150" s="4">
        <v>4</v>
      </c>
      <c r="AM150" s="4">
        <v>4</v>
      </c>
      <c r="AN150" s="4">
        <v>4</v>
      </c>
      <c r="AO150" s="17">
        <v>4</v>
      </c>
      <c r="AP150" s="17">
        <v>4</v>
      </c>
      <c r="AQ150" s="17">
        <v>4</v>
      </c>
      <c r="AR150" s="17">
        <v>4</v>
      </c>
      <c r="AS150" s="17">
        <v>4</v>
      </c>
      <c r="AT150" s="17">
        <v>4</v>
      </c>
      <c r="AU150" s="17">
        <v>4</v>
      </c>
      <c r="AV150" s="57">
        <v>4</v>
      </c>
      <c r="AW150" s="17">
        <v>4</v>
      </c>
      <c r="AX150" s="17">
        <v>4</v>
      </c>
      <c r="AY150" s="4">
        <v>4</v>
      </c>
      <c r="AZ150" s="4">
        <v>4</v>
      </c>
      <c r="BA150" s="57">
        <v>4</v>
      </c>
      <c r="BB150" s="57">
        <v>4</v>
      </c>
      <c r="BC150" s="4">
        <v>4</v>
      </c>
      <c r="BD150" s="4">
        <v>1</v>
      </c>
      <c r="BE150" s="4">
        <v>4</v>
      </c>
      <c r="BF150" s="4">
        <v>4</v>
      </c>
      <c r="BG150" s="4">
        <v>4</v>
      </c>
      <c r="BH150" s="4">
        <v>4</v>
      </c>
      <c r="BI150" s="4">
        <v>4</v>
      </c>
      <c r="BJ150" s="4">
        <v>4</v>
      </c>
      <c r="BK150" s="4">
        <v>4</v>
      </c>
      <c r="BL150" s="4">
        <v>4</v>
      </c>
      <c r="BM150" s="4">
        <v>4</v>
      </c>
      <c r="BN150" s="4">
        <v>4</v>
      </c>
      <c r="BO150" s="4">
        <v>4</v>
      </c>
      <c r="BP150" s="4">
        <v>4</v>
      </c>
      <c r="BQ150" s="4">
        <v>4</v>
      </c>
      <c r="BR150" s="4">
        <v>4</v>
      </c>
      <c r="BS150" s="4">
        <v>4</v>
      </c>
      <c r="BT150" s="4">
        <v>4</v>
      </c>
      <c r="BU150" s="4">
        <v>4</v>
      </c>
      <c r="BV150" s="4">
        <v>4</v>
      </c>
      <c r="BW150" s="4">
        <v>4</v>
      </c>
      <c r="BX150" s="4">
        <v>1</v>
      </c>
      <c r="BY150" s="4">
        <v>4</v>
      </c>
      <c r="BZ150" s="4">
        <v>4</v>
      </c>
      <c r="CA150" s="4">
        <v>4</v>
      </c>
      <c r="CB150" s="17">
        <v>4</v>
      </c>
      <c r="CC150" s="4">
        <v>4</v>
      </c>
      <c r="CD150" s="4">
        <v>3</v>
      </c>
      <c r="CE150" s="4">
        <v>4</v>
      </c>
      <c r="CF150" s="57">
        <v>4</v>
      </c>
      <c r="CG150" s="57">
        <v>4</v>
      </c>
      <c r="CH150" s="4">
        <v>4</v>
      </c>
      <c r="CI150" s="4">
        <v>4</v>
      </c>
      <c r="CJ150" s="4">
        <v>4</v>
      </c>
      <c r="CK150" s="17">
        <v>4</v>
      </c>
      <c r="CL150" s="17">
        <v>4</v>
      </c>
      <c r="CM150" s="17">
        <v>4</v>
      </c>
      <c r="CN150" s="57">
        <v>4</v>
      </c>
      <c r="CO150" s="17">
        <v>4</v>
      </c>
      <c r="CP150" s="17">
        <v>4</v>
      </c>
      <c r="CQ150" s="57">
        <v>4</v>
      </c>
      <c r="CR150" s="17">
        <v>4</v>
      </c>
      <c r="CS150" s="17">
        <v>4</v>
      </c>
      <c r="CT150" s="4">
        <v>4</v>
      </c>
      <c r="CU150" s="4">
        <v>4</v>
      </c>
      <c r="CV150" s="4">
        <v>1</v>
      </c>
      <c r="CW150" s="4">
        <v>4</v>
      </c>
      <c r="CX150" s="4">
        <v>4</v>
      </c>
      <c r="CY150" s="4">
        <v>1</v>
      </c>
      <c r="CZ150" s="17">
        <v>4</v>
      </c>
      <c r="DA150" s="17">
        <v>4</v>
      </c>
      <c r="DB150" s="1">
        <v>4</v>
      </c>
      <c r="DC150" s="4">
        <v>1</v>
      </c>
      <c r="DD150" s="1">
        <v>4</v>
      </c>
      <c r="DE150" s="17">
        <v>4</v>
      </c>
      <c r="DF150" s="57">
        <v>4</v>
      </c>
      <c r="DG150" s="4">
        <v>4</v>
      </c>
      <c r="DH150" s="17">
        <v>4</v>
      </c>
      <c r="DI150" s="4">
        <v>4</v>
      </c>
      <c r="DJ150" s="4">
        <v>4</v>
      </c>
      <c r="DK150" s="4">
        <v>4</v>
      </c>
      <c r="DL150" s="4">
        <v>4</v>
      </c>
      <c r="DM150" s="4">
        <v>1</v>
      </c>
      <c r="DN150" s="4">
        <v>4</v>
      </c>
      <c r="DO150" s="4">
        <v>4</v>
      </c>
      <c r="DP150" s="4">
        <v>4</v>
      </c>
      <c r="DQ150" s="4">
        <v>4</v>
      </c>
      <c r="DR150" s="4">
        <v>4</v>
      </c>
      <c r="DS150" s="4">
        <v>4</v>
      </c>
      <c r="DT150" s="4">
        <v>4</v>
      </c>
    </row>
    <row r="151" spans="1:124" x14ac:dyDescent="0.2">
      <c r="A151" t="s">
        <v>305</v>
      </c>
      <c r="B151" s="1" t="s">
        <v>1426</v>
      </c>
      <c r="C151" s="1" t="s">
        <v>1427</v>
      </c>
      <c r="E151" s="4">
        <v>1</v>
      </c>
      <c r="F151" s="1">
        <v>4</v>
      </c>
      <c r="G151" s="4">
        <v>4</v>
      </c>
      <c r="H151" s="1">
        <v>1</v>
      </c>
      <c r="I151" s="4">
        <v>4</v>
      </c>
      <c r="J151" s="1">
        <v>1</v>
      </c>
      <c r="K151" s="4">
        <v>4</v>
      </c>
      <c r="L151" s="4">
        <v>4</v>
      </c>
      <c r="M151" s="4">
        <v>1</v>
      </c>
      <c r="N151" s="4">
        <v>4</v>
      </c>
      <c r="O151" s="4">
        <v>4</v>
      </c>
      <c r="P151" s="4">
        <v>4</v>
      </c>
      <c r="Q151" s="4">
        <v>4</v>
      </c>
      <c r="R151" s="4">
        <v>4</v>
      </c>
      <c r="S151" s="4">
        <v>4</v>
      </c>
      <c r="T151" s="4">
        <v>1</v>
      </c>
      <c r="U151" s="4">
        <v>4</v>
      </c>
      <c r="V151" s="57">
        <v>4</v>
      </c>
      <c r="W151" s="4">
        <v>4</v>
      </c>
      <c r="X151" s="4">
        <v>1</v>
      </c>
      <c r="Y151" s="4">
        <v>4</v>
      </c>
      <c r="Z151" s="4">
        <v>4</v>
      </c>
      <c r="AA151" s="4">
        <v>4</v>
      </c>
      <c r="AB151" s="4">
        <v>4</v>
      </c>
      <c r="AC151" s="57">
        <v>4</v>
      </c>
      <c r="AD151" s="4">
        <v>4</v>
      </c>
      <c r="AE151" s="4">
        <v>4</v>
      </c>
      <c r="AF151" s="4">
        <v>4</v>
      </c>
      <c r="AG151" s="4">
        <v>4</v>
      </c>
      <c r="AH151" s="4">
        <v>4</v>
      </c>
      <c r="AI151" s="4">
        <v>4</v>
      </c>
      <c r="AJ151" s="4">
        <v>4</v>
      </c>
      <c r="AK151" s="4">
        <v>4</v>
      </c>
      <c r="AL151" s="4">
        <v>4</v>
      </c>
      <c r="AM151" s="4">
        <v>4</v>
      </c>
      <c r="AN151" s="4">
        <v>4</v>
      </c>
      <c r="AO151" s="17">
        <v>4</v>
      </c>
      <c r="AP151" s="17">
        <v>4</v>
      </c>
      <c r="AQ151" s="17">
        <v>4</v>
      </c>
      <c r="AR151" s="17">
        <v>4</v>
      </c>
      <c r="AS151" s="17">
        <v>4</v>
      </c>
      <c r="AT151" s="17">
        <v>4</v>
      </c>
      <c r="AU151" s="17">
        <v>4</v>
      </c>
      <c r="AV151" s="57">
        <v>4</v>
      </c>
      <c r="AW151" s="17">
        <v>4</v>
      </c>
      <c r="AX151" s="17">
        <v>4</v>
      </c>
      <c r="AY151" s="4">
        <v>4</v>
      </c>
      <c r="AZ151" s="4">
        <v>4</v>
      </c>
      <c r="BA151" s="57">
        <v>4</v>
      </c>
      <c r="BB151" s="57">
        <v>4</v>
      </c>
      <c r="BC151" s="4">
        <v>4</v>
      </c>
      <c r="BD151" s="4">
        <v>1</v>
      </c>
      <c r="BE151" s="4">
        <v>4</v>
      </c>
      <c r="BF151" s="4">
        <v>4</v>
      </c>
      <c r="BG151" s="4">
        <v>4</v>
      </c>
      <c r="BH151" s="4">
        <v>4</v>
      </c>
      <c r="BI151" s="4">
        <v>4</v>
      </c>
      <c r="BJ151" s="4">
        <v>4</v>
      </c>
      <c r="BK151" s="4">
        <v>4</v>
      </c>
      <c r="BL151" s="4">
        <v>4</v>
      </c>
      <c r="BM151" s="4">
        <v>4</v>
      </c>
      <c r="BN151" s="4">
        <v>4</v>
      </c>
      <c r="BO151" s="4">
        <v>4</v>
      </c>
      <c r="BP151" s="4">
        <v>4</v>
      </c>
      <c r="BQ151" s="4">
        <v>4</v>
      </c>
      <c r="BR151" s="4">
        <v>4</v>
      </c>
      <c r="BS151" s="4">
        <v>4</v>
      </c>
      <c r="BT151" s="4">
        <v>4</v>
      </c>
      <c r="BU151" s="4">
        <v>4</v>
      </c>
      <c r="BV151" s="4">
        <v>4</v>
      </c>
      <c r="BW151" s="4">
        <v>4</v>
      </c>
      <c r="BX151" s="4">
        <v>1</v>
      </c>
      <c r="BY151" s="4">
        <v>4</v>
      </c>
      <c r="BZ151" s="4">
        <v>4</v>
      </c>
      <c r="CA151" s="4">
        <v>4</v>
      </c>
      <c r="CB151" s="17">
        <v>4</v>
      </c>
      <c r="CC151" s="4">
        <v>4</v>
      </c>
      <c r="CD151" s="4">
        <v>1</v>
      </c>
      <c r="CE151" s="4">
        <v>4</v>
      </c>
      <c r="CF151" s="57">
        <v>4</v>
      </c>
      <c r="CG151" s="57">
        <v>4</v>
      </c>
      <c r="CH151" s="4">
        <v>4</v>
      </c>
      <c r="CI151" s="4">
        <v>4</v>
      </c>
      <c r="CJ151" s="4">
        <v>4</v>
      </c>
      <c r="CK151" s="17">
        <v>4</v>
      </c>
      <c r="CL151" s="17">
        <v>4</v>
      </c>
      <c r="CM151" s="17">
        <v>4</v>
      </c>
      <c r="CN151" s="57">
        <v>4</v>
      </c>
      <c r="CO151" s="17">
        <v>4</v>
      </c>
      <c r="CP151" s="17">
        <v>4</v>
      </c>
      <c r="CQ151" s="57">
        <v>4</v>
      </c>
      <c r="CR151" s="17">
        <v>4</v>
      </c>
      <c r="CS151" s="17">
        <v>4</v>
      </c>
      <c r="CT151" s="4">
        <v>4</v>
      </c>
      <c r="CU151" s="4">
        <v>4</v>
      </c>
      <c r="CV151" s="4">
        <v>1</v>
      </c>
      <c r="CW151" s="4">
        <v>4</v>
      </c>
      <c r="CX151" s="4">
        <v>4</v>
      </c>
      <c r="CY151" s="4">
        <v>1</v>
      </c>
      <c r="CZ151" s="17">
        <v>4</v>
      </c>
      <c r="DA151" s="17">
        <v>4</v>
      </c>
      <c r="DB151" s="1">
        <v>4</v>
      </c>
      <c r="DC151" s="4">
        <v>1</v>
      </c>
      <c r="DD151" s="1">
        <v>4</v>
      </c>
      <c r="DE151" s="17">
        <v>4</v>
      </c>
      <c r="DF151" s="57">
        <v>4</v>
      </c>
      <c r="DG151" s="4">
        <v>4</v>
      </c>
      <c r="DH151" s="17">
        <v>4</v>
      </c>
      <c r="DI151" s="4">
        <v>4</v>
      </c>
      <c r="DJ151" s="4">
        <v>4</v>
      </c>
      <c r="DK151" s="4">
        <v>4</v>
      </c>
      <c r="DL151" s="4">
        <v>4</v>
      </c>
      <c r="DM151" s="4">
        <v>1</v>
      </c>
      <c r="DN151" s="4">
        <v>4</v>
      </c>
      <c r="DO151" s="4">
        <v>4</v>
      </c>
      <c r="DP151" s="4">
        <v>4</v>
      </c>
      <c r="DQ151" s="4">
        <v>4</v>
      </c>
      <c r="DR151" s="4">
        <v>4</v>
      </c>
      <c r="DS151" s="4">
        <v>4</v>
      </c>
      <c r="DT151" s="4">
        <v>4</v>
      </c>
    </row>
    <row r="152" spans="1:124" x14ac:dyDescent="0.2">
      <c r="A152" t="s">
        <v>306</v>
      </c>
      <c r="B152" s="1" t="s">
        <v>1426</v>
      </c>
      <c r="C152" s="1" t="s">
        <v>1427</v>
      </c>
      <c r="E152" s="4">
        <v>1</v>
      </c>
      <c r="F152" s="1">
        <v>4</v>
      </c>
      <c r="G152" s="4">
        <v>4</v>
      </c>
      <c r="H152" s="1">
        <v>1</v>
      </c>
      <c r="I152" s="4">
        <v>4</v>
      </c>
      <c r="J152" s="1">
        <v>1</v>
      </c>
      <c r="K152" s="4">
        <v>4</v>
      </c>
      <c r="L152" s="4">
        <v>4</v>
      </c>
      <c r="M152" s="4">
        <v>1</v>
      </c>
      <c r="N152" s="4">
        <v>4</v>
      </c>
      <c r="O152" s="4">
        <v>4</v>
      </c>
      <c r="P152" s="4">
        <v>4</v>
      </c>
      <c r="Q152" s="4">
        <v>4</v>
      </c>
      <c r="R152" s="4">
        <v>4</v>
      </c>
      <c r="S152" s="4">
        <v>4</v>
      </c>
      <c r="T152" s="4">
        <v>1</v>
      </c>
      <c r="U152" s="4">
        <v>4</v>
      </c>
      <c r="V152" s="57">
        <v>4</v>
      </c>
      <c r="W152" s="4">
        <v>4</v>
      </c>
      <c r="X152" s="4">
        <v>1</v>
      </c>
      <c r="Y152" s="4">
        <v>4</v>
      </c>
      <c r="Z152" s="4">
        <v>4</v>
      </c>
      <c r="AA152" s="4">
        <v>4</v>
      </c>
      <c r="AB152" s="4">
        <v>4</v>
      </c>
      <c r="AC152" s="57">
        <v>4</v>
      </c>
      <c r="AD152" s="4">
        <v>4</v>
      </c>
      <c r="AE152" s="4">
        <v>4</v>
      </c>
      <c r="AF152" s="4">
        <v>4</v>
      </c>
      <c r="AG152" s="4">
        <v>4</v>
      </c>
      <c r="AH152" s="4">
        <v>4</v>
      </c>
      <c r="AI152" s="4">
        <v>4</v>
      </c>
      <c r="AJ152" s="4">
        <v>4</v>
      </c>
      <c r="AK152" s="4">
        <v>4</v>
      </c>
      <c r="AL152" s="4">
        <v>4</v>
      </c>
      <c r="AM152" s="4">
        <v>4</v>
      </c>
      <c r="AN152" s="4">
        <v>4</v>
      </c>
      <c r="AO152" s="17">
        <v>4</v>
      </c>
      <c r="AP152" s="17">
        <v>4</v>
      </c>
      <c r="AQ152" s="17">
        <v>4</v>
      </c>
      <c r="AR152" s="17">
        <v>4</v>
      </c>
      <c r="AS152" s="17">
        <v>4</v>
      </c>
      <c r="AT152" s="17">
        <v>4</v>
      </c>
      <c r="AU152" s="17">
        <v>4</v>
      </c>
      <c r="AV152" s="57">
        <v>4</v>
      </c>
      <c r="AW152" s="17">
        <v>4</v>
      </c>
      <c r="AX152" s="17">
        <v>4</v>
      </c>
      <c r="AY152" s="4">
        <v>4</v>
      </c>
      <c r="AZ152" s="4">
        <v>4</v>
      </c>
      <c r="BA152" s="57">
        <v>4</v>
      </c>
      <c r="BB152" s="57">
        <v>4</v>
      </c>
      <c r="BC152" s="4">
        <v>4</v>
      </c>
      <c r="BD152" s="4">
        <v>1</v>
      </c>
      <c r="BE152" s="4">
        <v>4</v>
      </c>
      <c r="BF152" s="4">
        <v>4</v>
      </c>
      <c r="BG152" s="4">
        <v>4</v>
      </c>
      <c r="BH152" s="4">
        <v>4</v>
      </c>
      <c r="BI152" s="4">
        <v>4</v>
      </c>
      <c r="BJ152" s="4">
        <v>4</v>
      </c>
      <c r="BK152" s="4">
        <v>4</v>
      </c>
      <c r="BL152" s="4">
        <v>4</v>
      </c>
      <c r="BM152" s="4">
        <v>4</v>
      </c>
      <c r="BN152" s="4">
        <v>4</v>
      </c>
      <c r="BO152" s="4">
        <v>4</v>
      </c>
      <c r="BP152" s="4">
        <v>4</v>
      </c>
      <c r="BQ152" s="4">
        <v>4</v>
      </c>
      <c r="BR152" s="4">
        <v>4</v>
      </c>
      <c r="BS152" s="4">
        <v>4</v>
      </c>
      <c r="BT152" s="4">
        <v>4</v>
      </c>
      <c r="BU152" s="4">
        <v>4</v>
      </c>
      <c r="BV152" s="4">
        <v>4</v>
      </c>
      <c r="BW152" s="4">
        <v>4</v>
      </c>
      <c r="BX152" s="4">
        <v>1</v>
      </c>
      <c r="BY152" s="4">
        <v>4</v>
      </c>
      <c r="BZ152" s="4">
        <v>4</v>
      </c>
      <c r="CA152" s="4">
        <v>4</v>
      </c>
      <c r="CB152" s="17">
        <v>4</v>
      </c>
      <c r="CC152" s="4">
        <v>4</v>
      </c>
      <c r="CD152" s="4">
        <v>3</v>
      </c>
      <c r="CE152" s="4">
        <v>4</v>
      </c>
      <c r="CF152" s="57">
        <v>4</v>
      </c>
      <c r="CG152" s="57">
        <v>4</v>
      </c>
      <c r="CH152" s="4">
        <v>4</v>
      </c>
      <c r="CI152" s="4">
        <v>4</v>
      </c>
      <c r="CJ152" s="4">
        <v>4</v>
      </c>
      <c r="CK152" s="17">
        <v>4</v>
      </c>
      <c r="CL152" s="17">
        <v>4</v>
      </c>
      <c r="CM152" s="17">
        <v>4</v>
      </c>
      <c r="CN152" s="57">
        <v>4</v>
      </c>
      <c r="CO152" s="17">
        <v>4</v>
      </c>
      <c r="CP152" s="17">
        <v>4</v>
      </c>
      <c r="CQ152" s="57">
        <v>4</v>
      </c>
      <c r="CR152" s="17">
        <v>4</v>
      </c>
      <c r="CS152" s="17">
        <v>4</v>
      </c>
      <c r="CT152" s="4">
        <v>4</v>
      </c>
      <c r="CU152" s="4">
        <v>4</v>
      </c>
      <c r="CV152" s="4">
        <v>1</v>
      </c>
      <c r="CW152" s="4">
        <v>4</v>
      </c>
      <c r="CX152" s="4">
        <v>4</v>
      </c>
      <c r="CY152" s="4">
        <v>3</v>
      </c>
      <c r="CZ152" s="17">
        <v>4</v>
      </c>
      <c r="DA152" s="17">
        <v>4</v>
      </c>
      <c r="DB152" s="1">
        <v>4</v>
      </c>
      <c r="DC152" s="4">
        <v>1</v>
      </c>
      <c r="DD152" s="1">
        <v>4</v>
      </c>
      <c r="DE152" s="17">
        <v>4</v>
      </c>
      <c r="DF152" s="57">
        <v>4</v>
      </c>
      <c r="DG152" s="4">
        <v>4</v>
      </c>
      <c r="DH152" s="17">
        <v>4</v>
      </c>
      <c r="DI152" s="4">
        <v>4</v>
      </c>
      <c r="DJ152" s="4">
        <v>4</v>
      </c>
      <c r="DK152" s="4">
        <v>4</v>
      </c>
      <c r="DL152" s="4">
        <v>4</v>
      </c>
      <c r="DM152" s="4">
        <v>1</v>
      </c>
      <c r="DN152" s="4">
        <v>4</v>
      </c>
      <c r="DO152" s="4">
        <v>4</v>
      </c>
      <c r="DP152" s="4">
        <v>4</v>
      </c>
      <c r="DQ152" s="4">
        <v>4</v>
      </c>
      <c r="DR152" s="4">
        <v>4</v>
      </c>
      <c r="DS152" s="4">
        <v>4</v>
      </c>
      <c r="DT152" s="4">
        <v>4</v>
      </c>
    </row>
    <row r="153" spans="1:124" x14ac:dyDescent="0.2">
      <c r="A153" t="s">
        <v>307</v>
      </c>
      <c r="B153" s="1" t="s">
        <v>1426</v>
      </c>
      <c r="C153" s="1" t="s">
        <v>1427</v>
      </c>
      <c r="E153" s="4">
        <v>1</v>
      </c>
      <c r="F153" s="1">
        <v>4</v>
      </c>
      <c r="G153" s="4">
        <v>4</v>
      </c>
      <c r="H153" s="1">
        <v>1</v>
      </c>
      <c r="I153" s="4">
        <v>4</v>
      </c>
      <c r="J153" s="1">
        <v>1</v>
      </c>
      <c r="K153" s="4">
        <v>4</v>
      </c>
      <c r="L153" s="4">
        <v>4</v>
      </c>
      <c r="M153" s="4">
        <v>1</v>
      </c>
      <c r="N153" s="4">
        <v>4</v>
      </c>
      <c r="O153" s="4">
        <v>4</v>
      </c>
      <c r="P153" s="4">
        <v>4</v>
      </c>
      <c r="Q153" s="4">
        <v>4</v>
      </c>
      <c r="R153" s="4">
        <v>4</v>
      </c>
      <c r="S153" s="4">
        <v>4</v>
      </c>
      <c r="T153" s="4">
        <v>1</v>
      </c>
      <c r="U153" s="4">
        <v>4</v>
      </c>
      <c r="V153" s="57">
        <v>4</v>
      </c>
      <c r="W153" s="4">
        <v>4</v>
      </c>
      <c r="X153" s="4">
        <v>1</v>
      </c>
      <c r="Y153" s="4">
        <v>4</v>
      </c>
      <c r="Z153" s="4">
        <v>4</v>
      </c>
      <c r="AA153" s="4">
        <v>4</v>
      </c>
      <c r="AB153" s="4">
        <v>4</v>
      </c>
      <c r="AC153" s="57">
        <v>4</v>
      </c>
      <c r="AD153" s="4">
        <v>4</v>
      </c>
      <c r="AE153" s="4">
        <v>4</v>
      </c>
      <c r="AF153" s="4">
        <v>4</v>
      </c>
      <c r="AG153" s="4">
        <v>4</v>
      </c>
      <c r="AH153" s="4">
        <v>4</v>
      </c>
      <c r="AI153" s="4">
        <v>4</v>
      </c>
      <c r="AJ153" s="4">
        <v>4</v>
      </c>
      <c r="AK153" s="4">
        <v>4</v>
      </c>
      <c r="AL153" s="4">
        <v>4</v>
      </c>
      <c r="AM153" s="4">
        <v>4</v>
      </c>
      <c r="AN153" s="4">
        <v>4</v>
      </c>
      <c r="AO153" s="17">
        <v>4</v>
      </c>
      <c r="AP153" s="17">
        <v>4</v>
      </c>
      <c r="AQ153" s="17">
        <v>4</v>
      </c>
      <c r="AR153" s="17">
        <v>4</v>
      </c>
      <c r="AS153" s="17">
        <v>4</v>
      </c>
      <c r="AT153" s="17">
        <v>4</v>
      </c>
      <c r="AU153" s="17">
        <v>4</v>
      </c>
      <c r="AV153" s="57">
        <v>4</v>
      </c>
      <c r="AW153" s="17">
        <v>4</v>
      </c>
      <c r="AX153" s="17">
        <v>4</v>
      </c>
      <c r="AY153" s="4">
        <v>4</v>
      </c>
      <c r="AZ153" s="4">
        <v>4</v>
      </c>
      <c r="BA153" s="57">
        <v>4</v>
      </c>
      <c r="BB153" s="57">
        <v>4</v>
      </c>
      <c r="BC153" s="4">
        <v>4</v>
      </c>
      <c r="BD153" s="4">
        <v>1</v>
      </c>
      <c r="BE153" s="4">
        <v>4</v>
      </c>
      <c r="BF153" s="4">
        <v>4</v>
      </c>
      <c r="BG153" s="4">
        <v>4</v>
      </c>
      <c r="BH153" s="4">
        <v>4</v>
      </c>
      <c r="BI153" s="4">
        <v>4</v>
      </c>
      <c r="BJ153" s="4">
        <v>4</v>
      </c>
      <c r="BK153" s="4">
        <v>4</v>
      </c>
      <c r="BL153" s="4">
        <v>4</v>
      </c>
      <c r="BM153" s="4">
        <v>4</v>
      </c>
      <c r="BN153" s="4">
        <v>4</v>
      </c>
      <c r="BO153" s="4">
        <v>4</v>
      </c>
      <c r="BP153" s="4">
        <v>4</v>
      </c>
      <c r="BQ153" s="4">
        <v>4</v>
      </c>
      <c r="BR153" s="4">
        <v>4</v>
      </c>
      <c r="BS153" s="4">
        <v>4</v>
      </c>
      <c r="BT153" s="4">
        <v>4</v>
      </c>
      <c r="BU153" s="4">
        <v>4</v>
      </c>
      <c r="BV153" s="4">
        <v>4</v>
      </c>
      <c r="BW153" s="4">
        <v>4</v>
      </c>
      <c r="BX153" s="4">
        <v>1</v>
      </c>
      <c r="BY153" s="4">
        <v>4</v>
      </c>
      <c r="BZ153" s="4">
        <v>4</v>
      </c>
      <c r="CA153" s="4">
        <v>4</v>
      </c>
      <c r="CB153" s="17">
        <v>4</v>
      </c>
      <c r="CC153" s="4">
        <v>4</v>
      </c>
      <c r="CD153" s="4">
        <v>2</v>
      </c>
      <c r="CE153" s="4">
        <v>4</v>
      </c>
      <c r="CF153" s="57">
        <v>4</v>
      </c>
      <c r="CG153" s="57">
        <v>4</v>
      </c>
      <c r="CH153" s="4">
        <v>4</v>
      </c>
      <c r="CI153" s="4">
        <v>4</v>
      </c>
      <c r="CJ153" s="4">
        <v>4</v>
      </c>
      <c r="CK153" s="17">
        <v>4</v>
      </c>
      <c r="CL153" s="17">
        <v>4</v>
      </c>
      <c r="CM153" s="17">
        <v>4</v>
      </c>
      <c r="CN153" s="57">
        <v>4</v>
      </c>
      <c r="CO153" s="17">
        <v>4</v>
      </c>
      <c r="CP153" s="17">
        <v>4</v>
      </c>
      <c r="CQ153" s="57">
        <v>4</v>
      </c>
      <c r="CR153" s="17">
        <v>4</v>
      </c>
      <c r="CS153" s="17">
        <v>4</v>
      </c>
      <c r="CT153" s="4">
        <v>4</v>
      </c>
      <c r="CU153" s="4">
        <v>4</v>
      </c>
      <c r="CV153" s="4">
        <v>3</v>
      </c>
      <c r="CW153" s="4">
        <v>4</v>
      </c>
      <c r="CX153" s="4">
        <v>4</v>
      </c>
      <c r="CY153" s="4">
        <v>1</v>
      </c>
      <c r="CZ153" s="17">
        <v>4</v>
      </c>
      <c r="DA153" s="17">
        <v>4</v>
      </c>
      <c r="DB153" s="1">
        <v>4</v>
      </c>
      <c r="DC153" s="4">
        <v>3</v>
      </c>
      <c r="DD153" s="1">
        <v>4</v>
      </c>
      <c r="DE153" s="17">
        <v>4</v>
      </c>
      <c r="DF153" s="57">
        <v>4</v>
      </c>
      <c r="DG153" s="4">
        <v>4</v>
      </c>
      <c r="DH153" s="17">
        <v>4</v>
      </c>
      <c r="DI153" s="4">
        <v>4</v>
      </c>
      <c r="DJ153" s="4">
        <v>4</v>
      </c>
      <c r="DK153" s="4">
        <v>4</v>
      </c>
      <c r="DL153" s="4">
        <v>4</v>
      </c>
      <c r="DM153" s="4">
        <v>1</v>
      </c>
      <c r="DN153" s="4">
        <v>4</v>
      </c>
      <c r="DO153" s="4">
        <v>4</v>
      </c>
      <c r="DP153" s="4">
        <v>4</v>
      </c>
      <c r="DQ153" s="4">
        <v>4</v>
      </c>
      <c r="DR153" s="4">
        <v>4</v>
      </c>
      <c r="DS153" s="4">
        <v>4</v>
      </c>
      <c r="DT153" s="4">
        <v>4</v>
      </c>
    </row>
    <row r="154" spans="1:124" x14ac:dyDescent="0.2">
      <c r="A154" t="s">
        <v>308</v>
      </c>
      <c r="B154" s="1" t="s">
        <v>1426</v>
      </c>
      <c r="C154" s="1" t="s">
        <v>1427</v>
      </c>
      <c r="E154" s="4">
        <v>1</v>
      </c>
      <c r="F154" s="1">
        <v>4</v>
      </c>
      <c r="G154" s="4">
        <v>4</v>
      </c>
      <c r="H154" s="1">
        <v>1</v>
      </c>
      <c r="I154" s="4">
        <v>4</v>
      </c>
      <c r="J154" s="1">
        <v>1</v>
      </c>
      <c r="K154" s="4">
        <v>4</v>
      </c>
      <c r="L154" s="4">
        <v>4</v>
      </c>
      <c r="M154" s="4">
        <v>1</v>
      </c>
      <c r="N154" s="4">
        <v>4</v>
      </c>
      <c r="O154" s="4">
        <v>4</v>
      </c>
      <c r="P154" s="4">
        <v>4</v>
      </c>
      <c r="Q154" s="4">
        <v>4</v>
      </c>
      <c r="R154" s="4">
        <v>4</v>
      </c>
      <c r="S154" s="4">
        <v>4</v>
      </c>
      <c r="T154" s="4">
        <v>3</v>
      </c>
      <c r="U154" s="4">
        <v>4</v>
      </c>
      <c r="V154" s="57">
        <v>4</v>
      </c>
      <c r="W154" s="4">
        <v>4</v>
      </c>
      <c r="X154" s="4">
        <v>1</v>
      </c>
      <c r="Y154" s="4">
        <v>4</v>
      </c>
      <c r="Z154" s="4">
        <v>4</v>
      </c>
      <c r="AA154" s="4">
        <v>4</v>
      </c>
      <c r="AB154" s="4">
        <v>4</v>
      </c>
      <c r="AC154" s="57">
        <v>4</v>
      </c>
      <c r="AD154" s="4">
        <v>4</v>
      </c>
      <c r="AE154" s="4">
        <v>4</v>
      </c>
      <c r="AF154" s="4">
        <v>4</v>
      </c>
      <c r="AG154" s="4">
        <v>4</v>
      </c>
      <c r="AH154" s="4">
        <v>4</v>
      </c>
      <c r="AI154" s="4">
        <v>4</v>
      </c>
      <c r="AJ154" s="4">
        <v>4</v>
      </c>
      <c r="AK154" s="4">
        <v>4</v>
      </c>
      <c r="AL154" s="4">
        <v>4</v>
      </c>
      <c r="AM154" s="4">
        <v>4</v>
      </c>
      <c r="AN154" s="4">
        <v>4</v>
      </c>
      <c r="AO154" s="17">
        <v>4</v>
      </c>
      <c r="AP154" s="17">
        <v>4</v>
      </c>
      <c r="AQ154" s="17">
        <v>4</v>
      </c>
      <c r="AR154" s="17">
        <v>4</v>
      </c>
      <c r="AS154" s="17">
        <v>4</v>
      </c>
      <c r="AT154" s="17">
        <v>4</v>
      </c>
      <c r="AU154" s="17">
        <v>4</v>
      </c>
      <c r="AV154" s="57">
        <v>4</v>
      </c>
      <c r="AW154" s="17">
        <v>4</v>
      </c>
      <c r="AX154" s="17">
        <v>4</v>
      </c>
      <c r="AY154" s="4">
        <v>4</v>
      </c>
      <c r="AZ154" s="4">
        <v>4</v>
      </c>
      <c r="BA154" s="57">
        <v>4</v>
      </c>
      <c r="BB154" s="57">
        <v>4</v>
      </c>
      <c r="BC154" s="4">
        <v>4</v>
      </c>
      <c r="BD154" s="4">
        <v>1</v>
      </c>
      <c r="BE154" s="4">
        <v>4</v>
      </c>
      <c r="BF154" s="4">
        <v>4</v>
      </c>
      <c r="BG154" s="4">
        <v>4</v>
      </c>
      <c r="BH154" s="4">
        <v>4</v>
      </c>
      <c r="BI154" s="4">
        <v>4</v>
      </c>
      <c r="BJ154" s="4">
        <v>4</v>
      </c>
      <c r="BK154" s="4">
        <v>4</v>
      </c>
      <c r="BL154" s="4">
        <v>4</v>
      </c>
      <c r="BM154" s="4">
        <v>4</v>
      </c>
      <c r="BN154" s="4">
        <v>4</v>
      </c>
      <c r="BO154" s="4">
        <v>4</v>
      </c>
      <c r="BP154" s="4">
        <v>4</v>
      </c>
      <c r="BQ154" s="4">
        <v>4</v>
      </c>
      <c r="BR154" s="4">
        <v>4</v>
      </c>
      <c r="BS154" s="4">
        <v>4</v>
      </c>
      <c r="BT154" s="4">
        <v>4</v>
      </c>
      <c r="BU154" s="4">
        <v>4</v>
      </c>
      <c r="BV154" s="4">
        <v>4</v>
      </c>
      <c r="BW154" s="4">
        <v>4</v>
      </c>
      <c r="BX154" s="4">
        <v>3</v>
      </c>
      <c r="BY154" s="4">
        <v>4</v>
      </c>
      <c r="BZ154" s="4">
        <v>4</v>
      </c>
      <c r="CA154" s="4">
        <v>4</v>
      </c>
      <c r="CB154" s="17">
        <v>4</v>
      </c>
      <c r="CC154" s="4">
        <v>4</v>
      </c>
      <c r="CD154" s="4">
        <v>1</v>
      </c>
      <c r="CE154" s="4">
        <v>4</v>
      </c>
      <c r="CF154" s="57">
        <v>4</v>
      </c>
      <c r="CG154" s="57">
        <v>4</v>
      </c>
      <c r="CH154" s="4">
        <v>4</v>
      </c>
      <c r="CI154" s="4">
        <v>4</v>
      </c>
      <c r="CJ154" s="4">
        <v>4</v>
      </c>
      <c r="CK154" s="17">
        <v>4</v>
      </c>
      <c r="CL154" s="17">
        <v>4</v>
      </c>
      <c r="CM154" s="17">
        <v>4</v>
      </c>
      <c r="CN154" s="57">
        <v>4</v>
      </c>
      <c r="CO154" s="17">
        <v>4</v>
      </c>
      <c r="CP154" s="17">
        <v>4</v>
      </c>
      <c r="CQ154" s="57">
        <v>4</v>
      </c>
      <c r="CR154" s="17">
        <v>4</v>
      </c>
      <c r="CS154" s="17">
        <v>4</v>
      </c>
      <c r="CT154" s="4">
        <v>4</v>
      </c>
      <c r="CU154" s="4">
        <v>4</v>
      </c>
      <c r="CV154" s="4">
        <v>1</v>
      </c>
      <c r="CW154" s="4">
        <v>4</v>
      </c>
      <c r="CX154" s="4">
        <v>4</v>
      </c>
      <c r="CY154" s="4">
        <v>3</v>
      </c>
      <c r="CZ154" s="17">
        <v>4</v>
      </c>
      <c r="DA154" s="17">
        <v>4</v>
      </c>
      <c r="DB154" s="1">
        <v>4</v>
      </c>
      <c r="DC154" s="4">
        <v>3</v>
      </c>
      <c r="DD154" s="1">
        <v>4</v>
      </c>
      <c r="DE154" s="17">
        <v>4</v>
      </c>
      <c r="DF154" s="57">
        <v>4</v>
      </c>
      <c r="DG154" s="4">
        <v>4</v>
      </c>
      <c r="DH154" s="17">
        <v>4</v>
      </c>
      <c r="DI154" s="4">
        <v>4</v>
      </c>
      <c r="DJ154" s="4">
        <v>4</v>
      </c>
      <c r="DK154" s="4">
        <v>4</v>
      </c>
      <c r="DL154" s="4">
        <v>4</v>
      </c>
      <c r="DM154" s="4">
        <v>1</v>
      </c>
      <c r="DN154" s="4">
        <v>4</v>
      </c>
      <c r="DO154" s="4">
        <v>4</v>
      </c>
      <c r="DP154" s="4">
        <v>4</v>
      </c>
      <c r="DQ154" s="4">
        <v>4</v>
      </c>
      <c r="DR154" s="4">
        <v>4</v>
      </c>
      <c r="DS154" s="4">
        <v>4</v>
      </c>
      <c r="DT154" s="4">
        <v>4</v>
      </c>
    </row>
    <row r="155" spans="1:124" x14ac:dyDescent="0.2">
      <c r="A155" t="s">
        <v>309</v>
      </c>
      <c r="B155" s="1" t="s">
        <v>1426</v>
      </c>
      <c r="C155" s="1" t="s">
        <v>1427</v>
      </c>
      <c r="E155" s="4">
        <v>1</v>
      </c>
      <c r="F155" s="1">
        <v>4</v>
      </c>
      <c r="G155" s="4">
        <v>4</v>
      </c>
      <c r="H155" s="1">
        <v>1</v>
      </c>
      <c r="I155" s="4">
        <v>4</v>
      </c>
      <c r="J155" s="1">
        <v>1</v>
      </c>
      <c r="K155" s="4">
        <v>4</v>
      </c>
      <c r="L155" s="4">
        <v>4</v>
      </c>
      <c r="M155" s="4">
        <v>1</v>
      </c>
      <c r="N155" s="4">
        <v>4</v>
      </c>
      <c r="O155" s="4">
        <v>4</v>
      </c>
      <c r="P155" s="4">
        <v>4</v>
      </c>
      <c r="Q155" s="4">
        <v>4</v>
      </c>
      <c r="R155" s="4">
        <v>4</v>
      </c>
      <c r="S155" s="4">
        <v>4</v>
      </c>
      <c r="T155" s="4">
        <v>1</v>
      </c>
      <c r="U155" s="4">
        <v>4</v>
      </c>
      <c r="V155" s="57">
        <v>4</v>
      </c>
      <c r="W155" s="4">
        <v>4</v>
      </c>
      <c r="X155" s="4">
        <v>1</v>
      </c>
      <c r="Y155" s="4">
        <v>4</v>
      </c>
      <c r="Z155" s="4">
        <v>4</v>
      </c>
      <c r="AA155" s="4">
        <v>4</v>
      </c>
      <c r="AB155" s="4">
        <v>4</v>
      </c>
      <c r="AC155" s="57">
        <v>4</v>
      </c>
      <c r="AD155" s="4">
        <v>4</v>
      </c>
      <c r="AE155" s="4">
        <v>4</v>
      </c>
      <c r="AF155" s="4">
        <v>4</v>
      </c>
      <c r="AG155" s="4">
        <v>4</v>
      </c>
      <c r="AH155" s="4">
        <v>4</v>
      </c>
      <c r="AI155" s="4">
        <v>4</v>
      </c>
      <c r="AJ155" s="4">
        <v>4</v>
      </c>
      <c r="AK155" s="4">
        <v>4</v>
      </c>
      <c r="AL155" s="4">
        <v>4</v>
      </c>
      <c r="AM155" s="4">
        <v>4</v>
      </c>
      <c r="AN155" s="4">
        <v>4</v>
      </c>
      <c r="AO155" s="17">
        <v>4</v>
      </c>
      <c r="AP155" s="17">
        <v>4</v>
      </c>
      <c r="AQ155" s="17">
        <v>4</v>
      </c>
      <c r="AR155" s="17">
        <v>4</v>
      </c>
      <c r="AS155" s="17">
        <v>4</v>
      </c>
      <c r="AT155" s="17">
        <v>4</v>
      </c>
      <c r="AU155" s="17">
        <v>4</v>
      </c>
      <c r="AV155" s="57">
        <v>4</v>
      </c>
      <c r="AW155" s="17">
        <v>4</v>
      </c>
      <c r="AX155" s="17">
        <v>4</v>
      </c>
      <c r="AY155" s="4">
        <v>4</v>
      </c>
      <c r="AZ155" s="4">
        <v>4</v>
      </c>
      <c r="BA155" s="57">
        <v>4</v>
      </c>
      <c r="BB155" s="57">
        <v>4</v>
      </c>
      <c r="BC155" s="4">
        <v>4</v>
      </c>
      <c r="BD155" s="4">
        <v>1</v>
      </c>
      <c r="BE155" s="4">
        <v>4</v>
      </c>
      <c r="BF155" s="4">
        <v>4</v>
      </c>
      <c r="BG155" s="4">
        <v>4</v>
      </c>
      <c r="BH155" s="4">
        <v>4</v>
      </c>
      <c r="BI155" s="4">
        <v>4</v>
      </c>
      <c r="BJ155" s="4">
        <v>4</v>
      </c>
      <c r="BK155" s="4">
        <v>4</v>
      </c>
      <c r="BL155" s="4">
        <v>4</v>
      </c>
      <c r="BM155" s="4">
        <v>4</v>
      </c>
      <c r="BN155" s="4">
        <v>4</v>
      </c>
      <c r="BO155" s="4">
        <v>4</v>
      </c>
      <c r="BP155" s="4">
        <v>4</v>
      </c>
      <c r="BQ155" s="4">
        <v>4</v>
      </c>
      <c r="BR155" s="4">
        <v>4</v>
      </c>
      <c r="BS155" s="4">
        <v>4</v>
      </c>
      <c r="BT155" s="4">
        <v>4</v>
      </c>
      <c r="BU155" s="4">
        <v>4</v>
      </c>
      <c r="BV155" s="4">
        <v>4</v>
      </c>
      <c r="BW155" s="4">
        <v>4</v>
      </c>
      <c r="BX155" s="4">
        <v>1</v>
      </c>
      <c r="BY155" s="4">
        <v>4</v>
      </c>
      <c r="BZ155" s="4">
        <v>4</v>
      </c>
      <c r="CA155" s="4">
        <v>4</v>
      </c>
      <c r="CB155" s="17">
        <v>4</v>
      </c>
      <c r="CC155" s="4">
        <v>4</v>
      </c>
      <c r="CD155" s="4">
        <v>2</v>
      </c>
      <c r="CE155" s="4">
        <v>4</v>
      </c>
      <c r="CF155" s="57">
        <v>4</v>
      </c>
      <c r="CG155" s="57">
        <v>4</v>
      </c>
      <c r="CH155" s="4">
        <v>4</v>
      </c>
      <c r="CI155" s="4">
        <v>4</v>
      </c>
      <c r="CJ155" s="4">
        <v>4</v>
      </c>
      <c r="CK155" s="17">
        <v>4</v>
      </c>
      <c r="CL155" s="17">
        <v>4</v>
      </c>
      <c r="CM155" s="17">
        <v>4</v>
      </c>
      <c r="CN155" s="57">
        <v>4</v>
      </c>
      <c r="CO155" s="17">
        <v>4</v>
      </c>
      <c r="CP155" s="17">
        <v>4</v>
      </c>
      <c r="CQ155" s="57">
        <v>4</v>
      </c>
      <c r="CR155" s="17">
        <v>4</v>
      </c>
      <c r="CS155" s="17">
        <v>4</v>
      </c>
      <c r="CT155" s="4">
        <v>4</v>
      </c>
      <c r="CU155" s="4">
        <v>4</v>
      </c>
      <c r="CV155" s="4">
        <v>1</v>
      </c>
      <c r="CW155" s="4">
        <v>4</v>
      </c>
      <c r="CX155" s="4">
        <v>4</v>
      </c>
      <c r="CY155" s="4">
        <v>1</v>
      </c>
      <c r="CZ155" s="17">
        <v>4</v>
      </c>
      <c r="DA155" s="17">
        <v>4</v>
      </c>
      <c r="DB155" s="1">
        <v>4</v>
      </c>
      <c r="DC155" s="4">
        <v>1</v>
      </c>
      <c r="DD155" s="1">
        <v>4</v>
      </c>
      <c r="DE155" s="17">
        <v>4</v>
      </c>
      <c r="DF155" s="57">
        <v>4</v>
      </c>
      <c r="DG155" s="4">
        <v>4</v>
      </c>
      <c r="DH155" s="17">
        <v>4</v>
      </c>
      <c r="DI155" s="4">
        <v>4</v>
      </c>
      <c r="DJ155" s="4">
        <v>4</v>
      </c>
      <c r="DK155" s="4">
        <v>4</v>
      </c>
      <c r="DL155" s="4">
        <v>4</v>
      </c>
      <c r="DM155" s="4">
        <v>1</v>
      </c>
      <c r="DN155" s="4">
        <v>4</v>
      </c>
      <c r="DO155" s="4">
        <v>4</v>
      </c>
      <c r="DP155" s="4">
        <v>4</v>
      </c>
      <c r="DQ155" s="4">
        <v>4</v>
      </c>
      <c r="DR155" s="4">
        <v>4</v>
      </c>
      <c r="DS155" s="4">
        <v>4</v>
      </c>
      <c r="DT155" s="4">
        <v>4</v>
      </c>
    </row>
    <row r="156" spans="1:124" x14ac:dyDescent="0.2">
      <c r="A156" t="s">
        <v>310</v>
      </c>
      <c r="B156" s="1" t="s">
        <v>1426</v>
      </c>
      <c r="C156" s="1" t="s">
        <v>1427</v>
      </c>
      <c r="E156" s="4">
        <v>1</v>
      </c>
      <c r="F156" s="1">
        <v>4</v>
      </c>
      <c r="G156" s="4">
        <v>1</v>
      </c>
      <c r="H156" s="1">
        <v>1</v>
      </c>
      <c r="I156" s="4">
        <v>4</v>
      </c>
      <c r="J156" s="1">
        <v>1</v>
      </c>
      <c r="K156" s="4">
        <v>4</v>
      </c>
      <c r="L156" s="4">
        <v>1</v>
      </c>
      <c r="M156" s="4">
        <v>1</v>
      </c>
      <c r="N156" s="4">
        <v>4</v>
      </c>
      <c r="O156" s="4">
        <v>4</v>
      </c>
      <c r="P156" s="4">
        <v>4</v>
      </c>
      <c r="Q156" s="4">
        <v>4</v>
      </c>
      <c r="R156" s="4">
        <v>4</v>
      </c>
      <c r="S156" s="4">
        <v>1</v>
      </c>
      <c r="T156" s="4">
        <v>1</v>
      </c>
      <c r="U156" s="4">
        <v>4</v>
      </c>
      <c r="V156" s="57">
        <v>4</v>
      </c>
      <c r="W156" s="4">
        <v>4</v>
      </c>
      <c r="X156" s="4">
        <v>4</v>
      </c>
      <c r="Y156" s="4">
        <v>4</v>
      </c>
      <c r="Z156" s="4">
        <v>4</v>
      </c>
      <c r="AA156" s="4">
        <v>4</v>
      </c>
      <c r="AB156" s="4">
        <v>4</v>
      </c>
      <c r="AC156" s="57">
        <v>4</v>
      </c>
      <c r="AD156" s="4">
        <v>4</v>
      </c>
      <c r="AE156" s="4">
        <v>4</v>
      </c>
      <c r="AF156" s="4">
        <v>4</v>
      </c>
      <c r="AG156" s="4">
        <v>4</v>
      </c>
      <c r="AH156" s="4">
        <v>4</v>
      </c>
      <c r="AI156" s="4">
        <v>4</v>
      </c>
      <c r="AJ156" s="4">
        <v>4</v>
      </c>
      <c r="AK156" s="4">
        <v>4</v>
      </c>
      <c r="AL156" s="4">
        <v>4</v>
      </c>
      <c r="AM156" s="4">
        <v>4</v>
      </c>
      <c r="AN156" s="4">
        <v>4</v>
      </c>
      <c r="AO156" s="17">
        <v>4</v>
      </c>
      <c r="AP156" s="17">
        <v>4</v>
      </c>
      <c r="AQ156" s="17">
        <v>4</v>
      </c>
      <c r="AR156" s="17">
        <v>4</v>
      </c>
      <c r="AS156" s="17">
        <v>4</v>
      </c>
      <c r="AT156" s="17">
        <v>4</v>
      </c>
      <c r="AU156" s="17">
        <v>4</v>
      </c>
      <c r="AV156" s="57">
        <v>4</v>
      </c>
      <c r="AW156" s="17">
        <v>4</v>
      </c>
      <c r="AX156" s="17">
        <v>4</v>
      </c>
      <c r="AY156" s="4">
        <v>4</v>
      </c>
      <c r="AZ156" s="4">
        <v>4</v>
      </c>
      <c r="BA156" s="57">
        <v>4</v>
      </c>
      <c r="BB156" s="57">
        <v>4</v>
      </c>
      <c r="BC156" s="4">
        <v>1</v>
      </c>
      <c r="BD156" s="4">
        <v>1</v>
      </c>
      <c r="BE156" s="4">
        <v>4</v>
      </c>
      <c r="BF156" s="4">
        <v>4</v>
      </c>
      <c r="BG156" s="4">
        <v>4</v>
      </c>
      <c r="BH156" s="4">
        <v>4</v>
      </c>
      <c r="BI156" s="4">
        <v>4</v>
      </c>
      <c r="BJ156" s="4">
        <v>4</v>
      </c>
      <c r="BK156" s="4">
        <v>4</v>
      </c>
      <c r="BL156" s="4">
        <v>4</v>
      </c>
      <c r="BM156" s="4">
        <v>4</v>
      </c>
      <c r="BN156" s="4">
        <v>4</v>
      </c>
      <c r="BO156" s="4">
        <v>4</v>
      </c>
      <c r="BP156" s="4">
        <v>4</v>
      </c>
      <c r="BQ156" s="4">
        <v>4</v>
      </c>
      <c r="BR156" s="4">
        <v>4</v>
      </c>
      <c r="BS156" s="4">
        <v>4</v>
      </c>
      <c r="BT156" s="4">
        <v>4</v>
      </c>
      <c r="BU156" s="4">
        <v>4</v>
      </c>
      <c r="BV156" s="4">
        <v>4</v>
      </c>
      <c r="BW156" s="4">
        <v>1</v>
      </c>
      <c r="BX156" s="4">
        <v>1</v>
      </c>
      <c r="BY156" s="4">
        <v>4</v>
      </c>
      <c r="BZ156" s="4">
        <v>4</v>
      </c>
      <c r="CA156" s="4">
        <v>1</v>
      </c>
      <c r="CB156" s="17">
        <v>4</v>
      </c>
      <c r="CC156" s="4">
        <v>4</v>
      </c>
      <c r="CD156" s="4">
        <v>4</v>
      </c>
      <c r="CE156" s="4">
        <v>4</v>
      </c>
      <c r="CF156" s="57">
        <v>4</v>
      </c>
      <c r="CG156" s="57">
        <v>4</v>
      </c>
      <c r="CH156" s="4">
        <v>4</v>
      </c>
      <c r="CI156" s="4">
        <v>4</v>
      </c>
      <c r="CJ156" s="4">
        <v>4</v>
      </c>
      <c r="CK156" s="17">
        <v>4</v>
      </c>
      <c r="CL156" s="17">
        <v>4</v>
      </c>
      <c r="CM156" s="17">
        <v>4</v>
      </c>
      <c r="CN156" s="57">
        <v>4</v>
      </c>
      <c r="CO156" s="17">
        <v>4</v>
      </c>
      <c r="CP156" s="17">
        <v>4</v>
      </c>
      <c r="CQ156" s="57">
        <v>4</v>
      </c>
      <c r="CR156" s="17">
        <v>4</v>
      </c>
      <c r="CS156" s="17">
        <v>4</v>
      </c>
      <c r="CT156" s="4">
        <v>4</v>
      </c>
      <c r="CU156" s="4">
        <v>1</v>
      </c>
      <c r="CV156" s="4">
        <v>1</v>
      </c>
      <c r="CW156" s="4">
        <v>4</v>
      </c>
      <c r="CX156" s="4">
        <v>1</v>
      </c>
      <c r="CY156" s="4">
        <v>1</v>
      </c>
      <c r="CZ156" s="17">
        <v>4</v>
      </c>
      <c r="DA156" s="17">
        <v>4</v>
      </c>
      <c r="DB156" s="1">
        <v>4</v>
      </c>
      <c r="DC156" s="4">
        <v>4</v>
      </c>
      <c r="DD156" s="1">
        <v>4</v>
      </c>
      <c r="DE156" s="17">
        <v>4</v>
      </c>
      <c r="DF156" s="57">
        <v>4</v>
      </c>
      <c r="DG156" s="4">
        <v>4</v>
      </c>
      <c r="DH156" s="17">
        <v>4</v>
      </c>
      <c r="DI156" s="4">
        <v>4</v>
      </c>
      <c r="DJ156" s="4">
        <v>4</v>
      </c>
      <c r="DK156" s="4">
        <v>4</v>
      </c>
      <c r="DL156" s="4">
        <v>1</v>
      </c>
      <c r="DM156" s="4">
        <v>1</v>
      </c>
      <c r="DN156" s="4">
        <v>4</v>
      </c>
      <c r="DO156" s="4">
        <v>4</v>
      </c>
      <c r="DP156" s="4">
        <v>4</v>
      </c>
      <c r="DQ156" s="4">
        <v>4</v>
      </c>
      <c r="DR156" s="4">
        <v>4</v>
      </c>
      <c r="DS156" s="4">
        <v>4</v>
      </c>
      <c r="DT156" s="4">
        <v>4</v>
      </c>
    </row>
    <row r="157" spans="1:124" x14ac:dyDescent="0.2">
      <c r="A157" t="s">
        <v>311</v>
      </c>
      <c r="B157" s="1" t="s">
        <v>1426</v>
      </c>
      <c r="C157" s="1" t="s">
        <v>1427</v>
      </c>
      <c r="E157" s="4">
        <v>1</v>
      </c>
      <c r="F157" s="1">
        <v>4</v>
      </c>
      <c r="G157" s="4">
        <v>1</v>
      </c>
      <c r="H157" s="1">
        <v>1</v>
      </c>
      <c r="I157" s="4">
        <v>4</v>
      </c>
      <c r="J157" s="1">
        <v>1</v>
      </c>
      <c r="K157" s="4">
        <v>4</v>
      </c>
      <c r="L157" s="4">
        <v>1</v>
      </c>
      <c r="M157" s="4">
        <v>1</v>
      </c>
      <c r="N157" s="4">
        <v>4</v>
      </c>
      <c r="O157" s="4">
        <v>4</v>
      </c>
      <c r="P157" s="4">
        <v>4</v>
      </c>
      <c r="Q157" s="4">
        <v>4</v>
      </c>
      <c r="R157" s="4">
        <v>4</v>
      </c>
      <c r="S157" s="4">
        <v>1</v>
      </c>
      <c r="T157" s="4">
        <v>1</v>
      </c>
      <c r="U157" s="4">
        <v>4</v>
      </c>
      <c r="V157" s="57">
        <v>4</v>
      </c>
      <c r="W157" s="4">
        <v>4</v>
      </c>
      <c r="X157" s="4">
        <v>4</v>
      </c>
      <c r="Y157" s="4">
        <v>4</v>
      </c>
      <c r="Z157" s="4">
        <v>4</v>
      </c>
      <c r="AA157" s="4">
        <v>4</v>
      </c>
      <c r="AB157" s="4">
        <v>4</v>
      </c>
      <c r="AC157" s="57">
        <v>4</v>
      </c>
      <c r="AD157" s="4">
        <v>4</v>
      </c>
      <c r="AE157" s="4">
        <v>4</v>
      </c>
      <c r="AF157" s="4">
        <v>4</v>
      </c>
      <c r="AG157" s="4">
        <v>4</v>
      </c>
      <c r="AH157" s="4">
        <v>4</v>
      </c>
      <c r="AI157" s="4">
        <v>4</v>
      </c>
      <c r="AJ157" s="4">
        <v>4</v>
      </c>
      <c r="AK157" s="4">
        <v>4</v>
      </c>
      <c r="AL157" s="4">
        <v>4</v>
      </c>
      <c r="AM157" s="4">
        <v>4</v>
      </c>
      <c r="AN157" s="4">
        <v>4</v>
      </c>
      <c r="AO157" s="17">
        <v>4</v>
      </c>
      <c r="AP157" s="17">
        <v>4</v>
      </c>
      <c r="AQ157" s="17">
        <v>4</v>
      </c>
      <c r="AR157" s="17">
        <v>4</v>
      </c>
      <c r="AS157" s="17">
        <v>4</v>
      </c>
      <c r="AT157" s="17">
        <v>4</v>
      </c>
      <c r="AU157" s="17">
        <v>4</v>
      </c>
      <c r="AV157" s="57">
        <v>4</v>
      </c>
      <c r="AW157" s="17">
        <v>4</v>
      </c>
      <c r="AX157" s="17">
        <v>4</v>
      </c>
      <c r="AY157" s="4">
        <v>4</v>
      </c>
      <c r="AZ157" s="4">
        <v>4</v>
      </c>
      <c r="BA157" s="57">
        <v>4</v>
      </c>
      <c r="BB157" s="57">
        <v>4</v>
      </c>
      <c r="BC157" s="4">
        <v>1</v>
      </c>
      <c r="BD157" s="4">
        <v>1</v>
      </c>
      <c r="BE157" s="4">
        <v>4</v>
      </c>
      <c r="BF157" s="4">
        <v>4</v>
      </c>
      <c r="BG157" s="4">
        <v>4</v>
      </c>
      <c r="BH157" s="4">
        <v>4</v>
      </c>
      <c r="BI157" s="4">
        <v>4</v>
      </c>
      <c r="BJ157" s="4">
        <v>4</v>
      </c>
      <c r="BK157" s="4">
        <v>4</v>
      </c>
      <c r="BL157" s="4">
        <v>4</v>
      </c>
      <c r="BM157" s="4">
        <v>4</v>
      </c>
      <c r="BN157" s="4">
        <v>4</v>
      </c>
      <c r="BO157" s="4">
        <v>4</v>
      </c>
      <c r="BP157" s="4">
        <v>4</v>
      </c>
      <c r="BQ157" s="4">
        <v>4</v>
      </c>
      <c r="BR157" s="4">
        <v>4</v>
      </c>
      <c r="BS157" s="4">
        <v>4</v>
      </c>
      <c r="BT157" s="4">
        <v>4</v>
      </c>
      <c r="BU157" s="4">
        <v>4</v>
      </c>
      <c r="BV157" s="4">
        <v>4</v>
      </c>
      <c r="BW157" s="4">
        <v>1</v>
      </c>
      <c r="BX157" s="4">
        <v>1</v>
      </c>
      <c r="BY157" s="4">
        <v>4</v>
      </c>
      <c r="BZ157" s="4">
        <v>4</v>
      </c>
      <c r="CA157" s="4">
        <v>1</v>
      </c>
      <c r="CB157" s="17">
        <v>4</v>
      </c>
      <c r="CC157" s="4">
        <v>4</v>
      </c>
      <c r="CD157" s="4">
        <v>4</v>
      </c>
      <c r="CE157" s="4">
        <v>4</v>
      </c>
      <c r="CF157" s="57">
        <v>4</v>
      </c>
      <c r="CG157" s="57">
        <v>4</v>
      </c>
      <c r="CH157" s="4">
        <v>4</v>
      </c>
      <c r="CI157" s="4">
        <v>4</v>
      </c>
      <c r="CJ157" s="4">
        <v>4</v>
      </c>
      <c r="CK157" s="17">
        <v>4</v>
      </c>
      <c r="CL157" s="17">
        <v>4</v>
      </c>
      <c r="CM157" s="17">
        <v>4</v>
      </c>
      <c r="CN157" s="57">
        <v>4</v>
      </c>
      <c r="CO157" s="17">
        <v>4</v>
      </c>
      <c r="CP157" s="17">
        <v>4</v>
      </c>
      <c r="CQ157" s="57">
        <v>4</v>
      </c>
      <c r="CR157" s="17">
        <v>4</v>
      </c>
      <c r="CS157" s="17">
        <v>4</v>
      </c>
      <c r="CT157" s="4">
        <v>4</v>
      </c>
      <c r="CU157" s="4">
        <v>1</v>
      </c>
      <c r="CV157" s="4">
        <v>1</v>
      </c>
      <c r="CW157" s="4">
        <v>4</v>
      </c>
      <c r="CX157" s="4">
        <v>1</v>
      </c>
      <c r="CY157" s="4">
        <v>1</v>
      </c>
      <c r="CZ157" s="17">
        <v>4</v>
      </c>
      <c r="DA157" s="17">
        <v>4</v>
      </c>
      <c r="DB157" s="1">
        <v>4</v>
      </c>
      <c r="DC157" s="4">
        <v>4</v>
      </c>
      <c r="DD157" s="1">
        <v>4</v>
      </c>
      <c r="DE157" s="17">
        <v>4</v>
      </c>
      <c r="DF157" s="57">
        <v>4</v>
      </c>
      <c r="DG157" s="4">
        <v>4</v>
      </c>
      <c r="DH157" s="17">
        <v>4</v>
      </c>
      <c r="DI157" s="4">
        <v>4</v>
      </c>
      <c r="DJ157" s="4">
        <v>4</v>
      </c>
      <c r="DK157" s="4">
        <v>4</v>
      </c>
      <c r="DL157" s="4">
        <v>1</v>
      </c>
      <c r="DM157" s="4">
        <v>1</v>
      </c>
      <c r="DN157" s="4">
        <v>4</v>
      </c>
      <c r="DO157" s="4">
        <v>4</v>
      </c>
      <c r="DP157" s="4">
        <v>4</v>
      </c>
      <c r="DQ157" s="4">
        <v>4</v>
      </c>
      <c r="DR157" s="4">
        <v>4</v>
      </c>
      <c r="DS157" s="4">
        <v>4</v>
      </c>
      <c r="DT157" s="4">
        <v>4</v>
      </c>
    </row>
    <row r="158" spans="1:124" x14ac:dyDescent="0.2">
      <c r="A158" t="s">
        <v>312</v>
      </c>
      <c r="B158" s="1" t="s">
        <v>1426</v>
      </c>
      <c r="C158" s="1" t="s">
        <v>1427</v>
      </c>
      <c r="E158" s="4">
        <v>1</v>
      </c>
      <c r="F158" s="1">
        <v>4</v>
      </c>
      <c r="G158" s="4">
        <v>3</v>
      </c>
      <c r="H158" s="1">
        <v>1</v>
      </c>
      <c r="I158" s="4">
        <v>4</v>
      </c>
      <c r="J158" s="1">
        <v>1</v>
      </c>
      <c r="K158" s="4">
        <v>4</v>
      </c>
      <c r="L158" s="4">
        <v>2</v>
      </c>
      <c r="M158" s="4">
        <v>3</v>
      </c>
      <c r="N158" s="4">
        <v>4</v>
      </c>
      <c r="O158" s="4">
        <v>4</v>
      </c>
      <c r="P158" s="4">
        <v>4</v>
      </c>
      <c r="Q158" s="4">
        <v>4</v>
      </c>
      <c r="R158" s="4">
        <v>4</v>
      </c>
      <c r="S158" s="4">
        <v>1</v>
      </c>
      <c r="T158" s="4">
        <v>1</v>
      </c>
      <c r="U158" s="4">
        <v>4</v>
      </c>
      <c r="V158" s="57">
        <v>4</v>
      </c>
      <c r="W158" s="4">
        <v>4</v>
      </c>
      <c r="X158" s="4">
        <v>4</v>
      </c>
      <c r="Y158" s="4">
        <v>4</v>
      </c>
      <c r="Z158" s="4">
        <v>4</v>
      </c>
      <c r="AA158" s="4">
        <v>4</v>
      </c>
      <c r="AB158" s="4">
        <v>4</v>
      </c>
      <c r="AC158" s="57">
        <v>4</v>
      </c>
      <c r="AD158" s="4">
        <v>4</v>
      </c>
      <c r="AE158" s="4">
        <v>4</v>
      </c>
      <c r="AF158" s="4">
        <v>4</v>
      </c>
      <c r="AG158" s="4">
        <v>4</v>
      </c>
      <c r="AH158" s="4">
        <v>4</v>
      </c>
      <c r="AI158" s="4">
        <v>4</v>
      </c>
      <c r="AJ158" s="4">
        <v>4</v>
      </c>
      <c r="AK158" s="4">
        <v>4</v>
      </c>
      <c r="AL158" s="4">
        <v>4</v>
      </c>
      <c r="AM158" s="4">
        <v>4</v>
      </c>
      <c r="AN158" s="4">
        <v>4</v>
      </c>
      <c r="AO158" s="17">
        <v>4</v>
      </c>
      <c r="AP158" s="17">
        <v>4</v>
      </c>
      <c r="AQ158" s="17">
        <v>4</v>
      </c>
      <c r="AR158" s="17">
        <v>4</v>
      </c>
      <c r="AS158" s="17">
        <v>4</v>
      </c>
      <c r="AT158" s="17">
        <v>4</v>
      </c>
      <c r="AU158" s="17">
        <v>4</v>
      </c>
      <c r="AV158" s="57">
        <v>4</v>
      </c>
      <c r="AW158" s="17">
        <v>4</v>
      </c>
      <c r="AX158" s="17">
        <v>4</v>
      </c>
      <c r="AY158" s="4">
        <v>4</v>
      </c>
      <c r="AZ158" s="4">
        <v>4</v>
      </c>
      <c r="BA158" s="57">
        <v>4</v>
      </c>
      <c r="BB158" s="57">
        <v>4</v>
      </c>
      <c r="BC158" s="4">
        <v>1</v>
      </c>
      <c r="BD158" s="4">
        <v>1</v>
      </c>
      <c r="BE158" s="4">
        <v>4</v>
      </c>
      <c r="BF158" s="4">
        <v>4</v>
      </c>
      <c r="BG158" s="4">
        <v>4</v>
      </c>
      <c r="BH158" s="4">
        <v>4</v>
      </c>
      <c r="BI158" s="4">
        <v>4</v>
      </c>
      <c r="BJ158" s="4">
        <v>4</v>
      </c>
      <c r="BK158" s="4">
        <v>4</v>
      </c>
      <c r="BL158" s="4">
        <v>4</v>
      </c>
      <c r="BM158" s="4">
        <v>4</v>
      </c>
      <c r="BN158" s="4">
        <v>4</v>
      </c>
      <c r="BO158" s="4">
        <v>4</v>
      </c>
      <c r="BP158" s="4">
        <v>4</v>
      </c>
      <c r="BQ158" s="4">
        <v>4</v>
      </c>
      <c r="BR158" s="4">
        <v>4</v>
      </c>
      <c r="BS158" s="4">
        <v>4</v>
      </c>
      <c r="BT158" s="4">
        <v>4</v>
      </c>
      <c r="BU158" s="4">
        <v>4</v>
      </c>
      <c r="BV158" s="4">
        <v>4</v>
      </c>
      <c r="BW158" s="4">
        <v>1</v>
      </c>
      <c r="BX158" s="4">
        <v>1</v>
      </c>
      <c r="BY158" s="4">
        <v>4</v>
      </c>
      <c r="BZ158" s="4">
        <v>4</v>
      </c>
      <c r="CA158" s="4">
        <v>1</v>
      </c>
      <c r="CB158" s="17">
        <v>4</v>
      </c>
      <c r="CC158" s="4">
        <v>4</v>
      </c>
      <c r="CD158" s="4">
        <v>4</v>
      </c>
      <c r="CE158" s="4">
        <v>4</v>
      </c>
      <c r="CF158" s="57">
        <v>4</v>
      </c>
      <c r="CG158" s="57">
        <v>4</v>
      </c>
      <c r="CH158" s="4">
        <v>4</v>
      </c>
      <c r="CI158" s="4">
        <v>4</v>
      </c>
      <c r="CJ158" s="4">
        <v>4</v>
      </c>
      <c r="CK158" s="17">
        <v>4</v>
      </c>
      <c r="CL158" s="17">
        <v>4</v>
      </c>
      <c r="CM158" s="17">
        <v>4</v>
      </c>
      <c r="CN158" s="57">
        <v>4</v>
      </c>
      <c r="CO158" s="17">
        <v>4</v>
      </c>
      <c r="CP158" s="17">
        <v>4</v>
      </c>
      <c r="CQ158" s="57">
        <v>4</v>
      </c>
      <c r="CR158" s="17">
        <v>4</v>
      </c>
      <c r="CS158" s="17">
        <v>4</v>
      </c>
      <c r="CT158" s="4">
        <v>4</v>
      </c>
      <c r="CU158" s="4">
        <v>1</v>
      </c>
      <c r="CV158" s="4">
        <v>1</v>
      </c>
      <c r="CW158" s="4">
        <v>4</v>
      </c>
      <c r="CX158" s="4">
        <v>1</v>
      </c>
      <c r="CY158" s="4">
        <v>1</v>
      </c>
      <c r="CZ158" s="17">
        <v>4</v>
      </c>
      <c r="DA158" s="17">
        <v>4</v>
      </c>
      <c r="DB158" s="1">
        <v>4</v>
      </c>
      <c r="DC158" s="4">
        <v>4</v>
      </c>
      <c r="DD158" s="1">
        <v>4</v>
      </c>
      <c r="DE158" s="17">
        <v>4</v>
      </c>
      <c r="DF158" s="57">
        <v>4</v>
      </c>
      <c r="DG158" s="4">
        <v>4</v>
      </c>
      <c r="DH158" s="17">
        <v>4</v>
      </c>
      <c r="DI158" s="4">
        <v>4</v>
      </c>
      <c r="DJ158" s="4">
        <v>4</v>
      </c>
      <c r="DK158" s="4">
        <v>4</v>
      </c>
      <c r="DL158" s="4">
        <v>1</v>
      </c>
      <c r="DM158" s="4">
        <v>1</v>
      </c>
      <c r="DN158" s="4">
        <v>4</v>
      </c>
      <c r="DO158" s="4">
        <v>4</v>
      </c>
      <c r="DP158" s="4">
        <v>4</v>
      </c>
      <c r="DQ158" s="4">
        <v>4</v>
      </c>
      <c r="DR158" s="4">
        <v>4</v>
      </c>
      <c r="DS158" s="4">
        <v>4</v>
      </c>
      <c r="DT158" s="4">
        <v>4</v>
      </c>
    </row>
    <row r="159" spans="1:124" x14ac:dyDescent="0.2">
      <c r="A159" t="s">
        <v>313</v>
      </c>
      <c r="B159" s="1" t="s">
        <v>1426</v>
      </c>
      <c r="C159" s="1" t="s">
        <v>1427</v>
      </c>
      <c r="E159" s="4">
        <v>1</v>
      </c>
      <c r="F159" s="1">
        <v>4</v>
      </c>
      <c r="G159" s="4">
        <v>3</v>
      </c>
      <c r="H159" s="1">
        <v>1</v>
      </c>
      <c r="I159" s="4">
        <v>4</v>
      </c>
      <c r="J159" s="4">
        <v>3</v>
      </c>
      <c r="K159" s="4">
        <v>4</v>
      </c>
      <c r="L159" s="4">
        <v>2</v>
      </c>
      <c r="M159" s="4">
        <v>3</v>
      </c>
      <c r="N159" s="4">
        <v>4</v>
      </c>
      <c r="O159" s="4">
        <v>4</v>
      </c>
      <c r="P159" s="4">
        <v>4</v>
      </c>
      <c r="Q159" s="4">
        <v>4</v>
      </c>
      <c r="R159" s="4">
        <v>4</v>
      </c>
      <c r="S159" s="4">
        <v>1</v>
      </c>
      <c r="T159" s="4">
        <v>1</v>
      </c>
      <c r="U159" s="4">
        <v>4</v>
      </c>
      <c r="V159" s="57">
        <v>4</v>
      </c>
      <c r="W159" s="4">
        <v>4</v>
      </c>
      <c r="X159" s="4">
        <v>4</v>
      </c>
      <c r="Y159" s="4">
        <v>4</v>
      </c>
      <c r="Z159" s="4">
        <v>4</v>
      </c>
      <c r="AA159" s="4">
        <v>4</v>
      </c>
      <c r="AB159" s="4">
        <v>4</v>
      </c>
      <c r="AC159" s="57">
        <v>4</v>
      </c>
      <c r="AD159" s="4">
        <v>4</v>
      </c>
      <c r="AE159" s="4">
        <v>4</v>
      </c>
      <c r="AF159" s="4">
        <v>4</v>
      </c>
      <c r="AG159" s="4">
        <v>4</v>
      </c>
      <c r="AH159" s="4">
        <v>4</v>
      </c>
      <c r="AI159" s="4">
        <v>4</v>
      </c>
      <c r="AJ159" s="4">
        <v>4</v>
      </c>
      <c r="AK159" s="4">
        <v>4</v>
      </c>
      <c r="AL159" s="4">
        <v>4</v>
      </c>
      <c r="AM159" s="4">
        <v>4</v>
      </c>
      <c r="AN159" s="4">
        <v>4</v>
      </c>
      <c r="AO159" s="17">
        <v>4</v>
      </c>
      <c r="AP159" s="17">
        <v>4</v>
      </c>
      <c r="AQ159" s="17">
        <v>4</v>
      </c>
      <c r="AR159" s="17">
        <v>4</v>
      </c>
      <c r="AS159" s="17">
        <v>4</v>
      </c>
      <c r="AT159" s="17">
        <v>4</v>
      </c>
      <c r="AU159" s="17">
        <v>4</v>
      </c>
      <c r="AV159" s="57">
        <v>4</v>
      </c>
      <c r="AW159" s="17">
        <v>4</v>
      </c>
      <c r="AX159" s="17">
        <v>4</v>
      </c>
      <c r="AY159" s="4">
        <v>4</v>
      </c>
      <c r="AZ159" s="4">
        <v>4</v>
      </c>
      <c r="BA159" s="57">
        <v>4</v>
      </c>
      <c r="BB159" s="57">
        <v>4</v>
      </c>
      <c r="BC159" s="4">
        <v>1</v>
      </c>
      <c r="BD159" s="4">
        <v>1</v>
      </c>
      <c r="BE159" s="4">
        <v>4</v>
      </c>
      <c r="BF159" s="4">
        <v>4</v>
      </c>
      <c r="BG159" s="4">
        <v>4</v>
      </c>
      <c r="BH159" s="4">
        <v>4</v>
      </c>
      <c r="BI159" s="4">
        <v>4</v>
      </c>
      <c r="BJ159" s="4">
        <v>4</v>
      </c>
      <c r="BK159" s="4">
        <v>4</v>
      </c>
      <c r="BL159" s="4">
        <v>4</v>
      </c>
      <c r="BM159" s="4">
        <v>4</v>
      </c>
      <c r="BN159" s="4">
        <v>4</v>
      </c>
      <c r="BO159" s="4">
        <v>4</v>
      </c>
      <c r="BP159" s="4">
        <v>4</v>
      </c>
      <c r="BQ159" s="4">
        <v>4</v>
      </c>
      <c r="BR159" s="4">
        <v>4</v>
      </c>
      <c r="BS159" s="4">
        <v>4</v>
      </c>
      <c r="BT159" s="4">
        <v>4</v>
      </c>
      <c r="BU159" s="4">
        <v>4</v>
      </c>
      <c r="BV159" s="4">
        <v>4</v>
      </c>
      <c r="BW159" s="4">
        <v>1</v>
      </c>
      <c r="BX159" s="4">
        <v>1</v>
      </c>
      <c r="BY159" s="4">
        <v>4</v>
      </c>
      <c r="BZ159" s="4">
        <v>4</v>
      </c>
      <c r="CA159" s="4">
        <v>1</v>
      </c>
      <c r="CB159" s="17">
        <v>4</v>
      </c>
      <c r="CC159" s="4">
        <v>4</v>
      </c>
      <c r="CD159" s="4">
        <v>4</v>
      </c>
      <c r="CE159" s="4">
        <v>4</v>
      </c>
      <c r="CF159" s="57">
        <v>4</v>
      </c>
      <c r="CG159" s="57">
        <v>4</v>
      </c>
      <c r="CH159" s="4">
        <v>4</v>
      </c>
      <c r="CI159" s="4">
        <v>4</v>
      </c>
      <c r="CJ159" s="4">
        <v>4</v>
      </c>
      <c r="CK159" s="17">
        <v>4</v>
      </c>
      <c r="CL159" s="17">
        <v>4</v>
      </c>
      <c r="CM159" s="17">
        <v>4</v>
      </c>
      <c r="CN159" s="57">
        <v>4</v>
      </c>
      <c r="CO159" s="17">
        <v>4</v>
      </c>
      <c r="CP159" s="17">
        <v>4</v>
      </c>
      <c r="CQ159" s="57">
        <v>4</v>
      </c>
      <c r="CR159" s="17">
        <v>4</v>
      </c>
      <c r="CS159" s="17">
        <v>4</v>
      </c>
      <c r="CT159" s="4">
        <v>4</v>
      </c>
      <c r="CU159" s="4">
        <v>1</v>
      </c>
      <c r="CV159" s="4">
        <v>1</v>
      </c>
      <c r="CW159" s="4">
        <v>4</v>
      </c>
      <c r="CX159" s="4">
        <v>1</v>
      </c>
      <c r="CY159" s="4">
        <v>1</v>
      </c>
      <c r="CZ159" s="17">
        <v>4</v>
      </c>
      <c r="DA159" s="17">
        <v>4</v>
      </c>
      <c r="DB159" s="1">
        <v>4</v>
      </c>
      <c r="DC159" s="4">
        <v>4</v>
      </c>
      <c r="DD159" s="1">
        <v>4</v>
      </c>
      <c r="DE159" s="17">
        <v>4</v>
      </c>
      <c r="DF159" s="57">
        <v>4</v>
      </c>
      <c r="DG159" s="4">
        <v>4</v>
      </c>
      <c r="DH159" s="17">
        <v>4</v>
      </c>
      <c r="DI159" s="4">
        <v>4</v>
      </c>
      <c r="DJ159" s="4">
        <v>4</v>
      </c>
      <c r="DK159" s="4">
        <v>4</v>
      </c>
      <c r="DL159" s="4">
        <v>1</v>
      </c>
      <c r="DM159" s="4">
        <v>1</v>
      </c>
      <c r="DN159" s="4">
        <v>4</v>
      </c>
      <c r="DO159" s="4">
        <v>4</v>
      </c>
      <c r="DP159" s="4">
        <v>4</v>
      </c>
      <c r="DQ159" s="4">
        <v>4</v>
      </c>
      <c r="DR159" s="4">
        <v>4</v>
      </c>
      <c r="DS159" s="4">
        <v>4</v>
      </c>
      <c r="DT159" s="4">
        <v>4</v>
      </c>
    </row>
    <row r="160" spans="1:124" x14ac:dyDescent="0.2">
      <c r="A160" t="s">
        <v>314</v>
      </c>
      <c r="B160" s="1" t="s">
        <v>1426</v>
      </c>
      <c r="C160" s="1" t="s">
        <v>1427</v>
      </c>
      <c r="E160" s="4">
        <v>3</v>
      </c>
      <c r="F160" s="1">
        <v>4</v>
      </c>
      <c r="G160" s="4">
        <v>3</v>
      </c>
      <c r="H160" s="4">
        <v>3</v>
      </c>
      <c r="I160" s="4">
        <v>4</v>
      </c>
      <c r="J160" s="4">
        <v>3</v>
      </c>
      <c r="K160" s="4">
        <v>4</v>
      </c>
      <c r="L160" s="4">
        <v>2</v>
      </c>
      <c r="M160" s="4">
        <v>2</v>
      </c>
      <c r="N160" s="4">
        <v>4</v>
      </c>
      <c r="O160" s="4">
        <v>4</v>
      </c>
      <c r="P160" s="4">
        <v>4</v>
      </c>
      <c r="Q160" s="4">
        <v>4</v>
      </c>
      <c r="R160" s="4">
        <v>4</v>
      </c>
      <c r="S160" s="4">
        <v>3</v>
      </c>
      <c r="T160" s="4">
        <v>1</v>
      </c>
      <c r="U160" s="4">
        <v>4</v>
      </c>
      <c r="V160" s="57">
        <v>4</v>
      </c>
      <c r="W160" s="4">
        <v>4</v>
      </c>
      <c r="X160" s="4">
        <v>4</v>
      </c>
      <c r="Y160" s="4">
        <v>4</v>
      </c>
      <c r="Z160" s="4">
        <v>4</v>
      </c>
      <c r="AA160" s="4">
        <v>4</v>
      </c>
      <c r="AB160" s="4">
        <v>4</v>
      </c>
      <c r="AC160" s="57">
        <v>4</v>
      </c>
      <c r="AD160" s="4">
        <v>4</v>
      </c>
      <c r="AE160" s="4">
        <v>4</v>
      </c>
      <c r="AF160" s="4">
        <v>4</v>
      </c>
      <c r="AG160" s="4">
        <v>4</v>
      </c>
      <c r="AH160" s="4">
        <v>4</v>
      </c>
      <c r="AI160" s="4">
        <v>4</v>
      </c>
      <c r="AJ160" s="4">
        <v>4</v>
      </c>
      <c r="AK160" s="4">
        <v>4</v>
      </c>
      <c r="AL160" s="4">
        <v>4</v>
      </c>
      <c r="AM160" s="4">
        <v>4</v>
      </c>
      <c r="AN160" s="4">
        <v>4</v>
      </c>
      <c r="AO160" s="17">
        <v>4</v>
      </c>
      <c r="AP160" s="17">
        <v>4</v>
      </c>
      <c r="AQ160" s="17">
        <v>4</v>
      </c>
      <c r="AR160" s="17">
        <v>4</v>
      </c>
      <c r="AS160" s="17">
        <v>4</v>
      </c>
      <c r="AT160" s="17">
        <v>4</v>
      </c>
      <c r="AU160" s="17">
        <v>4</v>
      </c>
      <c r="AV160" s="57">
        <v>4</v>
      </c>
      <c r="AW160" s="17">
        <v>4</v>
      </c>
      <c r="AX160" s="17">
        <v>4</v>
      </c>
      <c r="AY160" s="4">
        <v>4</v>
      </c>
      <c r="AZ160" s="4">
        <v>4</v>
      </c>
      <c r="BA160" s="57">
        <v>4</v>
      </c>
      <c r="BB160" s="57">
        <v>4</v>
      </c>
      <c r="BC160" s="4">
        <v>3</v>
      </c>
      <c r="BD160" s="4">
        <v>1</v>
      </c>
      <c r="BE160" s="4">
        <v>4</v>
      </c>
      <c r="BF160" s="4">
        <v>4</v>
      </c>
      <c r="BG160" s="4">
        <v>4</v>
      </c>
      <c r="BH160" s="4">
        <v>4</v>
      </c>
      <c r="BI160" s="4">
        <v>4</v>
      </c>
      <c r="BJ160" s="4">
        <v>4</v>
      </c>
      <c r="BK160" s="4">
        <v>4</v>
      </c>
      <c r="BL160" s="4">
        <v>4</v>
      </c>
      <c r="BM160" s="4">
        <v>4</v>
      </c>
      <c r="BN160" s="4">
        <v>4</v>
      </c>
      <c r="BO160" s="4">
        <v>4</v>
      </c>
      <c r="BP160" s="4">
        <v>4</v>
      </c>
      <c r="BQ160" s="4">
        <v>4</v>
      </c>
      <c r="BR160" s="4">
        <v>4</v>
      </c>
      <c r="BS160" s="4">
        <v>4</v>
      </c>
      <c r="BT160" s="4">
        <v>4</v>
      </c>
      <c r="BU160" s="4">
        <v>4</v>
      </c>
      <c r="BV160" s="4">
        <v>4</v>
      </c>
      <c r="BW160" s="4">
        <v>2</v>
      </c>
      <c r="BX160" s="4">
        <v>3</v>
      </c>
      <c r="BY160" s="4">
        <v>4</v>
      </c>
      <c r="BZ160" s="4">
        <v>4</v>
      </c>
      <c r="CA160" s="4">
        <v>1</v>
      </c>
      <c r="CB160" s="17">
        <v>4</v>
      </c>
      <c r="CC160" s="4">
        <v>4</v>
      </c>
      <c r="CD160" s="4">
        <v>4</v>
      </c>
      <c r="CE160" s="4">
        <v>4</v>
      </c>
      <c r="CF160" s="57">
        <v>4</v>
      </c>
      <c r="CG160" s="57">
        <v>4</v>
      </c>
      <c r="CH160" s="4">
        <v>4</v>
      </c>
      <c r="CI160" s="4">
        <v>4</v>
      </c>
      <c r="CJ160" s="4">
        <v>4</v>
      </c>
      <c r="CK160" s="17">
        <v>4</v>
      </c>
      <c r="CL160" s="17">
        <v>4</v>
      </c>
      <c r="CM160" s="17">
        <v>4</v>
      </c>
      <c r="CN160" s="57">
        <v>4</v>
      </c>
      <c r="CO160" s="17">
        <v>4</v>
      </c>
      <c r="CP160" s="17">
        <v>4</v>
      </c>
      <c r="CQ160" s="57">
        <v>4</v>
      </c>
      <c r="CR160" s="17">
        <v>4</v>
      </c>
      <c r="CS160" s="17">
        <v>4</v>
      </c>
      <c r="CT160" s="4">
        <v>4</v>
      </c>
      <c r="CU160" s="4">
        <v>3</v>
      </c>
      <c r="CV160" s="4">
        <v>1</v>
      </c>
      <c r="CW160" s="4">
        <v>4</v>
      </c>
      <c r="CX160" s="4">
        <v>3</v>
      </c>
      <c r="CY160" s="4">
        <v>1</v>
      </c>
      <c r="CZ160" s="17">
        <v>4</v>
      </c>
      <c r="DA160" s="17">
        <v>4</v>
      </c>
      <c r="DB160" s="1">
        <v>4</v>
      </c>
      <c r="DC160" s="4">
        <v>4</v>
      </c>
      <c r="DD160" s="1">
        <v>4</v>
      </c>
      <c r="DE160" s="17">
        <v>4</v>
      </c>
      <c r="DF160" s="57">
        <v>4</v>
      </c>
      <c r="DG160" s="4">
        <v>4</v>
      </c>
      <c r="DH160" s="17">
        <v>4</v>
      </c>
      <c r="DI160" s="4">
        <v>4</v>
      </c>
      <c r="DJ160" s="4">
        <v>4</v>
      </c>
      <c r="DK160" s="4">
        <v>4</v>
      </c>
      <c r="DL160" s="4">
        <v>2</v>
      </c>
      <c r="DM160" s="4">
        <v>1</v>
      </c>
      <c r="DN160" s="4">
        <v>4</v>
      </c>
      <c r="DO160" s="4">
        <v>4</v>
      </c>
      <c r="DP160" s="4">
        <v>4</v>
      </c>
      <c r="DQ160" s="4">
        <v>4</v>
      </c>
      <c r="DR160" s="4">
        <v>4</v>
      </c>
      <c r="DS160" s="4">
        <v>4</v>
      </c>
      <c r="DT160" s="4">
        <v>4</v>
      </c>
    </row>
    <row r="161" spans="1:124" x14ac:dyDescent="0.2">
      <c r="A161" t="s">
        <v>315</v>
      </c>
      <c r="B161" s="1" t="s">
        <v>1426</v>
      </c>
      <c r="C161" s="1" t="s">
        <v>1427</v>
      </c>
      <c r="E161" s="4">
        <v>1</v>
      </c>
      <c r="F161" s="1">
        <v>4</v>
      </c>
      <c r="G161" s="4">
        <v>3</v>
      </c>
      <c r="H161" s="4">
        <v>1</v>
      </c>
      <c r="I161" s="4">
        <v>4</v>
      </c>
      <c r="J161" s="4">
        <v>2</v>
      </c>
      <c r="K161" s="4">
        <v>4</v>
      </c>
      <c r="L161" s="4">
        <v>2</v>
      </c>
      <c r="M161" s="4">
        <v>2</v>
      </c>
      <c r="N161" s="4">
        <v>4</v>
      </c>
      <c r="O161" s="4">
        <v>4</v>
      </c>
      <c r="P161" s="4">
        <v>4</v>
      </c>
      <c r="Q161" s="4">
        <v>4</v>
      </c>
      <c r="R161" s="4">
        <v>4</v>
      </c>
      <c r="S161" s="4">
        <v>1</v>
      </c>
      <c r="T161" s="4">
        <v>4</v>
      </c>
      <c r="U161" s="4">
        <v>4</v>
      </c>
      <c r="V161" s="57">
        <v>4</v>
      </c>
      <c r="W161" s="4">
        <v>4</v>
      </c>
      <c r="X161" s="4">
        <v>4</v>
      </c>
      <c r="Y161" s="4">
        <v>4</v>
      </c>
      <c r="Z161" s="4">
        <v>4</v>
      </c>
      <c r="AA161" s="4">
        <v>4</v>
      </c>
      <c r="AB161" s="4">
        <v>4</v>
      </c>
      <c r="AC161" s="57">
        <v>4</v>
      </c>
      <c r="AD161" s="4">
        <v>4</v>
      </c>
      <c r="AE161" s="4">
        <v>4</v>
      </c>
      <c r="AF161" s="4">
        <v>4</v>
      </c>
      <c r="AG161" s="4">
        <v>4</v>
      </c>
      <c r="AH161" s="4">
        <v>4</v>
      </c>
      <c r="AI161" s="4">
        <v>4</v>
      </c>
      <c r="AJ161" s="4">
        <v>4</v>
      </c>
      <c r="AK161" s="4">
        <v>4</v>
      </c>
      <c r="AL161" s="4">
        <v>4</v>
      </c>
      <c r="AM161" s="4">
        <v>4</v>
      </c>
      <c r="AN161" s="4">
        <v>4</v>
      </c>
      <c r="AO161" s="17">
        <v>4</v>
      </c>
      <c r="AP161" s="17">
        <v>4</v>
      </c>
      <c r="AQ161" s="17">
        <v>4</v>
      </c>
      <c r="AR161" s="17">
        <v>4</v>
      </c>
      <c r="AS161" s="17">
        <v>4</v>
      </c>
      <c r="AT161" s="17">
        <v>4</v>
      </c>
      <c r="AU161" s="17">
        <v>4</v>
      </c>
      <c r="AV161" s="57">
        <v>4</v>
      </c>
      <c r="AW161" s="17">
        <v>4</v>
      </c>
      <c r="AX161" s="17">
        <v>4</v>
      </c>
      <c r="AY161" s="4">
        <v>4</v>
      </c>
      <c r="AZ161" s="4">
        <v>4</v>
      </c>
      <c r="BA161" s="57">
        <v>4</v>
      </c>
      <c r="BB161" s="57">
        <v>4</v>
      </c>
      <c r="BC161" s="4">
        <v>1</v>
      </c>
      <c r="BD161" s="4">
        <v>1</v>
      </c>
      <c r="BE161" s="4">
        <v>4</v>
      </c>
      <c r="BF161" s="4">
        <v>4</v>
      </c>
      <c r="BG161" s="4">
        <v>4</v>
      </c>
      <c r="BH161" s="4">
        <v>4</v>
      </c>
      <c r="BI161" s="4">
        <v>4</v>
      </c>
      <c r="BJ161" s="4">
        <v>4</v>
      </c>
      <c r="BK161" s="4">
        <v>4</v>
      </c>
      <c r="BL161" s="4">
        <v>4</v>
      </c>
      <c r="BM161" s="4">
        <v>4</v>
      </c>
      <c r="BN161" s="4">
        <v>4</v>
      </c>
      <c r="BO161" s="4">
        <v>4</v>
      </c>
      <c r="BP161" s="4">
        <v>4</v>
      </c>
      <c r="BQ161" s="4">
        <v>4</v>
      </c>
      <c r="BR161" s="4">
        <v>4</v>
      </c>
      <c r="BS161" s="4">
        <v>4</v>
      </c>
      <c r="BT161" s="4">
        <v>4</v>
      </c>
      <c r="BU161" s="4">
        <v>4</v>
      </c>
      <c r="BV161" s="4">
        <v>4</v>
      </c>
      <c r="BW161" s="4">
        <v>2</v>
      </c>
      <c r="BX161" s="4">
        <v>1</v>
      </c>
      <c r="BY161" s="4">
        <v>4</v>
      </c>
      <c r="BZ161" s="4">
        <v>4</v>
      </c>
      <c r="CA161" s="4">
        <v>1</v>
      </c>
      <c r="CB161" s="17">
        <v>4</v>
      </c>
      <c r="CC161" s="4">
        <v>4</v>
      </c>
      <c r="CD161" s="4">
        <v>4</v>
      </c>
      <c r="CE161" s="4">
        <v>4</v>
      </c>
      <c r="CF161" s="57">
        <v>4</v>
      </c>
      <c r="CG161" s="57">
        <v>4</v>
      </c>
      <c r="CH161" s="4">
        <v>4</v>
      </c>
      <c r="CI161" s="4">
        <v>4</v>
      </c>
      <c r="CJ161" s="4">
        <v>4</v>
      </c>
      <c r="CK161" s="17">
        <v>4</v>
      </c>
      <c r="CL161" s="17">
        <v>4</v>
      </c>
      <c r="CM161" s="17">
        <v>4</v>
      </c>
      <c r="CN161" s="57">
        <v>4</v>
      </c>
      <c r="CO161" s="17">
        <v>4</v>
      </c>
      <c r="CP161" s="17">
        <v>4</v>
      </c>
      <c r="CQ161" s="57">
        <v>4</v>
      </c>
      <c r="CR161" s="17">
        <v>4</v>
      </c>
      <c r="CS161" s="17">
        <v>4</v>
      </c>
      <c r="CT161" s="4">
        <v>4</v>
      </c>
      <c r="CU161" s="4">
        <v>1</v>
      </c>
      <c r="CV161" s="4">
        <v>1</v>
      </c>
      <c r="CW161" s="4">
        <v>4</v>
      </c>
      <c r="CX161" s="4">
        <v>1</v>
      </c>
      <c r="CY161" s="4">
        <v>1</v>
      </c>
      <c r="CZ161" s="17">
        <v>4</v>
      </c>
      <c r="DA161" s="17">
        <v>4</v>
      </c>
      <c r="DB161" s="1">
        <v>4</v>
      </c>
      <c r="DC161" s="4">
        <v>4</v>
      </c>
      <c r="DD161" s="1">
        <v>4</v>
      </c>
      <c r="DE161" s="17">
        <v>4</v>
      </c>
      <c r="DF161" s="57">
        <v>4</v>
      </c>
      <c r="DG161" s="4">
        <v>4</v>
      </c>
      <c r="DH161" s="17">
        <v>4</v>
      </c>
      <c r="DI161" s="4">
        <v>4</v>
      </c>
      <c r="DJ161" s="4">
        <v>4</v>
      </c>
      <c r="DK161" s="4">
        <v>4</v>
      </c>
      <c r="DL161" s="4">
        <v>1</v>
      </c>
      <c r="DM161" s="4">
        <v>1</v>
      </c>
      <c r="DN161" s="4">
        <v>4</v>
      </c>
      <c r="DO161" s="4">
        <v>4</v>
      </c>
      <c r="DP161" s="4">
        <v>4</v>
      </c>
      <c r="DQ161" s="4">
        <v>4</v>
      </c>
      <c r="DR161" s="4">
        <v>4</v>
      </c>
      <c r="DS161" s="4">
        <v>4</v>
      </c>
      <c r="DT161" s="4">
        <v>4</v>
      </c>
    </row>
    <row r="162" spans="1:124" x14ac:dyDescent="0.2">
      <c r="A162" t="s">
        <v>316</v>
      </c>
      <c r="B162" s="1" t="s">
        <v>1426</v>
      </c>
      <c r="C162" s="1" t="s">
        <v>1427</v>
      </c>
      <c r="E162" s="4">
        <v>1</v>
      </c>
      <c r="F162" s="1">
        <v>4</v>
      </c>
      <c r="G162" s="4">
        <v>1</v>
      </c>
      <c r="H162" s="4">
        <v>1</v>
      </c>
      <c r="I162" s="4">
        <v>4</v>
      </c>
      <c r="J162" s="4">
        <v>1</v>
      </c>
      <c r="K162" s="4">
        <v>4</v>
      </c>
      <c r="L162" s="4">
        <v>2</v>
      </c>
      <c r="M162" s="4">
        <v>3</v>
      </c>
      <c r="N162" s="4">
        <v>4</v>
      </c>
      <c r="O162" s="4">
        <v>4</v>
      </c>
      <c r="P162" s="4">
        <v>4</v>
      </c>
      <c r="Q162" s="4">
        <v>4</v>
      </c>
      <c r="R162" s="4">
        <v>4</v>
      </c>
      <c r="S162" s="4">
        <v>1</v>
      </c>
      <c r="T162" s="4">
        <v>1</v>
      </c>
      <c r="U162" s="4">
        <v>4</v>
      </c>
      <c r="V162" s="57">
        <v>4</v>
      </c>
      <c r="W162" s="4">
        <v>4</v>
      </c>
      <c r="X162" s="4">
        <v>4</v>
      </c>
      <c r="Y162" s="4">
        <v>4</v>
      </c>
      <c r="Z162" s="4">
        <v>4</v>
      </c>
      <c r="AA162" s="4">
        <v>4</v>
      </c>
      <c r="AB162" s="4">
        <v>4</v>
      </c>
      <c r="AC162" s="57">
        <v>4</v>
      </c>
      <c r="AD162" s="4">
        <v>4</v>
      </c>
      <c r="AE162" s="4">
        <v>4</v>
      </c>
      <c r="AF162" s="4">
        <v>4</v>
      </c>
      <c r="AG162" s="4">
        <v>4</v>
      </c>
      <c r="AH162" s="4">
        <v>4</v>
      </c>
      <c r="AI162" s="4">
        <v>4</v>
      </c>
      <c r="AJ162" s="4">
        <v>4</v>
      </c>
      <c r="AK162" s="4">
        <v>4</v>
      </c>
      <c r="AL162" s="4">
        <v>4</v>
      </c>
      <c r="AM162" s="4">
        <v>4</v>
      </c>
      <c r="AN162" s="4">
        <v>4</v>
      </c>
      <c r="AO162" s="17">
        <v>4</v>
      </c>
      <c r="AP162" s="17">
        <v>4</v>
      </c>
      <c r="AQ162" s="17">
        <v>4</v>
      </c>
      <c r="AR162" s="17">
        <v>4</v>
      </c>
      <c r="AS162" s="17">
        <v>4</v>
      </c>
      <c r="AT162" s="17">
        <v>4</v>
      </c>
      <c r="AU162" s="17">
        <v>4</v>
      </c>
      <c r="AV162" s="57">
        <v>4</v>
      </c>
      <c r="AW162" s="17">
        <v>4</v>
      </c>
      <c r="AX162" s="17">
        <v>4</v>
      </c>
      <c r="AY162" s="4">
        <v>4</v>
      </c>
      <c r="AZ162" s="4">
        <v>4</v>
      </c>
      <c r="BA162" s="57">
        <v>4</v>
      </c>
      <c r="BB162" s="57">
        <v>4</v>
      </c>
      <c r="BC162" s="4">
        <v>1</v>
      </c>
      <c r="BD162" s="4">
        <v>1</v>
      </c>
      <c r="BE162" s="4">
        <v>4</v>
      </c>
      <c r="BF162" s="4">
        <v>4</v>
      </c>
      <c r="BG162" s="4">
        <v>4</v>
      </c>
      <c r="BH162" s="4">
        <v>4</v>
      </c>
      <c r="BI162" s="4">
        <v>4</v>
      </c>
      <c r="BJ162" s="4">
        <v>4</v>
      </c>
      <c r="BK162" s="4">
        <v>4</v>
      </c>
      <c r="BL162" s="4">
        <v>4</v>
      </c>
      <c r="BM162" s="4">
        <v>4</v>
      </c>
      <c r="BN162" s="4">
        <v>4</v>
      </c>
      <c r="BO162" s="4">
        <v>4</v>
      </c>
      <c r="BP162" s="4">
        <v>4</v>
      </c>
      <c r="BQ162" s="4">
        <v>4</v>
      </c>
      <c r="BR162" s="4">
        <v>4</v>
      </c>
      <c r="BS162" s="4">
        <v>4</v>
      </c>
      <c r="BT162" s="4">
        <v>4</v>
      </c>
      <c r="BU162" s="4">
        <v>4</v>
      </c>
      <c r="BV162" s="4">
        <v>4</v>
      </c>
      <c r="BW162" s="4">
        <v>1</v>
      </c>
      <c r="BX162" s="4">
        <v>1</v>
      </c>
      <c r="BY162" s="4">
        <v>4</v>
      </c>
      <c r="BZ162" s="4">
        <v>4</v>
      </c>
      <c r="CA162" s="4">
        <v>1</v>
      </c>
      <c r="CB162" s="17">
        <v>4</v>
      </c>
      <c r="CC162" s="4">
        <v>4</v>
      </c>
      <c r="CD162" s="4">
        <v>4</v>
      </c>
      <c r="CE162" s="4">
        <v>4</v>
      </c>
      <c r="CF162" s="57">
        <v>4</v>
      </c>
      <c r="CG162" s="57">
        <v>4</v>
      </c>
      <c r="CH162" s="4">
        <v>4</v>
      </c>
      <c r="CI162" s="4">
        <v>4</v>
      </c>
      <c r="CJ162" s="4">
        <v>4</v>
      </c>
      <c r="CK162" s="17">
        <v>4</v>
      </c>
      <c r="CL162" s="17">
        <v>4</v>
      </c>
      <c r="CM162" s="17">
        <v>4</v>
      </c>
      <c r="CN162" s="57">
        <v>4</v>
      </c>
      <c r="CO162" s="17">
        <v>4</v>
      </c>
      <c r="CP162" s="17">
        <v>4</v>
      </c>
      <c r="CQ162" s="57">
        <v>4</v>
      </c>
      <c r="CR162" s="17">
        <v>4</v>
      </c>
      <c r="CS162" s="17">
        <v>4</v>
      </c>
      <c r="CT162" s="4">
        <v>4</v>
      </c>
      <c r="CU162" s="4">
        <v>1</v>
      </c>
      <c r="CV162" s="4">
        <v>1</v>
      </c>
      <c r="CW162" s="4">
        <v>4</v>
      </c>
      <c r="CX162" s="4">
        <v>3</v>
      </c>
      <c r="CY162" s="4">
        <v>1</v>
      </c>
      <c r="CZ162" s="17">
        <v>4</v>
      </c>
      <c r="DA162" s="17">
        <v>4</v>
      </c>
      <c r="DB162" s="1">
        <v>4</v>
      </c>
      <c r="DC162" s="4">
        <v>4</v>
      </c>
      <c r="DD162" s="1">
        <v>4</v>
      </c>
      <c r="DE162" s="17">
        <v>4</v>
      </c>
      <c r="DF162" s="57">
        <v>4</v>
      </c>
      <c r="DG162" s="4">
        <v>4</v>
      </c>
      <c r="DH162" s="17">
        <v>4</v>
      </c>
      <c r="DI162" s="4">
        <v>4</v>
      </c>
      <c r="DJ162" s="4">
        <v>4</v>
      </c>
      <c r="DK162" s="4">
        <v>4</v>
      </c>
      <c r="DL162" s="4">
        <v>3</v>
      </c>
      <c r="DM162" s="4">
        <v>1</v>
      </c>
      <c r="DN162" s="4">
        <v>4</v>
      </c>
      <c r="DO162" s="4">
        <v>4</v>
      </c>
      <c r="DP162" s="4">
        <v>4</v>
      </c>
      <c r="DQ162" s="4">
        <v>4</v>
      </c>
      <c r="DR162" s="4">
        <v>4</v>
      </c>
      <c r="DS162" s="4">
        <v>4</v>
      </c>
      <c r="DT162" s="4">
        <v>4</v>
      </c>
    </row>
    <row r="163" spans="1:124" x14ac:dyDescent="0.2">
      <c r="A163" t="s">
        <v>342</v>
      </c>
      <c r="B163" s="1" t="s">
        <v>1426</v>
      </c>
      <c r="C163" s="1" t="s">
        <v>1427</v>
      </c>
      <c r="E163" s="4">
        <v>1</v>
      </c>
      <c r="F163" s="1">
        <v>4</v>
      </c>
      <c r="G163" s="1">
        <v>1</v>
      </c>
      <c r="H163" s="4">
        <v>1</v>
      </c>
      <c r="I163" s="4">
        <v>4</v>
      </c>
      <c r="J163" s="4">
        <v>1</v>
      </c>
      <c r="K163" s="4">
        <v>4</v>
      </c>
      <c r="L163" s="1">
        <v>1</v>
      </c>
      <c r="M163" s="4">
        <v>3</v>
      </c>
      <c r="N163" s="4">
        <v>4</v>
      </c>
      <c r="O163" s="1">
        <v>4</v>
      </c>
      <c r="P163" s="1">
        <v>4</v>
      </c>
      <c r="Q163" s="1">
        <v>4</v>
      </c>
      <c r="R163" s="4">
        <v>4</v>
      </c>
      <c r="S163" s="1">
        <v>1</v>
      </c>
      <c r="T163" s="1">
        <v>1</v>
      </c>
      <c r="U163" s="4">
        <v>4</v>
      </c>
      <c r="V163" s="57">
        <v>4</v>
      </c>
      <c r="W163" s="1">
        <v>1</v>
      </c>
      <c r="X163" s="1">
        <v>1</v>
      </c>
      <c r="Y163" s="4">
        <v>4</v>
      </c>
      <c r="Z163" s="4">
        <v>4</v>
      </c>
      <c r="AA163" s="4">
        <v>4</v>
      </c>
      <c r="AB163" s="4">
        <v>4</v>
      </c>
      <c r="AC163" s="57">
        <v>4</v>
      </c>
      <c r="AD163" s="4">
        <v>4</v>
      </c>
      <c r="AE163" s="4">
        <v>4</v>
      </c>
      <c r="AF163" s="4">
        <v>1</v>
      </c>
      <c r="AG163" s="1">
        <v>1</v>
      </c>
      <c r="AH163" s="1">
        <v>1</v>
      </c>
      <c r="AI163" s="4">
        <v>4</v>
      </c>
      <c r="AJ163" s="1">
        <v>1</v>
      </c>
      <c r="AK163" s="1">
        <v>1</v>
      </c>
      <c r="AL163" s="1">
        <v>4</v>
      </c>
      <c r="AM163" s="4">
        <v>4</v>
      </c>
      <c r="AN163" s="4">
        <v>4</v>
      </c>
      <c r="AO163" s="17">
        <v>4</v>
      </c>
      <c r="AP163" s="17">
        <v>4</v>
      </c>
      <c r="AQ163" s="17">
        <v>4</v>
      </c>
      <c r="AR163" s="17">
        <v>4</v>
      </c>
      <c r="AS163" s="17">
        <v>4</v>
      </c>
      <c r="AT163" s="17">
        <v>4</v>
      </c>
      <c r="AU163" s="17">
        <v>4</v>
      </c>
      <c r="AV163" s="57">
        <v>4</v>
      </c>
      <c r="AW163" s="17">
        <v>4</v>
      </c>
      <c r="AX163" s="17">
        <v>4</v>
      </c>
      <c r="AY163" s="4">
        <v>4</v>
      </c>
      <c r="AZ163" s="4">
        <v>4</v>
      </c>
      <c r="BA163" s="57">
        <v>4</v>
      </c>
      <c r="BB163" s="57">
        <v>4</v>
      </c>
      <c r="BC163" s="1">
        <v>1</v>
      </c>
      <c r="BD163" s="4">
        <v>1</v>
      </c>
      <c r="BE163" s="4">
        <v>4</v>
      </c>
      <c r="BF163" s="1">
        <v>1</v>
      </c>
      <c r="BG163" s="1">
        <v>3</v>
      </c>
      <c r="BH163" s="4">
        <v>4</v>
      </c>
      <c r="BI163" s="1">
        <v>3</v>
      </c>
      <c r="BJ163" s="1">
        <v>1</v>
      </c>
      <c r="BK163" s="4">
        <v>4</v>
      </c>
      <c r="BL163" s="4">
        <v>4</v>
      </c>
      <c r="BM163" s="4">
        <v>4</v>
      </c>
      <c r="BN163" s="4">
        <v>4</v>
      </c>
      <c r="BO163" s="4">
        <v>4</v>
      </c>
      <c r="BP163" s="4">
        <v>4</v>
      </c>
      <c r="BQ163" s="4">
        <v>4</v>
      </c>
      <c r="BR163" s="4">
        <v>4</v>
      </c>
      <c r="BS163" s="4">
        <v>4</v>
      </c>
      <c r="BT163" s="4">
        <v>4</v>
      </c>
      <c r="BU163" s="4">
        <v>4</v>
      </c>
      <c r="BV163" s="4">
        <v>4</v>
      </c>
      <c r="BW163" s="1">
        <v>1</v>
      </c>
      <c r="BX163" s="1">
        <v>1</v>
      </c>
      <c r="BY163" s="4">
        <v>4</v>
      </c>
      <c r="BZ163" s="1">
        <v>4</v>
      </c>
      <c r="CA163" s="1">
        <v>4</v>
      </c>
      <c r="CB163" s="17">
        <v>4</v>
      </c>
      <c r="CC163" s="1">
        <v>4</v>
      </c>
      <c r="CD163" s="1">
        <v>4</v>
      </c>
      <c r="CE163" s="4">
        <v>4</v>
      </c>
      <c r="CF163" s="57">
        <v>4</v>
      </c>
      <c r="CG163" s="57">
        <v>4</v>
      </c>
      <c r="CH163" s="4">
        <v>4</v>
      </c>
      <c r="CI163" s="4">
        <v>4</v>
      </c>
      <c r="CJ163" s="4">
        <v>4</v>
      </c>
      <c r="CK163" s="17">
        <v>4</v>
      </c>
      <c r="CL163" s="17">
        <v>4</v>
      </c>
      <c r="CM163" s="17">
        <v>4</v>
      </c>
      <c r="CN163" s="57">
        <v>4</v>
      </c>
      <c r="CO163" s="17">
        <v>4</v>
      </c>
      <c r="CP163" s="17">
        <v>4</v>
      </c>
      <c r="CQ163" s="57">
        <v>4</v>
      </c>
      <c r="CR163" s="17">
        <v>4</v>
      </c>
      <c r="CS163" s="17">
        <v>4</v>
      </c>
      <c r="CT163" s="1">
        <v>1</v>
      </c>
      <c r="CU163" s="4">
        <v>1</v>
      </c>
      <c r="CV163" s="4">
        <v>1</v>
      </c>
      <c r="CW163" s="4">
        <v>4</v>
      </c>
      <c r="CX163" s="1">
        <v>1</v>
      </c>
      <c r="CY163" s="4">
        <v>1</v>
      </c>
      <c r="CZ163" s="17">
        <v>4</v>
      </c>
      <c r="DA163" s="17">
        <v>4</v>
      </c>
      <c r="DB163" s="1">
        <v>4</v>
      </c>
      <c r="DC163" s="1">
        <v>4</v>
      </c>
      <c r="DD163" s="1">
        <v>4</v>
      </c>
      <c r="DE163" s="17">
        <v>4</v>
      </c>
      <c r="DF163" s="57">
        <v>4</v>
      </c>
      <c r="DG163" s="1">
        <v>4</v>
      </c>
      <c r="DH163" s="17">
        <v>4</v>
      </c>
      <c r="DI163" s="1">
        <v>4</v>
      </c>
      <c r="DJ163" s="1">
        <v>4</v>
      </c>
      <c r="DK163" s="4">
        <v>4</v>
      </c>
      <c r="DL163" s="1">
        <v>4</v>
      </c>
      <c r="DM163" s="1">
        <v>4</v>
      </c>
      <c r="DN163" s="4">
        <v>4</v>
      </c>
      <c r="DO163" s="1">
        <v>4</v>
      </c>
      <c r="DP163" s="1">
        <v>4</v>
      </c>
      <c r="DQ163" s="4">
        <v>4</v>
      </c>
      <c r="DR163" s="1">
        <v>4</v>
      </c>
      <c r="DS163" s="1">
        <v>4</v>
      </c>
      <c r="DT163" s="4">
        <v>4</v>
      </c>
    </row>
    <row r="164" spans="1:124" x14ac:dyDescent="0.2">
      <c r="A164" t="s">
        <v>343</v>
      </c>
      <c r="B164" s="1" t="s">
        <v>1426</v>
      </c>
      <c r="C164" s="1" t="s">
        <v>1427</v>
      </c>
      <c r="E164" s="4">
        <v>3</v>
      </c>
      <c r="F164" s="1">
        <v>4</v>
      </c>
      <c r="G164" s="4">
        <v>1</v>
      </c>
      <c r="H164" s="4">
        <v>3</v>
      </c>
      <c r="I164" s="4">
        <v>4</v>
      </c>
      <c r="J164" s="4">
        <v>1</v>
      </c>
      <c r="K164" s="4">
        <v>4</v>
      </c>
      <c r="L164" s="4">
        <v>1</v>
      </c>
      <c r="M164" s="4">
        <v>3</v>
      </c>
      <c r="N164" s="4">
        <v>4</v>
      </c>
      <c r="O164" s="4">
        <v>4</v>
      </c>
      <c r="P164" s="4">
        <v>4</v>
      </c>
      <c r="Q164" s="4">
        <v>4</v>
      </c>
      <c r="R164" s="4">
        <v>4</v>
      </c>
      <c r="S164" s="4">
        <v>3</v>
      </c>
      <c r="T164" s="4">
        <v>3</v>
      </c>
      <c r="U164" s="4">
        <v>4</v>
      </c>
      <c r="V164" s="57">
        <v>4</v>
      </c>
      <c r="W164" s="4">
        <v>1</v>
      </c>
      <c r="X164" s="4">
        <v>3</v>
      </c>
      <c r="Y164" s="4">
        <v>4</v>
      </c>
      <c r="Z164" s="4">
        <v>4</v>
      </c>
      <c r="AA164" s="4">
        <v>4</v>
      </c>
      <c r="AB164" s="4">
        <v>4</v>
      </c>
      <c r="AC164" s="57">
        <v>4</v>
      </c>
      <c r="AD164" s="4">
        <v>4</v>
      </c>
      <c r="AE164" s="4">
        <v>4</v>
      </c>
      <c r="AF164" s="4">
        <v>3</v>
      </c>
      <c r="AG164" s="4">
        <v>2</v>
      </c>
      <c r="AH164" s="4">
        <v>3</v>
      </c>
      <c r="AI164" s="4">
        <v>4</v>
      </c>
      <c r="AJ164" s="1">
        <v>1</v>
      </c>
      <c r="AK164" s="4">
        <v>1</v>
      </c>
      <c r="AL164" s="4">
        <v>4</v>
      </c>
      <c r="AM164" s="4">
        <v>4</v>
      </c>
      <c r="AN164" s="4">
        <v>4</v>
      </c>
      <c r="AO164" s="17">
        <v>4</v>
      </c>
      <c r="AP164" s="17">
        <v>4</v>
      </c>
      <c r="AQ164" s="17">
        <v>4</v>
      </c>
      <c r="AR164" s="17">
        <v>4</v>
      </c>
      <c r="AS164" s="17">
        <v>4</v>
      </c>
      <c r="AT164" s="17">
        <v>4</v>
      </c>
      <c r="AU164" s="17">
        <v>4</v>
      </c>
      <c r="AV164" s="57">
        <v>4</v>
      </c>
      <c r="AW164" s="17">
        <v>4</v>
      </c>
      <c r="AX164" s="17">
        <v>4</v>
      </c>
      <c r="AY164" s="4">
        <v>4</v>
      </c>
      <c r="AZ164" s="4">
        <v>4</v>
      </c>
      <c r="BA164" s="57">
        <v>4</v>
      </c>
      <c r="BB164" s="57">
        <v>4</v>
      </c>
      <c r="BC164" s="4">
        <v>3</v>
      </c>
      <c r="BD164" s="4">
        <v>3</v>
      </c>
      <c r="BE164" s="4">
        <v>4</v>
      </c>
      <c r="BF164" s="4">
        <v>3</v>
      </c>
      <c r="BG164" s="4">
        <v>3</v>
      </c>
      <c r="BH164" s="4">
        <v>4</v>
      </c>
      <c r="BI164" s="4">
        <v>3</v>
      </c>
      <c r="BJ164" s="4">
        <v>3</v>
      </c>
      <c r="BK164" s="4">
        <v>4</v>
      </c>
      <c r="BL164" s="4">
        <v>4</v>
      </c>
      <c r="BM164" s="4">
        <v>4</v>
      </c>
      <c r="BN164" s="4">
        <v>4</v>
      </c>
      <c r="BO164" s="4">
        <v>4</v>
      </c>
      <c r="BP164" s="4">
        <v>4</v>
      </c>
      <c r="BQ164" s="4">
        <v>4</v>
      </c>
      <c r="BR164" s="4">
        <v>4</v>
      </c>
      <c r="BS164" s="4">
        <v>4</v>
      </c>
      <c r="BT164" s="4">
        <v>4</v>
      </c>
      <c r="BU164" s="4">
        <v>4</v>
      </c>
      <c r="BV164" s="4">
        <v>4</v>
      </c>
      <c r="BW164" s="4">
        <v>3</v>
      </c>
      <c r="BX164" s="4">
        <v>3</v>
      </c>
      <c r="BY164" s="4">
        <v>4</v>
      </c>
      <c r="BZ164" s="4">
        <v>4</v>
      </c>
      <c r="CA164" s="4">
        <v>4</v>
      </c>
      <c r="CB164" s="17">
        <v>4</v>
      </c>
      <c r="CC164" s="4">
        <v>4</v>
      </c>
      <c r="CD164" s="4">
        <v>4</v>
      </c>
      <c r="CE164" s="4">
        <v>4</v>
      </c>
      <c r="CF164" s="57">
        <v>4</v>
      </c>
      <c r="CG164" s="57">
        <v>4</v>
      </c>
      <c r="CH164" s="4">
        <v>4</v>
      </c>
      <c r="CI164" s="4">
        <v>4</v>
      </c>
      <c r="CJ164" s="4">
        <v>4</v>
      </c>
      <c r="CK164" s="17">
        <v>4</v>
      </c>
      <c r="CL164" s="17">
        <v>4</v>
      </c>
      <c r="CM164" s="17">
        <v>4</v>
      </c>
      <c r="CN164" s="57">
        <v>4</v>
      </c>
      <c r="CO164" s="17">
        <v>4</v>
      </c>
      <c r="CP164" s="17">
        <v>4</v>
      </c>
      <c r="CQ164" s="57">
        <v>4</v>
      </c>
      <c r="CR164" s="17">
        <v>4</v>
      </c>
      <c r="CS164" s="17">
        <v>4</v>
      </c>
      <c r="CT164" s="4">
        <v>1</v>
      </c>
      <c r="CU164" s="4">
        <v>3</v>
      </c>
      <c r="CV164" s="4">
        <v>3</v>
      </c>
      <c r="CW164" s="4">
        <v>4</v>
      </c>
      <c r="CX164" s="4">
        <v>3</v>
      </c>
      <c r="CY164" s="4">
        <v>3</v>
      </c>
      <c r="CZ164" s="17">
        <v>4</v>
      </c>
      <c r="DA164" s="17">
        <v>4</v>
      </c>
      <c r="DB164" s="1">
        <v>4</v>
      </c>
      <c r="DC164" s="4">
        <v>4</v>
      </c>
      <c r="DD164" s="1">
        <v>4</v>
      </c>
      <c r="DE164" s="17">
        <v>4</v>
      </c>
      <c r="DF164" s="57">
        <v>4</v>
      </c>
      <c r="DG164" s="4">
        <v>4</v>
      </c>
      <c r="DH164" s="17">
        <v>4</v>
      </c>
      <c r="DI164" s="4">
        <v>4</v>
      </c>
      <c r="DJ164" s="4">
        <v>4</v>
      </c>
      <c r="DK164" s="4">
        <v>4</v>
      </c>
      <c r="DL164" s="4">
        <v>4</v>
      </c>
      <c r="DM164" s="4">
        <v>4</v>
      </c>
      <c r="DN164" s="4">
        <v>4</v>
      </c>
      <c r="DO164" s="4">
        <v>4</v>
      </c>
      <c r="DP164" s="4">
        <v>4</v>
      </c>
      <c r="DQ164" s="4">
        <v>4</v>
      </c>
      <c r="DR164" s="4">
        <v>4</v>
      </c>
      <c r="DS164" s="4">
        <v>4</v>
      </c>
      <c r="DT164" s="4">
        <v>4</v>
      </c>
    </row>
    <row r="165" spans="1:124" x14ac:dyDescent="0.2">
      <c r="A165" t="s">
        <v>1428</v>
      </c>
      <c r="B165" s="1" t="s">
        <v>1426</v>
      </c>
      <c r="C165" s="1" t="s">
        <v>1427</v>
      </c>
      <c r="E165" s="4">
        <v>1</v>
      </c>
      <c r="F165" s="1">
        <v>4</v>
      </c>
      <c r="G165" s="4">
        <v>4</v>
      </c>
      <c r="H165" s="4">
        <v>4</v>
      </c>
      <c r="I165" s="4">
        <v>1</v>
      </c>
      <c r="J165" s="4">
        <v>1</v>
      </c>
      <c r="K165" s="4">
        <v>4</v>
      </c>
      <c r="L165" s="4">
        <v>4</v>
      </c>
      <c r="M165" s="4">
        <v>4</v>
      </c>
      <c r="N165" s="4">
        <v>3</v>
      </c>
      <c r="O165" s="4">
        <v>4</v>
      </c>
      <c r="P165" s="4">
        <v>4</v>
      </c>
      <c r="Q165" s="4">
        <v>4</v>
      </c>
      <c r="R165" s="4">
        <v>4</v>
      </c>
      <c r="S165" s="4">
        <v>4</v>
      </c>
      <c r="T165" s="4">
        <v>4</v>
      </c>
      <c r="U165" s="4">
        <v>1</v>
      </c>
      <c r="V165" s="57">
        <v>4</v>
      </c>
      <c r="W165" s="4">
        <v>4</v>
      </c>
      <c r="X165" s="4">
        <v>4</v>
      </c>
      <c r="Y165" s="4">
        <v>4</v>
      </c>
      <c r="Z165" s="4">
        <v>4</v>
      </c>
      <c r="AA165" s="4">
        <v>4</v>
      </c>
      <c r="AB165" s="4">
        <v>4</v>
      </c>
      <c r="AC165" s="57">
        <v>4</v>
      </c>
      <c r="AD165" s="4">
        <v>4</v>
      </c>
      <c r="AE165" s="4">
        <v>4</v>
      </c>
      <c r="AF165" s="4">
        <v>1</v>
      </c>
      <c r="AG165" s="4">
        <v>4</v>
      </c>
      <c r="AH165" s="4">
        <v>4</v>
      </c>
      <c r="AI165" s="4">
        <v>3</v>
      </c>
      <c r="AJ165" s="1">
        <v>1</v>
      </c>
      <c r="AK165" s="4">
        <v>4</v>
      </c>
      <c r="AL165" s="4">
        <v>4</v>
      </c>
      <c r="AM165" s="4">
        <v>4</v>
      </c>
      <c r="AN165" s="4">
        <v>4</v>
      </c>
      <c r="AO165" s="17">
        <v>4</v>
      </c>
      <c r="AP165" s="17">
        <v>4</v>
      </c>
      <c r="AQ165" s="17">
        <v>4</v>
      </c>
      <c r="AR165" s="17">
        <v>4</v>
      </c>
      <c r="AS165" s="17">
        <v>4</v>
      </c>
      <c r="AT165" s="17">
        <v>4</v>
      </c>
      <c r="AU165" s="17">
        <v>4</v>
      </c>
      <c r="AV165" s="57">
        <v>4</v>
      </c>
      <c r="AW165" s="17">
        <v>4</v>
      </c>
      <c r="AX165" s="17">
        <v>4</v>
      </c>
      <c r="AY165" s="4">
        <v>4</v>
      </c>
      <c r="AZ165" s="4">
        <v>4</v>
      </c>
      <c r="BA165" s="57">
        <v>4</v>
      </c>
      <c r="BB165" s="57">
        <v>4</v>
      </c>
      <c r="BC165" s="4">
        <v>4</v>
      </c>
      <c r="BD165" s="4">
        <v>4</v>
      </c>
      <c r="BE165" s="4">
        <v>1</v>
      </c>
      <c r="BF165" s="4">
        <v>4</v>
      </c>
      <c r="BG165" s="4">
        <v>4</v>
      </c>
      <c r="BH165" s="4">
        <v>4</v>
      </c>
      <c r="BI165" s="4">
        <v>4</v>
      </c>
      <c r="BJ165" s="4">
        <v>4</v>
      </c>
      <c r="BK165" s="4">
        <v>4</v>
      </c>
      <c r="BL165" s="4">
        <v>4</v>
      </c>
      <c r="BM165" s="4">
        <v>4</v>
      </c>
      <c r="BN165" s="4">
        <v>4</v>
      </c>
      <c r="BO165" s="4">
        <v>4</v>
      </c>
      <c r="BP165" s="4">
        <v>4</v>
      </c>
      <c r="BQ165" s="4">
        <v>4</v>
      </c>
      <c r="BR165" s="4">
        <v>4</v>
      </c>
      <c r="BS165" s="4">
        <v>4</v>
      </c>
      <c r="BT165" s="4">
        <v>4</v>
      </c>
      <c r="BU165" s="4">
        <v>4</v>
      </c>
      <c r="BV165" s="4">
        <v>4</v>
      </c>
      <c r="BW165" s="4">
        <v>4</v>
      </c>
      <c r="BX165" s="4">
        <v>4</v>
      </c>
      <c r="BY165" s="4">
        <v>1</v>
      </c>
      <c r="BZ165" s="4">
        <v>4</v>
      </c>
      <c r="CA165" s="4">
        <v>4</v>
      </c>
      <c r="CB165" s="17">
        <v>4</v>
      </c>
      <c r="CC165" s="4">
        <v>4</v>
      </c>
      <c r="CD165" s="4">
        <v>4</v>
      </c>
      <c r="CE165" s="4">
        <v>3</v>
      </c>
      <c r="CF165" s="57">
        <v>4</v>
      </c>
      <c r="CG165" s="57">
        <v>4</v>
      </c>
      <c r="CH165" s="4">
        <v>4</v>
      </c>
      <c r="CI165" s="4">
        <v>4</v>
      </c>
      <c r="CJ165" s="4">
        <v>4</v>
      </c>
      <c r="CK165" s="17">
        <v>4</v>
      </c>
      <c r="CL165" s="17">
        <v>4</v>
      </c>
      <c r="CM165" s="17">
        <v>4</v>
      </c>
      <c r="CN165" s="57">
        <v>4</v>
      </c>
      <c r="CO165" s="17">
        <v>4</v>
      </c>
      <c r="CP165" s="17">
        <v>4</v>
      </c>
      <c r="CQ165" s="57">
        <v>4</v>
      </c>
      <c r="CR165" s="17">
        <v>4</v>
      </c>
      <c r="CS165" s="17">
        <v>4</v>
      </c>
      <c r="CT165" s="4">
        <v>4</v>
      </c>
      <c r="CU165" s="4">
        <v>4</v>
      </c>
      <c r="CV165" s="4">
        <v>4</v>
      </c>
      <c r="CW165" s="4">
        <v>1</v>
      </c>
      <c r="CX165" s="4">
        <v>4</v>
      </c>
      <c r="CY165" s="4">
        <v>4</v>
      </c>
      <c r="CZ165" s="4">
        <v>1</v>
      </c>
      <c r="DA165" s="17">
        <v>4</v>
      </c>
      <c r="DB165" s="1">
        <v>4</v>
      </c>
      <c r="DC165" s="4">
        <v>4</v>
      </c>
      <c r="DD165" s="1">
        <v>4</v>
      </c>
      <c r="DE165" s="17">
        <v>4</v>
      </c>
      <c r="DF165" s="57">
        <v>4</v>
      </c>
      <c r="DG165" s="4">
        <v>4</v>
      </c>
      <c r="DH165" s="17">
        <v>4</v>
      </c>
      <c r="DI165" s="4">
        <v>4</v>
      </c>
      <c r="DJ165" s="4">
        <v>4</v>
      </c>
      <c r="DK165" s="4">
        <v>4</v>
      </c>
      <c r="DL165" s="4">
        <v>4</v>
      </c>
      <c r="DM165" s="4">
        <v>4</v>
      </c>
      <c r="DN165" s="4">
        <v>1</v>
      </c>
      <c r="DO165" s="4">
        <v>4</v>
      </c>
      <c r="DP165" s="4">
        <v>4</v>
      </c>
      <c r="DQ165" s="4">
        <v>4</v>
      </c>
      <c r="DR165" s="4">
        <v>4</v>
      </c>
      <c r="DS165" s="4">
        <v>4</v>
      </c>
      <c r="DT165" s="4">
        <v>4</v>
      </c>
    </row>
    <row r="166" spans="1:124" x14ac:dyDescent="0.2">
      <c r="A166" t="s">
        <v>365</v>
      </c>
      <c r="B166" s="1" t="s">
        <v>1426</v>
      </c>
      <c r="C166" s="1" t="s">
        <v>1427</v>
      </c>
      <c r="E166" s="4">
        <v>1</v>
      </c>
      <c r="F166" s="1">
        <v>4</v>
      </c>
      <c r="G166" s="4">
        <v>4</v>
      </c>
      <c r="H166" s="4">
        <v>4</v>
      </c>
      <c r="I166" s="4">
        <v>1</v>
      </c>
      <c r="J166" s="4">
        <v>1</v>
      </c>
      <c r="K166" s="4">
        <v>4</v>
      </c>
      <c r="L166" s="4">
        <v>4</v>
      </c>
      <c r="M166" s="4">
        <v>4</v>
      </c>
      <c r="N166" s="4">
        <v>1</v>
      </c>
      <c r="O166" s="4">
        <v>4</v>
      </c>
      <c r="P166" s="4">
        <v>4</v>
      </c>
      <c r="Q166" s="4">
        <v>4</v>
      </c>
      <c r="R166" s="4">
        <v>4</v>
      </c>
      <c r="S166" s="4">
        <v>4</v>
      </c>
      <c r="T166" s="4">
        <v>4</v>
      </c>
      <c r="U166" s="4">
        <v>1</v>
      </c>
      <c r="V166" s="57">
        <v>4</v>
      </c>
      <c r="W166" s="4">
        <v>4</v>
      </c>
      <c r="X166" s="4">
        <v>4</v>
      </c>
      <c r="Y166" s="4">
        <v>4</v>
      </c>
      <c r="Z166" s="4">
        <v>4</v>
      </c>
      <c r="AA166" s="4">
        <v>4</v>
      </c>
      <c r="AB166" s="4">
        <v>4</v>
      </c>
      <c r="AC166" s="57">
        <v>4</v>
      </c>
      <c r="AD166" s="4">
        <v>4</v>
      </c>
      <c r="AE166" s="4">
        <v>4</v>
      </c>
      <c r="AF166" s="4">
        <v>2</v>
      </c>
      <c r="AG166" s="4">
        <v>4</v>
      </c>
      <c r="AH166" s="4">
        <v>4</v>
      </c>
      <c r="AI166" s="4">
        <v>2</v>
      </c>
      <c r="AJ166" s="1">
        <v>1</v>
      </c>
      <c r="AK166" s="4">
        <v>4</v>
      </c>
      <c r="AL166" s="4">
        <v>4</v>
      </c>
      <c r="AM166" s="4">
        <v>4</v>
      </c>
      <c r="AN166" s="4">
        <v>4</v>
      </c>
      <c r="AO166" s="17">
        <v>4</v>
      </c>
      <c r="AP166" s="17">
        <v>4</v>
      </c>
      <c r="AQ166" s="17">
        <v>4</v>
      </c>
      <c r="AR166" s="17">
        <v>4</v>
      </c>
      <c r="AS166" s="17">
        <v>4</v>
      </c>
      <c r="AT166" s="17">
        <v>4</v>
      </c>
      <c r="AU166" s="17">
        <v>4</v>
      </c>
      <c r="AV166" s="57">
        <v>4</v>
      </c>
      <c r="AW166" s="17">
        <v>4</v>
      </c>
      <c r="AX166" s="17">
        <v>4</v>
      </c>
      <c r="AY166" s="4">
        <v>4</v>
      </c>
      <c r="AZ166" s="4">
        <v>4</v>
      </c>
      <c r="BA166" s="57">
        <v>4</v>
      </c>
      <c r="BB166" s="57">
        <v>4</v>
      </c>
      <c r="BC166" s="4">
        <v>4</v>
      </c>
      <c r="BD166" s="4">
        <v>4</v>
      </c>
      <c r="BE166" s="4">
        <v>1</v>
      </c>
      <c r="BF166" s="4">
        <v>4</v>
      </c>
      <c r="BG166" s="4">
        <v>4</v>
      </c>
      <c r="BH166" s="4">
        <v>4</v>
      </c>
      <c r="BI166" s="4">
        <v>4</v>
      </c>
      <c r="BJ166" s="4">
        <v>4</v>
      </c>
      <c r="BK166" s="4">
        <v>4</v>
      </c>
      <c r="BL166" s="4">
        <v>4</v>
      </c>
      <c r="BM166" s="4">
        <v>4</v>
      </c>
      <c r="BN166" s="4">
        <v>4</v>
      </c>
      <c r="BO166" s="4">
        <v>4</v>
      </c>
      <c r="BP166" s="4">
        <v>4</v>
      </c>
      <c r="BQ166" s="4">
        <v>4</v>
      </c>
      <c r="BR166" s="4">
        <v>4</v>
      </c>
      <c r="BS166" s="4">
        <v>4</v>
      </c>
      <c r="BT166" s="4">
        <v>4</v>
      </c>
      <c r="BU166" s="4">
        <v>4</v>
      </c>
      <c r="BV166" s="4">
        <v>4</v>
      </c>
      <c r="BW166" s="4">
        <v>4</v>
      </c>
      <c r="BX166" s="4">
        <v>4</v>
      </c>
      <c r="BY166" s="4">
        <v>1</v>
      </c>
      <c r="BZ166" s="4">
        <v>4</v>
      </c>
      <c r="CA166" s="4">
        <v>4</v>
      </c>
      <c r="CB166" s="17">
        <v>4</v>
      </c>
      <c r="CC166" s="4">
        <v>4</v>
      </c>
      <c r="CD166" s="4">
        <v>4</v>
      </c>
      <c r="CE166" s="4">
        <v>3</v>
      </c>
      <c r="CF166" s="57">
        <v>4</v>
      </c>
      <c r="CG166" s="57">
        <v>4</v>
      </c>
      <c r="CH166" s="4">
        <v>4</v>
      </c>
      <c r="CI166" s="4">
        <v>4</v>
      </c>
      <c r="CJ166" s="4">
        <v>4</v>
      </c>
      <c r="CK166" s="17">
        <v>4</v>
      </c>
      <c r="CL166" s="17">
        <v>4</v>
      </c>
      <c r="CM166" s="17">
        <v>4</v>
      </c>
      <c r="CN166" s="57">
        <v>4</v>
      </c>
      <c r="CO166" s="17">
        <v>4</v>
      </c>
      <c r="CP166" s="17">
        <v>4</v>
      </c>
      <c r="CQ166" s="57">
        <v>4</v>
      </c>
      <c r="CR166" s="17">
        <v>4</v>
      </c>
      <c r="CS166" s="17">
        <v>4</v>
      </c>
      <c r="CT166" s="4">
        <v>4</v>
      </c>
      <c r="CU166" s="4">
        <v>4</v>
      </c>
      <c r="CV166" s="4">
        <v>4</v>
      </c>
      <c r="CW166" s="4">
        <v>1</v>
      </c>
      <c r="CX166" s="4">
        <v>4</v>
      </c>
      <c r="CY166" s="4">
        <v>4</v>
      </c>
      <c r="CZ166" s="4">
        <v>1</v>
      </c>
      <c r="DA166" s="17">
        <v>4</v>
      </c>
      <c r="DB166" s="1">
        <v>4</v>
      </c>
      <c r="DC166" s="4">
        <v>4</v>
      </c>
      <c r="DD166" s="1">
        <v>4</v>
      </c>
      <c r="DE166" s="17">
        <v>4</v>
      </c>
      <c r="DF166" s="57">
        <v>4</v>
      </c>
      <c r="DG166" s="4">
        <v>4</v>
      </c>
      <c r="DH166" s="17">
        <v>4</v>
      </c>
      <c r="DI166" s="4">
        <v>4</v>
      </c>
      <c r="DJ166" s="4">
        <v>4</v>
      </c>
      <c r="DK166" s="4">
        <v>4</v>
      </c>
      <c r="DL166" s="4">
        <v>4</v>
      </c>
      <c r="DM166" s="4">
        <v>4</v>
      </c>
      <c r="DN166" s="4">
        <v>1</v>
      </c>
      <c r="DO166" s="4">
        <v>4</v>
      </c>
      <c r="DP166" s="4">
        <v>4</v>
      </c>
      <c r="DQ166" s="4">
        <v>4</v>
      </c>
      <c r="DR166" s="4">
        <v>4</v>
      </c>
      <c r="DS166" s="4">
        <v>4</v>
      </c>
      <c r="DT166" s="4">
        <v>4</v>
      </c>
    </row>
    <row r="167" spans="1:124" x14ac:dyDescent="0.2">
      <c r="A167" t="s">
        <v>366</v>
      </c>
      <c r="B167" s="1" t="s">
        <v>1426</v>
      </c>
      <c r="C167" s="1" t="s">
        <v>1427</v>
      </c>
      <c r="E167" s="4">
        <v>1</v>
      </c>
      <c r="F167" s="1">
        <v>4</v>
      </c>
      <c r="G167" s="4">
        <v>4</v>
      </c>
      <c r="H167" s="4">
        <v>4</v>
      </c>
      <c r="I167" s="4">
        <v>1</v>
      </c>
      <c r="J167" s="4">
        <v>1</v>
      </c>
      <c r="K167" s="4">
        <v>4</v>
      </c>
      <c r="L167" s="4">
        <v>4</v>
      </c>
      <c r="M167" s="4">
        <v>4</v>
      </c>
      <c r="N167" s="4">
        <v>1</v>
      </c>
      <c r="O167" s="4">
        <v>4</v>
      </c>
      <c r="P167" s="4">
        <v>4</v>
      </c>
      <c r="Q167" s="4">
        <v>4</v>
      </c>
      <c r="R167" s="4">
        <v>4</v>
      </c>
      <c r="S167" s="4">
        <v>4</v>
      </c>
      <c r="T167" s="4">
        <v>4</v>
      </c>
      <c r="U167" s="4">
        <v>1</v>
      </c>
      <c r="V167" s="57">
        <v>4</v>
      </c>
      <c r="W167" s="4">
        <v>4</v>
      </c>
      <c r="X167" s="4">
        <v>4</v>
      </c>
      <c r="Y167" s="4">
        <v>4</v>
      </c>
      <c r="Z167" s="4">
        <v>4</v>
      </c>
      <c r="AA167" s="4">
        <v>4</v>
      </c>
      <c r="AB167" s="4">
        <v>4</v>
      </c>
      <c r="AC167" s="57">
        <v>4</v>
      </c>
      <c r="AD167" s="4">
        <v>4</v>
      </c>
      <c r="AE167" s="4">
        <v>4</v>
      </c>
      <c r="AF167" s="4">
        <v>2</v>
      </c>
      <c r="AG167" s="4">
        <v>4</v>
      </c>
      <c r="AH167" s="4">
        <v>4</v>
      </c>
      <c r="AI167" s="4">
        <v>2</v>
      </c>
      <c r="AJ167" s="1">
        <v>1</v>
      </c>
      <c r="AK167" s="4">
        <v>4</v>
      </c>
      <c r="AL167" s="4">
        <v>4</v>
      </c>
      <c r="AM167" s="4">
        <v>4</v>
      </c>
      <c r="AN167" s="4">
        <v>4</v>
      </c>
      <c r="AO167" s="17">
        <v>4</v>
      </c>
      <c r="AP167" s="17">
        <v>4</v>
      </c>
      <c r="AQ167" s="17">
        <v>4</v>
      </c>
      <c r="AR167" s="17">
        <v>4</v>
      </c>
      <c r="AS167" s="17">
        <v>4</v>
      </c>
      <c r="AT167" s="17">
        <v>4</v>
      </c>
      <c r="AU167" s="17">
        <v>4</v>
      </c>
      <c r="AV167" s="57">
        <v>4</v>
      </c>
      <c r="AW167" s="17">
        <v>4</v>
      </c>
      <c r="AX167" s="17">
        <v>4</v>
      </c>
      <c r="AY167" s="4">
        <v>4</v>
      </c>
      <c r="AZ167" s="4">
        <v>4</v>
      </c>
      <c r="BA167" s="57">
        <v>4</v>
      </c>
      <c r="BB167" s="57">
        <v>4</v>
      </c>
      <c r="BC167" s="4">
        <v>4</v>
      </c>
      <c r="BD167" s="4">
        <v>4</v>
      </c>
      <c r="BE167" s="4">
        <v>2</v>
      </c>
      <c r="BF167" s="4">
        <v>4</v>
      </c>
      <c r="BG167" s="4">
        <v>4</v>
      </c>
      <c r="BH167" s="4">
        <v>4</v>
      </c>
      <c r="BI167" s="4">
        <v>4</v>
      </c>
      <c r="BJ167" s="4">
        <v>4</v>
      </c>
      <c r="BK167" s="4">
        <v>4</v>
      </c>
      <c r="BL167" s="4">
        <v>4</v>
      </c>
      <c r="BM167" s="4">
        <v>4</v>
      </c>
      <c r="BN167" s="4">
        <v>4</v>
      </c>
      <c r="BO167" s="4">
        <v>4</v>
      </c>
      <c r="BP167" s="4">
        <v>4</v>
      </c>
      <c r="BQ167" s="4">
        <v>4</v>
      </c>
      <c r="BR167" s="4">
        <v>4</v>
      </c>
      <c r="BS167" s="4">
        <v>4</v>
      </c>
      <c r="BT167" s="4">
        <v>4</v>
      </c>
      <c r="BU167" s="4">
        <v>4</v>
      </c>
      <c r="BV167" s="4">
        <v>4</v>
      </c>
      <c r="BW167" s="4">
        <v>4</v>
      </c>
      <c r="BX167" s="4">
        <v>4</v>
      </c>
      <c r="BY167" s="4">
        <v>1</v>
      </c>
      <c r="BZ167" s="4">
        <v>4</v>
      </c>
      <c r="CA167" s="4">
        <v>4</v>
      </c>
      <c r="CB167" s="17">
        <v>4</v>
      </c>
      <c r="CC167" s="4">
        <v>4</v>
      </c>
      <c r="CD167" s="4">
        <v>4</v>
      </c>
      <c r="CE167" s="4">
        <v>1</v>
      </c>
      <c r="CF167" s="57">
        <v>4</v>
      </c>
      <c r="CG167" s="57">
        <v>4</v>
      </c>
      <c r="CH167" s="4">
        <v>4</v>
      </c>
      <c r="CI167" s="4">
        <v>4</v>
      </c>
      <c r="CJ167" s="4">
        <v>4</v>
      </c>
      <c r="CK167" s="17">
        <v>4</v>
      </c>
      <c r="CL167" s="17">
        <v>4</v>
      </c>
      <c r="CM167" s="17">
        <v>4</v>
      </c>
      <c r="CN167" s="57">
        <v>4</v>
      </c>
      <c r="CO167" s="17">
        <v>4</v>
      </c>
      <c r="CP167" s="17">
        <v>4</v>
      </c>
      <c r="CQ167" s="57">
        <v>4</v>
      </c>
      <c r="CR167" s="17">
        <v>4</v>
      </c>
      <c r="CS167" s="17">
        <v>4</v>
      </c>
      <c r="CT167" s="4">
        <v>4</v>
      </c>
      <c r="CU167" s="4">
        <v>4</v>
      </c>
      <c r="CV167" s="4">
        <v>4</v>
      </c>
      <c r="CW167" s="4">
        <v>1</v>
      </c>
      <c r="CX167" s="4">
        <v>4</v>
      </c>
      <c r="CY167" s="4">
        <v>4</v>
      </c>
      <c r="CZ167" s="4">
        <v>1</v>
      </c>
      <c r="DA167" s="17">
        <v>4</v>
      </c>
      <c r="DB167" s="1">
        <v>4</v>
      </c>
      <c r="DC167" s="4">
        <v>4</v>
      </c>
      <c r="DD167" s="1">
        <v>4</v>
      </c>
      <c r="DE167" s="17">
        <v>4</v>
      </c>
      <c r="DF167" s="57">
        <v>4</v>
      </c>
      <c r="DG167" s="4">
        <v>4</v>
      </c>
      <c r="DH167" s="17">
        <v>4</v>
      </c>
      <c r="DI167" s="4">
        <v>4</v>
      </c>
      <c r="DJ167" s="4">
        <v>4</v>
      </c>
      <c r="DK167" s="4">
        <v>4</v>
      </c>
      <c r="DL167" s="4">
        <v>4</v>
      </c>
      <c r="DM167" s="4">
        <v>4</v>
      </c>
      <c r="DN167" s="4">
        <v>1</v>
      </c>
      <c r="DO167" s="4">
        <v>4</v>
      </c>
      <c r="DP167" s="4">
        <v>4</v>
      </c>
      <c r="DQ167" s="4">
        <v>4</v>
      </c>
      <c r="DR167" s="4">
        <v>4</v>
      </c>
      <c r="DS167" s="4">
        <v>4</v>
      </c>
      <c r="DT167" s="4">
        <v>4</v>
      </c>
    </row>
    <row r="168" spans="1:124" x14ac:dyDescent="0.2">
      <c r="A168" t="s">
        <v>367</v>
      </c>
      <c r="B168" s="1" t="s">
        <v>1426</v>
      </c>
      <c r="C168" s="1" t="s">
        <v>1427</v>
      </c>
      <c r="E168" s="4">
        <v>1</v>
      </c>
      <c r="F168" s="1">
        <v>4</v>
      </c>
      <c r="G168" s="4">
        <v>4</v>
      </c>
      <c r="H168" s="4">
        <v>4</v>
      </c>
      <c r="I168" s="4">
        <v>1</v>
      </c>
      <c r="J168" s="4">
        <v>1</v>
      </c>
      <c r="K168" s="4">
        <v>4</v>
      </c>
      <c r="L168" s="4">
        <v>4</v>
      </c>
      <c r="M168" s="4">
        <v>4</v>
      </c>
      <c r="N168" s="4">
        <v>1</v>
      </c>
      <c r="O168" s="4">
        <v>4</v>
      </c>
      <c r="P168" s="4">
        <v>4</v>
      </c>
      <c r="Q168" s="4">
        <v>4</v>
      </c>
      <c r="R168" s="4">
        <v>4</v>
      </c>
      <c r="S168" s="4">
        <v>4</v>
      </c>
      <c r="T168" s="4">
        <v>4</v>
      </c>
      <c r="U168" s="4">
        <v>1</v>
      </c>
      <c r="V168" s="57">
        <v>4</v>
      </c>
      <c r="W168" s="4">
        <v>4</v>
      </c>
      <c r="X168" s="4">
        <v>4</v>
      </c>
      <c r="Y168" s="4">
        <v>4</v>
      </c>
      <c r="Z168" s="4">
        <v>4</v>
      </c>
      <c r="AA168" s="4">
        <v>4</v>
      </c>
      <c r="AB168" s="4">
        <v>4</v>
      </c>
      <c r="AC168" s="57">
        <v>4</v>
      </c>
      <c r="AD168" s="4">
        <v>4</v>
      </c>
      <c r="AE168" s="4">
        <v>4</v>
      </c>
      <c r="AF168" s="4">
        <v>2</v>
      </c>
      <c r="AG168" s="4">
        <v>4</v>
      </c>
      <c r="AH168" s="4">
        <v>4</v>
      </c>
      <c r="AI168" s="4">
        <v>1</v>
      </c>
      <c r="AJ168" s="1">
        <v>1</v>
      </c>
      <c r="AK168" s="4">
        <v>4</v>
      </c>
      <c r="AL168" s="4">
        <v>4</v>
      </c>
      <c r="AM168" s="4">
        <v>4</v>
      </c>
      <c r="AN168" s="4">
        <v>4</v>
      </c>
      <c r="AO168" s="17">
        <v>4</v>
      </c>
      <c r="AP168" s="17">
        <v>4</v>
      </c>
      <c r="AQ168" s="17">
        <v>4</v>
      </c>
      <c r="AR168" s="17">
        <v>4</v>
      </c>
      <c r="AS168" s="17">
        <v>4</v>
      </c>
      <c r="AT168" s="17">
        <v>4</v>
      </c>
      <c r="AU168" s="17">
        <v>4</v>
      </c>
      <c r="AV168" s="57">
        <v>4</v>
      </c>
      <c r="AW168" s="17">
        <v>4</v>
      </c>
      <c r="AX168" s="17">
        <v>4</v>
      </c>
      <c r="AY168" s="4">
        <v>4</v>
      </c>
      <c r="AZ168" s="4">
        <v>4</v>
      </c>
      <c r="BA168" s="57">
        <v>4</v>
      </c>
      <c r="BB168" s="57">
        <v>4</v>
      </c>
      <c r="BC168" s="4">
        <v>4</v>
      </c>
      <c r="BD168" s="4">
        <v>4</v>
      </c>
      <c r="BE168" s="4">
        <v>1</v>
      </c>
      <c r="BF168" s="4">
        <v>4</v>
      </c>
      <c r="BG168" s="4">
        <v>4</v>
      </c>
      <c r="BH168" s="4">
        <v>4</v>
      </c>
      <c r="BI168" s="4">
        <v>4</v>
      </c>
      <c r="BJ168" s="4">
        <v>4</v>
      </c>
      <c r="BK168" s="4">
        <v>4</v>
      </c>
      <c r="BL168" s="4">
        <v>4</v>
      </c>
      <c r="BM168" s="4">
        <v>4</v>
      </c>
      <c r="BN168" s="4">
        <v>4</v>
      </c>
      <c r="BO168" s="4">
        <v>4</v>
      </c>
      <c r="BP168" s="4">
        <v>4</v>
      </c>
      <c r="BQ168" s="4">
        <v>4</v>
      </c>
      <c r="BR168" s="4">
        <v>4</v>
      </c>
      <c r="BS168" s="4">
        <v>4</v>
      </c>
      <c r="BT168" s="4">
        <v>4</v>
      </c>
      <c r="BU168" s="4">
        <v>4</v>
      </c>
      <c r="BV168" s="4">
        <v>4</v>
      </c>
      <c r="BW168" s="4">
        <v>4</v>
      </c>
      <c r="BX168" s="4">
        <v>4</v>
      </c>
      <c r="BY168" s="4">
        <v>1</v>
      </c>
      <c r="BZ168" s="4">
        <v>4</v>
      </c>
      <c r="CA168" s="4">
        <v>4</v>
      </c>
      <c r="CB168" s="17">
        <v>4</v>
      </c>
      <c r="CC168" s="4">
        <v>4</v>
      </c>
      <c r="CD168" s="4">
        <v>4</v>
      </c>
      <c r="CE168" s="4">
        <v>3</v>
      </c>
      <c r="CF168" s="57">
        <v>4</v>
      </c>
      <c r="CG168" s="57">
        <v>4</v>
      </c>
      <c r="CH168" s="4">
        <v>4</v>
      </c>
      <c r="CI168" s="4">
        <v>4</v>
      </c>
      <c r="CJ168" s="4">
        <v>4</v>
      </c>
      <c r="CK168" s="17">
        <v>4</v>
      </c>
      <c r="CL168" s="17">
        <v>4</v>
      </c>
      <c r="CM168" s="17">
        <v>4</v>
      </c>
      <c r="CN168" s="57">
        <v>4</v>
      </c>
      <c r="CO168" s="17">
        <v>4</v>
      </c>
      <c r="CP168" s="17">
        <v>4</v>
      </c>
      <c r="CQ168" s="57">
        <v>4</v>
      </c>
      <c r="CR168" s="17">
        <v>4</v>
      </c>
      <c r="CS168" s="17">
        <v>4</v>
      </c>
      <c r="CT168" s="4">
        <v>4</v>
      </c>
      <c r="CU168" s="4">
        <v>4</v>
      </c>
      <c r="CV168" s="4">
        <v>4</v>
      </c>
      <c r="CW168" s="4">
        <v>1</v>
      </c>
      <c r="CX168" s="4">
        <v>4</v>
      </c>
      <c r="CY168" s="4">
        <v>4</v>
      </c>
      <c r="CZ168" s="4">
        <v>1</v>
      </c>
      <c r="DA168" s="17">
        <v>4</v>
      </c>
      <c r="DB168" s="1">
        <v>4</v>
      </c>
      <c r="DC168" s="4">
        <v>4</v>
      </c>
      <c r="DD168" s="1">
        <v>4</v>
      </c>
      <c r="DE168" s="17">
        <v>4</v>
      </c>
      <c r="DF168" s="57">
        <v>4</v>
      </c>
      <c r="DG168" s="4">
        <v>4</v>
      </c>
      <c r="DH168" s="17">
        <v>4</v>
      </c>
      <c r="DI168" s="4">
        <v>4</v>
      </c>
      <c r="DJ168" s="4">
        <v>4</v>
      </c>
      <c r="DK168" s="4">
        <v>4</v>
      </c>
      <c r="DL168" s="4">
        <v>4</v>
      </c>
      <c r="DM168" s="4">
        <v>4</v>
      </c>
      <c r="DN168" s="4">
        <v>1</v>
      </c>
      <c r="DO168" s="4">
        <v>4</v>
      </c>
      <c r="DP168" s="4">
        <v>4</v>
      </c>
      <c r="DQ168" s="4">
        <v>4</v>
      </c>
      <c r="DR168" s="4">
        <v>4</v>
      </c>
      <c r="DS168" s="4">
        <v>4</v>
      </c>
      <c r="DT168" s="4">
        <v>4</v>
      </c>
    </row>
    <row r="169" spans="1:124" x14ac:dyDescent="0.2">
      <c r="A169" t="s">
        <v>368</v>
      </c>
      <c r="B169" s="1" t="s">
        <v>1426</v>
      </c>
      <c r="C169" s="1" t="s">
        <v>1427</v>
      </c>
      <c r="E169" s="4">
        <v>1</v>
      </c>
      <c r="F169" s="1">
        <v>4</v>
      </c>
      <c r="G169" s="4">
        <v>4</v>
      </c>
      <c r="H169" s="4">
        <v>4</v>
      </c>
      <c r="I169" s="4">
        <v>1</v>
      </c>
      <c r="J169" s="4">
        <v>1</v>
      </c>
      <c r="K169" s="4">
        <v>4</v>
      </c>
      <c r="L169" s="4">
        <v>4</v>
      </c>
      <c r="M169" s="4">
        <v>4</v>
      </c>
      <c r="N169" s="4">
        <v>1</v>
      </c>
      <c r="O169" s="4">
        <v>4</v>
      </c>
      <c r="P169" s="4">
        <v>4</v>
      </c>
      <c r="Q169" s="4">
        <v>4</v>
      </c>
      <c r="R169" s="4">
        <v>4</v>
      </c>
      <c r="S169" s="4">
        <v>4</v>
      </c>
      <c r="T169" s="4">
        <v>4</v>
      </c>
      <c r="U169" s="4">
        <v>1</v>
      </c>
      <c r="V169" s="57">
        <v>4</v>
      </c>
      <c r="W169" s="4">
        <v>4</v>
      </c>
      <c r="X169" s="4">
        <v>4</v>
      </c>
      <c r="Y169" s="4">
        <v>4</v>
      </c>
      <c r="Z169" s="4">
        <v>4</v>
      </c>
      <c r="AA169" s="4">
        <v>4</v>
      </c>
      <c r="AB169" s="4">
        <v>4</v>
      </c>
      <c r="AC169" s="57">
        <v>4</v>
      </c>
      <c r="AD169" s="4">
        <v>4</v>
      </c>
      <c r="AE169" s="4">
        <v>4</v>
      </c>
      <c r="AF169" s="4">
        <v>2</v>
      </c>
      <c r="AG169" s="4">
        <v>4</v>
      </c>
      <c r="AH169" s="4">
        <v>4</v>
      </c>
      <c r="AI169" s="4">
        <v>2</v>
      </c>
      <c r="AJ169" s="1">
        <v>1</v>
      </c>
      <c r="AK169" s="4">
        <v>4</v>
      </c>
      <c r="AL169" s="4">
        <v>4</v>
      </c>
      <c r="AM169" s="4">
        <v>4</v>
      </c>
      <c r="AN169" s="4">
        <v>4</v>
      </c>
      <c r="AO169" s="17">
        <v>4</v>
      </c>
      <c r="AP169" s="17">
        <v>4</v>
      </c>
      <c r="AQ169" s="17">
        <v>4</v>
      </c>
      <c r="AR169" s="17">
        <v>4</v>
      </c>
      <c r="AS169" s="17">
        <v>4</v>
      </c>
      <c r="AT169" s="17">
        <v>4</v>
      </c>
      <c r="AU169" s="17">
        <v>4</v>
      </c>
      <c r="AV169" s="57">
        <v>4</v>
      </c>
      <c r="AW169" s="17">
        <v>4</v>
      </c>
      <c r="AX169" s="17">
        <v>4</v>
      </c>
      <c r="AY169" s="4">
        <v>4</v>
      </c>
      <c r="AZ169" s="4">
        <v>4</v>
      </c>
      <c r="BA169" s="57">
        <v>4</v>
      </c>
      <c r="BB169" s="57">
        <v>4</v>
      </c>
      <c r="BC169" s="4">
        <v>4</v>
      </c>
      <c r="BD169" s="4">
        <v>4</v>
      </c>
      <c r="BE169" s="4">
        <v>1</v>
      </c>
      <c r="BF169" s="4">
        <v>4</v>
      </c>
      <c r="BG169" s="4">
        <v>4</v>
      </c>
      <c r="BH169" s="4">
        <v>4</v>
      </c>
      <c r="BI169" s="4">
        <v>4</v>
      </c>
      <c r="BJ169" s="4">
        <v>4</v>
      </c>
      <c r="BK169" s="4">
        <v>4</v>
      </c>
      <c r="BL169" s="4">
        <v>4</v>
      </c>
      <c r="BM169" s="4">
        <v>4</v>
      </c>
      <c r="BN169" s="4">
        <v>4</v>
      </c>
      <c r="BO169" s="4">
        <v>4</v>
      </c>
      <c r="BP169" s="4">
        <v>4</v>
      </c>
      <c r="BQ169" s="4">
        <v>4</v>
      </c>
      <c r="BR169" s="4">
        <v>4</v>
      </c>
      <c r="BS169" s="4">
        <v>4</v>
      </c>
      <c r="BT169" s="4">
        <v>4</v>
      </c>
      <c r="BU169" s="4">
        <v>4</v>
      </c>
      <c r="BV169" s="4">
        <v>4</v>
      </c>
      <c r="BW169" s="4">
        <v>4</v>
      </c>
      <c r="BX169" s="4">
        <v>4</v>
      </c>
      <c r="BY169" s="4">
        <v>1</v>
      </c>
      <c r="BZ169" s="4">
        <v>4</v>
      </c>
      <c r="CA169" s="4">
        <v>4</v>
      </c>
      <c r="CB169" s="17">
        <v>4</v>
      </c>
      <c r="CC169" s="4">
        <v>4</v>
      </c>
      <c r="CD169" s="4">
        <v>4</v>
      </c>
      <c r="CE169" s="4">
        <v>1</v>
      </c>
      <c r="CF169" s="57">
        <v>4</v>
      </c>
      <c r="CG169" s="57">
        <v>4</v>
      </c>
      <c r="CH169" s="4">
        <v>4</v>
      </c>
      <c r="CI169" s="4">
        <v>4</v>
      </c>
      <c r="CJ169" s="4">
        <v>4</v>
      </c>
      <c r="CK169" s="17">
        <v>4</v>
      </c>
      <c r="CL169" s="17">
        <v>4</v>
      </c>
      <c r="CM169" s="17">
        <v>4</v>
      </c>
      <c r="CN169" s="57">
        <v>4</v>
      </c>
      <c r="CO169" s="17">
        <v>4</v>
      </c>
      <c r="CP169" s="17">
        <v>4</v>
      </c>
      <c r="CQ169" s="57">
        <v>4</v>
      </c>
      <c r="CR169" s="17">
        <v>4</v>
      </c>
      <c r="CS169" s="17">
        <v>4</v>
      </c>
      <c r="CT169" s="4">
        <v>4</v>
      </c>
      <c r="CU169" s="4">
        <v>4</v>
      </c>
      <c r="CV169" s="4">
        <v>4</v>
      </c>
      <c r="CW169" s="4">
        <v>1</v>
      </c>
      <c r="CX169" s="4">
        <v>4</v>
      </c>
      <c r="CY169" s="4">
        <v>4</v>
      </c>
      <c r="CZ169" s="4">
        <v>1</v>
      </c>
      <c r="DA169" s="17">
        <v>4</v>
      </c>
      <c r="DB169" s="1">
        <v>4</v>
      </c>
      <c r="DC169" s="4">
        <v>4</v>
      </c>
      <c r="DD169" s="1">
        <v>4</v>
      </c>
      <c r="DE169" s="17">
        <v>4</v>
      </c>
      <c r="DF169" s="57">
        <v>4</v>
      </c>
      <c r="DG169" s="4">
        <v>4</v>
      </c>
      <c r="DH169" s="17">
        <v>4</v>
      </c>
      <c r="DI169" s="4">
        <v>4</v>
      </c>
      <c r="DJ169" s="4">
        <v>4</v>
      </c>
      <c r="DK169" s="4">
        <v>4</v>
      </c>
      <c r="DL169" s="4">
        <v>4</v>
      </c>
      <c r="DM169" s="4">
        <v>4</v>
      </c>
      <c r="DN169" s="4">
        <v>1</v>
      </c>
      <c r="DO169" s="4">
        <v>4</v>
      </c>
      <c r="DP169" s="4">
        <v>4</v>
      </c>
      <c r="DQ169" s="4">
        <v>4</v>
      </c>
      <c r="DR169" s="4">
        <v>4</v>
      </c>
      <c r="DS169" s="4">
        <v>4</v>
      </c>
      <c r="DT169" s="4">
        <v>4</v>
      </c>
    </row>
    <row r="170" spans="1:124" x14ac:dyDescent="0.2">
      <c r="A170" t="s">
        <v>369</v>
      </c>
      <c r="B170" s="1" t="s">
        <v>1426</v>
      </c>
      <c r="C170" s="1" t="s">
        <v>1427</v>
      </c>
      <c r="E170" s="4">
        <v>1</v>
      </c>
      <c r="F170" s="1">
        <v>4</v>
      </c>
      <c r="G170" s="4">
        <v>4</v>
      </c>
      <c r="H170" s="4">
        <v>4</v>
      </c>
      <c r="I170" s="4">
        <v>1</v>
      </c>
      <c r="J170" s="4">
        <v>4</v>
      </c>
      <c r="K170" s="4">
        <v>4</v>
      </c>
      <c r="L170" s="4">
        <v>4</v>
      </c>
      <c r="M170" s="4">
        <v>4</v>
      </c>
      <c r="N170" s="4">
        <v>1</v>
      </c>
      <c r="O170" s="4">
        <v>4</v>
      </c>
      <c r="P170" s="4">
        <v>4</v>
      </c>
      <c r="Q170" s="4">
        <v>4</v>
      </c>
      <c r="R170" s="4">
        <v>4</v>
      </c>
      <c r="S170" s="4">
        <v>4</v>
      </c>
      <c r="T170" s="4">
        <v>4</v>
      </c>
      <c r="U170" s="4">
        <v>1</v>
      </c>
      <c r="V170" s="57">
        <v>4</v>
      </c>
      <c r="W170" s="1">
        <v>4</v>
      </c>
      <c r="X170" s="1">
        <v>4</v>
      </c>
      <c r="Y170" s="4">
        <v>1</v>
      </c>
      <c r="Z170" s="4">
        <v>4</v>
      </c>
      <c r="AA170" s="4">
        <v>4</v>
      </c>
      <c r="AB170" s="4">
        <v>4</v>
      </c>
      <c r="AC170" s="57">
        <v>4</v>
      </c>
      <c r="AD170" s="4">
        <v>4</v>
      </c>
      <c r="AE170" s="4">
        <v>4</v>
      </c>
      <c r="AF170" s="4">
        <v>4</v>
      </c>
      <c r="AG170" s="4">
        <v>4</v>
      </c>
      <c r="AH170" s="4">
        <v>4</v>
      </c>
      <c r="AI170" s="4">
        <v>4</v>
      </c>
      <c r="AJ170" s="4">
        <v>4</v>
      </c>
      <c r="AK170" s="4">
        <v>4</v>
      </c>
      <c r="AL170" s="4">
        <v>4</v>
      </c>
      <c r="AM170" s="4">
        <v>4</v>
      </c>
      <c r="AN170" s="4">
        <v>4</v>
      </c>
      <c r="AO170" s="17">
        <v>4</v>
      </c>
      <c r="AP170" s="17">
        <v>4</v>
      </c>
      <c r="AQ170" s="17">
        <v>4</v>
      </c>
      <c r="AR170" s="17">
        <v>4</v>
      </c>
      <c r="AS170" s="17">
        <v>4</v>
      </c>
      <c r="AT170" s="17">
        <v>4</v>
      </c>
      <c r="AU170" s="17">
        <v>4</v>
      </c>
      <c r="AV170" s="57">
        <v>4</v>
      </c>
      <c r="AW170" s="17">
        <v>4</v>
      </c>
      <c r="AX170" s="17">
        <v>4</v>
      </c>
      <c r="AY170" s="4">
        <v>4</v>
      </c>
      <c r="AZ170" s="4">
        <v>4</v>
      </c>
      <c r="BA170" s="57">
        <v>4</v>
      </c>
      <c r="BB170" s="57">
        <v>4</v>
      </c>
      <c r="BC170" s="4">
        <v>4</v>
      </c>
      <c r="BD170" s="4">
        <v>4</v>
      </c>
      <c r="BE170" s="4">
        <v>1</v>
      </c>
      <c r="BF170" s="4">
        <v>4</v>
      </c>
      <c r="BG170" s="4">
        <v>4</v>
      </c>
      <c r="BH170" s="4">
        <v>4</v>
      </c>
      <c r="BI170" s="4">
        <v>4</v>
      </c>
      <c r="BJ170" s="4">
        <v>4</v>
      </c>
      <c r="BK170" s="4">
        <v>4</v>
      </c>
      <c r="BL170" s="4">
        <v>4</v>
      </c>
      <c r="BM170" s="4">
        <v>4</v>
      </c>
      <c r="BN170" s="4">
        <v>4</v>
      </c>
      <c r="BO170" s="4">
        <v>4</v>
      </c>
      <c r="BP170" s="4">
        <v>4</v>
      </c>
      <c r="BQ170" s="4">
        <v>4</v>
      </c>
      <c r="BR170" s="4">
        <v>4</v>
      </c>
      <c r="BS170" s="4">
        <v>4</v>
      </c>
      <c r="BT170" s="4">
        <v>4</v>
      </c>
      <c r="BU170" s="4">
        <v>4</v>
      </c>
      <c r="BV170" s="4">
        <v>4</v>
      </c>
      <c r="BW170" s="4">
        <v>4</v>
      </c>
      <c r="BX170" s="4">
        <v>4</v>
      </c>
      <c r="BY170" s="4">
        <v>1</v>
      </c>
      <c r="BZ170" s="18">
        <v>4</v>
      </c>
      <c r="CA170" s="4">
        <v>1</v>
      </c>
      <c r="CB170" s="17">
        <v>4</v>
      </c>
      <c r="CC170" s="4">
        <v>4</v>
      </c>
      <c r="CD170" s="4">
        <v>4</v>
      </c>
      <c r="CE170" s="4">
        <v>4</v>
      </c>
      <c r="CF170" s="57">
        <v>4</v>
      </c>
      <c r="CG170" s="57">
        <v>4</v>
      </c>
      <c r="CH170" s="4">
        <v>4</v>
      </c>
      <c r="CI170" s="4">
        <v>4</v>
      </c>
      <c r="CJ170" s="4">
        <v>4</v>
      </c>
      <c r="CK170" s="17">
        <v>4</v>
      </c>
      <c r="CL170" s="17">
        <v>4</v>
      </c>
      <c r="CM170" s="17">
        <v>4</v>
      </c>
      <c r="CN170" s="57">
        <v>4</v>
      </c>
      <c r="CO170" s="17">
        <v>4</v>
      </c>
      <c r="CP170" s="17">
        <v>4</v>
      </c>
      <c r="CQ170" s="57">
        <v>4</v>
      </c>
      <c r="CR170" s="17">
        <v>4</v>
      </c>
      <c r="CS170" s="17">
        <v>4</v>
      </c>
      <c r="CT170" s="4">
        <v>4</v>
      </c>
      <c r="CU170" s="4">
        <v>4</v>
      </c>
      <c r="CV170" s="4">
        <v>4</v>
      </c>
      <c r="CW170" s="4">
        <v>1</v>
      </c>
      <c r="CX170" s="4">
        <v>4</v>
      </c>
      <c r="CY170" s="4">
        <v>4</v>
      </c>
      <c r="CZ170" s="4">
        <v>1</v>
      </c>
      <c r="DA170" s="17">
        <v>4</v>
      </c>
      <c r="DB170" s="1">
        <v>4</v>
      </c>
      <c r="DC170" s="4">
        <v>4</v>
      </c>
      <c r="DD170" s="4">
        <v>1</v>
      </c>
      <c r="DE170" s="17">
        <v>4</v>
      </c>
      <c r="DF170" s="57">
        <v>4</v>
      </c>
      <c r="DG170" s="4">
        <v>4</v>
      </c>
      <c r="DH170" s="17">
        <v>4</v>
      </c>
      <c r="DI170" s="4">
        <v>4</v>
      </c>
      <c r="DJ170" s="4">
        <v>4</v>
      </c>
      <c r="DK170" s="4">
        <v>4</v>
      </c>
      <c r="DL170" s="4">
        <v>4</v>
      </c>
      <c r="DM170" s="4">
        <v>4</v>
      </c>
      <c r="DN170" s="4">
        <v>1</v>
      </c>
      <c r="DO170" s="4">
        <v>4</v>
      </c>
      <c r="DP170" s="4">
        <v>4</v>
      </c>
      <c r="DQ170" s="4">
        <v>3</v>
      </c>
      <c r="DR170" s="18">
        <v>4</v>
      </c>
      <c r="DS170" s="18">
        <v>4</v>
      </c>
      <c r="DT170" s="4">
        <v>4</v>
      </c>
    </row>
    <row r="171" spans="1:124" x14ac:dyDescent="0.2">
      <c r="A171" t="s">
        <v>376</v>
      </c>
      <c r="B171" s="1" t="s">
        <v>1426</v>
      </c>
      <c r="C171" s="1" t="s">
        <v>1429</v>
      </c>
      <c r="E171" s="4">
        <v>1</v>
      </c>
      <c r="F171" s="1">
        <v>4</v>
      </c>
      <c r="G171" s="1">
        <v>1</v>
      </c>
      <c r="H171" s="1">
        <v>3</v>
      </c>
      <c r="I171" s="1">
        <v>4</v>
      </c>
      <c r="J171" s="1">
        <v>3</v>
      </c>
      <c r="K171" s="4">
        <v>4</v>
      </c>
      <c r="L171" s="1">
        <v>3</v>
      </c>
      <c r="M171" s="1">
        <v>3</v>
      </c>
      <c r="N171" s="1">
        <v>4</v>
      </c>
      <c r="O171" s="1">
        <v>4</v>
      </c>
      <c r="P171" s="1">
        <v>4</v>
      </c>
      <c r="Q171" s="1">
        <v>4</v>
      </c>
      <c r="R171" s="4">
        <v>4</v>
      </c>
      <c r="S171" s="4">
        <v>3</v>
      </c>
      <c r="T171" s="4">
        <v>3</v>
      </c>
      <c r="U171" s="4">
        <v>4</v>
      </c>
      <c r="V171" s="57">
        <v>4</v>
      </c>
      <c r="W171" s="1">
        <v>4</v>
      </c>
      <c r="X171" s="1">
        <v>4</v>
      </c>
      <c r="Y171" s="1">
        <v>4</v>
      </c>
      <c r="Z171" s="4">
        <v>4</v>
      </c>
      <c r="AA171" s="4">
        <v>4</v>
      </c>
      <c r="AB171" s="4">
        <v>4</v>
      </c>
      <c r="AC171" s="57">
        <v>4</v>
      </c>
      <c r="AD171" s="4">
        <v>4</v>
      </c>
      <c r="AE171" s="4">
        <v>4</v>
      </c>
      <c r="AF171" s="4">
        <v>3</v>
      </c>
      <c r="AG171" s="1">
        <v>4</v>
      </c>
      <c r="AH171" s="1">
        <v>4</v>
      </c>
      <c r="AI171" s="4">
        <v>4</v>
      </c>
      <c r="AJ171" s="4">
        <v>1</v>
      </c>
      <c r="AK171" s="4">
        <v>1</v>
      </c>
      <c r="AL171" s="18">
        <v>4</v>
      </c>
      <c r="AM171" s="4">
        <v>4</v>
      </c>
      <c r="AN171" s="4">
        <v>4</v>
      </c>
      <c r="AO171" s="17">
        <v>4</v>
      </c>
      <c r="AP171" s="17">
        <v>4</v>
      </c>
      <c r="AQ171" s="17">
        <v>4</v>
      </c>
      <c r="AR171" s="17">
        <v>4</v>
      </c>
      <c r="AS171" s="17">
        <v>4</v>
      </c>
      <c r="AT171" s="17">
        <v>4</v>
      </c>
      <c r="AU171" s="17">
        <v>4</v>
      </c>
      <c r="AV171" s="57">
        <v>4</v>
      </c>
      <c r="AW171" s="17">
        <v>4</v>
      </c>
      <c r="AX171" s="17">
        <v>4</v>
      </c>
      <c r="AY171" s="4">
        <v>4</v>
      </c>
      <c r="AZ171" s="4">
        <v>4</v>
      </c>
      <c r="BA171" s="57">
        <v>4</v>
      </c>
      <c r="BB171" s="57">
        <v>4</v>
      </c>
      <c r="BC171" s="4">
        <v>3</v>
      </c>
      <c r="BD171" s="4">
        <v>1</v>
      </c>
      <c r="BE171" s="4">
        <v>3</v>
      </c>
      <c r="BF171" s="4">
        <v>3</v>
      </c>
      <c r="BG171" s="4">
        <v>3</v>
      </c>
      <c r="BH171" s="4">
        <v>4</v>
      </c>
      <c r="BI171" s="18">
        <v>4</v>
      </c>
      <c r="BJ171" s="18">
        <v>4</v>
      </c>
      <c r="BK171" s="4">
        <v>4</v>
      </c>
      <c r="BL171" s="18">
        <v>4</v>
      </c>
      <c r="BM171" s="18">
        <v>4</v>
      </c>
      <c r="BN171" s="4">
        <v>4</v>
      </c>
      <c r="BO171" s="18">
        <v>4</v>
      </c>
      <c r="BP171" s="18">
        <v>4</v>
      </c>
      <c r="BQ171" s="18">
        <v>4</v>
      </c>
      <c r="BR171" s="18">
        <v>4</v>
      </c>
      <c r="BS171" s="4">
        <v>4</v>
      </c>
      <c r="BT171" s="18">
        <v>4</v>
      </c>
      <c r="BU171" s="18">
        <v>4</v>
      </c>
      <c r="BV171" s="18">
        <v>4</v>
      </c>
      <c r="BW171" s="4">
        <v>3</v>
      </c>
      <c r="BX171" s="4">
        <v>3</v>
      </c>
      <c r="BY171" s="4">
        <v>3</v>
      </c>
      <c r="BZ171" s="18">
        <v>4</v>
      </c>
      <c r="CA171" s="18">
        <v>4</v>
      </c>
      <c r="CB171" s="17">
        <v>4</v>
      </c>
      <c r="CC171" s="18">
        <v>4</v>
      </c>
      <c r="CD171" s="18">
        <v>4</v>
      </c>
      <c r="CE171" s="4">
        <v>4</v>
      </c>
      <c r="CF171" s="57">
        <v>4</v>
      </c>
      <c r="CG171" s="57">
        <v>4</v>
      </c>
      <c r="CH171" s="4">
        <v>4</v>
      </c>
      <c r="CI171" s="4">
        <v>4</v>
      </c>
      <c r="CJ171" s="4">
        <v>4</v>
      </c>
      <c r="CK171" s="17">
        <v>4</v>
      </c>
      <c r="CL171" s="17">
        <v>4</v>
      </c>
      <c r="CM171" s="17">
        <v>4</v>
      </c>
      <c r="CN171" s="57">
        <v>4</v>
      </c>
      <c r="CO171" s="17">
        <v>4</v>
      </c>
      <c r="CP171" s="17">
        <v>4</v>
      </c>
      <c r="CQ171" s="57">
        <v>4</v>
      </c>
      <c r="CR171" s="17">
        <v>4</v>
      </c>
      <c r="CS171" s="17">
        <v>4</v>
      </c>
      <c r="CT171" s="18">
        <v>4</v>
      </c>
      <c r="CU171" s="4">
        <v>4</v>
      </c>
      <c r="CV171" s="4">
        <v>4</v>
      </c>
      <c r="CW171" s="18">
        <v>4</v>
      </c>
      <c r="CX171" s="4">
        <v>4</v>
      </c>
      <c r="CY171" s="4">
        <v>4</v>
      </c>
      <c r="CZ171" s="18">
        <v>4</v>
      </c>
      <c r="DA171" s="17">
        <v>4</v>
      </c>
      <c r="DB171" s="1">
        <v>4</v>
      </c>
      <c r="DC171" s="4">
        <v>4</v>
      </c>
      <c r="DD171" s="18">
        <v>4</v>
      </c>
      <c r="DE171" s="17">
        <v>4</v>
      </c>
      <c r="DF171" s="57">
        <v>4</v>
      </c>
      <c r="DG171" s="18">
        <v>4</v>
      </c>
      <c r="DH171" s="17">
        <v>4</v>
      </c>
      <c r="DI171" s="18">
        <v>4</v>
      </c>
      <c r="DJ171" s="18">
        <v>4</v>
      </c>
      <c r="DK171" s="4">
        <v>4</v>
      </c>
      <c r="DL171" s="4">
        <v>4</v>
      </c>
      <c r="DM171" s="4">
        <v>4</v>
      </c>
      <c r="DN171" s="18">
        <v>4</v>
      </c>
      <c r="DO171" s="18">
        <v>4</v>
      </c>
      <c r="DP171" s="18">
        <v>4</v>
      </c>
      <c r="DQ171" s="18">
        <v>4</v>
      </c>
      <c r="DR171" s="18">
        <v>4</v>
      </c>
      <c r="DS171" s="18">
        <v>4</v>
      </c>
      <c r="DT171" s="4">
        <v>4</v>
      </c>
    </row>
    <row r="172" spans="1:124" x14ac:dyDescent="0.2">
      <c r="A172" t="s">
        <v>380</v>
      </c>
      <c r="B172" s="1" t="s">
        <v>1426</v>
      </c>
      <c r="C172" s="1" t="s">
        <v>1429</v>
      </c>
      <c r="E172" s="4">
        <v>1</v>
      </c>
      <c r="F172" s="1">
        <v>4</v>
      </c>
      <c r="G172" s="4">
        <v>4</v>
      </c>
      <c r="H172" s="4">
        <v>4</v>
      </c>
      <c r="I172" s="4">
        <v>1</v>
      </c>
      <c r="J172" s="4">
        <v>4</v>
      </c>
      <c r="K172" s="4">
        <v>4</v>
      </c>
      <c r="L172" s="17">
        <v>4</v>
      </c>
      <c r="M172" s="17">
        <v>4</v>
      </c>
      <c r="N172" s="4">
        <v>1</v>
      </c>
      <c r="O172" s="4">
        <v>4</v>
      </c>
      <c r="P172" s="4">
        <v>4</v>
      </c>
      <c r="Q172" s="4">
        <v>4</v>
      </c>
      <c r="R172" s="4">
        <v>4</v>
      </c>
      <c r="S172" s="4">
        <v>4</v>
      </c>
      <c r="T172" s="4">
        <v>4</v>
      </c>
      <c r="U172" s="4">
        <v>1</v>
      </c>
      <c r="V172" s="57">
        <v>4</v>
      </c>
      <c r="W172" s="1">
        <v>4</v>
      </c>
      <c r="X172" s="1">
        <v>4</v>
      </c>
      <c r="Y172" s="4">
        <v>1</v>
      </c>
      <c r="Z172" s="4">
        <v>4</v>
      </c>
      <c r="AA172" s="4">
        <v>4</v>
      </c>
      <c r="AB172" s="4">
        <v>4</v>
      </c>
      <c r="AC172" s="57">
        <v>4</v>
      </c>
      <c r="AD172" s="4">
        <v>4</v>
      </c>
      <c r="AE172" s="4">
        <v>4</v>
      </c>
      <c r="AF172" s="4">
        <v>4</v>
      </c>
      <c r="AG172" s="4">
        <v>4</v>
      </c>
      <c r="AH172" s="4">
        <v>4</v>
      </c>
      <c r="AI172" s="4">
        <v>4</v>
      </c>
      <c r="AJ172" s="4">
        <v>4</v>
      </c>
      <c r="AK172" s="4">
        <v>4</v>
      </c>
      <c r="AL172" s="4">
        <v>4</v>
      </c>
      <c r="AM172" s="4">
        <v>4</v>
      </c>
      <c r="AN172" s="4">
        <v>4</v>
      </c>
      <c r="AO172" s="17">
        <v>4</v>
      </c>
      <c r="AP172" s="17">
        <v>4</v>
      </c>
      <c r="AQ172" s="17">
        <v>4</v>
      </c>
      <c r="AR172" s="17">
        <v>4</v>
      </c>
      <c r="AS172" s="17">
        <v>4</v>
      </c>
      <c r="AT172" s="17">
        <v>4</v>
      </c>
      <c r="AU172" s="17">
        <v>4</v>
      </c>
      <c r="AV172" s="57">
        <v>4</v>
      </c>
      <c r="AW172" s="17">
        <v>4</v>
      </c>
      <c r="AX172" s="17">
        <v>4</v>
      </c>
      <c r="AY172" s="4">
        <v>4</v>
      </c>
      <c r="AZ172" s="4">
        <v>4</v>
      </c>
      <c r="BA172" s="57">
        <v>4</v>
      </c>
      <c r="BB172" s="57">
        <v>4</v>
      </c>
      <c r="BC172" s="4">
        <v>4</v>
      </c>
      <c r="BD172" s="4">
        <v>4</v>
      </c>
      <c r="BE172" s="4">
        <v>1</v>
      </c>
      <c r="BF172" s="4">
        <v>4</v>
      </c>
      <c r="BG172" s="4">
        <v>4</v>
      </c>
      <c r="BH172" s="4">
        <v>4</v>
      </c>
      <c r="BI172" s="4">
        <v>4</v>
      </c>
      <c r="BJ172" s="4">
        <v>4</v>
      </c>
      <c r="BK172" s="4">
        <v>4</v>
      </c>
      <c r="BL172" s="4">
        <v>4</v>
      </c>
      <c r="BM172" s="4">
        <v>4</v>
      </c>
      <c r="BN172" s="4">
        <v>4</v>
      </c>
      <c r="BO172" s="4">
        <v>4</v>
      </c>
      <c r="BP172" s="4">
        <v>4</v>
      </c>
      <c r="BQ172" s="4">
        <v>4</v>
      </c>
      <c r="BR172" s="4">
        <v>4</v>
      </c>
      <c r="BS172" s="4">
        <v>4</v>
      </c>
      <c r="BT172" s="4">
        <v>4</v>
      </c>
      <c r="BU172" s="4">
        <v>4</v>
      </c>
      <c r="BV172" s="4">
        <v>4</v>
      </c>
      <c r="BW172" s="4">
        <v>4</v>
      </c>
      <c r="BX172" s="4">
        <v>4</v>
      </c>
      <c r="BY172" s="4">
        <v>1</v>
      </c>
      <c r="BZ172" s="18">
        <v>4</v>
      </c>
      <c r="CA172" s="4">
        <v>1</v>
      </c>
      <c r="CB172" s="17">
        <v>4</v>
      </c>
      <c r="CC172" s="4">
        <v>4</v>
      </c>
      <c r="CD172" s="4">
        <v>4</v>
      </c>
      <c r="CE172" s="4">
        <v>4</v>
      </c>
      <c r="CF172" s="57">
        <v>4</v>
      </c>
      <c r="CG172" s="57">
        <v>4</v>
      </c>
      <c r="CH172" s="4">
        <v>4</v>
      </c>
      <c r="CI172" s="4">
        <v>4</v>
      </c>
      <c r="CJ172" s="4">
        <v>4</v>
      </c>
      <c r="CK172" s="17">
        <v>4</v>
      </c>
      <c r="CL172" s="17">
        <v>4</v>
      </c>
      <c r="CM172" s="17">
        <v>4</v>
      </c>
      <c r="CN172" s="57">
        <v>4</v>
      </c>
      <c r="CO172" s="17">
        <v>4</v>
      </c>
      <c r="CP172" s="17">
        <v>4</v>
      </c>
      <c r="CQ172" s="57">
        <v>4</v>
      </c>
      <c r="CR172" s="17">
        <v>4</v>
      </c>
      <c r="CS172" s="17">
        <v>4</v>
      </c>
      <c r="CT172" s="4">
        <v>4</v>
      </c>
      <c r="CU172" s="4">
        <v>4</v>
      </c>
      <c r="CV172" s="4">
        <v>4</v>
      </c>
      <c r="CW172" s="4">
        <v>1</v>
      </c>
      <c r="CX172" s="4">
        <v>4</v>
      </c>
      <c r="CY172" s="4">
        <v>4</v>
      </c>
      <c r="CZ172" s="4">
        <v>1</v>
      </c>
      <c r="DA172" s="17">
        <v>4</v>
      </c>
      <c r="DB172" s="1">
        <v>4</v>
      </c>
      <c r="DC172" s="4">
        <v>4</v>
      </c>
      <c r="DD172" s="4">
        <v>1</v>
      </c>
      <c r="DE172" s="17">
        <v>4</v>
      </c>
      <c r="DF172" s="57">
        <v>4</v>
      </c>
      <c r="DG172" s="4">
        <v>4</v>
      </c>
      <c r="DH172" s="17">
        <v>4</v>
      </c>
      <c r="DI172" s="18">
        <v>4</v>
      </c>
      <c r="DJ172" s="18">
        <v>4</v>
      </c>
      <c r="DK172" s="4">
        <v>1</v>
      </c>
      <c r="DL172" s="4">
        <v>4</v>
      </c>
      <c r="DM172" s="4">
        <v>4</v>
      </c>
      <c r="DN172" s="4">
        <v>1</v>
      </c>
      <c r="DO172" s="18">
        <v>4</v>
      </c>
      <c r="DP172" s="18">
        <v>4</v>
      </c>
      <c r="DQ172" s="4">
        <v>1</v>
      </c>
      <c r="DR172" s="17">
        <v>4</v>
      </c>
      <c r="DS172" s="17">
        <v>4</v>
      </c>
      <c r="DT172" s="4">
        <v>4</v>
      </c>
    </row>
    <row r="173" spans="1:124" x14ac:dyDescent="0.2">
      <c r="A173" t="s">
        <v>385</v>
      </c>
      <c r="B173" s="1" t="s">
        <v>387</v>
      </c>
      <c r="C173" s="1" t="s">
        <v>387</v>
      </c>
      <c r="E173" s="4">
        <v>1</v>
      </c>
      <c r="F173" s="1">
        <v>4</v>
      </c>
      <c r="G173" s="4">
        <v>4</v>
      </c>
      <c r="H173" s="4">
        <v>4</v>
      </c>
      <c r="I173" s="4">
        <v>1</v>
      </c>
      <c r="J173" s="4">
        <v>4</v>
      </c>
      <c r="K173" s="4">
        <v>4</v>
      </c>
      <c r="L173" s="17">
        <v>4</v>
      </c>
      <c r="M173" s="17">
        <v>4</v>
      </c>
      <c r="N173" s="4">
        <v>1</v>
      </c>
      <c r="O173" s="4">
        <v>4</v>
      </c>
      <c r="P173" s="4">
        <v>4</v>
      </c>
      <c r="Q173" s="4">
        <v>4</v>
      </c>
      <c r="R173" s="4">
        <v>4</v>
      </c>
      <c r="S173" s="4">
        <v>4</v>
      </c>
      <c r="T173" s="4">
        <v>4</v>
      </c>
      <c r="U173" s="4">
        <v>1</v>
      </c>
      <c r="V173" s="57">
        <v>4</v>
      </c>
      <c r="W173" s="1">
        <v>4</v>
      </c>
      <c r="X173" s="1">
        <v>4</v>
      </c>
      <c r="Y173" s="4">
        <v>1</v>
      </c>
      <c r="Z173" s="4">
        <v>4</v>
      </c>
      <c r="AA173" s="4">
        <v>4</v>
      </c>
      <c r="AB173" s="4">
        <v>4</v>
      </c>
      <c r="AC173" s="57">
        <v>4</v>
      </c>
      <c r="AD173" s="4">
        <v>4</v>
      </c>
      <c r="AE173" s="4">
        <v>4</v>
      </c>
      <c r="AF173" s="4">
        <v>4</v>
      </c>
      <c r="AG173" s="4">
        <v>4</v>
      </c>
      <c r="AH173" s="4">
        <v>4</v>
      </c>
      <c r="AI173" s="4">
        <v>4</v>
      </c>
      <c r="AJ173" s="4">
        <v>4</v>
      </c>
      <c r="AK173" s="4">
        <v>4</v>
      </c>
      <c r="AL173" s="4">
        <v>4</v>
      </c>
      <c r="AM173" s="4">
        <v>4</v>
      </c>
      <c r="AN173" s="4">
        <v>4</v>
      </c>
      <c r="AO173" s="17">
        <v>4</v>
      </c>
      <c r="AP173" s="17">
        <v>4</v>
      </c>
      <c r="AQ173" s="17">
        <v>4</v>
      </c>
      <c r="AR173" s="17">
        <v>4</v>
      </c>
      <c r="AS173" s="17">
        <v>4</v>
      </c>
      <c r="AT173" s="17">
        <v>4</v>
      </c>
      <c r="AU173" s="17">
        <v>4</v>
      </c>
      <c r="AV173" s="57">
        <v>4</v>
      </c>
      <c r="AW173" s="17">
        <v>4</v>
      </c>
      <c r="AX173" s="17">
        <v>4</v>
      </c>
      <c r="AY173" s="4">
        <v>4</v>
      </c>
      <c r="AZ173" s="4">
        <v>4</v>
      </c>
      <c r="BA173" s="57">
        <v>4</v>
      </c>
      <c r="BB173" s="57">
        <v>4</v>
      </c>
      <c r="BC173" s="4">
        <v>4</v>
      </c>
      <c r="BD173" s="4">
        <v>4</v>
      </c>
      <c r="BE173" s="4">
        <v>1</v>
      </c>
      <c r="BF173" s="4">
        <v>4</v>
      </c>
      <c r="BG173" s="4">
        <v>4</v>
      </c>
      <c r="BH173" s="4">
        <v>4</v>
      </c>
      <c r="BI173" s="4">
        <v>4</v>
      </c>
      <c r="BJ173" s="4">
        <v>4</v>
      </c>
      <c r="BK173" s="4">
        <v>4</v>
      </c>
      <c r="BL173" s="4">
        <v>4</v>
      </c>
      <c r="BM173" s="4">
        <v>4</v>
      </c>
      <c r="BN173" s="4">
        <v>4</v>
      </c>
      <c r="BO173" s="4">
        <v>4</v>
      </c>
      <c r="BP173" s="4">
        <v>4</v>
      </c>
      <c r="BQ173" s="4">
        <v>4</v>
      </c>
      <c r="BR173" s="4">
        <v>4</v>
      </c>
      <c r="BS173" s="4">
        <v>4</v>
      </c>
      <c r="BT173" s="4">
        <v>4</v>
      </c>
      <c r="BU173" s="4">
        <v>4</v>
      </c>
      <c r="BV173" s="4">
        <v>4</v>
      </c>
      <c r="BW173" s="4">
        <v>4</v>
      </c>
      <c r="BX173" s="4">
        <v>4</v>
      </c>
      <c r="BY173" s="4">
        <v>1</v>
      </c>
      <c r="BZ173" s="4">
        <v>4</v>
      </c>
      <c r="CA173" s="4">
        <v>4</v>
      </c>
      <c r="CB173" s="17">
        <v>4</v>
      </c>
      <c r="CC173" s="4">
        <v>4</v>
      </c>
      <c r="CD173" s="4">
        <v>4</v>
      </c>
      <c r="CE173" s="4">
        <v>1</v>
      </c>
      <c r="CF173" s="57">
        <v>4</v>
      </c>
      <c r="CG173" s="57">
        <v>4</v>
      </c>
      <c r="CH173" s="4">
        <v>4</v>
      </c>
      <c r="CI173" s="4">
        <v>4</v>
      </c>
      <c r="CJ173" s="4">
        <v>4</v>
      </c>
      <c r="CK173" s="17">
        <v>4</v>
      </c>
      <c r="CL173" s="17">
        <v>4</v>
      </c>
      <c r="CM173" s="17">
        <v>4</v>
      </c>
      <c r="CN173" s="57">
        <v>4</v>
      </c>
      <c r="CO173" s="17">
        <v>4</v>
      </c>
      <c r="CP173" s="17">
        <v>4</v>
      </c>
      <c r="CQ173" s="57">
        <v>4</v>
      </c>
      <c r="CR173" s="17">
        <v>4</v>
      </c>
      <c r="CS173" s="17">
        <v>4</v>
      </c>
      <c r="CT173" s="4">
        <v>4</v>
      </c>
      <c r="CU173" s="4">
        <v>4</v>
      </c>
      <c r="CV173" s="4">
        <v>4</v>
      </c>
      <c r="CW173" s="4">
        <v>1</v>
      </c>
      <c r="CX173" s="4">
        <v>4</v>
      </c>
      <c r="CY173" s="4">
        <v>4</v>
      </c>
      <c r="CZ173" s="4">
        <v>1</v>
      </c>
      <c r="DA173" s="17">
        <v>4</v>
      </c>
      <c r="DB173" s="1">
        <v>4</v>
      </c>
      <c r="DC173" s="4">
        <v>4</v>
      </c>
      <c r="DD173" s="4">
        <v>1</v>
      </c>
      <c r="DE173" s="17">
        <v>4</v>
      </c>
      <c r="DF173" s="57">
        <v>4</v>
      </c>
      <c r="DG173" s="4">
        <v>4</v>
      </c>
      <c r="DH173" s="4">
        <v>1</v>
      </c>
      <c r="DI173" s="18">
        <v>4</v>
      </c>
      <c r="DJ173" s="18">
        <v>4</v>
      </c>
      <c r="DK173" s="4">
        <v>1</v>
      </c>
      <c r="DL173" s="4">
        <v>4</v>
      </c>
      <c r="DM173" s="4">
        <v>4</v>
      </c>
      <c r="DN173" s="4">
        <v>1</v>
      </c>
      <c r="DO173" s="18">
        <v>4</v>
      </c>
      <c r="DP173" s="18">
        <v>4</v>
      </c>
      <c r="DQ173" s="4">
        <v>2</v>
      </c>
      <c r="DR173" s="4">
        <v>4</v>
      </c>
      <c r="DS173" s="4">
        <v>4</v>
      </c>
      <c r="DT173" s="4">
        <v>4</v>
      </c>
    </row>
    <row r="174" spans="1:124" x14ac:dyDescent="0.2">
      <c r="A174" t="s">
        <v>386</v>
      </c>
      <c r="B174" s="1" t="s">
        <v>387</v>
      </c>
      <c r="C174" s="1" t="s">
        <v>387</v>
      </c>
      <c r="E174" s="4">
        <v>1</v>
      </c>
      <c r="F174" s="1">
        <v>4</v>
      </c>
      <c r="G174" s="4">
        <v>4</v>
      </c>
      <c r="H174" s="4">
        <v>4</v>
      </c>
      <c r="I174" s="4">
        <v>1</v>
      </c>
      <c r="J174" s="4">
        <v>4</v>
      </c>
      <c r="K174" s="4">
        <v>4</v>
      </c>
      <c r="L174" s="17">
        <v>4</v>
      </c>
      <c r="M174" s="17">
        <v>4</v>
      </c>
      <c r="N174" s="4">
        <v>1</v>
      </c>
      <c r="O174" s="4">
        <v>4</v>
      </c>
      <c r="P174" s="4">
        <v>4</v>
      </c>
      <c r="Q174" s="4">
        <v>4</v>
      </c>
      <c r="R174" s="4">
        <v>4</v>
      </c>
      <c r="S174" s="4">
        <v>4</v>
      </c>
      <c r="T174" s="4">
        <v>4</v>
      </c>
      <c r="U174" s="4">
        <v>1</v>
      </c>
      <c r="V174" s="57">
        <v>4</v>
      </c>
      <c r="W174" s="1">
        <v>4</v>
      </c>
      <c r="X174" s="1">
        <v>4</v>
      </c>
      <c r="Y174" s="4">
        <v>1</v>
      </c>
      <c r="Z174" s="4">
        <v>4</v>
      </c>
      <c r="AA174" s="4">
        <v>4</v>
      </c>
      <c r="AB174" s="4">
        <v>4</v>
      </c>
      <c r="AC174" s="57">
        <v>4</v>
      </c>
      <c r="AD174" s="4">
        <v>4</v>
      </c>
      <c r="AE174" s="4">
        <v>4</v>
      </c>
      <c r="AF174" s="4">
        <v>4</v>
      </c>
      <c r="AG174" s="4">
        <v>4</v>
      </c>
      <c r="AH174" s="4">
        <v>4</v>
      </c>
      <c r="AI174" s="4">
        <v>4</v>
      </c>
      <c r="AJ174" s="4">
        <v>4</v>
      </c>
      <c r="AK174" s="4">
        <v>4</v>
      </c>
      <c r="AL174" s="4">
        <v>4</v>
      </c>
      <c r="AM174" s="4">
        <v>4</v>
      </c>
      <c r="AN174" s="4">
        <v>4</v>
      </c>
      <c r="AO174" s="17">
        <v>4</v>
      </c>
      <c r="AP174" s="17">
        <v>4</v>
      </c>
      <c r="AQ174" s="17">
        <v>4</v>
      </c>
      <c r="AR174" s="17">
        <v>4</v>
      </c>
      <c r="AS174" s="17">
        <v>4</v>
      </c>
      <c r="AT174" s="17">
        <v>4</v>
      </c>
      <c r="AU174" s="17">
        <v>4</v>
      </c>
      <c r="AV174" s="57">
        <v>4</v>
      </c>
      <c r="AW174" s="17">
        <v>4</v>
      </c>
      <c r="AX174" s="17">
        <v>4</v>
      </c>
      <c r="AY174" s="4">
        <v>4</v>
      </c>
      <c r="AZ174" s="4">
        <v>4</v>
      </c>
      <c r="BA174" s="57">
        <v>4</v>
      </c>
      <c r="BB174" s="57">
        <v>4</v>
      </c>
      <c r="BC174" s="4">
        <v>4</v>
      </c>
      <c r="BD174" s="4">
        <v>4</v>
      </c>
      <c r="BE174" s="4">
        <v>1</v>
      </c>
      <c r="BF174" s="4">
        <v>4</v>
      </c>
      <c r="BG174" s="4">
        <v>4</v>
      </c>
      <c r="BH174" s="4">
        <v>4</v>
      </c>
      <c r="BI174" s="4">
        <v>4</v>
      </c>
      <c r="BJ174" s="4">
        <v>4</v>
      </c>
      <c r="BK174" s="4">
        <v>4</v>
      </c>
      <c r="BL174" s="4">
        <v>4</v>
      </c>
      <c r="BM174" s="4">
        <v>4</v>
      </c>
      <c r="BN174" s="4">
        <v>4</v>
      </c>
      <c r="BO174" s="4">
        <v>4</v>
      </c>
      <c r="BP174" s="4">
        <v>4</v>
      </c>
      <c r="BQ174" s="4">
        <v>4</v>
      </c>
      <c r="BR174" s="4">
        <v>4</v>
      </c>
      <c r="BS174" s="4">
        <v>4</v>
      </c>
      <c r="BT174" s="4">
        <v>4</v>
      </c>
      <c r="BU174" s="4">
        <v>4</v>
      </c>
      <c r="BV174" s="4">
        <v>4</v>
      </c>
      <c r="BW174" s="4">
        <v>4</v>
      </c>
      <c r="BX174" s="4">
        <v>4</v>
      </c>
      <c r="BY174" s="4">
        <v>1</v>
      </c>
      <c r="BZ174" s="4">
        <v>4</v>
      </c>
      <c r="CA174" s="4">
        <v>4</v>
      </c>
      <c r="CB174" s="17">
        <v>4</v>
      </c>
      <c r="CC174" s="4">
        <v>4</v>
      </c>
      <c r="CD174" s="4">
        <v>4</v>
      </c>
      <c r="CE174" s="4">
        <v>2</v>
      </c>
      <c r="CF174" s="57">
        <v>4</v>
      </c>
      <c r="CG174" s="57">
        <v>4</v>
      </c>
      <c r="CH174" s="4">
        <v>4</v>
      </c>
      <c r="CI174" s="4">
        <v>4</v>
      </c>
      <c r="CJ174" s="4">
        <v>4</v>
      </c>
      <c r="CK174" s="17">
        <v>4</v>
      </c>
      <c r="CL174" s="17">
        <v>4</v>
      </c>
      <c r="CM174" s="17">
        <v>4</v>
      </c>
      <c r="CN174" s="57">
        <v>4</v>
      </c>
      <c r="CO174" s="17">
        <v>4</v>
      </c>
      <c r="CP174" s="17">
        <v>4</v>
      </c>
      <c r="CQ174" s="57">
        <v>4</v>
      </c>
      <c r="CR174" s="17">
        <v>4</v>
      </c>
      <c r="CS174" s="17">
        <v>4</v>
      </c>
      <c r="CT174" s="4">
        <v>4</v>
      </c>
      <c r="CU174" s="4">
        <v>4</v>
      </c>
      <c r="CV174" s="4">
        <v>4</v>
      </c>
      <c r="CW174" s="4">
        <v>1</v>
      </c>
      <c r="CX174" s="4">
        <v>4</v>
      </c>
      <c r="CY174" s="4">
        <v>4</v>
      </c>
      <c r="CZ174" s="4">
        <v>1</v>
      </c>
      <c r="DA174" s="17">
        <v>4</v>
      </c>
      <c r="DB174" s="1">
        <v>4</v>
      </c>
      <c r="DC174" s="4">
        <v>4</v>
      </c>
      <c r="DD174" s="4">
        <v>1</v>
      </c>
      <c r="DE174" s="17">
        <v>4</v>
      </c>
      <c r="DF174" s="57">
        <v>4</v>
      </c>
      <c r="DG174" s="4">
        <v>4</v>
      </c>
      <c r="DH174" s="4">
        <v>1</v>
      </c>
      <c r="DI174" s="18">
        <v>4</v>
      </c>
      <c r="DJ174" s="18">
        <v>4</v>
      </c>
      <c r="DK174" s="4">
        <v>1</v>
      </c>
      <c r="DL174" s="4">
        <v>4</v>
      </c>
      <c r="DM174" s="4">
        <v>4</v>
      </c>
      <c r="DN174" s="4">
        <v>1</v>
      </c>
      <c r="DO174" s="18">
        <v>4</v>
      </c>
      <c r="DP174" s="18">
        <v>4</v>
      </c>
      <c r="DQ174" s="4">
        <v>2</v>
      </c>
      <c r="DR174" s="4">
        <v>4</v>
      </c>
      <c r="DS174" s="4">
        <v>4</v>
      </c>
      <c r="DT174" s="4">
        <v>4</v>
      </c>
    </row>
    <row r="175" spans="1:124" x14ac:dyDescent="0.2">
      <c r="A175" t="s">
        <v>558</v>
      </c>
      <c r="B175" s="1" t="s">
        <v>387</v>
      </c>
      <c r="C175" s="1" t="s">
        <v>387</v>
      </c>
      <c r="E175" s="4">
        <v>1</v>
      </c>
      <c r="F175" s="1">
        <v>4</v>
      </c>
      <c r="G175" s="4">
        <v>4</v>
      </c>
      <c r="H175" s="4">
        <v>4</v>
      </c>
      <c r="I175" s="4">
        <v>1</v>
      </c>
      <c r="J175" s="4">
        <v>4</v>
      </c>
      <c r="K175" s="4">
        <v>4</v>
      </c>
      <c r="L175" s="17">
        <v>4</v>
      </c>
      <c r="M175" s="17">
        <v>4</v>
      </c>
      <c r="N175" s="4">
        <v>1</v>
      </c>
      <c r="O175" s="4">
        <v>4</v>
      </c>
      <c r="P175" s="4">
        <v>4</v>
      </c>
      <c r="Q175" s="4">
        <v>4</v>
      </c>
      <c r="R175" s="4">
        <v>4</v>
      </c>
      <c r="S175" s="4">
        <v>4</v>
      </c>
      <c r="T175" s="4">
        <v>4</v>
      </c>
      <c r="U175" s="4">
        <v>1</v>
      </c>
      <c r="V175" s="57">
        <v>4</v>
      </c>
      <c r="W175" s="1">
        <v>4</v>
      </c>
      <c r="X175" s="1">
        <v>4</v>
      </c>
      <c r="Y175" s="4">
        <v>1</v>
      </c>
      <c r="Z175" s="4">
        <v>4</v>
      </c>
      <c r="AA175" s="4">
        <v>4</v>
      </c>
      <c r="AB175" s="4">
        <v>4</v>
      </c>
      <c r="AC175" s="57">
        <v>4</v>
      </c>
      <c r="AD175" s="4">
        <v>4</v>
      </c>
      <c r="AE175" s="4">
        <v>4</v>
      </c>
      <c r="AF175" s="4">
        <v>4</v>
      </c>
      <c r="AG175" s="4">
        <v>4</v>
      </c>
      <c r="AH175" s="4">
        <v>4</v>
      </c>
      <c r="AI175" s="4">
        <v>4</v>
      </c>
      <c r="AJ175" s="4">
        <v>4</v>
      </c>
      <c r="AK175" s="4">
        <v>4</v>
      </c>
      <c r="AL175" s="4">
        <v>4</v>
      </c>
      <c r="AM175" s="4">
        <v>4</v>
      </c>
      <c r="AN175" s="4">
        <v>4</v>
      </c>
      <c r="AO175" s="17">
        <v>4</v>
      </c>
      <c r="AP175" s="17">
        <v>4</v>
      </c>
      <c r="AQ175" s="17">
        <v>4</v>
      </c>
      <c r="AR175" s="17">
        <v>4</v>
      </c>
      <c r="AS175" s="17">
        <v>4</v>
      </c>
      <c r="AT175" s="17">
        <v>4</v>
      </c>
      <c r="AU175" s="17">
        <v>4</v>
      </c>
      <c r="AV175" s="57">
        <v>4</v>
      </c>
      <c r="AW175" s="17">
        <v>4</v>
      </c>
      <c r="AX175" s="17">
        <v>4</v>
      </c>
      <c r="AY175" s="4">
        <v>4</v>
      </c>
      <c r="AZ175" s="4">
        <v>4</v>
      </c>
      <c r="BA175" s="57">
        <v>4</v>
      </c>
      <c r="BB175" s="57">
        <v>4</v>
      </c>
      <c r="BC175" s="4">
        <v>4</v>
      </c>
      <c r="BD175" s="4">
        <v>4</v>
      </c>
      <c r="BE175" s="4">
        <v>1</v>
      </c>
      <c r="BF175" s="4">
        <v>4</v>
      </c>
      <c r="BG175" s="4">
        <v>4</v>
      </c>
      <c r="BH175" s="4">
        <v>4</v>
      </c>
      <c r="BI175" s="4">
        <v>4</v>
      </c>
      <c r="BJ175" s="4">
        <v>4</v>
      </c>
      <c r="BK175" s="4">
        <v>4</v>
      </c>
      <c r="BL175" s="4">
        <v>4</v>
      </c>
      <c r="BM175" s="4">
        <v>4</v>
      </c>
      <c r="BN175" s="4">
        <v>4</v>
      </c>
      <c r="BO175" s="4">
        <v>4</v>
      </c>
      <c r="BP175" s="4">
        <v>4</v>
      </c>
      <c r="BQ175" s="4">
        <v>4</v>
      </c>
      <c r="BR175" s="4">
        <v>4</v>
      </c>
      <c r="BS175" s="4">
        <v>4</v>
      </c>
      <c r="BT175" s="4">
        <v>4</v>
      </c>
      <c r="BU175" s="4">
        <v>4</v>
      </c>
      <c r="BV175" s="4">
        <v>4</v>
      </c>
      <c r="BW175" s="4">
        <v>4</v>
      </c>
      <c r="BX175" s="4">
        <v>4</v>
      </c>
      <c r="BY175" s="4">
        <v>1</v>
      </c>
      <c r="BZ175" s="4">
        <v>4</v>
      </c>
      <c r="CA175" s="4">
        <v>4</v>
      </c>
      <c r="CB175" s="17">
        <v>4</v>
      </c>
      <c r="CC175" s="4">
        <v>4</v>
      </c>
      <c r="CD175" s="4">
        <v>4</v>
      </c>
      <c r="CE175" s="4">
        <v>1</v>
      </c>
      <c r="CF175" s="57">
        <v>4</v>
      </c>
      <c r="CG175" s="57">
        <v>4</v>
      </c>
      <c r="CH175" s="4">
        <v>4</v>
      </c>
      <c r="CI175" s="4">
        <v>4</v>
      </c>
      <c r="CJ175" s="4">
        <v>4</v>
      </c>
      <c r="CK175" s="17">
        <v>4</v>
      </c>
      <c r="CL175" s="17">
        <v>4</v>
      </c>
      <c r="CM175" s="17">
        <v>4</v>
      </c>
      <c r="CN175" s="57">
        <v>4</v>
      </c>
      <c r="CO175" s="17">
        <v>4</v>
      </c>
      <c r="CP175" s="17">
        <v>4</v>
      </c>
      <c r="CQ175" s="57">
        <v>4</v>
      </c>
      <c r="CR175" s="17">
        <v>4</v>
      </c>
      <c r="CS175" s="17">
        <v>4</v>
      </c>
      <c r="CT175" s="4">
        <v>4</v>
      </c>
      <c r="CU175" s="4">
        <v>4</v>
      </c>
      <c r="CV175" s="4">
        <v>4</v>
      </c>
      <c r="CW175" s="4">
        <v>1</v>
      </c>
      <c r="CX175" s="4">
        <v>4</v>
      </c>
      <c r="CY175" s="4">
        <v>4</v>
      </c>
      <c r="CZ175" s="4">
        <v>1</v>
      </c>
      <c r="DA175" s="17">
        <v>4</v>
      </c>
      <c r="DB175" s="1">
        <v>4</v>
      </c>
      <c r="DC175" s="4">
        <v>4</v>
      </c>
      <c r="DD175" s="4">
        <v>1</v>
      </c>
      <c r="DE175" s="17">
        <v>4</v>
      </c>
      <c r="DF175" s="57">
        <v>4</v>
      </c>
      <c r="DG175" s="4">
        <v>4</v>
      </c>
      <c r="DH175" s="4">
        <v>1</v>
      </c>
      <c r="DI175" s="18">
        <v>4</v>
      </c>
      <c r="DJ175" s="18">
        <v>4</v>
      </c>
      <c r="DK175" s="4">
        <v>1</v>
      </c>
      <c r="DL175" s="4">
        <v>4</v>
      </c>
      <c r="DM175" s="4">
        <v>4</v>
      </c>
      <c r="DN175" s="4">
        <v>1</v>
      </c>
      <c r="DO175" s="18">
        <v>4</v>
      </c>
      <c r="DP175" s="18">
        <v>4</v>
      </c>
      <c r="DQ175" s="4">
        <v>2</v>
      </c>
      <c r="DR175" s="4">
        <v>4</v>
      </c>
      <c r="DS175" s="4">
        <v>4</v>
      </c>
      <c r="DT175" s="4">
        <v>4</v>
      </c>
    </row>
    <row r="176" spans="1:124" x14ac:dyDescent="0.2">
      <c r="A176" t="s">
        <v>559</v>
      </c>
      <c r="B176" s="1" t="s">
        <v>387</v>
      </c>
      <c r="C176" s="1" t="s">
        <v>387</v>
      </c>
      <c r="E176" s="4">
        <v>1</v>
      </c>
      <c r="F176" s="1">
        <v>4</v>
      </c>
      <c r="G176" s="4">
        <v>4</v>
      </c>
      <c r="H176" s="4">
        <v>4</v>
      </c>
      <c r="I176" s="4">
        <v>1</v>
      </c>
      <c r="J176" s="4">
        <v>4</v>
      </c>
      <c r="K176" s="4">
        <v>4</v>
      </c>
      <c r="L176" s="17">
        <v>4</v>
      </c>
      <c r="M176" s="17">
        <v>4</v>
      </c>
      <c r="N176" s="4">
        <v>1</v>
      </c>
      <c r="O176" s="4">
        <v>4</v>
      </c>
      <c r="P176" s="4">
        <v>4</v>
      </c>
      <c r="Q176" s="4">
        <v>4</v>
      </c>
      <c r="R176" s="4">
        <v>4</v>
      </c>
      <c r="S176" s="4">
        <v>4</v>
      </c>
      <c r="T176" s="4">
        <v>4</v>
      </c>
      <c r="U176" s="4">
        <v>1</v>
      </c>
      <c r="V176" s="57">
        <v>4</v>
      </c>
      <c r="W176" s="1">
        <v>4</v>
      </c>
      <c r="X176" s="1">
        <v>4</v>
      </c>
      <c r="Y176" s="4">
        <v>1</v>
      </c>
      <c r="Z176" s="4">
        <v>4</v>
      </c>
      <c r="AA176" s="4">
        <v>4</v>
      </c>
      <c r="AB176" s="4">
        <v>4</v>
      </c>
      <c r="AC176" s="57">
        <v>4</v>
      </c>
      <c r="AD176" s="4">
        <v>4</v>
      </c>
      <c r="AE176" s="4">
        <v>4</v>
      </c>
      <c r="AF176" s="4">
        <v>4</v>
      </c>
      <c r="AG176" s="4">
        <v>4</v>
      </c>
      <c r="AH176" s="4">
        <v>4</v>
      </c>
      <c r="AI176" s="4">
        <v>4</v>
      </c>
      <c r="AJ176" s="4">
        <v>4</v>
      </c>
      <c r="AK176" s="4">
        <v>4</v>
      </c>
      <c r="AL176" s="4">
        <v>4</v>
      </c>
      <c r="AM176" s="4">
        <v>4</v>
      </c>
      <c r="AN176" s="4">
        <v>4</v>
      </c>
      <c r="AO176" s="17">
        <v>4</v>
      </c>
      <c r="AP176" s="17">
        <v>4</v>
      </c>
      <c r="AQ176" s="17">
        <v>4</v>
      </c>
      <c r="AR176" s="17">
        <v>4</v>
      </c>
      <c r="AS176" s="17">
        <v>4</v>
      </c>
      <c r="AT176" s="17">
        <v>4</v>
      </c>
      <c r="AU176" s="17">
        <v>4</v>
      </c>
      <c r="AV176" s="57">
        <v>4</v>
      </c>
      <c r="AW176" s="17">
        <v>4</v>
      </c>
      <c r="AX176" s="17">
        <v>4</v>
      </c>
      <c r="AY176" s="4">
        <v>4</v>
      </c>
      <c r="AZ176" s="4">
        <v>4</v>
      </c>
      <c r="BA176" s="57">
        <v>4</v>
      </c>
      <c r="BB176" s="57">
        <v>4</v>
      </c>
      <c r="BC176" s="4">
        <v>4</v>
      </c>
      <c r="BD176" s="4">
        <v>4</v>
      </c>
      <c r="BE176" s="4">
        <v>1</v>
      </c>
      <c r="BF176" s="4">
        <v>4</v>
      </c>
      <c r="BG176" s="4">
        <v>4</v>
      </c>
      <c r="BH176" s="4">
        <v>4</v>
      </c>
      <c r="BI176" s="4">
        <v>4</v>
      </c>
      <c r="BJ176" s="4">
        <v>4</v>
      </c>
      <c r="BK176" s="4">
        <v>4</v>
      </c>
      <c r="BL176" s="4">
        <v>4</v>
      </c>
      <c r="BM176" s="4">
        <v>4</v>
      </c>
      <c r="BN176" s="4">
        <v>4</v>
      </c>
      <c r="BO176" s="4">
        <v>4</v>
      </c>
      <c r="BP176" s="4">
        <v>4</v>
      </c>
      <c r="BQ176" s="4">
        <v>4</v>
      </c>
      <c r="BR176" s="4">
        <v>4</v>
      </c>
      <c r="BS176" s="4">
        <v>4</v>
      </c>
      <c r="BT176" s="4">
        <v>4</v>
      </c>
      <c r="BU176" s="4">
        <v>4</v>
      </c>
      <c r="BV176" s="4">
        <v>4</v>
      </c>
      <c r="BW176" s="4">
        <v>4</v>
      </c>
      <c r="BX176" s="4">
        <v>4</v>
      </c>
      <c r="BY176" s="4">
        <v>1</v>
      </c>
      <c r="BZ176" s="4">
        <v>4</v>
      </c>
      <c r="CA176" s="4">
        <v>4</v>
      </c>
      <c r="CB176" s="17">
        <v>4</v>
      </c>
      <c r="CC176" s="4">
        <v>4</v>
      </c>
      <c r="CD176" s="4">
        <v>4</v>
      </c>
      <c r="CE176" s="4">
        <v>2</v>
      </c>
      <c r="CF176" s="57">
        <v>4</v>
      </c>
      <c r="CG176" s="57">
        <v>4</v>
      </c>
      <c r="CH176" s="4">
        <v>4</v>
      </c>
      <c r="CI176" s="4">
        <v>4</v>
      </c>
      <c r="CJ176" s="4">
        <v>4</v>
      </c>
      <c r="CK176" s="17">
        <v>4</v>
      </c>
      <c r="CL176" s="17">
        <v>4</v>
      </c>
      <c r="CM176" s="17">
        <v>4</v>
      </c>
      <c r="CN176" s="57">
        <v>4</v>
      </c>
      <c r="CO176" s="17">
        <v>4</v>
      </c>
      <c r="CP176" s="17">
        <v>4</v>
      </c>
      <c r="CQ176" s="57">
        <v>4</v>
      </c>
      <c r="CR176" s="17">
        <v>4</v>
      </c>
      <c r="CS176" s="17">
        <v>4</v>
      </c>
      <c r="CT176" s="4">
        <v>4</v>
      </c>
      <c r="CU176" s="4">
        <v>4</v>
      </c>
      <c r="CV176" s="4">
        <v>4</v>
      </c>
      <c r="CW176" s="4">
        <v>1</v>
      </c>
      <c r="CX176" s="4">
        <v>4</v>
      </c>
      <c r="CY176" s="4">
        <v>4</v>
      </c>
      <c r="CZ176" s="4">
        <v>1</v>
      </c>
      <c r="DA176" s="17">
        <v>4</v>
      </c>
      <c r="DB176" s="1">
        <v>4</v>
      </c>
      <c r="DC176" s="4">
        <v>4</v>
      </c>
      <c r="DD176" s="4">
        <v>1</v>
      </c>
      <c r="DE176" s="17">
        <v>4</v>
      </c>
      <c r="DF176" s="57">
        <v>4</v>
      </c>
      <c r="DG176" s="4">
        <v>4</v>
      </c>
      <c r="DH176" s="4">
        <v>1</v>
      </c>
      <c r="DI176" s="18">
        <v>4</v>
      </c>
      <c r="DJ176" s="18">
        <v>4</v>
      </c>
      <c r="DK176" s="4">
        <v>1</v>
      </c>
      <c r="DL176" s="4">
        <v>4</v>
      </c>
      <c r="DM176" s="4">
        <v>4</v>
      </c>
      <c r="DN176" s="4">
        <v>1</v>
      </c>
      <c r="DO176" s="18">
        <v>4</v>
      </c>
      <c r="DP176" s="18">
        <v>4</v>
      </c>
      <c r="DQ176" s="4">
        <v>4</v>
      </c>
      <c r="DR176" s="4">
        <v>4</v>
      </c>
      <c r="DS176" s="4">
        <v>4</v>
      </c>
      <c r="DT176" s="4">
        <v>4</v>
      </c>
    </row>
    <row r="177" spans="1:124" x14ac:dyDescent="0.2">
      <c r="A177" t="s">
        <v>470</v>
      </c>
      <c r="B177" s="1" t="s">
        <v>387</v>
      </c>
      <c r="C177" s="1" t="s">
        <v>387</v>
      </c>
      <c r="E177" s="4">
        <v>1</v>
      </c>
      <c r="F177" s="1">
        <v>4</v>
      </c>
      <c r="G177" s="4">
        <v>4</v>
      </c>
      <c r="H177" s="4">
        <v>4</v>
      </c>
      <c r="I177" s="4">
        <v>1</v>
      </c>
      <c r="J177" s="4">
        <v>1</v>
      </c>
      <c r="K177" s="4">
        <v>4</v>
      </c>
      <c r="L177" s="17">
        <v>4</v>
      </c>
      <c r="M177" s="17">
        <v>4</v>
      </c>
      <c r="N177" s="4">
        <v>1</v>
      </c>
      <c r="O177" s="4">
        <v>4</v>
      </c>
      <c r="P177" s="4">
        <v>4</v>
      </c>
      <c r="Q177" s="4">
        <v>4</v>
      </c>
      <c r="R177" s="4">
        <v>4</v>
      </c>
      <c r="S177" s="4">
        <v>4</v>
      </c>
      <c r="T177" s="4">
        <v>4</v>
      </c>
      <c r="U177" s="4">
        <v>1</v>
      </c>
      <c r="V177" s="57">
        <v>4</v>
      </c>
      <c r="W177" s="1">
        <v>4</v>
      </c>
      <c r="X177" s="1">
        <v>4</v>
      </c>
      <c r="Y177" s="4">
        <v>1</v>
      </c>
      <c r="Z177" s="4">
        <v>4</v>
      </c>
      <c r="AA177" s="4">
        <v>4</v>
      </c>
      <c r="AB177" s="4">
        <v>4</v>
      </c>
      <c r="AC177" s="57">
        <v>4</v>
      </c>
      <c r="AD177" s="4">
        <v>4</v>
      </c>
      <c r="AE177" s="4">
        <v>4</v>
      </c>
      <c r="AF177" s="4">
        <v>4</v>
      </c>
      <c r="AG177" s="4">
        <v>4</v>
      </c>
      <c r="AH177" s="4">
        <v>4</v>
      </c>
      <c r="AI177" s="4">
        <v>4</v>
      </c>
      <c r="AJ177" s="4">
        <v>4</v>
      </c>
      <c r="AK177" s="4">
        <v>4</v>
      </c>
      <c r="AL177" s="4">
        <v>4</v>
      </c>
      <c r="AM177" s="4">
        <v>4</v>
      </c>
      <c r="AN177" s="4">
        <v>4</v>
      </c>
      <c r="AO177" s="17">
        <v>4</v>
      </c>
      <c r="AP177" s="17">
        <v>4</v>
      </c>
      <c r="AQ177" s="17">
        <v>4</v>
      </c>
      <c r="AR177" s="17">
        <v>4</v>
      </c>
      <c r="AS177" s="17">
        <v>4</v>
      </c>
      <c r="AT177" s="17">
        <v>4</v>
      </c>
      <c r="AU177" s="17">
        <v>4</v>
      </c>
      <c r="AV177" s="57">
        <v>4</v>
      </c>
      <c r="AW177" s="17">
        <v>4</v>
      </c>
      <c r="AX177" s="17">
        <v>4</v>
      </c>
      <c r="AY177" s="4">
        <v>4</v>
      </c>
      <c r="AZ177" s="4">
        <v>4</v>
      </c>
      <c r="BA177" s="57">
        <v>4</v>
      </c>
      <c r="BB177" s="57">
        <v>4</v>
      </c>
      <c r="BC177" s="4">
        <v>4</v>
      </c>
      <c r="BD177" s="4">
        <v>4</v>
      </c>
      <c r="BE177" s="4">
        <v>1</v>
      </c>
      <c r="BF177" s="4">
        <v>4</v>
      </c>
      <c r="BG177" s="4">
        <v>4</v>
      </c>
      <c r="BH177" s="4">
        <v>4</v>
      </c>
      <c r="BI177" s="4">
        <v>4</v>
      </c>
      <c r="BJ177" s="4">
        <v>4</v>
      </c>
      <c r="BK177" s="4">
        <v>4</v>
      </c>
      <c r="BL177" s="4">
        <v>4</v>
      </c>
      <c r="BM177" s="4">
        <v>4</v>
      </c>
      <c r="BN177" s="4">
        <v>4</v>
      </c>
      <c r="BO177" s="4">
        <v>4</v>
      </c>
      <c r="BP177" s="4">
        <v>4</v>
      </c>
      <c r="BQ177" s="4">
        <v>4</v>
      </c>
      <c r="BR177" s="4">
        <v>4</v>
      </c>
      <c r="BS177" s="4">
        <v>4</v>
      </c>
      <c r="BT177" s="4">
        <v>4</v>
      </c>
      <c r="BU177" s="4">
        <v>4</v>
      </c>
      <c r="BV177" s="4">
        <v>4</v>
      </c>
      <c r="BW177" s="4">
        <v>4</v>
      </c>
      <c r="BX177" s="4">
        <v>4</v>
      </c>
      <c r="BY177" s="4">
        <v>1</v>
      </c>
      <c r="BZ177" s="18">
        <v>4</v>
      </c>
      <c r="CA177" s="4">
        <v>1</v>
      </c>
      <c r="CB177" s="17">
        <v>4</v>
      </c>
      <c r="CC177" s="4">
        <v>4</v>
      </c>
      <c r="CD177" s="4">
        <v>4</v>
      </c>
      <c r="CE177" s="4">
        <v>4</v>
      </c>
      <c r="CF177" s="57">
        <v>4</v>
      </c>
      <c r="CG177" s="57">
        <v>4</v>
      </c>
      <c r="CH177" s="4">
        <v>4</v>
      </c>
      <c r="CI177" s="4">
        <v>4</v>
      </c>
      <c r="CJ177" s="4">
        <v>4</v>
      </c>
      <c r="CK177" s="17">
        <v>4</v>
      </c>
      <c r="CL177" s="17">
        <v>4</v>
      </c>
      <c r="CM177" s="17">
        <v>4</v>
      </c>
      <c r="CN177" s="57">
        <v>4</v>
      </c>
      <c r="CO177" s="17">
        <v>4</v>
      </c>
      <c r="CP177" s="17">
        <v>4</v>
      </c>
      <c r="CQ177" s="57">
        <v>4</v>
      </c>
      <c r="CR177" s="17">
        <v>4</v>
      </c>
      <c r="CS177" s="17">
        <v>4</v>
      </c>
      <c r="CT177" s="4">
        <v>4</v>
      </c>
      <c r="CU177" s="4">
        <v>4</v>
      </c>
      <c r="CV177" s="4">
        <v>4</v>
      </c>
      <c r="CW177" s="4">
        <v>1</v>
      </c>
      <c r="CX177" s="4">
        <v>4</v>
      </c>
      <c r="CY177" s="4">
        <v>4</v>
      </c>
      <c r="CZ177" s="4">
        <v>1</v>
      </c>
      <c r="DA177" s="17">
        <v>4</v>
      </c>
      <c r="DB177" s="1">
        <v>4</v>
      </c>
      <c r="DC177" s="4">
        <v>4</v>
      </c>
      <c r="DD177" s="4">
        <v>1</v>
      </c>
      <c r="DE177" s="17">
        <v>4</v>
      </c>
      <c r="DF177" s="57">
        <v>4</v>
      </c>
      <c r="DG177" s="4">
        <v>4</v>
      </c>
      <c r="DH177" s="4">
        <v>1</v>
      </c>
      <c r="DI177" s="18">
        <v>4</v>
      </c>
      <c r="DJ177" s="18">
        <v>4</v>
      </c>
      <c r="DK177" s="4">
        <v>1</v>
      </c>
      <c r="DL177" s="4">
        <v>4</v>
      </c>
      <c r="DM177" s="4">
        <v>4</v>
      </c>
      <c r="DN177" s="4">
        <v>1</v>
      </c>
      <c r="DO177" s="18">
        <v>4</v>
      </c>
      <c r="DP177" s="18">
        <v>4</v>
      </c>
      <c r="DQ177" s="4">
        <v>1</v>
      </c>
      <c r="DR177" s="4">
        <v>4</v>
      </c>
      <c r="DS177" s="4">
        <v>4</v>
      </c>
      <c r="DT177" s="4">
        <v>4</v>
      </c>
    </row>
    <row r="178" spans="1:124" x14ac:dyDescent="0.2">
      <c r="A178" t="s">
        <v>471</v>
      </c>
      <c r="B178" s="1" t="s">
        <v>387</v>
      </c>
      <c r="C178" s="1" t="s">
        <v>387</v>
      </c>
      <c r="E178" s="4">
        <v>1</v>
      </c>
      <c r="F178" s="1">
        <v>4</v>
      </c>
      <c r="G178" s="4">
        <v>4</v>
      </c>
      <c r="H178" s="4">
        <v>4</v>
      </c>
      <c r="I178" s="4">
        <v>1</v>
      </c>
      <c r="J178" s="4">
        <v>1</v>
      </c>
      <c r="K178" s="4">
        <v>4</v>
      </c>
      <c r="L178" s="17">
        <v>4</v>
      </c>
      <c r="M178" s="17">
        <v>4</v>
      </c>
      <c r="N178" s="4">
        <v>1</v>
      </c>
      <c r="O178" s="4">
        <v>4</v>
      </c>
      <c r="P178" s="4">
        <v>4</v>
      </c>
      <c r="Q178" s="4">
        <v>4</v>
      </c>
      <c r="R178" s="4">
        <v>4</v>
      </c>
      <c r="S178" s="4">
        <v>4</v>
      </c>
      <c r="T178" s="4">
        <v>4</v>
      </c>
      <c r="U178" s="4">
        <v>1</v>
      </c>
      <c r="V178" s="57">
        <v>4</v>
      </c>
      <c r="W178" s="1">
        <v>4</v>
      </c>
      <c r="X178" s="1">
        <v>4</v>
      </c>
      <c r="Y178" s="4">
        <v>1</v>
      </c>
      <c r="Z178" s="4">
        <v>4</v>
      </c>
      <c r="AA178" s="4">
        <v>4</v>
      </c>
      <c r="AB178" s="4">
        <v>4</v>
      </c>
      <c r="AC178" s="57">
        <v>4</v>
      </c>
      <c r="AD178" s="4">
        <v>4</v>
      </c>
      <c r="AE178" s="4">
        <v>4</v>
      </c>
      <c r="AF178" s="4">
        <v>4</v>
      </c>
      <c r="AG178" s="4">
        <v>4</v>
      </c>
      <c r="AH178" s="4">
        <v>4</v>
      </c>
      <c r="AI178" s="4">
        <v>4</v>
      </c>
      <c r="AJ178" s="4">
        <v>4</v>
      </c>
      <c r="AK178" s="4">
        <v>4</v>
      </c>
      <c r="AL178" s="4">
        <v>4</v>
      </c>
      <c r="AM178" s="4">
        <v>4</v>
      </c>
      <c r="AN178" s="4">
        <v>4</v>
      </c>
      <c r="AO178" s="17">
        <v>4</v>
      </c>
      <c r="AP178" s="17">
        <v>4</v>
      </c>
      <c r="AQ178" s="17">
        <v>4</v>
      </c>
      <c r="AR178" s="17">
        <v>4</v>
      </c>
      <c r="AS178" s="17">
        <v>4</v>
      </c>
      <c r="AT178" s="17">
        <v>4</v>
      </c>
      <c r="AU178" s="17">
        <v>4</v>
      </c>
      <c r="AV178" s="57">
        <v>4</v>
      </c>
      <c r="AW178" s="17">
        <v>4</v>
      </c>
      <c r="AX178" s="17">
        <v>4</v>
      </c>
      <c r="AY178" s="4">
        <v>4</v>
      </c>
      <c r="AZ178" s="4">
        <v>4</v>
      </c>
      <c r="BA178" s="57">
        <v>4</v>
      </c>
      <c r="BB178" s="57">
        <v>4</v>
      </c>
      <c r="BC178" s="4">
        <v>4</v>
      </c>
      <c r="BD178" s="4">
        <v>4</v>
      </c>
      <c r="BE178" s="4">
        <v>1</v>
      </c>
      <c r="BF178" s="4">
        <v>4</v>
      </c>
      <c r="BG178" s="4">
        <v>4</v>
      </c>
      <c r="BH178" s="4">
        <v>4</v>
      </c>
      <c r="BI178" s="4">
        <v>4</v>
      </c>
      <c r="BJ178" s="4">
        <v>4</v>
      </c>
      <c r="BK178" s="4">
        <v>4</v>
      </c>
      <c r="BL178" s="4">
        <v>4</v>
      </c>
      <c r="BM178" s="4">
        <v>4</v>
      </c>
      <c r="BN178" s="4">
        <v>4</v>
      </c>
      <c r="BO178" s="4">
        <v>4</v>
      </c>
      <c r="BP178" s="4">
        <v>4</v>
      </c>
      <c r="BQ178" s="4">
        <v>4</v>
      </c>
      <c r="BR178" s="4">
        <v>4</v>
      </c>
      <c r="BS178" s="4">
        <v>4</v>
      </c>
      <c r="BT178" s="4">
        <v>4</v>
      </c>
      <c r="BU178" s="4">
        <v>4</v>
      </c>
      <c r="BV178" s="4">
        <v>4</v>
      </c>
      <c r="BW178" s="4">
        <v>4</v>
      </c>
      <c r="BX178" s="4">
        <v>4</v>
      </c>
      <c r="BY178" s="4">
        <v>1</v>
      </c>
      <c r="BZ178" s="18">
        <v>4</v>
      </c>
      <c r="CA178" s="4">
        <v>1</v>
      </c>
      <c r="CB178" s="17">
        <v>4</v>
      </c>
      <c r="CC178" s="4">
        <v>4</v>
      </c>
      <c r="CD178" s="4">
        <v>4</v>
      </c>
      <c r="CE178" s="4">
        <v>4</v>
      </c>
      <c r="CF178" s="57">
        <v>4</v>
      </c>
      <c r="CG178" s="57">
        <v>4</v>
      </c>
      <c r="CH178" s="4">
        <v>4</v>
      </c>
      <c r="CI178" s="4">
        <v>4</v>
      </c>
      <c r="CJ178" s="4">
        <v>4</v>
      </c>
      <c r="CK178" s="17">
        <v>4</v>
      </c>
      <c r="CL178" s="17">
        <v>4</v>
      </c>
      <c r="CM178" s="17">
        <v>4</v>
      </c>
      <c r="CN178" s="57">
        <v>4</v>
      </c>
      <c r="CO178" s="17">
        <v>4</v>
      </c>
      <c r="CP178" s="17">
        <v>4</v>
      </c>
      <c r="CQ178" s="57">
        <v>4</v>
      </c>
      <c r="CR178" s="17">
        <v>4</v>
      </c>
      <c r="CS178" s="17">
        <v>4</v>
      </c>
      <c r="CT178" s="4">
        <v>4</v>
      </c>
      <c r="CU178" s="4">
        <v>4</v>
      </c>
      <c r="CV178" s="4">
        <v>4</v>
      </c>
      <c r="CW178" s="4">
        <v>1</v>
      </c>
      <c r="CX178" s="4">
        <v>4</v>
      </c>
      <c r="CY178" s="4">
        <v>4</v>
      </c>
      <c r="CZ178" s="4">
        <v>1</v>
      </c>
      <c r="DA178" s="17">
        <v>4</v>
      </c>
      <c r="DB178" s="1">
        <v>4</v>
      </c>
      <c r="DC178" s="4">
        <v>4</v>
      </c>
      <c r="DD178" s="4">
        <v>1</v>
      </c>
      <c r="DE178" s="17">
        <v>4</v>
      </c>
      <c r="DF178" s="57">
        <v>4</v>
      </c>
      <c r="DG178" s="4">
        <v>4</v>
      </c>
      <c r="DH178" s="4">
        <v>1</v>
      </c>
      <c r="DI178" s="18">
        <v>4</v>
      </c>
      <c r="DJ178" s="18">
        <v>4</v>
      </c>
      <c r="DK178" s="4">
        <v>1</v>
      </c>
      <c r="DL178" s="4">
        <v>4</v>
      </c>
      <c r="DM178" s="4">
        <v>4</v>
      </c>
      <c r="DN178" s="4">
        <v>1</v>
      </c>
      <c r="DO178" s="18">
        <v>4</v>
      </c>
      <c r="DP178" s="18">
        <v>4</v>
      </c>
      <c r="DQ178" s="4">
        <v>1</v>
      </c>
      <c r="DR178" s="4">
        <v>4</v>
      </c>
      <c r="DS178" s="4">
        <v>4</v>
      </c>
      <c r="DT178" s="4">
        <v>4</v>
      </c>
    </row>
    <row r="179" spans="1:124" x14ac:dyDescent="0.2">
      <c r="A179" t="s">
        <v>472</v>
      </c>
      <c r="B179" s="1" t="s">
        <v>387</v>
      </c>
      <c r="C179" s="1" t="s">
        <v>387</v>
      </c>
      <c r="E179" s="4">
        <v>1</v>
      </c>
      <c r="F179" s="1">
        <v>4</v>
      </c>
      <c r="G179" s="4">
        <v>4</v>
      </c>
      <c r="H179" s="4">
        <v>4</v>
      </c>
      <c r="I179" s="4">
        <v>1</v>
      </c>
      <c r="J179" s="4">
        <v>1</v>
      </c>
      <c r="K179" s="4">
        <v>4</v>
      </c>
      <c r="L179" s="17">
        <v>4</v>
      </c>
      <c r="M179" s="17">
        <v>4</v>
      </c>
      <c r="N179" s="4">
        <v>1</v>
      </c>
      <c r="O179" s="4">
        <v>4</v>
      </c>
      <c r="P179" s="4">
        <v>4</v>
      </c>
      <c r="Q179" s="4">
        <v>4</v>
      </c>
      <c r="R179" s="4">
        <v>4</v>
      </c>
      <c r="S179" s="4">
        <v>4</v>
      </c>
      <c r="T179" s="4">
        <v>4</v>
      </c>
      <c r="U179" s="4">
        <v>1</v>
      </c>
      <c r="V179" s="57">
        <v>4</v>
      </c>
      <c r="W179" s="1">
        <v>4</v>
      </c>
      <c r="X179" s="1">
        <v>4</v>
      </c>
      <c r="Y179" s="4">
        <v>1</v>
      </c>
      <c r="Z179" s="4">
        <v>4</v>
      </c>
      <c r="AA179" s="4">
        <v>4</v>
      </c>
      <c r="AB179" s="4">
        <v>4</v>
      </c>
      <c r="AC179" s="57">
        <v>4</v>
      </c>
      <c r="AD179" s="4">
        <v>4</v>
      </c>
      <c r="AE179" s="4">
        <v>4</v>
      </c>
      <c r="AF179" s="4">
        <v>4</v>
      </c>
      <c r="AG179" s="4">
        <v>4</v>
      </c>
      <c r="AH179" s="4">
        <v>4</v>
      </c>
      <c r="AI179" s="4">
        <v>4</v>
      </c>
      <c r="AJ179" s="4">
        <v>4</v>
      </c>
      <c r="AK179" s="4">
        <v>4</v>
      </c>
      <c r="AL179" s="4">
        <v>4</v>
      </c>
      <c r="AM179" s="4">
        <v>4</v>
      </c>
      <c r="AN179" s="4">
        <v>4</v>
      </c>
      <c r="AO179" s="17">
        <v>4</v>
      </c>
      <c r="AP179" s="17">
        <v>4</v>
      </c>
      <c r="AQ179" s="17">
        <v>4</v>
      </c>
      <c r="AR179" s="17">
        <v>4</v>
      </c>
      <c r="AS179" s="17">
        <v>4</v>
      </c>
      <c r="AT179" s="17">
        <v>4</v>
      </c>
      <c r="AU179" s="17">
        <v>4</v>
      </c>
      <c r="AV179" s="57">
        <v>4</v>
      </c>
      <c r="AW179" s="17">
        <v>4</v>
      </c>
      <c r="AX179" s="17">
        <v>4</v>
      </c>
      <c r="AY179" s="4">
        <v>4</v>
      </c>
      <c r="AZ179" s="4">
        <v>4</v>
      </c>
      <c r="BA179" s="57">
        <v>4</v>
      </c>
      <c r="BB179" s="57">
        <v>4</v>
      </c>
      <c r="BC179" s="4">
        <v>4</v>
      </c>
      <c r="BD179" s="4">
        <v>4</v>
      </c>
      <c r="BE179" s="4">
        <v>1</v>
      </c>
      <c r="BF179" s="4">
        <v>4</v>
      </c>
      <c r="BG179" s="4">
        <v>4</v>
      </c>
      <c r="BH179" s="4">
        <v>4</v>
      </c>
      <c r="BI179" s="4">
        <v>4</v>
      </c>
      <c r="BJ179" s="4">
        <v>4</v>
      </c>
      <c r="BK179" s="4">
        <v>4</v>
      </c>
      <c r="BL179" s="4">
        <v>4</v>
      </c>
      <c r="BM179" s="4">
        <v>4</v>
      </c>
      <c r="BN179" s="4">
        <v>4</v>
      </c>
      <c r="BO179" s="4">
        <v>4</v>
      </c>
      <c r="BP179" s="4">
        <v>4</v>
      </c>
      <c r="BQ179" s="4">
        <v>4</v>
      </c>
      <c r="BR179" s="4">
        <v>4</v>
      </c>
      <c r="BS179" s="4">
        <v>4</v>
      </c>
      <c r="BT179" s="4">
        <v>4</v>
      </c>
      <c r="BU179" s="4">
        <v>4</v>
      </c>
      <c r="BV179" s="4">
        <v>4</v>
      </c>
      <c r="BW179" s="4">
        <v>4</v>
      </c>
      <c r="BX179" s="4">
        <v>4</v>
      </c>
      <c r="BY179" s="4">
        <v>1</v>
      </c>
      <c r="BZ179" s="18">
        <v>4</v>
      </c>
      <c r="CA179" s="4">
        <v>1</v>
      </c>
      <c r="CB179" s="17">
        <v>4</v>
      </c>
      <c r="CC179" s="4">
        <v>4</v>
      </c>
      <c r="CD179" s="4">
        <v>4</v>
      </c>
      <c r="CE179" s="4">
        <v>4</v>
      </c>
      <c r="CF179" s="57">
        <v>4</v>
      </c>
      <c r="CG179" s="57">
        <v>4</v>
      </c>
      <c r="CH179" s="4">
        <v>4</v>
      </c>
      <c r="CI179" s="4">
        <v>4</v>
      </c>
      <c r="CJ179" s="4">
        <v>4</v>
      </c>
      <c r="CK179" s="17">
        <v>4</v>
      </c>
      <c r="CL179" s="17">
        <v>4</v>
      </c>
      <c r="CM179" s="17">
        <v>4</v>
      </c>
      <c r="CN179" s="57">
        <v>4</v>
      </c>
      <c r="CO179" s="17">
        <v>4</v>
      </c>
      <c r="CP179" s="17">
        <v>4</v>
      </c>
      <c r="CQ179" s="57">
        <v>4</v>
      </c>
      <c r="CR179" s="17">
        <v>4</v>
      </c>
      <c r="CS179" s="17">
        <v>4</v>
      </c>
      <c r="CT179" s="4">
        <v>4</v>
      </c>
      <c r="CU179" s="4">
        <v>4</v>
      </c>
      <c r="CV179" s="4">
        <v>4</v>
      </c>
      <c r="CW179" s="4">
        <v>1</v>
      </c>
      <c r="CX179" s="4">
        <v>4</v>
      </c>
      <c r="CY179" s="4">
        <v>4</v>
      </c>
      <c r="CZ179" s="4">
        <v>1</v>
      </c>
      <c r="DA179" s="17">
        <v>4</v>
      </c>
      <c r="DB179" s="1">
        <v>4</v>
      </c>
      <c r="DC179" s="4">
        <v>4</v>
      </c>
      <c r="DD179" s="4">
        <v>1</v>
      </c>
      <c r="DE179" s="17">
        <v>4</v>
      </c>
      <c r="DF179" s="57">
        <v>4</v>
      </c>
      <c r="DG179" s="4">
        <v>4</v>
      </c>
      <c r="DH179" s="4">
        <v>1</v>
      </c>
      <c r="DI179" s="18">
        <v>4</v>
      </c>
      <c r="DJ179" s="18">
        <v>4</v>
      </c>
      <c r="DK179" s="4">
        <v>1</v>
      </c>
      <c r="DL179" s="4">
        <v>4</v>
      </c>
      <c r="DM179" s="4">
        <v>4</v>
      </c>
      <c r="DN179" s="4">
        <v>1</v>
      </c>
      <c r="DO179" s="18">
        <v>4</v>
      </c>
      <c r="DP179" s="18">
        <v>4</v>
      </c>
      <c r="DQ179" s="4">
        <v>1</v>
      </c>
      <c r="DR179" s="4">
        <v>4</v>
      </c>
      <c r="DS179" s="4">
        <v>4</v>
      </c>
      <c r="DT179" s="4">
        <v>4</v>
      </c>
    </row>
    <row r="180" spans="1:124" x14ac:dyDescent="0.2">
      <c r="A180" t="s">
        <v>473</v>
      </c>
      <c r="B180" s="1" t="s">
        <v>387</v>
      </c>
      <c r="C180" s="1" t="s">
        <v>387</v>
      </c>
      <c r="E180" s="4">
        <v>1</v>
      </c>
      <c r="F180" s="1">
        <v>4</v>
      </c>
      <c r="G180" s="4">
        <v>4</v>
      </c>
      <c r="H180" s="4">
        <v>4</v>
      </c>
      <c r="I180" s="4">
        <v>1</v>
      </c>
      <c r="J180" s="4">
        <v>1</v>
      </c>
      <c r="K180" s="4">
        <v>4</v>
      </c>
      <c r="L180" s="17">
        <v>4</v>
      </c>
      <c r="M180" s="17">
        <v>4</v>
      </c>
      <c r="N180" s="4">
        <v>1</v>
      </c>
      <c r="O180" s="4">
        <v>4</v>
      </c>
      <c r="P180" s="4">
        <v>4</v>
      </c>
      <c r="Q180" s="4">
        <v>4</v>
      </c>
      <c r="R180" s="4">
        <v>4</v>
      </c>
      <c r="S180" s="4">
        <v>4</v>
      </c>
      <c r="T180" s="4">
        <v>4</v>
      </c>
      <c r="U180" s="4">
        <v>1</v>
      </c>
      <c r="V180" s="57">
        <v>4</v>
      </c>
      <c r="W180" s="1">
        <v>4</v>
      </c>
      <c r="X180" s="1">
        <v>4</v>
      </c>
      <c r="Y180" s="4">
        <v>1</v>
      </c>
      <c r="Z180" s="4">
        <v>4</v>
      </c>
      <c r="AA180" s="4">
        <v>4</v>
      </c>
      <c r="AB180" s="4">
        <v>4</v>
      </c>
      <c r="AC180" s="57">
        <v>4</v>
      </c>
      <c r="AD180" s="4">
        <v>4</v>
      </c>
      <c r="AE180" s="4">
        <v>4</v>
      </c>
      <c r="AF180" s="4">
        <v>4</v>
      </c>
      <c r="AG180" s="4">
        <v>4</v>
      </c>
      <c r="AH180" s="4">
        <v>4</v>
      </c>
      <c r="AI180" s="4">
        <v>4</v>
      </c>
      <c r="AJ180" s="4">
        <v>4</v>
      </c>
      <c r="AK180" s="4">
        <v>4</v>
      </c>
      <c r="AL180" s="4">
        <v>4</v>
      </c>
      <c r="AM180" s="4">
        <v>4</v>
      </c>
      <c r="AN180" s="4">
        <v>4</v>
      </c>
      <c r="AO180" s="17">
        <v>4</v>
      </c>
      <c r="AP180" s="17">
        <v>4</v>
      </c>
      <c r="AQ180" s="17">
        <v>4</v>
      </c>
      <c r="AR180" s="17">
        <v>4</v>
      </c>
      <c r="AS180" s="17">
        <v>4</v>
      </c>
      <c r="AT180" s="17">
        <v>4</v>
      </c>
      <c r="AU180" s="17">
        <v>4</v>
      </c>
      <c r="AV180" s="57">
        <v>4</v>
      </c>
      <c r="AW180" s="17">
        <v>4</v>
      </c>
      <c r="AX180" s="17">
        <v>4</v>
      </c>
      <c r="AY180" s="4">
        <v>4</v>
      </c>
      <c r="AZ180" s="4">
        <v>4</v>
      </c>
      <c r="BA180" s="57">
        <v>4</v>
      </c>
      <c r="BB180" s="57">
        <v>4</v>
      </c>
      <c r="BC180" s="4">
        <v>4</v>
      </c>
      <c r="BD180" s="4">
        <v>4</v>
      </c>
      <c r="BE180" s="4">
        <v>1</v>
      </c>
      <c r="BF180" s="4">
        <v>4</v>
      </c>
      <c r="BG180" s="4">
        <v>4</v>
      </c>
      <c r="BH180" s="4">
        <v>4</v>
      </c>
      <c r="BI180" s="4">
        <v>4</v>
      </c>
      <c r="BJ180" s="4">
        <v>4</v>
      </c>
      <c r="BK180" s="4">
        <v>4</v>
      </c>
      <c r="BL180" s="4">
        <v>4</v>
      </c>
      <c r="BM180" s="4">
        <v>4</v>
      </c>
      <c r="BN180" s="4">
        <v>4</v>
      </c>
      <c r="BO180" s="4">
        <v>4</v>
      </c>
      <c r="BP180" s="4">
        <v>4</v>
      </c>
      <c r="BQ180" s="4">
        <v>4</v>
      </c>
      <c r="BR180" s="4">
        <v>4</v>
      </c>
      <c r="BS180" s="4">
        <v>4</v>
      </c>
      <c r="BT180" s="4">
        <v>4</v>
      </c>
      <c r="BU180" s="4">
        <v>4</v>
      </c>
      <c r="BV180" s="4">
        <v>4</v>
      </c>
      <c r="BW180" s="4">
        <v>4</v>
      </c>
      <c r="BX180" s="4">
        <v>4</v>
      </c>
      <c r="BY180" s="4">
        <v>1</v>
      </c>
      <c r="BZ180" s="18">
        <v>4</v>
      </c>
      <c r="CA180" s="4">
        <v>1</v>
      </c>
      <c r="CB180" s="17">
        <v>4</v>
      </c>
      <c r="CC180" s="4">
        <v>4</v>
      </c>
      <c r="CD180" s="4">
        <v>4</v>
      </c>
      <c r="CE180" s="4">
        <v>4</v>
      </c>
      <c r="CF180" s="57">
        <v>4</v>
      </c>
      <c r="CG180" s="57">
        <v>4</v>
      </c>
      <c r="CH180" s="4">
        <v>4</v>
      </c>
      <c r="CI180" s="4">
        <v>4</v>
      </c>
      <c r="CJ180" s="4">
        <v>4</v>
      </c>
      <c r="CK180" s="17">
        <v>4</v>
      </c>
      <c r="CL180" s="17">
        <v>4</v>
      </c>
      <c r="CM180" s="17">
        <v>4</v>
      </c>
      <c r="CN180" s="57">
        <v>4</v>
      </c>
      <c r="CO180" s="17">
        <v>4</v>
      </c>
      <c r="CP180" s="17">
        <v>4</v>
      </c>
      <c r="CQ180" s="57">
        <v>4</v>
      </c>
      <c r="CR180" s="17">
        <v>4</v>
      </c>
      <c r="CS180" s="17">
        <v>4</v>
      </c>
      <c r="CT180" s="4">
        <v>4</v>
      </c>
      <c r="CU180" s="4">
        <v>4</v>
      </c>
      <c r="CV180" s="4">
        <v>4</v>
      </c>
      <c r="CW180" s="4">
        <v>1</v>
      </c>
      <c r="CX180" s="4">
        <v>4</v>
      </c>
      <c r="CY180" s="4">
        <v>4</v>
      </c>
      <c r="CZ180" s="4">
        <v>1</v>
      </c>
      <c r="DA180" s="17">
        <v>4</v>
      </c>
      <c r="DB180" s="1">
        <v>4</v>
      </c>
      <c r="DC180" s="4">
        <v>4</v>
      </c>
      <c r="DD180" s="4">
        <v>1</v>
      </c>
      <c r="DE180" s="17">
        <v>4</v>
      </c>
      <c r="DF180" s="57">
        <v>4</v>
      </c>
      <c r="DG180" s="4">
        <v>4</v>
      </c>
      <c r="DH180" s="4">
        <v>1</v>
      </c>
      <c r="DI180" s="18">
        <v>4</v>
      </c>
      <c r="DJ180" s="18">
        <v>4</v>
      </c>
      <c r="DK180" s="4">
        <v>1</v>
      </c>
      <c r="DL180" s="4">
        <v>4</v>
      </c>
      <c r="DM180" s="4">
        <v>4</v>
      </c>
      <c r="DN180" s="4">
        <v>1</v>
      </c>
      <c r="DO180" s="18">
        <v>4</v>
      </c>
      <c r="DP180" s="18">
        <v>4</v>
      </c>
      <c r="DQ180" s="4">
        <v>1</v>
      </c>
      <c r="DR180" s="4">
        <v>4</v>
      </c>
      <c r="DS180" s="4">
        <v>4</v>
      </c>
      <c r="DT180" s="4">
        <v>4</v>
      </c>
    </row>
    <row r="181" spans="1:124" x14ac:dyDescent="0.2">
      <c r="A181" t="s">
        <v>474</v>
      </c>
      <c r="B181" s="1" t="s">
        <v>387</v>
      </c>
      <c r="C181" s="1" t="s">
        <v>387</v>
      </c>
      <c r="E181" s="4">
        <v>1</v>
      </c>
      <c r="F181" s="1">
        <v>4</v>
      </c>
      <c r="G181" s="4">
        <v>4</v>
      </c>
      <c r="H181" s="4">
        <v>4</v>
      </c>
      <c r="I181" s="4">
        <v>1</v>
      </c>
      <c r="J181" s="4">
        <v>1</v>
      </c>
      <c r="K181" s="4">
        <v>4</v>
      </c>
      <c r="L181" s="17">
        <v>4</v>
      </c>
      <c r="M181" s="17">
        <v>4</v>
      </c>
      <c r="N181" s="4">
        <v>1</v>
      </c>
      <c r="O181" s="4">
        <v>4</v>
      </c>
      <c r="P181" s="4">
        <v>4</v>
      </c>
      <c r="Q181" s="4">
        <v>4</v>
      </c>
      <c r="R181" s="4">
        <v>4</v>
      </c>
      <c r="S181" s="4">
        <v>4</v>
      </c>
      <c r="T181" s="4">
        <v>4</v>
      </c>
      <c r="U181" s="4">
        <v>1</v>
      </c>
      <c r="V181" s="57">
        <v>4</v>
      </c>
      <c r="W181" s="1">
        <v>4</v>
      </c>
      <c r="X181" s="1">
        <v>4</v>
      </c>
      <c r="Y181" s="4">
        <v>1</v>
      </c>
      <c r="Z181" s="4">
        <v>4</v>
      </c>
      <c r="AA181" s="4">
        <v>4</v>
      </c>
      <c r="AB181" s="4">
        <v>4</v>
      </c>
      <c r="AC181" s="57">
        <v>4</v>
      </c>
      <c r="AD181" s="4">
        <v>4</v>
      </c>
      <c r="AE181" s="4">
        <v>4</v>
      </c>
      <c r="AF181" s="4">
        <v>4</v>
      </c>
      <c r="AG181" s="4">
        <v>4</v>
      </c>
      <c r="AH181" s="4">
        <v>4</v>
      </c>
      <c r="AI181" s="4">
        <v>4</v>
      </c>
      <c r="AJ181" s="4">
        <v>4</v>
      </c>
      <c r="AK181" s="4">
        <v>4</v>
      </c>
      <c r="AL181" s="4">
        <v>4</v>
      </c>
      <c r="AM181" s="4">
        <v>4</v>
      </c>
      <c r="AN181" s="4">
        <v>4</v>
      </c>
      <c r="AO181" s="17">
        <v>4</v>
      </c>
      <c r="AP181" s="17">
        <v>4</v>
      </c>
      <c r="AQ181" s="17">
        <v>4</v>
      </c>
      <c r="AR181" s="17">
        <v>4</v>
      </c>
      <c r="AS181" s="17">
        <v>4</v>
      </c>
      <c r="AT181" s="17">
        <v>4</v>
      </c>
      <c r="AU181" s="17">
        <v>4</v>
      </c>
      <c r="AV181" s="57">
        <v>4</v>
      </c>
      <c r="AW181" s="17">
        <v>4</v>
      </c>
      <c r="AX181" s="17">
        <v>4</v>
      </c>
      <c r="AY181" s="4">
        <v>4</v>
      </c>
      <c r="AZ181" s="4">
        <v>4</v>
      </c>
      <c r="BA181" s="57">
        <v>4</v>
      </c>
      <c r="BB181" s="57">
        <v>4</v>
      </c>
      <c r="BC181" s="4">
        <v>4</v>
      </c>
      <c r="BD181" s="4">
        <v>4</v>
      </c>
      <c r="BE181" s="4">
        <v>1</v>
      </c>
      <c r="BF181" s="4">
        <v>4</v>
      </c>
      <c r="BG181" s="4">
        <v>4</v>
      </c>
      <c r="BH181" s="4">
        <v>4</v>
      </c>
      <c r="BI181" s="4">
        <v>4</v>
      </c>
      <c r="BJ181" s="4">
        <v>4</v>
      </c>
      <c r="BK181" s="4">
        <v>4</v>
      </c>
      <c r="BL181" s="4">
        <v>4</v>
      </c>
      <c r="BM181" s="4">
        <v>4</v>
      </c>
      <c r="BN181" s="4">
        <v>4</v>
      </c>
      <c r="BO181" s="4">
        <v>4</v>
      </c>
      <c r="BP181" s="4">
        <v>4</v>
      </c>
      <c r="BQ181" s="4">
        <v>4</v>
      </c>
      <c r="BR181" s="4">
        <v>4</v>
      </c>
      <c r="BS181" s="4">
        <v>4</v>
      </c>
      <c r="BT181" s="4">
        <v>4</v>
      </c>
      <c r="BU181" s="4">
        <v>4</v>
      </c>
      <c r="BV181" s="4">
        <v>4</v>
      </c>
      <c r="BW181" s="4">
        <v>4</v>
      </c>
      <c r="BX181" s="4">
        <v>4</v>
      </c>
      <c r="BY181" s="4">
        <v>1</v>
      </c>
      <c r="BZ181" s="18">
        <v>4</v>
      </c>
      <c r="CA181" s="4">
        <v>1</v>
      </c>
      <c r="CB181" s="17">
        <v>4</v>
      </c>
      <c r="CC181" s="4">
        <v>4</v>
      </c>
      <c r="CD181" s="4">
        <v>4</v>
      </c>
      <c r="CE181" s="4">
        <v>4</v>
      </c>
      <c r="CF181" s="57">
        <v>4</v>
      </c>
      <c r="CG181" s="57">
        <v>4</v>
      </c>
      <c r="CH181" s="4">
        <v>4</v>
      </c>
      <c r="CI181" s="4">
        <v>4</v>
      </c>
      <c r="CJ181" s="4">
        <v>4</v>
      </c>
      <c r="CK181" s="17">
        <v>4</v>
      </c>
      <c r="CL181" s="17">
        <v>4</v>
      </c>
      <c r="CM181" s="17">
        <v>4</v>
      </c>
      <c r="CN181" s="57">
        <v>4</v>
      </c>
      <c r="CO181" s="17">
        <v>4</v>
      </c>
      <c r="CP181" s="17">
        <v>4</v>
      </c>
      <c r="CQ181" s="57">
        <v>4</v>
      </c>
      <c r="CR181" s="17">
        <v>4</v>
      </c>
      <c r="CS181" s="17">
        <v>4</v>
      </c>
      <c r="CT181" s="4">
        <v>4</v>
      </c>
      <c r="CU181" s="4">
        <v>4</v>
      </c>
      <c r="CV181" s="4">
        <v>4</v>
      </c>
      <c r="CW181" s="4">
        <v>1</v>
      </c>
      <c r="CX181" s="4">
        <v>4</v>
      </c>
      <c r="CY181" s="4">
        <v>4</v>
      </c>
      <c r="CZ181" s="4">
        <v>1</v>
      </c>
      <c r="DA181" s="17">
        <v>4</v>
      </c>
      <c r="DB181" s="1">
        <v>4</v>
      </c>
      <c r="DC181" s="4">
        <v>4</v>
      </c>
      <c r="DD181" s="4">
        <v>1</v>
      </c>
      <c r="DE181" s="17">
        <v>4</v>
      </c>
      <c r="DF181" s="57">
        <v>4</v>
      </c>
      <c r="DG181" s="4">
        <v>4</v>
      </c>
      <c r="DH181" s="4">
        <v>1</v>
      </c>
      <c r="DI181" s="18">
        <v>4</v>
      </c>
      <c r="DJ181" s="18">
        <v>4</v>
      </c>
      <c r="DK181" s="4">
        <v>1</v>
      </c>
      <c r="DL181" s="4">
        <v>4</v>
      </c>
      <c r="DM181" s="4">
        <v>4</v>
      </c>
      <c r="DN181" s="4">
        <v>1</v>
      </c>
      <c r="DO181" s="18">
        <v>4</v>
      </c>
      <c r="DP181" s="18">
        <v>4</v>
      </c>
      <c r="DQ181" s="4">
        <v>1</v>
      </c>
      <c r="DR181" s="4">
        <v>4</v>
      </c>
      <c r="DS181" s="4">
        <v>4</v>
      </c>
      <c r="DT181" s="4">
        <v>4</v>
      </c>
    </row>
    <row r="182" spans="1:124" x14ac:dyDescent="0.2">
      <c r="A182" t="s">
        <v>475</v>
      </c>
      <c r="B182" s="1" t="s">
        <v>387</v>
      </c>
      <c r="C182" s="1" t="s">
        <v>387</v>
      </c>
      <c r="E182" s="4">
        <v>1</v>
      </c>
      <c r="F182" s="1">
        <v>4</v>
      </c>
      <c r="G182" s="4">
        <v>4</v>
      </c>
      <c r="H182" s="4">
        <v>4</v>
      </c>
      <c r="I182" s="4">
        <v>1</v>
      </c>
      <c r="J182" s="4">
        <v>1</v>
      </c>
      <c r="K182" s="4">
        <v>4</v>
      </c>
      <c r="L182" s="17">
        <v>4</v>
      </c>
      <c r="M182" s="17">
        <v>4</v>
      </c>
      <c r="N182" s="4">
        <v>1</v>
      </c>
      <c r="O182" s="4">
        <v>4</v>
      </c>
      <c r="P182" s="4">
        <v>4</v>
      </c>
      <c r="Q182" s="4">
        <v>4</v>
      </c>
      <c r="R182" s="4">
        <v>4</v>
      </c>
      <c r="S182" s="4">
        <v>4</v>
      </c>
      <c r="T182" s="4">
        <v>4</v>
      </c>
      <c r="U182" s="4">
        <v>1</v>
      </c>
      <c r="V182" s="57">
        <v>4</v>
      </c>
      <c r="W182" s="1">
        <v>4</v>
      </c>
      <c r="X182" s="1">
        <v>4</v>
      </c>
      <c r="Y182" s="4">
        <v>1</v>
      </c>
      <c r="Z182" s="4">
        <v>4</v>
      </c>
      <c r="AA182" s="4">
        <v>4</v>
      </c>
      <c r="AB182" s="4">
        <v>4</v>
      </c>
      <c r="AC182" s="57">
        <v>4</v>
      </c>
      <c r="AD182" s="4">
        <v>4</v>
      </c>
      <c r="AE182" s="4">
        <v>4</v>
      </c>
      <c r="AF182" s="4">
        <v>4</v>
      </c>
      <c r="AG182" s="4">
        <v>4</v>
      </c>
      <c r="AH182" s="4">
        <v>4</v>
      </c>
      <c r="AI182" s="4">
        <v>4</v>
      </c>
      <c r="AJ182" s="4">
        <v>4</v>
      </c>
      <c r="AK182" s="4">
        <v>4</v>
      </c>
      <c r="AL182" s="4">
        <v>4</v>
      </c>
      <c r="AM182" s="4">
        <v>4</v>
      </c>
      <c r="AN182" s="4">
        <v>4</v>
      </c>
      <c r="AO182" s="17">
        <v>4</v>
      </c>
      <c r="AP182" s="17">
        <v>4</v>
      </c>
      <c r="AQ182" s="17">
        <v>4</v>
      </c>
      <c r="AR182" s="17">
        <v>4</v>
      </c>
      <c r="AS182" s="17">
        <v>4</v>
      </c>
      <c r="AT182" s="17">
        <v>4</v>
      </c>
      <c r="AU182" s="17">
        <v>4</v>
      </c>
      <c r="AV182" s="57">
        <v>4</v>
      </c>
      <c r="AW182" s="17">
        <v>4</v>
      </c>
      <c r="AX182" s="17">
        <v>4</v>
      </c>
      <c r="AY182" s="4">
        <v>4</v>
      </c>
      <c r="AZ182" s="4">
        <v>4</v>
      </c>
      <c r="BA182" s="57">
        <v>4</v>
      </c>
      <c r="BB182" s="57">
        <v>4</v>
      </c>
      <c r="BC182" s="4">
        <v>4</v>
      </c>
      <c r="BD182" s="4">
        <v>4</v>
      </c>
      <c r="BE182" s="4">
        <v>1</v>
      </c>
      <c r="BF182" s="4">
        <v>4</v>
      </c>
      <c r="BG182" s="4">
        <v>4</v>
      </c>
      <c r="BH182" s="4">
        <v>4</v>
      </c>
      <c r="BI182" s="4">
        <v>4</v>
      </c>
      <c r="BJ182" s="4">
        <v>4</v>
      </c>
      <c r="BK182" s="4">
        <v>4</v>
      </c>
      <c r="BL182" s="4">
        <v>4</v>
      </c>
      <c r="BM182" s="4">
        <v>4</v>
      </c>
      <c r="BN182" s="4">
        <v>4</v>
      </c>
      <c r="BO182" s="4">
        <v>4</v>
      </c>
      <c r="BP182" s="4">
        <v>4</v>
      </c>
      <c r="BQ182" s="4">
        <v>4</v>
      </c>
      <c r="BR182" s="4">
        <v>4</v>
      </c>
      <c r="BS182" s="4">
        <v>4</v>
      </c>
      <c r="BT182" s="4">
        <v>4</v>
      </c>
      <c r="BU182" s="4">
        <v>4</v>
      </c>
      <c r="BV182" s="4">
        <v>4</v>
      </c>
      <c r="BW182" s="4">
        <v>4</v>
      </c>
      <c r="BX182" s="4">
        <v>4</v>
      </c>
      <c r="BY182" s="4">
        <v>1</v>
      </c>
      <c r="BZ182" s="18">
        <v>4</v>
      </c>
      <c r="CA182" s="4">
        <v>1</v>
      </c>
      <c r="CB182" s="17">
        <v>4</v>
      </c>
      <c r="CC182" s="4">
        <v>4</v>
      </c>
      <c r="CD182" s="4">
        <v>4</v>
      </c>
      <c r="CE182" s="4">
        <v>4</v>
      </c>
      <c r="CF182" s="57">
        <v>4</v>
      </c>
      <c r="CG182" s="57">
        <v>4</v>
      </c>
      <c r="CH182" s="4">
        <v>4</v>
      </c>
      <c r="CI182" s="4">
        <v>4</v>
      </c>
      <c r="CJ182" s="4">
        <v>4</v>
      </c>
      <c r="CK182" s="17">
        <v>4</v>
      </c>
      <c r="CL182" s="17">
        <v>4</v>
      </c>
      <c r="CM182" s="17">
        <v>4</v>
      </c>
      <c r="CN182" s="57">
        <v>4</v>
      </c>
      <c r="CO182" s="17">
        <v>4</v>
      </c>
      <c r="CP182" s="17">
        <v>4</v>
      </c>
      <c r="CQ182" s="57">
        <v>4</v>
      </c>
      <c r="CR182" s="17">
        <v>4</v>
      </c>
      <c r="CS182" s="17">
        <v>4</v>
      </c>
      <c r="CT182" s="4">
        <v>4</v>
      </c>
      <c r="CU182" s="4">
        <v>4</v>
      </c>
      <c r="CV182" s="4">
        <v>4</v>
      </c>
      <c r="CW182" s="4">
        <v>1</v>
      </c>
      <c r="CX182" s="4">
        <v>4</v>
      </c>
      <c r="CY182" s="4">
        <v>4</v>
      </c>
      <c r="CZ182" s="4">
        <v>1</v>
      </c>
      <c r="DA182" s="17">
        <v>4</v>
      </c>
      <c r="DB182" s="1">
        <v>4</v>
      </c>
      <c r="DC182" s="4">
        <v>4</v>
      </c>
      <c r="DD182" s="4">
        <v>1</v>
      </c>
      <c r="DE182" s="17">
        <v>4</v>
      </c>
      <c r="DF182" s="57">
        <v>4</v>
      </c>
      <c r="DG182" s="4">
        <v>4</v>
      </c>
      <c r="DH182" s="4">
        <v>1</v>
      </c>
      <c r="DI182" s="18">
        <v>4</v>
      </c>
      <c r="DJ182" s="18">
        <v>4</v>
      </c>
      <c r="DK182" s="4">
        <v>1</v>
      </c>
      <c r="DL182" s="4">
        <v>4</v>
      </c>
      <c r="DM182" s="4">
        <v>4</v>
      </c>
      <c r="DN182" s="4">
        <v>1</v>
      </c>
      <c r="DO182" s="18">
        <v>4</v>
      </c>
      <c r="DP182" s="18">
        <v>4</v>
      </c>
      <c r="DQ182" s="4">
        <v>1</v>
      </c>
      <c r="DR182" s="4">
        <v>4</v>
      </c>
      <c r="DS182" s="4">
        <v>4</v>
      </c>
      <c r="DT182" s="4">
        <v>4</v>
      </c>
    </row>
    <row r="183" spans="1:124" x14ac:dyDescent="0.2">
      <c r="A183" t="s">
        <v>476</v>
      </c>
      <c r="B183" s="1" t="s">
        <v>387</v>
      </c>
      <c r="C183" s="1" t="s">
        <v>387</v>
      </c>
      <c r="E183" s="4">
        <v>1</v>
      </c>
      <c r="F183" s="1">
        <v>4</v>
      </c>
      <c r="G183" s="4">
        <v>4</v>
      </c>
      <c r="H183" s="4">
        <v>4</v>
      </c>
      <c r="I183" s="4">
        <v>1</v>
      </c>
      <c r="J183" s="4">
        <v>1</v>
      </c>
      <c r="K183" s="4">
        <v>4</v>
      </c>
      <c r="L183" s="17">
        <v>4</v>
      </c>
      <c r="M183" s="17">
        <v>4</v>
      </c>
      <c r="N183" s="4">
        <v>1</v>
      </c>
      <c r="O183" s="4">
        <v>4</v>
      </c>
      <c r="P183" s="4">
        <v>4</v>
      </c>
      <c r="Q183" s="4">
        <v>4</v>
      </c>
      <c r="R183" s="4">
        <v>4</v>
      </c>
      <c r="S183" s="4">
        <v>4</v>
      </c>
      <c r="T183" s="4">
        <v>4</v>
      </c>
      <c r="U183" s="4">
        <v>1</v>
      </c>
      <c r="V183" s="57">
        <v>4</v>
      </c>
      <c r="W183" s="1">
        <v>4</v>
      </c>
      <c r="X183" s="1">
        <v>4</v>
      </c>
      <c r="Y183" s="4">
        <v>1</v>
      </c>
      <c r="Z183" s="4">
        <v>4</v>
      </c>
      <c r="AA183" s="4">
        <v>4</v>
      </c>
      <c r="AB183" s="4">
        <v>4</v>
      </c>
      <c r="AC183" s="57">
        <v>4</v>
      </c>
      <c r="AD183" s="4">
        <v>4</v>
      </c>
      <c r="AE183" s="4">
        <v>4</v>
      </c>
      <c r="AF183" s="4">
        <v>4</v>
      </c>
      <c r="AG183" s="4">
        <v>4</v>
      </c>
      <c r="AH183" s="4">
        <v>4</v>
      </c>
      <c r="AI183" s="4">
        <v>4</v>
      </c>
      <c r="AJ183" s="4">
        <v>4</v>
      </c>
      <c r="AK183" s="4">
        <v>4</v>
      </c>
      <c r="AL183" s="4">
        <v>4</v>
      </c>
      <c r="AM183" s="4">
        <v>4</v>
      </c>
      <c r="AN183" s="4">
        <v>4</v>
      </c>
      <c r="AO183" s="17">
        <v>4</v>
      </c>
      <c r="AP183" s="17">
        <v>4</v>
      </c>
      <c r="AQ183" s="17">
        <v>4</v>
      </c>
      <c r="AR183" s="17">
        <v>4</v>
      </c>
      <c r="AS183" s="17">
        <v>4</v>
      </c>
      <c r="AT183" s="17">
        <v>4</v>
      </c>
      <c r="AU183" s="17">
        <v>4</v>
      </c>
      <c r="AV183" s="57">
        <v>4</v>
      </c>
      <c r="AW183" s="17">
        <v>4</v>
      </c>
      <c r="AX183" s="17">
        <v>4</v>
      </c>
      <c r="AY183" s="4">
        <v>4</v>
      </c>
      <c r="AZ183" s="4">
        <v>4</v>
      </c>
      <c r="BA183" s="57">
        <v>4</v>
      </c>
      <c r="BB183" s="57">
        <v>4</v>
      </c>
      <c r="BC183" s="4">
        <v>4</v>
      </c>
      <c r="BD183" s="4">
        <v>4</v>
      </c>
      <c r="BE183" s="4">
        <v>1</v>
      </c>
      <c r="BF183" s="4">
        <v>4</v>
      </c>
      <c r="BG183" s="4">
        <v>4</v>
      </c>
      <c r="BH183" s="4">
        <v>4</v>
      </c>
      <c r="BI183" s="4">
        <v>4</v>
      </c>
      <c r="BJ183" s="4">
        <v>4</v>
      </c>
      <c r="BK183" s="4">
        <v>4</v>
      </c>
      <c r="BL183" s="4">
        <v>4</v>
      </c>
      <c r="BM183" s="4">
        <v>4</v>
      </c>
      <c r="BN183" s="4">
        <v>4</v>
      </c>
      <c r="BO183" s="4">
        <v>4</v>
      </c>
      <c r="BP183" s="4">
        <v>4</v>
      </c>
      <c r="BQ183" s="4">
        <v>4</v>
      </c>
      <c r="BR183" s="4">
        <v>4</v>
      </c>
      <c r="BS183" s="4">
        <v>4</v>
      </c>
      <c r="BT183" s="4">
        <v>4</v>
      </c>
      <c r="BU183" s="4">
        <v>4</v>
      </c>
      <c r="BV183" s="4">
        <v>4</v>
      </c>
      <c r="BW183" s="4">
        <v>4</v>
      </c>
      <c r="BX183" s="4">
        <v>4</v>
      </c>
      <c r="BY183" s="4">
        <v>1</v>
      </c>
      <c r="BZ183" s="18">
        <v>4</v>
      </c>
      <c r="CA183" s="4">
        <v>1</v>
      </c>
      <c r="CB183" s="17">
        <v>4</v>
      </c>
      <c r="CC183" s="4">
        <v>4</v>
      </c>
      <c r="CD183" s="4">
        <v>4</v>
      </c>
      <c r="CE183" s="4">
        <v>4</v>
      </c>
      <c r="CF183" s="57">
        <v>4</v>
      </c>
      <c r="CG183" s="57">
        <v>4</v>
      </c>
      <c r="CH183" s="4">
        <v>4</v>
      </c>
      <c r="CI183" s="4">
        <v>4</v>
      </c>
      <c r="CJ183" s="4">
        <v>4</v>
      </c>
      <c r="CK183" s="17">
        <v>4</v>
      </c>
      <c r="CL183" s="17">
        <v>4</v>
      </c>
      <c r="CM183" s="17">
        <v>4</v>
      </c>
      <c r="CN183" s="57">
        <v>4</v>
      </c>
      <c r="CO183" s="17">
        <v>4</v>
      </c>
      <c r="CP183" s="17">
        <v>4</v>
      </c>
      <c r="CQ183" s="57">
        <v>4</v>
      </c>
      <c r="CR183" s="17">
        <v>4</v>
      </c>
      <c r="CS183" s="17">
        <v>4</v>
      </c>
      <c r="CT183" s="4">
        <v>4</v>
      </c>
      <c r="CU183" s="4">
        <v>4</v>
      </c>
      <c r="CV183" s="4">
        <v>4</v>
      </c>
      <c r="CW183" s="4">
        <v>1</v>
      </c>
      <c r="CX183" s="4">
        <v>4</v>
      </c>
      <c r="CY183" s="4">
        <v>4</v>
      </c>
      <c r="CZ183" s="4">
        <v>1</v>
      </c>
      <c r="DA183" s="17">
        <v>4</v>
      </c>
      <c r="DB183" s="1">
        <v>4</v>
      </c>
      <c r="DC183" s="4">
        <v>4</v>
      </c>
      <c r="DD183" s="4">
        <v>1</v>
      </c>
      <c r="DE183" s="17">
        <v>4</v>
      </c>
      <c r="DF183" s="57">
        <v>4</v>
      </c>
      <c r="DG183" s="4">
        <v>4</v>
      </c>
      <c r="DH183" s="4">
        <v>1</v>
      </c>
      <c r="DI183" s="18">
        <v>4</v>
      </c>
      <c r="DJ183" s="18">
        <v>4</v>
      </c>
      <c r="DK183" s="4">
        <v>1</v>
      </c>
      <c r="DL183" s="4">
        <v>4</v>
      </c>
      <c r="DM183" s="4">
        <v>4</v>
      </c>
      <c r="DN183" s="4">
        <v>1</v>
      </c>
      <c r="DO183" s="18">
        <v>4</v>
      </c>
      <c r="DP183" s="18">
        <v>4</v>
      </c>
      <c r="DQ183" s="4">
        <v>1</v>
      </c>
      <c r="DR183" s="4">
        <v>4</v>
      </c>
      <c r="DS183" s="4">
        <v>4</v>
      </c>
      <c r="DT183" s="4">
        <v>4</v>
      </c>
    </row>
    <row r="184" spans="1:124" x14ac:dyDescent="0.2">
      <c r="A184" t="s">
        <v>477</v>
      </c>
      <c r="B184" s="1" t="s">
        <v>387</v>
      </c>
      <c r="C184" s="1" t="s">
        <v>387</v>
      </c>
      <c r="E184" s="4">
        <v>1</v>
      </c>
      <c r="F184" s="1">
        <v>4</v>
      </c>
      <c r="G184" s="4">
        <v>4</v>
      </c>
      <c r="H184" s="4">
        <v>4</v>
      </c>
      <c r="I184" s="4">
        <v>1</v>
      </c>
      <c r="J184" s="4">
        <v>1</v>
      </c>
      <c r="K184" s="4">
        <v>4</v>
      </c>
      <c r="L184" s="17">
        <v>4</v>
      </c>
      <c r="M184" s="17">
        <v>4</v>
      </c>
      <c r="N184" s="4">
        <v>1</v>
      </c>
      <c r="O184" s="4">
        <v>4</v>
      </c>
      <c r="P184" s="4">
        <v>4</v>
      </c>
      <c r="Q184" s="4">
        <v>4</v>
      </c>
      <c r="R184" s="4">
        <v>4</v>
      </c>
      <c r="S184" s="4">
        <v>4</v>
      </c>
      <c r="T184" s="4">
        <v>4</v>
      </c>
      <c r="U184" s="4">
        <v>1</v>
      </c>
      <c r="V184" s="57">
        <v>4</v>
      </c>
      <c r="W184" s="1">
        <v>4</v>
      </c>
      <c r="X184" s="1">
        <v>4</v>
      </c>
      <c r="Y184" s="4">
        <v>1</v>
      </c>
      <c r="Z184" s="4">
        <v>4</v>
      </c>
      <c r="AA184" s="4">
        <v>4</v>
      </c>
      <c r="AB184" s="4">
        <v>4</v>
      </c>
      <c r="AC184" s="57">
        <v>4</v>
      </c>
      <c r="AD184" s="4">
        <v>4</v>
      </c>
      <c r="AE184" s="4">
        <v>4</v>
      </c>
      <c r="AF184" s="4">
        <v>4</v>
      </c>
      <c r="AG184" s="4">
        <v>4</v>
      </c>
      <c r="AH184" s="4">
        <v>4</v>
      </c>
      <c r="AI184" s="4">
        <v>4</v>
      </c>
      <c r="AJ184" s="4">
        <v>4</v>
      </c>
      <c r="AK184" s="4">
        <v>4</v>
      </c>
      <c r="AL184" s="4">
        <v>4</v>
      </c>
      <c r="AM184" s="4">
        <v>4</v>
      </c>
      <c r="AN184" s="4">
        <v>4</v>
      </c>
      <c r="AO184" s="17">
        <v>4</v>
      </c>
      <c r="AP184" s="17">
        <v>4</v>
      </c>
      <c r="AQ184" s="17">
        <v>4</v>
      </c>
      <c r="AR184" s="17">
        <v>4</v>
      </c>
      <c r="AS184" s="17">
        <v>4</v>
      </c>
      <c r="AT184" s="17">
        <v>4</v>
      </c>
      <c r="AU184" s="17">
        <v>4</v>
      </c>
      <c r="AV184" s="57">
        <v>4</v>
      </c>
      <c r="AW184" s="17">
        <v>4</v>
      </c>
      <c r="AX184" s="17">
        <v>4</v>
      </c>
      <c r="AY184" s="4">
        <v>4</v>
      </c>
      <c r="AZ184" s="4">
        <v>4</v>
      </c>
      <c r="BA184" s="57">
        <v>4</v>
      </c>
      <c r="BB184" s="57">
        <v>4</v>
      </c>
      <c r="BC184" s="4">
        <v>4</v>
      </c>
      <c r="BD184" s="4">
        <v>4</v>
      </c>
      <c r="BE184" s="4">
        <v>1</v>
      </c>
      <c r="BF184" s="4">
        <v>4</v>
      </c>
      <c r="BG184" s="4">
        <v>4</v>
      </c>
      <c r="BH184" s="4">
        <v>4</v>
      </c>
      <c r="BI184" s="4">
        <v>4</v>
      </c>
      <c r="BJ184" s="4">
        <v>4</v>
      </c>
      <c r="BK184" s="4">
        <v>4</v>
      </c>
      <c r="BL184" s="4">
        <v>4</v>
      </c>
      <c r="BM184" s="4">
        <v>4</v>
      </c>
      <c r="BN184" s="4">
        <v>4</v>
      </c>
      <c r="BO184" s="4">
        <v>4</v>
      </c>
      <c r="BP184" s="4">
        <v>4</v>
      </c>
      <c r="BQ184" s="4">
        <v>4</v>
      </c>
      <c r="BR184" s="4">
        <v>4</v>
      </c>
      <c r="BS184" s="4">
        <v>4</v>
      </c>
      <c r="BT184" s="4">
        <v>4</v>
      </c>
      <c r="BU184" s="4">
        <v>4</v>
      </c>
      <c r="BV184" s="4">
        <v>4</v>
      </c>
      <c r="BW184" s="4">
        <v>4</v>
      </c>
      <c r="BX184" s="4">
        <v>4</v>
      </c>
      <c r="BY184" s="4">
        <v>1</v>
      </c>
      <c r="BZ184" s="18">
        <v>4</v>
      </c>
      <c r="CA184" s="4">
        <v>1</v>
      </c>
      <c r="CB184" s="17">
        <v>4</v>
      </c>
      <c r="CC184" s="4">
        <v>4</v>
      </c>
      <c r="CD184" s="4">
        <v>4</v>
      </c>
      <c r="CE184" s="4">
        <v>4</v>
      </c>
      <c r="CF184" s="57">
        <v>4</v>
      </c>
      <c r="CG184" s="57">
        <v>4</v>
      </c>
      <c r="CH184" s="4">
        <v>4</v>
      </c>
      <c r="CI184" s="4">
        <v>4</v>
      </c>
      <c r="CJ184" s="4">
        <v>4</v>
      </c>
      <c r="CK184" s="17">
        <v>4</v>
      </c>
      <c r="CL184" s="17">
        <v>4</v>
      </c>
      <c r="CM184" s="17">
        <v>4</v>
      </c>
      <c r="CN184" s="57">
        <v>4</v>
      </c>
      <c r="CO184" s="17">
        <v>4</v>
      </c>
      <c r="CP184" s="17">
        <v>4</v>
      </c>
      <c r="CQ184" s="57">
        <v>4</v>
      </c>
      <c r="CR184" s="17">
        <v>4</v>
      </c>
      <c r="CS184" s="17">
        <v>4</v>
      </c>
      <c r="CT184" s="4">
        <v>4</v>
      </c>
      <c r="CU184" s="4">
        <v>4</v>
      </c>
      <c r="CV184" s="4">
        <v>4</v>
      </c>
      <c r="CW184" s="4">
        <v>1</v>
      </c>
      <c r="CX184" s="4">
        <v>4</v>
      </c>
      <c r="CY184" s="4">
        <v>4</v>
      </c>
      <c r="CZ184" s="4">
        <v>1</v>
      </c>
      <c r="DA184" s="17">
        <v>4</v>
      </c>
      <c r="DB184" s="1">
        <v>4</v>
      </c>
      <c r="DC184" s="4">
        <v>4</v>
      </c>
      <c r="DD184" s="4">
        <v>1</v>
      </c>
      <c r="DE184" s="17">
        <v>4</v>
      </c>
      <c r="DF184" s="57">
        <v>4</v>
      </c>
      <c r="DG184" s="4">
        <v>4</v>
      </c>
      <c r="DH184" s="4">
        <v>1</v>
      </c>
      <c r="DI184" s="18">
        <v>4</v>
      </c>
      <c r="DJ184" s="18">
        <v>4</v>
      </c>
      <c r="DK184" s="4">
        <v>1</v>
      </c>
      <c r="DL184" s="4">
        <v>4</v>
      </c>
      <c r="DM184" s="4">
        <v>4</v>
      </c>
      <c r="DN184" s="4">
        <v>1</v>
      </c>
      <c r="DO184" s="18">
        <v>4</v>
      </c>
      <c r="DP184" s="18">
        <v>4</v>
      </c>
      <c r="DQ184" s="4">
        <v>1</v>
      </c>
      <c r="DR184" s="4">
        <v>4</v>
      </c>
      <c r="DS184" s="4">
        <v>4</v>
      </c>
      <c r="DT184" s="4">
        <v>4</v>
      </c>
    </row>
    <row r="185" spans="1:124" x14ac:dyDescent="0.2">
      <c r="A185" t="s">
        <v>604</v>
      </c>
      <c r="B185" s="1" t="s">
        <v>387</v>
      </c>
      <c r="C185" s="1" t="s">
        <v>387</v>
      </c>
      <c r="E185" s="4">
        <v>1</v>
      </c>
      <c r="F185" s="1">
        <v>4</v>
      </c>
      <c r="G185" s="4">
        <v>4</v>
      </c>
      <c r="H185" s="4">
        <v>4</v>
      </c>
      <c r="I185" s="4">
        <v>1</v>
      </c>
      <c r="J185" s="4">
        <v>1</v>
      </c>
      <c r="K185" s="4">
        <v>4</v>
      </c>
      <c r="L185" s="17">
        <v>4</v>
      </c>
      <c r="M185" s="17">
        <v>4</v>
      </c>
      <c r="N185" s="4">
        <v>1</v>
      </c>
      <c r="O185" s="4">
        <v>4</v>
      </c>
      <c r="P185" s="4">
        <v>4</v>
      </c>
      <c r="Q185" s="4">
        <v>4</v>
      </c>
      <c r="R185" s="4">
        <v>2</v>
      </c>
      <c r="S185" s="4">
        <v>4</v>
      </c>
      <c r="T185" s="4">
        <v>4</v>
      </c>
      <c r="U185" s="4">
        <v>1</v>
      </c>
      <c r="V185" s="57">
        <v>4</v>
      </c>
      <c r="W185" s="1">
        <v>4</v>
      </c>
      <c r="X185" s="1">
        <v>4</v>
      </c>
      <c r="Y185" s="4">
        <v>1</v>
      </c>
      <c r="Z185" s="4">
        <v>4</v>
      </c>
      <c r="AA185" s="4">
        <v>4</v>
      </c>
      <c r="AB185" s="4">
        <v>4</v>
      </c>
      <c r="AC185" s="57">
        <v>4</v>
      </c>
      <c r="AD185" s="4">
        <v>4</v>
      </c>
      <c r="AE185" s="4">
        <v>4</v>
      </c>
      <c r="AF185" s="4">
        <v>4</v>
      </c>
      <c r="AG185" s="4">
        <v>4</v>
      </c>
      <c r="AH185" s="4">
        <v>4</v>
      </c>
      <c r="AI185" s="4">
        <v>4</v>
      </c>
      <c r="AJ185" s="4">
        <v>1</v>
      </c>
      <c r="AK185" s="4">
        <v>4</v>
      </c>
      <c r="AL185" s="4">
        <v>4</v>
      </c>
      <c r="AM185" s="4">
        <v>4</v>
      </c>
      <c r="AN185" s="4">
        <v>4</v>
      </c>
      <c r="AO185" s="4">
        <v>4</v>
      </c>
      <c r="AP185" s="17">
        <v>4</v>
      </c>
      <c r="AQ185" s="17">
        <v>4</v>
      </c>
      <c r="AR185" s="17">
        <v>4</v>
      </c>
      <c r="AS185" s="17">
        <v>4</v>
      </c>
      <c r="AT185" s="17">
        <v>4</v>
      </c>
      <c r="AU185" s="17">
        <v>4</v>
      </c>
      <c r="AV185" s="57">
        <v>4</v>
      </c>
      <c r="AW185" s="17">
        <v>4</v>
      </c>
      <c r="AX185" s="17">
        <v>4</v>
      </c>
      <c r="AY185" s="4">
        <v>4</v>
      </c>
      <c r="AZ185" s="4">
        <v>4</v>
      </c>
      <c r="BA185" s="57">
        <v>4</v>
      </c>
      <c r="BB185" s="57">
        <v>4</v>
      </c>
      <c r="BC185" s="4">
        <v>4</v>
      </c>
      <c r="BD185" s="4">
        <v>4</v>
      </c>
      <c r="BE185" s="4">
        <v>1</v>
      </c>
      <c r="BF185" s="4">
        <v>4</v>
      </c>
      <c r="BG185" s="4">
        <v>4</v>
      </c>
      <c r="BH185" s="4">
        <v>4</v>
      </c>
      <c r="BI185" s="4">
        <v>4</v>
      </c>
      <c r="BJ185" s="4">
        <v>4</v>
      </c>
      <c r="BK185" s="4">
        <v>4</v>
      </c>
      <c r="BL185" s="4">
        <v>4</v>
      </c>
      <c r="BM185" s="4">
        <v>4</v>
      </c>
      <c r="BN185" s="4">
        <v>4</v>
      </c>
      <c r="BO185" s="4">
        <v>4</v>
      </c>
      <c r="BP185" s="4">
        <v>4</v>
      </c>
      <c r="BQ185" s="4">
        <v>4</v>
      </c>
      <c r="BR185" s="4">
        <v>4</v>
      </c>
      <c r="BS185" s="4">
        <v>4</v>
      </c>
      <c r="BT185" s="4">
        <v>4</v>
      </c>
      <c r="BU185" s="4">
        <v>4</v>
      </c>
      <c r="BV185" s="4">
        <v>4</v>
      </c>
      <c r="BW185" s="4">
        <v>4</v>
      </c>
      <c r="BX185" s="4">
        <v>4</v>
      </c>
      <c r="BY185" s="4">
        <v>1</v>
      </c>
      <c r="BZ185" s="18">
        <v>4</v>
      </c>
      <c r="CA185" s="4">
        <v>3</v>
      </c>
      <c r="CB185" s="4">
        <v>4</v>
      </c>
      <c r="CC185" s="4">
        <v>4</v>
      </c>
      <c r="CD185" s="4">
        <v>4</v>
      </c>
      <c r="CE185" s="4">
        <v>1</v>
      </c>
      <c r="CF185" s="57">
        <v>4</v>
      </c>
      <c r="CG185" s="57">
        <v>4</v>
      </c>
      <c r="CH185" s="4">
        <v>4</v>
      </c>
      <c r="CI185" s="4">
        <v>4</v>
      </c>
      <c r="CJ185" s="4">
        <v>4</v>
      </c>
      <c r="CK185" s="4">
        <v>3</v>
      </c>
      <c r="CL185" s="17">
        <v>4</v>
      </c>
      <c r="CM185" s="17">
        <v>4</v>
      </c>
      <c r="CN185" s="57">
        <v>4</v>
      </c>
      <c r="CO185" s="17">
        <v>4</v>
      </c>
      <c r="CP185" s="17">
        <v>4</v>
      </c>
      <c r="CQ185" s="57">
        <v>4</v>
      </c>
      <c r="CR185" s="17">
        <v>4</v>
      </c>
      <c r="CS185" s="4">
        <v>4</v>
      </c>
      <c r="CT185" s="4">
        <v>4</v>
      </c>
      <c r="CU185" s="4">
        <v>4</v>
      </c>
      <c r="CV185" s="4">
        <v>4</v>
      </c>
      <c r="CW185" s="4">
        <v>1</v>
      </c>
      <c r="CX185" s="4">
        <v>4</v>
      </c>
      <c r="CY185" s="4">
        <v>4</v>
      </c>
      <c r="CZ185" s="4">
        <v>1</v>
      </c>
      <c r="DA185" s="17">
        <v>4</v>
      </c>
      <c r="DB185" s="1">
        <v>4</v>
      </c>
      <c r="DC185" s="4">
        <v>4</v>
      </c>
      <c r="DD185" s="4">
        <v>1</v>
      </c>
      <c r="DE185" s="17">
        <v>4</v>
      </c>
      <c r="DF185" s="57">
        <v>4</v>
      </c>
      <c r="DG185" s="4">
        <v>4</v>
      </c>
      <c r="DH185" s="4">
        <v>3</v>
      </c>
      <c r="DI185" s="18">
        <v>4</v>
      </c>
      <c r="DJ185" s="18">
        <v>4</v>
      </c>
      <c r="DK185" s="4">
        <v>1</v>
      </c>
      <c r="DL185" s="4">
        <v>4</v>
      </c>
      <c r="DM185" s="4">
        <v>4</v>
      </c>
      <c r="DN185" s="4">
        <v>1</v>
      </c>
      <c r="DO185" s="18">
        <v>4</v>
      </c>
      <c r="DP185" s="18">
        <v>4</v>
      </c>
      <c r="DQ185" s="4">
        <v>1</v>
      </c>
      <c r="DR185" s="4">
        <v>4</v>
      </c>
      <c r="DS185" s="4">
        <v>4</v>
      </c>
      <c r="DT185" s="4">
        <v>4</v>
      </c>
    </row>
    <row r="186" spans="1:124" x14ac:dyDescent="0.2">
      <c r="A186" t="s">
        <v>390</v>
      </c>
      <c r="B186" s="1" t="s">
        <v>1426</v>
      </c>
      <c r="C186" s="1" t="s">
        <v>423</v>
      </c>
      <c r="E186" s="4">
        <v>1</v>
      </c>
      <c r="F186" s="1">
        <v>4</v>
      </c>
      <c r="G186" s="4">
        <v>1</v>
      </c>
      <c r="H186" s="4">
        <v>1</v>
      </c>
      <c r="I186" s="4">
        <v>4</v>
      </c>
      <c r="J186" s="4">
        <v>4</v>
      </c>
      <c r="K186" s="4">
        <v>4</v>
      </c>
      <c r="L186" s="4">
        <v>1</v>
      </c>
      <c r="M186" s="4">
        <v>1</v>
      </c>
      <c r="N186" s="4">
        <v>4</v>
      </c>
      <c r="O186" s="4">
        <v>4</v>
      </c>
      <c r="P186" s="4">
        <v>3</v>
      </c>
      <c r="Q186" s="4">
        <v>1</v>
      </c>
      <c r="R186" s="4">
        <v>4</v>
      </c>
      <c r="S186" s="4">
        <v>1</v>
      </c>
      <c r="T186" s="4">
        <v>1</v>
      </c>
      <c r="U186" s="4">
        <v>4</v>
      </c>
      <c r="V186" s="57">
        <v>4</v>
      </c>
      <c r="W186" s="4">
        <v>1</v>
      </c>
      <c r="X186" s="4">
        <v>1</v>
      </c>
      <c r="Y186" s="4">
        <v>4</v>
      </c>
      <c r="Z186" s="4">
        <v>4</v>
      </c>
      <c r="AA186" s="4">
        <v>4</v>
      </c>
      <c r="AB186" s="4">
        <v>4</v>
      </c>
      <c r="AC186" s="57">
        <v>4</v>
      </c>
      <c r="AD186" s="4">
        <v>4</v>
      </c>
      <c r="AE186" s="4">
        <v>4</v>
      </c>
      <c r="AF186" s="4">
        <v>4</v>
      </c>
      <c r="AG186" s="4">
        <v>4</v>
      </c>
      <c r="AH186" s="4">
        <v>4</v>
      </c>
      <c r="AI186" s="4">
        <v>4</v>
      </c>
      <c r="AJ186" s="4">
        <v>4</v>
      </c>
      <c r="AK186" s="4">
        <v>4</v>
      </c>
      <c r="AL186" s="4">
        <v>4</v>
      </c>
      <c r="AM186" s="4">
        <v>4</v>
      </c>
      <c r="AN186" s="4">
        <v>4</v>
      </c>
      <c r="AO186" s="17">
        <v>4</v>
      </c>
      <c r="AP186" s="17">
        <v>4</v>
      </c>
      <c r="AQ186" s="17">
        <v>4</v>
      </c>
      <c r="AR186" s="17">
        <v>4</v>
      </c>
      <c r="AS186" s="17">
        <v>4</v>
      </c>
      <c r="AT186" s="17">
        <v>4</v>
      </c>
      <c r="AU186" s="17">
        <v>4</v>
      </c>
      <c r="AV186" s="57">
        <v>4</v>
      </c>
      <c r="AW186" s="17">
        <v>4</v>
      </c>
      <c r="AX186" s="17">
        <v>4</v>
      </c>
      <c r="AY186" s="4">
        <v>4</v>
      </c>
      <c r="AZ186" s="4">
        <v>4</v>
      </c>
      <c r="BA186" s="57">
        <v>4</v>
      </c>
      <c r="BB186" s="57">
        <v>4</v>
      </c>
      <c r="BC186" s="4">
        <v>1</v>
      </c>
      <c r="BD186" s="4">
        <v>1</v>
      </c>
      <c r="BE186" s="4">
        <v>1</v>
      </c>
      <c r="BF186" s="4">
        <v>4</v>
      </c>
      <c r="BG186" s="4">
        <v>4</v>
      </c>
      <c r="BH186" s="4">
        <v>4</v>
      </c>
      <c r="BI186" s="4">
        <v>4</v>
      </c>
      <c r="BJ186" s="4">
        <v>4</v>
      </c>
      <c r="BK186" s="4">
        <v>4</v>
      </c>
      <c r="BL186" s="4">
        <v>4</v>
      </c>
      <c r="BM186" s="4">
        <v>4</v>
      </c>
      <c r="BN186" s="4">
        <v>4</v>
      </c>
      <c r="BO186" s="4">
        <v>4</v>
      </c>
      <c r="BP186" s="4">
        <v>4</v>
      </c>
      <c r="BQ186" s="4">
        <v>4</v>
      </c>
      <c r="BR186" s="4">
        <v>4</v>
      </c>
      <c r="BS186" s="4">
        <v>4</v>
      </c>
      <c r="BT186" s="4">
        <v>4</v>
      </c>
      <c r="BU186" s="4">
        <v>4</v>
      </c>
      <c r="BV186" s="4">
        <v>4</v>
      </c>
      <c r="BW186" s="4">
        <v>1</v>
      </c>
      <c r="BX186" s="4">
        <v>1</v>
      </c>
      <c r="BY186" s="4">
        <v>1</v>
      </c>
      <c r="BZ186" s="18">
        <v>4</v>
      </c>
      <c r="CA186" s="4">
        <v>1</v>
      </c>
      <c r="CB186" s="17">
        <v>4</v>
      </c>
      <c r="CC186" s="4">
        <v>3</v>
      </c>
      <c r="CD186" s="4">
        <v>1</v>
      </c>
      <c r="CE186" s="4">
        <v>4</v>
      </c>
      <c r="CF186" s="57">
        <v>4</v>
      </c>
      <c r="CG186" s="57">
        <v>4</v>
      </c>
      <c r="CH186" s="4">
        <v>4</v>
      </c>
      <c r="CI186" s="4">
        <v>4</v>
      </c>
      <c r="CJ186" s="4">
        <v>4</v>
      </c>
      <c r="CK186" s="17">
        <v>4</v>
      </c>
      <c r="CL186" s="17">
        <v>4</v>
      </c>
      <c r="CM186" s="17">
        <v>4</v>
      </c>
      <c r="CN186" s="57">
        <v>4</v>
      </c>
      <c r="CO186" s="17">
        <v>4</v>
      </c>
      <c r="CP186" s="17">
        <v>4</v>
      </c>
      <c r="CQ186" s="57">
        <v>4</v>
      </c>
      <c r="CR186" s="17">
        <v>4</v>
      </c>
      <c r="CS186" s="17">
        <v>4</v>
      </c>
      <c r="CT186" s="4">
        <v>4</v>
      </c>
      <c r="CU186" s="4">
        <v>1</v>
      </c>
      <c r="CV186" s="4">
        <v>1</v>
      </c>
      <c r="CW186" s="4">
        <v>4</v>
      </c>
      <c r="CX186" s="4">
        <v>3</v>
      </c>
      <c r="CY186" s="4">
        <v>3</v>
      </c>
      <c r="CZ186" s="17">
        <v>4</v>
      </c>
      <c r="DA186" s="17">
        <v>4</v>
      </c>
      <c r="DB186" s="4">
        <v>1</v>
      </c>
      <c r="DC186" s="4">
        <v>1</v>
      </c>
      <c r="DD186" s="17">
        <v>4</v>
      </c>
      <c r="DE186" s="17">
        <v>4</v>
      </c>
      <c r="DF186" s="57">
        <v>4</v>
      </c>
      <c r="DG186" s="4">
        <v>4</v>
      </c>
      <c r="DH186" s="4">
        <v>1</v>
      </c>
      <c r="DI186" s="4">
        <v>1</v>
      </c>
      <c r="DJ186" s="4">
        <v>1</v>
      </c>
      <c r="DK186" s="4">
        <v>4</v>
      </c>
      <c r="DL186" s="4">
        <v>1</v>
      </c>
      <c r="DM186" s="4">
        <v>1</v>
      </c>
      <c r="DN186" s="4">
        <v>4</v>
      </c>
      <c r="DO186" s="4">
        <v>1</v>
      </c>
      <c r="DP186" s="4">
        <v>1</v>
      </c>
      <c r="DQ186" s="4">
        <v>4</v>
      </c>
      <c r="DR186" s="4">
        <v>3</v>
      </c>
      <c r="DS186" s="4">
        <v>3</v>
      </c>
      <c r="DT186" s="4">
        <v>4</v>
      </c>
    </row>
    <row r="187" spans="1:124" x14ac:dyDescent="0.2">
      <c r="A187" t="s">
        <v>391</v>
      </c>
      <c r="B187" s="1" t="s">
        <v>1426</v>
      </c>
      <c r="C187" s="1" t="s">
        <v>423</v>
      </c>
      <c r="E187" s="4">
        <v>1</v>
      </c>
      <c r="F187" s="1">
        <v>4</v>
      </c>
      <c r="G187" s="4">
        <v>1</v>
      </c>
      <c r="H187" s="4">
        <v>1</v>
      </c>
      <c r="I187" s="4">
        <v>4</v>
      </c>
      <c r="J187" s="4">
        <v>4</v>
      </c>
      <c r="K187" s="4">
        <v>4</v>
      </c>
      <c r="L187" s="4">
        <v>1</v>
      </c>
      <c r="M187" s="4">
        <v>1</v>
      </c>
      <c r="N187" s="4">
        <v>4</v>
      </c>
      <c r="O187" s="4">
        <v>4</v>
      </c>
      <c r="P187" s="4">
        <v>3</v>
      </c>
      <c r="Q187" s="4">
        <v>1</v>
      </c>
      <c r="R187" s="4">
        <v>4</v>
      </c>
      <c r="S187" s="4">
        <v>1</v>
      </c>
      <c r="T187" s="4">
        <v>1</v>
      </c>
      <c r="U187" s="4">
        <v>4</v>
      </c>
      <c r="V187" s="57">
        <v>4</v>
      </c>
      <c r="W187" s="4">
        <v>1</v>
      </c>
      <c r="X187" s="4">
        <v>1</v>
      </c>
      <c r="Y187" s="4">
        <v>4</v>
      </c>
      <c r="Z187" s="4">
        <v>4</v>
      </c>
      <c r="AA187" s="4">
        <v>4</v>
      </c>
      <c r="AB187" s="4">
        <v>4</v>
      </c>
      <c r="AC187" s="57">
        <v>4</v>
      </c>
      <c r="AD187" s="4">
        <v>4</v>
      </c>
      <c r="AE187" s="4">
        <v>4</v>
      </c>
      <c r="AF187" s="4">
        <v>4</v>
      </c>
      <c r="AG187" s="4">
        <v>4</v>
      </c>
      <c r="AH187" s="4">
        <v>4</v>
      </c>
      <c r="AI187" s="4">
        <v>4</v>
      </c>
      <c r="AJ187" s="4">
        <v>4</v>
      </c>
      <c r="AK187" s="4">
        <v>4</v>
      </c>
      <c r="AL187" s="4">
        <v>4</v>
      </c>
      <c r="AM187" s="4">
        <v>4</v>
      </c>
      <c r="AN187" s="4">
        <v>4</v>
      </c>
      <c r="AO187" s="17">
        <v>4</v>
      </c>
      <c r="AP187" s="17">
        <v>4</v>
      </c>
      <c r="AQ187" s="17">
        <v>4</v>
      </c>
      <c r="AR187" s="17">
        <v>4</v>
      </c>
      <c r="AS187" s="17">
        <v>4</v>
      </c>
      <c r="AT187" s="17">
        <v>4</v>
      </c>
      <c r="AU187" s="17">
        <v>4</v>
      </c>
      <c r="AV187" s="57">
        <v>4</v>
      </c>
      <c r="AW187" s="17">
        <v>4</v>
      </c>
      <c r="AX187" s="17">
        <v>4</v>
      </c>
      <c r="AY187" s="4">
        <v>4</v>
      </c>
      <c r="AZ187" s="4">
        <v>4</v>
      </c>
      <c r="BA187" s="57">
        <v>4</v>
      </c>
      <c r="BB187" s="57">
        <v>4</v>
      </c>
      <c r="BC187" s="4">
        <v>1</v>
      </c>
      <c r="BD187" s="4">
        <v>1</v>
      </c>
      <c r="BE187" s="4">
        <v>1</v>
      </c>
      <c r="BF187" s="4">
        <v>4</v>
      </c>
      <c r="BG187" s="4">
        <v>4</v>
      </c>
      <c r="BH187" s="4">
        <v>4</v>
      </c>
      <c r="BI187" s="4">
        <v>4</v>
      </c>
      <c r="BJ187" s="4">
        <v>4</v>
      </c>
      <c r="BK187" s="4">
        <v>4</v>
      </c>
      <c r="BL187" s="4">
        <v>4</v>
      </c>
      <c r="BM187" s="4">
        <v>4</v>
      </c>
      <c r="BN187" s="4">
        <v>4</v>
      </c>
      <c r="BO187" s="4">
        <v>4</v>
      </c>
      <c r="BP187" s="4">
        <v>4</v>
      </c>
      <c r="BQ187" s="4">
        <v>4</v>
      </c>
      <c r="BR187" s="4">
        <v>4</v>
      </c>
      <c r="BS187" s="4">
        <v>4</v>
      </c>
      <c r="BT187" s="4">
        <v>4</v>
      </c>
      <c r="BU187" s="4">
        <v>4</v>
      </c>
      <c r="BV187" s="4">
        <v>4</v>
      </c>
      <c r="BW187" s="4">
        <v>1</v>
      </c>
      <c r="BX187" s="4">
        <v>1</v>
      </c>
      <c r="BY187" s="4">
        <v>1</v>
      </c>
      <c r="BZ187" s="18">
        <v>4</v>
      </c>
      <c r="CA187" s="4">
        <v>1</v>
      </c>
      <c r="CB187" s="17">
        <v>4</v>
      </c>
      <c r="CC187" s="4">
        <v>3</v>
      </c>
      <c r="CD187" s="4">
        <v>3</v>
      </c>
      <c r="CE187" s="4">
        <v>4</v>
      </c>
      <c r="CF187" s="57">
        <v>4</v>
      </c>
      <c r="CG187" s="57">
        <v>4</v>
      </c>
      <c r="CH187" s="4">
        <v>4</v>
      </c>
      <c r="CI187" s="4">
        <v>4</v>
      </c>
      <c r="CJ187" s="4">
        <v>4</v>
      </c>
      <c r="CK187" s="17">
        <v>4</v>
      </c>
      <c r="CL187" s="17">
        <v>4</v>
      </c>
      <c r="CM187" s="17">
        <v>4</v>
      </c>
      <c r="CN187" s="57">
        <v>4</v>
      </c>
      <c r="CO187" s="17">
        <v>4</v>
      </c>
      <c r="CP187" s="17">
        <v>4</v>
      </c>
      <c r="CQ187" s="57">
        <v>4</v>
      </c>
      <c r="CR187" s="17">
        <v>4</v>
      </c>
      <c r="CS187" s="17">
        <v>4</v>
      </c>
      <c r="CT187" s="4">
        <v>4</v>
      </c>
      <c r="CU187" s="4">
        <v>1</v>
      </c>
      <c r="CV187" s="4">
        <v>1</v>
      </c>
      <c r="CW187" s="4">
        <v>4</v>
      </c>
      <c r="CX187" s="4">
        <v>3</v>
      </c>
      <c r="CY187" s="4">
        <v>3</v>
      </c>
      <c r="CZ187" s="17">
        <v>4</v>
      </c>
      <c r="DA187" s="17">
        <v>4</v>
      </c>
      <c r="DB187" s="4">
        <v>1</v>
      </c>
      <c r="DC187" s="4">
        <v>1</v>
      </c>
      <c r="DD187" s="17">
        <v>4</v>
      </c>
      <c r="DE187" s="17">
        <v>4</v>
      </c>
      <c r="DF187" s="57">
        <v>4</v>
      </c>
      <c r="DG187" s="4">
        <v>4</v>
      </c>
      <c r="DH187" s="4">
        <v>1</v>
      </c>
      <c r="DI187" s="4">
        <v>1</v>
      </c>
      <c r="DJ187" s="4">
        <v>1</v>
      </c>
      <c r="DK187" s="4">
        <v>4</v>
      </c>
      <c r="DL187" s="4">
        <v>1</v>
      </c>
      <c r="DM187" s="4">
        <v>1</v>
      </c>
      <c r="DN187" s="4">
        <v>4</v>
      </c>
      <c r="DO187" s="4">
        <v>1</v>
      </c>
      <c r="DP187" s="4">
        <v>1</v>
      </c>
      <c r="DQ187" s="4">
        <v>4</v>
      </c>
      <c r="DR187" s="4">
        <v>3</v>
      </c>
      <c r="DS187" s="4">
        <v>3</v>
      </c>
      <c r="DT187" s="4">
        <v>4</v>
      </c>
    </row>
    <row r="188" spans="1:124" x14ac:dyDescent="0.2">
      <c r="A188" t="s">
        <v>392</v>
      </c>
      <c r="B188" s="1" t="s">
        <v>1426</v>
      </c>
      <c r="C188" s="1" t="s">
        <v>392</v>
      </c>
      <c r="E188" s="4">
        <v>1</v>
      </c>
      <c r="F188" s="1">
        <v>4</v>
      </c>
      <c r="G188" s="4">
        <v>1</v>
      </c>
      <c r="H188" s="4">
        <v>1</v>
      </c>
      <c r="I188" s="4">
        <v>4</v>
      </c>
      <c r="J188" s="4">
        <v>4</v>
      </c>
      <c r="K188" s="4">
        <v>4</v>
      </c>
      <c r="L188" s="4">
        <v>1</v>
      </c>
      <c r="M188" s="4">
        <v>1</v>
      </c>
      <c r="N188" s="4">
        <v>4</v>
      </c>
      <c r="O188" s="4">
        <v>4</v>
      </c>
      <c r="P188" s="4">
        <v>3</v>
      </c>
      <c r="Q188" s="4">
        <v>1</v>
      </c>
      <c r="R188" s="4">
        <v>4</v>
      </c>
      <c r="S188" s="4">
        <v>1</v>
      </c>
      <c r="T188" s="4">
        <v>1</v>
      </c>
      <c r="U188" s="4">
        <v>4</v>
      </c>
      <c r="V188" s="57">
        <v>4</v>
      </c>
      <c r="W188" s="4">
        <v>1</v>
      </c>
      <c r="X188" s="4">
        <v>1</v>
      </c>
      <c r="Y188" s="4">
        <v>4</v>
      </c>
      <c r="Z188" s="4">
        <v>4</v>
      </c>
      <c r="AA188" s="4">
        <v>4</v>
      </c>
      <c r="AB188" s="4">
        <v>4</v>
      </c>
      <c r="AC188" s="57">
        <v>4</v>
      </c>
      <c r="AD188" s="4">
        <v>4</v>
      </c>
      <c r="AE188" s="4">
        <v>4</v>
      </c>
      <c r="AF188" s="4">
        <v>4</v>
      </c>
      <c r="AG188" s="4">
        <v>4</v>
      </c>
      <c r="AH188" s="4">
        <v>4</v>
      </c>
      <c r="AI188" s="4">
        <v>4</v>
      </c>
      <c r="AJ188" s="4">
        <v>4</v>
      </c>
      <c r="AK188" s="4">
        <v>4</v>
      </c>
      <c r="AL188" s="4">
        <v>4</v>
      </c>
      <c r="AM188" s="4">
        <v>4</v>
      </c>
      <c r="AN188" s="4">
        <v>4</v>
      </c>
      <c r="AO188" s="17">
        <v>4</v>
      </c>
      <c r="AP188" s="17">
        <v>4</v>
      </c>
      <c r="AQ188" s="17">
        <v>4</v>
      </c>
      <c r="AR188" s="17">
        <v>4</v>
      </c>
      <c r="AS188" s="17">
        <v>4</v>
      </c>
      <c r="AT188" s="17">
        <v>4</v>
      </c>
      <c r="AU188" s="17">
        <v>4</v>
      </c>
      <c r="AV188" s="57">
        <v>4</v>
      </c>
      <c r="AW188" s="17">
        <v>4</v>
      </c>
      <c r="AX188" s="17">
        <v>4</v>
      </c>
      <c r="AY188" s="4">
        <v>4</v>
      </c>
      <c r="AZ188" s="4">
        <v>4</v>
      </c>
      <c r="BA188" s="57">
        <v>4</v>
      </c>
      <c r="BB188" s="57">
        <v>4</v>
      </c>
      <c r="BC188" s="4">
        <v>1</v>
      </c>
      <c r="BD188" s="4">
        <v>1</v>
      </c>
      <c r="BE188" s="4">
        <v>1</v>
      </c>
      <c r="BF188" s="4">
        <v>4</v>
      </c>
      <c r="BG188" s="4">
        <v>4</v>
      </c>
      <c r="BH188" s="4">
        <v>4</v>
      </c>
      <c r="BI188" s="4">
        <v>4</v>
      </c>
      <c r="BJ188" s="4">
        <v>4</v>
      </c>
      <c r="BK188" s="4">
        <v>4</v>
      </c>
      <c r="BL188" s="4">
        <v>4</v>
      </c>
      <c r="BM188" s="4">
        <v>4</v>
      </c>
      <c r="BN188" s="4">
        <v>4</v>
      </c>
      <c r="BO188" s="4">
        <v>4</v>
      </c>
      <c r="BP188" s="4">
        <v>4</v>
      </c>
      <c r="BQ188" s="4">
        <v>4</v>
      </c>
      <c r="BR188" s="4">
        <v>4</v>
      </c>
      <c r="BS188" s="4">
        <v>4</v>
      </c>
      <c r="BT188" s="4">
        <v>4</v>
      </c>
      <c r="BU188" s="4">
        <v>4</v>
      </c>
      <c r="BV188" s="4">
        <v>4</v>
      </c>
      <c r="BW188" s="4">
        <v>1</v>
      </c>
      <c r="BX188" s="4">
        <v>1</v>
      </c>
      <c r="BY188" s="4">
        <v>1</v>
      </c>
      <c r="BZ188" s="18">
        <v>4</v>
      </c>
      <c r="CA188" s="4">
        <v>1</v>
      </c>
      <c r="CB188" s="17">
        <v>4</v>
      </c>
      <c r="CC188" s="4">
        <v>3</v>
      </c>
      <c r="CD188" s="4">
        <v>1</v>
      </c>
      <c r="CE188" s="4">
        <v>4</v>
      </c>
      <c r="CF188" s="57">
        <v>4</v>
      </c>
      <c r="CG188" s="57">
        <v>4</v>
      </c>
      <c r="CH188" s="4">
        <v>4</v>
      </c>
      <c r="CI188" s="4">
        <v>4</v>
      </c>
      <c r="CJ188" s="4">
        <v>4</v>
      </c>
      <c r="CK188" s="17">
        <v>4</v>
      </c>
      <c r="CL188" s="17">
        <v>4</v>
      </c>
      <c r="CM188" s="17">
        <v>4</v>
      </c>
      <c r="CN188" s="57">
        <v>4</v>
      </c>
      <c r="CO188" s="17">
        <v>4</v>
      </c>
      <c r="CP188" s="17">
        <v>4</v>
      </c>
      <c r="CQ188" s="57">
        <v>4</v>
      </c>
      <c r="CR188" s="17">
        <v>4</v>
      </c>
      <c r="CS188" s="17">
        <v>4</v>
      </c>
      <c r="CT188" s="4">
        <v>4</v>
      </c>
      <c r="CU188" s="4">
        <v>1</v>
      </c>
      <c r="CV188" s="4">
        <v>1</v>
      </c>
      <c r="CW188" s="4">
        <v>4</v>
      </c>
      <c r="CX188" s="4">
        <v>3</v>
      </c>
      <c r="CY188" s="4">
        <v>3</v>
      </c>
      <c r="CZ188" s="17">
        <v>4</v>
      </c>
      <c r="DA188" s="17">
        <v>4</v>
      </c>
      <c r="DB188" s="4">
        <v>1</v>
      </c>
      <c r="DC188" s="4">
        <v>1</v>
      </c>
      <c r="DD188" s="17">
        <v>4</v>
      </c>
      <c r="DE188" s="17">
        <v>4</v>
      </c>
      <c r="DF188" s="57">
        <v>4</v>
      </c>
      <c r="DG188" s="4">
        <v>4</v>
      </c>
      <c r="DH188" s="4">
        <v>1</v>
      </c>
      <c r="DI188" s="4">
        <v>1</v>
      </c>
      <c r="DJ188" s="4">
        <v>1</v>
      </c>
      <c r="DK188" s="4">
        <v>4</v>
      </c>
      <c r="DL188" s="4">
        <v>1</v>
      </c>
      <c r="DM188" s="4">
        <v>1</v>
      </c>
      <c r="DN188" s="4">
        <v>4</v>
      </c>
      <c r="DO188" s="4">
        <v>1</v>
      </c>
      <c r="DP188" s="4">
        <v>1</v>
      </c>
      <c r="DQ188" s="4">
        <v>4</v>
      </c>
      <c r="DR188" s="4">
        <v>3</v>
      </c>
      <c r="DS188" s="4">
        <v>1</v>
      </c>
      <c r="DT188" s="4">
        <v>4</v>
      </c>
    </row>
    <row r="189" spans="1:124" x14ac:dyDescent="0.2">
      <c r="A189" t="s">
        <v>1430</v>
      </c>
      <c r="B189" s="1" t="s">
        <v>1426</v>
      </c>
      <c r="C189" s="1" t="s">
        <v>424</v>
      </c>
      <c r="E189" s="4">
        <v>1</v>
      </c>
      <c r="F189" s="1">
        <v>4</v>
      </c>
      <c r="G189" s="4">
        <v>1</v>
      </c>
      <c r="H189" s="4">
        <v>1</v>
      </c>
      <c r="I189" s="4">
        <v>4</v>
      </c>
      <c r="J189" s="4">
        <v>4</v>
      </c>
      <c r="K189" s="4">
        <v>4</v>
      </c>
      <c r="L189" s="4">
        <v>1</v>
      </c>
      <c r="M189" s="4">
        <v>1</v>
      </c>
      <c r="N189" s="4">
        <v>4</v>
      </c>
      <c r="O189" s="4">
        <v>4</v>
      </c>
      <c r="P189" s="4">
        <v>3</v>
      </c>
      <c r="Q189" s="4">
        <v>1</v>
      </c>
      <c r="R189" s="4">
        <v>4</v>
      </c>
      <c r="S189" s="4">
        <v>1</v>
      </c>
      <c r="T189" s="4">
        <v>1</v>
      </c>
      <c r="U189" s="4">
        <v>4</v>
      </c>
      <c r="V189" s="57">
        <v>4</v>
      </c>
      <c r="W189" s="4">
        <v>1</v>
      </c>
      <c r="X189" s="4">
        <v>1</v>
      </c>
      <c r="Y189" s="4">
        <v>4</v>
      </c>
      <c r="Z189" s="4">
        <v>4</v>
      </c>
      <c r="AA189" s="4">
        <v>4</v>
      </c>
      <c r="AB189" s="4">
        <v>4</v>
      </c>
      <c r="AC189" s="57">
        <v>4</v>
      </c>
      <c r="AD189" s="4">
        <v>4</v>
      </c>
      <c r="AE189" s="4">
        <v>4</v>
      </c>
      <c r="AF189" s="4">
        <v>4</v>
      </c>
      <c r="AG189" s="4">
        <v>4</v>
      </c>
      <c r="AH189" s="4">
        <v>4</v>
      </c>
      <c r="AI189" s="4">
        <v>4</v>
      </c>
      <c r="AJ189" s="4">
        <v>4</v>
      </c>
      <c r="AK189" s="4">
        <v>4</v>
      </c>
      <c r="AL189" s="4">
        <v>4</v>
      </c>
      <c r="AM189" s="4">
        <v>4</v>
      </c>
      <c r="AN189" s="4">
        <v>4</v>
      </c>
      <c r="AO189" s="17">
        <v>4</v>
      </c>
      <c r="AP189" s="17">
        <v>4</v>
      </c>
      <c r="AQ189" s="17">
        <v>4</v>
      </c>
      <c r="AR189" s="17">
        <v>4</v>
      </c>
      <c r="AS189" s="17">
        <v>4</v>
      </c>
      <c r="AT189" s="17">
        <v>4</v>
      </c>
      <c r="AU189" s="17">
        <v>4</v>
      </c>
      <c r="AV189" s="57">
        <v>4</v>
      </c>
      <c r="AW189" s="17">
        <v>4</v>
      </c>
      <c r="AX189" s="17">
        <v>4</v>
      </c>
      <c r="AY189" s="4">
        <v>4</v>
      </c>
      <c r="AZ189" s="4">
        <v>4</v>
      </c>
      <c r="BA189" s="57">
        <v>4</v>
      </c>
      <c r="BB189" s="57">
        <v>4</v>
      </c>
      <c r="BC189" s="4">
        <v>1</v>
      </c>
      <c r="BD189" s="4">
        <v>1</v>
      </c>
      <c r="BE189" s="4">
        <v>1</v>
      </c>
      <c r="BF189" s="4">
        <v>4</v>
      </c>
      <c r="BG189" s="4">
        <v>4</v>
      </c>
      <c r="BH189" s="4">
        <v>4</v>
      </c>
      <c r="BI189" s="4">
        <v>4</v>
      </c>
      <c r="BJ189" s="4">
        <v>4</v>
      </c>
      <c r="BK189" s="4">
        <v>4</v>
      </c>
      <c r="BL189" s="4">
        <v>4</v>
      </c>
      <c r="BM189" s="4">
        <v>4</v>
      </c>
      <c r="BN189" s="4">
        <v>4</v>
      </c>
      <c r="BO189" s="4">
        <v>4</v>
      </c>
      <c r="BP189" s="4">
        <v>4</v>
      </c>
      <c r="BQ189" s="4">
        <v>4</v>
      </c>
      <c r="BR189" s="4">
        <v>4</v>
      </c>
      <c r="BS189" s="4">
        <v>4</v>
      </c>
      <c r="BT189" s="4">
        <v>4</v>
      </c>
      <c r="BU189" s="4">
        <v>4</v>
      </c>
      <c r="BV189" s="4">
        <v>4</v>
      </c>
      <c r="BW189" s="4">
        <v>1</v>
      </c>
      <c r="BX189" s="4">
        <v>1</v>
      </c>
      <c r="BY189" s="4">
        <v>1</v>
      </c>
      <c r="BZ189" s="18">
        <v>4</v>
      </c>
      <c r="CA189" s="4">
        <v>1</v>
      </c>
      <c r="CB189" s="17">
        <v>4</v>
      </c>
      <c r="CC189" s="4">
        <v>3</v>
      </c>
      <c r="CD189" s="4">
        <v>3</v>
      </c>
      <c r="CE189" s="4">
        <v>4</v>
      </c>
      <c r="CF189" s="57">
        <v>4</v>
      </c>
      <c r="CG189" s="57">
        <v>4</v>
      </c>
      <c r="CH189" s="4">
        <v>4</v>
      </c>
      <c r="CI189" s="4">
        <v>4</v>
      </c>
      <c r="CJ189" s="4">
        <v>4</v>
      </c>
      <c r="CK189" s="17">
        <v>4</v>
      </c>
      <c r="CL189" s="17">
        <v>4</v>
      </c>
      <c r="CM189" s="17">
        <v>4</v>
      </c>
      <c r="CN189" s="57">
        <v>4</v>
      </c>
      <c r="CO189" s="17">
        <v>4</v>
      </c>
      <c r="CP189" s="17">
        <v>4</v>
      </c>
      <c r="CQ189" s="57">
        <v>4</v>
      </c>
      <c r="CR189" s="17">
        <v>4</v>
      </c>
      <c r="CS189" s="17">
        <v>4</v>
      </c>
      <c r="CT189" s="4">
        <v>4</v>
      </c>
      <c r="CU189" s="4">
        <v>1</v>
      </c>
      <c r="CV189" s="4">
        <v>1</v>
      </c>
      <c r="CW189" s="4">
        <v>4</v>
      </c>
      <c r="CX189" s="4">
        <v>3</v>
      </c>
      <c r="CY189" s="4">
        <v>3</v>
      </c>
      <c r="CZ189" s="17">
        <v>4</v>
      </c>
      <c r="DA189" s="17">
        <v>4</v>
      </c>
      <c r="DB189" s="4">
        <v>1</v>
      </c>
      <c r="DC189" s="4">
        <v>1</v>
      </c>
      <c r="DD189" s="17">
        <v>4</v>
      </c>
      <c r="DE189" s="17">
        <v>4</v>
      </c>
      <c r="DF189" s="57">
        <v>4</v>
      </c>
      <c r="DG189" s="4">
        <v>4</v>
      </c>
      <c r="DH189" s="4">
        <v>1</v>
      </c>
      <c r="DI189" s="4">
        <v>1</v>
      </c>
      <c r="DJ189" s="4">
        <v>1</v>
      </c>
      <c r="DK189" s="4">
        <v>4</v>
      </c>
      <c r="DL189" s="4">
        <v>1</v>
      </c>
      <c r="DM189" s="4">
        <v>1</v>
      </c>
      <c r="DN189" s="4">
        <v>4</v>
      </c>
      <c r="DO189" s="4">
        <v>1</v>
      </c>
      <c r="DP189" s="4">
        <v>1</v>
      </c>
      <c r="DQ189" s="4">
        <v>4</v>
      </c>
      <c r="DR189" s="4">
        <v>3</v>
      </c>
      <c r="DS189" s="4">
        <v>3</v>
      </c>
      <c r="DT189" s="4">
        <v>4</v>
      </c>
    </row>
    <row r="190" spans="1:124" x14ac:dyDescent="0.2">
      <c r="A190" t="s">
        <v>1431</v>
      </c>
      <c r="B190" s="1" t="s">
        <v>1426</v>
      </c>
      <c r="C190" s="1" t="s">
        <v>424</v>
      </c>
      <c r="E190" s="4">
        <v>1</v>
      </c>
      <c r="F190" s="1">
        <v>4</v>
      </c>
      <c r="G190" s="4">
        <v>1</v>
      </c>
      <c r="H190" s="4">
        <v>1</v>
      </c>
      <c r="I190" s="4">
        <v>4</v>
      </c>
      <c r="J190" s="4">
        <v>4</v>
      </c>
      <c r="K190" s="4">
        <v>4</v>
      </c>
      <c r="L190" s="4">
        <v>1</v>
      </c>
      <c r="M190" s="4">
        <v>1</v>
      </c>
      <c r="N190" s="4">
        <v>4</v>
      </c>
      <c r="O190" s="4">
        <v>4</v>
      </c>
      <c r="P190" s="4">
        <v>3</v>
      </c>
      <c r="Q190" s="4">
        <v>1</v>
      </c>
      <c r="R190" s="4">
        <v>4</v>
      </c>
      <c r="S190" s="4">
        <v>1</v>
      </c>
      <c r="T190" s="4">
        <v>1</v>
      </c>
      <c r="U190" s="4">
        <v>4</v>
      </c>
      <c r="V190" s="57">
        <v>4</v>
      </c>
      <c r="W190" s="4">
        <v>1</v>
      </c>
      <c r="X190" s="4">
        <v>1</v>
      </c>
      <c r="Y190" s="4">
        <v>4</v>
      </c>
      <c r="Z190" s="4">
        <v>4</v>
      </c>
      <c r="AA190" s="4">
        <v>4</v>
      </c>
      <c r="AB190" s="4">
        <v>4</v>
      </c>
      <c r="AC190" s="57">
        <v>4</v>
      </c>
      <c r="AD190" s="4">
        <v>4</v>
      </c>
      <c r="AE190" s="4">
        <v>4</v>
      </c>
      <c r="AF190" s="4">
        <v>4</v>
      </c>
      <c r="AG190" s="4">
        <v>4</v>
      </c>
      <c r="AH190" s="4">
        <v>4</v>
      </c>
      <c r="AI190" s="4">
        <v>4</v>
      </c>
      <c r="AJ190" s="4">
        <v>4</v>
      </c>
      <c r="AK190" s="4">
        <v>4</v>
      </c>
      <c r="AL190" s="4">
        <v>4</v>
      </c>
      <c r="AM190" s="4">
        <v>4</v>
      </c>
      <c r="AN190" s="4">
        <v>4</v>
      </c>
      <c r="AO190" s="17">
        <v>4</v>
      </c>
      <c r="AP190" s="17">
        <v>4</v>
      </c>
      <c r="AQ190" s="17">
        <v>4</v>
      </c>
      <c r="AR190" s="17">
        <v>4</v>
      </c>
      <c r="AS190" s="17">
        <v>4</v>
      </c>
      <c r="AT190" s="17">
        <v>4</v>
      </c>
      <c r="AU190" s="17">
        <v>4</v>
      </c>
      <c r="AV190" s="57">
        <v>4</v>
      </c>
      <c r="AW190" s="17">
        <v>4</v>
      </c>
      <c r="AX190" s="17">
        <v>4</v>
      </c>
      <c r="AY190" s="4">
        <v>4</v>
      </c>
      <c r="AZ190" s="4">
        <v>4</v>
      </c>
      <c r="BA190" s="57">
        <v>4</v>
      </c>
      <c r="BB190" s="57">
        <v>4</v>
      </c>
      <c r="BC190" s="4">
        <v>1</v>
      </c>
      <c r="BD190" s="4">
        <v>1</v>
      </c>
      <c r="BE190" s="4">
        <v>1</v>
      </c>
      <c r="BF190" s="4">
        <v>4</v>
      </c>
      <c r="BG190" s="4">
        <v>4</v>
      </c>
      <c r="BH190" s="4">
        <v>4</v>
      </c>
      <c r="BI190" s="4">
        <v>4</v>
      </c>
      <c r="BJ190" s="4">
        <v>4</v>
      </c>
      <c r="BK190" s="4">
        <v>4</v>
      </c>
      <c r="BL190" s="4">
        <v>4</v>
      </c>
      <c r="BM190" s="4">
        <v>4</v>
      </c>
      <c r="BN190" s="4">
        <v>4</v>
      </c>
      <c r="BO190" s="4">
        <v>4</v>
      </c>
      <c r="BP190" s="4">
        <v>4</v>
      </c>
      <c r="BQ190" s="4">
        <v>4</v>
      </c>
      <c r="BR190" s="4">
        <v>4</v>
      </c>
      <c r="BS190" s="4">
        <v>4</v>
      </c>
      <c r="BT190" s="4">
        <v>4</v>
      </c>
      <c r="BU190" s="4">
        <v>4</v>
      </c>
      <c r="BV190" s="4">
        <v>4</v>
      </c>
      <c r="BW190" s="4">
        <v>1</v>
      </c>
      <c r="BX190" s="4">
        <v>1</v>
      </c>
      <c r="BY190" s="4">
        <v>1</v>
      </c>
      <c r="BZ190" s="18">
        <v>4</v>
      </c>
      <c r="CA190" s="4">
        <v>1</v>
      </c>
      <c r="CB190" s="17">
        <v>4</v>
      </c>
      <c r="CC190" s="4">
        <v>3</v>
      </c>
      <c r="CD190" s="4">
        <v>1</v>
      </c>
      <c r="CE190" s="4">
        <v>4</v>
      </c>
      <c r="CF190" s="57">
        <v>4</v>
      </c>
      <c r="CG190" s="57">
        <v>4</v>
      </c>
      <c r="CH190" s="4">
        <v>4</v>
      </c>
      <c r="CI190" s="4">
        <v>4</v>
      </c>
      <c r="CJ190" s="4">
        <v>4</v>
      </c>
      <c r="CK190" s="17">
        <v>4</v>
      </c>
      <c r="CL190" s="17">
        <v>4</v>
      </c>
      <c r="CM190" s="17">
        <v>4</v>
      </c>
      <c r="CN190" s="57">
        <v>4</v>
      </c>
      <c r="CO190" s="17">
        <v>4</v>
      </c>
      <c r="CP190" s="17">
        <v>4</v>
      </c>
      <c r="CQ190" s="57">
        <v>4</v>
      </c>
      <c r="CR190" s="17">
        <v>4</v>
      </c>
      <c r="CS190" s="17">
        <v>4</v>
      </c>
      <c r="CT190" s="4">
        <v>4</v>
      </c>
      <c r="CU190" s="4">
        <v>1</v>
      </c>
      <c r="CV190" s="4">
        <v>1</v>
      </c>
      <c r="CW190" s="4">
        <v>4</v>
      </c>
      <c r="CX190" s="4">
        <v>3</v>
      </c>
      <c r="CY190" s="4">
        <v>3</v>
      </c>
      <c r="CZ190" s="17">
        <v>4</v>
      </c>
      <c r="DA190" s="17">
        <v>4</v>
      </c>
      <c r="DB190" s="4">
        <v>1</v>
      </c>
      <c r="DC190" s="4">
        <v>1</v>
      </c>
      <c r="DD190" s="17">
        <v>4</v>
      </c>
      <c r="DE190" s="17">
        <v>4</v>
      </c>
      <c r="DF190" s="57">
        <v>4</v>
      </c>
      <c r="DG190" s="4">
        <v>4</v>
      </c>
      <c r="DH190" s="4">
        <v>1</v>
      </c>
      <c r="DI190" s="4">
        <v>1</v>
      </c>
      <c r="DJ190" s="4">
        <v>1</v>
      </c>
      <c r="DK190" s="4">
        <v>4</v>
      </c>
      <c r="DL190" s="4">
        <v>1</v>
      </c>
      <c r="DM190" s="4">
        <v>1</v>
      </c>
      <c r="DN190" s="4">
        <v>4</v>
      </c>
      <c r="DO190" s="4">
        <v>1</v>
      </c>
      <c r="DP190" s="4">
        <v>1</v>
      </c>
      <c r="DQ190" s="4">
        <v>4</v>
      </c>
      <c r="DR190" s="4">
        <v>3</v>
      </c>
      <c r="DS190" s="4">
        <v>3</v>
      </c>
      <c r="DT190" s="4">
        <v>4</v>
      </c>
    </row>
    <row r="191" spans="1:124" x14ac:dyDescent="0.2">
      <c r="A191" t="s">
        <v>381</v>
      </c>
      <c r="B191" s="1" t="s">
        <v>1426</v>
      </c>
      <c r="C191" s="1" t="s">
        <v>382</v>
      </c>
      <c r="E191" s="4">
        <v>1</v>
      </c>
      <c r="F191" s="1">
        <v>4</v>
      </c>
      <c r="G191" s="4">
        <v>4</v>
      </c>
      <c r="H191" s="4">
        <v>4</v>
      </c>
      <c r="I191" s="4">
        <v>1</v>
      </c>
      <c r="J191" s="4">
        <v>4</v>
      </c>
      <c r="K191" s="4">
        <v>4</v>
      </c>
      <c r="L191" s="17">
        <v>4</v>
      </c>
      <c r="M191" s="17">
        <v>4</v>
      </c>
      <c r="N191" s="4">
        <v>1</v>
      </c>
      <c r="O191" s="4">
        <v>4</v>
      </c>
      <c r="P191" s="4">
        <v>4</v>
      </c>
      <c r="Q191" s="4">
        <v>4</v>
      </c>
      <c r="R191" s="4">
        <v>2</v>
      </c>
      <c r="S191" s="4">
        <v>4</v>
      </c>
      <c r="T191" s="4">
        <v>4</v>
      </c>
      <c r="U191" s="4">
        <v>1</v>
      </c>
      <c r="V191" s="57">
        <v>4</v>
      </c>
      <c r="W191" s="4">
        <v>4</v>
      </c>
      <c r="X191" s="4">
        <v>4</v>
      </c>
      <c r="Y191" s="4">
        <v>1</v>
      </c>
      <c r="Z191" s="4">
        <v>4</v>
      </c>
      <c r="AA191" s="4">
        <v>4</v>
      </c>
      <c r="AB191" s="4">
        <v>4</v>
      </c>
      <c r="AC191" s="57">
        <v>4</v>
      </c>
      <c r="AD191" s="4">
        <v>4</v>
      </c>
      <c r="AE191" s="4">
        <v>4</v>
      </c>
      <c r="AF191" s="4">
        <v>4</v>
      </c>
      <c r="AG191" s="4">
        <v>4</v>
      </c>
      <c r="AH191" s="4">
        <v>4</v>
      </c>
      <c r="AI191" s="4">
        <v>4</v>
      </c>
      <c r="AJ191" s="4">
        <v>4</v>
      </c>
      <c r="AK191" s="4">
        <v>4</v>
      </c>
      <c r="AL191" s="4">
        <v>4</v>
      </c>
      <c r="AM191" s="4">
        <v>4</v>
      </c>
      <c r="AN191" s="4">
        <v>4</v>
      </c>
      <c r="AO191" s="17">
        <v>4</v>
      </c>
      <c r="AP191" s="17">
        <v>4</v>
      </c>
      <c r="AQ191" s="17">
        <v>4</v>
      </c>
      <c r="AR191" s="17">
        <v>4</v>
      </c>
      <c r="AS191" s="17">
        <v>4</v>
      </c>
      <c r="AT191" s="17">
        <v>4</v>
      </c>
      <c r="AU191" s="17">
        <v>4</v>
      </c>
      <c r="AV191" s="57">
        <v>4</v>
      </c>
      <c r="AW191" s="17">
        <v>4</v>
      </c>
      <c r="AX191" s="17">
        <v>4</v>
      </c>
      <c r="AY191" s="4">
        <v>4</v>
      </c>
      <c r="AZ191" s="4">
        <v>4</v>
      </c>
      <c r="BA191" s="57">
        <v>4</v>
      </c>
      <c r="BB191" s="57">
        <v>4</v>
      </c>
      <c r="BC191" s="4">
        <v>4</v>
      </c>
      <c r="BD191" s="4">
        <v>4</v>
      </c>
      <c r="BE191" s="4">
        <v>1</v>
      </c>
      <c r="BF191" s="4">
        <v>4</v>
      </c>
      <c r="BG191" s="4">
        <v>4</v>
      </c>
      <c r="BH191" s="4">
        <v>4</v>
      </c>
      <c r="BI191" s="4">
        <v>4</v>
      </c>
      <c r="BJ191" s="4">
        <v>4</v>
      </c>
      <c r="BK191" s="4">
        <v>4</v>
      </c>
      <c r="BL191" s="4">
        <v>4</v>
      </c>
      <c r="BM191" s="4">
        <v>4</v>
      </c>
      <c r="BN191" s="4">
        <v>4</v>
      </c>
      <c r="BO191" s="4">
        <v>4</v>
      </c>
      <c r="BP191" s="4">
        <v>4</v>
      </c>
      <c r="BQ191" s="4">
        <v>4</v>
      </c>
      <c r="BR191" s="4">
        <v>4</v>
      </c>
      <c r="BS191" s="4">
        <v>4</v>
      </c>
      <c r="BT191" s="4">
        <v>4</v>
      </c>
      <c r="BU191" s="4">
        <v>4</v>
      </c>
      <c r="BV191" s="4">
        <v>4</v>
      </c>
      <c r="BW191" s="4">
        <v>4</v>
      </c>
      <c r="BX191" s="4">
        <v>4</v>
      </c>
      <c r="BY191" s="4">
        <v>1</v>
      </c>
      <c r="BZ191" s="18">
        <v>4</v>
      </c>
      <c r="CA191" s="4">
        <v>1</v>
      </c>
      <c r="CB191" s="17">
        <v>4</v>
      </c>
      <c r="CC191" s="17">
        <v>4</v>
      </c>
      <c r="CD191" s="17">
        <v>4</v>
      </c>
      <c r="CE191" s="4">
        <v>2</v>
      </c>
      <c r="CF191" s="57">
        <v>4</v>
      </c>
      <c r="CG191" s="57">
        <v>4</v>
      </c>
      <c r="CH191" s="4">
        <v>4</v>
      </c>
      <c r="CI191" s="4">
        <v>4</v>
      </c>
      <c r="CJ191" s="4">
        <v>4</v>
      </c>
      <c r="CK191" s="17">
        <v>4</v>
      </c>
      <c r="CL191" s="17">
        <v>4</v>
      </c>
      <c r="CM191" s="17">
        <v>4</v>
      </c>
      <c r="CN191" s="57">
        <v>4</v>
      </c>
      <c r="CO191" s="17">
        <v>4</v>
      </c>
      <c r="CP191" s="17">
        <v>4</v>
      </c>
      <c r="CQ191" s="57">
        <v>4</v>
      </c>
      <c r="CR191" s="17">
        <v>4</v>
      </c>
      <c r="CS191" s="17">
        <v>4</v>
      </c>
      <c r="CT191" s="4">
        <v>4</v>
      </c>
      <c r="CU191" s="4">
        <v>4</v>
      </c>
      <c r="CV191" s="4">
        <v>4</v>
      </c>
      <c r="CW191" s="4">
        <v>1</v>
      </c>
      <c r="CX191" s="4">
        <v>4</v>
      </c>
      <c r="CY191" s="4">
        <v>4</v>
      </c>
      <c r="CZ191" s="4">
        <v>1</v>
      </c>
      <c r="DA191" s="17">
        <v>4</v>
      </c>
      <c r="DB191" s="17">
        <v>4</v>
      </c>
      <c r="DC191" s="17">
        <v>4</v>
      </c>
      <c r="DD191" s="4">
        <v>1</v>
      </c>
      <c r="DE191" s="17">
        <v>4</v>
      </c>
      <c r="DF191" s="57">
        <v>4</v>
      </c>
      <c r="DG191" s="4">
        <v>4</v>
      </c>
      <c r="DH191" s="4">
        <v>1</v>
      </c>
      <c r="DI191" s="4">
        <v>4</v>
      </c>
      <c r="DJ191" s="4">
        <v>4</v>
      </c>
      <c r="DK191" s="4">
        <v>1</v>
      </c>
      <c r="DL191" s="4">
        <v>4</v>
      </c>
      <c r="DM191" s="4">
        <v>4</v>
      </c>
      <c r="DN191" s="4">
        <v>1</v>
      </c>
      <c r="DO191" s="4">
        <v>4</v>
      </c>
      <c r="DP191" s="4">
        <v>4</v>
      </c>
      <c r="DQ191" s="4">
        <v>1</v>
      </c>
      <c r="DR191" s="4">
        <v>4</v>
      </c>
      <c r="DS191" s="4">
        <v>4</v>
      </c>
      <c r="DT191" s="4">
        <v>4</v>
      </c>
    </row>
    <row r="192" spans="1:124" x14ac:dyDescent="0.2">
      <c r="A192" t="s">
        <v>573</v>
      </c>
      <c r="B192" s="1" t="s">
        <v>1426</v>
      </c>
      <c r="C192" s="1" t="s">
        <v>382</v>
      </c>
      <c r="E192" s="4">
        <v>1</v>
      </c>
      <c r="F192" s="1">
        <v>4</v>
      </c>
      <c r="G192" s="4">
        <v>4</v>
      </c>
      <c r="H192" s="4">
        <v>4</v>
      </c>
      <c r="I192" s="4">
        <v>1</v>
      </c>
      <c r="J192" s="4">
        <v>4</v>
      </c>
      <c r="K192" s="4">
        <v>4</v>
      </c>
      <c r="L192" s="17">
        <v>4</v>
      </c>
      <c r="M192" s="17">
        <v>4</v>
      </c>
      <c r="N192" s="4">
        <v>1</v>
      </c>
      <c r="O192" s="4">
        <v>4</v>
      </c>
      <c r="P192" s="4">
        <v>4</v>
      </c>
      <c r="Q192" s="4">
        <v>4</v>
      </c>
      <c r="R192" s="4">
        <v>2</v>
      </c>
      <c r="S192" s="4">
        <v>4</v>
      </c>
      <c r="T192" s="4">
        <v>4</v>
      </c>
      <c r="U192" s="4">
        <v>1</v>
      </c>
      <c r="V192" s="57">
        <v>4</v>
      </c>
      <c r="W192" s="4">
        <v>4</v>
      </c>
      <c r="X192" s="4">
        <v>4</v>
      </c>
      <c r="Y192" s="4">
        <v>1</v>
      </c>
      <c r="Z192" s="4">
        <v>4</v>
      </c>
      <c r="AA192" s="4">
        <v>4</v>
      </c>
      <c r="AB192" s="4">
        <v>4</v>
      </c>
      <c r="AC192" s="57">
        <v>4</v>
      </c>
      <c r="AD192" s="4">
        <v>4</v>
      </c>
      <c r="AE192" s="4">
        <v>4</v>
      </c>
      <c r="AF192" s="4">
        <v>4</v>
      </c>
      <c r="AG192" s="4">
        <v>4</v>
      </c>
      <c r="AH192" s="4">
        <v>4</v>
      </c>
      <c r="AI192" s="4">
        <v>4</v>
      </c>
      <c r="AJ192" s="4">
        <v>4</v>
      </c>
      <c r="AK192" s="4">
        <v>4</v>
      </c>
      <c r="AL192" s="4">
        <v>4</v>
      </c>
      <c r="AM192" s="4">
        <v>4</v>
      </c>
      <c r="AN192" s="4">
        <v>4</v>
      </c>
      <c r="AO192" s="17">
        <v>4</v>
      </c>
      <c r="AP192" s="17">
        <v>4</v>
      </c>
      <c r="AQ192" s="17">
        <v>4</v>
      </c>
      <c r="AR192" s="17">
        <v>4</v>
      </c>
      <c r="AS192" s="17">
        <v>4</v>
      </c>
      <c r="AT192" s="17">
        <v>4</v>
      </c>
      <c r="AU192" s="17">
        <v>4</v>
      </c>
      <c r="AV192" s="57">
        <v>4</v>
      </c>
      <c r="AW192" s="17">
        <v>4</v>
      </c>
      <c r="AX192" s="17">
        <v>4</v>
      </c>
      <c r="AY192" s="4">
        <v>4</v>
      </c>
      <c r="AZ192" s="4">
        <v>4</v>
      </c>
      <c r="BA192" s="57">
        <v>4</v>
      </c>
      <c r="BB192" s="57">
        <v>4</v>
      </c>
      <c r="BC192" s="4">
        <v>4</v>
      </c>
      <c r="BD192" s="4">
        <v>4</v>
      </c>
      <c r="BE192" s="4">
        <v>1</v>
      </c>
      <c r="BF192" s="4">
        <v>4</v>
      </c>
      <c r="BG192" s="4">
        <v>4</v>
      </c>
      <c r="BH192" s="4">
        <v>4</v>
      </c>
      <c r="BI192" s="4">
        <v>4</v>
      </c>
      <c r="BJ192" s="4">
        <v>4</v>
      </c>
      <c r="BK192" s="4">
        <v>4</v>
      </c>
      <c r="BL192" s="4">
        <v>4</v>
      </c>
      <c r="BM192" s="4">
        <v>4</v>
      </c>
      <c r="BN192" s="4">
        <v>4</v>
      </c>
      <c r="BO192" s="4">
        <v>4</v>
      </c>
      <c r="BP192" s="4">
        <v>4</v>
      </c>
      <c r="BQ192" s="4">
        <v>4</v>
      </c>
      <c r="BR192" s="4">
        <v>4</v>
      </c>
      <c r="BS192" s="4">
        <v>4</v>
      </c>
      <c r="BT192" s="4">
        <v>4</v>
      </c>
      <c r="BU192" s="4">
        <v>4</v>
      </c>
      <c r="BV192" s="4">
        <v>4</v>
      </c>
      <c r="BW192" s="4">
        <v>4</v>
      </c>
      <c r="BX192" s="4">
        <v>4</v>
      </c>
      <c r="BY192" s="4">
        <v>1</v>
      </c>
      <c r="BZ192" s="18">
        <v>4</v>
      </c>
      <c r="CA192" s="4">
        <v>1</v>
      </c>
      <c r="CB192" s="17">
        <v>4</v>
      </c>
      <c r="CC192" s="17">
        <v>4</v>
      </c>
      <c r="CD192" s="17">
        <v>4</v>
      </c>
      <c r="CE192" s="4">
        <v>2</v>
      </c>
      <c r="CF192" s="57">
        <v>4</v>
      </c>
      <c r="CG192" s="57">
        <v>4</v>
      </c>
      <c r="CH192" s="4">
        <v>4</v>
      </c>
      <c r="CI192" s="4">
        <v>4</v>
      </c>
      <c r="CJ192" s="4">
        <v>4</v>
      </c>
      <c r="CK192" s="17">
        <v>4</v>
      </c>
      <c r="CL192" s="17">
        <v>4</v>
      </c>
      <c r="CM192" s="17">
        <v>4</v>
      </c>
      <c r="CN192" s="57">
        <v>4</v>
      </c>
      <c r="CO192" s="17">
        <v>4</v>
      </c>
      <c r="CP192" s="17">
        <v>4</v>
      </c>
      <c r="CQ192" s="57">
        <v>4</v>
      </c>
      <c r="CR192" s="17">
        <v>4</v>
      </c>
      <c r="CS192" s="17">
        <v>4</v>
      </c>
      <c r="CT192" s="4">
        <v>4</v>
      </c>
      <c r="CU192" s="4">
        <v>4</v>
      </c>
      <c r="CV192" s="4">
        <v>4</v>
      </c>
      <c r="CW192" s="4">
        <v>1</v>
      </c>
      <c r="CX192" s="4">
        <v>4</v>
      </c>
      <c r="CY192" s="4">
        <v>4</v>
      </c>
      <c r="CZ192" s="4">
        <v>1</v>
      </c>
      <c r="DA192" s="17">
        <v>4</v>
      </c>
      <c r="DB192" s="17">
        <v>4</v>
      </c>
      <c r="DC192" s="17">
        <v>4</v>
      </c>
      <c r="DD192" s="4">
        <v>1</v>
      </c>
      <c r="DE192" s="17">
        <v>4</v>
      </c>
      <c r="DF192" s="57">
        <v>4</v>
      </c>
      <c r="DG192" s="4">
        <v>4</v>
      </c>
      <c r="DH192" s="4">
        <v>1</v>
      </c>
      <c r="DI192" s="4">
        <v>4</v>
      </c>
      <c r="DJ192" s="4">
        <v>4</v>
      </c>
      <c r="DK192" s="4">
        <v>1</v>
      </c>
      <c r="DL192" s="4">
        <v>4</v>
      </c>
      <c r="DM192" s="4">
        <v>4</v>
      </c>
      <c r="DN192" s="4">
        <v>1</v>
      </c>
      <c r="DO192" s="4">
        <v>4</v>
      </c>
      <c r="DP192" s="4">
        <v>4</v>
      </c>
      <c r="DQ192" s="4">
        <v>1</v>
      </c>
      <c r="DR192" s="4">
        <v>4</v>
      </c>
      <c r="DS192" s="4">
        <v>4</v>
      </c>
      <c r="DT192" s="4">
        <v>4</v>
      </c>
    </row>
    <row r="193" spans="1:124" x14ac:dyDescent="0.2">
      <c r="A193" t="s">
        <v>570</v>
      </c>
      <c r="B193" s="1" t="s">
        <v>1426</v>
      </c>
      <c r="C193" s="1" t="s">
        <v>574</v>
      </c>
      <c r="E193" s="4">
        <v>1</v>
      </c>
      <c r="F193" s="1">
        <v>4</v>
      </c>
      <c r="G193" s="4">
        <v>4</v>
      </c>
      <c r="H193" s="4">
        <v>4</v>
      </c>
      <c r="I193" s="4">
        <v>1</v>
      </c>
      <c r="J193" s="4">
        <v>4</v>
      </c>
      <c r="K193" s="4">
        <v>4</v>
      </c>
      <c r="L193" s="17">
        <v>4</v>
      </c>
      <c r="M193" s="17">
        <v>4</v>
      </c>
      <c r="N193" s="4">
        <v>1</v>
      </c>
      <c r="O193" s="4">
        <v>4</v>
      </c>
      <c r="P193" s="4">
        <v>4</v>
      </c>
      <c r="Q193" s="4">
        <v>4</v>
      </c>
      <c r="R193" s="4">
        <v>2</v>
      </c>
      <c r="S193" s="4">
        <v>4</v>
      </c>
      <c r="T193" s="4">
        <v>4</v>
      </c>
      <c r="U193" s="4">
        <v>1</v>
      </c>
      <c r="V193" s="57">
        <v>4</v>
      </c>
      <c r="W193" s="4">
        <v>4</v>
      </c>
      <c r="X193" s="4">
        <v>4</v>
      </c>
      <c r="Y193" s="4">
        <v>1</v>
      </c>
      <c r="Z193" s="4">
        <v>4</v>
      </c>
      <c r="AA193" s="4">
        <v>4</v>
      </c>
      <c r="AB193" s="4">
        <v>4</v>
      </c>
      <c r="AC193" s="57">
        <v>4</v>
      </c>
      <c r="AD193" s="4">
        <v>4</v>
      </c>
      <c r="AE193" s="4">
        <v>4</v>
      </c>
      <c r="AF193" s="4">
        <v>4</v>
      </c>
      <c r="AG193" s="4">
        <v>4</v>
      </c>
      <c r="AH193" s="4">
        <v>4</v>
      </c>
      <c r="AI193" s="4">
        <v>4</v>
      </c>
      <c r="AJ193" s="4">
        <v>4</v>
      </c>
      <c r="AK193" s="4">
        <v>4</v>
      </c>
      <c r="AL193" s="4">
        <v>4</v>
      </c>
      <c r="AM193" s="4">
        <v>4</v>
      </c>
      <c r="AN193" s="4">
        <v>4</v>
      </c>
      <c r="AO193" s="17">
        <v>4</v>
      </c>
      <c r="AP193" s="17">
        <v>4</v>
      </c>
      <c r="AQ193" s="17">
        <v>4</v>
      </c>
      <c r="AR193" s="17">
        <v>4</v>
      </c>
      <c r="AS193" s="17">
        <v>4</v>
      </c>
      <c r="AT193" s="17">
        <v>4</v>
      </c>
      <c r="AU193" s="17">
        <v>4</v>
      </c>
      <c r="AV193" s="57">
        <v>4</v>
      </c>
      <c r="AW193" s="17">
        <v>4</v>
      </c>
      <c r="AX193" s="17">
        <v>4</v>
      </c>
      <c r="AY193" s="4">
        <v>4</v>
      </c>
      <c r="AZ193" s="4">
        <v>4</v>
      </c>
      <c r="BA193" s="57">
        <v>4</v>
      </c>
      <c r="BB193" s="57">
        <v>4</v>
      </c>
      <c r="BC193" s="4">
        <v>4</v>
      </c>
      <c r="BD193" s="4">
        <v>4</v>
      </c>
      <c r="BE193" s="4">
        <v>1</v>
      </c>
      <c r="BF193" s="4">
        <v>4</v>
      </c>
      <c r="BG193" s="4">
        <v>4</v>
      </c>
      <c r="BH193" s="4">
        <v>4</v>
      </c>
      <c r="BI193" s="4">
        <v>4</v>
      </c>
      <c r="BJ193" s="4">
        <v>4</v>
      </c>
      <c r="BK193" s="4">
        <v>4</v>
      </c>
      <c r="BL193" s="4">
        <v>4</v>
      </c>
      <c r="BM193" s="4">
        <v>4</v>
      </c>
      <c r="BN193" s="4">
        <v>4</v>
      </c>
      <c r="BO193" s="4">
        <v>4</v>
      </c>
      <c r="BP193" s="4">
        <v>4</v>
      </c>
      <c r="BQ193" s="4">
        <v>4</v>
      </c>
      <c r="BR193" s="4">
        <v>4</v>
      </c>
      <c r="BS193" s="4">
        <v>4</v>
      </c>
      <c r="BT193" s="4">
        <v>4</v>
      </c>
      <c r="BU193" s="4">
        <v>4</v>
      </c>
      <c r="BV193" s="4">
        <v>4</v>
      </c>
      <c r="BW193" s="4">
        <v>4</v>
      </c>
      <c r="BX193" s="4">
        <v>4</v>
      </c>
      <c r="BY193" s="4">
        <v>1</v>
      </c>
      <c r="BZ193" s="18">
        <v>4</v>
      </c>
      <c r="CA193" s="4">
        <v>1</v>
      </c>
      <c r="CB193" s="17">
        <v>4</v>
      </c>
      <c r="CC193" s="17">
        <v>4</v>
      </c>
      <c r="CD193" s="17">
        <v>4</v>
      </c>
      <c r="CE193" s="4">
        <v>2</v>
      </c>
      <c r="CF193" s="57">
        <v>4</v>
      </c>
      <c r="CG193" s="57">
        <v>4</v>
      </c>
      <c r="CH193" s="4">
        <v>4</v>
      </c>
      <c r="CI193" s="4">
        <v>4</v>
      </c>
      <c r="CJ193" s="4">
        <v>4</v>
      </c>
      <c r="CK193" s="17">
        <v>4</v>
      </c>
      <c r="CL193" s="17">
        <v>4</v>
      </c>
      <c r="CM193" s="17">
        <v>4</v>
      </c>
      <c r="CN193" s="57">
        <v>4</v>
      </c>
      <c r="CO193" s="17">
        <v>4</v>
      </c>
      <c r="CP193" s="17">
        <v>4</v>
      </c>
      <c r="CQ193" s="57">
        <v>4</v>
      </c>
      <c r="CR193" s="17">
        <v>4</v>
      </c>
      <c r="CS193" s="17">
        <v>4</v>
      </c>
      <c r="CT193" s="4">
        <v>4</v>
      </c>
      <c r="CU193" s="4">
        <v>4</v>
      </c>
      <c r="CV193" s="4">
        <v>4</v>
      </c>
      <c r="CW193" s="4">
        <v>1</v>
      </c>
      <c r="CX193" s="4">
        <v>4</v>
      </c>
      <c r="CY193" s="4">
        <v>4</v>
      </c>
      <c r="CZ193" s="4">
        <v>1</v>
      </c>
      <c r="DA193" s="17">
        <v>4</v>
      </c>
      <c r="DB193" s="17">
        <v>4</v>
      </c>
      <c r="DC193" s="17">
        <v>4</v>
      </c>
      <c r="DD193" s="4">
        <v>1</v>
      </c>
      <c r="DE193" s="17">
        <v>4</v>
      </c>
      <c r="DF193" s="57">
        <v>4</v>
      </c>
      <c r="DG193" s="4">
        <v>4</v>
      </c>
      <c r="DH193" s="4">
        <v>1</v>
      </c>
      <c r="DI193" s="4">
        <v>4</v>
      </c>
      <c r="DJ193" s="4">
        <v>4</v>
      </c>
      <c r="DK193" s="4">
        <v>1</v>
      </c>
      <c r="DL193" s="4">
        <v>4</v>
      </c>
      <c r="DM193" s="4">
        <v>4</v>
      </c>
      <c r="DN193" s="4">
        <v>1</v>
      </c>
      <c r="DO193" s="4">
        <v>4</v>
      </c>
      <c r="DP193" s="4">
        <v>4</v>
      </c>
      <c r="DQ193" s="4">
        <v>1</v>
      </c>
      <c r="DR193" s="4">
        <v>4</v>
      </c>
      <c r="DS193" s="4">
        <v>4</v>
      </c>
      <c r="DT193" s="4">
        <v>4</v>
      </c>
    </row>
    <row r="194" spans="1:124" x14ac:dyDescent="0.2">
      <c r="A194" t="s">
        <v>571</v>
      </c>
      <c r="B194" s="1" t="s">
        <v>1426</v>
      </c>
      <c r="C194" s="1" t="s">
        <v>575</v>
      </c>
      <c r="E194" s="4">
        <v>1</v>
      </c>
      <c r="F194" s="1">
        <v>4</v>
      </c>
      <c r="G194" s="4">
        <v>4</v>
      </c>
      <c r="H194" s="4">
        <v>4</v>
      </c>
      <c r="I194" s="4">
        <v>1</v>
      </c>
      <c r="J194" s="4">
        <v>4</v>
      </c>
      <c r="K194" s="4">
        <v>4</v>
      </c>
      <c r="L194" s="17">
        <v>4</v>
      </c>
      <c r="M194" s="17">
        <v>4</v>
      </c>
      <c r="N194" s="4">
        <v>1</v>
      </c>
      <c r="O194" s="4">
        <v>4</v>
      </c>
      <c r="P194" s="4">
        <v>4</v>
      </c>
      <c r="Q194" s="4">
        <v>4</v>
      </c>
      <c r="R194" s="4">
        <v>2</v>
      </c>
      <c r="S194" s="4">
        <v>4</v>
      </c>
      <c r="T194" s="4">
        <v>4</v>
      </c>
      <c r="U194" s="4">
        <v>1</v>
      </c>
      <c r="V194" s="57">
        <v>4</v>
      </c>
      <c r="W194" s="4">
        <v>4</v>
      </c>
      <c r="X194" s="4">
        <v>4</v>
      </c>
      <c r="Y194" s="4">
        <v>1</v>
      </c>
      <c r="Z194" s="4">
        <v>4</v>
      </c>
      <c r="AA194" s="4">
        <v>4</v>
      </c>
      <c r="AB194" s="4">
        <v>4</v>
      </c>
      <c r="AC194" s="57">
        <v>4</v>
      </c>
      <c r="AD194" s="4">
        <v>4</v>
      </c>
      <c r="AE194" s="4">
        <v>4</v>
      </c>
      <c r="AF194" s="4">
        <v>4</v>
      </c>
      <c r="AG194" s="4">
        <v>4</v>
      </c>
      <c r="AH194" s="4">
        <v>4</v>
      </c>
      <c r="AI194" s="4">
        <v>4</v>
      </c>
      <c r="AJ194" s="4">
        <v>4</v>
      </c>
      <c r="AK194" s="4">
        <v>4</v>
      </c>
      <c r="AL194" s="4">
        <v>4</v>
      </c>
      <c r="AM194" s="4">
        <v>4</v>
      </c>
      <c r="AN194" s="4">
        <v>4</v>
      </c>
      <c r="AO194" s="17">
        <v>4</v>
      </c>
      <c r="AP194" s="17">
        <v>4</v>
      </c>
      <c r="AQ194" s="17">
        <v>4</v>
      </c>
      <c r="AR194" s="17">
        <v>4</v>
      </c>
      <c r="AS194" s="17">
        <v>4</v>
      </c>
      <c r="AT194" s="17">
        <v>4</v>
      </c>
      <c r="AU194" s="17">
        <v>4</v>
      </c>
      <c r="AV194" s="57">
        <v>4</v>
      </c>
      <c r="AW194" s="17">
        <v>4</v>
      </c>
      <c r="AX194" s="17">
        <v>4</v>
      </c>
      <c r="AY194" s="4">
        <v>4</v>
      </c>
      <c r="AZ194" s="4">
        <v>4</v>
      </c>
      <c r="BA194" s="57">
        <v>4</v>
      </c>
      <c r="BB194" s="57">
        <v>4</v>
      </c>
      <c r="BC194" s="4">
        <v>4</v>
      </c>
      <c r="BD194" s="4">
        <v>4</v>
      </c>
      <c r="BE194" s="4">
        <v>1</v>
      </c>
      <c r="BF194" s="4">
        <v>4</v>
      </c>
      <c r="BG194" s="4">
        <v>4</v>
      </c>
      <c r="BH194" s="4">
        <v>4</v>
      </c>
      <c r="BI194" s="4">
        <v>4</v>
      </c>
      <c r="BJ194" s="4">
        <v>4</v>
      </c>
      <c r="BK194" s="4">
        <v>4</v>
      </c>
      <c r="BL194" s="4">
        <v>4</v>
      </c>
      <c r="BM194" s="4">
        <v>4</v>
      </c>
      <c r="BN194" s="4">
        <v>4</v>
      </c>
      <c r="BO194" s="4">
        <v>4</v>
      </c>
      <c r="BP194" s="4">
        <v>4</v>
      </c>
      <c r="BQ194" s="4">
        <v>4</v>
      </c>
      <c r="BR194" s="4">
        <v>4</v>
      </c>
      <c r="BS194" s="4">
        <v>4</v>
      </c>
      <c r="BT194" s="4">
        <v>4</v>
      </c>
      <c r="BU194" s="4">
        <v>4</v>
      </c>
      <c r="BV194" s="4">
        <v>4</v>
      </c>
      <c r="BW194" s="4">
        <v>4</v>
      </c>
      <c r="BX194" s="4">
        <v>4</v>
      </c>
      <c r="BY194" s="4">
        <v>1</v>
      </c>
      <c r="BZ194" s="18">
        <v>4</v>
      </c>
      <c r="CA194" s="4">
        <v>1</v>
      </c>
      <c r="CB194" s="17">
        <v>4</v>
      </c>
      <c r="CC194" s="17">
        <v>4</v>
      </c>
      <c r="CD194" s="17">
        <v>4</v>
      </c>
      <c r="CE194" s="4">
        <v>2</v>
      </c>
      <c r="CF194" s="57">
        <v>4</v>
      </c>
      <c r="CG194" s="57">
        <v>4</v>
      </c>
      <c r="CH194" s="4">
        <v>4</v>
      </c>
      <c r="CI194" s="4">
        <v>4</v>
      </c>
      <c r="CJ194" s="4">
        <v>4</v>
      </c>
      <c r="CK194" s="17">
        <v>4</v>
      </c>
      <c r="CL194" s="17">
        <v>4</v>
      </c>
      <c r="CM194" s="17">
        <v>4</v>
      </c>
      <c r="CN194" s="57">
        <v>4</v>
      </c>
      <c r="CO194" s="17">
        <v>4</v>
      </c>
      <c r="CP194" s="17">
        <v>4</v>
      </c>
      <c r="CQ194" s="57">
        <v>4</v>
      </c>
      <c r="CR194" s="17">
        <v>4</v>
      </c>
      <c r="CS194" s="17">
        <v>4</v>
      </c>
      <c r="CT194" s="4">
        <v>4</v>
      </c>
      <c r="CU194" s="4">
        <v>4</v>
      </c>
      <c r="CV194" s="4">
        <v>4</v>
      </c>
      <c r="CW194" s="4">
        <v>1</v>
      </c>
      <c r="CX194" s="4">
        <v>4</v>
      </c>
      <c r="CY194" s="4">
        <v>4</v>
      </c>
      <c r="CZ194" s="4">
        <v>1</v>
      </c>
      <c r="DA194" s="17">
        <v>4</v>
      </c>
      <c r="DB194" s="17">
        <v>4</v>
      </c>
      <c r="DC194" s="17">
        <v>4</v>
      </c>
      <c r="DD194" s="4">
        <v>1</v>
      </c>
      <c r="DE194" s="17">
        <v>4</v>
      </c>
      <c r="DF194" s="57">
        <v>4</v>
      </c>
      <c r="DG194" s="4">
        <v>4</v>
      </c>
      <c r="DH194" s="4">
        <v>1</v>
      </c>
      <c r="DI194" s="4">
        <v>4</v>
      </c>
      <c r="DJ194" s="4">
        <v>4</v>
      </c>
      <c r="DK194" s="4">
        <v>1</v>
      </c>
      <c r="DL194" s="4">
        <v>4</v>
      </c>
      <c r="DM194" s="4">
        <v>4</v>
      </c>
      <c r="DN194" s="4">
        <v>1</v>
      </c>
      <c r="DO194" s="4">
        <v>4</v>
      </c>
      <c r="DP194" s="4">
        <v>4</v>
      </c>
      <c r="DQ194" s="4">
        <v>1</v>
      </c>
      <c r="DR194" s="4">
        <v>4</v>
      </c>
      <c r="DS194" s="4">
        <v>4</v>
      </c>
      <c r="DT194" s="4">
        <v>4</v>
      </c>
    </row>
    <row r="195" spans="1:124" x14ac:dyDescent="0.2">
      <c r="A195" t="s">
        <v>572</v>
      </c>
      <c r="B195" s="1" t="s">
        <v>1426</v>
      </c>
      <c r="C195" s="1" t="s">
        <v>576</v>
      </c>
      <c r="E195" s="4">
        <v>1</v>
      </c>
      <c r="F195" s="1">
        <v>4</v>
      </c>
      <c r="G195" s="4">
        <v>4</v>
      </c>
      <c r="H195" s="4">
        <v>4</v>
      </c>
      <c r="I195" s="4">
        <v>1</v>
      </c>
      <c r="J195" s="4">
        <v>4</v>
      </c>
      <c r="K195" s="4">
        <v>4</v>
      </c>
      <c r="L195" s="17">
        <v>4</v>
      </c>
      <c r="M195" s="17">
        <v>4</v>
      </c>
      <c r="N195" s="4">
        <v>1</v>
      </c>
      <c r="O195" s="4">
        <v>4</v>
      </c>
      <c r="P195" s="4">
        <v>4</v>
      </c>
      <c r="Q195" s="4">
        <v>4</v>
      </c>
      <c r="R195" s="4">
        <v>2</v>
      </c>
      <c r="S195" s="4">
        <v>4</v>
      </c>
      <c r="T195" s="4">
        <v>4</v>
      </c>
      <c r="U195" s="4">
        <v>1</v>
      </c>
      <c r="V195" s="57">
        <v>4</v>
      </c>
      <c r="W195" s="4">
        <v>4</v>
      </c>
      <c r="X195" s="4">
        <v>4</v>
      </c>
      <c r="Y195" s="4">
        <v>1</v>
      </c>
      <c r="Z195" s="4">
        <v>4</v>
      </c>
      <c r="AA195" s="4">
        <v>4</v>
      </c>
      <c r="AB195" s="4">
        <v>4</v>
      </c>
      <c r="AC195" s="57">
        <v>4</v>
      </c>
      <c r="AD195" s="4">
        <v>4</v>
      </c>
      <c r="AE195" s="4">
        <v>4</v>
      </c>
      <c r="AF195" s="4">
        <v>4</v>
      </c>
      <c r="AG195" s="4">
        <v>4</v>
      </c>
      <c r="AH195" s="4">
        <v>4</v>
      </c>
      <c r="AI195" s="4">
        <v>4</v>
      </c>
      <c r="AJ195" s="4">
        <v>4</v>
      </c>
      <c r="AK195" s="4">
        <v>4</v>
      </c>
      <c r="AL195" s="4">
        <v>4</v>
      </c>
      <c r="AM195" s="4">
        <v>4</v>
      </c>
      <c r="AN195" s="4">
        <v>4</v>
      </c>
      <c r="AO195" s="17">
        <v>4</v>
      </c>
      <c r="AP195" s="17">
        <v>4</v>
      </c>
      <c r="AQ195" s="17">
        <v>4</v>
      </c>
      <c r="AR195" s="17">
        <v>4</v>
      </c>
      <c r="AS195" s="17">
        <v>4</v>
      </c>
      <c r="AT195" s="17">
        <v>4</v>
      </c>
      <c r="AU195" s="17">
        <v>4</v>
      </c>
      <c r="AV195" s="57">
        <v>4</v>
      </c>
      <c r="AW195" s="17">
        <v>4</v>
      </c>
      <c r="AX195" s="17">
        <v>4</v>
      </c>
      <c r="AY195" s="4">
        <v>4</v>
      </c>
      <c r="AZ195" s="4">
        <v>4</v>
      </c>
      <c r="BA195" s="57">
        <v>4</v>
      </c>
      <c r="BB195" s="57">
        <v>4</v>
      </c>
      <c r="BC195" s="4">
        <v>4</v>
      </c>
      <c r="BD195" s="4">
        <v>4</v>
      </c>
      <c r="BE195" s="4">
        <v>1</v>
      </c>
      <c r="BF195" s="4">
        <v>4</v>
      </c>
      <c r="BG195" s="4">
        <v>4</v>
      </c>
      <c r="BH195" s="4">
        <v>4</v>
      </c>
      <c r="BI195" s="4">
        <v>4</v>
      </c>
      <c r="BJ195" s="4">
        <v>4</v>
      </c>
      <c r="BK195" s="4">
        <v>4</v>
      </c>
      <c r="BL195" s="4">
        <v>4</v>
      </c>
      <c r="BM195" s="4">
        <v>4</v>
      </c>
      <c r="BN195" s="4">
        <v>4</v>
      </c>
      <c r="BO195" s="4">
        <v>4</v>
      </c>
      <c r="BP195" s="4">
        <v>4</v>
      </c>
      <c r="BQ195" s="4">
        <v>4</v>
      </c>
      <c r="BR195" s="4">
        <v>4</v>
      </c>
      <c r="BS195" s="4">
        <v>4</v>
      </c>
      <c r="BT195" s="4">
        <v>4</v>
      </c>
      <c r="BU195" s="4">
        <v>4</v>
      </c>
      <c r="BV195" s="4">
        <v>4</v>
      </c>
      <c r="BW195" s="4">
        <v>4</v>
      </c>
      <c r="BX195" s="4">
        <v>4</v>
      </c>
      <c r="BY195" s="4">
        <v>1</v>
      </c>
      <c r="BZ195" s="18">
        <v>4</v>
      </c>
      <c r="CA195" s="4">
        <v>1</v>
      </c>
      <c r="CB195" s="17">
        <v>4</v>
      </c>
      <c r="CC195" s="17">
        <v>4</v>
      </c>
      <c r="CD195" s="17">
        <v>4</v>
      </c>
      <c r="CE195" s="4">
        <v>2</v>
      </c>
      <c r="CF195" s="57">
        <v>4</v>
      </c>
      <c r="CG195" s="57">
        <v>4</v>
      </c>
      <c r="CH195" s="4">
        <v>4</v>
      </c>
      <c r="CI195" s="4">
        <v>4</v>
      </c>
      <c r="CJ195" s="4">
        <v>4</v>
      </c>
      <c r="CK195" s="17">
        <v>4</v>
      </c>
      <c r="CL195" s="17">
        <v>4</v>
      </c>
      <c r="CM195" s="17">
        <v>4</v>
      </c>
      <c r="CN195" s="57">
        <v>4</v>
      </c>
      <c r="CO195" s="17">
        <v>4</v>
      </c>
      <c r="CP195" s="17">
        <v>4</v>
      </c>
      <c r="CQ195" s="57">
        <v>4</v>
      </c>
      <c r="CR195" s="17">
        <v>4</v>
      </c>
      <c r="CS195" s="17">
        <v>4</v>
      </c>
      <c r="CT195" s="4">
        <v>4</v>
      </c>
      <c r="CU195" s="4">
        <v>4</v>
      </c>
      <c r="CV195" s="4">
        <v>4</v>
      </c>
      <c r="CW195" s="4">
        <v>1</v>
      </c>
      <c r="CX195" s="4">
        <v>4</v>
      </c>
      <c r="CY195" s="4">
        <v>4</v>
      </c>
      <c r="CZ195" s="4">
        <v>1</v>
      </c>
      <c r="DA195" s="17">
        <v>4</v>
      </c>
      <c r="DB195" s="17">
        <v>4</v>
      </c>
      <c r="DC195" s="17">
        <v>4</v>
      </c>
      <c r="DD195" s="4">
        <v>1</v>
      </c>
      <c r="DE195" s="17">
        <v>4</v>
      </c>
      <c r="DF195" s="57">
        <v>4</v>
      </c>
      <c r="DG195" s="4">
        <v>4</v>
      </c>
      <c r="DH195" s="4">
        <v>1</v>
      </c>
      <c r="DI195" s="4">
        <v>4</v>
      </c>
      <c r="DJ195" s="4">
        <v>4</v>
      </c>
      <c r="DK195" s="4">
        <v>1</v>
      </c>
      <c r="DL195" s="4">
        <v>4</v>
      </c>
      <c r="DM195" s="4">
        <v>4</v>
      </c>
      <c r="DN195" s="4">
        <v>1</v>
      </c>
      <c r="DO195" s="4">
        <v>4</v>
      </c>
      <c r="DP195" s="4">
        <v>4</v>
      </c>
      <c r="DQ195" s="4">
        <v>1</v>
      </c>
      <c r="DR195" s="4">
        <v>4</v>
      </c>
      <c r="DS195" s="4">
        <v>4</v>
      </c>
      <c r="DT195" s="4">
        <v>4</v>
      </c>
    </row>
    <row r="196" spans="1:124" x14ac:dyDescent="0.2">
      <c r="A196" t="s">
        <v>467</v>
      </c>
      <c r="B196" s="1" t="s">
        <v>1432</v>
      </c>
      <c r="C196" s="1" t="s">
        <v>643</v>
      </c>
      <c r="E196" s="4">
        <v>4</v>
      </c>
      <c r="F196" s="1">
        <v>4</v>
      </c>
      <c r="G196" s="4">
        <v>1</v>
      </c>
      <c r="H196" s="4">
        <v>1</v>
      </c>
      <c r="I196" s="4">
        <v>4</v>
      </c>
      <c r="J196" s="4">
        <v>4</v>
      </c>
      <c r="K196" s="4">
        <v>4</v>
      </c>
      <c r="L196" s="4">
        <v>1</v>
      </c>
      <c r="M196" s="4">
        <v>1</v>
      </c>
      <c r="N196" s="4">
        <v>4</v>
      </c>
      <c r="O196" s="4">
        <v>4</v>
      </c>
      <c r="P196" s="4">
        <v>4</v>
      </c>
      <c r="Q196" s="4">
        <v>4</v>
      </c>
      <c r="R196" s="4">
        <v>4</v>
      </c>
      <c r="S196" s="4">
        <v>1</v>
      </c>
      <c r="T196" s="4">
        <v>1</v>
      </c>
      <c r="U196" s="4">
        <v>4</v>
      </c>
      <c r="V196" s="57">
        <v>4</v>
      </c>
      <c r="W196" s="17">
        <v>4</v>
      </c>
      <c r="X196" s="17">
        <v>4</v>
      </c>
      <c r="Y196" s="17">
        <v>4</v>
      </c>
      <c r="Z196" s="17">
        <v>4</v>
      </c>
      <c r="AA196" s="4">
        <v>4</v>
      </c>
      <c r="AB196" s="4">
        <v>4</v>
      </c>
      <c r="AC196" s="57">
        <v>4</v>
      </c>
      <c r="AD196" s="17">
        <v>4</v>
      </c>
      <c r="AE196" s="17">
        <v>4</v>
      </c>
      <c r="AF196" s="17">
        <v>4</v>
      </c>
      <c r="AG196" s="17">
        <v>4</v>
      </c>
      <c r="AH196" s="17">
        <v>4</v>
      </c>
      <c r="AI196" s="4">
        <v>4</v>
      </c>
      <c r="AJ196" s="17">
        <v>4</v>
      </c>
      <c r="AK196" s="17">
        <v>4</v>
      </c>
      <c r="AL196" s="17">
        <v>4</v>
      </c>
      <c r="AM196" s="17">
        <v>4</v>
      </c>
      <c r="AN196" s="4">
        <v>4</v>
      </c>
      <c r="AO196" s="17">
        <v>4</v>
      </c>
      <c r="AP196" s="17">
        <v>4</v>
      </c>
      <c r="AQ196" s="17">
        <v>4</v>
      </c>
      <c r="AR196" s="17">
        <v>4</v>
      </c>
      <c r="AS196" s="17">
        <v>4</v>
      </c>
      <c r="AT196" s="17">
        <v>4</v>
      </c>
      <c r="AU196" s="17">
        <v>4</v>
      </c>
      <c r="AV196" s="57">
        <v>4</v>
      </c>
      <c r="AW196" s="17">
        <v>4</v>
      </c>
      <c r="AX196" s="17">
        <v>4</v>
      </c>
      <c r="AY196" s="4">
        <v>4</v>
      </c>
      <c r="AZ196" s="4">
        <v>4</v>
      </c>
      <c r="BA196" s="57">
        <v>4</v>
      </c>
      <c r="BB196" s="57">
        <v>4</v>
      </c>
      <c r="BC196" s="17">
        <v>4</v>
      </c>
      <c r="BD196" s="17">
        <v>4</v>
      </c>
      <c r="BE196" s="17">
        <v>4</v>
      </c>
      <c r="BF196" s="17">
        <v>4</v>
      </c>
      <c r="BG196" s="17">
        <v>4</v>
      </c>
      <c r="BH196" s="4">
        <v>4</v>
      </c>
      <c r="BI196" s="17">
        <v>4</v>
      </c>
      <c r="BJ196" s="17">
        <v>4</v>
      </c>
      <c r="BK196" s="4">
        <v>4</v>
      </c>
      <c r="BL196" s="17">
        <v>4</v>
      </c>
      <c r="BM196" s="17">
        <v>4</v>
      </c>
      <c r="BN196" s="4">
        <v>4</v>
      </c>
      <c r="BO196" s="17">
        <v>4</v>
      </c>
      <c r="BP196" s="17">
        <v>4</v>
      </c>
      <c r="BQ196" s="17">
        <v>4</v>
      </c>
      <c r="BR196" s="17">
        <v>4</v>
      </c>
      <c r="BS196" s="4">
        <v>4</v>
      </c>
      <c r="BT196" s="17">
        <v>4</v>
      </c>
      <c r="BU196" s="17">
        <v>4</v>
      </c>
      <c r="BV196" s="17">
        <v>4</v>
      </c>
      <c r="BW196" s="17">
        <v>4</v>
      </c>
      <c r="BX196" s="17">
        <v>4</v>
      </c>
      <c r="BY196" s="17">
        <v>4</v>
      </c>
      <c r="BZ196" s="18">
        <v>4</v>
      </c>
      <c r="CA196" s="17">
        <v>4</v>
      </c>
      <c r="CB196" s="17">
        <v>4</v>
      </c>
      <c r="CC196" s="17">
        <v>4</v>
      </c>
      <c r="CD196" s="17">
        <v>4</v>
      </c>
      <c r="CE196" s="17">
        <v>4</v>
      </c>
      <c r="CF196" s="57">
        <v>4</v>
      </c>
      <c r="CG196" s="57">
        <v>4</v>
      </c>
      <c r="CH196" s="17">
        <v>1</v>
      </c>
      <c r="CI196" s="17">
        <v>1</v>
      </c>
      <c r="CJ196" s="4">
        <v>4</v>
      </c>
      <c r="CK196" s="17">
        <v>4</v>
      </c>
      <c r="CL196" s="17">
        <v>4</v>
      </c>
      <c r="CM196" s="17">
        <v>4</v>
      </c>
      <c r="CN196" s="57">
        <v>4</v>
      </c>
      <c r="CO196" s="17">
        <v>4</v>
      </c>
      <c r="CP196" s="17">
        <v>4</v>
      </c>
      <c r="CQ196" s="57">
        <v>4</v>
      </c>
      <c r="CR196" s="17">
        <v>4</v>
      </c>
      <c r="CS196" s="17">
        <v>4</v>
      </c>
      <c r="CT196" s="17">
        <v>4</v>
      </c>
      <c r="CU196" s="4">
        <v>1</v>
      </c>
      <c r="CV196" s="4">
        <v>1</v>
      </c>
      <c r="CW196" s="17">
        <v>4</v>
      </c>
      <c r="CX196" s="17">
        <v>4</v>
      </c>
      <c r="CY196" s="17">
        <v>4</v>
      </c>
      <c r="CZ196" s="17">
        <v>4</v>
      </c>
      <c r="DA196" s="17">
        <v>4</v>
      </c>
      <c r="DB196" s="4">
        <v>2</v>
      </c>
      <c r="DC196" s="4">
        <v>1</v>
      </c>
      <c r="DD196" s="17">
        <v>4</v>
      </c>
      <c r="DE196" s="17">
        <v>4</v>
      </c>
      <c r="DF196" s="57">
        <v>4</v>
      </c>
      <c r="DG196" s="17">
        <v>4</v>
      </c>
      <c r="DH196" s="17">
        <v>4</v>
      </c>
      <c r="DI196" s="17">
        <v>4</v>
      </c>
      <c r="DJ196" s="17">
        <v>4</v>
      </c>
      <c r="DK196" s="17">
        <v>4</v>
      </c>
      <c r="DL196" s="17">
        <v>4</v>
      </c>
      <c r="DM196" s="17">
        <v>4</v>
      </c>
      <c r="DN196" s="17">
        <v>4</v>
      </c>
      <c r="DO196" s="17">
        <v>4</v>
      </c>
      <c r="DP196" s="17">
        <v>4</v>
      </c>
      <c r="DQ196" s="17">
        <v>4</v>
      </c>
      <c r="DR196" s="17">
        <v>4</v>
      </c>
      <c r="DS196" s="17">
        <v>4</v>
      </c>
      <c r="DT196" s="4">
        <v>4</v>
      </c>
    </row>
    <row r="197" spans="1:124" x14ac:dyDescent="0.2">
      <c r="A197" t="s">
        <v>468</v>
      </c>
      <c r="B197" s="1" t="s">
        <v>1432</v>
      </c>
      <c r="C197" s="1" t="s">
        <v>643</v>
      </c>
      <c r="E197" s="4">
        <v>4</v>
      </c>
      <c r="F197" s="1">
        <v>4</v>
      </c>
      <c r="G197" s="4">
        <v>1</v>
      </c>
      <c r="H197" s="4">
        <v>1</v>
      </c>
      <c r="I197" s="4">
        <v>4</v>
      </c>
      <c r="J197" s="4">
        <v>4</v>
      </c>
      <c r="K197" s="4">
        <v>4</v>
      </c>
      <c r="L197" s="4">
        <v>1</v>
      </c>
      <c r="M197" s="4">
        <v>1</v>
      </c>
      <c r="N197" s="4">
        <v>4</v>
      </c>
      <c r="O197" s="4">
        <v>4</v>
      </c>
      <c r="P197" s="4">
        <v>4</v>
      </c>
      <c r="Q197" s="4">
        <v>4</v>
      </c>
      <c r="R197" s="4">
        <v>4</v>
      </c>
      <c r="S197" s="4">
        <v>3</v>
      </c>
      <c r="T197" s="4">
        <v>1</v>
      </c>
      <c r="U197" s="4">
        <v>4</v>
      </c>
      <c r="V197" s="57">
        <v>4</v>
      </c>
      <c r="W197" s="17">
        <v>4</v>
      </c>
      <c r="X197" s="17">
        <v>4</v>
      </c>
      <c r="Y197" s="17">
        <v>4</v>
      </c>
      <c r="Z197" s="4">
        <v>4</v>
      </c>
      <c r="AA197" s="4">
        <v>4</v>
      </c>
      <c r="AB197" s="4">
        <v>4</v>
      </c>
      <c r="AC197" s="57">
        <v>4</v>
      </c>
      <c r="AD197" s="17">
        <v>4</v>
      </c>
      <c r="AE197" s="17">
        <v>4</v>
      </c>
      <c r="AF197" s="17">
        <v>4</v>
      </c>
      <c r="AG197" s="17">
        <v>4</v>
      </c>
      <c r="AH197" s="17">
        <v>4</v>
      </c>
      <c r="AI197" s="4">
        <v>4</v>
      </c>
      <c r="AJ197" s="17">
        <v>4</v>
      </c>
      <c r="AK197" s="17">
        <v>4</v>
      </c>
      <c r="AL197" s="17">
        <v>4</v>
      </c>
      <c r="AM197" s="17">
        <v>4</v>
      </c>
      <c r="AN197" s="4">
        <v>4</v>
      </c>
      <c r="AO197" s="17">
        <v>4</v>
      </c>
      <c r="AP197" s="17">
        <v>4</v>
      </c>
      <c r="AQ197" s="17">
        <v>4</v>
      </c>
      <c r="AR197" s="17">
        <v>4</v>
      </c>
      <c r="AS197" s="17">
        <v>4</v>
      </c>
      <c r="AT197" s="17">
        <v>4</v>
      </c>
      <c r="AU197" s="17">
        <v>4</v>
      </c>
      <c r="AV197" s="57">
        <v>4</v>
      </c>
      <c r="AW197" s="17">
        <v>4</v>
      </c>
      <c r="AX197" s="17">
        <v>4</v>
      </c>
      <c r="AY197" s="4">
        <v>4</v>
      </c>
      <c r="AZ197" s="4">
        <v>4</v>
      </c>
      <c r="BA197" s="57">
        <v>4</v>
      </c>
      <c r="BB197" s="57">
        <v>4</v>
      </c>
      <c r="BC197" s="17">
        <v>4</v>
      </c>
      <c r="BD197" s="17">
        <v>4</v>
      </c>
      <c r="BE197" s="17">
        <v>4</v>
      </c>
      <c r="BF197" s="17">
        <v>4</v>
      </c>
      <c r="BG197" s="17">
        <v>4</v>
      </c>
      <c r="BH197" s="4">
        <v>4</v>
      </c>
      <c r="BI197" s="17">
        <v>4</v>
      </c>
      <c r="BJ197" s="17">
        <v>4</v>
      </c>
      <c r="BK197" s="4">
        <v>4</v>
      </c>
      <c r="BL197" s="17">
        <v>4</v>
      </c>
      <c r="BM197" s="17">
        <v>4</v>
      </c>
      <c r="BN197" s="4">
        <v>4</v>
      </c>
      <c r="BO197" s="17">
        <v>4</v>
      </c>
      <c r="BP197" s="17">
        <v>4</v>
      </c>
      <c r="BQ197" s="17">
        <v>4</v>
      </c>
      <c r="BR197" s="17">
        <v>4</v>
      </c>
      <c r="BS197" s="4">
        <v>4</v>
      </c>
      <c r="BT197" s="17">
        <v>4</v>
      </c>
      <c r="BU197" s="17">
        <v>4</v>
      </c>
      <c r="BV197" s="17">
        <v>4</v>
      </c>
      <c r="BW197" s="17">
        <v>4</v>
      </c>
      <c r="BX197" s="17">
        <v>4</v>
      </c>
      <c r="BY197" s="17">
        <v>4</v>
      </c>
      <c r="BZ197" s="18">
        <v>4</v>
      </c>
      <c r="CA197" s="17">
        <v>4</v>
      </c>
      <c r="CB197" s="17">
        <v>4</v>
      </c>
      <c r="CC197" s="17">
        <v>4</v>
      </c>
      <c r="CD197" s="17">
        <v>4</v>
      </c>
      <c r="CE197" s="17">
        <v>4</v>
      </c>
      <c r="CF197" s="57">
        <v>4</v>
      </c>
      <c r="CG197" s="57">
        <v>4</v>
      </c>
      <c r="CH197" s="17">
        <v>1</v>
      </c>
      <c r="CI197" s="17">
        <v>1</v>
      </c>
      <c r="CJ197" s="4">
        <v>4</v>
      </c>
      <c r="CK197" s="17">
        <v>4</v>
      </c>
      <c r="CL197" s="17">
        <v>4</v>
      </c>
      <c r="CM197" s="17">
        <v>4</v>
      </c>
      <c r="CN197" s="57">
        <v>4</v>
      </c>
      <c r="CO197" s="17">
        <v>4</v>
      </c>
      <c r="CP197" s="17">
        <v>4</v>
      </c>
      <c r="CQ197" s="57">
        <v>4</v>
      </c>
      <c r="CR197" s="17">
        <v>4</v>
      </c>
      <c r="CS197" s="17">
        <v>4</v>
      </c>
      <c r="CT197" s="17">
        <v>4</v>
      </c>
      <c r="CU197" s="4">
        <v>1</v>
      </c>
      <c r="CV197" s="4">
        <v>1</v>
      </c>
      <c r="CW197" s="17">
        <v>4</v>
      </c>
      <c r="CX197" s="17">
        <v>4</v>
      </c>
      <c r="CY197" s="17">
        <v>4</v>
      </c>
      <c r="CZ197" s="17">
        <v>4</v>
      </c>
      <c r="DA197" s="17">
        <v>4</v>
      </c>
      <c r="DB197" s="4">
        <v>2</v>
      </c>
      <c r="DC197" s="4">
        <v>1</v>
      </c>
      <c r="DD197" s="17">
        <v>4</v>
      </c>
      <c r="DE197" s="17">
        <v>4</v>
      </c>
      <c r="DF197" s="57">
        <v>4</v>
      </c>
      <c r="DG197" s="17">
        <v>4</v>
      </c>
      <c r="DH197" s="17">
        <v>4</v>
      </c>
      <c r="DI197" s="17">
        <v>4</v>
      </c>
      <c r="DJ197" s="17">
        <v>4</v>
      </c>
      <c r="DK197" s="17">
        <v>4</v>
      </c>
      <c r="DL197" s="17">
        <v>4</v>
      </c>
      <c r="DM197" s="17">
        <v>4</v>
      </c>
      <c r="DN197" s="17">
        <v>4</v>
      </c>
      <c r="DO197" s="17">
        <v>4</v>
      </c>
      <c r="DP197" s="17">
        <v>4</v>
      </c>
      <c r="DQ197" s="17">
        <v>4</v>
      </c>
      <c r="DR197" s="17">
        <v>4</v>
      </c>
      <c r="DS197" s="17">
        <v>4</v>
      </c>
      <c r="DT197" s="4">
        <v>4</v>
      </c>
    </row>
    <row r="198" spans="1:124" x14ac:dyDescent="0.2">
      <c r="A198" t="s">
        <v>444</v>
      </c>
      <c r="B198" s="1" t="s">
        <v>1432</v>
      </c>
      <c r="C198" s="1" t="s">
        <v>643</v>
      </c>
      <c r="E198" s="4">
        <v>1</v>
      </c>
      <c r="F198" s="1">
        <v>4</v>
      </c>
      <c r="G198" s="4">
        <v>1</v>
      </c>
      <c r="H198" s="4">
        <v>1</v>
      </c>
      <c r="I198" s="4">
        <v>4</v>
      </c>
      <c r="J198" s="4">
        <v>4</v>
      </c>
      <c r="K198" s="4">
        <v>4</v>
      </c>
      <c r="L198" s="4">
        <v>1</v>
      </c>
      <c r="M198" s="4">
        <v>1</v>
      </c>
      <c r="N198" s="4">
        <v>4</v>
      </c>
      <c r="O198" s="4">
        <v>2</v>
      </c>
      <c r="P198" s="4">
        <v>2</v>
      </c>
      <c r="Q198" s="4">
        <v>1</v>
      </c>
      <c r="R198" s="4">
        <v>4</v>
      </c>
      <c r="S198" s="4">
        <v>1</v>
      </c>
      <c r="T198" s="4">
        <v>1</v>
      </c>
      <c r="U198" s="4">
        <v>4</v>
      </c>
      <c r="V198" s="57">
        <v>4</v>
      </c>
      <c r="W198" s="4">
        <v>2</v>
      </c>
      <c r="X198" s="17">
        <v>1</v>
      </c>
      <c r="Y198" s="17">
        <v>4</v>
      </c>
      <c r="Z198" s="4">
        <v>4</v>
      </c>
      <c r="AA198" s="4">
        <v>4</v>
      </c>
      <c r="AB198" s="4">
        <v>4</v>
      </c>
      <c r="AC198" s="57">
        <v>4</v>
      </c>
      <c r="AD198" s="4">
        <v>4</v>
      </c>
      <c r="AE198" s="4">
        <v>4</v>
      </c>
      <c r="AF198" s="4">
        <v>4</v>
      </c>
      <c r="AG198" s="4">
        <v>4</v>
      </c>
      <c r="AH198" s="4">
        <v>4</v>
      </c>
      <c r="AI198" s="4">
        <v>4</v>
      </c>
      <c r="AJ198" s="4">
        <v>4</v>
      </c>
      <c r="AK198" s="4">
        <v>4</v>
      </c>
      <c r="AL198" s="4">
        <v>4</v>
      </c>
      <c r="AM198" s="4">
        <v>4</v>
      </c>
      <c r="AN198" s="4">
        <v>4</v>
      </c>
      <c r="AO198" s="4">
        <v>4</v>
      </c>
      <c r="AP198" s="17">
        <v>4</v>
      </c>
      <c r="AQ198" s="17">
        <v>4</v>
      </c>
      <c r="AR198" s="17">
        <v>4</v>
      </c>
      <c r="AS198" s="17">
        <v>4</v>
      </c>
      <c r="AT198" s="17">
        <v>4</v>
      </c>
      <c r="AU198" s="17">
        <v>4</v>
      </c>
      <c r="AV198" s="57">
        <v>4</v>
      </c>
      <c r="AW198" s="17">
        <v>4</v>
      </c>
      <c r="AX198" s="17">
        <v>4</v>
      </c>
      <c r="AY198" s="4">
        <v>4</v>
      </c>
      <c r="AZ198" s="4">
        <v>4</v>
      </c>
      <c r="BA198" s="57">
        <v>4</v>
      </c>
      <c r="BB198" s="57">
        <v>4</v>
      </c>
      <c r="BC198" s="4">
        <v>2</v>
      </c>
      <c r="BD198" s="17">
        <v>1</v>
      </c>
      <c r="BE198" s="4">
        <v>2</v>
      </c>
      <c r="BF198" s="4">
        <v>4</v>
      </c>
      <c r="BG198" s="4">
        <v>4</v>
      </c>
      <c r="BH198" s="4">
        <v>4</v>
      </c>
      <c r="BI198" s="4">
        <v>4</v>
      </c>
      <c r="BJ198" s="4">
        <v>4</v>
      </c>
      <c r="BK198" s="4">
        <v>4</v>
      </c>
      <c r="BL198" s="4">
        <v>4</v>
      </c>
      <c r="BM198" s="4">
        <v>4</v>
      </c>
      <c r="BN198" s="4">
        <v>4</v>
      </c>
      <c r="BO198" s="4">
        <v>4</v>
      </c>
      <c r="BP198" s="4">
        <v>4</v>
      </c>
      <c r="BQ198" s="4">
        <v>4</v>
      </c>
      <c r="BR198" s="4">
        <v>4</v>
      </c>
      <c r="BS198" s="4">
        <v>4</v>
      </c>
      <c r="BT198" s="4">
        <v>4</v>
      </c>
      <c r="BU198" s="4">
        <v>4</v>
      </c>
      <c r="BV198" s="4">
        <v>4</v>
      </c>
      <c r="BW198" s="17">
        <v>3</v>
      </c>
      <c r="BX198" s="4">
        <v>1</v>
      </c>
      <c r="BY198" s="17">
        <v>3</v>
      </c>
      <c r="BZ198" s="4">
        <v>1</v>
      </c>
      <c r="CA198" s="4">
        <v>2</v>
      </c>
      <c r="CB198" s="4">
        <v>4</v>
      </c>
      <c r="CC198" s="4">
        <v>2</v>
      </c>
      <c r="CD198" s="4">
        <v>1</v>
      </c>
      <c r="CE198" s="17">
        <v>4</v>
      </c>
      <c r="CF198" s="57">
        <v>4</v>
      </c>
      <c r="CG198" s="57">
        <v>4</v>
      </c>
      <c r="CH198" s="4">
        <v>2</v>
      </c>
      <c r="CI198" s="17">
        <v>1</v>
      </c>
      <c r="CJ198" s="4">
        <v>4</v>
      </c>
      <c r="CK198" s="17">
        <v>4</v>
      </c>
      <c r="CL198" s="17">
        <v>4</v>
      </c>
      <c r="CM198" s="17">
        <v>4</v>
      </c>
      <c r="CN198" s="57">
        <v>4</v>
      </c>
      <c r="CO198" s="17">
        <v>4</v>
      </c>
      <c r="CP198" s="17">
        <v>4</v>
      </c>
      <c r="CQ198" s="57">
        <v>4</v>
      </c>
      <c r="CR198" s="17">
        <v>4</v>
      </c>
      <c r="CS198" s="4">
        <v>4</v>
      </c>
      <c r="CT198" s="4">
        <v>4</v>
      </c>
      <c r="CU198" s="4">
        <v>2</v>
      </c>
      <c r="CV198" s="4">
        <v>1</v>
      </c>
      <c r="CW198" s="17">
        <v>4</v>
      </c>
      <c r="CX198" s="4">
        <v>2</v>
      </c>
      <c r="CY198" s="4">
        <v>1</v>
      </c>
      <c r="CZ198" s="17">
        <v>4</v>
      </c>
      <c r="DA198" s="17">
        <v>4</v>
      </c>
      <c r="DB198" s="4">
        <v>2</v>
      </c>
      <c r="DC198" s="4">
        <v>1</v>
      </c>
      <c r="DD198" s="17">
        <v>4</v>
      </c>
      <c r="DE198" s="17">
        <v>4</v>
      </c>
      <c r="DF198" s="57">
        <v>4</v>
      </c>
      <c r="DG198" s="4">
        <v>1</v>
      </c>
      <c r="DH198" s="17">
        <v>4</v>
      </c>
      <c r="DI198" s="4">
        <v>3</v>
      </c>
      <c r="DJ198" s="4">
        <v>1</v>
      </c>
      <c r="DK198" s="17">
        <v>4</v>
      </c>
      <c r="DL198" s="4">
        <v>2</v>
      </c>
      <c r="DM198" s="4">
        <v>1</v>
      </c>
      <c r="DN198" s="4">
        <v>2</v>
      </c>
      <c r="DO198" s="4">
        <v>2</v>
      </c>
      <c r="DP198" s="17">
        <v>1</v>
      </c>
      <c r="DQ198" s="17">
        <v>4</v>
      </c>
      <c r="DR198" s="4">
        <v>2</v>
      </c>
      <c r="DS198" s="17">
        <v>1</v>
      </c>
      <c r="DT198" s="4">
        <v>4</v>
      </c>
    </row>
    <row r="199" spans="1:124" x14ac:dyDescent="0.2">
      <c r="A199" t="s">
        <v>445</v>
      </c>
      <c r="B199" s="1" t="s">
        <v>1432</v>
      </c>
      <c r="C199" s="1" t="s">
        <v>643</v>
      </c>
      <c r="E199" s="4">
        <v>1</v>
      </c>
      <c r="F199" s="1">
        <v>4</v>
      </c>
      <c r="G199" s="4">
        <v>1</v>
      </c>
      <c r="H199" s="4">
        <v>1</v>
      </c>
      <c r="I199" s="4">
        <v>4</v>
      </c>
      <c r="J199" s="4">
        <v>4</v>
      </c>
      <c r="K199" s="4">
        <v>4</v>
      </c>
      <c r="L199" s="4">
        <v>1</v>
      </c>
      <c r="M199" s="4">
        <v>1</v>
      </c>
      <c r="N199" s="4">
        <v>4</v>
      </c>
      <c r="O199" s="4">
        <v>2</v>
      </c>
      <c r="P199" s="4">
        <v>2</v>
      </c>
      <c r="Q199" s="4">
        <v>1</v>
      </c>
      <c r="R199" s="4">
        <v>4</v>
      </c>
      <c r="S199" s="4">
        <v>1</v>
      </c>
      <c r="T199" s="4">
        <v>1</v>
      </c>
      <c r="U199" s="4">
        <v>4</v>
      </c>
      <c r="V199" s="57">
        <v>4</v>
      </c>
      <c r="W199" s="4">
        <v>2</v>
      </c>
      <c r="X199" s="17">
        <v>1</v>
      </c>
      <c r="Y199" s="17">
        <v>4</v>
      </c>
      <c r="Z199" s="4">
        <v>4</v>
      </c>
      <c r="AA199" s="4">
        <v>4</v>
      </c>
      <c r="AB199" s="4">
        <v>4</v>
      </c>
      <c r="AC199" s="57">
        <v>4</v>
      </c>
      <c r="AD199" s="4">
        <v>4</v>
      </c>
      <c r="AE199" s="4">
        <v>4</v>
      </c>
      <c r="AF199" s="4">
        <v>4</v>
      </c>
      <c r="AG199" s="4">
        <v>4</v>
      </c>
      <c r="AH199" s="4">
        <v>4</v>
      </c>
      <c r="AI199" s="4">
        <v>4</v>
      </c>
      <c r="AJ199" s="4">
        <v>4</v>
      </c>
      <c r="AK199" s="4">
        <v>4</v>
      </c>
      <c r="AL199" s="4">
        <v>4</v>
      </c>
      <c r="AM199" s="4">
        <v>4</v>
      </c>
      <c r="AN199" s="4">
        <v>4</v>
      </c>
      <c r="AO199" s="4">
        <v>4</v>
      </c>
      <c r="AP199" s="17">
        <v>4</v>
      </c>
      <c r="AQ199" s="17">
        <v>4</v>
      </c>
      <c r="AR199" s="17">
        <v>4</v>
      </c>
      <c r="AS199" s="17">
        <v>4</v>
      </c>
      <c r="AT199" s="17">
        <v>4</v>
      </c>
      <c r="AU199" s="17">
        <v>4</v>
      </c>
      <c r="AV199" s="57">
        <v>4</v>
      </c>
      <c r="AW199" s="17">
        <v>4</v>
      </c>
      <c r="AX199" s="17">
        <v>4</v>
      </c>
      <c r="AY199" s="4">
        <v>4</v>
      </c>
      <c r="AZ199" s="4">
        <v>4</v>
      </c>
      <c r="BA199" s="57">
        <v>4</v>
      </c>
      <c r="BB199" s="57">
        <v>4</v>
      </c>
      <c r="BC199" s="4">
        <v>2</v>
      </c>
      <c r="BD199" s="17">
        <v>1</v>
      </c>
      <c r="BE199" s="4">
        <v>2</v>
      </c>
      <c r="BF199" s="4">
        <v>4</v>
      </c>
      <c r="BG199" s="4">
        <v>4</v>
      </c>
      <c r="BH199" s="4">
        <v>4</v>
      </c>
      <c r="BI199" s="4">
        <v>4</v>
      </c>
      <c r="BJ199" s="4">
        <v>4</v>
      </c>
      <c r="BK199" s="4">
        <v>4</v>
      </c>
      <c r="BL199" s="4">
        <v>4</v>
      </c>
      <c r="BM199" s="4">
        <v>4</v>
      </c>
      <c r="BN199" s="4">
        <v>4</v>
      </c>
      <c r="BO199" s="4">
        <v>4</v>
      </c>
      <c r="BP199" s="4">
        <v>4</v>
      </c>
      <c r="BQ199" s="4">
        <v>4</v>
      </c>
      <c r="BR199" s="4">
        <v>4</v>
      </c>
      <c r="BS199" s="4">
        <v>4</v>
      </c>
      <c r="BT199" s="4">
        <v>4</v>
      </c>
      <c r="BU199" s="4">
        <v>4</v>
      </c>
      <c r="BV199" s="4">
        <v>4</v>
      </c>
      <c r="BW199" s="17">
        <v>3</v>
      </c>
      <c r="BX199" s="4">
        <v>1</v>
      </c>
      <c r="BY199" s="17">
        <v>3</v>
      </c>
      <c r="BZ199" s="4">
        <v>1</v>
      </c>
      <c r="CA199" s="4">
        <v>2</v>
      </c>
      <c r="CB199" s="4">
        <v>4</v>
      </c>
      <c r="CC199" s="4">
        <v>2</v>
      </c>
      <c r="CD199" s="4">
        <v>1</v>
      </c>
      <c r="CE199" s="17">
        <v>4</v>
      </c>
      <c r="CF199" s="57">
        <v>4</v>
      </c>
      <c r="CG199" s="57">
        <v>4</v>
      </c>
      <c r="CH199" s="4">
        <v>2</v>
      </c>
      <c r="CI199" s="17">
        <v>1</v>
      </c>
      <c r="CJ199" s="4">
        <v>4</v>
      </c>
      <c r="CK199" s="17">
        <v>4</v>
      </c>
      <c r="CL199" s="17">
        <v>4</v>
      </c>
      <c r="CM199" s="17">
        <v>4</v>
      </c>
      <c r="CN199" s="57">
        <v>4</v>
      </c>
      <c r="CO199" s="17">
        <v>4</v>
      </c>
      <c r="CP199" s="17">
        <v>4</v>
      </c>
      <c r="CQ199" s="57">
        <v>4</v>
      </c>
      <c r="CR199" s="17">
        <v>4</v>
      </c>
      <c r="CS199" s="4">
        <v>4</v>
      </c>
      <c r="CT199" s="4">
        <v>4</v>
      </c>
      <c r="CU199" s="4">
        <v>2</v>
      </c>
      <c r="CV199" s="4">
        <v>1</v>
      </c>
      <c r="CW199" s="17">
        <v>4</v>
      </c>
      <c r="CX199" s="4">
        <v>2</v>
      </c>
      <c r="CY199" s="4">
        <v>1</v>
      </c>
      <c r="CZ199" s="17">
        <v>4</v>
      </c>
      <c r="DA199" s="17">
        <v>4</v>
      </c>
      <c r="DB199" s="4">
        <v>2</v>
      </c>
      <c r="DC199" s="4">
        <v>1</v>
      </c>
      <c r="DD199" s="17">
        <v>4</v>
      </c>
      <c r="DE199" s="17">
        <v>4</v>
      </c>
      <c r="DF199" s="57">
        <v>4</v>
      </c>
      <c r="DG199" s="4">
        <v>1</v>
      </c>
      <c r="DH199" s="17">
        <v>4</v>
      </c>
      <c r="DI199" s="4">
        <v>3</v>
      </c>
      <c r="DJ199" s="4">
        <v>1</v>
      </c>
      <c r="DK199" s="17">
        <v>4</v>
      </c>
      <c r="DL199" s="4">
        <v>2</v>
      </c>
      <c r="DM199" s="4">
        <v>1</v>
      </c>
      <c r="DN199" s="4">
        <v>2</v>
      </c>
      <c r="DO199" s="4">
        <v>2</v>
      </c>
      <c r="DP199" s="17">
        <v>1</v>
      </c>
      <c r="DQ199" s="17">
        <v>4</v>
      </c>
      <c r="DR199" s="4">
        <v>2</v>
      </c>
      <c r="DS199" s="17">
        <v>1</v>
      </c>
      <c r="DT199" s="4">
        <v>4</v>
      </c>
    </row>
    <row r="200" spans="1:124" x14ac:dyDescent="0.2">
      <c r="A200" t="s">
        <v>446</v>
      </c>
      <c r="B200" s="1" t="s">
        <v>1432</v>
      </c>
      <c r="C200" s="1" t="s">
        <v>643</v>
      </c>
      <c r="E200" s="4">
        <v>1</v>
      </c>
      <c r="F200" s="1">
        <v>4</v>
      </c>
      <c r="G200" s="4">
        <v>1</v>
      </c>
      <c r="H200" s="4">
        <v>1</v>
      </c>
      <c r="I200" s="4">
        <v>4</v>
      </c>
      <c r="J200" s="4">
        <v>4</v>
      </c>
      <c r="K200" s="4">
        <v>4</v>
      </c>
      <c r="L200" s="4">
        <v>1</v>
      </c>
      <c r="M200" s="4">
        <v>1</v>
      </c>
      <c r="N200" s="4">
        <v>4</v>
      </c>
      <c r="O200" s="4">
        <v>2</v>
      </c>
      <c r="P200" s="4">
        <v>2</v>
      </c>
      <c r="Q200" s="4">
        <v>1</v>
      </c>
      <c r="R200" s="4">
        <v>4</v>
      </c>
      <c r="S200" s="4">
        <v>1</v>
      </c>
      <c r="T200" s="4">
        <v>1</v>
      </c>
      <c r="U200" s="4">
        <v>4</v>
      </c>
      <c r="V200" s="57">
        <v>4</v>
      </c>
      <c r="W200" s="4">
        <v>2</v>
      </c>
      <c r="X200" s="17">
        <v>1</v>
      </c>
      <c r="Y200" s="17">
        <v>4</v>
      </c>
      <c r="Z200" s="4">
        <v>4</v>
      </c>
      <c r="AA200" s="4">
        <v>4</v>
      </c>
      <c r="AB200" s="4">
        <v>4</v>
      </c>
      <c r="AC200" s="57">
        <v>4</v>
      </c>
      <c r="AD200" s="4">
        <v>4</v>
      </c>
      <c r="AE200" s="4">
        <v>4</v>
      </c>
      <c r="AF200" s="4">
        <v>4</v>
      </c>
      <c r="AG200" s="4">
        <v>4</v>
      </c>
      <c r="AH200" s="4">
        <v>4</v>
      </c>
      <c r="AI200" s="4">
        <v>4</v>
      </c>
      <c r="AJ200" s="4">
        <v>4</v>
      </c>
      <c r="AK200" s="4">
        <v>4</v>
      </c>
      <c r="AL200" s="4">
        <v>4</v>
      </c>
      <c r="AM200" s="4">
        <v>4</v>
      </c>
      <c r="AN200" s="4">
        <v>4</v>
      </c>
      <c r="AO200" s="4">
        <v>4</v>
      </c>
      <c r="AP200" s="17">
        <v>4</v>
      </c>
      <c r="AQ200" s="17">
        <v>4</v>
      </c>
      <c r="AR200" s="17">
        <v>4</v>
      </c>
      <c r="AS200" s="17">
        <v>4</v>
      </c>
      <c r="AT200" s="17">
        <v>4</v>
      </c>
      <c r="AU200" s="17">
        <v>4</v>
      </c>
      <c r="AV200" s="57">
        <v>4</v>
      </c>
      <c r="AW200" s="17">
        <v>4</v>
      </c>
      <c r="AX200" s="17">
        <v>4</v>
      </c>
      <c r="AY200" s="4">
        <v>4</v>
      </c>
      <c r="AZ200" s="4">
        <v>4</v>
      </c>
      <c r="BA200" s="57">
        <v>4</v>
      </c>
      <c r="BB200" s="57">
        <v>4</v>
      </c>
      <c r="BC200" s="4">
        <v>2</v>
      </c>
      <c r="BD200" s="17">
        <v>1</v>
      </c>
      <c r="BE200" s="4">
        <v>2</v>
      </c>
      <c r="BF200" s="4">
        <v>4</v>
      </c>
      <c r="BG200" s="4">
        <v>4</v>
      </c>
      <c r="BH200" s="4">
        <v>4</v>
      </c>
      <c r="BI200" s="4">
        <v>4</v>
      </c>
      <c r="BJ200" s="4">
        <v>4</v>
      </c>
      <c r="BK200" s="4">
        <v>4</v>
      </c>
      <c r="BL200" s="4">
        <v>4</v>
      </c>
      <c r="BM200" s="4">
        <v>4</v>
      </c>
      <c r="BN200" s="4">
        <v>4</v>
      </c>
      <c r="BO200" s="4">
        <v>4</v>
      </c>
      <c r="BP200" s="4">
        <v>4</v>
      </c>
      <c r="BQ200" s="4">
        <v>4</v>
      </c>
      <c r="BR200" s="4">
        <v>4</v>
      </c>
      <c r="BS200" s="4">
        <v>4</v>
      </c>
      <c r="BT200" s="4">
        <v>4</v>
      </c>
      <c r="BU200" s="4">
        <v>4</v>
      </c>
      <c r="BV200" s="4">
        <v>4</v>
      </c>
      <c r="BW200" s="17">
        <v>3</v>
      </c>
      <c r="BX200" s="4">
        <v>1</v>
      </c>
      <c r="BY200" s="17">
        <v>3</v>
      </c>
      <c r="BZ200" s="4">
        <v>1</v>
      </c>
      <c r="CA200" s="4">
        <v>2</v>
      </c>
      <c r="CB200" s="4">
        <v>4</v>
      </c>
      <c r="CC200" s="4">
        <v>2</v>
      </c>
      <c r="CD200" s="4">
        <v>1</v>
      </c>
      <c r="CE200" s="17">
        <v>4</v>
      </c>
      <c r="CF200" s="57">
        <v>4</v>
      </c>
      <c r="CG200" s="57">
        <v>4</v>
      </c>
      <c r="CH200" s="4">
        <v>2</v>
      </c>
      <c r="CI200" s="17">
        <v>1</v>
      </c>
      <c r="CJ200" s="4">
        <v>4</v>
      </c>
      <c r="CK200" s="17">
        <v>4</v>
      </c>
      <c r="CL200" s="17">
        <v>4</v>
      </c>
      <c r="CM200" s="17">
        <v>4</v>
      </c>
      <c r="CN200" s="57">
        <v>4</v>
      </c>
      <c r="CO200" s="17">
        <v>4</v>
      </c>
      <c r="CP200" s="17">
        <v>4</v>
      </c>
      <c r="CQ200" s="57">
        <v>4</v>
      </c>
      <c r="CR200" s="17">
        <v>4</v>
      </c>
      <c r="CS200" s="4">
        <v>4</v>
      </c>
      <c r="CT200" s="4">
        <v>4</v>
      </c>
      <c r="CU200" s="4">
        <v>2</v>
      </c>
      <c r="CV200" s="4">
        <v>1</v>
      </c>
      <c r="CW200" s="17">
        <v>4</v>
      </c>
      <c r="CX200" s="4">
        <v>2</v>
      </c>
      <c r="CY200" s="4">
        <v>1</v>
      </c>
      <c r="CZ200" s="17">
        <v>4</v>
      </c>
      <c r="DA200" s="17">
        <v>4</v>
      </c>
      <c r="DB200" s="4">
        <v>2</v>
      </c>
      <c r="DC200" s="4">
        <v>1</v>
      </c>
      <c r="DD200" s="17">
        <v>4</v>
      </c>
      <c r="DE200" s="17">
        <v>4</v>
      </c>
      <c r="DF200" s="57">
        <v>4</v>
      </c>
      <c r="DG200" s="4">
        <v>1</v>
      </c>
      <c r="DH200" s="17">
        <v>4</v>
      </c>
      <c r="DI200" s="4">
        <v>3</v>
      </c>
      <c r="DJ200" s="4">
        <v>1</v>
      </c>
      <c r="DK200" s="17">
        <v>4</v>
      </c>
      <c r="DL200" s="4">
        <v>2</v>
      </c>
      <c r="DM200" s="4">
        <v>1</v>
      </c>
      <c r="DN200" s="4">
        <v>2</v>
      </c>
      <c r="DO200" s="4">
        <v>2</v>
      </c>
      <c r="DP200" s="17">
        <v>1</v>
      </c>
      <c r="DQ200" s="17">
        <v>4</v>
      </c>
      <c r="DR200" s="4">
        <v>2</v>
      </c>
      <c r="DS200" s="17">
        <v>1</v>
      </c>
      <c r="DT200" s="4">
        <v>4</v>
      </c>
    </row>
    <row r="201" spans="1:124" x14ac:dyDescent="0.2">
      <c r="A201" t="s">
        <v>668</v>
      </c>
      <c r="B201" s="1" t="s">
        <v>1432</v>
      </c>
      <c r="C201" s="1" t="s">
        <v>643</v>
      </c>
      <c r="E201" s="4">
        <v>1</v>
      </c>
      <c r="F201" s="1">
        <v>4</v>
      </c>
      <c r="G201" s="4">
        <v>4</v>
      </c>
      <c r="H201" s="4">
        <v>4</v>
      </c>
      <c r="I201" s="4">
        <v>1</v>
      </c>
      <c r="J201" s="4">
        <v>4</v>
      </c>
      <c r="K201" s="4">
        <v>4</v>
      </c>
      <c r="L201" s="17">
        <v>4</v>
      </c>
      <c r="M201" s="17">
        <v>4</v>
      </c>
      <c r="N201" s="4">
        <v>1</v>
      </c>
      <c r="O201" s="4">
        <v>4</v>
      </c>
      <c r="P201" s="4">
        <v>4</v>
      </c>
      <c r="Q201" s="4">
        <v>4</v>
      </c>
      <c r="R201" s="4">
        <v>1</v>
      </c>
      <c r="S201" s="4">
        <v>4</v>
      </c>
      <c r="T201" s="4">
        <v>4</v>
      </c>
      <c r="U201" s="4">
        <v>1</v>
      </c>
      <c r="V201" s="57">
        <v>4</v>
      </c>
      <c r="W201" s="4">
        <v>4</v>
      </c>
      <c r="X201" s="4">
        <v>4</v>
      </c>
      <c r="Y201" s="4">
        <v>1</v>
      </c>
      <c r="Z201" s="4">
        <v>4</v>
      </c>
      <c r="AA201" s="4">
        <v>4</v>
      </c>
      <c r="AB201" s="4">
        <v>4</v>
      </c>
      <c r="AC201" s="57">
        <v>4</v>
      </c>
      <c r="AD201" s="4">
        <v>4</v>
      </c>
      <c r="AE201" s="4">
        <v>4</v>
      </c>
      <c r="AF201" s="4">
        <v>4</v>
      </c>
      <c r="AG201" s="4">
        <v>4</v>
      </c>
      <c r="AH201" s="4">
        <v>4</v>
      </c>
      <c r="AI201" s="4">
        <v>4</v>
      </c>
      <c r="AJ201" s="4">
        <v>4</v>
      </c>
      <c r="AK201" s="4">
        <v>4</v>
      </c>
      <c r="AL201" s="4">
        <v>4</v>
      </c>
      <c r="AM201" s="4">
        <v>4</v>
      </c>
      <c r="AN201" s="4">
        <v>4</v>
      </c>
      <c r="AO201" s="4">
        <v>4</v>
      </c>
      <c r="AP201" s="4">
        <v>4</v>
      </c>
      <c r="AQ201" s="4">
        <v>4</v>
      </c>
      <c r="AR201" s="4">
        <v>4</v>
      </c>
      <c r="AS201" s="4">
        <v>4</v>
      </c>
      <c r="AT201" s="4">
        <v>4</v>
      </c>
      <c r="AU201" s="4">
        <v>4</v>
      </c>
      <c r="AV201" s="57">
        <v>4</v>
      </c>
      <c r="AW201" s="4">
        <v>4</v>
      </c>
      <c r="AX201" s="4">
        <v>4</v>
      </c>
      <c r="AY201" s="4">
        <v>4</v>
      </c>
      <c r="AZ201" s="4">
        <v>3</v>
      </c>
      <c r="BA201" s="57">
        <v>4</v>
      </c>
      <c r="BB201" s="57">
        <v>4</v>
      </c>
      <c r="BC201" s="4">
        <v>4</v>
      </c>
      <c r="BD201" s="4">
        <v>3</v>
      </c>
      <c r="BE201" s="4">
        <v>1</v>
      </c>
      <c r="BF201" s="4">
        <v>4</v>
      </c>
      <c r="BG201" s="4">
        <v>4</v>
      </c>
      <c r="BH201" s="4">
        <v>4</v>
      </c>
      <c r="BI201" s="4">
        <v>4</v>
      </c>
      <c r="BJ201" s="4">
        <v>4</v>
      </c>
      <c r="BK201" s="4">
        <v>4</v>
      </c>
      <c r="BL201" s="4">
        <v>4</v>
      </c>
      <c r="BM201" s="4">
        <v>4</v>
      </c>
      <c r="BN201" s="4">
        <v>4</v>
      </c>
      <c r="BO201" s="4">
        <v>4</v>
      </c>
      <c r="BP201" s="4">
        <v>4</v>
      </c>
      <c r="BQ201" s="4">
        <v>4</v>
      </c>
      <c r="BR201" s="4">
        <v>4</v>
      </c>
      <c r="BS201" s="4">
        <v>4</v>
      </c>
      <c r="BT201" s="4">
        <v>4</v>
      </c>
      <c r="BU201" s="4">
        <v>4</v>
      </c>
      <c r="BV201" s="4">
        <v>4</v>
      </c>
      <c r="BW201" s="4">
        <v>4</v>
      </c>
      <c r="BX201" s="4">
        <v>4</v>
      </c>
      <c r="BY201" s="4">
        <v>1</v>
      </c>
      <c r="BZ201" s="4">
        <v>4</v>
      </c>
      <c r="CA201" s="4">
        <v>4</v>
      </c>
      <c r="CB201" s="4">
        <v>4</v>
      </c>
      <c r="CC201" s="4">
        <v>4</v>
      </c>
      <c r="CD201" s="4">
        <v>4</v>
      </c>
      <c r="CE201" s="4">
        <v>1</v>
      </c>
      <c r="CF201" s="57">
        <v>4</v>
      </c>
      <c r="CG201" s="57">
        <v>4</v>
      </c>
      <c r="CH201" s="4">
        <v>4</v>
      </c>
      <c r="CI201" s="4">
        <v>4</v>
      </c>
      <c r="CJ201" s="4">
        <v>3</v>
      </c>
      <c r="CK201" s="17">
        <v>4</v>
      </c>
      <c r="CL201" s="4">
        <v>4</v>
      </c>
      <c r="CM201" s="4">
        <v>4</v>
      </c>
      <c r="CN201" s="57">
        <v>4</v>
      </c>
      <c r="CO201" s="4">
        <v>4</v>
      </c>
      <c r="CP201" s="4">
        <v>4</v>
      </c>
      <c r="CQ201" s="57">
        <v>4</v>
      </c>
      <c r="CR201" s="17">
        <v>4</v>
      </c>
      <c r="CS201" s="4">
        <v>4</v>
      </c>
      <c r="CT201" s="4">
        <v>4</v>
      </c>
      <c r="CU201" s="4">
        <v>4</v>
      </c>
      <c r="CV201" s="4">
        <v>4</v>
      </c>
      <c r="CW201" s="4">
        <v>1</v>
      </c>
      <c r="CX201" s="4">
        <v>4</v>
      </c>
      <c r="CY201" s="4">
        <v>4</v>
      </c>
      <c r="CZ201" s="4">
        <v>1</v>
      </c>
      <c r="DA201" s="17">
        <v>4</v>
      </c>
      <c r="DB201" s="17">
        <v>4</v>
      </c>
      <c r="DC201" s="17">
        <v>4</v>
      </c>
      <c r="DD201" s="4">
        <v>1</v>
      </c>
      <c r="DE201" s="17">
        <v>4</v>
      </c>
      <c r="DF201" s="57">
        <v>4</v>
      </c>
      <c r="DG201" s="17">
        <v>4</v>
      </c>
      <c r="DH201" s="4">
        <v>1</v>
      </c>
      <c r="DI201" s="17">
        <v>4</v>
      </c>
      <c r="DJ201" s="17">
        <v>4</v>
      </c>
      <c r="DK201" s="4">
        <v>1</v>
      </c>
      <c r="DL201" s="4">
        <v>4</v>
      </c>
      <c r="DM201" s="4">
        <v>4</v>
      </c>
      <c r="DN201" s="4">
        <v>1</v>
      </c>
      <c r="DO201" s="4">
        <v>4</v>
      </c>
      <c r="DP201" s="4">
        <v>4</v>
      </c>
      <c r="DQ201" s="4">
        <v>1</v>
      </c>
      <c r="DR201" s="4">
        <v>4</v>
      </c>
      <c r="DS201" s="4">
        <v>4</v>
      </c>
      <c r="DT201" s="4">
        <v>1</v>
      </c>
    </row>
    <row r="202" spans="1:124" x14ac:dyDescent="0.2">
      <c r="A202" t="s">
        <v>672</v>
      </c>
      <c r="B202" s="1" t="s">
        <v>1432</v>
      </c>
      <c r="C202" s="1" t="s">
        <v>643</v>
      </c>
      <c r="E202" s="4">
        <v>1</v>
      </c>
      <c r="F202" s="4">
        <v>1</v>
      </c>
      <c r="G202" s="4">
        <v>4</v>
      </c>
      <c r="H202" s="4">
        <v>1</v>
      </c>
      <c r="I202" s="4">
        <v>4</v>
      </c>
      <c r="J202" s="4">
        <v>4</v>
      </c>
      <c r="K202" s="4">
        <v>4</v>
      </c>
      <c r="L202" s="4">
        <v>4</v>
      </c>
      <c r="M202" s="4">
        <v>1</v>
      </c>
      <c r="N202" s="4">
        <v>4</v>
      </c>
      <c r="O202" s="4">
        <v>4</v>
      </c>
      <c r="P202" s="4">
        <v>4</v>
      </c>
      <c r="Q202" s="4">
        <v>4</v>
      </c>
      <c r="R202" s="4">
        <v>4</v>
      </c>
      <c r="S202" s="4">
        <v>1</v>
      </c>
      <c r="T202" s="4">
        <v>1</v>
      </c>
      <c r="U202" s="4">
        <v>4</v>
      </c>
      <c r="V202" s="57">
        <v>4</v>
      </c>
      <c r="W202" s="4">
        <v>4</v>
      </c>
      <c r="X202" s="4">
        <v>1</v>
      </c>
      <c r="Y202" s="4">
        <v>4</v>
      </c>
      <c r="Z202" s="4">
        <v>4</v>
      </c>
      <c r="AA202" s="4">
        <v>4</v>
      </c>
      <c r="AB202" s="4">
        <v>4</v>
      </c>
      <c r="AC202" s="57">
        <v>4</v>
      </c>
      <c r="AD202" s="4">
        <v>4</v>
      </c>
      <c r="AE202" s="4">
        <v>4</v>
      </c>
      <c r="AF202" s="4">
        <v>4</v>
      </c>
      <c r="AG202" s="4">
        <v>4</v>
      </c>
      <c r="AH202" s="4">
        <v>4</v>
      </c>
      <c r="AI202" s="4">
        <v>4</v>
      </c>
      <c r="AJ202" s="4">
        <v>1</v>
      </c>
      <c r="AK202" s="4">
        <v>4</v>
      </c>
      <c r="AL202" s="4">
        <v>4</v>
      </c>
      <c r="AM202" s="4">
        <v>4</v>
      </c>
      <c r="AN202" s="4">
        <v>4</v>
      </c>
      <c r="AO202" s="4">
        <v>4</v>
      </c>
      <c r="AP202" s="4">
        <v>4</v>
      </c>
      <c r="AQ202" s="4">
        <v>4</v>
      </c>
      <c r="AR202" s="4">
        <v>4</v>
      </c>
      <c r="AS202" s="4">
        <v>4</v>
      </c>
      <c r="AT202" s="4">
        <v>4</v>
      </c>
      <c r="AU202" s="4">
        <v>4</v>
      </c>
      <c r="AV202" s="57">
        <v>4</v>
      </c>
      <c r="AW202" s="4">
        <v>4</v>
      </c>
      <c r="AX202" s="4">
        <v>4</v>
      </c>
      <c r="AY202" s="4">
        <v>1</v>
      </c>
      <c r="AZ202" s="4">
        <v>4</v>
      </c>
      <c r="BA202" s="57">
        <v>4</v>
      </c>
      <c r="BB202" s="57">
        <v>4</v>
      </c>
      <c r="BC202" s="4">
        <v>4</v>
      </c>
      <c r="BD202" s="4">
        <v>1</v>
      </c>
      <c r="BE202" s="4">
        <v>4</v>
      </c>
      <c r="BF202" s="4">
        <v>4</v>
      </c>
      <c r="BG202" s="4">
        <v>4</v>
      </c>
      <c r="BH202" s="4">
        <v>4</v>
      </c>
      <c r="BI202" s="4">
        <v>4</v>
      </c>
      <c r="BJ202" s="4">
        <v>4</v>
      </c>
      <c r="BK202" s="4">
        <v>4</v>
      </c>
      <c r="BL202" s="4">
        <v>4</v>
      </c>
      <c r="BM202" s="4">
        <v>4</v>
      </c>
      <c r="BN202" s="4">
        <v>4</v>
      </c>
      <c r="BO202" s="4">
        <v>4</v>
      </c>
      <c r="BP202" s="4">
        <v>4</v>
      </c>
      <c r="BQ202" s="4">
        <v>4</v>
      </c>
      <c r="BR202" s="4">
        <v>4</v>
      </c>
      <c r="BS202" s="4">
        <v>4</v>
      </c>
      <c r="BT202" s="4">
        <v>4</v>
      </c>
      <c r="BU202" s="4">
        <v>4</v>
      </c>
      <c r="BV202" s="4">
        <v>4</v>
      </c>
      <c r="BW202" s="4">
        <v>4</v>
      </c>
      <c r="BX202" s="4">
        <v>1</v>
      </c>
      <c r="BY202" s="4">
        <v>4</v>
      </c>
      <c r="BZ202" s="4">
        <v>4</v>
      </c>
      <c r="CA202" s="4">
        <v>4</v>
      </c>
      <c r="CB202" s="4">
        <v>4</v>
      </c>
      <c r="CC202" s="4">
        <v>4</v>
      </c>
      <c r="CD202" s="4">
        <v>1</v>
      </c>
      <c r="CE202" s="4">
        <v>4</v>
      </c>
      <c r="CF202" s="57">
        <v>4</v>
      </c>
      <c r="CG202" s="57">
        <v>4</v>
      </c>
      <c r="CH202" s="4">
        <v>4</v>
      </c>
      <c r="CI202" s="4">
        <v>1</v>
      </c>
      <c r="CJ202" s="4">
        <v>4</v>
      </c>
      <c r="CK202" s="17">
        <v>4</v>
      </c>
      <c r="CL202" s="4">
        <v>4</v>
      </c>
      <c r="CM202" s="4">
        <v>4</v>
      </c>
      <c r="CN202" s="57">
        <v>4</v>
      </c>
      <c r="CO202" s="4">
        <v>4</v>
      </c>
      <c r="CP202" s="4">
        <v>4</v>
      </c>
      <c r="CQ202" s="57">
        <v>4</v>
      </c>
      <c r="CR202" s="17">
        <v>4</v>
      </c>
      <c r="CS202" s="4">
        <v>4</v>
      </c>
      <c r="CT202" s="4">
        <v>4</v>
      </c>
      <c r="CU202" s="4">
        <v>4</v>
      </c>
      <c r="CV202" s="4">
        <v>1</v>
      </c>
      <c r="CW202" s="4">
        <v>4</v>
      </c>
      <c r="CX202" s="4">
        <v>4</v>
      </c>
      <c r="CY202" s="4">
        <v>1</v>
      </c>
      <c r="CZ202" s="4">
        <v>4</v>
      </c>
      <c r="DA202" s="17">
        <v>4</v>
      </c>
      <c r="DB202" s="4">
        <v>4</v>
      </c>
      <c r="DC202" s="4">
        <v>1</v>
      </c>
      <c r="DD202" s="4">
        <v>4</v>
      </c>
      <c r="DE202" s="17">
        <v>4</v>
      </c>
      <c r="DF202" s="57">
        <v>4</v>
      </c>
      <c r="DG202" s="4">
        <v>1</v>
      </c>
      <c r="DH202" s="4">
        <v>4</v>
      </c>
      <c r="DI202" s="4">
        <v>4</v>
      </c>
      <c r="DJ202" s="4">
        <v>1</v>
      </c>
      <c r="DK202" s="4">
        <v>4</v>
      </c>
      <c r="DL202" s="4">
        <v>4</v>
      </c>
      <c r="DM202" s="4">
        <v>1</v>
      </c>
      <c r="DN202" s="4">
        <v>4</v>
      </c>
      <c r="DO202" s="4">
        <v>4</v>
      </c>
      <c r="DP202" s="4">
        <v>1</v>
      </c>
      <c r="DQ202" s="4">
        <v>4</v>
      </c>
      <c r="DR202" s="4">
        <v>4</v>
      </c>
      <c r="DS202" s="4">
        <v>4</v>
      </c>
      <c r="DT202" s="4">
        <v>4</v>
      </c>
    </row>
    <row r="203" spans="1:124" x14ac:dyDescent="0.2">
      <c r="A203" t="s">
        <v>674</v>
      </c>
      <c r="B203" s="1" t="s">
        <v>1432</v>
      </c>
      <c r="C203" s="1" t="s">
        <v>643</v>
      </c>
      <c r="E203" s="4">
        <v>1</v>
      </c>
      <c r="F203" s="4">
        <v>1</v>
      </c>
      <c r="G203" s="4">
        <v>4</v>
      </c>
      <c r="H203" s="4">
        <v>1</v>
      </c>
      <c r="I203" s="4">
        <v>4</v>
      </c>
      <c r="J203" s="4">
        <v>4</v>
      </c>
      <c r="K203" s="4">
        <v>4</v>
      </c>
      <c r="L203" s="4">
        <v>4</v>
      </c>
      <c r="M203" s="4">
        <v>1</v>
      </c>
      <c r="N203" s="4">
        <v>4</v>
      </c>
      <c r="O203" s="4">
        <v>4</v>
      </c>
      <c r="P203" s="4">
        <v>4</v>
      </c>
      <c r="Q203" s="4">
        <v>4</v>
      </c>
      <c r="R203" s="4">
        <v>4</v>
      </c>
      <c r="S203" s="4">
        <v>1</v>
      </c>
      <c r="T203" s="4">
        <v>1</v>
      </c>
      <c r="U203" s="4">
        <v>4</v>
      </c>
      <c r="V203" s="57">
        <v>4</v>
      </c>
      <c r="W203" s="4">
        <v>4</v>
      </c>
      <c r="X203" s="4">
        <v>1</v>
      </c>
      <c r="Y203" s="4">
        <v>4</v>
      </c>
      <c r="Z203" s="4">
        <v>4</v>
      </c>
      <c r="AA203" s="4">
        <v>4</v>
      </c>
      <c r="AB203" s="4">
        <v>4</v>
      </c>
      <c r="AC203" s="57">
        <v>4</v>
      </c>
      <c r="AD203" s="4">
        <v>4</v>
      </c>
      <c r="AE203" s="4">
        <v>4</v>
      </c>
      <c r="AF203" s="4">
        <v>4</v>
      </c>
      <c r="AG203" s="4">
        <v>4</v>
      </c>
      <c r="AH203" s="4">
        <v>4</v>
      </c>
      <c r="AI203" s="4">
        <v>4</v>
      </c>
      <c r="AJ203" s="4">
        <v>1</v>
      </c>
      <c r="AK203" s="4">
        <v>4</v>
      </c>
      <c r="AL203" s="4">
        <v>4</v>
      </c>
      <c r="AM203" s="4">
        <v>4</v>
      </c>
      <c r="AN203" s="4">
        <v>4</v>
      </c>
      <c r="AO203" s="4">
        <v>4</v>
      </c>
      <c r="AP203" s="4">
        <v>4</v>
      </c>
      <c r="AQ203" s="4">
        <v>4</v>
      </c>
      <c r="AR203" s="4">
        <v>4</v>
      </c>
      <c r="AS203" s="4">
        <v>4</v>
      </c>
      <c r="AT203" s="4">
        <v>4</v>
      </c>
      <c r="AU203" s="4">
        <v>4</v>
      </c>
      <c r="AV203" s="57">
        <v>4</v>
      </c>
      <c r="AW203" s="4">
        <v>4</v>
      </c>
      <c r="AX203" s="4">
        <v>4</v>
      </c>
      <c r="AY203" s="4">
        <v>1</v>
      </c>
      <c r="AZ203" s="4">
        <v>4</v>
      </c>
      <c r="BA203" s="57">
        <v>4</v>
      </c>
      <c r="BB203" s="57">
        <v>4</v>
      </c>
      <c r="BC203" s="4">
        <v>4</v>
      </c>
      <c r="BD203" s="4">
        <v>1</v>
      </c>
      <c r="BE203" s="4">
        <v>4</v>
      </c>
      <c r="BF203" s="4">
        <v>4</v>
      </c>
      <c r="BG203" s="4">
        <v>4</v>
      </c>
      <c r="BH203" s="4">
        <v>4</v>
      </c>
      <c r="BI203" s="4">
        <v>4</v>
      </c>
      <c r="BJ203" s="4">
        <v>4</v>
      </c>
      <c r="BK203" s="4">
        <v>4</v>
      </c>
      <c r="BL203" s="4">
        <v>4</v>
      </c>
      <c r="BM203" s="4">
        <v>4</v>
      </c>
      <c r="BN203" s="4">
        <v>4</v>
      </c>
      <c r="BO203" s="4">
        <v>4</v>
      </c>
      <c r="BP203" s="4">
        <v>4</v>
      </c>
      <c r="BQ203" s="4">
        <v>4</v>
      </c>
      <c r="BR203" s="4">
        <v>4</v>
      </c>
      <c r="BS203" s="4">
        <v>4</v>
      </c>
      <c r="BT203" s="4">
        <v>4</v>
      </c>
      <c r="BU203" s="4">
        <v>4</v>
      </c>
      <c r="BV203" s="4">
        <v>4</v>
      </c>
      <c r="BW203" s="4">
        <v>4</v>
      </c>
      <c r="BX203" s="4">
        <v>1</v>
      </c>
      <c r="BY203" s="4">
        <v>4</v>
      </c>
      <c r="BZ203" s="4">
        <v>4</v>
      </c>
      <c r="CA203" s="4">
        <v>4</v>
      </c>
      <c r="CB203" s="4">
        <v>4</v>
      </c>
      <c r="CC203" s="4">
        <v>4</v>
      </c>
      <c r="CD203" s="4">
        <v>1</v>
      </c>
      <c r="CE203" s="4">
        <v>4</v>
      </c>
      <c r="CF203" s="57">
        <v>4</v>
      </c>
      <c r="CG203" s="57">
        <v>4</v>
      </c>
      <c r="CH203" s="4">
        <v>4</v>
      </c>
      <c r="CI203" s="4">
        <v>1</v>
      </c>
      <c r="CJ203" s="4">
        <v>4</v>
      </c>
      <c r="CK203" s="17">
        <v>4</v>
      </c>
      <c r="CL203" s="4">
        <v>4</v>
      </c>
      <c r="CM203" s="4">
        <v>4</v>
      </c>
      <c r="CN203" s="57">
        <v>4</v>
      </c>
      <c r="CO203" s="4">
        <v>4</v>
      </c>
      <c r="CP203" s="4">
        <v>4</v>
      </c>
      <c r="CQ203" s="57">
        <v>4</v>
      </c>
      <c r="CR203" s="17">
        <v>4</v>
      </c>
      <c r="CS203" s="4">
        <v>4</v>
      </c>
      <c r="CT203" s="4">
        <v>4</v>
      </c>
      <c r="CU203" s="4">
        <v>4</v>
      </c>
      <c r="CV203" s="4">
        <v>1</v>
      </c>
      <c r="CW203" s="4">
        <v>4</v>
      </c>
      <c r="CX203" s="4">
        <v>4</v>
      </c>
      <c r="CY203" s="4">
        <v>1</v>
      </c>
      <c r="CZ203" s="4">
        <v>4</v>
      </c>
      <c r="DA203" s="17">
        <v>4</v>
      </c>
      <c r="DB203" s="4">
        <v>4</v>
      </c>
      <c r="DC203" s="4">
        <v>1</v>
      </c>
      <c r="DD203" s="4">
        <v>4</v>
      </c>
      <c r="DE203" s="17">
        <v>4</v>
      </c>
      <c r="DF203" s="57">
        <v>4</v>
      </c>
      <c r="DG203" s="4">
        <v>1</v>
      </c>
      <c r="DH203" s="4">
        <v>4</v>
      </c>
      <c r="DI203" s="4">
        <v>4</v>
      </c>
      <c r="DJ203" s="4">
        <v>1</v>
      </c>
      <c r="DK203" s="4">
        <v>4</v>
      </c>
      <c r="DL203" s="4">
        <v>4</v>
      </c>
      <c r="DM203" s="4">
        <v>1</v>
      </c>
      <c r="DN203" s="4">
        <v>4</v>
      </c>
      <c r="DO203" s="4">
        <v>4</v>
      </c>
      <c r="DP203" s="4">
        <v>1</v>
      </c>
      <c r="DQ203" s="4">
        <v>4</v>
      </c>
      <c r="DR203" s="4">
        <v>4</v>
      </c>
      <c r="DS203" s="4">
        <v>4</v>
      </c>
      <c r="DT203" s="4">
        <v>4</v>
      </c>
    </row>
    <row r="204" spans="1:124" x14ac:dyDescent="0.2">
      <c r="A204" t="s">
        <v>676</v>
      </c>
      <c r="B204" s="1" t="s">
        <v>1432</v>
      </c>
      <c r="C204" s="1" t="s">
        <v>643</v>
      </c>
      <c r="E204" s="4">
        <v>1</v>
      </c>
      <c r="F204" s="4">
        <v>1</v>
      </c>
      <c r="G204" s="4">
        <v>4</v>
      </c>
      <c r="H204" s="4">
        <v>1</v>
      </c>
      <c r="I204" s="4">
        <v>4</v>
      </c>
      <c r="J204" s="4">
        <v>4</v>
      </c>
      <c r="K204" s="4">
        <v>4</v>
      </c>
      <c r="L204" s="4">
        <v>4</v>
      </c>
      <c r="M204" s="4">
        <v>1</v>
      </c>
      <c r="N204" s="4">
        <v>4</v>
      </c>
      <c r="O204" s="4">
        <v>4</v>
      </c>
      <c r="P204" s="4">
        <v>4</v>
      </c>
      <c r="Q204" s="4">
        <v>4</v>
      </c>
      <c r="R204" s="4">
        <v>4</v>
      </c>
      <c r="S204" s="4">
        <v>1</v>
      </c>
      <c r="T204" s="4">
        <v>1</v>
      </c>
      <c r="U204" s="4">
        <v>4</v>
      </c>
      <c r="V204" s="57">
        <v>4</v>
      </c>
      <c r="W204" s="4">
        <v>4</v>
      </c>
      <c r="X204" s="4">
        <v>1</v>
      </c>
      <c r="Y204" s="4">
        <v>4</v>
      </c>
      <c r="Z204" s="4">
        <v>4</v>
      </c>
      <c r="AA204" s="4">
        <v>4</v>
      </c>
      <c r="AB204" s="4">
        <v>4</v>
      </c>
      <c r="AC204" s="57">
        <v>4</v>
      </c>
      <c r="AD204" s="4">
        <v>4</v>
      </c>
      <c r="AE204" s="4">
        <v>4</v>
      </c>
      <c r="AF204" s="4">
        <v>4</v>
      </c>
      <c r="AG204" s="4">
        <v>4</v>
      </c>
      <c r="AH204" s="4">
        <v>4</v>
      </c>
      <c r="AI204" s="4">
        <v>4</v>
      </c>
      <c r="AJ204" s="4">
        <v>1</v>
      </c>
      <c r="AK204" s="4">
        <v>4</v>
      </c>
      <c r="AL204" s="4">
        <v>4</v>
      </c>
      <c r="AM204" s="4">
        <v>4</v>
      </c>
      <c r="AN204" s="4">
        <v>4</v>
      </c>
      <c r="AO204" s="4">
        <v>4</v>
      </c>
      <c r="AP204" s="4">
        <v>4</v>
      </c>
      <c r="AQ204" s="4">
        <v>4</v>
      </c>
      <c r="AR204" s="4">
        <v>4</v>
      </c>
      <c r="AS204" s="4">
        <v>4</v>
      </c>
      <c r="AT204" s="4">
        <v>4</v>
      </c>
      <c r="AU204" s="4">
        <v>4</v>
      </c>
      <c r="AV204" s="57">
        <v>4</v>
      </c>
      <c r="AW204" s="4">
        <v>4</v>
      </c>
      <c r="AX204" s="4">
        <v>4</v>
      </c>
      <c r="AY204" s="4">
        <v>1</v>
      </c>
      <c r="AZ204" s="4">
        <v>4</v>
      </c>
      <c r="BA204" s="57">
        <v>4</v>
      </c>
      <c r="BB204" s="57">
        <v>4</v>
      </c>
      <c r="BC204" s="4">
        <v>4</v>
      </c>
      <c r="BD204" s="4">
        <v>1</v>
      </c>
      <c r="BE204" s="4">
        <v>4</v>
      </c>
      <c r="BF204" s="4">
        <v>4</v>
      </c>
      <c r="BG204" s="4">
        <v>4</v>
      </c>
      <c r="BH204" s="4">
        <v>4</v>
      </c>
      <c r="BI204" s="4">
        <v>4</v>
      </c>
      <c r="BJ204" s="4">
        <v>4</v>
      </c>
      <c r="BK204" s="4">
        <v>4</v>
      </c>
      <c r="BL204" s="4">
        <v>4</v>
      </c>
      <c r="BM204" s="4">
        <v>4</v>
      </c>
      <c r="BN204" s="4">
        <v>4</v>
      </c>
      <c r="BO204" s="4">
        <v>4</v>
      </c>
      <c r="BP204" s="4">
        <v>4</v>
      </c>
      <c r="BQ204" s="4">
        <v>4</v>
      </c>
      <c r="BR204" s="4">
        <v>4</v>
      </c>
      <c r="BS204" s="4">
        <v>4</v>
      </c>
      <c r="BT204" s="4">
        <v>4</v>
      </c>
      <c r="BU204" s="4">
        <v>4</v>
      </c>
      <c r="BV204" s="4">
        <v>4</v>
      </c>
      <c r="BW204" s="4">
        <v>4</v>
      </c>
      <c r="BX204" s="4">
        <v>1</v>
      </c>
      <c r="BY204" s="4">
        <v>4</v>
      </c>
      <c r="BZ204" s="4">
        <v>4</v>
      </c>
      <c r="CA204" s="4">
        <v>4</v>
      </c>
      <c r="CB204" s="4">
        <v>4</v>
      </c>
      <c r="CC204" s="4">
        <v>4</v>
      </c>
      <c r="CD204" s="4">
        <v>1</v>
      </c>
      <c r="CE204" s="4">
        <v>4</v>
      </c>
      <c r="CF204" s="57">
        <v>4</v>
      </c>
      <c r="CG204" s="57">
        <v>4</v>
      </c>
      <c r="CH204" s="4">
        <v>4</v>
      </c>
      <c r="CI204" s="4">
        <v>1</v>
      </c>
      <c r="CJ204" s="4">
        <v>4</v>
      </c>
      <c r="CK204" s="17">
        <v>4</v>
      </c>
      <c r="CL204" s="4">
        <v>4</v>
      </c>
      <c r="CM204" s="4">
        <v>4</v>
      </c>
      <c r="CN204" s="57">
        <v>4</v>
      </c>
      <c r="CO204" s="4">
        <v>4</v>
      </c>
      <c r="CP204" s="4">
        <v>4</v>
      </c>
      <c r="CQ204" s="57">
        <v>4</v>
      </c>
      <c r="CR204" s="17">
        <v>4</v>
      </c>
      <c r="CS204" s="4">
        <v>4</v>
      </c>
      <c r="CT204" s="4">
        <v>4</v>
      </c>
      <c r="CU204" s="4">
        <v>4</v>
      </c>
      <c r="CV204" s="4">
        <v>1</v>
      </c>
      <c r="CW204" s="4">
        <v>4</v>
      </c>
      <c r="CX204" s="4">
        <v>4</v>
      </c>
      <c r="CY204" s="4">
        <v>1</v>
      </c>
      <c r="CZ204" s="4">
        <v>4</v>
      </c>
      <c r="DA204" s="17">
        <v>4</v>
      </c>
      <c r="DB204" s="4">
        <v>4</v>
      </c>
      <c r="DC204" s="4">
        <v>1</v>
      </c>
      <c r="DD204" s="4">
        <v>4</v>
      </c>
      <c r="DE204" s="17">
        <v>4</v>
      </c>
      <c r="DF204" s="57">
        <v>4</v>
      </c>
      <c r="DG204" s="4">
        <v>1</v>
      </c>
      <c r="DH204" s="4">
        <v>4</v>
      </c>
      <c r="DI204" s="4">
        <v>4</v>
      </c>
      <c r="DJ204" s="4">
        <v>1</v>
      </c>
      <c r="DK204" s="4">
        <v>4</v>
      </c>
      <c r="DL204" s="4">
        <v>4</v>
      </c>
      <c r="DM204" s="4">
        <v>1</v>
      </c>
      <c r="DN204" s="4">
        <v>4</v>
      </c>
      <c r="DO204" s="4">
        <v>4</v>
      </c>
      <c r="DP204" s="4">
        <v>1</v>
      </c>
      <c r="DQ204" s="4">
        <v>4</v>
      </c>
      <c r="DR204" s="4">
        <v>4</v>
      </c>
      <c r="DS204" s="4">
        <v>4</v>
      </c>
      <c r="DT204" s="4">
        <v>4</v>
      </c>
    </row>
    <row r="205" spans="1:124" x14ac:dyDescent="0.2">
      <c r="A205" t="s">
        <v>679</v>
      </c>
      <c r="B205" s="1" t="s">
        <v>1432</v>
      </c>
      <c r="C205" s="1" t="s">
        <v>643</v>
      </c>
      <c r="E205" s="4">
        <v>1</v>
      </c>
      <c r="F205" s="4">
        <v>4</v>
      </c>
      <c r="G205" s="4">
        <v>4</v>
      </c>
      <c r="H205" s="4">
        <v>4</v>
      </c>
      <c r="I205" s="4">
        <v>1</v>
      </c>
      <c r="J205" s="4">
        <v>4</v>
      </c>
      <c r="K205" s="4">
        <v>4</v>
      </c>
      <c r="L205" s="4">
        <v>4</v>
      </c>
      <c r="M205" s="4">
        <v>4</v>
      </c>
      <c r="N205" s="4">
        <v>1</v>
      </c>
      <c r="O205" s="4">
        <v>4</v>
      </c>
      <c r="P205" s="4">
        <v>4</v>
      </c>
      <c r="Q205" s="4">
        <v>4</v>
      </c>
      <c r="R205" s="4">
        <v>1</v>
      </c>
      <c r="S205" s="4">
        <v>4</v>
      </c>
      <c r="T205" s="4">
        <v>4</v>
      </c>
      <c r="U205" s="4">
        <v>1</v>
      </c>
      <c r="V205" s="57">
        <v>4</v>
      </c>
      <c r="W205" s="4">
        <v>4</v>
      </c>
      <c r="X205" s="4">
        <v>4</v>
      </c>
      <c r="Y205" s="4">
        <v>1</v>
      </c>
      <c r="Z205" s="4">
        <v>4</v>
      </c>
      <c r="AA205" s="4">
        <v>4</v>
      </c>
      <c r="AB205" s="4">
        <v>4</v>
      </c>
      <c r="AC205" s="57">
        <v>4</v>
      </c>
      <c r="AD205" s="4">
        <v>4</v>
      </c>
      <c r="AE205" s="4">
        <v>4</v>
      </c>
      <c r="AF205" s="4">
        <v>4</v>
      </c>
      <c r="AG205" s="4">
        <v>4</v>
      </c>
      <c r="AH205" s="4">
        <v>4</v>
      </c>
      <c r="AI205" s="4">
        <v>4</v>
      </c>
      <c r="AJ205" s="4">
        <v>4</v>
      </c>
      <c r="AK205" s="4">
        <v>4</v>
      </c>
      <c r="AL205" s="4">
        <v>4</v>
      </c>
      <c r="AM205" s="4">
        <v>4</v>
      </c>
      <c r="AN205" s="4">
        <v>4</v>
      </c>
      <c r="AO205" s="4">
        <v>4</v>
      </c>
      <c r="AP205" s="4">
        <v>4</v>
      </c>
      <c r="AQ205" s="4">
        <v>4</v>
      </c>
      <c r="AR205" s="4">
        <v>4</v>
      </c>
      <c r="AS205" s="4">
        <v>4</v>
      </c>
      <c r="AT205" s="4">
        <v>4</v>
      </c>
      <c r="AU205" s="4">
        <v>4</v>
      </c>
      <c r="AV205" s="57">
        <v>4</v>
      </c>
      <c r="AW205" s="4">
        <v>4</v>
      </c>
      <c r="AX205" s="4">
        <v>4</v>
      </c>
      <c r="AY205" s="4">
        <v>4</v>
      </c>
      <c r="AZ205" s="4">
        <v>3</v>
      </c>
      <c r="BA205" s="57">
        <v>4</v>
      </c>
      <c r="BB205" s="57">
        <v>4</v>
      </c>
      <c r="BC205" s="4">
        <v>4</v>
      </c>
      <c r="BD205" s="4">
        <v>3</v>
      </c>
      <c r="BE205" s="4">
        <v>1</v>
      </c>
      <c r="BF205" s="4">
        <v>4</v>
      </c>
      <c r="BG205" s="4">
        <v>4</v>
      </c>
      <c r="BH205" s="4">
        <v>4</v>
      </c>
      <c r="BI205" s="4">
        <v>4</v>
      </c>
      <c r="BJ205" s="4">
        <v>4</v>
      </c>
      <c r="BK205" s="4">
        <v>4</v>
      </c>
      <c r="BL205" s="4">
        <v>4</v>
      </c>
      <c r="BM205" s="4">
        <v>4</v>
      </c>
      <c r="BN205" s="4">
        <v>4</v>
      </c>
      <c r="BO205" s="4">
        <v>4</v>
      </c>
      <c r="BP205" s="4">
        <v>4</v>
      </c>
      <c r="BQ205" s="4">
        <v>4</v>
      </c>
      <c r="BR205" s="4">
        <v>4</v>
      </c>
      <c r="BS205" s="4">
        <v>4</v>
      </c>
      <c r="BT205" s="4">
        <v>4</v>
      </c>
      <c r="BU205" s="4">
        <v>4</v>
      </c>
      <c r="BV205" s="4">
        <v>4</v>
      </c>
      <c r="BW205" s="4">
        <v>4</v>
      </c>
      <c r="BX205" s="4">
        <v>4</v>
      </c>
      <c r="BY205" s="4">
        <v>1</v>
      </c>
      <c r="BZ205" s="4">
        <v>4</v>
      </c>
      <c r="CA205" s="4">
        <v>1</v>
      </c>
      <c r="CB205" s="4">
        <v>4</v>
      </c>
      <c r="CC205" s="4">
        <v>4</v>
      </c>
      <c r="CD205" s="4">
        <v>4</v>
      </c>
      <c r="CE205" s="4">
        <v>1</v>
      </c>
      <c r="CF205" s="57">
        <v>4</v>
      </c>
      <c r="CG205" s="57">
        <v>4</v>
      </c>
      <c r="CH205" s="4">
        <v>4</v>
      </c>
      <c r="CI205" s="4">
        <v>4</v>
      </c>
      <c r="CJ205" s="4">
        <v>3</v>
      </c>
      <c r="CK205" s="17">
        <v>4</v>
      </c>
      <c r="CL205" s="4">
        <v>4</v>
      </c>
      <c r="CM205" s="4">
        <v>4</v>
      </c>
      <c r="CN205" s="57">
        <v>4</v>
      </c>
      <c r="CO205" s="4">
        <v>4</v>
      </c>
      <c r="CP205" s="4">
        <v>4</v>
      </c>
      <c r="CQ205" s="57">
        <v>4</v>
      </c>
      <c r="CR205" s="17">
        <v>4</v>
      </c>
      <c r="CS205" s="4">
        <v>4</v>
      </c>
      <c r="CT205" s="4">
        <v>4</v>
      </c>
      <c r="CU205" s="4">
        <v>4</v>
      </c>
      <c r="CV205" s="4">
        <v>4</v>
      </c>
      <c r="CW205" s="4">
        <v>1</v>
      </c>
      <c r="CX205" s="4">
        <v>4</v>
      </c>
      <c r="CY205" s="4">
        <v>4</v>
      </c>
      <c r="CZ205" s="4">
        <v>1</v>
      </c>
      <c r="DA205" s="17">
        <v>4</v>
      </c>
      <c r="DB205" s="17">
        <v>4</v>
      </c>
      <c r="DC205" s="17">
        <v>4</v>
      </c>
      <c r="DD205" s="4">
        <v>1</v>
      </c>
      <c r="DE205" s="17">
        <v>4</v>
      </c>
      <c r="DF205" s="57">
        <v>4</v>
      </c>
      <c r="DG205" s="17">
        <v>4</v>
      </c>
      <c r="DH205" s="4">
        <v>1</v>
      </c>
      <c r="DI205" s="17">
        <v>4</v>
      </c>
      <c r="DJ205" s="17">
        <v>4</v>
      </c>
      <c r="DK205" s="4">
        <v>1</v>
      </c>
      <c r="DL205" s="4">
        <v>4</v>
      </c>
      <c r="DM205" s="4">
        <v>4</v>
      </c>
      <c r="DN205" s="4">
        <v>1</v>
      </c>
      <c r="DO205" s="4">
        <v>4</v>
      </c>
      <c r="DP205" s="4">
        <v>4</v>
      </c>
      <c r="DQ205" s="4">
        <v>1</v>
      </c>
      <c r="DR205" s="4">
        <v>4</v>
      </c>
      <c r="DS205" s="4">
        <v>4</v>
      </c>
      <c r="DT205" s="4">
        <v>2</v>
      </c>
    </row>
    <row r="206" spans="1:124" x14ac:dyDescent="0.2">
      <c r="A206" t="s">
        <v>680</v>
      </c>
      <c r="B206" s="1" t="s">
        <v>1432</v>
      </c>
      <c r="C206" s="1" t="s">
        <v>643</v>
      </c>
      <c r="E206" s="4">
        <v>1</v>
      </c>
      <c r="F206" s="4">
        <v>4</v>
      </c>
      <c r="G206" s="4">
        <v>4</v>
      </c>
      <c r="H206" s="4">
        <v>4</v>
      </c>
      <c r="I206" s="4">
        <v>1</v>
      </c>
      <c r="J206" s="4">
        <v>4</v>
      </c>
      <c r="K206" s="4">
        <v>4</v>
      </c>
      <c r="L206" s="4">
        <v>4</v>
      </c>
      <c r="M206" s="4">
        <v>4</v>
      </c>
      <c r="N206" s="4">
        <v>1</v>
      </c>
      <c r="O206" s="4">
        <v>4</v>
      </c>
      <c r="P206" s="4">
        <v>4</v>
      </c>
      <c r="Q206" s="4">
        <v>4</v>
      </c>
      <c r="R206" s="4">
        <v>4</v>
      </c>
      <c r="S206" s="4">
        <v>4</v>
      </c>
      <c r="T206" s="4">
        <v>4</v>
      </c>
      <c r="U206" s="4">
        <v>1</v>
      </c>
      <c r="V206" s="57">
        <v>4</v>
      </c>
      <c r="W206" s="4">
        <v>4</v>
      </c>
      <c r="X206" s="4">
        <v>4</v>
      </c>
      <c r="Y206" s="4">
        <v>1</v>
      </c>
      <c r="Z206" s="4">
        <v>4</v>
      </c>
      <c r="AA206" s="4">
        <v>4</v>
      </c>
      <c r="AB206" s="4">
        <v>4</v>
      </c>
      <c r="AC206" s="57">
        <v>4</v>
      </c>
      <c r="AD206" s="4">
        <v>4</v>
      </c>
      <c r="AE206" s="4">
        <v>4</v>
      </c>
      <c r="AF206" s="4">
        <v>4</v>
      </c>
      <c r="AG206" s="4">
        <v>4</v>
      </c>
      <c r="AH206" s="4">
        <v>4</v>
      </c>
      <c r="AI206" s="4">
        <v>4</v>
      </c>
      <c r="AJ206" s="4">
        <v>4</v>
      </c>
      <c r="AK206" s="4">
        <v>4</v>
      </c>
      <c r="AL206" s="4">
        <v>4</v>
      </c>
      <c r="AM206" s="4">
        <v>4</v>
      </c>
      <c r="AN206" s="4">
        <v>4</v>
      </c>
      <c r="AO206" s="4">
        <v>4</v>
      </c>
      <c r="AP206" s="4">
        <v>4</v>
      </c>
      <c r="AQ206" s="4">
        <v>4</v>
      </c>
      <c r="AR206" s="4">
        <v>4</v>
      </c>
      <c r="AS206" s="4">
        <v>4</v>
      </c>
      <c r="AT206" s="4">
        <v>4</v>
      </c>
      <c r="AU206" s="4">
        <v>4</v>
      </c>
      <c r="AV206" s="57">
        <v>4</v>
      </c>
      <c r="AW206" s="4">
        <v>4</v>
      </c>
      <c r="AX206" s="4">
        <v>4</v>
      </c>
      <c r="AY206" s="4">
        <v>4</v>
      </c>
      <c r="AZ206" s="4">
        <v>3</v>
      </c>
      <c r="BA206" s="57">
        <v>4</v>
      </c>
      <c r="BB206" s="57">
        <v>4</v>
      </c>
      <c r="BC206" s="4">
        <v>4</v>
      </c>
      <c r="BD206" s="4">
        <v>3</v>
      </c>
      <c r="BE206" s="4">
        <v>1</v>
      </c>
      <c r="BF206" s="4">
        <v>4</v>
      </c>
      <c r="BG206" s="4">
        <v>4</v>
      </c>
      <c r="BH206" s="4">
        <v>4</v>
      </c>
      <c r="BI206" s="4">
        <v>4</v>
      </c>
      <c r="BJ206" s="4">
        <v>4</v>
      </c>
      <c r="BK206" s="4">
        <v>4</v>
      </c>
      <c r="BL206" s="4">
        <v>4</v>
      </c>
      <c r="BM206" s="4">
        <v>4</v>
      </c>
      <c r="BN206" s="4">
        <v>4</v>
      </c>
      <c r="BO206" s="4">
        <v>4</v>
      </c>
      <c r="BP206" s="4">
        <v>4</v>
      </c>
      <c r="BQ206" s="4">
        <v>4</v>
      </c>
      <c r="BR206" s="4">
        <v>4</v>
      </c>
      <c r="BS206" s="4">
        <v>4</v>
      </c>
      <c r="BT206" s="4">
        <v>4</v>
      </c>
      <c r="BU206" s="4">
        <v>4</v>
      </c>
      <c r="BV206" s="4">
        <v>4</v>
      </c>
      <c r="BW206" s="4">
        <v>4</v>
      </c>
      <c r="BX206" s="4">
        <v>4</v>
      </c>
      <c r="BY206" s="4">
        <v>1</v>
      </c>
      <c r="BZ206" s="4">
        <v>4</v>
      </c>
      <c r="CA206" s="4">
        <v>1</v>
      </c>
      <c r="CB206" s="4">
        <v>4</v>
      </c>
      <c r="CC206" s="4">
        <v>4</v>
      </c>
      <c r="CD206" s="4">
        <v>4</v>
      </c>
      <c r="CE206" s="4">
        <v>1</v>
      </c>
      <c r="CF206" s="57">
        <v>4</v>
      </c>
      <c r="CG206" s="57">
        <v>4</v>
      </c>
      <c r="CH206" s="4">
        <v>4</v>
      </c>
      <c r="CI206" s="4">
        <v>4</v>
      </c>
      <c r="CJ206" s="4">
        <v>3</v>
      </c>
      <c r="CK206" s="17">
        <v>4</v>
      </c>
      <c r="CL206" s="4">
        <v>4</v>
      </c>
      <c r="CM206" s="4">
        <v>4</v>
      </c>
      <c r="CN206" s="57">
        <v>4</v>
      </c>
      <c r="CO206" s="4">
        <v>4</v>
      </c>
      <c r="CP206" s="4">
        <v>4</v>
      </c>
      <c r="CQ206" s="57">
        <v>4</v>
      </c>
      <c r="CR206" s="17">
        <v>4</v>
      </c>
      <c r="CS206" s="4">
        <v>4</v>
      </c>
      <c r="CT206" s="4">
        <v>4</v>
      </c>
      <c r="CU206" s="4">
        <v>4</v>
      </c>
      <c r="CV206" s="4">
        <v>4</v>
      </c>
      <c r="CW206" s="4">
        <v>1</v>
      </c>
      <c r="CX206" s="4">
        <v>4</v>
      </c>
      <c r="CY206" s="4">
        <v>4</v>
      </c>
      <c r="CZ206" s="4">
        <v>1</v>
      </c>
      <c r="DA206" s="17">
        <v>4</v>
      </c>
      <c r="DB206" s="17">
        <v>4</v>
      </c>
      <c r="DC206" s="17">
        <v>4</v>
      </c>
      <c r="DD206" s="4">
        <v>1</v>
      </c>
      <c r="DE206" s="17">
        <v>4</v>
      </c>
      <c r="DF206" s="57">
        <v>4</v>
      </c>
      <c r="DG206" s="17">
        <v>4</v>
      </c>
      <c r="DH206" s="4">
        <v>2</v>
      </c>
      <c r="DI206" s="17">
        <v>4</v>
      </c>
      <c r="DJ206" s="17">
        <v>4</v>
      </c>
      <c r="DK206" s="4">
        <v>1</v>
      </c>
      <c r="DL206" s="4">
        <v>4</v>
      </c>
      <c r="DM206" s="4">
        <v>4</v>
      </c>
      <c r="DN206" s="4">
        <v>1</v>
      </c>
      <c r="DO206" s="4">
        <v>4</v>
      </c>
      <c r="DP206" s="4">
        <v>4</v>
      </c>
      <c r="DQ206" s="4">
        <v>1</v>
      </c>
      <c r="DR206" s="4">
        <v>4</v>
      </c>
      <c r="DS206" s="4">
        <v>4</v>
      </c>
      <c r="DT206" s="4">
        <v>2</v>
      </c>
    </row>
    <row r="207" spans="1:124" x14ac:dyDescent="0.2">
      <c r="A207" t="s">
        <v>681</v>
      </c>
      <c r="B207" s="1" t="s">
        <v>1432</v>
      </c>
      <c r="C207" s="1" t="s">
        <v>643</v>
      </c>
      <c r="E207" s="4">
        <v>1</v>
      </c>
      <c r="F207" s="4">
        <v>4</v>
      </c>
      <c r="G207" s="4">
        <v>4</v>
      </c>
      <c r="H207" s="4">
        <v>4</v>
      </c>
      <c r="I207" s="4">
        <v>1</v>
      </c>
      <c r="J207" s="4">
        <v>4</v>
      </c>
      <c r="K207" s="4">
        <v>4</v>
      </c>
      <c r="L207" s="4">
        <v>4</v>
      </c>
      <c r="M207" s="4">
        <v>4</v>
      </c>
      <c r="N207" s="4">
        <v>1</v>
      </c>
      <c r="O207" s="4">
        <v>4</v>
      </c>
      <c r="P207" s="4">
        <v>4</v>
      </c>
      <c r="Q207" s="4">
        <v>4</v>
      </c>
      <c r="R207" s="4">
        <v>4</v>
      </c>
      <c r="S207" s="4">
        <v>4</v>
      </c>
      <c r="T207" s="4">
        <v>4</v>
      </c>
      <c r="U207" s="4">
        <v>1</v>
      </c>
      <c r="V207" s="57">
        <v>4</v>
      </c>
      <c r="W207" s="4">
        <v>4</v>
      </c>
      <c r="X207" s="4">
        <v>4</v>
      </c>
      <c r="Y207" s="4">
        <v>1</v>
      </c>
      <c r="Z207" s="4">
        <v>4</v>
      </c>
      <c r="AA207" s="4">
        <v>4</v>
      </c>
      <c r="AB207" s="4">
        <v>4</v>
      </c>
      <c r="AC207" s="57">
        <v>4</v>
      </c>
      <c r="AD207" s="4">
        <v>4</v>
      </c>
      <c r="AE207" s="4">
        <v>4</v>
      </c>
      <c r="AF207" s="4">
        <v>4</v>
      </c>
      <c r="AG207" s="4">
        <v>4</v>
      </c>
      <c r="AH207" s="4">
        <v>4</v>
      </c>
      <c r="AI207" s="4">
        <v>4</v>
      </c>
      <c r="AJ207" s="4">
        <v>4</v>
      </c>
      <c r="AK207" s="4">
        <v>4</v>
      </c>
      <c r="AL207" s="4">
        <v>4</v>
      </c>
      <c r="AM207" s="4">
        <v>4</v>
      </c>
      <c r="AN207" s="4">
        <v>4</v>
      </c>
      <c r="AO207" s="4">
        <v>4</v>
      </c>
      <c r="AP207" s="4">
        <v>4</v>
      </c>
      <c r="AQ207" s="4">
        <v>4</v>
      </c>
      <c r="AR207" s="4">
        <v>4</v>
      </c>
      <c r="AS207" s="4">
        <v>4</v>
      </c>
      <c r="AT207" s="4">
        <v>4</v>
      </c>
      <c r="AU207" s="4">
        <v>4</v>
      </c>
      <c r="AV207" s="57">
        <v>4</v>
      </c>
      <c r="AW207" s="4">
        <v>4</v>
      </c>
      <c r="AX207" s="4">
        <v>4</v>
      </c>
      <c r="AY207" s="4">
        <v>4</v>
      </c>
      <c r="AZ207" s="4">
        <v>3</v>
      </c>
      <c r="BA207" s="57">
        <v>4</v>
      </c>
      <c r="BB207" s="57">
        <v>4</v>
      </c>
      <c r="BC207" s="4">
        <v>4</v>
      </c>
      <c r="BD207" s="4">
        <v>3</v>
      </c>
      <c r="BE207" s="4">
        <v>1</v>
      </c>
      <c r="BF207" s="4">
        <v>4</v>
      </c>
      <c r="BG207" s="4">
        <v>4</v>
      </c>
      <c r="BH207" s="4">
        <v>4</v>
      </c>
      <c r="BI207" s="4">
        <v>4</v>
      </c>
      <c r="BJ207" s="4">
        <v>4</v>
      </c>
      <c r="BK207" s="4">
        <v>4</v>
      </c>
      <c r="BL207" s="4">
        <v>4</v>
      </c>
      <c r="BM207" s="4">
        <v>4</v>
      </c>
      <c r="BN207" s="4">
        <v>4</v>
      </c>
      <c r="BO207" s="4">
        <v>4</v>
      </c>
      <c r="BP207" s="4">
        <v>4</v>
      </c>
      <c r="BQ207" s="4">
        <v>4</v>
      </c>
      <c r="BR207" s="4">
        <v>4</v>
      </c>
      <c r="BS207" s="4">
        <v>4</v>
      </c>
      <c r="BT207" s="4">
        <v>4</v>
      </c>
      <c r="BU207" s="4">
        <v>4</v>
      </c>
      <c r="BV207" s="4">
        <v>4</v>
      </c>
      <c r="BW207" s="4">
        <v>4</v>
      </c>
      <c r="BX207" s="4">
        <v>4</v>
      </c>
      <c r="BY207" s="4">
        <v>1</v>
      </c>
      <c r="BZ207" s="4">
        <v>4</v>
      </c>
      <c r="CA207" s="4">
        <v>1</v>
      </c>
      <c r="CB207" s="4">
        <v>4</v>
      </c>
      <c r="CC207" s="4">
        <v>4</v>
      </c>
      <c r="CD207" s="4">
        <v>4</v>
      </c>
      <c r="CE207" s="4">
        <v>1</v>
      </c>
      <c r="CF207" s="57">
        <v>4</v>
      </c>
      <c r="CG207" s="57">
        <v>4</v>
      </c>
      <c r="CH207" s="4">
        <v>4</v>
      </c>
      <c r="CI207" s="4">
        <v>4</v>
      </c>
      <c r="CJ207" s="4">
        <v>3</v>
      </c>
      <c r="CK207" s="17">
        <v>4</v>
      </c>
      <c r="CL207" s="4">
        <v>4</v>
      </c>
      <c r="CM207" s="4">
        <v>4</v>
      </c>
      <c r="CN207" s="57">
        <v>4</v>
      </c>
      <c r="CO207" s="4">
        <v>4</v>
      </c>
      <c r="CP207" s="4">
        <v>4</v>
      </c>
      <c r="CQ207" s="57">
        <v>4</v>
      </c>
      <c r="CR207" s="17">
        <v>4</v>
      </c>
      <c r="CS207" s="4">
        <v>4</v>
      </c>
      <c r="CT207" s="4">
        <v>4</v>
      </c>
      <c r="CU207" s="4">
        <v>4</v>
      </c>
      <c r="CV207" s="4">
        <v>4</v>
      </c>
      <c r="CW207" s="4">
        <v>1</v>
      </c>
      <c r="CX207" s="4">
        <v>4</v>
      </c>
      <c r="CY207" s="4">
        <v>4</v>
      </c>
      <c r="CZ207" s="4">
        <v>1</v>
      </c>
      <c r="DA207" s="17">
        <v>4</v>
      </c>
      <c r="DB207" s="17">
        <v>4</v>
      </c>
      <c r="DC207" s="17">
        <v>4</v>
      </c>
      <c r="DD207" s="4">
        <v>1</v>
      </c>
      <c r="DE207" s="17">
        <v>4</v>
      </c>
      <c r="DF207" s="57">
        <v>4</v>
      </c>
      <c r="DG207" s="17">
        <v>4</v>
      </c>
      <c r="DH207" s="4">
        <v>1</v>
      </c>
      <c r="DI207" s="17">
        <v>4</v>
      </c>
      <c r="DJ207" s="17">
        <v>4</v>
      </c>
      <c r="DK207" s="4">
        <v>1</v>
      </c>
      <c r="DL207" s="4">
        <v>4</v>
      </c>
      <c r="DM207" s="4">
        <v>4</v>
      </c>
      <c r="DN207" s="4">
        <v>1</v>
      </c>
      <c r="DO207" s="4">
        <v>4</v>
      </c>
      <c r="DP207" s="4">
        <v>4</v>
      </c>
      <c r="DQ207" s="4">
        <v>1</v>
      </c>
      <c r="DR207" s="4">
        <v>4</v>
      </c>
      <c r="DS207" s="4">
        <v>4</v>
      </c>
      <c r="DT207" s="4">
        <v>2</v>
      </c>
    </row>
    <row r="208" spans="1:124" x14ac:dyDescent="0.2">
      <c r="A208" t="s">
        <v>682</v>
      </c>
      <c r="B208" s="1" t="s">
        <v>1432</v>
      </c>
      <c r="C208" s="1" t="s">
        <v>643</v>
      </c>
      <c r="E208" s="4">
        <v>1</v>
      </c>
      <c r="F208" s="4">
        <v>4</v>
      </c>
      <c r="G208" s="4">
        <v>4</v>
      </c>
      <c r="H208" s="4">
        <v>4</v>
      </c>
      <c r="I208" s="4">
        <v>1</v>
      </c>
      <c r="J208" s="4">
        <v>4</v>
      </c>
      <c r="K208" s="4">
        <v>4</v>
      </c>
      <c r="L208" s="4">
        <v>4</v>
      </c>
      <c r="M208" s="4">
        <v>4</v>
      </c>
      <c r="N208" s="4">
        <v>1</v>
      </c>
      <c r="O208" s="4">
        <v>4</v>
      </c>
      <c r="P208" s="4">
        <v>4</v>
      </c>
      <c r="Q208" s="4">
        <v>4</v>
      </c>
      <c r="R208" s="4">
        <v>1</v>
      </c>
      <c r="S208" s="4">
        <v>4</v>
      </c>
      <c r="T208" s="4">
        <v>4</v>
      </c>
      <c r="U208" s="4">
        <v>1</v>
      </c>
      <c r="V208" s="57">
        <v>4</v>
      </c>
      <c r="W208" s="4">
        <v>4</v>
      </c>
      <c r="X208" s="4">
        <v>4</v>
      </c>
      <c r="Y208" s="4">
        <v>1</v>
      </c>
      <c r="Z208" s="4">
        <v>4</v>
      </c>
      <c r="AA208" s="4">
        <v>4</v>
      </c>
      <c r="AB208" s="4">
        <v>4</v>
      </c>
      <c r="AC208" s="57">
        <v>4</v>
      </c>
      <c r="AD208" s="4">
        <v>4</v>
      </c>
      <c r="AE208" s="4">
        <v>4</v>
      </c>
      <c r="AF208" s="4">
        <v>4</v>
      </c>
      <c r="AG208" s="4">
        <v>4</v>
      </c>
      <c r="AH208" s="4">
        <v>4</v>
      </c>
      <c r="AI208" s="4">
        <v>4</v>
      </c>
      <c r="AJ208" s="4">
        <v>4</v>
      </c>
      <c r="AK208" s="4">
        <v>4</v>
      </c>
      <c r="AL208" s="4">
        <v>4</v>
      </c>
      <c r="AM208" s="4">
        <v>4</v>
      </c>
      <c r="AN208" s="4">
        <v>4</v>
      </c>
      <c r="AO208" s="4">
        <v>4</v>
      </c>
      <c r="AP208" s="4">
        <v>4</v>
      </c>
      <c r="AQ208" s="4">
        <v>4</v>
      </c>
      <c r="AR208" s="4">
        <v>4</v>
      </c>
      <c r="AS208" s="4">
        <v>4</v>
      </c>
      <c r="AT208" s="4">
        <v>4</v>
      </c>
      <c r="AU208" s="4">
        <v>4</v>
      </c>
      <c r="AV208" s="57">
        <v>4</v>
      </c>
      <c r="AW208" s="4">
        <v>4</v>
      </c>
      <c r="AX208" s="4">
        <v>4</v>
      </c>
      <c r="AY208" s="4">
        <v>4</v>
      </c>
      <c r="AZ208" s="4">
        <v>3</v>
      </c>
      <c r="BA208" s="57">
        <v>4</v>
      </c>
      <c r="BB208" s="57">
        <v>4</v>
      </c>
      <c r="BC208" s="4">
        <v>4</v>
      </c>
      <c r="BD208" s="4">
        <v>3</v>
      </c>
      <c r="BE208" s="4">
        <v>1</v>
      </c>
      <c r="BF208" s="4">
        <v>4</v>
      </c>
      <c r="BG208" s="4">
        <v>4</v>
      </c>
      <c r="BH208" s="4">
        <v>4</v>
      </c>
      <c r="BI208" s="4">
        <v>4</v>
      </c>
      <c r="BJ208" s="4">
        <v>4</v>
      </c>
      <c r="BK208" s="4">
        <v>4</v>
      </c>
      <c r="BL208" s="4">
        <v>4</v>
      </c>
      <c r="BM208" s="4">
        <v>4</v>
      </c>
      <c r="BN208" s="4">
        <v>4</v>
      </c>
      <c r="BO208" s="4">
        <v>4</v>
      </c>
      <c r="BP208" s="4">
        <v>4</v>
      </c>
      <c r="BQ208" s="4">
        <v>4</v>
      </c>
      <c r="BR208" s="4">
        <v>4</v>
      </c>
      <c r="BS208" s="4">
        <v>4</v>
      </c>
      <c r="BT208" s="4">
        <v>4</v>
      </c>
      <c r="BU208" s="4">
        <v>4</v>
      </c>
      <c r="BV208" s="4">
        <v>4</v>
      </c>
      <c r="BW208" s="4">
        <v>4</v>
      </c>
      <c r="BX208" s="4">
        <v>4</v>
      </c>
      <c r="BY208" s="4">
        <v>1</v>
      </c>
      <c r="BZ208" s="4">
        <v>4</v>
      </c>
      <c r="CA208" s="4">
        <v>1</v>
      </c>
      <c r="CB208" s="4">
        <v>4</v>
      </c>
      <c r="CC208" s="4">
        <v>4</v>
      </c>
      <c r="CD208" s="4">
        <v>4</v>
      </c>
      <c r="CE208" s="4">
        <v>1</v>
      </c>
      <c r="CF208" s="57">
        <v>4</v>
      </c>
      <c r="CG208" s="57">
        <v>4</v>
      </c>
      <c r="CH208" s="4">
        <v>4</v>
      </c>
      <c r="CI208" s="4">
        <v>4</v>
      </c>
      <c r="CJ208" s="4">
        <v>3</v>
      </c>
      <c r="CK208" s="17">
        <v>4</v>
      </c>
      <c r="CL208" s="4">
        <v>4</v>
      </c>
      <c r="CM208" s="4">
        <v>4</v>
      </c>
      <c r="CN208" s="57">
        <v>4</v>
      </c>
      <c r="CO208" s="4">
        <v>4</v>
      </c>
      <c r="CP208" s="4">
        <v>4</v>
      </c>
      <c r="CQ208" s="57">
        <v>4</v>
      </c>
      <c r="CR208" s="17">
        <v>4</v>
      </c>
      <c r="CS208" s="4">
        <v>4</v>
      </c>
      <c r="CT208" s="4">
        <v>4</v>
      </c>
      <c r="CU208" s="4">
        <v>4</v>
      </c>
      <c r="CV208" s="4">
        <v>4</v>
      </c>
      <c r="CW208" s="4">
        <v>1</v>
      </c>
      <c r="CX208" s="4">
        <v>4</v>
      </c>
      <c r="CY208" s="4">
        <v>4</v>
      </c>
      <c r="CZ208" s="4">
        <v>1</v>
      </c>
      <c r="DA208" s="17">
        <v>4</v>
      </c>
      <c r="DB208" s="17">
        <v>4</v>
      </c>
      <c r="DC208" s="17">
        <v>4</v>
      </c>
      <c r="DD208" s="4">
        <v>1</v>
      </c>
      <c r="DE208" s="17">
        <v>4</v>
      </c>
      <c r="DF208" s="57">
        <v>4</v>
      </c>
      <c r="DG208" s="17">
        <v>4</v>
      </c>
      <c r="DH208" s="4">
        <v>1</v>
      </c>
      <c r="DI208" s="17">
        <v>4</v>
      </c>
      <c r="DJ208" s="17">
        <v>4</v>
      </c>
      <c r="DK208" s="4">
        <v>1</v>
      </c>
      <c r="DL208" s="4">
        <v>4</v>
      </c>
      <c r="DM208" s="4">
        <v>4</v>
      </c>
      <c r="DN208" s="4">
        <v>1</v>
      </c>
      <c r="DO208" s="4">
        <v>4</v>
      </c>
      <c r="DP208" s="4">
        <v>4</v>
      </c>
      <c r="DQ208" s="4">
        <v>1</v>
      </c>
      <c r="DR208" s="4">
        <v>4</v>
      </c>
      <c r="DS208" s="4">
        <v>4</v>
      </c>
      <c r="DT208" s="4">
        <v>1</v>
      </c>
    </row>
    <row r="209" spans="1:124" x14ac:dyDescent="0.2">
      <c r="A209" t="s">
        <v>683</v>
      </c>
      <c r="B209" s="1" t="s">
        <v>1432</v>
      </c>
      <c r="C209" s="1" t="s">
        <v>643</v>
      </c>
      <c r="E209" s="4">
        <v>1</v>
      </c>
      <c r="F209" s="4">
        <v>4</v>
      </c>
      <c r="G209" s="4">
        <v>4</v>
      </c>
      <c r="H209" s="4">
        <v>4</v>
      </c>
      <c r="I209" s="4">
        <v>1</v>
      </c>
      <c r="J209" s="4">
        <v>4</v>
      </c>
      <c r="K209" s="4">
        <v>4</v>
      </c>
      <c r="L209" s="4">
        <v>4</v>
      </c>
      <c r="M209" s="4">
        <v>4</v>
      </c>
      <c r="N209" s="4">
        <v>1</v>
      </c>
      <c r="O209" s="4">
        <v>4</v>
      </c>
      <c r="P209" s="4">
        <v>4</v>
      </c>
      <c r="Q209" s="4">
        <v>4</v>
      </c>
      <c r="R209" s="4">
        <v>4</v>
      </c>
      <c r="S209" s="4">
        <v>4</v>
      </c>
      <c r="T209" s="4">
        <v>4</v>
      </c>
      <c r="U209" s="4">
        <v>1</v>
      </c>
      <c r="V209" s="57">
        <v>4</v>
      </c>
      <c r="W209" s="4">
        <v>4</v>
      </c>
      <c r="X209" s="4">
        <v>4</v>
      </c>
      <c r="Y209" s="4">
        <v>1</v>
      </c>
      <c r="Z209" s="4">
        <v>4</v>
      </c>
      <c r="AA209" s="4">
        <v>4</v>
      </c>
      <c r="AB209" s="4">
        <v>4</v>
      </c>
      <c r="AC209" s="57">
        <v>4</v>
      </c>
      <c r="AD209" s="4">
        <v>4</v>
      </c>
      <c r="AE209" s="4">
        <v>4</v>
      </c>
      <c r="AF209" s="4">
        <v>4</v>
      </c>
      <c r="AG209" s="4">
        <v>4</v>
      </c>
      <c r="AH209" s="4">
        <v>4</v>
      </c>
      <c r="AI209" s="4">
        <v>4</v>
      </c>
      <c r="AJ209" s="4">
        <v>4</v>
      </c>
      <c r="AK209" s="4">
        <v>4</v>
      </c>
      <c r="AL209" s="4">
        <v>4</v>
      </c>
      <c r="AM209" s="4">
        <v>4</v>
      </c>
      <c r="AN209" s="4">
        <v>4</v>
      </c>
      <c r="AO209" s="4">
        <v>4</v>
      </c>
      <c r="AP209" s="4">
        <v>4</v>
      </c>
      <c r="AQ209" s="4">
        <v>4</v>
      </c>
      <c r="AR209" s="4">
        <v>4</v>
      </c>
      <c r="AS209" s="4">
        <v>4</v>
      </c>
      <c r="AT209" s="4">
        <v>4</v>
      </c>
      <c r="AU209" s="4">
        <v>4</v>
      </c>
      <c r="AV209" s="57">
        <v>4</v>
      </c>
      <c r="AW209" s="4">
        <v>4</v>
      </c>
      <c r="AX209" s="4">
        <v>4</v>
      </c>
      <c r="AY209" s="4">
        <v>4</v>
      </c>
      <c r="AZ209" s="4">
        <v>3</v>
      </c>
      <c r="BA209" s="57">
        <v>4</v>
      </c>
      <c r="BB209" s="57">
        <v>4</v>
      </c>
      <c r="BC209" s="4">
        <v>4</v>
      </c>
      <c r="BD209" s="4">
        <v>3</v>
      </c>
      <c r="BE209" s="4">
        <v>1</v>
      </c>
      <c r="BF209" s="4">
        <v>4</v>
      </c>
      <c r="BG209" s="4">
        <v>4</v>
      </c>
      <c r="BH209" s="4">
        <v>4</v>
      </c>
      <c r="BI209" s="4">
        <v>4</v>
      </c>
      <c r="BJ209" s="4">
        <v>4</v>
      </c>
      <c r="BK209" s="4">
        <v>4</v>
      </c>
      <c r="BL209" s="4">
        <v>4</v>
      </c>
      <c r="BM209" s="4">
        <v>4</v>
      </c>
      <c r="BN209" s="4">
        <v>4</v>
      </c>
      <c r="BO209" s="4">
        <v>4</v>
      </c>
      <c r="BP209" s="4">
        <v>4</v>
      </c>
      <c r="BQ209" s="4">
        <v>4</v>
      </c>
      <c r="BR209" s="4">
        <v>4</v>
      </c>
      <c r="BS209" s="4">
        <v>4</v>
      </c>
      <c r="BT209" s="4">
        <v>4</v>
      </c>
      <c r="BU209" s="4">
        <v>4</v>
      </c>
      <c r="BV209" s="4">
        <v>4</v>
      </c>
      <c r="BW209" s="4">
        <v>4</v>
      </c>
      <c r="BX209" s="4">
        <v>4</v>
      </c>
      <c r="BY209" s="4">
        <v>1</v>
      </c>
      <c r="BZ209" s="4">
        <v>4</v>
      </c>
      <c r="CA209" s="4">
        <v>1</v>
      </c>
      <c r="CB209" s="4">
        <v>4</v>
      </c>
      <c r="CC209" s="4">
        <v>4</v>
      </c>
      <c r="CD209" s="4">
        <v>4</v>
      </c>
      <c r="CE209" s="4">
        <v>1</v>
      </c>
      <c r="CF209" s="57">
        <v>4</v>
      </c>
      <c r="CG209" s="57">
        <v>4</v>
      </c>
      <c r="CH209" s="4">
        <v>4</v>
      </c>
      <c r="CI209" s="4">
        <v>4</v>
      </c>
      <c r="CJ209" s="4">
        <v>3</v>
      </c>
      <c r="CK209" s="17">
        <v>4</v>
      </c>
      <c r="CL209" s="4">
        <v>4</v>
      </c>
      <c r="CM209" s="4">
        <v>4</v>
      </c>
      <c r="CN209" s="57">
        <v>4</v>
      </c>
      <c r="CO209" s="4">
        <v>4</v>
      </c>
      <c r="CP209" s="4">
        <v>4</v>
      </c>
      <c r="CQ209" s="57">
        <v>4</v>
      </c>
      <c r="CR209" s="17">
        <v>4</v>
      </c>
      <c r="CS209" s="4">
        <v>4</v>
      </c>
      <c r="CT209" s="4">
        <v>4</v>
      </c>
      <c r="CU209" s="4">
        <v>4</v>
      </c>
      <c r="CV209" s="4">
        <v>4</v>
      </c>
      <c r="CW209" s="4">
        <v>1</v>
      </c>
      <c r="CX209" s="4">
        <v>4</v>
      </c>
      <c r="CY209" s="4">
        <v>4</v>
      </c>
      <c r="CZ209" s="4">
        <v>1</v>
      </c>
      <c r="DA209" s="17">
        <v>4</v>
      </c>
      <c r="DB209" s="17">
        <v>4</v>
      </c>
      <c r="DC209" s="17">
        <v>4</v>
      </c>
      <c r="DD209" s="4">
        <v>1</v>
      </c>
      <c r="DE209" s="17">
        <v>4</v>
      </c>
      <c r="DF209" s="57">
        <v>4</v>
      </c>
      <c r="DG209" s="17">
        <v>4</v>
      </c>
      <c r="DH209" s="4">
        <v>1</v>
      </c>
      <c r="DI209" s="17">
        <v>4</v>
      </c>
      <c r="DJ209" s="17">
        <v>4</v>
      </c>
      <c r="DK209" s="4">
        <v>1</v>
      </c>
      <c r="DL209" s="4">
        <v>4</v>
      </c>
      <c r="DM209" s="4">
        <v>4</v>
      </c>
      <c r="DN209" s="4">
        <v>4</v>
      </c>
      <c r="DO209" s="4">
        <v>4</v>
      </c>
      <c r="DP209" s="4">
        <v>4</v>
      </c>
      <c r="DQ209" s="4">
        <v>4</v>
      </c>
      <c r="DR209" s="4">
        <v>4</v>
      </c>
      <c r="DS209" s="4">
        <v>4</v>
      </c>
      <c r="DT209" s="4">
        <v>4</v>
      </c>
    </row>
    <row r="210" spans="1:124" x14ac:dyDescent="0.2">
      <c r="A210" t="s">
        <v>684</v>
      </c>
      <c r="B210" s="1" t="s">
        <v>1432</v>
      </c>
      <c r="C210" s="1" t="s">
        <v>643</v>
      </c>
      <c r="E210" s="4">
        <v>1</v>
      </c>
      <c r="F210" s="4">
        <v>4</v>
      </c>
      <c r="G210" s="4">
        <v>4</v>
      </c>
      <c r="H210" s="4">
        <v>4</v>
      </c>
      <c r="I210" s="4">
        <v>1</v>
      </c>
      <c r="J210" s="4">
        <v>4</v>
      </c>
      <c r="K210" s="4">
        <v>4</v>
      </c>
      <c r="L210" s="4">
        <v>4</v>
      </c>
      <c r="M210" s="4">
        <v>4</v>
      </c>
      <c r="N210" s="4">
        <v>1</v>
      </c>
      <c r="O210" s="4">
        <v>4</v>
      </c>
      <c r="P210" s="4">
        <v>4</v>
      </c>
      <c r="Q210" s="4">
        <v>4</v>
      </c>
      <c r="R210" s="4">
        <v>4</v>
      </c>
      <c r="S210" s="4">
        <v>4</v>
      </c>
      <c r="T210" s="4">
        <v>4</v>
      </c>
      <c r="U210" s="4">
        <v>1</v>
      </c>
      <c r="V210" s="57">
        <v>4</v>
      </c>
      <c r="W210" s="4">
        <v>4</v>
      </c>
      <c r="X210" s="4">
        <v>4</v>
      </c>
      <c r="Y210" s="4">
        <v>1</v>
      </c>
      <c r="Z210" s="4">
        <v>4</v>
      </c>
      <c r="AA210" s="4">
        <v>4</v>
      </c>
      <c r="AB210" s="4">
        <v>4</v>
      </c>
      <c r="AC210" s="57">
        <v>4</v>
      </c>
      <c r="AD210" s="4">
        <v>4</v>
      </c>
      <c r="AE210" s="4">
        <v>4</v>
      </c>
      <c r="AF210" s="4">
        <v>4</v>
      </c>
      <c r="AG210" s="4">
        <v>4</v>
      </c>
      <c r="AH210" s="4">
        <v>4</v>
      </c>
      <c r="AI210" s="4">
        <v>4</v>
      </c>
      <c r="AJ210" s="4">
        <v>4</v>
      </c>
      <c r="AK210" s="4">
        <v>4</v>
      </c>
      <c r="AL210" s="4">
        <v>4</v>
      </c>
      <c r="AM210" s="4">
        <v>4</v>
      </c>
      <c r="AN210" s="4">
        <v>4</v>
      </c>
      <c r="AO210" s="4">
        <v>4</v>
      </c>
      <c r="AP210" s="4">
        <v>4</v>
      </c>
      <c r="AQ210" s="4">
        <v>4</v>
      </c>
      <c r="AR210" s="4">
        <v>4</v>
      </c>
      <c r="AS210" s="4">
        <v>4</v>
      </c>
      <c r="AT210" s="4">
        <v>4</v>
      </c>
      <c r="AU210" s="4">
        <v>4</v>
      </c>
      <c r="AV210" s="57">
        <v>4</v>
      </c>
      <c r="AW210" s="4">
        <v>4</v>
      </c>
      <c r="AX210" s="4">
        <v>4</v>
      </c>
      <c r="AY210" s="4">
        <v>4</v>
      </c>
      <c r="AZ210" s="4">
        <v>3</v>
      </c>
      <c r="BA210" s="57">
        <v>4</v>
      </c>
      <c r="BB210" s="57">
        <v>4</v>
      </c>
      <c r="BC210" s="4">
        <v>4</v>
      </c>
      <c r="BD210" s="4">
        <v>3</v>
      </c>
      <c r="BE210" s="4">
        <v>1</v>
      </c>
      <c r="BF210" s="4">
        <v>4</v>
      </c>
      <c r="BG210" s="4">
        <v>4</v>
      </c>
      <c r="BH210" s="4">
        <v>4</v>
      </c>
      <c r="BI210" s="4">
        <v>4</v>
      </c>
      <c r="BJ210" s="4">
        <v>4</v>
      </c>
      <c r="BK210" s="4">
        <v>4</v>
      </c>
      <c r="BL210" s="4">
        <v>4</v>
      </c>
      <c r="BM210" s="4">
        <v>4</v>
      </c>
      <c r="BN210" s="4">
        <v>4</v>
      </c>
      <c r="BO210" s="4">
        <v>4</v>
      </c>
      <c r="BP210" s="4">
        <v>4</v>
      </c>
      <c r="BQ210" s="4">
        <v>4</v>
      </c>
      <c r="BR210" s="4">
        <v>4</v>
      </c>
      <c r="BS210" s="4">
        <v>4</v>
      </c>
      <c r="BT210" s="4">
        <v>4</v>
      </c>
      <c r="BU210" s="4">
        <v>4</v>
      </c>
      <c r="BV210" s="4">
        <v>4</v>
      </c>
      <c r="BW210" s="4">
        <v>4</v>
      </c>
      <c r="BX210" s="4">
        <v>4</v>
      </c>
      <c r="BY210" s="4">
        <v>1</v>
      </c>
      <c r="BZ210" s="4">
        <v>4</v>
      </c>
      <c r="CA210" s="4">
        <v>1</v>
      </c>
      <c r="CB210" s="4">
        <v>4</v>
      </c>
      <c r="CC210" s="4">
        <v>4</v>
      </c>
      <c r="CD210" s="4">
        <v>4</v>
      </c>
      <c r="CE210" s="4">
        <v>1</v>
      </c>
      <c r="CF210" s="57">
        <v>4</v>
      </c>
      <c r="CG210" s="57">
        <v>4</v>
      </c>
      <c r="CH210" s="4">
        <v>4</v>
      </c>
      <c r="CI210" s="4">
        <v>4</v>
      </c>
      <c r="CJ210" s="4">
        <v>3</v>
      </c>
      <c r="CK210" s="17">
        <v>4</v>
      </c>
      <c r="CL210" s="4">
        <v>4</v>
      </c>
      <c r="CM210" s="4">
        <v>4</v>
      </c>
      <c r="CN210" s="57">
        <v>4</v>
      </c>
      <c r="CO210" s="4">
        <v>4</v>
      </c>
      <c r="CP210" s="4">
        <v>4</v>
      </c>
      <c r="CQ210" s="57">
        <v>4</v>
      </c>
      <c r="CR210" s="17">
        <v>4</v>
      </c>
      <c r="CS210" s="4">
        <v>4</v>
      </c>
      <c r="CT210" s="4">
        <v>4</v>
      </c>
      <c r="CU210" s="4">
        <v>4</v>
      </c>
      <c r="CV210" s="4">
        <v>4</v>
      </c>
      <c r="CW210" s="4">
        <v>1</v>
      </c>
      <c r="CX210" s="4">
        <v>4</v>
      </c>
      <c r="CY210" s="4">
        <v>4</v>
      </c>
      <c r="CZ210" s="4">
        <v>1</v>
      </c>
      <c r="DA210" s="17">
        <v>4</v>
      </c>
      <c r="DB210" s="17">
        <v>4</v>
      </c>
      <c r="DC210" s="17">
        <v>4</v>
      </c>
      <c r="DD210" s="4">
        <v>1</v>
      </c>
      <c r="DE210" s="17">
        <v>4</v>
      </c>
      <c r="DF210" s="57">
        <v>4</v>
      </c>
      <c r="DG210" s="17">
        <v>4</v>
      </c>
      <c r="DH210" s="4">
        <v>1</v>
      </c>
      <c r="DI210" s="17">
        <v>4</v>
      </c>
      <c r="DJ210" s="17">
        <v>4</v>
      </c>
      <c r="DK210" s="4">
        <v>1</v>
      </c>
      <c r="DL210" s="4">
        <v>4</v>
      </c>
      <c r="DM210" s="4">
        <v>4</v>
      </c>
      <c r="DN210" s="4">
        <v>4</v>
      </c>
      <c r="DO210" s="4">
        <v>4</v>
      </c>
      <c r="DP210" s="4">
        <v>4</v>
      </c>
      <c r="DQ210" s="4">
        <v>4</v>
      </c>
      <c r="DR210" s="4">
        <v>4</v>
      </c>
      <c r="DS210" s="4">
        <v>4</v>
      </c>
      <c r="DT210" s="4">
        <v>4</v>
      </c>
    </row>
    <row r="211" spans="1:124" x14ac:dyDescent="0.2">
      <c r="A211" t="s">
        <v>698</v>
      </c>
      <c r="B211" s="1" t="s">
        <v>1432</v>
      </c>
      <c r="C211" s="1" t="s">
        <v>697</v>
      </c>
      <c r="E211" s="4">
        <v>1</v>
      </c>
      <c r="F211" s="4">
        <v>4</v>
      </c>
      <c r="G211" s="4">
        <v>4</v>
      </c>
      <c r="H211" s="4">
        <v>4</v>
      </c>
      <c r="I211" s="4">
        <v>1</v>
      </c>
      <c r="J211" s="4">
        <v>4</v>
      </c>
      <c r="K211" s="4">
        <v>4</v>
      </c>
      <c r="L211" s="4">
        <v>4</v>
      </c>
      <c r="M211" s="4">
        <v>4</v>
      </c>
      <c r="N211" s="4">
        <v>1</v>
      </c>
      <c r="O211" s="4">
        <v>4</v>
      </c>
      <c r="P211" s="4">
        <v>4</v>
      </c>
      <c r="Q211" s="4">
        <v>4</v>
      </c>
      <c r="R211" s="4">
        <v>1</v>
      </c>
      <c r="S211" s="4">
        <v>4</v>
      </c>
      <c r="T211" s="4">
        <v>4</v>
      </c>
      <c r="U211" s="4">
        <v>1</v>
      </c>
      <c r="V211" s="57">
        <v>4</v>
      </c>
      <c r="W211" s="4">
        <v>4</v>
      </c>
      <c r="X211" s="4">
        <v>4</v>
      </c>
      <c r="Y211" s="4">
        <v>1</v>
      </c>
      <c r="Z211" s="4">
        <v>4</v>
      </c>
      <c r="AA211" s="4">
        <v>4</v>
      </c>
      <c r="AB211" s="4">
        <v>4</v>
      </c>
      <c r="AC211" s="57">
        <v>4</v>
      </c>
      <c r="AD211" s="4">
        <v>4</v>
      </c>
      <c r="AE211" s="4">
        <v>4</v>
      </c>
      <c r="AF211" s="4">
        <v>4</v>
      </c>
      <c r="AG211" s="4">
        <v>4</v>
      </c>
      <c r="AH211" s="4">
        <v>4</v>
      </c>
      <c r="AI211" s="4">
        <v>4</v>
      </c>
      <c r="AJ211" s="4">
        <v>4</v>
      </c>
      <c r="AK211" s="4">
        <v>4</v>
      </c>
      <c r="AL211" s="4">
        <v>4</v>
      </c>
      <c r="AM211" s="4">
        <v>4</v>
      </c>
      <c r="AN211" s="4">
        <v>4</v>
      </c>
      <c r="AO211" s="4">
        <v>4</v>
      </c>
      <c r="AP211" s="4">
        <v>4</v>
      </c>
      <c r="AQ211" s="4">
        <v>4</v>
      </c>
      <c r="AR211" s="4">
        <v>4</v>
      </c>
      <c r="AS211" s="4">
        <v>4</v>
      </c>
      <c r="AT211" s="4">
        <v>4</v>
      </c>
      <c r="AU211" s="4">
        <v>4</v>
      </c>
      <c r="AV211" s="57">
        <v>4</v>
      </c>
      <c r="AW211" s="4">
        <v>4</v>
      </c>
      <c r="AX211" s="4">
        <v>4</v>
      </c>
      <c r="AY211" s="4">
        <v>4</v>
      </c>
      <c r="AZ211" s="4">
        <v>4</v>
      </c>
      <c r="BA211" s="57">
        <v>4</v>
      </c>
      <c r="BB211" s="57">
        <v>4</v>
      </c>
      <c r="BC211" s="4">
        <v>4</v>
      </c>
      <c r="BD211" s="4">
        <v>3</v>
      </c>
      <c r="BE211" s="4">
        <v>1</v>
      </c>
      <c r="BF211" s="4">
        <v>4</v>
      </c>
      <c r="BG211" s="4">
        <v>4</v>
      </c>
      <c r="BH211" s="4">
        <v>4</v>
      </c>
      <c r="BI211" s="4">
        <v>4</v>
      </c>
      <c r="BJ211" s="4">
        <v>4</v>
      </c>
      <c r="BK211" s="4">
        <v>4</v>
      </c>
      <c r="BL211" s="4">
        <v>4</v>
      </c>
      <c r="BM211" s="4">
        <v>4</v>
      </c>
      <c r="BN211" s="4">
        <v>4</v>
      </c>
      <c r="BO211" s="4">
        <v>4</v>
      </c>
      <c r="BP211" s="4">
        <v>4</v>
      </c>
      <c r="BQ211" s="4">
        <v>4</v>
      </c>
      <c r="BR211" s="4">
        <v>4</v>
      </c>
      <c r="BS211" s="4">
        <v>4</v>
      </c>
      <c r="BT211" s="4">
        <v>4</v>
      </c>
      <c r="BU211" s="4">
        <v>4</v>
      </c>
      <c r="BV211" s="4">
        <v>4</v>
      </c>
      <c r="BW211" s="4">
        <v>4</v>
      </c>
      <c r="BX211" s="4">
        <v>4</v>
      </c>
      <c r="BY211" s="4">
        <v>1</v>
      </c>
      <c r="BZ211" s="4">
        <v>4</v>
      </c>
      <c r="CA211" s="4">
        <v>1</v>
      </c>
      <c r="CB211" s="4">
        <v>4</v>
      </c>
      <c r="CC211" s="4">
        <v>4</v>
      </c>
      <c r="CD211" s="4">
        <v>4</v>
      </c>
      <c r="CE211" s="4">
        <v>1</v>
      </c>
      <c r="CF211" s="57">
        <v>4</v>
      </c>
      <c r="CG211" s="57">
        <v>4</v>
      </c>
      <c r="CH211" s="4">
        <v>4</v>
      </c>
      <c r="CI211" s="4">
        <v>4</v>
      </c>
      <c r="CJ211" s="4">
        <v>4</v>
      </c>
      <c r="CK211" s="17">
        <v>4</v>
      </c>
      <c r="CL211" s="4">
        <v>4</v>
      </c>
      <c r="CM211" s="4">
        <v>4</v>
      </c>
      <c r="CN211" s="57">
        <v>4</v>
      </c>
      <c r="CO211" s="4">
        <v>4</v>
      </c>
      <c r="CP211" s="4">
        <v>4</v>
      </c>
      <c r="CQ211" s="57">
        <v>4</v>
      </c>
      <c r="CR211" s="17">
        <v>4</v>
      </c>
      <c r="CS211" s="4">
        <v>4</v>
      </c>
      <c r="CT211" s="4">
        <v>4</v>
      </c>
      <c r="CU211" s="4">
        <v>4</v>
      </c>
      <c r="CV211" s="4">
        <v>4</v>
      </c>
      <c r="CW211" s="4">
        <v>1</v>
      </c>
      <c r="CX211" s="4">
        <v>4</v>
      </c>
      <c r="CY211" s="4">
        <v>4</v>
      </c>
      <c r="CZ211" s="4">
        <v>1</v>
      </c>
      <c r="DA211" s="17">
        <v>4</v>
      </c>
      <c r="DB211" s="17">
        <v>4</v>
      </c>
      <c r="DC211" s="17">
        <v>4</v>
      </c>
      <c r="DD211" s="4">
        <v>1</v>
      </c>
      <c r="DE211" s="17">
        <v>4</v>
      </c>
      <c r="DF211" s="57">
        <v>4</v>
      </c>
      <c r="DG211" s="17">
        <v>4</v>
      </c>
      <c r="DH211" s="4">
        <v>1</v>
      </c>
      <c r="DI211" s="17">
        <v>4</v>
      </c>
      <c r="DJ211" s="17">
        <v>4</v>
      </c>
      <c r="DK211" s="4">
        <v>1</v>
      </c>
      <c r="DL211" s="4">
        <v>4</v>
      </c>
      <c r="DM211" s="4">
        <v>4</v>
      </c>
      <c r="DN211" s="4">
        <v>1</v>
      </c>
      <c r="DO211" s="4">
        <v>4</v>
      </c>
      <c r="DP211" s="4">
        <v>4</v>
      </c>
      <c r="DQ211" s="4">
        <v>1</v>
      </c>
      <c r="DR211" s="4">
        <v>4</v>
      </c>
      <c r="DS211" s="4">
        <v>4</v>
      </c>
      <c r="DT211" s="4">
        <v>4</v>
      </c>
    </row>
    <row r="212" spans="1:124" x14ac:dyDescent="0.2">
      <c r="A212" t="s">
        <v>699</v>
      </c>
      <c r="B212" s="1" t="s">
        <v>1432</v>
      </c>
      <c r="C212" s="1" t="s">
        <v>697</v>
      </c>
      <c r="E212" s="4">
        <v>1</v>
      </c>
      <c r="F212" s="4">
        <v>4</v>
      </c>
      <c r="G212" s="4">
        <v>4</v>
      </c>
      <c r="H212" s="4">
        <v>4</v>
      </c>
      <c r="I212" s="4">
        <v>1</v>
      </c>
      <c r="J212" s="4">
        <v>4</v>
      </c>
      <c r="K212" s="4">
        <v>4</v>
      </c>
      <c r="L212" s="4">
        <v>4</v>
      </c>
      <c r="M212" s="4">
        <v>4</v>
      </c>
      <c r="N212" s="4">
        <v>1</v>
      </c>
      <c r="O212" s="4">
        <v>4</v>
      </c>
      <c r="P212" s="4">
        <v>4</v>
      </c>
      <c r="Q212" s="4">
        <v>4</v>
      </c>
      <c r="R212" s="4">
        <v>1</v>
      </c>
      <c r="S212" s="4">
        <v>4</v>
      </c>
      <c r="T212" s="4">
        <v>4</v>
      </c>
      <c r="U212" s="4">
        <v>1</v>
      </c>
      <c r="V212" s="57">
        <v>4</v>
      </c>
      <c r="W212" s="4">
        <v>4</v>
      </c>
      <c r="X212" s="4">
        <v>4</v>
      </c>
      <c r="Y212" s="4">
        <v>1</v>
      </c>
      <c r="Z212" s="4">
        <v>4</v>
      </c>
      <c r="AA212" s="4">
        <v>4</v>
      </c>
      <c r="AB212" s="4">
        <v>4</v>
      </c>
      <c r="AC212" s="57">
        <v>4</v>
      </c>
      <c r="AD212" s="4">
        <v>4</v>
      </c>
      <c r="AE212" s="4">
        <v>4</v>
      </c>
      <c r="AF212" s="4">
        <v>4</v>
      </c>
      <c r="AG212" s="4">
        <v>4</v>
      </c>
      <c r="AH212" s="4">
        <v>4</v>
      </c>
      <c r="AI212" s="4">
        <v>4</v>
      </c>
      <c r="AJ212" s="4">
        <v>4</v>
      </c>
      <c r="AK212" s="4">
        <v>4</v>
      </c>
      <c r="AL212" s="4">
        <v>4</v>
      </c>
      <c r="AM212" s="4">
        <v>4</v>
      </c>
      <c r="AN212" s="4">
        <v>4</v>
      </c>
      <c r="AO212" s="4">
        <v>4</v>
      </c>
      <c r="AP212" s="4">
        <v>4</v>
      </c>
      <c r="AQ212" s="4">
        <v>4</v>
      </c>
      <c r="AR212" s="4">
        <v>4</v>
      </c>
      <c r="AS212" s="4">
        <v>4</v>
      </c>
      <c r="AT212" s="4">
        <v>4</v>
      </c>
      <c r="AU212" s="4">
        <v>4</v>
      </c>
      <c r="AV212" s="57">
        <v>4</v>
      </c>
      <c r="AW212" s="4">
        <v>4</v>
      </c>
      <c r="AX212" s="4">
        <v>4</v>
      </c>
      <c r="AY212" s="4">
        <v>4</v>
      </c>
      <c r="AZ212" s="4">
        <v>4</v>
      </c>
      <c r="BA212" s="57">
        <v>4</v>
      </c>
      <c r="BB212" s="57">
        <v>4</v>
      </c>
      <c r="BC212" s="4">
        <v>4</v>
      </c>
      <c r="BD212" s="4">
        <v>3</v>
      </c>
      <c r="BE212" s="4">
        <v>1</v>
      </c>
      <c r="BF212" s="4">
        <v>4</v>
      </c>
      <c r="BG212" s="4">
        <v>4</v>
      </c>
      <c r="BH212" s="4">
        <v>4</v>
      </c>
      <c r="BI212" s="4">
        <v>4</v>
      </c>
      <c r="BJ212" s="4">
        <v>4</v>
      </c>
      <c r="BK212" s="4">
        <v>4</v>
      </c>
      <c r="BL212" s="4">
        <v>4</v>
      </c>
      <c r="BM212" s="4">
        <v>4</v>
      </c>
      <c r="BN212" s="4">
        <v>4</v>
      </c>
      <c r="BO212" s="4">
        <v>4</v>
      </c>
      <c r="BP212" s="4">
        <v>4</v>
      </c>
      <c r="BQ212" s="4">
        <v>4</v>
      </c>
      <c r="BR212" s="4">
        <v>4</v>
      </c>
      <c r="BS212" s="4">
        <v>4</v>
      </c>
      <c r="BT212" s="4">
        <v>4</v>
      </c>
      <c r="BU212" s="4">
        <v>4</v>
      </c>
      <c r="BV212" s="4">
        <v>4</v>
      </c>
      <c r="BW212" s="4">
        <v>4</v>
      </c>
      <c r="BX212" s="4">
        <v>4</v>
      </c>
      <c r="BY212" s="4">
        <v>1</v>
      </c>
      <c r="BZ212" s="4">
        <v>4</v>
      </c>
      <c r="CA212" s="4">
        <v>1</v>
      </c>
      <c r="CB212" s="4">
        <v>4</v>
      </c>
      <c r="CC212" s="4">
        <v>4</v>
      </c>
      <c r="CD212" s="4">
        <v>4</v>
      </c>
      <c r="CE212" s="4">
        <v>1</v>
      </c>
      <c r="CF212" s="57">
        <v>4</v>
      </c>
      <c r="CG212" s="57">
        <v>4</v>
      </c>
      <c r="CH212" s="4">
        <v>4</v>
      </c>
      <c r="CI212" s="4">
        <v>4</v>
      </c>
      <c r="CJ212" s="4">
        <v>4</v>
      </c>
      <c r="CK212" s="17">
        <v>4</v>
      </c>
      <c r="CL212" s="4">
        <v>4</v>
      </c>
      <c r="CM212" s="4">
        <v>4</v>
      </c>
      <c r="CN212" s="57">
        <v>4</v>
      </c>
      <c r="CO212" s="4">
        <v>4</v>
      </c>
      <c r="CP212" s="4">
        <v>4</v>
      </c>
      <c r="CQ212" s="57">
        <v>4</v>
      </c>
      <c r="CR212" s="17">
        <v>4</v>
      </c>
      <c r="CS212" s="4">
        <v>4</v>
      </c>
      <c r="CT212" s="4">
        <v>4</v>
      </c>
      <c r="CU212" s="4">
        <v>4</v>
      </c>
      <c r="CV212" s="4">
        <v>4</v>
      </c>
      <c r="CW212" s="4">
        <v>1</v>
      </c>
      <c r="CX212" s="4">
        <v>4</v>
      </c>
      <c r="CY212" s="4">
        <v>4</v>
      </c>
      <c r="CZ212" s="4">
        <v>1</v>
      </c>
      <c r="DA212" s="17">
        <v>4</v>
      </c>
      <c r="DB212" s="17">
        <v>4</v>
      </c>
      <c r="DC212" s="17">
        <v>4</v>
      </c>
      <c r="DD212" s="4">
        <v>1</v>
      </c>
      <c r="DE212" s="17">
        <v>4</v>
      </c>
      <c r="DF212" s="57">
        <v>4</v>
      </c>
      <c r="DG212" s="17">
        <v>4</v>
      </c>
      <c r="DH212" s="4">
        <v>1</v>
      </c>
      <c r="DI212" s="17">
        <v>4</v>
      </c>
      <c r="DJ212" s="17">
        <v>4</v>
      </c>
      <c r="DK212" s="4">
        <v>1</v>
      </c>
      <c r="DL212" s="4">
        <v>4</v>
      </c>
      <c r="DM212" s="4">
        <v>4</v>
      </c>
      <c r="DN212" s="4">
        <v>1</v>
      </c>
      <c r="DO212" s="4">
        <v>4</v>
      </c>
      <c r="DP212" s="4">
        <v>4</v>
      </c>
      <c r="DQ212" s="4">
        <v>1</v>
      </c>
      <c r="DR212" s="4">
        <v>4</v>
      </c>
      <c r="DS212" s="4">
        <v>4</v>
      </c>
      <c r="DT212" s="4">
        <v>4</v>
      </c>
    </row>
    <row r="213" spans="1:124" x14ac:dyDescent="0.2">
      <c r="A213" t="s">
        <v>700</v>
      </c>
      <c r="B213" s="1" t="s">
        <v>1432</v>
      </c>
      <c r="C213" s="1" t="s">
        <v>697</v>
      </c>
      <c r="E213" s="4">
        <v>1</v>
      </c>
      <c r="F213" s="4">
        <v>4</v>
      </c>
      <c r="G213" s="4">
        <v>4</v>
      </c>
      <c r="H213" s="4">
        <v>4</v>
      </c>
      <c r="I213" s="4">
        <v>1</v>
      </c>
      <c r="J213" s="4">
        <v>4</v>
      </c>
      <c r="K213" s="4">
        <v>4</v>
      </c>
      <c r="L213" s="4">
        <v>4</v>
      </c>
      <c r="M213" s="4">
        <v>4</v>
      </c>
      <c r="N213" s="4">
        <v>1</v>
      </c>
      <c r="O213" s="4">
        <v>4</v>
      </c>
      <c r="P213" s="4">
        <v>4</v>
      </c>
      <c r="Q213" s="4">
        <v>4</v>
      </c>
      <c r="R213" s="4">
        <v>1</v>
      </c>
      <c r="S213" s="4">
        <v>4</v>
      </c>
      <c r="T213" s="4">
        <v>4</v>
      </c>
      <c r="U213" s="4">
        <v>1</v>
      </c>
      <c r="V213" s="57">
        <v>4</v>
      </c>
      <c r="W213" s="4">
        <v>4</v>
      </c>
      <c r="X213" s="4">
        <v>4</v>
      </c>
      <c r="Y213" s="4">
        <v>1</v>
      </c>
      <c r="Z213" s="4">
        <v>4</v>
      </c>
      <c r="AA213" s="4">
        <v>4</v>
      </c>
      <c r="AB213" s="4">
        <v>4</v>
      </c>
      <c r="AC213" s="57">
        <v>4</v>
      </c>
      <c r="AD213" s="4">
        <v>4</v>
      </c>
      <c r="AE213" s="4">
        <v>4</v>
      </c>
      <c r="AF213" s="4">
        <v>4</v>
      </c>
      <c r="AG213" s="4">
        <v>4</v>
      </c>
      <c r="AH213" s="4">
        <v>4</v>
      </c>
      <c r="AI213" s="4">
        <v>4</v>
      </c>
      <c r="AJ213" s="4">
        <v>4</v>
      </c>
      <c r="AK213" s="4">
        <v>4</v>
      </c>
      <c r="AL213" s="4">
        <v>4</v>
      </c>
      <c r="AM213" s="4">
        <v>4</v>
      </c>
      <c r="AN213" s="4">
        <v>4</v>
      </c>
      <c r="AO213" s="4">
        <v>4</v>
      </c>
      <c r="AP213" s="4">
        <v>4</v>
      </c>
      <c r="AQ213" s="4">
        <v>4</v>
      </c>
      <c r="AR213" s="4">
        <v>4</v>
      </c>
      <c r="AS213" s="4">
        <v>4</v>
      </c>
      <c r="AT213" s="4">
        <v>4</v>
      </c>
      <c r="AU213" s="4">
        <v>4</v>
      </c>
      <c r="AV213" s="57">
        <v>4</v>
      </c>
      <c r="AW213" s="4">
        <v>4</v>
      </c>
      <c r="AX213" s="4">
        <v>4</v>
      </c>
      <c r="AY213" s="4">
        <v>4</v>
      </c>
      <c r="AZ213" s="4">
        <v>4</v>
      </c>
      <c r="BA213" s="57">
        <v>4</v>
      </c>
      <c r="BB213" s="57">
        <v>4</v>
      </c>
      <c r="BC213" s="4">
        <v>4</v>
      </c>
      <c r="BD213" s="4">
        <v>3</v>
      </c>
      <c r="BE213" s="4">
        <v>1</v>
      </c>
      <c r="BF213" s="4">
        <v>4</v>
      </c>
      <c r="BG213" s="4">
        <v>4</v>
      </c>
      <c r="BH213" s="4">
        <v>4</v>
      </c>
      <c r="BI213" s="4">
        <v>4</v>
      </c>
      <c r="BJ213" s="4">
        <v>4</v>
      </c>
      <c r="BK213" s="4">
        <v>4</v>
      </c>
      <c r="BL213" s="4">
        <v>4</v>
      </c>
      <c r="BM213" s="4">
        <v>4</v>
      </c>
      <c r="BN213" s="4">
        <v>4</v>
      </c>
      <c r="BO213" s="4">
        <v>4</v>
      </c>
      <c r="BP213" s="4">
        <v>4</v>
      </c>
      <c r="BQ213" s="4">
        <v>4</v>
      </c>
      <c r="BR213" s="4">
        <v>4</v>
      </c>
      <c r="BS213" s="4">
        <v>4</v>
      </c>
      <c r="BT213" s="4">
        <v>4</v>
      </c>
      <c r="BU213" s="4">
        <v>4</v>
      </c>
      <c r="BV213" s="4">
        <v>4</v>
      </c>
      <c r="BW213" s="4">
        <v>4</v>
      </c>
      <c r="BX213" s="4">
        <v>4</v>
      </c>
      <c r="BY213" s="4">
        <v>1</v>
      </c>
      <c r="BZ213" s="4">
        <v>4</v>
      </c>
      <c r="CA213" s="4">
        <v>1</v>
      </c>
      <c r="CB213" s="4">
        <v>4</v>
      </c>
      <c r="CC213" s="4">
        <v>4</v>
      </c>
      <c r="CD213" s="4">
        <v>4</v>
      </c>
      <c r="CE213" s="4">
        <v>1</v>
      </c>
      <c r="CF213" s="57">
        <v>4</v>
      </c>
      <c r="CG213" s="57">
        <v>4</v>
      </c>
      <c r="CH213" s="4">
        <v>4</v>
      </c>
      <c r="CI213" s="4">
        <v>4</v>
      </c>
      <c r="CJ213" s="4">
        <v>4</v>
      </c>
      <c r="CK213" s="17">
        <v>4</v>
      </c>
      <c r="CL213" s="4">
        <v>4</v>
      </c>
      <c r="CM213" s="4">
        <v>4</v>
      </c>
      <c r="CN213" s="57">
        <v>4</v>
      </c>
      <c r="CO213" s="4">
        <v>4</v>
      </c>
      <c r="CP213" s="4">
        <v>4</v>
      </c>
      <c r="CQ213" s="57">
        <v>4</v>
      </c>
      <c r="CR213" s="17">
        <v>4</v>
      </c>
      <c r="CS213" s="4">
        <v>4</v>
      </c>
      <c r="CT213" s="4">
        <v>4</v>
      </c>
      <c r="CU213" s="4">
        <v>4</v>
      </c>
      <c r="CV213" s="4">
        <v>4</v>
      </c>
      <c r="CW213" s="4">
        <v>1</v>
      </c>
      <c r="CX213" s="4">
        <v>4</v>
      </c>
      <c r="CY213" s="4">
        <v>4</v>
      </c>
      <c r="CZ213" s="4">
        <v>1</v>
      </c>
      <c r="DA213" s="17">
        <v>4</v>
      </c>
      <c r="DB213" s="17">
        <v>4</v>
      </c>
      <c r="DC213" s="17">
        <v>4</v>
      </c>
      <c r="DD213" s="4">
        <v>1</v>
      </c>
      <c r="DE213" s="17">
        <v>4</v>
      </c>
      <c r="DF213" s="57">
        <v>4</v>
      </c>
      <c r="DG213" s="17">
        <v>4</v>
      </c>
      <c r="DH213" s="4">
        <v>1</v>
      </c>
      <c r="DI213" s="17">
        <v>4</v>
      </c>
      <c r="DJ213" s="17">
        <v>4</v>
      </c>
      <c r="DK213" s="4">
        <v>1</v>
      </c>
      <c r="DL213" s="4">
        <v>4</v>
      </c>
      <c r="DM213" s="4">
        <v>4</v>
      </c>
      <c r="DN213" s="4">
        <v>1</v>
      </c>
      <c r="DO213" s="4">
        <v>4</v>
      </c>
      <c r="DP213" s="4">
        <v>4</v>
      </c>
      <c r="DQ213" s="4">
        <v>1</v>
      </c>
      <c r="DR213" s="4">
        <v>4</v>
      </c>
      <c r="DS213" s="4">
        <v>4</v>
      </c>
      <c r="DT213" s="4">
        <v>4</v>
      </c>
    </row>
    <row r="214" spans="1:124" x14ac:dyDescent="0.2">
      <c r="A214" t="s">
        <v>701</v>
      </c>
      <c r="B214" s="1" t="s">
        <v>1432</v>
      </c>
      <c r="C214" s="1" t="s">
        <v>697</v>
      </c>
      <c r="E214" s="4">
        <v>1</v>
      </c>
      <c r="F214" s="4">
        <v>4</v>
      </c>
      <c r="G214" s="4">
        <v>4</v>
      </c>
      <c r="H214" s="4">
        <v>4</v>
      </c>
      <c r="I214" s="4">
        <v>1</v>
      </c>
      <c r="J214" s="4">
        <v>4</v>
      </c>
      <c r="K214" s="4">
        <v>4</v>
      </c>
      <c r="L214" s="4">
        <v>4</v>
      </c>
      <c r="M214" s="4">
        <v>4</v>
      </c>
      <c r="N214" s="4">
        <v>1</v>
      </c>
      <c r="O214" s="4">
        <v>4</v>
      </c>
      <c r="P214" s="4">
        <v>4</v>
      </c>
      <c r="Q214" s="4">
        <v>4</v>
      </c>
      <c r="R214" s="4">
        <v>1</v>
      </c>
      <c r="S214" s="4">
        <v>4</v>
      </c>
      <c r="T214" s="4">
        <v>4</v>
      </c>
      <c r="U214" s="4">
        <v>1</v>
      </c>
      <c r="V214" s="57">
        <v>4</v>
      </c>
      <c r="W214" s="4">
        <v>4</v>
      </c>
      <c r="X214" s="4">
        <v>4</v>
      </c>
      <c r="Y214" s="4">
        <v>1</v>
      </c>
      <c r="Z214" s="4">
        <v>4</v>
      </c>
      <c r="AA214" s="4">
        <v>4</v>
      </c>
      <c r="AB214" s="4">
        <v>4</v>
      </c>
      <c r="AC214" s="57">
        <v>4</v>
      </c>
      <c r="AD214" s="4">
        <v>4</v>
      </c>
      <c r="AE214" s="4">
        <v>4</v>
      </c>
      <c r="AF214" s="4">
        <v>4</v>
      </c>
      <c r="AG214" s="4">
        <v>4</v>
      </c>
      <c r="AH214" s="4">
        <v>4</v>
      </c>
      <c r="AI214" s="4">
        <v>4</v>
      </c>
      <c r="AJ214" s="4">
        <v>4</v>
      </c>
      <c r="AK214" s="4">
        <v>4</v>
      </c>
      <c r="AL214" s="4">
        <v>4</v>
      </c>
      <c r="AM214" s="4">
        <v>4</v>
      </c>
      <c r="AN214" s="4">
        <v>4</v>
      </c>
      <c r="AO214" s="4">
        <v>4</v>
      </c>
      <c r="AP214" s="4">
        <v>4</v>
      </c>
      <c r="AQ214" s="4">
        <v>4</v>
      </c>
      <c r="AR214" s="4">
        <v>4</v>
      </c>
      <c r="AS214" s="4">
        <v>4</v>
      </c>
      <c r="AT214" s="4">
        <v>4</v>
      </c>
      <c r="AU214" s="4">
        <v>4</v>
      </c>
      <c r="AV214" s="57">
        <v>4</v>
      </c>
      <c r="AW214" s="4">
        <v>4</v>
      </c>
      <c r="AX214" s="4">
        <v>4</v>
      </c>
      <c r="AY214" s="4">
        <v>4</v>
      </c>
      <c r="AZ214" s="4">
        <v>4</v>
      </c>
      <c r="BA214" s="57">
        <v>4</v>
      </c>
      <c r="BB214" s="57">
        <v>4</v>
      </c>
      <c r="BC214" s="4">
        <v>4</v>
      </c>
      <c r="BD214" s="4">
        <v>3</v>
      </c>
      <c r="BE214" s="4">
        <v>1</v>
      </c>
      <c r="BF214" s="4">
        <v>4</v>
      </c>
      <c r="BG214" s="4">
        <v>4</v>
      </c>
      <c r="BH214" s="4">
        <v>4</v>
      </c>
      <c r="BI214" s="4">
        <v>4</v>
      </c>
      <c r="BJ214" s="4">
        <v>4</v>
      </c>
      <c r="BK214" s="4">
        <v>4</v>
      </c>
      <c r="BL214" s="4">
        <v>4</v>
      </c>
      <c r="BM214" s="4">
        <v>4</v>
      </c>
      <c r="BN214" s="4">
        <v>4</v>
      </c>
      <c r="BO214" s="4">
        <v>4</v>
      </c>
      <c r="BP214" s="4">
        <v>4</v>
      </c>
      <c r="BQ214" s="4">
        <v>4</v>
      </c>
      <c r="BR214" s="4">
        <v>4</v>
      </c>
      <c r="BS214" s="4">
        <v>4</v>
      </c>
      <c r="BT214" s="4">
        <v>4</v>
      </c>
      <c r="BU214" s="4">
        <v>4</v>
      </c>
      <c r="BV214" s="4">
        <v>4</v>
      </c>
      <c r="BW214" s="4">
        <v>4</v>
      </c>
      <c r="BX214" s="4">
        <v>4</v>
      </c>
      <c r="BY214" s="4">
        <v>1</v>
      </c>
      <c r="BZ214" s="4">
        <v>4</v>
      </c>
      <c r="CA214" s="4">
        <v>1</v>
      </c>
      <c r="CB214" s="4">
        <v>4</v>
      </c>
      <c r="CC214" s="4">
        <v>4</v>
      </c>
      <c r="CD214" s="4">
        <v>4</v>
      </c>
      <c r="CE214" s="4">
        <v>1</v>
      </c>
      <c r="CF214" s="57">
        <v>4</v>
      </c>
      <c r="CG214" s="57">
        <v>4</v>
      </c>
      <c r="CH214" s="4">
        <v>4</v>
      </c>
      <c r="CI214" s="4">
        <v>4</v>
      </c>
      <c r="CJ214" s="4">
        <v>4</v>
      </c>
      <c r="CK214" s="17">
        <v>4</v>
      </c>
      <c r="CL214" s="4">
        <v>4</v>
      </c>
      <c r="CM214" s="4">
        <v>4</v>
      </c>
      <c r="CN214" s="57">
        <v>4</v>
      </c>
      <c r="CO214" s="4">
        <v>4</v>
      </c>
      <c r="CP214" s="4">
        <v>4</v>
      </c>
      <c r="CQ214" s="57">
        <v>4</v>
      </c>
      <c r="CR214" s="17">
        <v>4</v>
      </c>
      <c r="CS214" s="4">
        <v>4</v>
      </c>
      <c r="CT214" s="4">
        <v>4</v>
      </c>
      <c r="CU214" s="4">
        <v>4</v>
      </c>
      <c r="CV214" s="4">
        <v>4</v>
      </c>
      <c r="CW214" s="4">
        <v>1</v>
      </c>
      <c r="CX214" s="4">
        <v>4</v>
      </c>
      <c r="CY214" s="4">
        <v>4</v>
      </c>
      <c r="CZ214" s="4">
        <v>1</v>
      </c>
      <c r="DA214" s="17">
        <v>4</v>
      </c>
      <c r="DB214" s="17">
        <v>4</v>
      </c>
      <c r="DC214" s="17">
        <v>4</v>
      </c>
      <c r="DD214" s="4">
        <v>1</v>
      </c>
      <c r="DE214" s="17">
        <v>4</v>
      </c>
      <c r="DF214" s="57">
        <v>4</v>
      </c>
      <c r="DG214" s="17">
        <v>4</v>
      </c>
      <c r="DH214" s="4">
        <v>1</v>
      </c>
      <c r="DI214" s="17">
        <v>4</v>
      </c>
      <c r="DJ214" s="17">
        <v>4</v>
      </c>
      <c r="DK214" s="4">
        <v>1</v>
      </c>
      <c r="DL214" s="4">
        <v>4</v>
      </c>
      <c r="DM214" s="4">
        <v>4</v>
      </c>
      <c r="DN214" s="4">
        <v>1</v>
      </c>
      <c r="DO214" s="4">
        <v>4</v>
      </c>
      <c r="DP214" s="4">
        <v>4</v>
      </c>
      <c r="DQ214" s="4">
        <v>1</v>
      </c>
      <c r="DR214" s="4">
        <v>4</v>
      </c>
      <c r="DS214" s="4">
        <v>4</v>
      </c>
      <c r="DT214" s="4">
        <v>4</v>
      </c>
    </row>
    <row r="215" spans="1:124" x14ac:dyDescent="0.2">
      <c r="A215" t="s">
        <v>590</v>
      </c>
      <c r="B215" s="1" t="s">
        <v>1432</v>
      </c>
      <c r="C215" s="1" t="s">
        <v>644</v>
      </c>
      <c r="E215" s="4">
        <v>1</v>
      </c>
      <c r="F215" s="4">
        <v>4</v>
      </c>
      <c r="G215" s="4">
        <v>4</v>
      </c>
      <c r="H215" s="4">
        <v>4</v>
      </c>
      <c r="I215" s="4">
        <v>1</v>
      </c>
      <c r="J215" s="4">
        <v>1</v>
      </c>
      <c r="K215" s="4">
        <v>4</v>
      </c>
      <c r="L215" s="4">
        <v>4</v>
      </c>
      <c r="M215" s="4">
        <v>4</v>
      </c>
      <c r="N215" s="4">
        <v>1</v>
      </c>
      <c r="O215" s="4">
        <v>4</v>
      </c>
      <c r="P215" s="4">
        <v>4</v>
      </c>
      <c r="Q215" s="4">
        <v>4</v>
      </c>
      <c r="R215" s="4">
        <v>1</v>
      </c>
      <c r="S215" s="4">
        <v>4</v>
      </c>
      <c r="T215" s="4">
        <v>4</v>
      </c>
      <c r="U215" s="4">
        <v>1</v>
      </c>
      <c r="V215" s="57">
        <v>4</v>
      </c>
      <c r="W215" s="4">
        <v>4</v>
      </c>
      <c r="X215" s="4">
        <v>4</v>
      </c>
      <c r="Y215" s="4">
        <v>1</v>
      </c>
      <c r="Z215" s="4">
        <v>4</v>
      </c>
      <c r="AA215" s="4">
        <v>4</v>
      </c>
      <c r="AB215" s="4">
        <v>4</v>
      </c>
      <c r="AC215" s="57">
        <v>4</v>
      </c>
      <c r="AD215" s="17">
        <v>4</v>
      </c>
      <c r="AE215" s="17">
        <v>4</v>
      </c>
      <c r="AF215" s="17">
        <v>4</v>
      </c>
      <c r="AG215" s="17">
        <v>4</v>
      </c>
      <c r="AH215" s="17">
        <v>4</v>
      </c>
      <c r="AI215" s="4">
        <v>4</v>
      </c>
      <c r="AJ215" s="4">
        <v>1</v>
      </c>
      <c r="AK215" s="17">
        <v>4</v>
      </c>
      <c r="AL215" s="4">
        <v>4</v>
      </c>
      <c r="AM215" s="4">
        <v>4</v>
      </c>
      <c r="AN215" s="4">
        <v>1</v>
      </c>
      <c r="AO215" s="4">
        <v>1</v>
      </c>
      <c r="AP215" s="17">
        <v>4</v>
      </c>
      <c r="AQ215" s="17">
        <v>4</v>
      </c>
      <c r="AR215" s="17">
        <v>4</v>
      </c>
      <c r="AS215" s="17">
        <v>4</v>
      </c>
      <c r="AT215" s="17">
        <v>4</v>
      </c>
      <c r="AU215" s="17">
        <v>4</v>
      </c>
      <c r="AV215" s="57">
        <v>4</v>
      </c>
      <c r="AW215" s="17">
        <v>4</v>
      </c>
      <c r="AX215" s="17">
        <v>4</v>
      </c>
      <c r="AY215" s="4">
        <v>4</v>
      </c>
      <c r="AZ215" s="4">
        <v>4</v>
      </c>
      <c r="BA215" s="57">
        <v>4</v>
      </c>
      <c r="BB215" s="57">
        <v>4</v>
      </c>
      <c r="BC215" s="4">
        <v>4</v>
      </c>
      <c r="BD215" s="4">
        <v>3</v>
      </c>
      <c r="BE215" s="4">
        <v>1</v>
      </c>
      <c r="BF215" s="17">
        <v>4</v>
      </c>
      <c r="BG215" s="17">
        <v>4</v>
      </c>
      <c r="BH215" s="4">
        <v>4</v>
      </c>
      <c r="BI215" s="17">
        <v>4</v>
      </c>
      <c r="BJ215" s="17">
        <v>4</v>
      </c>
      <c r="BK215" s="4">
        <v>4</v>
      </c>
      <c r="BL215" s="17">
        <v>4</v>
      </c>
      <c r="BM215" s="17">
        <v>4</v>
      </c>
      <c r="BN215" s="4">
        <v>4</v>
      </c>
      <c r="BO215" s="17">
        <v>4</v>
      </c>
      <c r="BP215" s="17">
        <v>4</v>
      </c>
      <c r="BQ215" s="17">
        <v>4</v>
      </c>
      <c r="BR215" s="17">
        <v>4</v>
      </c>
      <c r="BS215" s="4">
        <v>4</v>
      </c>
      <c r="BT215" s="17">
        <v>4</v>
      </c>
      <c r="BU215" s="17">
        <v>4</v>
      </c>
      <c r="BV215" s="17">
        <v>4</v>
      </c>
      <c r="BW215" s="4">
        <v>4</v>
      </c>
      <c r="BX215" s="4">
        <v>4</v>
      </c>
      <c r="BY215" s="4">
        <v>1</v>
      </c>
      <c r="BZ215" s="4">
        <v>4</v>
      </c>
      <c r="CA215" s="4">
        <v>1</v>
      </c>
      <c r="CB215" s="4">
        <v>1</v>
      </c>
      <c r="CC215" s="4">
        <v>4</v>
      </c>
      <c r="CD215" s="4">
        <v>4</v>
      </c>
      <c r="CE215" s="4">
        <v>1</v>
      </c>
      <c r="CF215" s="57">
        <v>4</v>
      </c>
      <c r="CG215" s="57">
        <v>4</v>
      </c>
      <c r="CH215" s="4">
        <v>4</v>
      </c>
      <c r="CI215" s="4">
        <v>4</v>
      </c>
      <c r="CJ215" s="4">
        <v>4</v>
      </c>
      <c r="CK215" s="4">
        <v>1</v>
      </c>
      <c r="CL215" s="17">
        <v>4</v>
      </c>
      <c r="CM215" s="17">
        <v>4</v>
      </c>
      <c r="CN215" s="57">
        <v>4</v>
      </c>
      <c r="CO215" s="17">
        <v>4</v>
      </c>
      <c r="CP215" s="17">
        <v>4</v>
      </c>
      <c r="CQ215" s="57">
        <v>4</v>
      </c>
      <c r="CR215" s="4">
        <v>1</v>
      </c>
      <c r="CS215" s="4">
        <v>1</v>
      </c>
      <c r="CT215" s="4">
        <v>4</v>
      </c>
      <c r="CU215" s="4">
        <v>4</v>
      </c>
      <c r="CV215" s="4">
        <v>4</v>
      </c>
      <c r="CW215" s="4">
        <v>1</v>
      </c>
      <c r="CX215" s="4">
        <v>4</v>
      </c>
      <c r="CY215" s="4">
        <v>4</v>
      </c>
      <c r="CZ215" s="4">
        <v>1</v>
      </c>
      <c r="DA215" s="4">
        <v>2</v>
      </c>
      <c r="DB215" s="17">
        <v>4</v>
      </c>
      <c r="DC215" s="17">
        <v>4</v>
      </c>
      <c r="DD215" s="4">
        <v>1</v>
      </c>
      <c r="DE215" s="4">
        <v>1</v>
      </c>
      <c r="DF215" s="57">
        <v>4</v>
      </c>
      <c r="DG215" s="17">
        <v>4</v>
      </c>
      <c r="DH215" s="4">
        <v>1</v>
      </c>
      <c r="DI215" s="17">
        <v>4</v>
      </c>
      <c r="DJ215" s="17">
        <v>4</v>
      </c>
      <c r="DK215" s="4">
        <v>1</v>
      </c>
      <c r="DL215" s="4">
        <v>4</v>
      </c>
      <c r="DM215" s="4">
        <v>4</v>
      </c>
      <c r="DN215" s="4">
        <v>1</v>
      </c>
      <c r="DO215" s="4">
        <v>4</v>
      </c>
      <c r="DP215" s="4">
        <v>4</v>
      </c>
      <c r="DQ215" s="4">
        <v>1</v>
      </c>
      <c r="DR215" s="17">
        <v>4</v>
      </c>
      <c r="DS215" s="17">
        <v>4</v>
      </c>
      <c r="DT215" s="4">
        <v>4</v>
      </c>
    </row>
    <row r="216" spans="1:124" x14ac:dyDescent="0.2">
      <c r="A216" t="s">
        <v>1433</v>
      </c>
      <c r="B216" s="1" t="s">
        <v>1432</v>
      </c>
      <c r="C216" s="1" t="s">
        <v>644</v>
      </c>
      <c r="E216" s="4">
        <v>1</v>
      </c>
      <c r="F216" s="4">
        <v>4</v>
      </c>
      <c r="G216" s="4">
        <v>4</v>
      </c>
      <c r="H216" s="4">
        <v>4</v>
      </c>
      <c r="I216" s="4">
        <v>1</v>
      </c>
      <c r="J216" s="4">
        <v>1</v>
      </c>
      <c r="K216" s="4">
        <v>4</v>
      </c>
      <c r="L216" s="4">
        <v>4</v>
      </c>
      <c r="M216" s="4">
        <v>4</v>
      </c>
      <c r="N216" s="4">
        <v>1</v>
      </c>
      <c r="O216" s="4">
        <v>4</v>
      </c>
      <c r="P216" s="4">
        <v>4</v>
      </c>
      <c r="Q216" s="4">
        <v>4</v>
      </c>
      <c r="R216" s="4">
        <v>1</v>
      </c>
      <c r="S216" s="4">
        <v>4</v>
      </c>
      <c r="T216" s="4">
        <v>4</v>
      </c>
      <c r="U216" s="4">
        <v>1</v>
      </c>
      <c r="V216" s="57">
        <v>4</v>
      </c>
      <c r="W216" s="4">
        <v>4</v>
      </c>
      <c r="X216" s="4">
        <v>4</v>
      </c>
      <c r="Y216" s="4">
        <v>1</v>
      </c>
      <c r="Z216" s="4">
        <v>4</v>
      </c>
      <c r="AA216" s="4">
        <v>4</v>
      </c>
      <c r="AB216" s="4">
        <v>4</v>
      </c>
      <c r="AC216" s="57">
        <v>4</v>
      </c>
      <c r="AD216" s="17">
        <v>4</v>
      </c>
      <c r="AE216" s="17">
        <v>4</v>
      </c>
      <c r="AF216" s="17">
        <v>4</v>
      </c>
      <c r="AG216" s="17">
        <v>4</v>
      </c>
      <c r="AH216" s="17">
        <v>4</v>
      </c>
      <c r="AI216" s="4">
        <v>4</v>
      </c>
      <c r="AJ216" s="4">
        <v>1</v>
      </c>
      <c r="AK216" s="17">
        <v>4</v>
      </c>
      <c r="AL216" s="4">
        <v>4</v>
      </c>
      <c r="AM216" s="4">
        <v>4</v>
      </c>
      <c r="AN216" s="4">
        <v>3</v>
      </c>
      <c r="AO216" s="4">
        <v>1</v>
      </c>
      <c r="AP216" s="17">
        <v>4</v>
      </c>
      <c r="AQ216" s="17">
        <v>4</v>
      </c>
      <c r="AR216" s="17">
        <v>4</v>
      </c>
      <c r="AS216" s="17">
        <v>4</v>
      </c>
      <c r="AT216" s="17">
        <v>4</v>
      </c>
      <c r="AU216" s="17">
        <v>4</v>
      </c>
      <c r="AV216" s="57">
        <v>4</v>
      </c>
      <c r="AW216" s="17">
        <v>4</v>
      </c>
      <c r="AX216" s="17">
        <v>4</v>
      </c>
      <c r="AY216" s="4">
        <v>4</v>
      </c>
      <c r="AZ216" s="4">
        <v>4</v>
      </c>
      <c r="BA216" s="57">
        <v>4</v>
      </c>
      <c r="BB216" s="57">
        <v>4</v>
      </c>
      <c r="BC216" s="4">
        <v>4</v>
      </c>
      <c r="BD216" s="4">
        <v>3</v>
      </c>
      <c r="BE216" s="4">
        <v>1</v>
      </c>
      <c r="BF216" s="17">
        <v>4</v>
      </c>
      <c r="BG216" s="17">
        <v>4</v>
      </c>
      <c r="BH216" s="4">
        <v>4</v>
      </c>
      <c r="BI216" s="17">
        <v>4</v>
      </c>
      <c r="BJ216" s="17">
        <v>4</v>
      </c>
      <c r="BK216" s="4">
        <v>4</v>
      </c>
      <c r="BL216" s="17">
        <v>4</v>
      </c>
      <c r="BM216" s="17">
        <v>4</v>
      </c>
      <c r="BN216" s="4">
        <v>4</v>
      </c>
      <c r="BO216" s="17">
        <v>4</v>
      </c>
      <c r="BP216" s="17">
        <v>4</v>
      </c>
      <c r="BQ216" s="17">
        <v>4</v>
      </c>
      <c r="BR216" s="17">
        <v>4</v>
      </c>
      <c r="BS216" s="4">
        <v>4</v>
      </c>
      <c r="BT216" s="17">
        <v>4</v>
      </c>
      <c r="BU216" s="17">
        <v>4</v>
      </c>
      <c r="BV216" s="17">
        <v>4</v>
      </c>
      <c r="BW216" s="4">
        <v>4</v>
      </c>
      <c r="BX216" s="4">
        <v>4</v>
      </c>
      <c r="BY216" s="4">
        <v>1</v>
      </c>
      <c r="BZ216" s="4">
        <v>4</v>
      </c>
      <c r="CA216" s="4">
        <v>1</v>
      </c>
      <c r="CB216" s="4">
        <v>1</v>
      </c>
      <c r="CC216" s="4">
        <v>4</v>
      </c>
      <c r="CD216" s="4">
        <v>4</v>
      </c>
      <c r="CE216" s="4">
        <v>1</v>
      </c>
      <c r="CF216" s="57">
        <v>4</v>
      </c>
      <c r="CG216" s="57">
        <v>4</v>
      </c>
      <c r="CH216" s="4">
        <v>4</v>
      </c>
      <c r="CI216" s="4">
        <v>4</v>
      </c>
      <c r="CJ216" s="4">
        <v>4</v>
      </c>
      <c r="CK216" s="4">
        <v>1</v>
      </c>
      <c r="CL216" s="17">
        <v>4</v>
      </c>
      <c r="CM216" s="17">
        <v>4</v>
      </c>
      <c r="CN216" s="57">
        <v>4</v>
      </c>
      <c r="CO216" s="17">
        <v>4</v>
      </c>
      <c r="CP216" s="17">
        <v>4</v>
      </c>
      <c r="CQ216" s="57">
        <v>4</v>
      </c>
      <c r="CR216" s="4">
        <v>1</v>
      </c>
      <c r="CS216" s="4">
        <v>1</v>
      </c>
      <c r="CT216" s="4">
        <v>4</v>
      </c>
      <c r="CU216" s="4">
        <v>4</v>
      </c>
      <c r="CV216" s="4">
        <v>4</v>
      </c>
      <c r="CW216" s="4">
        <v>1</v>
      </c>
      <c r="CX216" s="4">
        <v>4</v>
      </c>
      <c r="CY216" s="4">
        <v>4</v>
      </c>
      <c r="CZ216" s="4">
        <v>1</v>
      </c>
      <c r="DA216" s="4">
        <v>2</v>
      </c>
      <c r="DB216" s="17">
        <v>4</v>
      </c>
      <c r="DC216" s="17">
        <v>4</v>
      </c>
      <c r="DD216" s="4">
        <v>1</v>
      </c>
      <c r="DE216" s="4">
        <v>1</v>
      </c>
      <c r="DF216" s="57">
        <v>4</v>
      </c>
      <c r="DG216" s="17">
        <v>4</v>
      </c>
      <c r="DH216" s="4">
        <v>1</v>
      </c>
      <c r="DI216" s="17">
        <v>4</v>
      </c>
      <c r="DJ216" s="17">
        <v>4</v>
      </c>
      <c r="DK216" s="4">
        <v>1</v>
      </c>
      <c r="DL216" s="4">
        <v>4</v>
      </c>
      <c r="DM216" s="4">
        <v>4</v>
      </c>
      <c r="DN216" s="4">
        <v>1</v>
      </c>
      <c r="DO216" s="4">
        <v>4</v>
      </c>
      <c r="DP216" s="4">
        <v>4</v>
      </c>
      <c r="DQ216" s="4">
        <v>1</v>
      </c>
      <c r="DR216" s="17">
        <v>4</v>
      </c>
      <c r="DS216" s="17">
        <v>4</v>
      </c>
      <c r="DT216" s="4">
        <v>4</v>
      </c>
    </row>
    <row r="217" spans="1:124" x14ac:dyDescent="0.2">
      <c r="A217" t="s">
        <v>455</v>
      </c>
      <c r="B217" s="1" t="s">
        <v>1432</v>
      </c>
      <c r="C217" s="1" t="s">
        <v>644</v>
      </c>
      <c r="E217" s="4">
        <v>1</v>
      </c>
      <c r="F217" s="4">
        <v>4</v>
      </c>
      <c r="G217" s="4">
        <v>4</v>
      </c>
      <c r="H217" s="4">
        <v>4</v>
      </c>
      <c r="I217" s="4">
        <v>1</v>
      </c>
      <c r="J217" s="4">
        <v>1</v>
      </c>
      <c r="K217" s="4">
        <v>4</v>
      </c>
      <c r="L217" s="4">
        <v>4</v>
      </c>
      <c r="M217" s="4">
        <v>4</v>
      </c>
      <c r="N217" s="4">
        <v>1</v>
      </c>
      <c r="O217" s="4">
        <v>4</v>
      </c>
      <c r="P217" s="4">
        <v>4</v>
      </c>
      <c r="Q217" s="4">
        <v>4</v>
      </c>
      <c r="R217" s="4">
        <v>1</v>
      </c>
      <c r="S217" s="4">
        <v>4</v>
      </c>
      <c r="T217" s="4">
        <v>4</v>
      </c>
      <c r="U217" s="4">
        <v>1</v>
      </c>
      <c r="V217" s="57">
        <v>4</v>
      </c>
      <c r="W217" s="4">
        <v>4</v>
      </c>
      <c r="X217" s="4">
        <v>4</v>
      </c>
      <c r="Y217" s="4">
        <v>1</v>
      </c>
      <c r="Z217" s="4">
        <v>4</v>
      </c>
      <c r="AA217" s="4">
        <v>4</v>
      </c>
      <c r="AB217" s="4">
        <v>4</v>
      </c>
      <c r="AC217" s="57">
        <v>4</v>
      </c>
      <c r="AD217" s="17">
        <v>4</v>
      </c>
      <c r="AE217" s="17">
        <v>4</v>
      </c>
      <c r="AF217" s="17">
        <v>4</v>
      </c>
      <c r="AG217" s="17">
        <v>4</v>
      </c>
      <c r="AH217" s="17">
        <v>4</v>
      </c>
      <c r="AI217" s="4">
        <v>4</v>
      </c>
      <c r="AJ217" s="4">
        <v>1</v>
      </c>
      <c r="AK217" s="17">
        <v>4</v>
      </c>
      <c r="AL217" s="4">
        <v>4</v>
      </c>
      <c r="AM217" s="4">
        <v>4</v>
      </c>
      <c r="AN217" s="4">
        <v>1</v>
      </c>
      <c r="AO217" s="4">
        <v>1</v>
      </c>
      <c r="AP217" s="17">
        <v>4</v>
      </c>
      <c r="AQ217" s="17">
        <v>4</v>
      </c>
      <c r="AR217" s="17">
        <v>4</v>
      </c>
      <c r="AS217" s="17">
        <v>4</v>
      </c>
      <c r="AT217" s="17">
        <v>4</v>
      </c>
      <c r="AU217" s="17">
        <v>4</v>
      </c>
      <c r="AV217" s="57">
        <v>4</v>
      </c>
      <c r="AW217" s="17">
        <v>4</v>
      </c>
      <c r="AX217" s="17">
        <v>4</v>
      </c>
      <c r="AY217" s="4">
        <v>4</v>
      </c>
      <c r="AZ217" s="4">
        <v>4</v>
      </c>
      <c r="BA217" s="57">
        <v>4</v>
      </c>
      <c r="BB217" s="57">
        <v>4</v>
      </c>
      <c r="BC217" s="4">
        <v>4</v>
      </c>
      <c r="BD217" s="4">
        <v>3</v>
      </c>
      <c r="BE217" s="4">
        <v>1</v>
      </c>
      <c r="BF217" s="17">
        <v>4</v>
      </c>
      <c r="BG217" s="17">
        <v>4</v>
      </c>
      <c r="BH217" s="4">
        <v>4</v>
      </c>
      <c r="BI217" s="17">
        <v>4</v>
      </c>
      <c r="BJ217" s="17">
        <v>4</v>
      </c>
      <c r="BK217" s="4">
        <v>4</v>
      </c>
      <c r="BL217" s="17">
        <v>4</v>
      </c>
      <c r="BM217" s="17">
        <v>4</v>
      </c>
      <c r="BN217" s="4">
        <v>4</v>
      </c>
      <c r="BO217" s="17">
        <v>4</v>
      </c>
      <c r="BP217" s="17">
        <v>4</v>
      </c>
      <c r="BQ217" s="17">
        <v>4</v>
      </c>
      <c r="BR217" s="17">
        <v>4</v>
      </c>
      <c r="BS217" s="4">
        <v>4</v>
      </c>
      <c r="BT217" s="17">
        <v>4</v>
      </c>
      <c r="BU217" s="17">
        <v>4</v>
      </c>
      <c r="BV217" s="17">
        <v>4</v>
      </c>
      <c r="BW217" s="4">
        <v>4</v>
      </c>
      <c r="BX217" s="4">
        <v>4</v>
      </c>
      <c r="BY217" s="4">
        <v>1</v>
      </c>
      <c r="BZ217" s="4">
        <v>4</v>
      </c>
      <c r="CA217" s="4">
        <v>1</v>
      </c>
      <c r="CB217" s="4">
        <v>1</v>
      </c>
      <c r="CC217" s="4">
        <v>4</v>
      </c>
      <c r="CD217" s="4">
        <v>4</v>
      </c>
      <c r="CE217" s="4">
        <v>1</v>
      </c>
      <c r="CF217" s="57">
        <v>4</v>
      </c>
      <c r="CG217" s="57">
        <v>4</v>
      </c>
      <c r="CH217" s="4">
        <v>4</v>
      </c>
      <c r="CI217" s="4">
        <v>4</v>
      </c>
      <c r="CJ217" s="4">
        <v>4</v>
      </c>
      <c r="CK217" s="4">
        <v>1</v>
      </c>
      <c r="CL217" s="17">
        <v>4</v>
      </c>
      <c r="CM217" s="17">
        <v>4</v>
      </c>
      <c r="CN217" s="57">
        <v>4</v>
      </c>
      <c r="CO217" s="17">
        <v>4</v>
      </c>
      <c r="CP217" s="17">
        <v>4</v>
      </c>
      <c r="CQ217" s="57">
        <v>4</v>
      </c>
      <c r="CR217" s="4">
        <v>1</v>
      </c>
      <c r="CS217" s="4">
        <v>1</v>
      </c>
      <c r="CT217" s="4">
        <v>4</v>
      </c>
      <c r="CU217" s="4">
        <v>4</v>
      </c>
      <c r="CV217" s="4">
        <v>4</v>
      </c>
      <c r="CW217" s="4">
        <v>1</v>
      </c>
      <c r="CX217" s="4">
        <v>4</v>
      </c>
      <c r="CY217" s="4">
        <v>4</v>
      </c>
      <c r="CZ217" s="4">
        <v>1</v>
      </c>
      <c r="DA217" s="4">
        <v>2</v>
      </c>
      <c r="DB217" s="17">
        <v>4</v>
      </c>
      <c r="DC217" s="17">
        <v>4</v>
      </c>
      <c r="DD217" s="4">
        <v>1</v>
      </c>
      <c r="DE217" s="4">
        <v>1</v>
      </c>
      <c r="DF217" s="57">
        <v>4</v>
      </c>
      <c r="DG217" s="17">
        <v>4</v>
      </c>
      <c r="DH217" s="4">
        <v>1</v>
      </c>
      <c r="DI217" s="17">
        <v>4</v>
      </c>
      <c r="DJ217" s="17">
        <v>4</v>
      </c>
      <c r="DK217" s="4">
        <v>1</v>
      </c>
      <c r="DL217" s="4">
        <v>4</v>
      </c>
      <c r="DM217" s="4">
        <v>4</v>
      </c>
      <c r="DN217" s="4">
        <v>1</v>
      </c>
      <c r="DO217" s="4">
        <v>4</v>
      </c>
      <c r="DP217" s="4">
        <v>4</v>
      </c>
      <c r="DQ217" s="4">
        <v>1</v>
      </c>
      <c r="DR217" s="17">
        <v>4</v>
      </c>
      <c r="DS217" s="17">
        <v>4</v>
      </c>
      <c r="DT217" s="4">
        <v>4</v>
      </c>
    </row>
    <row r="218" spans="1:124" x14ac:dyDescent="0.2">
      <c r="A218" t="s">
        <v>462</v>
      </c>
      <c r="B218" s="1" t="s">
        <v>1432</v>
      </c>
      <c r="C218" s="1" t="s">
        <v>644</v>
      </c>
      <c r="E218" s="4">
        <v>1</v>
      </c>
      <c r="F218" s="4">
        <v>4</v>
      </c>
      <c r="G218" s="4">
        <v>4</v>
      </c>
      <c r="H218" s="4">
        <v>4</v>
      </c>
      <c r="I218" s="4">
        <v>1</v>
      </c>
      <c r="J218" s="4">
        <v>1</v>
      </c>
      <c r="K218" s="4">
        <v>4</v>
      </c>
      <c r="L218" s="4">
        <v>4</v>
      </c>
      <c r="M218" s="4">
        <v>4</v>
      </c>
      <c r="N218" s="4">
        <v>1</v>
      </c>
      <c r="O218" s="4">
        <v>4</v>
      </c>
      <c r="P218" s="4">
        <v>4</v>
      </c>
      <c r="Q218" s="4">
        <v>4</v>
      </c>
      <c r="R218" s="4">
        <v>1</v>
      </c>
      <c r="S218" s="4">
        <v>4</v>
      </c>
      <c r="T218" s="4">
        <v>4</v>
      </c>
      <c r="U218" s="4">
        <v>1</v>
      </c>
      <c r="V218" s="57">
        <v>4</v>
      </c>
      <c r="W218" s="4">
        <v>4</v>
      </c>
      <c r="X218" s="4">
        <v>4</v>
      </c>
      <c r="Y218" s="4">
        <v>1</v>
      </c>
      <c r="Z218" s="4">
        <v>4</v>
      </c>
      <c r="AA218" s="4">
        <v>4</v>
      </c>
      <c r="AB218" s="4">
        <v>4</v>
      </c>
      <c r="AC218" s="57">
        <v>4</v>
      </c>
      <c r="AD218" s="17">
        <v>4</v>
      </c>
      <c r="AE218" s="17">
        <v>4</v>
      </c>
      <c r="AF218" s="17">
        <v>4</v>
      </c>
      <c r="AG218" s="17">
        <v>4</v>
      </c>
      <c r="AH218" s="17">
        <v>4</v>
      </c>
      <c r="AI218" s="4">
        <v>4</v>
      </c>
      <c r="AJ218" s="4">
        <v>1</v>
      </c>
      <c r="AK218" s="17">
        <v>4</v>
      </c>
      <c r="AL218" s="4">
        <v>4</v>
      </c>
      <c r="AM218" s="4">
        <v>4</v>
      </c>
      <c r="AN218" s="4">
        <v>1</v>
      </c>
      <c r="AO218" s="4">
        <v>1</v>
      </c>
      <c r="AP218" s="17">
        <v>4</v>
      </c>
      <c r="AQ218" s="17">
        <v>4</v>
      </c>
      <c r="AR218" s="17">
        <v>4</v>
      </c>
      <c r="AS218" s="17">
        <v>4</v>
      </c>
      <c r="AT218" s="17">
        <v>4</v>
      </c>
      <c r="AU218" s="17">
        <v>4</v>
      </c>
      <c r="AV218" s="57">
        <v>4</v>
      </c>
      <c r="AW218" s="17">
        <v>4</v>
      </c>
      <c r="AX218" s="17">
        <v>4</v>
      </c>
      <c r="AY218" s="4">
        <v>4</v>
      </c>
      <c r="AZ218" s="4">
        <v>4</v>
      </c>
      <c r="BA218" s="57">
        <v>4</v>
      </c>
      <c r="BB218" s="57">
        <v>4</v>
      </c>
      <c r="BC218" s="4">
        <v>4</v>
      </c>
      <c r="BD218" s="4">
        <v>3</v>
      </c>
      <c r="BE218" s="4">
        <v>1</v>
      </c>
      <c r="BF218" s="17">
        <v>4</v>
      </c>
      <c r="BG218" s="17">
        <v>4</v>
      </c>
      <c r="BH218" s="4">
        <v>4</v>
      </c>
      <c r="BI218" s="17">
        <v>4</v>
      </c>
      <c r="BJ218" s="17">
        <v>4</v>
      </c>
      <c r="BK218" s="4">
        <v>4</v>
      </c>
      <c r="BL218" s="17">
        <v>4</v>
      </c>
      <c r="BM218" s="17">
        <v>4</v>
      </c>
      <c r="BN218" s="4">
        <v>4</v>
      </c>
      <c r="BO218" s="17">
        <v>4</v>
      </c>
      <c r="BP218" s="17">
        <v>4</v>
      </c>
      <c r="BQ218" s="17">
        <v>4</v>
      </c>
      <c r="BR218" s="17">
        <v>4</v>
      </c>
      <c r="BS218" s="4">
        <v>4</v>
      </c>
      <c r="BT218" s="17">
        <v>4</v>
      </c>
      <c r="BU218" s="17">
        <v>4</v>
      </c>
      <c r="BV218" s="17">
        <v>4</v>
      </c>
      <c r="BW218" s="4">
        <v>4</v>
      </c>
      <c r="BX218" s="4">
        <v>4</v>
      </c>
      <c r="BY218" s="4">
        <v>1</v>
      </c>
      <c r="BZ218" s="4">
        <v>4</v>
      </c>
      <c r="CA218" s="4">
        <v>1</v>
      </c>
      <c r="CB218" s="4">
        <v>1</v>
      </c>
      <c r="CC218" s="4">
        <v>4</v>
      </c>
      <c r="CD218" s="4">
        <v>4</v>
      </c>
      <c r="CE218" s="4">
        <v>1</v>
      </c>
      <c r="CF218" s="57">
        <v>4</v>
      </c>
      <c r="CG218" s="57">
        <v>4</v>
      </c>
      <c r="CH218" s="4">
        <v>4</v>
      </c>
      <c r="CI218" s="4">
        <v>4</v>
      </c>
      <c r="CJ218" s="4">
        <v>4</v>
      </c>
      <c r="CK218" s="4">
        <v>1</v>
      </c>
      <c r="CL218" s="17">
        <v>4</v>
      </c>
      <c r="CM218" s="17">
        <v>4</v>
      </c>
      <c r="CN218" s="57">
        <v>4</v>
      </c>
      <c r="CO218" s="17">
        <v>4</v>
      </c>
      <c r="CP218" s="17">
        <v>4</v>
      </c>
      <c r="CQ218" s="57">
        <v>4</v>
      </c>
      <c r="CR218" s="4">
        <v>1</v>
      </c>
      <c r="CS218" s="4">
        <v>1</v>
      </c>
      <c r="CT218" s="4">
        <v>4</v>
      </c>
      <c r="CU218" s="4">
        <v>4</v>
      </c>
      <c r="CV218" s="4">
        <v>4</v>
      </c>
      <c r="CW218" s="4">
        <v>1</v>
      </c>
      <c r="CX218" s="4">
        <v>4</v>
      </c>
      <c r="CY218" s="4">
        <v>4</v>
      </c>
      <c r="CZ218" s="4">
        <v>1</v>
      </c>
      <c r="DA218" s="4">
        <v>1</v>
      </c>
      <c r="DB218" s="17">
        <v>4</v>
      </c>
      <c r="DC218" s="17">
        <v>4</v>
      </c>
      <c r="DD218" s="4">
        <v>1</v>
      </c>
      <c r="DE218" s="4">
        <v>1</v>
      </c>
      <c r="DF218" s="57">
        <v>4</v>
      </c>
      <c r="DG218" s="17">
        <v>4</v>
      </c>
      <c r="DH218" s="4">
        <v>1</v>
      </c>
      <c r="DI218" s="17">
        <v>4</v>
      </c>
      <c r="DJ218" s="17">
        <v>4</v>
      </c>
      <c r="DK218" s="4">
        <v>1</v>
      </c>
      <c r="DL218" s="4">
        <v>4</v>
      </c>
      <c r="DM218" s="4">
        <v>4</v>
      </c>
      <c r="DN218" s="4">
        <v>1</v>
      </c>
      <c r="DO218" s="4">
        <v>4</v>
      </c>
      <c r="DP218" s="4">
        <v>4</v>
      </c>
      <c r="DQ218" s="4">
        <v>1</v>
      </c>
      <c r="DR218" s="17">
        <v>4</v>
      </c>
      <c r="DS218" s="17">
        <v>4</v>
      </c>
      <c r="DT218" s="4">
        <v>4</v>
      </c>
    </row>
    <row r="219" spans="1:124" x14ac:dyDescent="0.2">
      <c r="A219" t="s">
        <v>456</v>
      </c>
      <c r="B219" s="1" t="s">
        <v>1432</v>
      </c>
      <c r="C219" s="1" t="s">
        <v>644</v>
      </c>
      <c r="E219" s="4">
        <v>1</v>
      </c>
      <c r="F219" s="4">
        <v>4</v>
      </c>
      <c r="G219" s="4">
        <v>4</v>
      </c>
      <c r="H219" s="4">
        <v>4</v>
      </c>
      <c r="I219" s="4">
        <v>1</v>
      </c>
      <c r="J219" s="4">
        <v>1</v>
      </c>
      <c r="K219" s="4">
        <v>4</v>
      </c>
      <c r="L219" s="4">
        <v>4</v>
      </c>
      <c r="M219" s="4">
        <v>4</v>
      </c>
      <c r="N219" s="4">
        <v>1</v>
      </c>
      <c r="O219" s="4">
        <v>4</v>
      </c>
      <c r="P219" s="4">
        <v>4</v>
      </c>
      <c r="Q219" s="4">
        <v>4</v>
      </c>
      <c r="R219" s="4">
        <v>1</v>
      </c>
      <c r="S219" s="4">
        <v>4</v>
      </c>
      <c r="T219" s="4">
        <v>4</v>
      </c>
      <c r="U219" s="4">
        <v>1</v>
      </c>
      <c r="V219" s="57">
        <v>4</v>
      </c>
      <c r="W219" s="4">
        <v>4</v>
      </c>
      <c r="X219" s="4">
        <v>4</v>
      </c>
      <c r="Y219" s="4">
        <v>1</v>
      </c>
      <c r="Z219" s="4">
        <v>4</v>
      </c>
      <c r="AA219" s="4">
        <v>4</v>
      </c>
      <c r="AB219" s="4">
        <v>4</v>
      </c>
      <c r="AC219" s="57">
        <v>4</v>
      </c>
      <c r="AD219" s="17">
        <v>4</v>
      </c>
      <c r="AE219" s="17">
        <v>4</v>
      </c>
      <c r="AF219" s="17">
        <v>4</v>
      </c>
      <c r="AG219" s="17">
        <v>4</v>
      </c>
      <c r="AH219" s="17">
        <v>4</v>
      </c>
      <c r="AI219" s="4">
        <v>4</v>
      </c>
      <c r="AJ219" s="4">
        <v>1</v>
      </c>
      <c r="AK219" s="17">
        <v>4</v>
      </c>
      <c r="AL219" s="4">
        <v>4</v>
      </c>
      <c r="AM219" s="4">
        <v>4</v>
      </c>
      <c r="AN219" s="4">
        <v>3</v>
      </c>
      <c r="AO219" s="4">
        <v>1</v>
      </c>
      <c r="AP219" s="17">
        <v>4</v>
      </c>
      <c r="AQ219" s="17">
        <v>4</v>
      </c>
      <c r="AR219" s="17">
        <v>4</v>
      </c>
      <c r="AS219" s="17">
        <v>4</v>
      </c>
      <c r="AT219" s="17">
        <v>4</v>
      </c>
      <c r="AU219" s="17">
        <v>4</v>
      </c>
      <c r="AV219" s="57">
        <v>4</v>
      </c>
      <c r="AW219" s="17">
        <v>4</v>
      </c>
      <c r="AX219" s="17">
        <v>4</v>
      </c>
      <c r="AY219" s="4">
        <v>4</v>
      </c>
      <c r="AZ219" s="4">
        <v>4</v>
      </c>
      <c r="BA219" s="57">
        <v>4</v>
      </c>
      <c r="BB219" s="57">
        <v>4</v>
      </c>
      <c r="BC219" s="4">
        <v>4</v>
      </c>
      <c r="BD219" s="4">
        <v>3</v>
      </c>
      <c r="BE219" s="4">
        <v>1</v>
      </c>
      <c r="BF219" s="17">
        <v>4</v>
      </c>
      <c r="BG219" s="17">
        <v>4</v>
      </c>
      <c r="BH219" s="4">
        <v>4</v>
      </c>
      <c r="BI219" s="17">
        <v>4</v>
      </c>
      <c r="BJ219" s="17">
        <v>4</v>
      </c>
      <c r="BK219" s="4">
        <v>4</v>
      </c>
      <c r="BL219" s="17">
        <v>4</v>
      </c>
      <c r="BM219" s="17">
        <v>4</v>
      </c>
      <c r="BN219" s="4">
        <v>4</v>
      </c>
      <c r="BO219" s="17">
        <v>4</v>
      </c>
      <c r="BP219" s="17">
        <v>4</v>
      </c>
      <c r="BQ219" s="17">
        <v>4</v>
      </c>
      <c r="BR219" s="17">
        <v>4</v>
      </c>
      <c r="BS219" s="4">
        <v>4</v>
      </c>
      <c r="BT219" s="17">
        <v>4</v>
      </c>
      <c r="BU219" s="17">
        <v>4</v>
      </c>
      <c r="BV219" s="17">
        <v>4</v>
      </c>
      <c r="BW219" s="4">
        <v>4</v>
      </c>
      <c r="BX219" s="4">
        <v>4</v>
      </c>
      <c r="BY219" s="4">
        <v>1</v>
      </c>
      <c r="BZ219" s="4">
        <v>4</v>
      </c>
      <c r="CA219" s="4">
        <v>1</v>
      </c>
      <c r="CB219" s="4">
        <v>1</v>
      </c>
      <c r="CC219" s="4">
        <v>4</v>
      </c>
      <c r="CD219" s="4">
        <v>4</v>
      </c>
      <c r="CE219" s="4">
        <v>1</v>
      </c>
      <c r="CF219" s="57">
        <v>4</v>
      </c>
      <c r="CG219" s="57">
        <v>4</v>
      </c>
      <c r="CH219" s="4">
        <v>4</v>
      </c>
      <c r="CI219" s="4">
        <v>4</v>
      </c>
      <c r="CJ219" s="4">
        <v>4</v>
      </c>
      <c r="CK219" s="4">
        <v>1</v>
      </c>
      <c r="CL219" s="17">
        <v>4</v>
      </c>
      <c r="CM219" s="17">
        <v>4</v>
      </c>
      <c r="CN219" s="57">
        <v>4</v>
      </c>
      <c r="CO219" s="17">
        <v>4</v>
      </c>
      <c r="CP219" s="17">
        <v>4</v>
      </c>
      <c r="CQ219" s="57">
        <v>4</v>
      </c>
      <c r="CR219" s="4">
        <v>1</v>
      </c>
      <c r="CS219" s="4">
        <v>1</v>
      </c>
      <c r="CT219" s="4">
        <v>4</v>
      </c>
      <c r="CU219" s="4">
        <v>4</v>
      </c>
      <c r="CV219" s="4">
        <v>4</v>
      </c>
      <c r="CW219" s="4">
        <v>1</v>
      </c>
      <c r="CX219" s="4">
        <v>4</v>
      </c>
      <c r="CY219" s="4">
        <v>4</v>
      </c>
      <c r="CZ219" s="4">
        <v>1</v>
      </c>
      <c r="DA219" s="4">
        <v>1</v>
      </c>
      <c r="DB219" s="17">
        <v>4</v>
      </c>
      <c r="DC219" s="17">
        <v>4</v>
      </c>
      <c r="DD219" s="4">
        <v>1</v>
      </c>
      <c r="DE219" s="4">
        <v>1</v>
      </c>
      <c r="DF219" s="57">
        <v>4</v>
      </c>
      <c r="DG219" s="17">
        <v>4</v>
      </c>
      <c r="DH219" s="4">
        <v>1</v>
      </c>
      <c r="DI219" s="17">
        <v>4</v>
      </c>
      <c r="DJ219" s="17">
        <v>4</v>
      </c>
      <c r="DK219" s="4">
        <v>1</v>
      </c>
      <c r="DL219" s="4">
        <v>4</v>
      </c>
      <c r="DM219" s="4">
        <v>4</v>
      </c>
      <c r="DN219" s="4">
        <v>1</v>
      </c>
      <c r="DO219" s="4">
        <v>4</v>
      </c>
      <c r="DP219" s="4">
        <v>4</v>
      </c>
      <c r="DQ219" s="4">
        <v>1</v>
      </c>
      <c r="DR219" s="17">
        <v>4</v>
      </c>
      <c r="DS219" s="17">
        <v>4</v>
      </c>
      <c r="DT219" s="4">
        <v>4</v>
      </c>
    </row>
    <row r="220" spans="1:124" x14ac:dyDescent="0.2">
      <c r="A220" t="s">
        <v>457</v>
      </c>
      <c r="B220" s="1" t="s">
        <v>1432</v>
      </c>
      <c r="C220" s="1" t="s">
        <v>644</v>
      </c>
      <c r="E220" s="4">
        <v>1</v>
      </c>
      <c r="F220" s="4">
        <v>4</v>
      </c>
      <c r="G220" s="4">
        <v>4</v>
      </c>
      <c r="H220" s="4">
        <v>4</v>
      </c>
      <c r="I220" s="4">
        <v>1</v>
      </c>
      <c r="J220" s="4">
        <v>1</v>
      </c>
      <c r="K220" s="4">
        <v>4</v>
      </c>
      <c r="L220" s="4">
        <v>4</v>
      </c>
      <c r="M220" s="4">
        <v>4</v>
      </c>
      <c r="N220" s="4">
        <v>1</v>
      </c>
      <c r="O220" s="4">
        <v>4</v>
      </c>
      <c r="P220" s="4">
        <v>4</v>
      </c>
      <c r="Q220" s="4">
        <v>4</v>
      </c>
      <c r="R220" s="4">
        <v>1</v>
      </c>
      <c r="S220" s="4">
        <v>4</v>
      </c>
      <c r="T220" s="4">
        <v>4</v>
      </c>
      <c r="U220" s="4">
        <v>1</v>
      </c>
      <c r="V220" s="57">
        <v>4</v>
      </c>
      <c r="W220" s="4">
        <v>4</v>
      </c>
      <c r="X220" s="4">
        <v>4</v>
      </c>
      <c r="Y220" s="4">
        <v>1</v>
      </c>
      <c r="Z220" s="4">
        <v>4</v>
      </c>
      <c r="AA220" s="4">
        <v>4</v>
      </c>
      <c r="AB220" s="4">
        <v>4</v>
      </c>
      <c r="AC220" s="57">
        <v>4</v>
      </c>
      <c r="AD220" s="17">
        <v>4</v>
      </c>
      <c r="AE220" s="17">
        <v>4</v>
      </c>
      <c r="AF220" s="17">
        <v>4</v>
      </c>
      <c r="AG220" s="17">
        <v>4</v>
      </c>
      <c r="AH220" s="17">
        <v>4</v>
      </c>
      <c r="AI220" s="4">
        <v>4</v>
      </c>
      <c r="AJ220" s="4">
        <v>1</v>
      </c>
      <c r="AK220" s="17">
        <v>4</v>
      </c>
      <c r="AL220" s="4">
        <v>4</v>
      </c>
      <c r="AM220" s="4">
        <v>4</v>
      </c>
      <c r="AN220" s="4">
        <v>3</v>
      </c>
      <c r="AO220" s="4">
        <v>1</v>
      </c>
      <c r="AP220" s="17">
        <v>4</v>
      </c>
      <c r="AQ220" s="17">
        <v>4</v>
      </c>
      <c r="AR220" s="17">
        <v>4</v>
      </c>
      <c r="AS220" s="17">
        <v>4</v>
      </c>
      <c r="AT220" s="17">
        <v>4</v>
      </c>
      <c r="AU220" s="17">
        <v>4</v>
      </c>
      <c r="AV220" s="57">
        <v>4</v>
      </c>
      <c r="AW220" s="17">
        <v>4</v>
      </c>
      <c r="AX220" s="17">
        <v>4</v>
      </c>
      <c r="AY220" s="4">
        <v>4</v>
      </c>
      <c r="AZ220" s="4">
        <v>4</v>
      </c>
      <c r="BA220" s="57">
        <v>4</v>
      </c>
      <c r="BB220" s="57">
        <v>4</v>
      </c>
      <c r="BC220" s="4">
        <v>4</v>
      </c>
      <c r="BD220" s="4">
        <v>3</v>
      </c>
      <c r="BE220" s="4">
        <v>1</v>
      </c>
      <c r="BF220" s="17">
        <v>4</v>
      </c>
      <c r="BG220" s="17">
        <v>4</v>
      </c>
      <c r="BH220" s="4">
        <v>4</v>
      </c>
      <c r="BI220" s="17">
        <v>4</v>
      </c>
      <c r="BJ220" s="17">
        <v>4</v>
      </c>
      <c r="BK220" s="4">
        <v>4</v>
      </c>
      <c r="BL220" s="17">
        <v>4</v>
      </c>
      <c r="BM220" s="17">
        <v>4</v>
      </c>
      <c r="BN220" s="4">
        <v>4</v>
      </c>
      <c r="BO220" s="17">
        <v>4</v>
      </c>
      <c r="BP220" s="17">
        <v>4</v>
      </c>
      <c r="BQ220" s="17">
        <v>4</v>
      </c>
      <c r="BR220" s="17">
        <v>4</v>
      </c>
      <c r="BS220" s="4">
        <v>4</v>
      </c>
      <c r="BT220" s="17">
        <v>4</v>
      </c>
      <c r="BU220" s="17">
        <v>4</v>
      </c>
      <c r="BV220" s="17">
        <v>4</v>
      </c>
      <c r="BW220" s="4">
        <v>4</v>
      </c>
      <c r="BX220" s="4">
        <v>4</v>
      </c>
      <c r="BY220" s="4">
        <v>1</v>
      </c>
      <c r="BZ220" s="4">
        <v>4</v>
      </c>
      <c r="CA220" s="4">
        <v>1</v>
      </c>
      <c r="CB220" s="4">
        <v>1</v>
      </c>
      <c r="CC220" s="4">
        <v>4</v>
      </c>
      <c r="CD220" s="4">
        <v>4</v>
      </c>
      <c r="CE220" s="4">
        <v>1</v>
      </c>
      <c r="CF220" s="57">
        <v>4</v>
      </c>
      <c r="CG220" s="57">
        <v>4</v>
      </c>
      <c r="CH220" s="4">
        <v>4</v>
      </c>
      <c r="CI220" s="4">
        <v>4</v>
      </c>
      <c r="CJ220" s="4">
        <v>4</v>
      </c>
      <c r="CK220" s="4">
        <v>1</v>
      </c>
      <c r="CL220" s="17">
        <v>4</v>
      </c>
      <c r="CM220" s="17">
        <v>4</v>
      </c>
      <c r="CN220" s="57">
        <v>4</v>
      </c>
      <c r="CO220" s="17">
        <v>4</v>
      </c>
      <c r="CP220" s="17">
        <v>4</v>
      </c>
      <c r="CQ220" s="57">
        <v>4</v>
      </c>
      <c r="CR220" s="4">
        <v>1</v>
      </c>
      <c r="CS220" s="4">
        <v>1</v>
      </c>
      <c r="CT220" s="4">
        <v>4</v>
      </c>
      <c r="CU220" s="4">
        <v>4</v>
      </c>
      <c r="CV220" s="4">
        <v>4</v>
      </c>
      <c r="CW220" s="4">
        <v>1</v>
      </c>
      <c r="CX220" s="4">
        <v>4</v>
      </c>
      <c r="CY220" s="4">
        <v>4</v>
      </c>
      <c r="CZ220" s="4">
        <v>1</v>
      </c>
      <c r="DA220" s="4">
        <v>1</v>
      </c>
      <c r="DB220" s="17">
        <v>4</v>
      </c>
      <c r="DC220" s="17">
        <v>4</v>
      </c>
      <c r="DD220" s="4">
        <v>1</v>
      </c>
      <c r="DE220" s="4">
        <v>1</v>
      </c>
      <c r="DF220" s="57">
        <v>4</v>
      </c>
      <c r="DG220" s="17">
        <v>4</v>
      </c>
      <c r="DH220" s="4">
        <v>1</v>
      </c>
      <c r="DI220" s="17">
        <v>4</v>
      </c>
      <c r="DJ220" s="17">
        <v>4</v>
      </c>
      <c r="DK220" s="4">
        <v>1</v>
      </c>
      <c r="DL220" s="4">
        <v>4</v>
      </c>
      <c r="DM220" s="4">
        <v>4</v>
      </c>
      <c r="DN220" s="4">
        <v>1</v>
      </c>
      <c r="DO220" s="4">
        <v>4</v>
      </c>
      <c r="DP220" s="4">
        <v>4</v>
      </c>
      <c r="DQ220" s="4">
        <v>1</v>
      </c>
      <c r="DR220" s="17">
        <v>4</v>
      </c>
      <c r="DS220" s="17">
        <v>4</v>
      </c>
      <c r="DT220" s="4">
        <v>4</v>
      </c>
    </row>
    <row r="221" spans="1:124" x14ac:dyDescent="0.2">
      <c r="A221" t="s">
        <v>458</v>
      </c>
      <c r="B221" s="1" t="s">
        <v>1432</v>
      </c>
      <c r="C221" s="1" t="s">
        <v>644</v>
      </c>
      <c r="E221" s="4">
        <v>1</v>
      </c>
      <c r="F221" s="4">
        <v>4</v>
      </c>
      <c r="G221" s="4">
        <v>4</v>
      </c>
      <c r="H221" s="4">
        <v>4</v>
      </c>
      <c r="I221" s="4">
        <v>1</v>
      </c>
      <c r="J221" s="4">
        <v>1</v>
      </c>
      <c r="K221" s="4">
        <v>4</v>
      </c>
      <c r="L221" s="4">
        <v>4</v>
      </c>
      <c r="M221" s="4">
        <v>4</v>
      </c>
      <c r="N221" s="4">
        <v>1</v>
      </c>
      <c r="O221" s="4">
        <v>4</v>
      </c>
      <c r="P221" s="4">
        <v>4</v>
      </c>
      <c r="Q221" s="4">
        <v>4</v>
      </c>
      <c r="R221" s="4">
        <v>1</v>
      </c>
      <c r="S221" s="4">
        <v>4</v>
      </c>
      <c r="T221" s="4">
        <v>4</v>
      </c>
      <c r="U221" s="4">
        <v>1</v>
      </c>
      <c r="V221" s="57">
        <v>4</v>
      </c>
      <c r="W221" s="4">
        <v>4</v>
      </c>
      <c r="X221" s="4">
        <v>4</v>
      </c>
      <c r="Y221" s="4">
        <v>1</v>
      </c>
      <c r="Z221" s="4">
        <v>4</v>
      </c>
      <c r="AA221" s="4">
        <v>4</v>
      </c>
      <c r="AB221" s="4">
        <v>4</v>
      </c>
      <c r="AC221" s="57">
        <v>4</v>
      </c>
      <c r="AD221" s="17">
        <v>4</v>
      </c>
      <c r="AE221" s="17">
        <v>4</v>
      </c>
      <c r="AF221" s="17">
        <v>4</v>
      </c>
      <c r="AG221" s="17">
        <v>4</v>
      </c>
      <c r="AH221" s="17">
        <v>4</v>
      </c>
      <c r="AI221" s="4">
        <v>4</v>
      </c>
      <c r="AJ221" s="4">
        <v>1</v>
      </c>
      <c r="AK221" s="17">
        <v>4</v>
      </c>
      <c r="AL221" s="4">
        <v>4</v>
      </c>
      <c r="AM221" s="4">
        <v>4</v>
      </c>
      <c r="AN221" s="4">
        <v>3</v>
      </c>
      <c r="AO221" s="4">
        <v>1</v>
      </c>
      <c r="AP221" s="17">
        <v>4</v>
      </c>
      <c r="AQ221" s="17">
        <v>4</v>
      </c>
      <c r="AR221" s="17">
        <v>4</v>
      </c>
      <c r="AS221" s="17">
        <v>4</v>
      </c>
      <c r="AT221" s="17">
        <v>4</v>
      </c>
      <c r="AU221" s="17">
        <v>4</v>
      </c>
      <c r="AV221" s="57">
        <v>4</v>
      </c>
      <c r="AW221" s="17">
        <v>4</v>
      </c>
      <c r="AX221" s="17">
        <v>4</v>
      </c>
      <c r="AY221" s="4">
        <v>4</v>
      </c>
      <c r="AZ221" s="4">
        <v>4</v>
      </c>
      <c r="BA221" s="57">
        <v>4</v>
      </c>
      <c r="BB221" s="57">
        <v>4</v>
      </c>
      <c r="BC221" s="4">
        <v>4</v>
      </c>
      <c r="BD221" s="4">
        <v>3</v>
      </c>
      <c r="BE221" s="4">
        <v>1</v>
      </c>
      <c r="BF221" s="17">
        <v>4</v>
      </c>
      <c r="BG221" s="17">
        <v>4</v>
      </c>
      <c r="BH221" s="4">
        <v>4</v>
      </c>
      <c r="BI221" s="17">
        <v>4</v>
      </c>
      <c r="BJ221" s="17">
        <v>4</v>
      </c>
      <c r="BK221" s="4">
        <v>4</v>
      </c>
      <c r="BL221" s="17">
        <v>4</v>
      </c>
      <c r="BM221" s="17">
        <v>4</v>
      </c>
      <c r="BN221" s="4">
        <v>4</v>
      </c>
      <c r="BO221" s="17">
        <v>4</v>
      </c>
      <c r="BP221" s="17">
        <v>4</v>
      </c>
      <c r="BQ221" s="17">
        <v>4</v>
      </c>
      <c r="BR221" s="17">
        <v>4</v>
      </c>
      <c r="BS221" s="4">
        <v>4</v>
      </c>
      <c r="BT221" s="17">
        <v>4</v>
      </c>
      <c r="BU221" s="17">
        <v>4</v>
      </c>
      <c r="BV221" s="17">
        <v>4</v>
      </c>
      <c r="BW221" s="4">
        <v>4</v>
      </c>
      <c r="BX221" s="4">
        <v>4</v>
      </c>
      <c r="BY221" s="4">
        <v>1</v>
      </c>
      <c r="BZ221" s="4">
        <v>4</v>
      </c>
      <c r="CA221" s="4">
        <v>1</v>
      </c>
      <c r="CB221" s="4">
        <v>1</v>
      </c>
      <c r="CC221" s="4">
        <v>4</v>
      </c>
      <c r="CD221" s="4">
        <v>4</v>
      </c>
      <c r="CE221" s="4">
        <v>1</v>
      </c>
      <c r="CF221" s="57">
        <v>4</v>
      </c>
      <c r="CG221" s="57">
        <v>4</v>
      </c>
      <c r="CH221" s="4">
        <v>4</v>
      </c>
      <c r="CI221" s="4">
        <v>4</v>
      </c>
      <c r="CJ221" s="4">
        <v>4</v>
      </c>
      <c r="CK221" s="4">
        <v>1</v>
      </c>
      <c r="CL221" s="17">
        <v>4</v>
      </c>
      <c r="CM221" s="17">
        <v>4</v>
      </c>
      <c r="CN221" s="57">
        <v>4</v>
      </c>
      <c r="CO221" s="17">
        <v>4</v>
      </c>
      <c r="CP221" s="17">
        <v>4</v>
      </c>
      <c r="CQ221" s="57">
        <v>4</v>
      </c>
      <c r="CR221" s="4">
        <v>1</v>
      </c>
      <c r="CS221" s="4">
        <v>1</v>
      </c>
      <c r="CT221" s="4">
        <v>4</v>
      </c>
      <c r="CU221" s="4">
        <v>4</v>
      </c>
      <c r="CV221" s="4">
        <v>4</v>
      </c>
      <c r="CW221" s="4">
        <v>1</v>
      </c>
      <c r="CX221" s="4">
        <v>4</v>
      </c>
      <c r="CY221" s="4">
        <v>4</v>
      </c>
      <c r="CZ221" s="4">
        <v>1</v>
      </c>
      <c r="DA221" s="4">
        <v>1</v>
      </c>
      <c r="DB221" s="17">
        <v>4</v>
      </c>
      <c r="DC221" s="17">
        <v>4</v>
      </c>
      <c r="DD221" s="4">
        <v>1</v>
      </c>
      <c r="DE221" s="4">
        <v>1</v>
      </c>
      <c r="DF221" s="57">
        <v>4</v>
      </c>
      <c r="DG221" s="17">
        <v>4</v>
      </c>
      <c r="DH221" s="4">
        <v>1</v>
      </c>
      <c r="DI221" s="17">
        <v>4</v>
      </c>
      <c r="DJ221" s="17">
        <v>4</v>
      </c>
      <c r="DK221" s="4">
        <v>1</v>
      </c>
      <c r="DL221" s="4">
        <v>4</v>
      </c>
      <c r="DM221" s="4">
        <v>4</v>
      </c>
      <c r="DN221" s="4">
        <v>1</v>
      </c>
      <c r="DO221" s="4">
        <v>4</v>
      </c>
      <c r="DP221" s="4">
        <v>4</v>
      </c>
      <c r="DQ221" s="4">
        <v>1</v>
      </c>
      <c r="DR221" s="17">
        <v>4</v>
      </c>
      <c r="DS221" s="17">
        <v>4</v>
      </c>
      <c r="DT221" s="4">
        <v>4</v>
      </c>
    </row>
    <row r="222" spans="1:124" x14ac:dyDescent="0.2">
      <c r="A222" t="s">
        <v>599</v>
      </c>
      <c r="B222" s="1" t="s">
        <v>1432</v>
      </c>
      <c r="C222" s="1" t="s">
        <v>644</v>
      </c>
      <c r="E222" s="4">
        <v>1</v>
      </c>
      <c r="F222" s="4">
        <v>4</v>
      </c>
      <c r="G222" s="4">
        <v>4</v>
      </c>
      <c r="H222" s="4">
        <v>4</v>
      </c>
      <c r="I222" s="4">
        <v>1</v>
      </c>
      <c r="J222" s="4">
        <v>1</v>
      </c>
      <c r="K222" s="4">
        <v>4</v>
      </c>
      <c r="L222" s="4">
        <v>4</v>
      </c>
      <c r="M222" s="4">
        <v>4</v>
      </c>
      <c r="N222" s="4">
        <v>1</v>
      </c>
      <c r="O222" s="4">
        <v>4</v>
      </c>
      <c r="P222" s="4">
        <v>4</v>
      </c>
      <c r="Q222" s="4">
        <v>4</v>
      </c>
      <c r="R222" s="4">
        <v>1</v>
      </c>
      <c r="S222" s="4">
        <v>4</v>
      </c>
      <c r="T222" s="4">
        <v>4</v>
      </c>
      <c r="U222" s="4">
        <v>1</v>
      </c>
      <c r="V222" s="57">
        <v>4</v>
      </c>
      <c r="W222" s="4">
        <v>4</v>
      </c>
      <c r="X222" s="4">
        <v>4</v>
      </c>
      <c r="Y222" s="4">
        <v>1</v>
      </c>
      <c r="Z222" s="4">
        <v>4</v>
      </c>
      <c r="AA222" s="4">
        <v>4</v>
      </c>
      <c r="AB222" s="4">
        <v>4</v>
      </c>
      <c r="AC222" s="57">
        <v>4</v>
      </c>
      <c r="AD222" s="17">
        <v>4</v>
      </c>
      <c r="AE222" s="17">
        <v>4</v>
      </c>
      <c r="AF222" s="17">
        <v>4</v>
      </c>
      <c r="AG222" s="17">
        <v>4</v>
      </c>
      <c r="AH222" s="17">
        <v>4</v>
      </c>
      <c r="AI222" s="4">
        <v>4</v>
      </c>
      <c r="AJ222" s="4">
        <v>1</v>
      </c>
      <c r="AK222" s="17">
        <v>4</v>
      </c>
      <c r="AL222" s="4">
        <v>4</v>
      </c>
      <c r="AM222" s="4">
        <v>4</v>
      </c>
      <c r="AN222" s="4">
        <v>1</v>
      </c>
      <c r="AO222" s="4">
        <v>1</v>
      </c>
      <c r="AP222" s="17">
        <v>4</v>
      </c>
      <c r="AQ222" s="17">
        <v>4</v>
      </c>
      <c r="AR222" s="17">
        <v>4</v>
      </c>
      <c r="AS222" s="17">
        <v>4</v>
      </c>
      <c r="AT222" s="17">
        <v>4</v>
      </c>
      <c r="AU222" s="17">
        <v>4</v>
      </c>
      <c r="AV222" s="57">
        <v>4</v>
      </c>
      <c r="AW222" s="17">
        <v>4</v>
      </c>
      <c r="AX222" s="17">
        <v>4</v>
      </c>
      <c r="AY222" s="4">
        <v>4</v>
      </c>
      <c r="AZ222" s="4">
        <v>4</v>
      </c>
      <c r="BA222" s="57">
        <v>4</v>
      </c>
      <c r="BB222" s="57">
        <v>4</v>
      </c>
      <c r="BC222" s="4">
        <v>4</v>
      </c>
      <c r="BD222" s="4">
        <v>3</v>
      </c>
      <c r="BE222" s="4">
        <v>1</v>
      </c>
      <c r="BF222" s="17">
        <v>4</v>
      </c>
      <c r="BG222" s="17">
        <v>4</v>
      </c>
      <c r="BH222" s="4">
        <v>4</v>
      </c>
      <c r="BI222" s="17">
        <v>4</v>
      </c>
      <c r="BJ222" s="17">
        <v>4</v>
      </c>
      <c r="BK222" s="4">
        <v>4</v>
      </c>
      <c r="BL222" s="17">
        <v>4</v>
      </c>
      <c r="BM222" s="17">
        <v>4</v>
      </c>
      <c r="BN222" s="4">
        <v>4</v>
      </c>
      <c r="BO222" s="17">
        <v>4</v>
      </c>
      <c r="BP222" s="17">
        <v>4</v>
      </c>
      <c r="BQ222" s="17">
        <v>4</v>
      </c>
      <c r="BR222" s="17">
        <v>4</v>
      </c>
      <c r="BS222" s="4">
        <v>4</v>
      </c>
      <c r="BT222" s="17">
        <v>4</v>
      </c>
      <c r="BU222" s="17">
        <v>4</v>
      </c>
      <c r="BV222" s="17">
        <v>4</v>
      </c>
      <c r="BW222" s="4">
        <v>4</v>
      </c>
      <c r="BX222" s="4">
        <v>4</v>
      </c>
      <c r="BY222" s="4">
        <v>1</v>
      </c>
      <c r="BZ222" s="4">
        <v>4</v>
      </c>
      <c r="CA222" s="4">
        <v>1</v>
      </c>
      <c r="CB222" s="4">
        <v>1</v>
      </c>
      <c r="CC222" s="4">
        <v>4</v>
      </c>
      <c r="CD222" s="4">
        <v>4</v>
      </c>
      <c r="CE222" s="4">
        <v>1</v>
      </c>
      <c r="CF222" s="57">
        <v>4</v>
      </c>
      <c r="CG222" s="57">
        <v>4</v>
      </c>
      <c r="CH222" s="4">
        <v>4</v>
      </c>
      <c r="CI222" s="4">
        <v>4</v>
      </c>
      <c r="CJ222" s="4">
        <v>4</v>
      </c>
      <c r="CK222" s="4">
        <v>1</v>
      </c>
      <c r="CL222" s="17">
        <v>4</v>
      </c>
      <c r="CM222" s="17">
        <v>4</v>
      </c>
      <c r="CN222" s="57">
        <v>4</v>
      </c>
      <c r="CO222" s="17">
        <v>4</v>
      </c>
      <c r="CP222" s="17">
        <v>4</v>
      </c>
      <c r="CQ222" s="57">
        <v>4</v>
      </c>
      <c r="CR222" s="4">
        <v>1</v>
      </c>
      <c r="CS222" s="4">
        <v>1</v>
      </c>
      <c r="CT222" s="4">
        <v>4</v>
      </c>
      <c r="CU222" s="4">
        <v>4</v>
      </c>
      <c r="CV222" s="4">
        <v>4</v>
      </c>
      <c r="CW222" s="4">
        <v>1</v>
      </c>
      <c r="CX222" s="4">
        <v>4</v>
      </c>
      <c r="CY222" s="4">
        <v>4</v>
      </c>
      <c r="CZ222" s="4">
        <v>1</v>
      </c>
      <c r="DA222" s="4">
        <v>1</v>
      </c>
      <c r="DB222" s="17">
        <v>4</v>
      </c>
      <c r="DC222" s="17">
        <v>4</v>
      </c>
      <c r="DD222" s="4">
        <v>1</v>
      </c>
      <c r="DE222" s="4">
        <v>1</v>
      </c>
      <c r="DF222" s="57">
        <v>4</v>
      </c>
      <c r="DG222" s="17">
        <v>4</v>
      </c>
      <c r="DH222" s="4">
        <v>1</v>
      </c>
      <c r="DI222" s="17">
        <v>4</v>
      </c>
      <c r="DJ222" s="17">
        <v>4</v>
      </c>
      <c r="DK222" s="4">
        <v>1</v>
      </c>
      <c r="DL222" s="4">
        <v>4</v>
      </c>
      <c r="DM222" s="4">
        <v>4</v>
      </c>
      <c r="DN222" s="4">
        <v>1</v>
      </c>
      <c r="DO222" s="4">
        <v>4</v>
      </c>
      <c r="DP222" s="4">
        <v>4</v>
      </c>
      <c r="DQ222" s="4">
        <v>1</v>
      </c>
      <c r="DR222" s="17">
        <v>4</v>
      </c>
      <c r="DS222" s="17">
        <v>4</v>
      </c>
      <c r="DT222" s="4">
        <v>4</v>
      </c>
    </row>
    <row r="223" spans="1:124" x14ac:dyDescent="0.2">
      <c r="A223" t="s">
        <v>461</v>
      </c>
      <c r="B223" s="1" t="s">
        <v>1432</v>
      </c>
      <c r="C223" s="1" t="s">
        <v>644</v>
      </c>
      <c r="E223" s="4">
        <v>1</v>
      </c>
      <c r="F223" s="4">
        <v>4</v>
      </c>
      <c r="G223" s="4">
        <v>4</v>
      </c>
      <c r="H223" s="4">
        <v>4</v>
      </c>
      <c r="I223" s="4">
        <v>1</v>
      </c>
      <c r="J223" s="4">
        <v>1</v>
      </c>
      <c r="K223" s="4">
        <v>4</v>
      </c>
      <c r="L223" s="4">
        <v>4</v>
      </c>
      <c r="M223" s="4">
        <v>4</v>
      </c>
      <c r="N223" s="4">
        <v>1</v>
      </c>
      <c r="O223" s="4">
        <v>4</v>
      </c>
      <c r="P223" s="4">
        <v>4</v>
      </c>
      <c r="Q223" s="4">
        <v>4</v>
      </c>
      <c r="R223" s="4">
        <v>1</v>
      </c>
      <c r="S223" s="4">
        <v>4</v>
      </c>
      <c r="T223" s="4">
        <v>4</v>
      </c>
      <c r="U223" s="4">
        <v>1</v>
      </c>
      <c r="V223" s="57">
        <v>4</v>
      </c>
      <c r="W223" s="4">
        <v>4</v>
      </c>
      <c r="X223" s="4">
        <v>4</v>
      </c>
      <c r="Y223" s="4">
        <v>1</v>
      </c>
      <c r="Z223" s="4">
        <v>4</v>
      </c>
      <c r="AA223" s="4">
        <v>4</v>
      </c>
      <c r="AB223" s="4">
        <v>4</v>
      </c>
      <c r="AC223" s="57">
        <v>4</v>
      </c>
      <c r="AD223" s="17">
        <v>4</v>
      </c>
      <c r="AE223" s="17">
        <v>4</v>
      </c>
      <c r="AF223" s="17">
        <v>4</v>
      </c>
      <c r="AG223" s="17">
        <v>4</v>
      </c>
      <c r="AH223" s="17">
        <v>4</v>
      </c>
      <c r="AI223" s="4">
        <v>4</v>
      </c>
      <c r="AJ223" s="4">
        <v>1</v>
      </c>
      <c r="AK223" s="17">
        <v>4</v>
      </c>
      <c r="AL223" s="4">
        <v>4</v>
      </c>
      <c r="AM223" s="4">
        <v>4</v>
      </c>
      <c r="AN223" s="4">
        <v>1</v>
      </c>
      <c r="AO223" s="4">
        <v>1</v>
      </c>
      <c r="AP223" s="17">
        <v>4</v>
      </c>
      <c r="AQ223" s="17">
        <v>4</v>
      </c>
      <c r="AR223" s="17">
        <v>4</v>
      </c>
      <c r="AS223" s="17">
        <v>4</v>
      </c>
      <c r="AT223" s="17">
        <v>4</v>
      </c>
      <c r="AU223" s="17">
        <v>4</v>
      </c>
      <c r="AV223" s="57">
        <v>4</v>
      </c>
      <c r="AW223" s="17">
        <v>4</v>
      </c>
      <c r="AX223" s="17">
        <v>4</v>
      </c>
      <c r="AY223" s="4">
        <v>4</v>
      </c>
      <c r="AZ223" s="4">
        <v>4</v>
      </c>
      <c r="BA223" s="57">
        <v>4</v>
      </c>
      <c r="BB223" s="57">
        <v>4</v>
      </c>
      <c r="BC223" s="4">
        <v>4</v>
      </c>
      <c r="BD223" s="4">
        <v>3</v>
      </c>
      <c r="BE223" s="4">
        <v>1</v>
      </c>
      <c r="BF223" s="17">
        <v>4</v>
      </c>
      <c r="BG223" s="17">
        <v>4</v>
      </c>
      <c r="BH223" s="4">
        <v>4</v>
      </c>
      <c r="BI223" s="17">
        <v>4</v>
      </c>
      <c r="BJ223" s="17">
        <v>4</v>
      </c>
      <c r="BK223" s="4">
        <v>4</v>
      </c>
      <c r="BL223" s="17">
        <v>4</v>
      </c>
      <c r="BM223" s="17">
        <v>4</v>
      </c>
      <c r="BN223" s="4">
        <v>4</v>
      </c>
      <c r="BO223" s="17">
        <v>4</v>
      </c>
      <c r="BP223" s="17">
        <v>4</v>
      </c>
      <c r="BQ223" s="17">
        <v>4</v>
      </c>
      <c r="BR223" s="17">
        <v>4</v>
      </c>
      <c r="BS223" s="4">
        <v>4</v>
      </c>
      <c r="BT223" s="17">
        <v>4</v>
      </c>
      <c r="BU223" s="17">
        <v>4</v>
      </c>
      <c r="BV223" s="17">
        <v>4</v>
      </c>
      <c r="BW223" s="4">
        <v>4</v>
      </c>
      <c r="BX223" s="4">
        <v>4</v>
      </c>
      <c r="BY223" s="4">
        <v>1</v>
      </c>
      <c r="BZ223" s="4">
        <v>4</v>
      </c>
      <c r="CA223" s="4">
        <v>1</v>
      </c>
      <c r="CB223" s="4">
        <v>1</v>
      </c>
      <c r="CC223" s="4">
        <v>4</v>
      </c>
      <c r="CD223" s="4">
        <v>4</v>
      </c>
      <c r="CE223" s="4">
        <v>1</v>
      </c>
      <c r="CF223" s="57">
        <v>4</v>
      </c>
      <c r="CG223" s="57">
        <v>4</v>
      </c>
      <c r="CH223" s="4">
        <v>4</v>
      </c>
      <c r="CI223" s="4">
        <v>4</v>
      </c>
      <c r="CJ223" s="4">
        <v>4</v>
      </c>
      <c r="CK223" s="4">
        <v>1</v>
      </c>
      <c r="CL223" s="17">
        <v>4</v>
      </c>
      <c r="CM223" s="17">
        <v>4</v>
      </c>
      <c r="CN223" s="57">
        <v>4</v>
      </c>
      <c r="CO223" s="17">
        <v>4</v>
      </c>
      <c r="CP223" s="17">
        <v>4</v>
      </c>
      <c r="CQ223" s="57">
        <v>4</v>
      </c>
      <c r="CR223" s="4">
        <v>1</v>
      </c>
      <c r="CS223" s="4">
        <v>1</v>
      </c>
      <c r="CT223" s="4">
        <v>4</v>
      </c>
      <c r="CU223" s="4">
        <v>4</v>
      </c>
      <c r="CV223" s="4">
        <v>4</v>
      </c>
      <c r="CW223" s="4">
        <v>1</v>
      </c>
      <c r="CX223" s="4">
        <v>4</v>
      </c>
      <c r="CY223" s="4">
        <v>4</v>
      </c>
      <c r="CZ223" s="4">
        <v>1</v>
      </c>
      <c r="DA223" s="4">
        <v>1</v>
      </c>
      <c r="DB223" s="17">
        <v>4</v>
      </c>
      <c r="DC223" s="17">
        <v>4</v>
      </c>
      <c r="DD223" s="4">
        <v>1</v>
      </c>
      <c r="DE223" s="4">
        <v>1</v>
      </c>
      <c r="DF223" s="57">
        <v>4</v>
      </c>
      <c r="DG223" s="17">
        <v>4</v>
      </c>
      <c r="DH223" s="4">
        <v>1</v>
      </c>
      <c r="DI223" s="17">
        <v>4</v>
      </c>
      <c r="DJ223" s="17">
        <v>4</v>
      </c>
      <c r="DK223" s="4">
        <v>1</v>
      </c>
      <c r="DL223" s="4">
        <v>4</v>
      </c>
      <c r="DM223" s="4">
        <v>4</v>
      </c>
      <c r="DN223" s="4">
        <v>1</v>
      </c>
      <c r="DO223" s="4">
        <v>4</v>
      </c>
      <c r="DP223" s="4">
        <v>4</v>
      </c>
      <c r="DQ223" s="4">
        <v>1</v>
      </c>
      <c r="DR223" s="17">
        <v>4</v>
      </c>
      <c r="DS223" s="17">
        <v>4</v>
      </c>
      <c r="DT223" s="4">
        <v>4</v>
      </c>
    </row>
    <row r="224" spans="1:124" x14ac:dyDescent="0.2">
      <c r="A224" t="s">
        <v>460</v>
      </c>
      <c r="B224" s="1" t="s">
        <v>1432</v>
      </c>
      <c r="C224" s="1" t="s">
        <v>644</v>
      </c>
      <c r="E224" s="4">
        <v>1</v>
      </c>
      <c r="F224" s="4">
        <v>4</v>
      </c>
      <c r="G224" s="4">
        <v>4</v>
      </c>
      <c r="H224" s="4">
        <v>4</v>
      </c>
      <c r="I224" s="4">
        <v>1</v>
      </c>
      <c r="J224" s="4">
        <v>1</v>
      </c>
      <c r="K224" s="4">
        <v>4</v>
      </c>
      <c r="L224" s="4">
        <v>4</v>
      </c>
      <c r="M224" s="4">
        <v>4</v>
      </c>
      <c r="N224" s="4">
        <v>1</v>
      </c>
      <c r="O224" s="4">
        <v>4</v>
      </c>
      <c r="P224" s="4">
        <v>4</v>
      </c>
      <c r="Q224" s="4">
        <v>4</v>
      </c>
      <c r="R224" s="4">
        <v>1</v>
      </c>
      <c r="S224" s="4">
        <v>4</v>
      </c>
      <c r="T224" s="4">
        <v>4</v>
      </c>
      <c r="U224" s="4">
        <v>1</v>
      </c>
      <c r="V224" s="57">
        <v>4</v>
      </c>
      <c r="W224" s="4">
        <v>4</v>
      </c>
      <c r="X224" s="4">
        <v>4</v>
      </c>
      <c r="Y224" s="4">
        <v>1</v>
      </c>
      <c r="Z224" s="4">
        <v>4</v>
      </c>
      <c r="AA224" s="4">
        <v>4</v>
      </c>
      <c r="AB224" s="4">
        <v>4</v>
      </c>
      <c r="AC224" s="57">
        <v>4</v>
      </c>
      <c r="AD224" s="17">
        <v>4</v>
      </c>
      <c r="AE224" s="17">
        <v>4</v>
      </c>
      <c r="AF224" s="17">
        <v>4</v>
      </c>
      <c r="AG224" s="17">
        <v>4</v>
      </c>
      <c r="AH224" s="17">
        <v>4</v>
      </c>
      <c r="AI224" s="4">
        <v>4</v>
      </c>
      <c r="AJ224" s="4">
        <v>1</v>
      </c>
      <c r="AK224" s="17">
        <v>4</v>
      </c>
      <c r="AL224" s="4">
        <v>4</v>
      </c>
      <c r="AM224" s="4">
        <v>4</v>
      </c>
      <c r="AN224" s="4">
        <v>1</v>
      </c>
      <c r="AO224" s="4">
        <v>1</v>
      </c>
      <c r="AP224" s="17">
        <v>4</v>
      </c>
      <c r="AQ224" s="17">
        <v>4</v>
      </c>
      <c r="AR224" s="17">
        <v>4</v>
      </c>
      <c r="AS224" s="17">
        <v>4</v>
      </c>
      <c r="AT224" s="17">
        <v>4</v>
      </c>
      <c r="AU224" s="17">
        <v>4</v>
      </c>
      <c r="AV224" s="57">
        <v>4</v>
      </c>
      <c r="AW224" s="17">
        <v>4</v>
      </c>
      <c r="AX224" s="17">
        <v>4</v>
      </c>
      <c r="AY224" s="4">
        <v>4</v>
      </c>
      <c r="AZ224" s="4">
        <v>4</v>
      </c>
      <c r="BA224" s="57">
        <v>4</v>
      </c>
      <c r="BB224" s="57">
        <v>4</v>
      </c>
      <c r="BC224" s="4">
        <v>4</v>
      </c>
      <c r="BD224" s="4">
        <v>3</v>
      </c>
      <c r="BE224" s="4">
        <v>1</v>
      </c>
      <c r="BF224" s="17">
        <v>4</v>
      </c>
      <c r="BG224" s="17">
        <v>4</v>
      </c>
      <c r="BH224" s="4">
        <v>4</v>
      </c>
      <c r="BI224" s="17">
        <v>4</v>
      </c>
      <c r="BJ224" s="17">
        <v>4</v>
      </c>
      <c r="BK224" s="4">
        <v>4</v>
      </c>
      <c r="BL224" s="17">
        <v>4</v>
      </c>
      <c r="BM224" s="17">
        <v>4</v>
      </c>
      <c r="BN224" s="4">
        <v>4</v>
      </c>
      <c r="BO224" s="17">
        <v>4</v>
      </c>
      <c r="BP224" s="17">
        <v>4</v>
      </c>
      <c r="BQ224" s="17">
        <v>4</v>
      </c>
      <c r="BR224" s="17">
        <v>4</v>
      </c>
      <c r="BS224" s="4">
        <v>4</v>
      </c>
      <c r="BT224" s="17">
        <v>4</v>
      </c>
      <c r="BU224" s="17">
        <v>4</v>
      </c>
      <c r="BV224" s="17">
        <v>4</v>
      </c>
      <c r="BW224" s="4">
        <v>4</v>
      </c>
      <c r="BX224" s="4">
        <v>4</v>
      </c>
      <c r="BY224" s="4">
        <v>1</v>
      </c>
      <c r="BZ224" s="4">
        <v>4</v>
      </c>
      <c r="CA224" s="4">
        <v>1</v>
      </c>
      <c r="CB224" s="4">
        <v>1</v>
      </c>
      <c r="CC224" s="4">
        <v>4</v>
      </c>
      <c r="CD224" s="4">
        <v>4</v>
      </c>
      <c r="CE224" s="4">
        <v>1</v>
      </c>
      <c r="CF224" s="57">
        <v>4</v>
      </c>
      <c r="CG224" s="57">
        <v>4</v>
      </c>
      <c r="CH224" s="4">
        <v>4</v>
      </c>
      <c r="CI224" s="4">
        <v>4</v>
      </c>
      <c r="CJ224" s="4">
        <v>4</v>
      </c>
      <c r="CK224" s="4">
        <v>1</v>
      </c>
      <c r="CL224" s="17">
        <v>4</v>
      </c>
      <c r="CM224" s="17">
        <v>4</v>
      </c>
      <c r="CN224" s="57">
        <v>4</v>
      </c>
      <c r="CO224" s="17">
        <v>4</v>
      </c>
      <c r="CP224" s="17">
        <v>4</v>
      </c>
      <c r="CQ224" s="57">
        <v>4</v>
      </c>
      <c r="CR224" s="4">
        <v>1</v>
      </c>
      <c r="CS224" s="4">
        <v>1</v>
      </c>
      <c r="CT224" s="4">
        <v>4</v>
      </c>
      <c r="CU224" s="4">
        <v>4</v>
      </c>
      <c r="CV224" s="4">
        <v>4</v>
      </c>
      <c r="CW224" s="4">
        <v>1</v>
      </c>
      <c r="CX224" s="4">
        <v>4</v>
      </c>
      <c r="CY224" s="4">
        <v>4</v>
      </c>
      <c r="CZ224" s="4">
        <v>1</v>
      </c>
      <c r="DA224" s="4">
        <v>1</v>
      </c>
      <c r="DB224" s="17">
        <v>4</v>
      </c>
      <c r="DC224" s="17">
        <v>4</v>
      </c>
      <c r="DD224" s="4">
        <v>1</v>
      </c>
      <c r="DE224" s="4">
        <v>1</v>
      </c>
      <c r="DF224" s="57">
        <v>4</v>
      </c>
      <c r="DG224" s="17">
        <v>4</v>
      </c>
      <c r="DH224" s="4">
        <v>1</v>
      </c>
      <c r="DI224" s="17">
        <v>4</v>
      </c>
      <c r="DJ224" s="17">
        <v>4</v>
      </c>
      <c r="DK224" s="4">
        <v>1</v>
      </c>
      <c r="DL224" s="4">
        <v>4</v>
      </c>
      <c r="DM224" s="4">
        <v>4</v>
      </c>
      <c r="DN224" s="4">
        <v>1</v>
      </c>
      <c r="DO224" s="4">
        <v>4</v>
      </c>
      <c r="DP224" s="4">
        <v>4</v>
      </c>
      <c r="DQ224" s="4">
        <v>1</v>
      </c>
      <c r="DR224" s="17">
        <v>4</v>
      </c>
      <c r="DS224" s="17">
        <v>4</v>
      </c>
      <c r="DT224" s="4">
        <v>4</v>
      </c>
    </row>
    <row r="225" spans="1:124" x14ac:dyDescent="0.2">
      <c r="A225" t="s">
        <v>459</v>
      </c>
      <c r="B225" s="1" t="s">
        <v>1432</v>
      </c>
      <c r="C225" s="1" t="s">
        <v>644</v>
      </c>
      <c r="E225" s="4">
        <v>1</v>
      </c>
      <c r="F225" s="4">
        <v>4</v>
      </c>
      <c r="G225" s="4">
        <v>4</v>
      </c>
      <c r="H225" s="4">
        <v>4</v>
      </c>
      <c r="I225" s="4">
        <v>1</v>
      </c>
      <c r="J225" s="4">
        <v>1</v>
      </c>
      <c r="K225" s="4">
        <v>4</v>
      </c>
      <c r="L225" s="4">
        <v>4</v>
      </c>
      <c r="M225" s="4">
        <v>4</v>
      </c>
      <c r="N225" s="4">
        <v>1</v>
      </c>
      <c r="O225" s="4">
        <v>4</v>
      </c>
      <c r="P225" s="4">
        <v>4</v>
      </c>
      <c r="Q225" s="4">
        <v>4</v>
      </c>
      <c r="R225" s="4">
        <v>1</v>
      </c>
      <c r="S225" s="4">
        <v>4</v>
      </c>
      <c r="T225" s="4">
        <v>4</v>
      </c>
      <c r="U225" s="4">
        <v>1</v>
      </c>
      <c r="V225" s="57">
        <v>4</v>
      </c>
      <c r="W225" s="4">
        <v>4</v>
      </c>
      <c r="X225" s="4">
        <v>4</v>
      </c>
      <c r="Y225" s="4">
        <v>1</v>
      </c>
      <c r="Z225" s="4">
        <v>4</v>
      </c>
      <c r="AA225" s="4">
        <v>4</v>
      </c>
      <c r="AB225" s="4">
        <v>4</v>
      </c>
      <c r="AC225" s="57">
        <v>4</v>
      </c>
      <c r="AD225" s="17">
        <v>4</v>
      </c>
      <c r="AE225" s="17">
        <v>4</v>
      </c>
      <c r="AF225" s="17">
        <v>4</v>
      </c>
      <c r="AG225" s="17">
        <v>4</v>
      </c>
      <c r="AH225" s="17">
        <v>4</v>
      </c>
      <c r="AI225" s="4">
        <v>4</v>
      </c>
      <c r="AJ225" s="4">
        <v>1</v>
      </c>
      <c r="AK225" s="17">
        <v>4</v>
      </c>
      <c r="AL225" s="4">
        <v>4</v>
      </c>
      <c r="AM225" s="4">
        <v>4</v>
      </c>
      <c r="AN225" s="4">
        <v>1</v>
      </c>
      <c r="AO225" s="4">
        <v>1</v>
      </c>
      <c r="AP225" s="17">
        <v>4</v>
      </c>
      <c r="AQ225" s="17">
        <v>4</v>
      </c>
      <c r="AR225" s="17">
        <v>4</v>
      </c>
      <c r="AS225" s="17">
        <v>4</v>
      </c>
      <c r="AT225" s="17">
        <v>4</v>
      </c>
      <c r="AU225" s="17">
        <v>4</v>
      </c>
      <c r="AV225" s="57">
        <v>4</v>
      </c>
      <c r="AW225" s="17">
        <v>4</v>
      </c>
      <c r="AX225" s="17">
        <v>4</v>
      </c>
      <c r="AY225" s="4">
        <v>4</v>
      </c>
      <c r="AZ225" s="4">
        <v>4</v>
      </c>
      <c r="BA225" s="57">
        <v>4</v>
      </c>
      <c r="BB225" s="57">
        <v>4</v>
      </c>
      <c r="BC225" s="4">
        <v>4</v>
      </c>
      <c r="BD225" s="4">
        <v>3</v>
      </c>
      <c r="BE225" s="4">
        <v>1</v>
      </c>
      <c r="BF225" s="17">
        <v>4</v>
      </c>
      <c r="BG225" s="17">
        <v>4</v>
      </c>
      <c r="BH225" s="4">
        <v>4</v>
      </c>
      <c r="BI225" s="17">
        <v>4</v>
      </c>
      <c r="BJ225" s="17">
        <v>4</v>
      </c>
      <c r="BK225" s="4">
        <v>4</v>
      </c>
      <c r="BL225" s="17">
        <v>4</v>
      </c>
      <c r="BM225" s="17">
        <v>4</v>
      </c>
      <c r="BN225" s="4">
        <v>4</v>
      </c>
      <c r="BO225" s="17">
        <v>4</v>
      </c>
      <c r="BP225" s="17">
        <v>4</v>
      </c>
      <c r="BQ225" s="17">
        <v>4</v>
      </c>
      <c r="BR225" s="17">
        <v>4</v>
      </c>
      <c r="BS225" s="4">
        <v>4</v>
      </c>
      <c r="BT225" s="17">
        <v>4</v>
      </c>
      <c r="BU225" s="17">
        <v>4</v>
      </c>
      <c r="BV225" s="17">
        <v>4</v>
      </c>
      <c r="BW225" s="4">
        <v>4</v>
      </c>
      <c r="BX225" s="4">
        <v>4</v>
      </c>
      <c r="BY225" s="4">
        <v>1</v>
      </c>
      <c r="BZ225" s="4">
        <v>4</v>
      </c>
      <c r="CA225" s="4">
        <v>1</v>
      </c>
      <c r="CB225" s="4">
        <v>1</v>
      </c>
      <c r="CC225" s="4">
        <v>4</v>
      </c>
      <c r="CD225" s="4">
        <v>4</v>
      </c>
      <c r="CE225" s="4">
        <v>1</v>
      </c>
      <c r="CF225" s="57">
        <v>4</v>
      </c>
      <c r="CG225" s="57">
        <v>4</v>
      </c>
      <c r="CH225" s="4">
        <v>4</v>
      </c>
      <c r="CI225" s="4">
        <v>4</v>
      </c>
      <c r="CJ225" s="4">
        <v>4</v>
      </c>
      <c r="CK225" s="4">
        <v>1</v>
      </c>
      <c r="CL225" s="17">
        <v>4</v>
      </c>
      <c r="CM225" s="17">
        <v>4</v>
      </c>
      <c r="CN225" s="57">
        <v>4</v>
      </c>
      <c r="CO225" s="17">
        <v>4</v>
      </c>
      <c r="CP225" s="17">
        <v>4</v>
      </c>
      <c r="CQ225" s="57">
        <v>4</v>
      </c>
      <c r="CR225" s="4">
        <v>1</v>
      </c>
      <c r="CS225" s="4">
        <v>1</v>
      </c>
      <c r="CT225" s="4">
        <v>4</v>
      </c>
      <c r="CU225" s="4">
        <v>4</v>
      </c>
      <c r="CV225" s="4">
        <v>4</v>
      </c>
      <c r="CW225" s="4">
        <v>1</v>
      </c>
      <c r="CX225" s="4">
        <v>4</v>
      </c>
      <c r="CY225" s="4">
        <v>4</v>
      </c>
      <c r="CZ225" s="4">
        <v>1</v>
      </c>
      <c r="DA225" s="4">
        <v>1</v>
      </c>
      <c r="DB225" s="17">
        <v>4</v>
      </c>
      <c r="DC225" s="17">
        <v>4</v>
      </c>
      <c r="DD225" s="4">
        <v>1</v>
      </c>
      <c r="DE225" s="4">
        <v>1</v>
      </c>
      <c r="DF225" s="57">
        <v>4</v>
      </c>
      <c r="DG225" s="17">
        <v>4</v>
      </c>
      <c r="DH225" s="4">
        <v>1</v>
      </c>
      <c r="DI225" s="17">
        <v>4</v>
      </c>
      <c r="DJ225" s="17">
        <v>4</v>
      </c>
      <c r="DK225" s="4">
        <v>1</v>
      </c>
      <c r="DL225" s="4">
        <v>4</v>
      </c>
      <c r="DM225" s="4">
        <v>4</v>
      </c>
      <c r="DN225" s="4">
        <v>1</v>
      </c>
      <c r="DO225" s="4">
        <v>4</v>
      </c>
      <c r="DP225" s="4">
        <v>4</v>
      </c>
      <c r="DQ225" s="4">
        <v>1</v>
      </c>
      <c r="DR225" s="17">
        <v>4</v>
      </c>
      <c r="DS225" s="17">
        <v>4</v>
      </c>
      <c r="DT225" s="4">
        <v>4</v>
      </c>
    </row>
    <row r="226" spans="1:124" x14ac:dyDescent="0.2">
      <c r="A226" t="s">
        <v>600</v>
      </c>
      <c r="B226" s="1" t="s">
        <v>1432</v>
      </c>
      <c r="C226" s="1" t="s">
        <v>644</v>
      </c>
      <c r="E226" s="4">
        <v>1</v>
      </c>
      <c r="F226" s="4">
        <v>4</v>
      </c>
      <c r="G226" s="4">
        <v>4</v>
      </c>
      <c r="H226" s="4">
        <v>4</v>
      </c>
      <c r="I226" s="4">
        <v>1</v>
      </c>
      <c r="J226" s="4">
        <v>1</v>
      </c>
      <c r="K226" s="4">
        <v>4</v>
      </c>
      <c r="L226" s="4">
        <v>4</v>
      </c>
      <c r="M226" s="4">
        <v>4</v>
      </c>
      <c r="N226" s="4">
        <v>1</v>
      </c>
      <c r="O226" s="4">
        <v>4</v>
      </c>
      <c r="P226" s="4">
        <v>4</v>
      </c>
      <c r="Q226" s="4">
        <v>4</v>
      </c>
      <c r="R226" s="4">
        <v>1</v>
      </c>
      <c r="S226" s="4">
        <v>4</v>
      </c>
      <c r="T226" s="4">
        <v>4</v>
      </c>
      <c r="U226" s="4">
        <v>1</v>
      </c>
      <c r="V226" s="57">
        <v>4</v>
      </c>
      <c r="W226" s="4">
        <v>4</v>
      </c>
      <c r="X226" s="4">
        <v>4</v>
      </c>
      <c r="Y226" s="4">
        <v>1</v>
      </c>
      <c r="Z226" s="4">
        <v>4</v>
      </c>
      <c r="AA226" s="4">
        <v>4</v>
      </c>
      <c r="AB226" s="4">
        <v>4</v>
      </c>
      <c r="AC226" s="57">
        <v>4</v>
      </c>
      <c r="AD226" s="17">
        <v>4</v>
      </c>
      <c r="AE226" s="17">
        <v>4</v>
      </c>
      <c r="AF226" s="17">
        <v>4</v>
      </c>
      <c r="AG226" s="17">
        <v>4</v>
      </c>
      <c r="AH226" s="17">
        <v>4</v>
      </c>
      <c r="AI226" s="4">
        <v>4</v>
      </c>
      <c r="AJ226" s="4">
        <v>1</v>
      </c>
      <c r="AK226" s="17">
        <v>4</v>
      </c>
      <c r="AL226" s="4">
        <v>4</v>
      </c>
      <c r="AM226" s="4">
        <v>4</v>
      </c>
      <c r="AN226" s="4">
        <v>1</v>
      </c>
      <c r="AO226" s="4">
        <v>1</v>
      </c>
      <c r="AP226" s="17">
        <v>4</v>
      </c>
      <c r="AQ226" s="17">
        <v>4</v>
      </c>
      <c r="AR226" s="17">
        <v>4</v>
      </c>
      <c r="AS226" s="17">
        <v>4</v>
      </c>
      <c r="AT226" s="17">
        <v>4</v>
      </c>
      <c r="AU226" s="17">
        <v>4</v>
      </c>
      <c r="AV226" s="57">
        <v>4</v>
      </c>
      <c r="AW226" s="17">
        <v>4</v>
      </c>
      <c r="AX226" s="17">
        <v>4</v>
      </c>
      <c r="AY226" s="4">
        <v>4</v>
      </c>
      <c r="AZ226" s="4">
        <v>4</v>
      </c>
      <c r="BA226" s="57">
        <v>4</v>
      </c>
      <c r="BB226" s="57">
        <v>4</v>
      </c>
      <c r="BC226" s="4">
        <v>4</v>
      </c>
      <c r="BD226" s="4">
        <v>3</v>
      </c>
      <c r="BE226" s="4">
        <v>1</v>
      </c>
      <c r="BF226" s="17">
        <v>4</v>
      </c>
      <c r="BG226" s="17">
        <v>4</v>
      </c>
      <c r="BH226" s="4">
        <v>4</v>
      </c>
      <c r="BI226" s="17">
        <v>4</v>
      </c>
      <c r="BJ226" s="17">
        <v>4</v>
      </c>
      <c r="BK226" s="4">
        <v>4</v>
      </c>
      <c r="BL226" s="17">
        <v>4</v>
      </c>
      <c r="BM226" s="17">
        <v>4</v>
      </c>
      <c r="BN226" s="4">
        <v>4</v>
      </c>
      <c r="BO226" s="17">
        <v>4</v>
      </c>
      <c r="BP226" s="17">
        <v>4</v>
      </c>
      <c r="BQ226" s="17">
        <v>4</v>
      </c>
      <c r="BR226" s="17">
        <v>4</v>
      </c>
      <c r="BS226" s="4">
        <v>4</v>
      </c>
      <c r="BT226" s="17">
        <v>4</v>
      </c>
      <c r="BU226" s="17">
        <v>4</v>
      </c>
      <c r="BV226" s="17">
        <v>4</v>
      </c>
      <c r="BW226" s="4">
        <v>4</v>
      </c>
      <c r="BX226" s="4">
        <v>4</v>
      </c>
      <c r="BY226" s="4">
        <v>1</v>
      </c>
      <c r="BZ226" s="4">
        <v>4</v>
      </c>
      <c r="CA226" s="4">
        <v>1</v>
      </c>
      <c r="CB226" s="4">
        <v>1</v>
      </c>
      <c r="CC226" s="4">
        <v>4</v>
      </c>
      <c r="CD226" s="4">
        <v>4</v>
      </c>
      <c r="CE226" s="4">
        <v>1</v>
      </c>
      <c r="CF226" s="57">
        <v>4</v>
      </c>
      <c r="CG226" s="57">
        <v>4</v>
      </c>
      <c r="CH226" s="4">
        <v>4</v>
      </c>
      <c r="CI226" s="4">
        <v>4</v>
      </c>
      <c r="CJ226" s="4">
        <v>4</v>
      </c>
      <c r="CK226" s="4">
        <v>1</v>
      </c>
      <c r="CL226" s="17">
        <v>4</v>
      </c>
      <c r="CM226" s="17">
        <v>4</v>
      </c>
      <c r="CN226" s="57">
        <v>4</v>
      </c>
      <c r="CO226" s="17">
        <v>4</v>
      </c>
      <c r="CP226" s="17">
        <v>4</v>
      </c>
      <c r="CQ226" s="57">
        <v>4</v>
      </c>
      <c r="CR226" s="4">
        <v>1</v>
      </c>
      <c r="CS226" s="4">
        <v>1</v>
      </c>
      <c r="CT226" s="4">
        <v>4</v>
      </c>
      <c r="CU226" s="4">
        <v>4</v>
      </c>
      <c r="CV226" s="4">
        <v>4</v>
      </c>
      <c r="CW226" s="4">
        <v>1</v>
      </c>
      <c r="CX226" s="4">
        <v>4</v>
      </c>
      <c r="CY226" s="4">
        <v>4</v>
      </c>
      <c r="CZ226" s="4">
        <v>1</v>
      </c>
      <c r="DA226" s="4">
        <v>1</v>
      </c>
      <c r="DB226" s="17">
        <v>4</v>
      </c>
      <c r="DC226" s="17">
        <v>4</v>
      </c>
      <c r="DD226" s="4">
        <v>1</v>
      </c>
      <c r="DE226" s="4">
        <v>1</v>
      </c>
      <c r="DF226" s="57">
        <v>4</v>
      </c>
      <c r="DG226" s="17">
        <v>4</v>
      </c>
      <c r="DH226" s="4">
        <v>1</v>
      </c>
      <c r="DI226" s="17">
        <v>4</v>
      </c>
      <c r="DJ226" s="17">
        <v>4</v>
      </c>
      <c r="DK226" s="4">
        <v>1</v>
      </c>
      <c r="DL226" s="4">
        <v>4</v>
      </c>
      <c r="DM226" s="4">
        <v>4</v>
      </c>
      <c r="DN226" s="4">
        <v>1</v>
      </c>
      <c r="DO226" s="4">
        <v>4</v>
      </c>
      <c r="DP226" s="4">
        <v>4</v>
      </c>
      <c r="DQ226" s="4">
        <v>1</v>
      </c>
      <c r="DR226" s="17">
        <v>4</v>
      </c>
      <c r="DS226" s="17">
        <v>4</v>
      </c>
      <c r="DT226" s="4">
        <v>4</v>
      </c>
    </row>
    <row r="227" spans="1:124" x14ac:dyDescent="0.2">
      <c r="A227" t="s">
        <v>645</v>
      </c>
      <c r="B227" s="1" t="s">
        <v>1432</v>
      </c>
      <c r="C227" s="1" t="s">
        <v>644</v>
      </c>
      <c r="E227" s="4">
        <v>1</v>
      </c>
      <c r="F227" s="4">
        <v>4</v>
      </c>
      <c r="G227" s="4">
        <v>4</v>
      </c>
      <c r="H227" s="4">
        <v>4</v>
      </c>
      <c r="I227" s="4">
        <v>1</v>
      </c>
      <c r="J227" s="4">
        <v>4</v>
      </c>
      <c r="K227" s="4">
        <v>4</v>
      </c>
      <c r="L227" s="4">
        <v>4</v>
      </c>
      <c r="M227" s="4">
        <v>4</v>
      </c>
      <c r="N227" s="4">
        <v>1</v>
      </c>
      <c r="O227" s="4">
        <v>4</v>
      </c>
      <c r="P227" s="4">
        <v>4</v>
      </c>
      <c r="Q227" s="4">
        <v>4</v>
      </c>
      <c r="R227" s="4">
        <v>4</v>
      </c>
      <c r="S227" s="4">
        <v>4</v>
      </c>
      <c r="T227" s="4">
        <v>4</v>
      </c>
      <c r="U227" s="4">
        <v>1</v>
      </c>
      <c r="V227" s="57">
        <v>4</v>
      </c>
      <c r="W227" s="4">
        <v>4</v>
      </c>
      <c r="X227" s="4">
        <v>4</v>
      </c>
      <c r="Y227" s="4">
        <v>1</v>
      </c>
      <c r="Z227" s="4">
        <v>4</v>
      </c>
      <c r="AA227" s="4">
        <v>4</v>
      </c>
      <c r="AB227" s="4">
        <v>4</v>
      </c>
      <c r="AC227" s="57">
        <v>4</v>
      </c>
      <c r="AD227" s="4">
        <v>4</v>
      </c>
      <c r="AE227" s="4">
        <v>4</v>
      </c>
      <c r="AF227" s="4">
        <v>4</v>
      </c>
      <c r="AG227" s="4">
        <v>4</v>
      </c>
      <c r="AH227" s="4">
        <v>4</v>
      </c>
      <c r="AI227" s="4">
        <v>4</v>
      </c>
      <c r="AJ227" s="4">
        <v>4</v>
      </c>
      <c r="AK227" s="4">
        <v>4</v>
      </c>
      <c r="AL227" s="4">
        <v>4</v>
      </c>
      <c r="AM227" s="4">
        <v>4</v>
      </c>
      <c r="AN227" s="4">
        <v>4</v>
      </c>
      <c r="AO227" s="4">
        <v>4</v>
      </c>
      <c r="AP227" s="4">
        <v>4</v>
      </c>
      <c r="AQ227" s="4">
        <v>4</v>
      </c>
      <c r="AR227" s="4">
        <v>4</v>
      </c>
      <c r="AS227" s="4">
        <v>4</v>
      </c>
      <c r="AT227" s="4">
        <v>4</v>
      </c>
      <c r="AU227" s="4">
        <v>4</v>
      </c>
      <c r="AV227" s="57">
        <v>4</v>
      </c>
      <c r="AW227" s="4">
        <v>4</v>
      </c>
      <c r="AX227" s="4">
        <v>4</v>
      </c>
      <c r="AY227" s="4">
        <v>4</v>
      </c>
      <c r="AZ227" s="4">
        <v>1</v>
      </c>
      <c r="BA227" s="57">
        <v>4</v>
      </c>
      <c r="BB227" s="57">
        <v>4</v>
      </c>
      <c r="BC227" s="4">
        <v>4</v>
      </c>
      <c r="BD227" s="4">
        <v>3</v>
      </c>
      <c r="BE227" s="4">
        <v>1</v>
      </c>
      <c r="BF227" s="4">
        <v>4</v>
      </c>
      <c r="BG227" s="4">
        <v>4</v>
      </c>
      <c r="BH227" s="4">
        <v>4</v>
      </c>
      <c r="BI227" s="4">
        <v>4</v>
      </c>
      <c r="BJ227" s="4">
        <v>4</v>
      </c>
      <c r="BK227" s="4">
        <v>4</v>
      </c>
      <c r="BL227" s="4">
        <v>4</v>
      </c>
      <c r="BM227" s="4">
        <v>4</v>
      </c>
      <c r="BN227" s="4">
        <v>4</v>
      </c>
      <c r="BO227" s="4">
        <v>4</v>
      </c>
      <c r="BP227" s="4">
        <v>4</v>
      </c>
      <c r="BQ227" s="4">
        <v>4</v>
      </c>
      <c r="BR227" s="4">
        <v>4</v>
      </c>
      <c r="BS227" s="4">
        <v>4</v>
      </c>
      <c r="BT227" s="4">
        <v>4</v>
      </c>
      <c r="BU227" s="4">
        <v>4</v>
      </c>
      <c r="BV227" s="4">
        <v>4</v>
      </c>
      <c r="BW227" s="4">
        <v>4</v>
      </c>
      <c r="BX227" s="4">
        <v>4</v>
      </c>
      <c r="BY227" s="4">
        <v>1</v>
      </c>
      <c r="BZ227" s="4">
        <v>4</v>
      </c>
      <c r="CA227" s="4">
        <v>1</v>
      </c>
      <c r="CB227" s="4">
        <v>4</v>
      </c>
      <c r="CC227" s="4">
        <v>4</v>
      </c>
      <c r="CD227" s="4">
        <v>4</v>
      </c>
      <c r="CE227" s="4">
        <v>1</v>
      </c>
      <c r="CF227" s="57">
        <v>4</v>
      </c>
      <c r="CG227" s="57">
        <v>4</v>
      </c>
      <c r="CH227" s="4">
        <v>4</v>
      </c>
      <c r="CI227" s="4">
        <v>4</v>
      </c>
      <c r="CJ227" s="4">
        <v>1</v>
      </c>
      <c r="CK227" s="4">
        <v>4</v>
      </c>
      <c r="CL227" s="4">
        <v>4</v>
      </c>
      <c r="CM227" s="4">
        <v>4</v>
      </c>
      <c r="CN227" s="57">
        <v>4</v>
      </c>
      <c r="CO227" s="4">
        <v>4</v>
      </c>
      <c r="CP227" s="4">
        <v>4</v>
      </c>
      <c r="CQ227" s="57">
        <v>4</v>
      </c>
      <c r="CR227" s="4">
        <v>4</v>
      </c>
      <c r="CS227" s="4">
        <v>4</v>
      </c>
      <c r="CT227" s="4">
        <v>4</v>
      </c>
      <c r="CU227" s="4">
        <v>4</v>
      </c>
      <c r="CV227" s="4">
        <v>4</v>
      </c>
      <c r="CW227" s="4">
        <v>3</v>
      </c>
      <c r="CX227" s="4">
        <v>4</v>
      </c>
      <c r="CY227" s="4">
        <v>4</v>
      </c>
      <c r="CZ227" s="4">
        <v>1</v>
      </c>
      <c r="DA227" s="4">
        <v>4</v>
      </c>
      <c r="DB227" s="17">
        <v>4</v>
      </c>
      <c r="DC227" s="17">
        <v>4</v>
      </c>
      <c r="DD227" s="4">
        <v>3</v>
      </c>
      <c r="DE227" s="4">
        <v>4</v>
      </c>
      <c r="DF227" s="57">
        <v>4</v>
      </c>
      <c r="DG227" s="17">
        <v>4</v>
      </c>
      <c r="DH227" s="4">
        <v>1</v>
      </c>
      <c r="DI227" s="17">
        <v>4</v>
      </c>
      <c r="DJ227" s="17">
        <v>4</v>
      </c>
      <c r="DK227" s="4">
        <v>3</v>
      </c>
      <c r="DL227" s="4">
        <v>4</v>
      </c>
      <c r="DM227" s="4">
        <v>4</v>
      </c>
      <c r="DN227" s="4">
        <v>3</v>
      </c>
      <c r="DO227" s="4">
        <v>4</v>
      </c>
      <c r="DP227" s="4">
        <v>4</v>
      </c>
      <c r="DQ227" s="4">
        <v>3</v>
      </c>
      <c r="DR227" s="17">
        <v>4</v>
      </c>
      <c r="DS227" s="17">
        <v>4</v>
      </c>
      <c r="DT227" s="4">
        <v>1</v>
      </c>
    </row>
    <row r="228" spans="1:124" x14ac:dyDescent="0.2">
      <c r="A228" t="s">
        <v>646</v>
      </c>
      <c r="B228" s="1" t="s">
        <v>1432</v>
      </c>
      <c r="C228" s="1" t="s">
        <v>644</v>
      </c>
      <c r="E228" s="4">
        <v>1</v>
      </c>
      <c r="F228" s="4">
        <v>4</v>
      </c>
      <c r="G228" s="4">
        <v>4</v>
      </c>
      <c r="H228" s="4">
        <v>4</v>
      </c>
      <c r="I228" s="4">
        <v>1</v>
      </c>
      <c r="J228" s="4">
        <v>4</v>
      </c>
      <c r="K228" s="4">
        <v>4</v>
      </c>
      <c r="L228" s="4">
        <v>4</v>
      </c>
      <c r="M228" s="4">
        <v>4</v>
      </c>
      <c r="N228" s="4">
        <v>1</v>
      </c>
      <c r="O228" s="4">
        <v>4</v>
      </c>
      <c r="P228" s="4">
        <v>4</v>
      </c>
      <c r="Q228" s="4">
        <v>4</v>
      </c>
      <c r="R228" s="4">
        <v>4</v>
      </c>
      <c r="S228" s="4">
        <v>4</v>
      </c>
      <c r="T228" s="4">
        <v>4</v>
      </c>
      <c r="U228" s="4">
        <v>1</v>
      </c>
      <c r="V228" s="57">
        <v>4</v>
      </c>
      <c r="W228" s="4">
        <v>4</v>
      </c>
      <c r="X228" s="4">
        <v>4</v>
      </c>
      <c r="Y228" s="4">
        <v>1</v>
      </c>
      <c r="Z228" s="4">
        <v>4</v>
      </c>
      <c r="AA228" s="4">
        <v>4</v>
      </c>
      <c r="AB228" s="4">
        <v>4</v>
      </c>
      <c r="AC228" s="57">
        <v>4</v>
      </c>
      <c r="AD228" s="4">
        <v>4</v>
      </c>
      <c r="AE228" s="4">
        <v>4</v>
      </c>
      <c r="AF228" s="4">
        <v>4</v>
      </c>
      <c r="AG228" s="4">
        <v>4</v>
      </c>
      <c r="AH228" s="4">
        <v>4</v>
      </c>
      <c r="AI228" s="4">
        <v>4</v>
      </c>
      <c r="AJ228" s="4">
        <v>4</v>
      </c>
      <c r="AK228" s="4">
        <v>4</v>
      </c>
      <c r="AL228" s="4">
        <v>4</v>
      </c>
      <c r="AM228" s="4">
        <v>4</v>
      </c>
      <c r="AN228" s="4">
        <v>4</v>
      </c>
      <c r="AO228" s="4">
        <v>4</v>
      </c>
      <c r="AP228" s="4">
        <v>4</v>
      </c>
      <c r="AQ228" s="4">
        <v>4</v>
      </c>
      <c r="AR228" s="4">
        <v>4</v>
      </c>
      <c r="AS228" s="4">
        <v>4</v>
      </c>
      <c r="AT228" s="4">
        <v>4</v>
      </c>
      <c r="AU228" s="4">
        <v>4</v>
      </c>
      <c r="AV228" s="57">
        <v>4</v>
      </c>
      <c r="AW228" s="4">
        <v>4</v>
      </c>
      <c r="AX228" s="4">
        <v>4</v>
      </c>
      <c r="AY228" s="4">
        <v>4</v>
      </c>
      <c r="AZ228" s="4">
        <v>1</v>
      </c>
      <c r="BA228" s="57">
        <v>4</v>
      </c>
      <c r="BB228" s="57">
        <v>4</v>
      </c>
      <c r="BC228" s="4">
        <v>4</v>
      </c>
      <c r="BD228" s="4">
        <v>3</v>
      </c>
      <c r="BE228" s="4">
        <v>1</v>
      </c>
      <c r="BF228" s="4">
        <v>4</v>
      </c>
      <c r="BG228" s="4">
        <v>4</v>
      </c>
      <c r="BH228" s="4">
        <v>4</v>
      </c>
      <c r="BI228" s="4">
        <v>4</v>
      </c>
      <c r="BJ228" s="4">
        <v>4</v>
      </c>
      <c r="BK228" s="4">
        <v>4</v>
      </c>
      <c r="BL228" s="4">
        <v>4</v>
      </c>
      <c r="BM228" s="4">
        <v>4</v>
      </c>
      <c r="BN228" s="4">
        <v>4</v>
      </c>
      <c r="BO228" s="4">
        <v>4</v>
      </c>
      <c r="BP228" s="4">
        <v>4</v>
      </c>
      <c r="BQ228" s="4">
        <v>4</v>
      </c>
      <c r="BR228" s="4">
        <v>4</v>
      </c>
      <c r="BS228" s="4">
        <v>4</v>
      </c>
      <c r="BT228" s="4">
        <v>4</v>
      </c>
      <c r="BU228" s="4">
        <v>4</v>
      </c>
      <c r="BV228" s="4">
        <v>4</v>
      </c>
      <c r="BW228" s="4">
        <v>4</v>
      </c>
      <c r="BX228" s="4">
        <v>4</v>
      </c>
      <c r="BY228" s="4">
        <v>1</v>
      </c>
      <c r="BZ228" s="4">
        <v>4</v>
      </c>
      <c r="CA228" s="4">
        <v>1</v>
      </c>
      <c r="CB228" s="4">
        <v>4</v>
      </c>
      <c r="CC228" s="4">
        <v>4</v>
      </c>
      <c r="CD228" s="4">
        <v>4</v>
      </c>
      <c r="CE228" s="4">
        <v>1</v>
      </c>
      <c r="CF228" s="57">
        <v>4</v>
      </c>
      <c r="CG228" s="57">
        <v>4</v>
      </c>
      <c r="CH228" s="4">
        <v>4</v>
      </c>
      <c r="CI228" s="4">
        <v>4</v>
      </c>
      <c r="CJ228" s="4">
        <v>1</v>
      </c>
      <c r="CK228" s="4">
        <v>4</v>
      </c>
      <c r="CL228" s="4">
        <v>4</v>
      </c>
      <c r="CM228" s="4">
        <v>4</v>
      </c>
      <c r="CN228" s="57">
        <v>4</v>
      </c>
      <c r="CO228" s="4">
        <v>4</v>
      </c>
      <c r="CP228" s="4">
        <v>4</v>
      </c>
      <c r="CQ228" s="57">
        <v>4</v>
      </c>
      <c r="CR228" s="4">
        <v>4</v>
      </c>
      <c r="CS228" s="4">
        <v>4</v>
      </c>
      <c r="CT228" s="4">
        <v>4</v>
      </c>
      <c r="CU228" s="4">
        <v>4</v>
      </c>
      <c r="CV228" s="4">
        <v>4</v>
      </c>
      <c r="CW228" s="4">
        <v>3</v>
      </c>
      <c r="CX228" s="4">
        <v>4</v>
      </c>
      <c r="CY228" s="4">
        <v>4</v>
      </c>
      <c r="CZ228" s="4">
        <v>1</v>
      </c>
      <c r="DA228" s="4">
        <v>4</v>
      </c>
      <c r="DB228" s="17">
        <v>4</v>
      </c>
      <c r="DC228" s="17">
        <v>4</v>
      </c>
      <c r="DD228" s="4">
        <v>1</v>
      </c>
      <c r="DE228" s="4">
        <v>4</v>
      </c>
      <c r="DF228" s="57">
        <v>4</v>
      </c>
      <c r="DG228" s="17">
        <v>4</v>
      </c>
      <c r="DH228" s="4">
        <v>1</v>
      </c>
      <c r="DI228" s="17">
        <v>4</v>
      </c>
      <c r="DJ228" s="17">
        <v>4</v>
      </c>
      <c r="DK228" s="4">
        <v>1</v>
      </c>
      <c r="DL228" s="4">
        <v>4</v>
      </c>
      <c r="DM228" s="4">
        <v>4</v>
      </c>
      <c r="DN228" s="4">
        <v>1</v>
      </c>
      <c r="DO228" s="4">
        <v>4</v>
      </c>
      <c r="DP228" s="4">
        <v>4</v>
      </c>
      <c r="DQ228" s="4">
        <v>1</v>
      </c>
      <c r="DR228" s="17">
        <v>4</v>
      </c>
      <c r="DS228" s="17">
        <v>4</v>
      </c>
      <c r="DT228" s="4">
        <v>1</v>
      </c>
    </row>
    <row r="229" spans="1:124" x14ac:dyDescent="0.2">
      <c r="A229" t="s">
        <v>647</v>
      </c>
      <c r="B229" s="1" t="s">
        <v>1432</v>
      </c>
      <c r="C229" s="1" t="s">
        <v>644</v>
      </c>
      <c r="E229" s="4">
        <v>1</v>
      </c>
      <c r="F229" s="4">
        <v>4</v>
      </c>
      <c r="G229" s="4">
        <v>4</v>
      </c>
      <c r="H229" s="4">
        <v>4</v>
      </c>
      <c r="I229" s="4">
        <v>1</v>
      </c>
      <c r="J229" s="4">
        <v>4</v>
      </c>
      <c r="K229" s="4">
        <v>4</v>
      </c>
      <c r="L229" s="4">
        <v>4</v>
      </c>
      <c r="M229" s="4">
        <v>4</v>
      </c>
      <c r="N229" s="4">
        <v>1</v>
      </c>
      <c r="O229" s="4">
        <v>4</v>
      </c>
      <c r="P229" s="4">
        <v>4</v>
      </c>
      <c r="Q229" s="4">
        <v>4</v>
      </c>
      <c r="R229" s="4">
        <v>4</v>
      </c>
      <c r="S229" s="4">
        <v>4</v>
      </c>
      <c r="T229" s="4">
        <v>4</v>
      </c>
      <c r="U229" s="4">
        <v>1</v>
      </c>
      <c r="V229" s="57">
        <v>4</v>
      </c>
      <c r="W229" s="4">
        <v>4</v>
      </c>
      <c r="X229" s="4">
        <v>4</v>
      </c>
      <c r="Y229" s="4">
        <v>1</v>
      </c>
      <c r="Z229" s="4">
        <v>4</v>
      </c>
      <c r="AA229" s="4">
        <v>4</v>
      </c>
      <c r="AB229" s="4">
        <v>4</v>
      </c>
      <c r="AC229" s="57">
        <v>4</v>
      </c>
      <c r="AD229" s="4">
        <v>4</v>
      </c>
      <c r="AE229" s="4">
        <v>4</v>
      </c>
      <c r="AF229" s="4">
        <v>4</v>
      </c>
      <c r="AG229" s="4">
        <v>4</v>
      </c>
      <c r="AH229" s="4">
        <v>4</v>
      </c>
      <c r="AI229" s="4">
        <v>4</v>
      </c>
      <c r="AJ229" s="4">
        <v>4</v>
      </c>
      <c r="AK229" s="4">
        <v>4</v>
      </c>
      <c r="AL229" s="4">
        <v>4</v>
      </c>
      <c r="AM229" s="4">
        <v>4</v>
      </c>
      <c r="AN229" s="4">
        <v>4</v>
      </c>
      <c r="AO229" s="4">
        <v>4</v>
      </c>
      <c r="AP229" s="4">
        <v>4</v>
      </c>
      <c r="AQ229" s="4">
        <v>4</v>
      </c>
      <c r="AR229" s="4">
        <v>4</v>
      </c>
      <c r="AS229" s="4">
        <v>4</v>
      </c>
      <c r="AT229" s="4">
        <v>4</v>
      </c>
      <c r="AU229" s="4">
        <v>4</v>
      </c>
      <c r="AV229" s="57">
        <v>4</v>
      </c>
      <c r="AW229" s="4">
        <v>4</v>
      </c>
      <c r="AX229" s="4">
        <v>4</v>
      </c>
      <c r="AY229" s="4">
        <v>4</v>
      </c>
      <c r="AZ229" s="4">
        <v>1</v>
      </c>
      <c r="BA229" s="57">
        <v>4</v>
      </c>
      <c r="BB229" s="57">
        <v>4</v>
      </c>
      <c r="BC229" s="4">
        <v>4</v>
      </c>
      <c r="BD229" s="4">
        <v>3</v>
      </c>
      <c r="BE229" s="4">
        <v>1</v>
      </c>
      <c r="BF229" s="4">
        <v>4</v>
      </c>
      <c r="BG229" s="4">
        <v>4</v>
      </c>
      <c r="BH229" s="4">
        <v>4</v>
      </c>
      <c r="BI229" s="4">
        <v>4</v>
      </c>
      <c r="BJ229" s="4">
        <v>4</v>
      </c>
      <c r="BK229" s="4">
        <v>4</v>
      </c>
      <c r="BL229" s="4">
        <v>4</v>
      </c>
      <c r="BM229" s="4">
        <v>4</v>
      </c>
      <c r="BN229" s="4">
        <v>4</v>
      </c>
      <c r="BO229" s="4">
        <v>4</v>
      </c>
      <c r="BP229" s="4">
        <v>4</v>
      </c>
      <c r="BQ229" s="4">
        <v>4</v>
      </c>
      <c r="BR229" s="4">
        <v>4</v>
      </c>
      <c r="BS229" s="4">
        <v>4</v>
      </c>
      <c r="BT229" s="4">
        <v>4</v>
      </c>
      <c r="BU229" s="4">
        <v>4</v>
      </c>
      <c r="BV229" s="4">
        <v>4</v>
      </c>
      <c r="BW229" s="4">
        <v>4</v>
      </c>
      <c r="BX229" s="4">
        <v>4</v>
      </c>
      <c r="BY229" s="4">
        <v>1</v>
      </c>
      <c r="BZ229" s="4">
        <v>4</v>
      </c>
      <c r="CA229" s="4">
        <v>1</v>
      </c>
      <c r="CB229" s="4">
        <v>4</v>
      </c>
      <c r="CC229" s="4">
        <v>4</v>
      </c>
      <c r="CD229" s="4">
        <v>4</v>
      </c>
      <c r="CE229" s="4">
        <v>1</v>
      </c>
      <c r="CF229" s="57">
        <v>4</v>
      </c>
      <c r="CG229" s="57">
        <v>4</v>
      </c>
      <c r="CH229" s="4">
        <v>4</v>
      </c>
      <c r="CI229" s="4">
        <v>4</v>
      </c>
      <c r="CJ229" s="4">
        <v>1</v>
      </c>
      <c r="CK229" s="4">
        <v>4</v>
      </c>
      <c r="CL229" s="4">
        <v>4</v>
      </c>
      <c r="CM229" s="4">
        <v>4</v>
      </c>
      <c r="CN229" s="57">
        <v>4</v>
      </c>
      <c r="CO229" s="4">
        <v>4</v>
      </c>
      <c r="CP229" s="4">
        <v>4</v>
      </c>
      <c r="CQ229" s="57">
        <v>4</v>
      </c>
      <c r="CR229" s="4">
        <v>4</v>
      </c>
      <c r="CS229" s="4">
        <v>4</v>
      </c>
      <c r="CT229" s="4">
        <v>4</v>
      </c>
      <c r="CU229" s="4">
        <v>4</v>
      </c>
      <c r="CV229" s="4">
        <v>4</v>
      </c>
      <c r="CW229" s="4">
        <v>1</v>
      </c>
      <c r="CX229" s="4">
        <v>4</v>
      </c>
      <c r="CY229" s="4">
        <v>4</v>
      </c>
      <c r="CZ229" s="4">
        <v>1</v>
      </c>
      <c r="DA229" s="4">
        <v>4</v>
      </c>
      <c r="DB229" s="17">
        <v>4</v>
      </c>
      <c r="DC229" s="17">
        <v>4</v>
      </c>
      <c r="DD229" s="4">
        <v>1</v>
      </c>
      <c r="DE229" s="4">
        <v>4</v>
      </c>
      <c r="DF229" s="57">
        <v>4</v>
      </c>
      <c r="DG229" s="17">
        <v>4</v>
      </c>
      <c r="DH229" s="4">
        <v>1</v>
      </c>
      <c r="DI229" s="17">
        <v>4</v>
      </c>
      <c r="DJ229" s="17">
        <v>4</v>
      </c>
      <c r="DK229" s="4">
        <v>1</v>
      </c>
      <c r="DL229" s="4">
        <v>4</v>
      </c>
      <c r="DM229" s="4">
        <v>4</v>
      </c>
      <c r="DN229" s="4">
        <v>1</v>
      </c>
      <c r="DO229" s="4">
        <v>4</v>
      </c>
      <c r="DP229" s="4">
        <v>4</v>
      </c>
      <c r="DQ229" s="4">
        <v>1</v>
      </c>
      <c r="DR229" s="17">
        <v>4</v>
      </c>
      <c r="DS229" s="17">
        <v>4</v>
      </c>
      <c r="DT229" s="4">
        <v>1</v>
      </c>
    </row>
    <row r="230" spans="1:124" x14ac:dyDescent="0.2">
      <c r="A230" t="s">
        <v>648</v>
      </c>
      <c r="B230" s="1" t="s">
        <v>1432</v>
      </c>
      <c r="C230" s="1" t="s">
        <v>644</v>
      </c>
      <c r="E230" s="4">
        <v>1</v>
      </c>
      <c r="F230" s="4">
        <v>4</v>
      </c>
      <c r="G230" s="4">
        <v>4</v>
      </c>
      <c r="H230" s="4">
        <v>4</v>
      </c>
      <c r="I230" s="4">
        <v>1</v>
      </c>
      <c r="J230" s="4">
        <v>4</v>
      </c>
      <c r="K230" s="4">
        <v>4</v>
      </c>
      <c r="L230" s="4">
        <v>4</v>
      </c>
      <c r="M230" s="4">
        <v>4</v>
      </c>
      <c r="N230" s="4">
        <v>1</v>
      </c>
      <c r="O230" s="4">
        <v>4</v>
      </c>
      <c r="P230" s="4">
        <v>4</v>
      </c>
      <c r="Q230" s="4">
        <v>4</v>
      </c>
      <c r="R230" s="4">
        <v>4</v>
      </c>
      <c r="S230" s="4">
        <v>4</v>
      </c>
      <c r="T230" s="4">
        <v>4</v>
      </c>
      <c r="U230" s="4">
        <v>3</v>
      </c>
      <c r="V230" s="57">
        <v>4</v>
      </c>
      <c r="W230" s="4">
        <v>4</v>
      </c>
      <c r="X230" s="4">
        <v>4</v>
      </c>
      <c r="Y230" s="4">
        <v>1</v>
      </c>
      <c r="Z230" s="4">
        <v>4</v>
      </c>
      <c r="AA230" s="4">
        <v>4</v>
      </c>
      <c r="AB230" s="4">
        <v>4</v>
      </c>
      <c r="AC230" s="57">
        <v>4</v>
      </c>
      <c r="AD230" s="4">
        <v>4</v>
      </c>
      <c r="AE230" s="4">
        <v>4</v>
      </c>
      <c r="AF230" s="4">
        <v>4</v>
      </c>
      <c r="AG230" s="4">
        <v>4</v>
      </c>
      <c r="AH230" s="4">
        <v>4</v>
      </c>
      <c r="AI230" s="4">
        <v>4</v>
      </c>
      <c r="AJ230" s="4">
        <v>4</v>
      </c>
      <c r="AK230" s="4">
        <v>4</v>
      </c>
      <c r="AL230" s="4">
        <v>4</v>
      </c>
      <c r="AM230" s="4">
        <v>4</v>
      </c>
      <c r="AN230" s="4">
        <v>4</v>
      </c>
      <c r="AO230" s="4">
        <v>4</v>
      </c>
      <c r="AP230" s="4">
        <v>4</v>
      </c>
      <c r="AQ230" s="4">
        <v>4</v>
      </c>
      <c r="AR230" s="4">
        <v>4</v>
      </c>
      <c r="AS230" s="4">
        <v>4</v>
      </c>
      <c r="AT230" s="4">
        <v>4</v>
      </c>
      <c r="AU230" s="4">
        <v>4</v>
      </c>
      <c r="AV230" s="57">
        <v>4</v>
      </c>
      <c r="AW230" s="4">
        <v>4</v>
      </c>
      <c r="AX230" s="4">
        <v>4</v>
      </c>
      <c r="AY230" s="4">
        <v>4</v>
      </c>
      <c r="AZ230" s="4">
        <v>1</v>
      </c>
      <c r="BA230" s="57">
        <v>4</v>
      </c>
      <c r="BB230" s="57">
        <v>4</v>
      </c>
      <c r="BC230" s="4">
        <v>4</v>
      </c>
      <c r="BD230" s="4">
        <v>3</v>
      </c>
      <c r="BE230" s="4">
        <v>1</v>
      </c>
      <c r="BF230" s="4">
        <v>4</v>
      </c>
      <c r="BG230" s="4">
        <v>4</v>
      </c>
      <c r="BH230" s="4">
        <v>4</v>
      </c>
      <c r="BI230" s="4">
        <v>4</v>
      </c>
      <c r="BJ230" s="4">
        <v>4</v>
      </c>
      <c r="BK230" s="4">
        <v>4</v>
      </c>
      <c r="BL230" s="4">
        <v>4</v>
      </c>
      <c r="BM230" s="4">
        <v>4</v>
      </c>
      <c r="BN230" s="4">
        <v>4</v>
      </c>
      <c r="BO230" s="4">
        <v>4</v>
      </c>
      <c r="BP230" s="4">
        <v>4</v>
      </c>
      <c r="BQ230" s="4">
        <v>4</v>
      </c>
      <c r="BR230" s="4">
        <v>4</v>
      </c>
      <c r="BS230" s="4">
        <v>4</v>
      </c>
      <c r="BT230" s="4">
        <v>4</v>
      </c>
      <c r="BU230" s="4">
        <v>4</v>
      </c>
      <c r="BV230" s="4">
        <v>4</v>
      </c>
      <c r="BW230" s="4">
        <v>4</v>
      </c>
      <c r="BX230" s="4">
        <v>4</v>
      </c>
      <c r="BY230" s="4">
        <v>1</v>
      </c>
      <c r="BZ230" s="4">
        <v>4</v>
      </c>
      <c r="CA230" s="4">
        <v>1</v>
      </c>
      <c r="CB230" s="4">
        <v>4</v>
      </c>
      <c r="CC230" s="4">
        <v>4</v>
      </c>
      <c r="CD230" s="4">
        <v>4</v>
      </c>
      <c r="CE230" s="4">
        <v>1</v>
      </c>
      <c r="CF230" s="57">
        <v>4</v>
      </c>
      <c r="CG230" s="57">
        <v>4</v>
      </c>
      <c r="CH230" s="4">
        <v>4</v>
      </c>
      <c r="CI230" s="4">
        <v>4</v>
      </c>
      <c r="CJ230" s="4">
        <v>3</v>
      </c>
      <c r="CK230" s="4">
        <v>4</v>
      </c>
      <c r="CL230" s="4">
        <v>4</v>
      </c>
      <c r="CM230" s="4">
        <v>4</v>
      </c>
      <c r="CN230" s="57">
        <v>4</v>
      </c>
      <c r="CO230" s="4">
        <v>4</v>
      </c>
      <c r="CP230" s="4">
        <v>4</v>
      </c>
      <c r="CQ230" s="57">
        <v>4</v>
      </c>
      <c r="CR230" s="4">
        <v>4</v>
      </c>
      <c r="CS230" s="4">
        <v>4</v>
      </c>
      <c r="CT230" s="4">
        <v>4</v>
      </c>
      <c r="CU230" s="4">
        <v>4</v>
      </c>
      <c r="CV230" s="4">
        <v>4</v>
      </c>
      <c r="CW230" s="4">
        <v>1</v>
      </c>
      <c r="CX230" s="4">
        <v>4</v>
      </c>
      <c r="CY230" s="4">
        <v>4</v>
      </c>
      <c r="CZ230" s="4">
        <v>1</v>
      </c>
      <c r="DA230" s="4">
        <v>4</v>
      </c>
      <c r="DB230" s="17">
        <v>4</v>
      </c>
      <c r="DC230" s="17">
        <v>4</v>
      </c>
      <c r="DD230" s="4">
        <v>1</v>
      </c>
      <c r="DE230" s="4">
        <v>4</v>
      </c>
      <c r="DF230" s="57">
        <v>4</v>
      </c>
      <c r="DG230" s="17">
        <v>4</v>
      </c>
      <c r="DH230" s="4">
        <v>1</v>
      </c>
      <c r="DI230" s="17">
        <v>4</v>
      </c>
      <c r="DJ230" s="17">
        <v>4</v>
      </c>
      <c r="DK230" s="4">
        <v>1</v>
      </c>
      <c r="DL230" s="4">
        <v>4</v>
      </c>
      <c r="DM230" s="4">
        <v>4</v>
      </c>
      <c r="DN230" s="4">
        <v>1</v>
      </c>
      <c r="DO230" s="4">
        <v>4</v>
      </c>
      <c r="DP230" s="4">
        <v>4</v>
      </c>
      <c r="DQ230" s="4">
        <v>1</v>
      </c>
      <c r="DR230" s="17">
        <v>4</v>
      </c>
      <c r="DS230" s="17">
        <v>4</v>
      </c>
      <c r="DT230" s="4">
        <v>1</v>
      </c>
    </row>
    <row r="231" spans="1:124" x14ac:dyDescent="0.2">
      <c r="A231" t="s">
        <v>649</v>
      </c>
      <c r="B231" s="1" t="s">
        <v>1432</v>
      </c>
      <c r="C231" s="1" t="s">
        <v>644</v>
      </c>
      <c r="E231" s="4">
        <v>1</v>
      </c>
      <c r="F231" s="4">
        <v>4</v>
      </c>
      <c r="G231" s="4">
        <v>4</v>
      </c>
      <c r="H231" s="4">
        <v>4</v>
      </c>
      <c r="I231" s="4">
        <v>1</v>
      </c>
      <c r="J231" s="4">
        <v>4</v>
      </c>
      <c r="K231" s="4">
        <v>4</v>
      </c>
      <c r="L231" s="4">
        <v>4</v>
      </c>
      <c r="M231" s="4">
        <v>4</v>
      </c>
      <c r="N231" s="4">
        <v>1</v>
      </c>
      <c r="O231" s="4">
        <v>4</v>
      </c>
      <c r="P231" s="4">
        <v>4</v>
      </c>
      <c r="Q231" s="4">
        <v>4</v>
      </c>
      <c r="R231" s="4">
        <v>4</v>
      </c>
      <c r="S231" s="4">
        <v>4</v>
      </c>
      <c r="T231" s="4">
        <v>4</v>
      </c>
      <c r="U231" s="4">
        <v>1</v>
      </c>
      <c r="V231" s="57">
        <v>4</v>
      </c>
      <c r="W231" s="4">
        <v>4</v>
      </c>
      <c r="X231" s="4">
        <v>4</v>
      </c>
      <c r="Y231" s="4">
        <v>1</v>
      </c>
      <c r="Z231" s="4">
        <v>4</v>
      </c>
      <c r="AA231" s="4">
        <v>4</v>
      </c>
      <c r="AB231" s="4">
        <v>4</v>
      </c>
      <c r="AC231" s="57">
        <v>4</v>
      </c>
      <c r="AD231" s="4">
        <v>4</v>
      </c>
      <c r="AE231" s="4">
        <v>4</v>
      </c>
      <c r="AF231" s="4">
        <v>4</v>
      </c>
      <c r="AG231" s="4">
        <v>4</v>
      </c>
      <c r="AH231" s="4">
        <v>4</v>
      </c>
      <c r="AI231" s="4">
        <v>4</v>
      </c>
      <c r="AJ231" s="4">
        <v>4</v>
      </c>
      <c r="AK231" s="4">
        <v>4</v>
      </c>
      <c r="AL231" s="4">
        <v>4</v>
      </c>
      <c r="AM231" s="4">
        <v>4</v>
      </c>
      <c r="AN231" s="4">
        <v>4</v>
      </c>
      <c r="AO231" s="4">
        <v>4</v>
      </c>
      <c r="AP231" s="4">
        <v>4</v>
      </c>
      <c r="AQ231" s="4">
        <v>4</v>
      </c>
      <c r="AR231" s="4">
        <v>4</v>
      </c>
      <c r="AS231" s="4">
        <v>4</v>
      </c>
      <c r="AT231" s="4">
        <v>4</v>
      </c>
      <c r="AU231" s="4">
        <v>4</v>
      </c>
      <c r="AV231" s="57">
        <v>4</v>
      </c>
      <c r="AW231" s="4">
        <v>4</v>
      </c>
      <c r="AX231" s="4">
        <v>4</v>
      </c>
      <c r="AY231" s="4">
        <v>4</v>
      </c>
      <c r="AZ231" s="4">
        <v>1</v>
      </c>
      <c r="BA231" s="57">
        <v>4</v>
      </c>
      <c r="BB231" s="57">
        <v>4</v>
      </c>
      <c r="BC231" s="4">
        <v>4</v>
      </c>
      <c r="BD231" s="4">
        <v>3</v>
      </c>
      <c r="BE231" s="4">
        <v>1</v>
      </c>
      <c r="BF231" s="4">
        <v>4</v>
      </c>
      <c r="BG231" s="4">
        <v>4</v>
      </c>
      <c r="BH231" s="4">
        <v>4</v>
      </c>
      <c r="BI231" s="4">
        <v>4</v>
      </c>
      <c r="BJ231" s="4">
        <v>4</v>
      </c>
      <c r="BK231" s="4">
        <v>4</v>
      </c>
      <c r="BL231" s="4">
        <v>4</v>
      </c>
      <c r="BM231" s="4">
        <v>4</v>
      </c>
      <c r="BN231" s="4">
        <v>4</v>
      </c>
      <c r="BO231" s="4">
        <v>4</v>
      </c>
      <c r="BP231" s="4">
        <v>4</v>
      </c>
      <c r="BQ231" s="4">
        <v>4</v>
      </c>
      <c r="BR231" s="4">
        <v>4</v>
      </c>
      <c r="BS231" s="4">
        <v>4</v>
      </c>
      <c r="BT231" s="4">
        <v>4</v>
      </c>
      <c r="BU231" s="4">
        <v>4</v>
      </c>
      <c r="BV231" s="4">
        <v>4</v>
      </c>
      <c r="BW231" s="4">
        <v>4</v>
      </c>
      <c r="BX231" s="4">
        <v>4</v>
      </c>
      <c r="BY231" s="4">
        <v>1</v>
      </c>
      <c r="BZ231" s="4">
        <v>4</v>
      </c>
      <c r="CA231" s="4">
        <v>1</v>
      </c>
      <c r="CB231" s="4">
        <v>4</v>
      </c>
      <c r="CC231" s="4">
        <v>4</v>
      </c>
      <c r="CD231" s="4">
        <v>4</v>
      </c>
      <c r="CE231" s="4">
        <v>1</v>
      </c>
      <c r="CF231" s="57">
        <v>4</v>
      </c>
      <c r="CG231" s="57">
        <v>4</v>
      </c>
      <c r="CH231" s="4">
        <v>4</v>
      </c>
      <c r="CI231" s="4">
        <v>4</v>
      </c>
      <c r="CJ231" s="4">
        <v>3</v>
      </c>
      <c r="CK231" s="4">
        <v>4</v>
      </c>
      <c r="CL231" s="4">
        <v>4</v>
      </c>
      <c r="CM231" s="4">
        <v>4</v>
      </c>
      <c r="CN231" s="57">
        <v>4</v>
      </c>
      <c r="CO231" s="4">
        <v>4</v>
      </c>
      <c r="CP231" s="4">
        <v>4</v>
      </c>
      <c r="CQ231" s="57">
        <v>4</v>
      </c>
      <c r="CR231" s="4">
        <v>4</v>
      </c>
      <c r="CS231" s="4">
        <v>4</v>
      </c>
      <c r="CT231" s="4">
        <v>4</v>
      </c>
      <c r="CU231" s="4">
        <v>4</v>
      </c>
      <c r="CV231" s="4">
        <v>4</v>
      </c>
      <c r="CW231" s="4">
        <v>1</v>
      </c>
      <c r="CX231" s="4">
        <v>4</v>
      </c>
      <c r="CY231" s="4">
        <v>4</v>
      </c>
      <c r="CZ231" s="4">
        <v>1</v>
      </c>
      <c r="DA231" s="4">
        <v>4</v>
      </c>
      <c r="DB231" s="17">
        <v>4</v>
      </c>
      <c r="DC231" s="17">
        <v>4</v>
      </c>
      <c r="DD231" s="4">
        <v>1</v>
      </c>
      <c r="DE231" s="4">
        <v>4</v>
      </c>
      <c r="DF231" s="57">
        <v>4</v>
      </c>
      <c r="DG231" s="17">
        <v>4</v>
      </c>
      <c r="DH231" s="4">
        <v>1</v>
      </c>
      <c r="DI231" s="17">
        <v>4</v>
      </c>
      <c r="DJ231" s="17">
        <v>4</v>
      </c>
      <c r="DK231" s="4">
        <v>1</v>
      </c>
      <c r="DL231" s="4">
        <v>4</v>
      </c>
      <c r="DM231" s="4">
        <v>4</v>
      </c>
      <c r="DN231" s="4">
        <v>1</v>
      </c>
      <c r="DO231" s="4">
        <v>4</v>
      </c>
      <c r="DP231" s="4">
        <v>4</v>
      </c>
      <c r="DQ231" s="4">
        <v>1</v>
      </c>
      <c r="DR231" s="17">
        <v>4</v>
      </c>
      <c r="DS231" s="17">
        <v>4</v>
      </c>
      <c r="DT231" s="4">
        <v>1</v>
      </c>
    </row>
    <row r="232" spans="1:124" x14ac:dyDescent="0.2">
      <c r="A232" t="s">
        <v>650</v>
      </c>
      <c r="B232" s="1" t="s">
        <v>1432</v>
      </c>
      <c r="C232" s="1" t="s">
        <v>644</v>
      </c>
      <c r="E232" s="4">
        <v>1</v>
      </c>
      <c r="F232" s="4">
        <v>4</v>
      </c>
      <c r="G232" s="4">
        <v>4</v>
      </c>
      <c r="H232" s="4">
        <v>4</v>
      </c>
      <c r="I232" s="4">
        <v>1</v>
      </c>
      <c r="J232" s="4">
        <v>4</v>
      </c>
      <c r="K232" s="4">
        <v>4</v>
      </c>
      <c r="L232" s="4">
        <v>4</v>
      </c>
      <c r="M232" s="4">
        <v>4</v>
      </c>
      <c r="N232" s="4">
        <v>1</v>
      </c>
      <c r="O232" s="4">
        <v>4</v>
      </c>
      <c r="P232" s="4">
        <v>4</v>
      </c>
      <c r="Q232" s="4">
        <v>4</v>
      </c>
      <c r="R232" s="4">
        <v>4</v>
      </c>
      <c r="S232" s="4">
        <v>4</v>
      </c>
      <c r="T232" s="4">
        <v>4</v>
      </c>
      <c r="U232" s="4">
        <v>1</v>
      </c>
      <c r="V232" s="57">
        <v>4</v>
      </c>
      <c r="W232" s="4">
        <v>4</v>
      </c>
      <c r="X232" s="4">
        <v>4</v>
      </c>
      <c r="Y232" s="4">
        <v>1</v>
      </c>
      <c r="Z232" s="4">
        <v>4</v>
      </c>
      <c r="AA232" s="4">
        <v>4</v>
      </c>
      <c r="AB232" s="4">
        <v>4</v>
      </c>
      <c r="AC232" s="57">
        <v>4</v>
      </c>
      <c r="AD232" s="4">
        <v>4</v>
      </c>
      <c r="AE232" s="4">
        <v>4</v>
      </c>
      <c r="AF232" s="4">
        <v>4</v>
      </c>
      <c r="AG232" s="4">
        <v>4</v>
      </c>
      <c r="AH232" s="4">
        <v>4</v>
      </c>
      <c r="AI232" s="4">
        <v>4</v>
      </c>
      <c r="AJ232" s="4">
        <v>4</v>
      </c>
      <c r="AK232" s="4">
        <v>4</v>
      </c>
      <c r="AL232" s="4">
        <v>4</v>
      </c>
      <c r="AM232" s="4">
        <v>4</v>
      </c>
      <c r="AN232" s="4">
        <v>4</v>
      </c>
      <c r="AO232" s="4">
        <v>4</v>
      </c>
      <c r="AP232" s="4">
        <v>4</v>
      </c>
      <c r="AQ232" s="4">
        <v>4</v>
      </c>
      <c r="AR232" s="4">
        <v>4</v>
      </c>
      <c r="AS232" s="4">
        <v>4</v>
      </c>
      <c r="AT232" s="4">
        <v>4</v>
      </c>
      <c r="AU232" s="4">
        <v>4</v>
      </c>
      <c r="AV232" s="57">
        <v>4</v>
      </c>
      <c r="AW232" s="4">
        <v>4</v>
      </c>
      <c r="AX232" s="4">
        <v>4</v>
      </c>
      <c r="AY232" s="4">
        <v>4</v>
      </c>
      <c r="AZ232" s="4">
        <v>1</v>
      </c>
      <c r="BA232" s="57">
        <v>4</v>
      </c>
      <c r="BB232" s="57">
        <v>4</v>
      </c>
      <c r="BC232" s="4">
        <v>4</v>
      </c>
      <c r="BD232" s="4">
        <v>3</v>
      </c>
      <c r="BE232" s="4">
        <v>1</v>
      </c>
      <c r="BF232" s="4">
        <v>4</v>
      </c>
      <c r="BG232" s="4">
        <v>4</v>
      </c>
      <c r="BH232" s="4">
        <v>4</v>
      </c>
      <c r="BI232" s="4">
        <v>4</v>
      </c>
      <c r="BJ232" s="4">
        <v>4</v>
      </c>
      <c r="BK232" s="4">
        <v>4</v>
      </c>
      <c r="BL232" s="4">
        <v>4</v>
      </c>
      <c r="BM232" s="4">
        <v>4</v>
      </c>
      <c r="BN232" s="4">
        <v>4</v>
      </c>
      <c r="BO232" s="4">
        <v>4</v>
      </c>
      <c r="BP232" s="4">
        <v>4</v>
      </c>
      <c r="BQ232" s="4">
        <v>4</v>
      </c>
      <c r="BR232" s="4">
        <v>4</v>
      </c>
      <c r="BS232" s="4">
        <v>4</v>
      </c>
      <c r="BT232" s="4">
        <v>4</v>
      </c>
      <c r="BU232" s="4">
        <v>4</v>
      </c>
      <c r="BV232" s="4">
        <v>4</v>
      </c>
      <c r="BW232" s="4">
        <v>4</v>
      </c>
      <c r="BX232" s="4">
        <v>4</v>
      </c>
      <c r="BY232" s="4">
        <v>3</v>
      </c>
      <c r="BZ232" s="4">
        <v>4</v>
      </c>
      <c r="CA232" s="4">
        <v>1</v>
      </c>
      <c r="CB232" s="4">
        <v>4</v>
      </c>
      <c r="CC232" s="4">
        <v>4</v>
      </c>
      <c r="CD232" s="4">
        <v>4</v>
      </c>
      <c r="CE232" s="4">
        <v>3</v>
      </c>
      <c r="CF232" s="57">
        <v>4</v>
      </c>
      <c r="CG232" s="57">
        <v>4</v>
      </c>
      <c r="CH232" s="4">
        <v>4</v>
      </c>
      <c r="CI232" s="4">
        <v>4</v>
      </c>
      <c r="CJ232" s="4">
        <v>1</v>
      </c>
      <c r="CK232" s="4">
        <v>4</v>
      </c>
      <c r="CL232" s="4">
        <v>4</v>
      </c>
      <c r="CM232" s="4">
        <v>4</v>
      </c>
      <c r="CN232" s="57">
        <v>4</v>
      </c>
      <c r="CO232" s="4">
        <v>4</v>
      </c>
      <c r="CP232" s="4">
        <v>4</v>
      </c>
      <c r="CQ232" s="57">
        <v>4</v>
      </c>
      <c r="CR232" s="4">
        <v>4</v>
      </c>
      <c r="CS232" s="4">
        <v>4</v>
      </c>
      <c r="CT232" s="4">
        <v>4</v>
      </c>
      <c r="CU232" s="4">
        <v>4</v>
      </c>
      <c r="CV232" s="4">
        <v>4</v>
      </c>
      <c r="CW232" s="4">
        <v>1</v>
      </c>
      <c r="CX232" s="4">
        <v>4</v>
      </c>
      <c r="CY232" s="4">
        <v>4</v>
      </c>
      <c r="CZ232" s="4">
        <v>1</v>
      </c>
      <c r="DA232" s="4">
        <v>4</v>
      </c>
      <c r="DB232" s="17">
        <v>4</v>
      </c>
      <c r="DC232" s="17">
        <v>4</v>
      </c>
      <c r="DD232" s="4">
        <v>3</v>
      </c>
      <c r="DE232" s="4">
        <v>4</v>
      </c>
      <c r="DF232" s="57">
        <v>4</v>
      </c>
      <c r="DG232" s="17">
        <v>4</v>
      </c>
      <c r="DH232" s="4">
        <v>1</v>
      </c>
      <c r="DI232" s="17">
        <v>4</v>
      </c>
      <c r="DJ232" s="17">
        <v>4</v>
      </c>
      <c r="DK232" s="4">
        <v>1</v>
      </c>
      <c r="DL232" s="4">
        <v>4</v>
      </c>
      <c r="DM232" s="4">
        <v>4</v>
      </c>
      <c r="DN232" s="4">
        <v>1</v>
      </c>
      <c r="DO232" s="4">
        <v>4</v>
      </c>
      <c r="DP232" s="4">
        <v>4</v>
      </c>
      <c r="DQ232" s="4">
        <v>1</v>
      </c>
      <c r="DR232" s="17">
        <v>4</v>
      </c>
      <c r="DS232" s="17">
        <v>4</v>
      </c>
      <c r="DT232" s="4">
        <v>1</v>
      </c>
    </row>
    <row r="233" spans="1:124" x14ac:dyDescent="0.2">
      <c r="A233" t="s">
        <v>1434</v>
      </c>
      <c r="B233" s="1" t="s">
        <v>1432</v>
      </c>
      <c r="C233" s="1" t="s">
        <v>644</v>
      </c>
      <c r="E233" s="4">
        <v>1</v>
      </c>
      <c r="F233" s="4">
        <v>4</v>
      </c>
      <c r="G233" s="4">
        <v>4</v>
      </c>
      <c r="H233" s="4">
        <v>4</v>
      </c>
      <c r="I233" s="4">
        <v>1</v>
      </c>
      <c r="J233" s="4">
        <v>4</v>
      </c>
      <c r="K233" s="4">
        <v>4</v>
      </c>
      <c r="L233" s="4">
        <v>4</v>
      </c>
      <c r="M233" s="4">
        <v>4</v>
      </c>
      <c r="N233" s="4">
        <v>1</v>
      </c>
      <c r="O233" s="4">
        <v>4</v>
      </c>
      <c r="P233" s="4">
        <v>4</v>
      </c>
      <c r="Q233" s="4">
        <v>4</v>
      </c>
      <c r="R233" s="4">
        <v>4</v>
      </c>
      <c r="S233" s="4">
        <v>4</v>
      </c>
      <c r="T233" s="4">
        <v>4</v>
      </c>
      <c r="U233" s="4">
        <v>2</v>
      </c>
      <c r="V233" s="57">
        <v>4</v>
      </c>
      <c r="W233" s="4">
        <v>4</v>
      </c>
      <c r="X233" s="4">
        <v>4</v>
      </c>
      <c r="Y233" s="4">
        <v>1</v>
      </c>
      <c r="Z233" s="4">
        <v>4</v>
      </c>
      <c r="AA233" s="4">
        <v>4</v>
      </c>
      <c r="AB233" s="4">
        <v>4</v>
      </c>
      <c r="AC233" s="57">
        <v>4</v>
      </c>
      <c r="AD233" s="4">
        <v>4</v>
      </c>
      <c r="AE233" s="4">
        <v>4</v>
      </c>
      <c r="AF233" s="4">
        <v>4</v>
      </c>
      <c r="AG233" s="4">
        <v>4</v>
      </c>
      <c r="AH233" s="4">
        <v>4</v>
      </c>
      <c r="AI233" s="4">
        <v>4</v>
      </c>
      <c r="AJ233" s="4">
        <v>4</v>
      </c>
      <c r="AK233" s="4">
        <v>4</v>
      </c>
      <c r="AL233" s="4">
        <v>4</v>
      </c>
      <c r="AM233" s="4">
        <v>4</v>
      </c>
      <c r="AN233" s="4">
        <v>4</v>
      </c>
      <c r="AO233" s="4">
        <v>4</v>
      </c>
      <c r="AP233" s="4">
        <v>4</v>
      </c>
      <c r="AQ233" s="4">
        <v>4</v>
      </c>
      <c r="AR233" s="4">
        <v>4</v>
      </c>
      <c r="AS233" s="4">
        <v>4</v>
      </c>
      <c r="AT233" s="4">
        <v>4</v>
      </c>
      <c r="AU233" s="4">
        <v>4</v>
      </c>
      <c r="AV233" s="57">
        <v>4</v>
      </c>
      <c r="AW233" s="4">
        <v>4</v>
      </c>
      <c r="AX233" s="4">
        <v>4</v>
      </c>
      <c r="AY233" s="4">
        <v>4</v>
      </c>
      <c r="AZ233" s="4">
        <v>4</v>
      </c>
      <c r="BA233" s="57">
        <v>4</v>
      </c>
      <c r="BB233" s="57">
        <v>4</v>
      </c>
      <c r="BC233" s="4">
        <v>4</v>
      </c>
      <c r="BD233" s="4">
        <v>3</v>
      </c>
      <c r="BE233" s="4">
        <v>1</v>
      </c>
      <c r="BF233" s="4">
        <v>4</v>
      </c>
      <c r="BG233" s="4">
        <v>4</v>
      </c>
      <c r="BH233" s="4">
        <v>4</v>
      </c>
      <c r="BI233" s="4">
        <v>4</v>
      </c>
      <c r="BJ233" s="4">
        <v>4</v>
      </c>
      <c r="BK233" s="4">
        <v>4</v>
      </c>
      <c r="BL233" s="4">
        <v>4</v>
      </c>
      <c r="BM233" s="4">
        <v>4</v>
      </c>
      <c r="BN233" s="4">
        <v>4</v>
      </c>
      <c r="BO233" s="4">
        <v>4</v>
      </c>
      <c r="BP233" s="4">
        <v>4</v>
      </c>
      <c r="BQ233" s="4">
        <v>4</v>
      </c>
      <c r="BR233" s="4">
        <v>4</v>
      </c>
      <c r="BS233" s="4">
        <v>4</v>
      </c>
      <c r="BT233" s="4">
        <v>4</v>
      </c>
      <c r="BU233" s="4">
        <v>4</v>
      </c>
      <c r="BV233" s="4">
        <v>4</v>
      </c>
      <c r="BW233" s="4">
        <v>4</v>
      </c>
      <c r="BX233" s="4">
        <v>4</v>
      </c>
      <c r="BY233" s="4">
        <v>1</v>
      </c>
      <c r="BZ233" s="4">
        <v>4</v>
      </c>
      <c r="CA233" s="4">
        <v>1</v>
      </c>
      <c r="CB233" s="4">
        <v>1</v>
      </c>
      <c r="CC233" s="4">
        <v>4</v>
      </c>
      <c r="CD233" s="4">
        <v>4</v>
      </c>
      <c r="CE233" s="4">
        <v>1</v>
      </c>
      <c r="CF233" s="57">
        <v>4</v>
      </c>
      <c r="CG233" s="57">
        <v>4</v>
      </c>
      <c r="CH233" s="4">
        <v>4</v>
      </c>
      <c r="CI233" s="4">
        <v>4</v>
      </c>
      <c r="CJ233" s="4">
        <v>4</v>
      </c>
      <c r="CK233" s="4">
        <v>4</v>
      </c>
      <c r="CL233" s="4">
        <v>4</v>
      </c>
      <c r="CM233" s="4">
        <v>4</v>
      </c>
      <c r="CN233" s="57">
        <v>4</v>
      </c>
      <c r="CO233" s="4">
        <v>4</v>
      </c>
      <c r="CP233" s="4">
        <v>4</v>
      </c>
      <c r="CQ233" s="57">
        <v>4</v>
      </c>
      <c r="CR233" s="4">
        <v>4</v>
      </c>
      <c r="CS233" s="4">
        <v>4</v>
      </c>
      <c r="CT233" s="4">
        <v>4</v>
      </c>
      <c r="CU233" s="4">
        <v>4</v>
      </c>
      <c r="CV233" s="4">
        <v>4</v>
      </c>
      <c r="CW233" s="4">
        <v>1</v>
      </c>
      <c r="CX233" s="4">
        <v>4</v>
      </c>
      <c r="CY233" s="4">
        <v>4</v>
      </c>
      <c r="CZ233" s="4">
        <v>1</v>
      </c>
      <c r="DA233" s="4">
        <v>4</v>
      </c>
      <c r="DB233" s="17">
        <v>4</v>
      </c>
      <c r="DC233" s="17">
        <v>4</v>
      </c>
      <c r="DD233" s="4">
        <v>1</v>
      </c>
      <c r="DE233" s="4">
        <v>4</v>
      </c>
      <c r="DF233" s="57">
        <v>4</v>
      </c>
      <c r="DG233" s="17">
        <v>4</v>
      </c>
      <c r="DH233" s="4">
        <v>1</v>
      </c>
      <c r="DI233" s="17">
        <v>4</v>
      </c>
      <c r="DJ233" s="17">
        <v>4</v>
      </c>
      <c r="DK233" s="4">
        <v>1</v>
      </c>
      <c r="DL233" s="4">
        <v>4</v>
      </c>
      <c r="DM233" s="4">
        <v>4</v>
      </c>
      <c r="DN233" s="4">
        <v>1</v>
      </c>
      <c r="DO233" s="4">
        <v>4</v>
      </c>
      <c r="DP233" s="4">
        <v>4</v>
      </c>
      <c r="DQ233" s="4">
        <v>1</v>
      </c>
      <c r="DR233" s="17">
        <v>4</v>
      </c>
      <c r="DS233" s="17">
        <v>4</v>
      </c>
      <c r="DT233" s="4">
        <v>1</v>
      </c>
    </row>
    <row r="234" spans="1:124" x14ac:dyDescent="0.2">
      <c r="A234" t="s">
        <v>660</v>
      </c>
      <c r="B234" s="1" t="s">
        <v>1432</v>
      </c>
      <c r="C234" s="1" t="s">
        <v>661</v>
      </c>
      <c r="E234" s="4">
        <v>1</v>
      </c>
      <c r="F234" s="4">
        <v>4</v>
      </c>
      <c r="G234" s="4">
        <v>4</v>
      </c>
      <c r="H234" s="4">
        <v>4</v>
      </c>
      <c r="I234" s="4">
        <v>1</v>
      </c>
      <c r="J234" s="4">
        <v>4</v>
      </c>
      <c r="K234" s="4">
        <v>4</v>
      </c>
      <c r="L234" s="4">
        <v>4</v>
      </c>
      <c r="M234" s="4">
        <v>4</v>
      </c>
      <c r="N234" s="4">
        <v>1</v>
      </c>
      <c r="O234" s="4">
        <v>4</v>
      </c>
      <c r="P234" s="4">
        <v>4</v>
      </c>
      <c r="Q234" s="4">
        <v>4</v>
      </c>
      <c r="R234" s="4">
        <v>2</v>
      </c>
      <c r="S234" s="4">
        <v>4</v>
      </c>
      <c r="T234" s="4">
        <v>4</v>
      </c>
      <c r="U234" s="4">
        <v>1</v>
      </c>
      <c r="V234" s="57">
        <v>4</v>
      </c>
      <c r="W234" s="4">
        <v>4</v>
      </c>
      <c r="X234" s="4">
        <v>4</v>
      </c>
      <c r="Y234" s="4">
        <v>1</v>
      </c>
      <c r="Z234" s="4">
        <v>4</v>
      </c>
      <c r="AA234" s="4">
        <v>4</v>
      </c>
      <c r="AB234" s="4">
        <v>4</v>
      </c>
      <c r="AC234" s="57">
        <v>4</v>
      </c>
      <c r="AD234" s="4">
        <v>4</v>
      </c>
      <c r="AE234" s="4">
        <v>4</v>
      </c>
      <c r="AF234" s="4">
        <v>4</v>
      </c>
      <c r="AG234" s="4">
        <v>4</v>
      </c>
      <c r="AH234" s="4">
        <v>4</v>
      </c>
      <c r="AI234" s="4">
        <v>4</v>
      </c>
      <c r="AJ234" s="4">
        <v>4</v>
      </c>
      <c r="AK234" s="4">
        <v>4</v>
      </c>
      <c r="AL234" s="4">
        <v>4</v>
      </c>
      <c r="AM234" s="4">
        <v>4</v>
      </c>
      <c r="AN234" s="4">
        <v>4</v>
      </c>
      <c r="AO234" s="4">
        <v>4</v>
      </c>
      <c r="AP234" s="4">
        <v>4</v>
      </c>
      <c r="AQ234" s="4">
        <v>4</v>
      </c>
      <c r="AR234" s="4">
        <v>4</v>
      </c>
      <c r="AS234" s="4">
        <v>4</v>
      </c>
      <c r="AT234" s="4">
        <v>4</v>
      </c>
      <c r="AU234" s="4">
        <v>4</v>
      </c>
      <c r="AV234" s="57">
        <v>4</v>
      </c>
      <c r="AW234" s="4">
        <v>4</v>
      </c>
      <c r="AX234" s="4">
        <v>4</v>
      </c>
      <c r="AY234" s="4">
        <v>4</v>
      </c>
      <c r="AZ234" s="4">
        <v>1</v>
      </c>
      <c r="BA234" s="57">
        <v>4</v>
      </c>
      <c r="BB234" s="57">
        <v>4</v>
      </c>
      <c r="BC234" s="4">
        <v>4</v>
      </c>
      <c r="BD234" s="4">
        <v>3</v>
      </c>
      <c r="BE234" s="4">
        <v>1</v>
      </c>
      <c r="BF234" s="4">
        <v>4</v>
      </c>
      <c r="BG234" s="4">
        <v>4</v>
      </c>
      <c r="BH234" s="4">
        <v>4</v>
      </c>
      <c r="BI234" s="4">
        <v>4</v>
      </c>
      <c r="BJ234" s="4">
        <v>4</v>
      </c>
      <c r="BK234" s="4">
        <v>4</v>
      </c>
      <c r="BL234" s="4">
        <v>4</v>
      </c>
      <c r="BM234" s="4">
        <v>4</v>
      </c>
      <c r="BN234" s="4">
        <v>4</v>
      </c>
      <c r="BO234" s="4">
        <v>4</v>
      </c>
      <c r="BP234" s="4">
        <v>4</v>
      </c>
      <c r="BQ234" s="4">
        <v>4</v>
      </c>
      <c r="BR234" s="4">
        <v>4</v>
      </c>
      <c r="BS234" s="4">
        <v>4</v>
      </c>
      <c r="BT234" s="4">
        <v>4</v>
      </c>
      <c r="BU234" s="4">
        <v>4</v>
      </c>
      <c r="BV234" s="4">
        <v>4</v>
      </c>
      <c r="BW234" s="4">
        <v>4</v>
      </c>
      <c r="BX234" s="4">
        <v>4</v>
      </c>
      <c r="BY234" s="4">
        <v>1</v>
      </c>
      <c r="BZ234" s="4">
        <v>4</v>
      </c>
      <c r="CA234" s="4">
        <v>1</v>
      </c>
      <c r="CB234" s="4">
        <v>2</v>
      </c>
      <c r="CC234" s="4">
        <v>4</v>
      </c>
      <c r="CD234" s="4">
        <v>4</v>
      </c>
      <c r="CE234" s="4">
        <v>1</v>
      </c>
      <c r="CF234" s="57">
        <v>4</v>
      </c>
      <c r="CG234" s="57">
        <v>4</v>
      </c>
      <c r="CH234" s="4">
        <v>4</v>
      </c>
      <c r="CI234" s="4">
        <v>4</v>
      </c>
      <c r="CJ234" s="4">
        <v>1</v>
      </c>
      <c r="CK234" s="4">
        <v>4</v>
      </c>
      <c r="CL234" s="4">
        <v>4</v>
      </c>
      <c r="CM234" s="4">
        <v>4</v>
      </c>
      <c r="CN234" s="57">
        <v>4</v>
      </c>
      <c r="CO234" s="4">
        <v>4</v>
      </c>
      <c r="CP234" s="4">
        <v>4</v>
      </c>
      <c r="CQ234" s="57">
        <v>4</v>
      </c>
      <c r="CR234" s="4">
        <v>4</v>
      </c>
      <c r="CS234" s="4">
        <v>4</v>
      </c>
      <c r="CT234" s="4">
        <v>4</v>
      </c>
      <c r="CU234" s="4">
        <v>4</v>
      </c>
      <c r="CV234" s="4">
        <v>4</v>
      </c>
      <c r="CW234" s="4">
        <v>1</v>
      </c>
      <c r="CX234" s="4">
        <v>4</v>
      </c>
      <c r="CY234" s="4">
        <v>4</v>
      </c>
      <c r="CZ234" s="4">
        <v>1</v>
      </c>
      <c r="DA234" s="4">
        <v>4</v>
      </c>
      <c r="DB234" s="17">
        <v>4</v>
      </c>
      <c r="DC234" s="17">
        <v>4</v>
      </c>
      <c r="DD234" s="4">
        <v>1</v>
      </c>
      <c r="DE234" s="4">
        <v>4</v>
      </c>
      <c r="DF234" s="57">
        <v>4</v>
      </c>
      <c r="DG234" s="17">
        <v>4</v>
      </c>
      <c r="DH234" s="4">
        <v>1</v>
      </c>
      <c r="DI234" s="17">
        <v>4</v>
      </c>
      <c r="DJ234" s="17">
        <v>4</v>
      </c>
      <c r="DK234" s="4">
        <v>1</v>
      </c>
      <c r="DL234" s="4">
        <v>4</v>
      </c>
      <c r="DM234" s="4">
        <v>4</v>
      </c>
      <c r="DN234" s="4">
        <v>1</v>
      </c>
      <c r="DO234" s="4">
        <v>4</v>
      </c>
      <c r="DP234" s="4">
        <v>4</v>
      </c>
      <c r="DQ234" s="4">
        <v>1</v>
      </c>
      <c r="DR234" s="17">
        <v>4</v>
      </c>
      <c r="DS234" s="17">
        <v>4</v>
      </c>
      <c r="DT234" s="4">
        <v>1</v>
      </c>
    </row>
  </sheetData>
  <conditionalFormatting sqref="AD55:AE55 AI55 AL55:AM57 AO55:BB57 BE55:BP59 CO55:DT234 AD56:AI62 AL58:BB59 AL60:BP72 AD63:AJ64 AD65:AI69 AD70:AJ72 AD73:BP234">
    <cfRule type="expression" dxfId="7" priority="1" stopIfTrue="1">
      <formula>AD55:ER234=1</formula>
    </cfRule>
    <cfRule type="expression" dxfId="6" priority="2" stopIfTrue="1">
      <formula>AD55:ER234=3</formula>
    </cfRule>
    <cfRule type="expression" dxfId="5" priority="3" stopIfTrue="1">
      <formula>AD55:ER234=4</formula>
    </cfRule>
    <cfRule type="expression" dxfId="4" priority="4" stopIfTrue="1">
      <formula>AD55:ER234=2</formula>
    </cfRule>
  </conditionalFormatting>
  <conditionalFormatting sqref="BQ55:BR55 BY55:CM56 E55:R59 U55:AB59 BQ56:BV56 BQ57:CM57 BY58:CM59 BQ58:BR64 BW60:CM61 E60:AB234 BY62:CM70 BQ65:BV66 BQ67:BR70 BQ71:CM234">
    <cfRule type="expression" dxfId="3" priority="5" stopIfTrue="1">
      <formula>E55:DT234=1</formula>
    </cfRule>
    <cfRule type="expression" dxfId="2" priority="6" stopIfTrue="1">
      <formula>E55:DT234=3</formula>
    </cfRule>
    <cfRule type="expression" dxfId="1" priority="7" stopIfTrue="1">
      <formula>E55:DT234=4</formula>
    </cfRule>
    <cfRule type="expression" dxfId="0" priority="8" stopIfTrue="1">
      <formula>E55:DT234=2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2B628-08DF-AB4B-AAE5-280C2B10B640}">
  <sheetPr codeName="Sheet3"/>
  <dimension ref="A1:NU117"/>
  <sheetViews>
    <sheetView zoomScale="125" zoomScaleNormal="110" workbookViewId="0">
      <pane xSplit="5" ySplit="3" topLeftCell="F4" activePane="bottomRight" state="frozen"/>
      <selection pane="topRight" activeCell="C1" sqref="C1"/>
      <selection pane="bottomLeft" activeCell="A4" sqref="A4"/>
      <selection pane="bottomRight" activeCell="IQ9" sqref="IQ9"/>
    </sheetView>
  </sheetViews>
  <sheetFormatPr baseColWidth="10" defaultRowHeight="16" x14ac:dyDescent="0.2"/>
  <cols>
    <col min="1" max="1" width="39.83203125" bestFit="1" customWidth="1"/>
    <col min="2" max="2" width="14.6640625" customWidth="1"/>
    <col min="3" max="3" width="8.1640625" bestFit="1" customWidth="1"/>
    <col min="4" max="4" width="16.6640625" style="38" customWidth="1"/>
    <col min="5" max="5" width="19.1640625" customWidth="1"/>
    <col min="6" max="6" width="12" customWidth="1"/>
    <col min="8" max="8" width="13.1640625" customWidth="1"/>
    <col min="10" max="10" width="13.6640625" customWidth="1"/>
    <col min="14" max="14" width="15.1640625" customWidth="1"/>
    <col min="18" max="18" width="11.6640625" customWidth="1"/>
    <col min="20" max="20" width="12" customWidth="1"/>
    <col min="22" max="22" width="13.33203125" customWidth="1"/>
    <col min="36" max="36" width="21.33203125" bestFit="1" customWidth="1"/>
    <col min="38" max="38" width="16.33203125" bestFit="1" customWidth="1"/>
    <col min="40" max="40" width="16.33203125" bestFit="1" customWidth="1"/>
    <col min="42" max="42" width="15.5" bestFit="1" customWidth="1"/>
    <col min="46" max="46" width="21.33203125" bestFit="1" customWidth="1"/>
    <col min="52" max="52" width="12.5" bestFit="1" customWidth="1"/>
    <col min="58" max="58" width="12.83203125" bestFit="1" customWidth="1"/>
    <col min="60" max="60" width="13.83203125" bestFit="1" customWidth="1"/>
    <col min="62" max="62" width="13.83203125" bestFit="1" customWidth="1"/>
    <col min="66" max="66" width="19.5" bestFit="1" customWidth="1"/>
    <col min="68" max="68" width="19.5" bestFit="1" customWidth="1"/>
    <col min="72" max="73" width="10.83203125" style="4"/>
    <col min="74" max="77" width="10.83203125" style="1"/>
    <col min="78" max="78" width="11.83203125" customWidth="1"/>
    <col min="79" max="83" width="11.1640625" bestFit="1" customWidth="1"/>
    <col min="84" max="84" width="12.1640625" bestFit="1" customWidth="1"/>
    <col min="85" max="87" width="11.1640625" bestFit="1" customWidth="1"/>
    <col min="88" max="88" width="14" bestFit="1" customWidth="1"/>
    <col min="89" max="89" width="11.1640625" customWidth="1"/>
    <col min="90" max="90" width="11.1640625" bestFit="1" customWidth="1"/>
    <col min="91" max="91" width="12.33203125" bestFit="1" customWidth="1"/>
    <col min="92" max="92" width="12.1640625" bestFit="1" customWidth="1"/>
    <col min="93" max="93" width="11.1640625" bestFit="1" customWidth="1"/>
    <col min="94" max="94" width="12.1640625" bestFit="1" customWidth="1"/>
    <col min="95" max="95" width="11.1640625" bestFit="1" customWidth="1"/>
    <col min="96" max="96" width="12.6640625" customWidth="1"/>
    <col min="97" max="99" width="11.1640625" bestFit="1" customWidth="1"/>
    <col min="100" max="100" width="12.1640625" bestFit="1" customWidth="1"/>
    <col min="101" max="101" width="11.1640625" bestFit="1" customWidth="1"/>
    <col min="102" max="102" width="11.6640625" bestFit="1" customWidth="1"/>
    <col min="103" max="105" width="11.1640625" bestFit="1" customWidth="1"/>
    <col min="106" max="106" width="11.5" bestFit="1" customWidth="1"/>
    <col min="107" max="107" width="11.1640625" bestFit="1" customWidth="1"/>
    <col min="108" max="111" width="11.1640625" customWidth="1"/>
    <col min="114" max="114" width="11" bestFit="1" customWidth="1"/>
    <col min="117" max="117" width="10.83203125" style="1"/>
    <col min="148" max="148" width="11.83203125" bestFit="1" customWidth="1"/>
    <col min="149" max="149" width="10.6640625" customWidth="1"/>
    <col min="150" max="150" width="11.83203125" bestFit="1" customWidth="1"/>
    <col min="152" max="152" width="11.83203125" bestFit="1" customWidth="1"/>
    <col min="154" max="154" width="11.83203125" bestFit="1" customWidth="1"/>
    <col min="156" max="156" width="13" bestFit="1" customWidth="1"/>
    <col min="158" max="158" width="13" bestFit="1" customWidth="1"/>
    <col min="160" max="160" width="13" bestFit="1" customWidth="1"/>
    <col min="162" max="162" width="13" bestFit="1" customWidth="1"/>
    <col min="164" max="164" width="13" bestFit="1" customWidth="1"/>
    <col min="166" max="166" width="13" bestFit="1" customWidth="1"/>
    <col min="168" max="168" width="13" bestFit="1" customWidth="1"/>
    <col min="170" max="170" width="13" bestFit="1" customWidth="1"/>
    <col min="172" max="172" width="13" bestFit="1" customWidth="1"/>
    <col min="174" max="174" width="13" bestFit="1" customWidth="1"/>
    <col min="176" max="176" width="18.6640625" bestFit="1" customWidth="1"/>
    <col min="178" max="178" width="18.6640625" bestFit="1" customWidth="1"/>
    <col min="180" max="180" width="15.1640625" bestFit="1" customWidth="1"/>
    <col min="182" max="182" width="18.6640625" bestFit="1" customWidth="1"/>
    <col min="184" max="184" width="18.6640625" bestFit="1" customWidth="1"/>
    <col min="186" max="186" width="18.6640625" bestFit="1" customWidth="1"/>
    <col min="188" max="188" width="14.6640625" bestFit="1" customWidth="1"/>
    <col min="190" max="190" width="13.6640625" bestFit="1" customWidth="1"/>
    <col min="192" max="192" width="14.6640625" bestFit="1" customWidth="1"/>
    <col min="194" max="194" width="15.6640625" bestFit="1" customWidth="1"/>
    <col min="196" max="196" width="14.6640625" bestFit="1" customWidth="1"/>
    <col min="198" max="198" width="11.83203125" bestFit="1" customWidth="1"/>
    <col min="204" max="204" width="14.5" bestFit="1" customWidth="1"/>
    <col min="284" max="284" width="11.83203125" bestFit="1" customWidth="1"/>
    <col min="285" max="285" width="11.1640625" bestFit="1" customWidth="1"/>
    <col min="286" max="286" width="11.83203125" bestFit="1" customWidth="1"/>
    <col min="287" max="287" width="11.1640625" bestFit="1" customWidth="1"/>
    <col min="288" max="289" width="11.83203125" bestFit="1" customWidth="1"/>
    <col min="290" max="290" width="12" bestFit="1" customWidth="1"/>
    <col min="291" max="291" width="11.83203125" bestFit="1" customWidth="1"/>
    <col min="292" max="292" width="12.83203125" bestFit="1" customWidth="1"/>
    <col min="293" max="293" width="11.83203125" bestFit="1" customWidth="1"/>
    <col min="314" max="314" width="12.1640625" bestFit="1" customWidth="1"/>
    <col min="315" max="315" width="11.1640625" bestFit="1" customWidth="1"/>
    <col min="316" max="321" width="11.1640625" customWidth="1"/>
    <col min="322" max="322" width="13.1640625" bestFit="1" customWidth="1"/>
    <col min="323" max="323" width="11.1640625" customWidth="1"/>
    <col min="324" max="324" width="14.83203125" bestFit="1" customWidth="1"/>
    <col min="325" max="325" width="11.83203125" bestFit="1" customWidth="1"/>
    <col min="326" max="326" width="12.5" bestFit="1" customWidth="1"/>
    <col min="327" max="327" width="11.1640625" customWidth="1"/>
    <col min="328" max="328" width="13.5" bestFit="1" customWidth="1"/>
    <col min="329" max="329" width="11.1640625" customWidth="1"/>
    <col min="330" max="330" width="13.5" bestFit="1" customWidth="1"/>
    <col min="331" max="331" width="11.1640625" customWidth="1"/>
    <col min="332" max="332" width="13.5" bestFit="1" customWidth="1"/>
    <col min="333" max="341" width="11.1640625" customWidth="1"/>
    <col min="342" max="342" width="13.83203125" style="4" bestFit="1" customWidth="1"/>
    <col min="343" max="343" width="10.83203125" style="4"/>
    <col min="366" max="366" width="12.1640625" bestFit="1" customWidth="1"/>
    <col min="368" max="368" width="12.1640625" bestFit="1" customWidth="1"/>
    <col min="370" max="370" width="12.1640625" bestFit="1" customWidth="1"/>
    <col min="372" max="372" width="12.1640625" bestFit="1" customWidth="1"/>
    <col min="374" max="374" width="12.6640625" bestFit="1" customWidth="1"/>
    <col min="376" max="376" width="12.1640625" bestFit="1" customWidth="1"/>
    <col min="379" max="379" width="13.6640625" customWidth="1"/>
    <col min="380" max="380" width="13.1640625" bestFit="1" customWidth="1"/>
    <col min="382" max="382" width="13.5" bestFit="1" customWidth="1"/>
    <col min="384" max="384" width="13.5" bestFit="1" customWidth="1"/>
  </cols>
  <sheetData>
    <row r="1" spans="1:385" ht="16" customHeight="1" x14ac:dyDescent="0.2">
      <c r="A1" s="108" t="s">
        <v>0</v>
      </c>
      <c r="B1" s="113" t="s">
        <v>1036</v>
      </c>
      <c r="C1" s="109" t="s">
        <v>851</v>
      </c>
      <c r="D1" s="114" t="s">
        <v>1057</v>
      </c>
      <c r="E1" s="109" t="s">
        <v>95</v>
      </c>
      <c r="F1" s="110" t="s">
        <v>51</v>
      </c>
      <c r="G1" s="111"/>
      <c r="H1" s="111"/>
      <c r="I1" s="112"/>
      <c r="J1" s="110" t="s">
        <v>52</v>
      </c>
      <c r="K1" s="111"/>
      <c r="L1" s="111"/>
      <c r="M1" s="111"/>
      <c r="N1" s="111"/>
      <c r="O1" s="112"/>
      <c r="P1" s="111" t="s">
        <v>1247</v>
      </c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2"/>
      <c r="AF1" s="110" t="s">
        <v>149</v>
      </c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111"/>
      <c r="AY1" s="111"/>
      <c r="AZ1" s="111"/>
      <c r="BA1" s="111"/>
      <c r="BB1" s="111"/>
      <c r="BC1" s="111"/>
      <c r="BD1" s="111"/>
      <c r="BE1" s="111"/>
      <c r="BF1" s="111"/>
      <c r="BG1" s="111"/>
      <c r="BH1" s="111"/>
      <c r="BI1" s="111"/>
      <c r="BJ1" s="111"/>
      <c r="BK1" s="111"/>
      <c r="BL1" s="111"/>
      <c r="BM1" s="111"/>
      <c r="BN1" s="111"/>
      <c r="BO1" s="111"/>
      <c r="BP1" s="111"/>
      <c r="BQ1" s="111"/>
      <c r="BR1" s="110" t="s">
        <v>1262</v>
      </c>
      <c r="BS1" s="111"/>
      <c r="BT1" s="111"/>
      <c r="BU1" s="111"/>
      <c r="BV1" s="111"/>
      <c r="BW1" s="111"/>
      <c r="BX1" s="111"/>
      <c r="BY1" s="112"/>
      <c r="BZ1" s="110" t="s">
        <v>1227</v>
      </c>
      <c r="CA1" s="111"/>
      <c r="CB1" s="111"/>
      <c r="CC1" s="111"/>
      <c r="CD1" s="111"/>
      <c r="CE1" s="111"/>
      <c r="CF1" s="111"/>
      <c r="CG1" s="111"/>
      <c r="CH1" s="111"/>
      <c r="CI1" s="111"/>
      <c r="CJ1" s="111"/>
      <c r="CK1" s="112"/>
      <c r="CL1" s="110" t="s">
        <v>208</v>
      </c>
      <c r="CM1" s="111"/>
      <c r="CN1" s="111"/>
      <c r="CO1" s="111"/>
      <c r="CP1" s="111"/>
      <c r="CQ1" s="111"/>
      <c r="CR1" s="111"/>
      <c r="CS1" s="111"/>
      <c r="CT1" s="111"/>
      <c r="CU1" s="111"/>
      <c r="CV1" s="111"/>
      <c r="CW1" s="112"/>
      <c r="CX1" s="110" t="s">
        <v>211</v>
      </c>
      <c r="CY1" s="111"/>
      <c r="CZ1" s="111"/>
      <c r="DA1" s="111"/>
      <c r="DB1" s="111"/>
      <c r="DC1" s="111"/>
      <c r="DD1" s="111"/>
      <c r="DE1" s="111"/>
      <c r="DF1" s="111"/>
      <c r="DG1" s="112"/>
      <c r="DH1" s="110" t="s">
        <v>228</v>
      </c>
      <c r="DI1" s="111"/>
      <c r="DJ1" s="111"/>
      <c r="DK1" s="111"/>
      <c r="DL1" s="111"/>
      <c r="DM1" s="111"/>
      <c r="DN1" s="110" t="s">
        <v>1230</v>
      </c>
      <c r="DO1" s="111"/>
      <c r="DP1" s="111"/>
      <c r="DQ1" s="111"/>
      <c r="DR1" s="111"/>
      <c r="DS1" s="112"/>
      <c r="DT1" s="110" t="s">
        <v>270</v>
      </c>
      <c r="DU1" s="111"/>
      <c r="DV1" s="111"/>
      <c r="DW1" s="111"/>
      <c r="DX1" s="111"/>
      <c r="DY1" s="111"/>
      <c r="DZ1" s="111"/>
      <c r="EA1" s="111"/>
      <c r="EB1" s="111"/>
      <c r="EC1" s="111"/>
      <c r="ED1" s="111"/>
      <c r="EE1" s="111"/>
      <c r="EF1" s="111"/>
      <c r="EG1" s="112"/>
      <c r="EH1" s="110" t="s">
        <v>290</v>
      </c>
      <c r="EI1" s="111"/>
      <c r="EJ1" s="111"/>
      <c r="EK1" s="111"/>
      <c r="EL1" s="111"/>
      <c r="EM1" s="112"/>
      <c r="EN1" s="110" t="s">
        <v>295</v>
      </c>
      <c r="EO1" s="111"/>
      <c r="EP1" s="111"/>
      <c r="EQ1" s="112"/>
      <c r="ER1" s="110" t="s">
        <v>404</v>
      </c>
      <c r="ES1" s="111"/>
      <c r="ET1" s="111"/>
      <c r="EU1" s="111"/>
      <c r="EV1" s="111"/>
      <c r="EW1" s="111"/>
      <c r="EX1" s="111"/>
      <c r="EY1" s="111"/>
      <c r="EZ1" s="111"/>
      <c r="FA1" s="111"/>
      <c r="FB1" s="111"/>
      <c r="FC1" s="111"/>
      <c r="FD1" s="111"/>
      <c r="FE1" s="111"/>
      <c r="FF1" s="111"/>
      <c r="FG1" s="111"/>
      <c r="FH1" s="111"/>
      <c r="FI1" s="111"/>
      <c r="FJ1" s="111"/>
      <c r="FK1" s="111"/>
      <c r="FL1" s="111"/>
      <c r="FM1" s="111"/>
      <c r="FN1" s="111"/>
      <c r="FO1" s="111"/>
      <c r="FP1" s="111"/>
      <c r="FQ1" s="111"/>
      <c r="FR1" s="111"/>
      <c r="FS1" s="111"/>
      <c r="FT1" s="111"/>
      <c r="FU1" s="111"/>
      <c r="FV1" s="111"/>
      <c r="FW1" s="111"/>
      <c r="FX1" s="111"/>
      <c r="FY1" s="111"/>
      <c r="FZ1" s="111"/>
      <c r="GA1" s="111"/>
      <c r="GB1" s="111"/>
      <c r="GC1" s="111"/>
      <c r="GD1" s="111"/>
      <c r="GE1" s="111"/>
      <c r="GF1" s="111"/>
      <c r="GG1" s="111"/>
      <c r="GH1" s="111"/>
      <c r="GI1" s="111"/>
      <c r="GJ1" s="111"/>
      <c r="GK1" s="111"/>
      <c r="GL1" s="111"/>
      <c r="GM1" s="111"/>
      <c r="GN1" s="111"/>
      <c r="GO1" s="111"/>
      <c r="GP1" s="111"/>
      <c r="GQ1" s="112"/>
      <c r="GR1" s="111" t="s">
        <v>427</v>
      </c>
      <c r="GS1" s="111"/>
      <c r="GT1" s="111"/>
      <c r="GU1" s="112"/>
      <c r="GV1" s="110" t="s">
        <v>1250</v>
      </c>
      <c r="GW1" s="112"/>
      <c r="GX1" s="110" t="s">
        <v>612</v>
      </c>
      <c r="GY1" s="112"/>
      <c r="GZ1" s="99" t="s">
        <v>585</v>
      </c>
      <c r="HA1" s="100"/>
      <c r="HB1" s="100"/>
      <c r="HC1" s="100"/>
      <c r="HD1" s="100"/>
      <c r="HE1" s="100"/>
      <c r="HF1" s="100"/>
      <c r="HG1" s="100"/>
      <c r="HH1" s="100"/>
      <c r="HI1" s="100"/>
      <c r="HJ1" s="100"/>
      <c r="HK1" s="100"/>
      <c r="HL1" s="100"/>
      <c r="HM1" s="100"/>
      <c r="HN1" s="100"/>
      <c r="HO1" s="100"/>
      <c r="HP1" s="100"/>
      <c r="HQ1" s="100"/>
      <c r="HR1" s="100"/>
      <c r="HS1" s="100"/>
      <c r="HT1" s="100"/>
      <c r="HU1" s="100"/>
      <c r="HV1" s="100"/>
      <c r="HW1" s="100"/>
      <c r="HX1" s="100"/>
      <c r="HY1" s="100"/>
      <c r="HZ1" s="100"/>
      <c r="IA1" s="100"/>
      <c r="IB1" s="100"/>
      <c r="IC1" s="100"/>
      <c r="ID1" s="100"/>
      <c r="IE1" s="100"/>
      <c r="IF1" s="100"/>
      <c r="IG1" s="100"/>
      <c r="IH1" s="100"/>
      <c r="II1" s="100"/>
      <c r="IJ1" s="100"/>
      <c r="IK1" s="100"/>
      <c r="IL1" s="100"/>
      <c r="IM1" s="100"/>
      <c r="IN1" s="100"/>
      <c r="IO1" s="100"/>
      <c r="IP1" s="100"/>
      <c r="IQ1" s="100"/>
      <c r="IR1" s="100"/>
      <c r="IS1" s="101"/>
      <c r="IT1" s="99" t="s">
        <v>584</v>
      </c>
      <c r="IU1" s="100"/>
      <c r="IV1" s="100"/>
      <c r="IW1" s="101"/>
      <c r="IX1" s="105" t="s">
        <v>387</v>
      </c>
      <c r="IY1" s="106"/>
      <c r="IZ1" s="106"/>
      <c r="JA1" s="106"/>
      <c r="JB1" s="106"/>
      <c r="JC1" s="106"/>
      <c r="JD1" s="106"/>
      <c r="JE1" s="106"/>
      <c r="JF1" s="106"/>
      <c r="JG1" s="106"/>
      <c r="JH1" s="106"/>
      <c r="JI1" s="106"/>
      <c r="JJ1" s="106"/>
      <c r="JK1" s="106"/>
      <c r="JL1" s="106"/>
      <c r="JM1" s="106"/>
      <c r="JN1" s="106"/>
      <c r="JO1" s="106"/>
      <c r="JP1" s="106"/>
      <c r="JQ1" s="106"/>
      <c r="JR1" s="106"/>
      <c r="JS1" s="106"/>
      <c r="JT1" s="106"/>
      <c r="JU1" s="106"/>
      <c r="JV1" s="106"/>
      <c r="JW1" s="107"/>
      <c r="JX1" s="99" t="s">
        <v>423</v>
      </c>
      <c r="JY1" s="100"/>
      <c r="JZ1" s="100"/>
      <c r="KA1" s="101"/>
      <c r="KB1" s="99" t="s">
        <v>392</v>
      </c>
      <c r="KC1" s="101"/>
      <c r="KD1" s="99" t="s">
        <v>424</v>
      </c>
      <c r="KE1" s="100"/>
      <c r="KF1" s="100"/>
      <c r="KG1" s="101"/>
      <c r="KH1" s="99" t="s">
        <v>382</v>
      </c>
      <c r="KI1" s="100"/>
      <c r="KJ1" s="100"/>
      <c r="KK1" s="101"/>
      <c r="KL1" s="99" t="s">
        <v>574</v>
      </c>
      <c r="KM1" s="101"/>
      <c r="KN1" s="99" t="s">
        <v>575</v>
      </c>
      <c r="KO1" s="101"/>
      <c r="KP1" s="99" t="s">
        <v>576</v>
      </c>
      <c r="KQ1" s="101"/>
      <c r="KR1" s="99" t="s">
        <v>643</v>
      </c>
      <c r="KS1" s="100"/>
      <c r="KT1" s="100"/>
      <c r="KU1" s="100"/>
      <c r="KV1" s="100"/>
      <c r="KW1" s="100"/>
      <c r="KX1" s="100"/>
      <c r="KY1" s="100"/>
      <c r="KZ1" s="100"/>
      <c r="LA1" s="100"/>
      <c r="LB1" s="100"/>
      <c r="LC1" s="100"/>
      <c r="LD1" s="100"/>
      <c r="LE1" s="100"/>
      <c r="LF1" s="100"/>
      <c r="LG1" s="100"/>
      <c r="LH1" s="100"/>
      <c r="LI1" s="100"/>
      <c r="LJ1" s="100"/>
      <c r="LK1" s="100"/>
      <c r="LL1" s="100"/>
      <c r="LM1" s="100"/>
      <c r="LN1" s="100"/>
      <c r="LO1" s="100"/>
      <c r="LP1" s="100"/>
      <c r="LQ1" s="100"/>
      <c r="LR1" s="100"/>
      <c r="LS1" s="100"/>
      <c r="LT1" s="100"/>
      <c r="LU1" s="101"/>
      <c r="LV1" s="99" t="s">
        <v>697</v>
      </c>
      <c r="LW1" s="100"/>
      <c r="LX1" s="100"/>
      <c r="LY1" s="100"/>
      <c r="LZ1" s="100"/>
      <c r="MA1" s="100"/>
      <c r="MB1" s="100"/>
      <c r="MC1" s="101"/>
      <c r="MD1" s="105" t="s">
        <v>644</v>
      </c>
      <c r="ME1" s="106"/>
      <c r="MF1" s="106"/>
      <c r="MG1" s="106"/>
      <c r="MH1" s="106"/>
      <c r="MI1" s="106"/>
      <c r="MJ1" s="106"/>
      <c r="MK1" s="106"/>
      <c r="ML1" s="106"/>
      <c r="MM1" s="106"/>
      <c r="MN1" s="106"/>
      <c r="MO1" s="106"/>
      <c r="MP1" s="106"/>
      <c r="MQ1" s="106"/>
      <c r="MR1" s="106"/>
      <c r="MS1" s="106"/>
      <c r="MT1" s="106"/>
      <c r="MU1" s="106"/>
      <c r="MV1" s="106"/>
      <c r="MW1" s="106"/>
      <c r="MX1" s="106"/>
      <c r="MY1" s="106"/>
      <c r="MZ1" s="106"/>
      <c r="NA1" s="106"/>
      <c r="NB1" s="106"/>
      <c r="NC1" s="106"/>
      <c r="ND1" s="106"/>
      <c r="NE1" s="106"/>
      <c r="NF1" s="106"/>
      <c r="NG1" s="106"/>
      <c r="NH1" s="106"/>
      <c r="NI1" s="106"/>
      <c r="NJ1" s="106"/>
      <c r="NK1" s="106"/>
      <c r="NL1" s="106"/>
      <c r="NM1" s="106"/>
      <c r="NN1" s="106"/>
      <c r="NO1" s="107"/>
      <c r="NP1" s="105" t="s">
        <v>661</v>
      </c>
      <c r="NQ1" s="106"/>
      <c r="NR1" s="93" t="s">
        <v>641</v>
      </c>
      <c r="NS1" s="94"/>
      <c r="NT1" s="94"/>
      <c r="NU1" s="95"/>
    </row>
    <row r="2" spans="1:385" x14ac:dyDescent="0.2">
      <c r="A2" s="108"/>
      <c r="B2" s="113"/>
      <c r="C2" s="109"/>
      <c r="D2" s="114"/>
      <c r="E2" s="109"/>
      <c r="F2" s="96" t="s">
        <v>77</v>
      </c>
      <c r="G2" s="97"/>
      <c r="H2" s="97"/>
      <c r="I2" s="98"/>
      <c r="J2" s="96" t="s">
        <v>77</v>
      </c>
      <c r="K2" s="97"/>
      <c r="L2" s="97"/>
      <c r="M2" s="97"/>
      <c r="N2" s="97"/>
      <c r="O2" s="98"/>
      <c r="P2" s="96" t="s">
        <v>86</v>
      </c>
      <c r="Q2" s="98"/>
      <c r="R2" s="96" t="s">
        <v>83</v>
      </c>
      <c r="S2" s="98"/>
      <c r="T2" s="96" t="s">
        <v>85</v>
      </c>
      <c r="U2" s="97"/>
      <c r="V2" s="97"/>
      <c r="W2" s="98"/>
      <c r="X2" s="96" t="s">
        <v>86</v>
      </c>
      <c r="Y2" s="97"/>
      <c r="Z2" s="97"/>
      <c r="AA2" s="98"/>
      <c r="AB2" s="96" t="s">
        <v>83</v>
      </c>
      <c r="AC2" s="97"/>
      <c r="AD2" s="97"/>
      <c r="AE2" s="98"/>
      <c r="AF2" s="96" t="s">
        <v>83</v>
      </c>
      <c r="AG2" s="97"/>
      <c r="AH2" s="97"/>
      <c r="AI2" s="97"/>
      <c r="AJ2" s="97"/>
      <c r="AK2" s="98"/>
      <c r="AL2" s="96" t="s">
        <v>111</v>
      </c>
      <c r="AM2" s="97"/>
      <c r="AN2" s="97"/>
      <c r="AO2" s="98"/>
      <c r="AP2" s="96" t="s">
        <v>542</v>
      </c>
      <c r="AQ2" s="98"/>
      <c r="AR2" s="96" t="s">
        <v>618</v>
      </c>
      <c r="AS2" s="98"/>
      <c r="AT2" s="97" t="s">
        <v>103</v>
      </c>
      <c r="AU2" s="97"/>
      <c r="AV2" s="97"/>
      <c r="AW2" s="98"/>
      <c r="AX2" s="97" t="s">
        <v>83</v>
      </c>
      <c r="AY2" s="98"/>
      <c r="AZ2" s="96" t="s">
        <v>106</v>
      </c>
      <c r="BA2" s="97"/>
      <c r="BB2" s="97"/>
      <c r="BC2" s="98"/>
      <c r="BD2" s="96" t="s">
        <v>464</v>
      </c>
      <c r="BE2" s="98"/>
      <c r="BF2" s="96" t="s">
        <v>547</v>
      </c>
      <c r="BG2" s="97"/>
      <c r="BH2" s="97"/>
      <c r="BI2" s="97"/>
      <c r="BJ2" s="97"/>
      <c r="BK2" s="98"/>
      <c r="BL2" s="96" t="s">
        <v>110</v>
      </c>
      <c r="BM2" s="98"/>
      <c r="BN2" s="97" t="s">
        <v>111</v>
      </c>
      <c r="BO2" s="97"/>
      <c r="BP2" s="97"/>
      <c r="BQ2" s="97"/>
      <c r="BR2" s="96" t="s">
        <v>146</v>
      </c>
      <c r="BS2" s="98"/>
      <c r="BT2" s="102" t="s">
        <v>167</v>
      </c>
      <c r="BU2" s="103"/>
      <c r="BV2" s="103"/>
      <c r="BW2" s="103"/>
      <c r="BX2" s="103"/>
      <c r="BY2" s="104"/>
      <c r="BZ2" s="96" t="s">
        <v>1228</v>
      </c>
      <c r="CA2" s="97"/>
      <c r="CB2" s="97"/>
      <c r="CC2" s="97"/>
      <c r="CD2" s="97"/>
      <c r="CE2" s="97"/>
      <c r="CF2" s="97"/>
      <c r="CG2" s="97"/>
      <c r="CH2" s="97"/>
      <c r="CI2" s="98"/>
      <c r="CJ2" s="96" t="s">
        <v>450</v>
      </c>
      <c r="CK2" s="98"/>
      <c r="CL2" s="96" t="s">
        <v>1228</v>
      </c>
      <c r="CM2" s="97"/>
      <c r="CN2" s="97"/>
      <c r="CO2" s="97"/>
      <c r="CP2" s="97"/>
      <c r="CQ2" s="97"/>
      <c r="CR2" s="97"/>
      <c r="CS2" s="97"/>
      <c r="CT2" s="97"/>
      <c r="CU2" s="97"/>
      <c r="CV2" s="97"/>
      <c r="CW2" s="98"/>
      <c r="CX2" s="96" t="s">
        <v>1228</v>
      </c>
      <c r="CY2" s="97"/>
      <c r="CZ2" s="97"/>
      <c r="DA2" s="97"/>
      <c r="DB2" s="97"/>
      <c r="DC2" s="98"/>
      <c r="DD2" s="96" t="s">
        <v>293</v>
      </c>
      <c r="DE2" s="97"/>
      <c r="DF2" s="97"/>
      <c r="DG2" s="98"/>
      <c r="DH2" s="96" t="s">
        <v>1229</v>
      </c>
      <c r="DI2" s="97"/>
      <c r="DJ2" s="97"/>
      <c r="DK2" s="97"/>
      <c r="DL2" s="97"/>
      <c r="DM2" s="98"/>
      <c r="DN2" s="96" t="s">
        <v>1229</v>
      </c>
      <c r="DO2" s="97"/>
      <c r="DP2" s="97"/>
      <c r="DQ2" s="97"/>
      <c r="DR2" s="97"/>
      <c r="DS2" s="98"/>
      <c r="DT2" s="96" t="s">
        <v>207</v>
      </c>
      <c r="DU2" s="97"/>
      <c r="DV2" s="97"/>
      <c r="DW2" s="97"/>
      <c r="DX2" s="97"/>
      <c r="DY2" s="97"/>
      <c r="DZ2" s="97"/>
      <c r="EA2" s="97"/>
      <c r="EB2" s="97"/>
      <c r="EC2" s="97"/>
      <c r="ED2" s="97"/>
      <c r="EE2" s="97"/>
      <c r="EF2" s="97"/>
      <c r="EG2" s="98"/>
      <c r="EH2" s="96" t="s">
        <v>287</v>
      </c>
      <c r="EI2" s="97"/>
      <c r="EJ2" s="97"/>
      <c r="EK2" s="97"/>
      <c r="EL2" s="97"/>
      <c r="EM2" s="98"/>
      <c r="EN2" s="96" t="s">
        <v>293</v>
      </c>
      <c r="EO2" s="97"/>
      <c r="EP2" s="97"/>
      <c r="EQ2" s="98"/>
      <c r="ER2" s="96" t="s">
        <v>411</v>
      </c>
      <c r="ES2" s="97"/>
      <c r="ET2" s="97"/>
      <c r="EU2" s="97"/>
      <c r="EV2" s="97"/>
      <c r="EW2" s="97"/>
      <c r="EX2" s="97"/>
      <c r="EY2" s="97"/>
      <c r="EZ2" s="97"/>
      <c r="FA2" s="97"/>
      <c r="FB2" s="97"/>
      <c r="FC2" s="97"/>
      <c r="FD2" s="97"/>
      <c r="FE2" s="97"/>
      <c r="FF2" s="97"/>
      <c r="FG2" s="97"/>
      <c r="FH2" s="97"/>
      <c r="FI2" s="97"/>
      <c r="FJ2" s="97"/>
      <c r="FK2" s="97"/>
      <c r="FL2" s="97"/>
      <c r="FM2" s="97"/>
      <c r="FN2" s="97"/>
      <c r="FO2" s="97"/>
      <c r="FP2" s="97"/>
      <c r="FQ2" s="97"/>
      <c r="FR2" s="97"/>
      <c r="FS2" s="98"/>
      <c r="FT2" s="97" t="s">
        <v>132</v>
      </c>
      <c r="FU2" s="97"/>
      <c r="FV2" s="97"/>
      <c r="FW2" s="97"/>
      <c r="FX2" s="97"/>
      <c r="FY2" s="97"/>
      <c r="FZ2" s="97"/>
      <c r="GA2" s="97"/>
      <c r="GB2" s="97"/>
      <c r="GC2" s="97"/>
      <c r="GD2" s="97"/>
      <c r="GE2" s="97"/>
      <c r="GF2" s="97"/>
      <c r="GG2" s="97"/>
      <c r="GH2" s="97"/>
      <c r="GI2" s="97"/>
      <c r="GJ2" s="97"/>
      <c r="GK2" s="97"/>
      <c r="GL2" s="97"/>
      <c r="GM2" s="97"/>
      <c r="GN2" s="97"/>
      <c r="GO2" s="97"/>
      <c r="GP2" s="97"/>
      <c r="GQ2" s="98"/>
      <c r="GR2" s="97" t="s">
        <v>428</v>
      </c>
      <c r="GS2" s="97"/>
      <c r="GT2" s="97"/>
      <c r="GU2" s="98"/>
      <c r="GV2" s="96" t="s">
        <v>1252</v>
      </c>
      <c r="GW2" s="98"/>
      <c r="GX2" s="96" t="s">
        <v>611</v>
      </c>
      <c r="GY2" s="98"/>
      <c r="GZ2" s="87" t="s">
        <v>301</v>
      </c>
      <c r="HA2" s="92"/>
      <c r="HB2" s="92"/>
      <c r="HC2" s="92"/>
      <c r="HD2" s="92"/>
      <c r="HE2" s="92"/>
      <c r="HF2" s="92"/>
      <c r="HG2" s="92"/>
      <c r="HH2" s="92"/>
      <c r="HI2" s="92"/>
      <c r="HJ2" s="92"/>
      <c r="HK2" s="92"/>
      <c r="HL2" s="92"/>
      <c r="HM2" s="92"/>
      <c r="HN2" s="92"/>
      <c r="HO2" s="92"/>
      <c r="HP2" s="92"/>
      <c r="HQ2" s="92"/>
      <c r="HR2" s="92"/>
      <c r="HS2" s="92"/>
      <c r="HT2" s="92"/>
      <c r="HU2" s="92"/>
      <c r="HV2" s="92"/>
      <c r="HW2" s="92"/>
      <c r="HX2" s="92"/>
      <c r="HY2" s="92"/>
      <c r="HZ2" s="92"/>
      <c r="IA2" s="92"/>
      <c r="IB2" s="92"/>
      <c r="IC2" s="88"/>
      <c r="ID2" s="87" t="s">
        <v>1107</v>
      </c>
      <c r="IE2" s="92"/>
      <c r="IF2" s="92"/>
      <c r="IG2" s="88"/>
      <c r="IH2" s="87" t="s">
        <v>353</v>
      </c>
      <c r="II2" s="92"/>
      <c r="IJ2" s="92"/>
      <c r="IK2" s="92"/>
      <c r="IL2" s="92"/>
      <c r="IM2" s="92"/>
      <c r="IN2" s="92"/>
      <c r="IO2" s="92"/>
      <c r="IP2" s="92"/>
      <c r="IQ2" s="88"/>
      <c r="IR2" s="87" t="s">
        <v>371</v>
      </c>
      <c r="IS2" s="88"/>
      <c r="IT2" s="87" t="s">
        <v>375</v>
      </c>
      <c r="IU2" s="88"/>
      <c r="IV2" s="87" t="s">
        <v>371</v>
      </c>
      <c r="IW2" s="88"/>
      <c r="IX2" s="87" t="s">
        <v>388</v>
      </c>
      <c r="IY2" s="92"/>
      <c r="IZ2" s="92"/>
      <c r="JA2" s="92"/>
      <c r="JB2" s="92"/>
      <c r="JC2" s="92"/>
      <c r="JD2" s="92"/>
      <c r="JE2" s="88"/>
      <c r="JF2" s="87" t="s">
        <v>479</v>
      </c>
      <c r="JG2" s="92"/>
      <c r="JH2" s="92"/>
      <c r="JI2" s="92"/>
      <c r="JJ2" s="92"/>
      <c r="JK2" s="92"/>
      <c r="JL2" s="92"/>
      <c r="JM2" s="92"/>
      <c r="JN2" s="92"/>
      <c r="JO2" s="92"/>
      <c r="JP2" s="92"/>
      <c r="JQ2" s="92"/>
      <c r="JR2" s="92"/>
      <c r="JS2" s="92"/>
      <c r="JT2" s="92"/>
      <c r="JU2" s="88"/>
      <c r="JV2" s="87" t="s">
        <v>606</v>
      </c>
      <c r="JW2" s="88"/>
      <c r="JX2" s="87" t="s">
        <v>422</v>
      </c>
      <c r="JY2" s="92"/>
      <c r="JZ2" s="92"/>
      <c r="KA2" s="88"/>
      <c r="KB2" s="87" t="s">
        <v>422</v>
      </c>
      <c r="KC2" s="88"/>
      <c r="KD2" s="87" t="s">
        <v>422</v>
      </c>
      <c r="KE2" s="92"/>
      <c r="KF2" s="92"/>
      <c r="KG2" s="88"/>
      <c r="KH2" s="87" t="s">
        <v>384</v>
      </c>
      <c r="KI2" s="92"/>
      <c r="KJ2" s="92"/>
      <c r="KK2" s="88"/>
      <c r="KL2" s="87" t="s">
        <v>384</v>
      </c>
      <c r="KM2" s="88"/>
      <c r="KN2" s="87" t="s">
        <v>384</v>
      </c>
      <c r="KO2" s="88"/>
      <c r="KP2" s="87" t="s">
        <v>384</v>
      </c>
      <c r="KQ2" s="88"/>
      <c r="KR2" s="87" t="s">
        <v>469</v>
      </c>
      <c r="KS2" s="92"/>
      <c r="KT2" s="92"/>
      <c r="KU2" s="88"/>
      <c r="KV2" s="87" t="s">
        <v>448</v>
      </c>
      <c r="KW2" s="92"/>
      <c r="KX2" s="92"/>
      <c r="KY2" s="92"/>
      <c r="KZ2" s="92"/>
      <c r="LA2" s="88"/>
      <c r="LB2" s="87" t="s">
        <v>670</v>
      </c>
      <c r="LC2" s="88"/>
      <c r="LD2" s="87" t="s">
        <v>1161</v>
      </c>
      <c r="LE2" s="88"/>
      <c r="LF2" s="87" t="s">
        <v>678</v>
      </c>
      <c r="LG2" s="88"/>
      <c r="LH2" s="87" t="s">
        <v>1165</v>
      </c>
      <c r="LI2" s="88"/>
      <c r="LJ2" s="87" t="s">
        <v>1174</v>
      </c>
      <c r="LK2" s="88"/>
      <c r="LL2" s="87" t="s">
        <v>688</v>
      </c>
      <c r="LM2" s="88"/>
      <c r="LN2" s="87" t="s">
        <v>690</v>
      </c>
      <c r="LO2" s="88"/>
      <c r="LP2" s="87" t="s">
        <v>692</v>
      </c>
      <c r="LQ2" s="88"/>
      <c r="LR2" s="87" t="s">
        <v>695</v>
      </c>
      <c r="LS2" s="88"/>
      <c r="LT2" s="87" t="s">
        <v>696</v>
      </c>
      <c r="LU2" s="88"/>
      <c r="LV2" s="87" t="s">
        <v>710</v>
      </c>
      <c r="LW2" s="92"/>
      <c r="LX2" s="92"/>
      <c r="LY2" s="92"/>
      <c r="LZ2" s="92"/>
      <c r="MA2" s="92"/>
      <c r="MB2" s="92"/>
      <c r="MC2" s="88"/>
      <c r="MD2" s="87" t="s">
        <v>1231</v>
      </c>
      <c r="ME2" s="92"/>
      <c r="MF2" s="92"/>
      <c r="MG2" s="92"/>
      <c r="MH2" s="92"/>
      <c r="MI2" s="92"/>
      <c r="MJ2" s="92"/>
      <c r="MK2" s="92"/>
      <c r="ML2" s="92"/>
      <c r="MM2" s="92"/>
      <c r="MN2" s="92"/>
      <c r="MO2" s="92"/>
      <c r="MP2" s="92"/>
      <c r="MQ2" s="92"/>
      <c r="MR2" s="92"/>
      <c r="MS2" s="92"/>
      <c r="MT2" s="92"/>
      <c r="MU2" s="92"/>
      <c r="MV2" s="92"/>
      <c r="MW2" s="92"/>
      <c r="MX2" s="92"/>
      <c r="MY2" s="92"/>
      <c r="MZ2" s="92"/>
      <c r="NA2" s="88"/>
      <c r="NB2" s="87" t="s">
        <v>657</v>
      </c>
      <c r="NC2" s="92"/>
      <c r="ND2" s="92"/>
      <c r="NE2" s="92"/>
      <c r="NF2" s="92"/>
      <c r="NG2" s="92"/>
      <c r="NH2" s="92"/>
      <c r="NI2" s="92"/>
      <c r="NJ2" s="92"/>
      <c r="NK2" s="92"/>
      <c r="NL2" s="92"/>
      <c r="NM2" s="88"/>
      <c r="NN2" s="87" t="s">
        <v>666</v>
      </c>
      <c r="NO2" s="88"/>
      <c r="NP2" s="87" t="s">
        <v>1232</v>
      </c>
      <c r="NQ2" s="88"/>
      <c r="NR2" s="89" t="s">
        <v>618</v>
      </c>
      <c r="NS2" s="90"/>
      <c r="NT2" s="90"/>
      <c r="NU2" s="91"/>
    </row>
    <row r="3" spans="1:385" x14ac:dyDescent="0.2">
      <c r="A3" s="108"/>
      <c r="B3" s="113"/>
      <c r="C3" s="109"/>
      <c r="D3" s="114"/>
      <c r="E3" s="109"/>
      <c r="F3" s="43" t="s">
        <v>47</v>
      </c>
      <c r="G3" s="7" t="s">
        <v>45</v>
      </c>
      <c r="H3" s="44" t="s">
        <v>48</v>
      </c>
      <c r="I3" s="7" t="s">
        <v>45</v>
      </c>
      <c r="J3" s="44" t="s">
        <v>49</v>
      </c>
      <c r="K3" s="7" t="s">
        <v>45</v>
      </c>
      <c r="L3" s="44" t="s">
        <v>50</v>
      </c>
      <c r="M3" s="7" t="s">
        <v>45</v>
      </c>
      <c r="N3" s="44" t="s">
        <v>53</v>
      </c>
      <c r="O3" s="7" t="s">
        <v>45</v>
      </c>
      <c r="P3" s="44" t="s">
        <v>78</v>
      </c>
      <c r="Q3" s="7" t="s">
        <v>45</v>
      </c>
      <c r="R3" s="44" t="s">
        <v>78</v>
      </c>
      <c r="S3" s="7" t="s">
        <v>45</v>
      </c>
      <c r="T3" s="44" t="s">
        <v>79</v>
      </c>
      <c r="U3" s="7" t="s">
        <v>45</v>
      </c>
      <c r="V3" s="44" t="s">
        <v>126</v>
      </c>
      <c r="W3" s="7" t="s">
        <v>45</v>
      </c>
      <c r="X3" s="44" t="s">
        <v>80</v>
      </c>
      <c r="Y3" s="7" t="s">
        <v>45</v>
      </c>
      <c r="Z3" s="44" t="s">
        <v>81</v>
      </c>
      <c r="AA3" s="7" t="s">
        <v>45</v>
      </c>
      <c r="AB3" s="44" t="s">
        <v>81</v>
      </c>
      <c r="AC3" s="7" t="s">
        <v>45</v>
      </c>
      <c r="AD3" s="44" t="s">
        <v>82</v>
      </c>
      <c r="AE3" s="7" t="s">
        <v>45</v>
      </c>
      <c r="AF3" s="44" t="s">
        <v>96</v>
      </c>
      <c r="AG3" s="7" t="s">
        <v>45</v>
      </c>
      <c r="AH3" s="43" t="s">
        <v>97</v>
      </c>
      <c r="AI3" s="7" t="s">
        <v>45</v>
      </c>
      <c r="AJ3" s="43" t="s">
        <v>99</v>
      </c>
      <c r="AK3" s="7" t="s">
        <v>45</v>
      </c>
      <c r="AL3" s="44" t="s">
        <v>1072</v>
      </c>
      <c r="AM3" s="7" t="s">
        <v>45</v>
      </c>
      <c r="AN3" s="44" t="s">
        <v>1073</v>
      </c>
      <c r="AO3" s="7" t="s">
        <v>45</v>
      </c>
      <c r="AP3" s="44" t="s">
        <v>546</v>
      </c>
      <c r="AQ3" s="7" t="s">
        <v>45</v>
      </c>
      <c r="AR3" s="44" t="s">
        <v>98</v>
      </c>
      <c r="AS3" s="7" t="s">
        <v>45</v>
      </c>
      <c r="AT3" s="43" t="s">
        <v>100</v>
      </c>
      <c r="AU3" s="7" t="s">
        <v>45</v>
      </c>
      <c r="AV3" s="44" t="s">
        <v>101</v>
      </c>
      <c r="AW3" s="7" t="s">
        <v>45</v>
      </c>
      <c r="AX3" s="43" t="s">
        <v>102</v>
      </c>
      <c r="AY3" s="7" t="s">
        <v>45</v>
      </c>
      <c r="AZ3" s="44" t="s">
        <v>104</v>
      </c>
      <c r="BA3" s="7" t="s">
        <v>45</v>
      </c>
      <c r="BB3" s="44" t="s">
        <v>105</v>
      </c>
      <c r="BC3" s="7" t="s">
        <v>45</v>
      </c>
      <c r="BD3" s="44" t="s">
        <v>463</v>
      </c>
      <c r="BE3" s="7" t="s">
        <v>45</v>
      </c>
      <c r="BF3" s="44" t="s">
        <v>548</v>
      </c>
      <c r="BG3" s="7" t="s">
        <v>45</v>
      </c>
      <c r="BH3" s="44" t="s">
        <v>549</v>
      </c>
      <c r="BI3" s="7" t="s">
        <v>45</v>
      </c>
      <c r="BJ3" s="44" t="s">
        <v>550</v>
      </c>
      <c r="BK3" s="7" t="s">
        <v>45</v>
      </c>
      <c r="BL3" s="43" t="s">
        <v>109</v>
      </c>
      <c r="BM3" s="6" t="s">
        <v>45</v>
      </c>
      <c r="BN3" s="44" t="s">
        <v>107</v>
      </c>
      <c r="BO3" s="7" t="s">
        <v>45</v>
      </c>
      <c r="BP3" s="44" t="s">
        <v>108</v>
      </c>
      <c r="BQ3" s="7" t="s">
        <v>45</v>
      </c>
      <c r="BR3" s="44" t="s">
        <v>161</v>
      </c>
      <c r="BS3" s="7" t="s">
        <v>45</v>
      </c>
      <c r="BT3" s="45" t="s">
        <v>164</v>
      </c>
      <c r="BU3" s="16" t="s">
        <v>45</v>
      </c>
      <c r="BV3" s="44" t="s">
        <v>165</v>
      </c>
      <c r="BW3" s="7" t="s">
        <v>45</v>
      </c>
      <c r="BX3" s="44" t="s">
        <v>166</v>
      </c>
      <c r="BY3" s="7" t="s">
        <v>45</v>
      </c>
      <c r="BZ3" s="44" t="s">
        <v>198</v>
      </c>
      <c r="CA3" s="7" t="s">
        <v>45</v>
      </c>
      <c r="CB3" s="44" t="s">
        <v>171</v>
      </c>
      <c r="CC3" s="7" t="s">
        <v>45</v>
      </c>
      <c r="CD3" s="44" t="s">
        <v>173</v>
      </c>
      <c r="CE3" s="7" t="s">
        <v>45</v>
      </c>
      <c r="CF3" s="44" t="s">
        <v>175</v>
      </c>
      <c r="CG3" s="7" t="s">
        <v>45</v>
      </c>
      <c r="CH3" s="44" t="s">
        <v>177</v>
      </c>
      <c r="CI3" s="7" t="s">
        <v>45</v>
      </c>
      <c r="CJ3" s="43" t="s">
        <v>449</v>
      </c>
      <c r="CK3" s="6" t="s">
        <v>45</v>
      </c>
      <c r="CL3" s="44" t="s">
        <v>179</v>
      </c>
      <c r="CM3" s="7" t="s">
        <v>45</v>
      </c>
      <c r="CN3" s="44" t="s">
        <v>183</v>
      </c>
      <c r="CO3" s="7" t="s">
        <v>45</v>
      </c>
      <c r="CP3" s="44" t="s">
        <v>185</v>
      </c>
      <c r="CQ3" s="7" t="s">
        <v>45</v>
      </c>
      <c r="CR3" s="44" t="s">
        <v>188</v>
      </c>
      <c r="CS3" s="7" t="s">
        <v>45</v>
      </c>
      <c r="CT3" s="44" t="s">
        <v>187</v>
      </c>
      <c r="CU3" s="7" t="s">
        <v>45</v>
      </c>
      <c r="CV3" s="44" t="s">
        <v>206</v>
      </c>
      <c r="CW3" s="7" t="s">
        <v>45</v>
      </c>
      <c r="CX3" s="44" t="s">
        <v>193</v>
      </c>
      <c r="CY3" s="7" t="s">
        <v>45</v>
      </c>
      <c r="CZ3" s="44" t="s">
        <v>194</v>
      </c>
      <c r="DA3" s="7" t="s">
        <v>45</v>
      </c>
      <c r="DB3" s="44" t="s">
        <v>196</v>
      </c>
      <c r="DC3" s="7" t="s">
        <v>45</v>
      </c>
      <c r="DD3" s="44" t="s">
        <v>291</v>
      </c>
      <c r="DE3" s="7" t="s">
        <v>45</v>
      </c>
      <c r="DF3" s="43" t="s">
        <v>292</v>
      </c>
      <c r="DG3" s="6" t="s">
        <v>45</v>
      </c>
      <c r="DH3" s="44" t="s">
        <v>212</v>
      </c>
      <c r="DI3" s="7" t="s">
        <v>45</v>
      </c>
      <c r="DJ3" s="43" t="s">
        <v>215</v>
      </c>
      <c r="DK3" s="7" t="s">
        <v>45</v>
      </c>
      <c r="DL3" s="43" t="s">
        <v>216</v>
      </c>
      <c r="DM3" s="7" t="s">
        <v>45</v>
      </c>
      <c r="DN3" s="44" t="s">
        <v>217</v>
      </c>
      <c r="DO3" s="7" t="s">
        <v>45</v>
      </c>
      <c r="DP3" s="43" t="s">
        <v>218</v>
      </c>
      <c r="DQ3" s="7" t="s">
        <v>45</v>
      </c>
      <c r="DR3" s="43" t="s">
        <v>219</v>
      </c>
      <c r="DS3" s="7" t="s">
        <v>45</v>
      </c>
      <c r="DT3" s="44" t="s">
        <v>252</v>
      </c>
      <c r="DU3" s="7" t="s">
        <v>45</v>
      </c>
      <c r="DV3" s="44" t="s">
        <v>255</v>
      </c>
      <c r="DW3" s="7" t="s">
        <v>45</v>
      </c>
      <c r="DX3" s="44" t="s">
        <v>258</v>
      </c>
      <c r="DY3" s="7" t="s">
        <v>45</v>
      </c>
      <c r="DZ3" s="44" t="s">
        <v>260</v>
      </c>
      <c r="EA3" s="7" t="s">
        <v>45</v>
      </c>
      <c r="EB3" s="44" t="s">
        <v>262</v>
      </c>
      <c r="EC3" s="7" t="s">
        <v>45</v>
      </c>
      <c r="ED3" s="43" t="s">
        <v>265</v>
      </c>
      <c r="EE3" s="6" t="s">
        <v>45</v>
      </c>
      <c r="EF3" s="43" t="s">
        <v>268</v>
      </c>
      <c r="EG3" s="7" t="s">
        <v>45</v>
      </c>
      <c r="EH3" s="44" t="s">
        <v>284</v>
      </c>
      <c r="EI3" s="7" t="s">
        <v>45</v>
      </c>
      <c r="EJ3" s="44" t="s">
        <v>285</v>
      </c>
      <c r="EK3" s="7" t="s">
        <v>45</v>
      </c>
      <c r="EL3" s="44" t="s">
        <v>286</v>
      </c>
      <c r="EM3" s="7" t="s">
        <v>45</v>
      </c>
      <c r="EN3" s="44" t="s">
        <v>296</v>
      </c>
      <c r="EO3" s="7" t="s">
        <v>45</v>
      </c>
      <c r="EP3" s="44" t="s">
        <v>297</v>
      </c>
      <c r="EQ3" s="7" t="s">
        <v>45</v>
      </c>
      <c r="ER3" s="44" t="s">
        <v>398</v>
      </c>
      <c r="ES3" s="7" t="s">
        <v>45</v>
      </c>
      <c r="ET3" s="44" t="s">
        <v>399</v>
      </c>
      <c r="EU3" s="7" t="s">
        <v>45</v>
      </c>
      <c r="EV3" s="44" t="s">
        <v>400</v>
      </c>
      <c r="EW3" s="7" t="s">
        <v>45</v>
      </c>
      <c r="EX3" s="43" t="s">
        <v>401</v>
      </c>
      <c r="EY3" s="6" t="s">
        <v>45</v>
      </c>
      <c r="EZ3" s="44" t="s">
        <v>402</v>
      </c>
      <c r="FA3" s="7" t="s">
        <v>45</v>
      </c>
      <c r="FB3" s="44" t="s">
        <v>403</v>
      </c>
      <c r="FC3" s="7" t="s">
        <v>45</v>
      </c>
      <c r="FD3" s="44" t="s">
        <v>1076</v>
      </c>
      <c r="FE3" s="7" t="s">
        <v>45</v>
      </c>
      <c r="FF3" s="44" t="s">
        <v>416</v>
      </c>
      <c r="FG3" s="7" t="s">
        <v>45</v>
      </c>
      <c r="FH3" s="44" t="s">
        <v>415</v>
      </c>
      <c r="FI3" s="7" t="s">
        <v>45</v>
      </c>
      <c r="FJ3" s="44" t="s">
        <v>412</v>
      </c>
      <c r="FK3" s="7" t="s">
        <v>45</v>
      </c>
      <c r="FL3" s="44" t="s">
        <v>403</v>
      </c>
      <c r="FM3" s="7" t="s">
        <v>45</v>
      </c>
      <c r="FN3" s="44" t="s">
        <v>413</v>
      </c>
      <c r="FO3" s="7" t="s">
        <v>45</v>
      </c>
      <c r="FP3" s="44" t="s">
        <v>414</v>
      </c>
      <c r="FQ3" s="7" t="s">
        <v>45</v>
      </c>
      <c r="FR3" s="44" t="s">
        <v>1077</v>
      </c>
      <c r="FS3" s="7" t="s">
        <v>45</v>
      </c>
      <c r="FT3" s="44" t="s">
        <v>429</v>
      </c>
      <c r="FU3" s="7" t="s">
        <v>45</v>
      </c>
      <c r="FV3" s="44" t="s">
        <v>430</v>
      </c>
      <c r="FW3" s="7" t="s">
        <v>45</v>
      </c>
      <c r="FX3" s="44" t="s">
        <v>431</v>
      </c>
      <c r="FY3" s="7" t="s">
        <v>45</v>
      </c>
      <c r="FZ3" s="44" t="s">
        <v>432</v>
      </c>
      <c r="GA3" s="7" t="s">
        <v>45</v>
      </c>
      <c r="GB3" s="44" t="s">
        <v>433</v>
      </c>
      <c r="GC3" s="7" t="s">
        <v>45</v>
      </c>
      <c r="GD3" s="44" t="s">
        <v>434</v>
      </c>
      <c r="GE3" s="7" t="s">
        <v>45</v>
      </c>
      <c r="GF3" s="44" t="s">
        <v>435</v>
      </c>
      <c r="GG3" s="7" t="s">
        <v>45</v>
      </c>
      <c r="GH3" s="44" t="s">
        <v>436</v>
      </c>
      <c r="GI3" s="7" t="s">
        <v>45</v>
      </c>
      <c r="GJ3" s="43" t="s">
        <v>437</v>
      </c>
      <c r="GK3" s="7" t="s">
        <v>45</v>
      </c>
      <c r="GL3" s="43" t="s">
        <v>438</v>
      </c>
      <c r="GM3" s="6" t="s">
        <v>45</v>
      </c>
      <c r="GN3" s="44" t="s">
        <v>439</v>
      </c>
      <c r="GO3" s="7" t="s">
        <v>45</v>
      </c>
      <c r="GP3" s="44" t="s">
        <v>440</v>
      </c>
      <c r="GQ3" s="7" t="s">
        <v>45</v>
      </c>
      <c r="GR3" s="44" t="s">
        <v>425</v>
      </c>
      <c r="GS3" s="7" t="s">
        <v>45</v>
      </c>
      <c r="GT3" s="44" t="s">
        <v>426</v>
      </c>
      <c r="GU3" s="7" t="s">
        <v>45</v>
      </c>
      <c r="GV3" s="6" t="s">
        <v>1251</v>
      </c>
      <c r="GW3" s="7" t="s">
        <v>45</v>
      </c>
      <c r="GX3" s="43" t="s">
        <v>609</v>
      </c>
      <c r="GY3" s="6" t="s">
        <v>45</v>
      </c>
      <c r="GZ3" s="46" t="s">
        <v>302</v>
      </c>
      <c r="HA3" s="22" t="s">
        <v>45</v>
      </c>
      <c r="HB3" s="46" t="s">
        <v>303</v>
      </c>
      <c r="HC3" s="22" t="s">
        <v>45</v>
      </c>
      <c r="HD3" s="46" t="s">
        <v>304</v>
      </c>
      <c r="HE3" s="22" t="s">
        <v>45</v>
      </c>
      <c r="HF3" s="47" t="s">
        <v>305</v>
      </c>
      <c r="HG3" s="22" t="s">
        <v>45</v>
      </c>
      <c r="HH3" s="47" t="s">
        <v>306</v>
      </c>
      <c r="HI3" s="22" t="s">
        <v>45</v>
      </c>
      <c r="HJ3" s="47" t="s">
        <v>307</v>
      </c>
      <c r="HK3" s="22" t="s">
        <v>45</v>
      </c>
      <c r="HL3" s="47" t="s">
        <v>308</v>
      </c>
      <c r="HM3" s="22" t="s">
        <v>45</v>
      </c>
      <c r="HN3" s="47" t="s">
        <v>309</v>
      </c>
      <c r="HO3" s="22" t="s">
        <v>45</v>
      </c>
      <c r="HP3" s="47" t="s">
        <v>310</v>
      </c>
      <c r="HQ3" s="22" t="s">
        <v>45</v>
      </c>
      <c r="HR3" s="47" t="s">
        <v>311</v>
      </c>
      <c r="HS3" s="22" t="s">
        <v>45</v>
      </c>
      <c r="HT3" s="47" t="s">
        <v>312</v>
      </c>
      <c r="HU3" s="22" t="s">
        <v>45</v>
      </c>
      <c r="HV3" s="47" t="s">
        <v>313</v>
      </c>
      <c r="HW3" s="22" t="s">
        <v>45</v>
      </c>
      <c r="HX3" s="47" t="s">
        <v>314</v>
      </c>
      <c r="HY3" s="22" t="s">
        <v>45</v>
      </c>
      <c r="HZ3" s="47" t="s">
        <v>315</v>
      </c>
      <c r="IA3" s="22" t="s">
        <v>45</v>
      </c>
      <c r="IB3" s="47" t="s">
        <v>316</v>
      </c>
      <c r="IC3" s="22" t="s">
        <v>45</v>
      </c>
      <c r="ID3" s="46" t="s">
        <v>342</v>
      </c>
      <c r="IE3" s="22" t="s">
        <v>45</v>
      </c>
      <c r="IF3" s="46" t="s">
        <v>343</v>
      </c>
      <c r="IG3" s="22" t="s">
        <v>45</v>
      </c>
      <c r="IH3" s="46" t="s">
        <v>347</v>
      </c>
      <c r="II3" s="22" t="s">
        <v>45</v>
      </c>
      <c r="IJ3" s="46" t="s">
        <v>365</v>
      </c>
      <c r="IK3" s="22" t="s">
        <v>45</v>
      </c>
      <c r="IL3" s="46" t="s">
        <v>366</v>
      </c>
      <c r="IM3" s="22" t="s">
        <v>45</v>
      </c>
      <c r="IN3" s="46" t="s">
        <v>367</v>
      </c>
      <c r="IO3" s="22" t="s">
        <v>45</v>
      </c>
      <c r="IP3" s="46" t="s">
        <v>368</v>
      </c>
      <c r="IQ3" s="22" t="s">
        <v>45</v>
      </c>
      <c r="IR3" s="46" t="s">
        <v>369</v>
      </c>
      <c r="IS3" s="22" t="s">
        <v>45</v>
      </c>
      <c r="IT3" s="46" t="s">
        <v>376</v>
      </c>
      <c r="IU3" s="22" t="s">
        <v>45</v>
      </c>
      <c r="IV3" s="46" t="s">
        <v>551</v>
      </c>
      <c r="IW3" s="22" t="s">
        <v>45</v>
      </c>
      <c r="IX3" s="46" t="s">
        <v>385</v>
      </c>
      <c r="IY3" s="22" t="s">
        <v>45</v>
      </c>
      <c r="IZ3" s="46" t="s">
        <v>386</v>
      </c>
      <c r="JA3" s="22" t="s">
        <v>45</v>
      </c>
      <c r="JB3" s="47" t="s">
        <v>558</v>
      </c>
      <c r="JC3" s="22" t="s">
        <v>45</v>
      </c>
      <c r="JD3" s="47" t="s">
        <v>559</v>
      </c>
      <c r="JE3" s="22" t="s">
        <v>45</v>
      </c>
      <c r="JF3" s="46" t="s">
        <v>470</v>
      </c>
      <c r="JG3" s="22" t="s">
        <v>45</v>
      </c>
      <c r="JH3" s="47" t="s">
        <v>471</v>
      </c>
      <c r="JI3" s="22" t="s">
        <v>45</v>
      </c>
      <c r="JJ3" s="47" t="s">
        <v>472</v>
      </c>
      <c r="JK3" s="22" t="s">
        <v>45</v>
      </c>
      <c r="JL3" s="47" t="s">
        <v>473</v>
      </c>
      <c r="JM3" s="22" t="s">
        <v>45</v>
      </c>
      <c r="JN3" s="47" t="s">
        <v>474</v>
      </c>
      <c r="JO3" s="22" t="s">
        <v>45</v>
      </c>
      <c r="JP3" s="47" t="s">
        <v>475</v>
      </c>
      <c r="JQ3" s="22" t="s">
        <v>45</v>
      </c>
      <c r="JR3" s="47" t="s">
        <v>476</v>
      </c>
      <c r="JS3" s="22" t="s">
        <v>45</v>
      </c>
      <c r="JT3" s="47" t="s">
        <v>477</v>
      </c>
      <c r="JU3" s="22" t="s">
        <v>45</v>
      </c>
      <c r="JV3" s="47" t="s">
        <v>604</v>
      </c>
      <c r="JW3" s="22" t="s">
        <v>45</v>
      </c>
      <c r="JX3" s="46" t="s">
        <v>390</v>
      </c>
      <c r="JY3" s="22" t="s">
        <v>45</v>
      </c>
      <c r="JZ3" s="47" t="s">
        <v>391</v>
      </c>
      <c r="KA3" s="22" t="s">
        <v>45</v>
      </c>
      <c r="KB3" s="47" t="s">
        <v>392</v>
      </c>
      <c r="KC3" s="22" t="s">
        <v>45</v>
      </c>
      <c r="KD3" s="47" t="s">
        <v>393</v>
      </c>
      <c r="KE3" s="22" t="s">
        <v>45</v>
      </c>
      <c r="KF3" s="47" t="s">
        <v>394</v>
      </c>
      <c r="KG3" s="22" t="s">
        <v>45</v>
      </c>
      <c r="KH3" s="46" t="s">
        <v>381</v>
      </c>
      <c r="KI3" s="22" t="s">
        <v>45</v>
      </c>
      <c r="KJ3" s="47" t="s">
        <v>573</v>
      </c>
      <c r="KK3" s="22" t="s">
        <v>45</v>
      </c>
      <c r="KL3" s="46" t="s">
        <v>570</v>
      </c>
      <c r="KM3" s="22" t="s">
        <v>45</v>
      </c>
      <c r="KN3" s="46" t="s">
        <v>571</v>
      </c>
      <c r="KO3" s="22" t="s">
        <v>45</v>
      </c>
      <c r="KP3" s="46" t="s">
        <v>572</v>
      </c>
      <c r="KQ3" s="22" t="s">
        <v>45</v>
      </c>
      <c r="KR3" s="46" t="s">
        <v>467</v>
      </c>
      <c r="KS3" s="22" t="s">
        <v>45</v>
      </c>
      <c r="KT3" s="47" t="s">
        <v>468</v>
      </c>
      <c r="KU3" s="22" t="s">
        <v>45</v>
      </c>
      <c r="KV3" s="47" t="s">
        <v>444</v>
      </c>
      <c r="KW3" s="21" t="s">
        <v>45</v>
      </c>
      <c r="KX3" s="47" t="s">
        <v>445</v>
      </c>
      <c r="KY3" s="21" t="s">
        <v>45</v>
      </c>
      <c r="KZ3" s="47" t="s">
        <v>446</v>
      </c>
      <c r="LA3" s="22" t="s">
        <v>45</v>
      </c>
      <c r="LB3" s="46" t="s">
        <v>668</v>
      </c>
      <c r="LC3" s="22" t="s">
        <v>45</v>
      </c>
      <c r="LD3" s="46" t="s">
        <v>672</v>
      </c>
      <c r="LE3" s="22" t="s">
        <v>45</v>
      </c>
      <c r="LF3" s="46" t="s">
        <v>674</v>
      </c>
      <c r="LG3" s="22" t="s">
        <v>45</v>
      </c>
      <c r="LH3" s="47" t="s">
        <v>676</v>
      </c>
      <c r="LI3" s="22" t="s">
        <v>45</v>
      </c>
      <c r="LJ3" s="46" t="s">
        <v>713</v>
      </c>
      <c r="LK3" s="22" t="s">
        <v>45</v>
      </c>
      <c r="LL3" s="46" t="s">
        <v>714</v>
      </c>
      <c r="LM3" s="22" t="s">
        <v>45</v>
      </c>
      <c r="LN3" s="46" t="s">
        <v>715</v>
      </c>
      <c r="LO3" s="22" t="s">
        <v>45</v>
      </c>
      <c r="LP3" s="46" t="s">
        <v>716</v>
      </c>
      <c r="LQ3" s="22" t="s">
        <v>45</v>
      </c>
      <c r="LR3" s="46" t="s">
        <v>717</v>
      </c>
      <c r="LS3" s="22" t="s">
        <v>45</v>
      </c>
      <c r="LT3" s="47" t="s">
        <v>718</v>
      </c>
      <c r="LU3" s="21" t="s">
        <v>45</v>
      </c>
      <c r="LV3" s="46" t="s">
        <v>698</v>
      </c>
      <c r="LW3" s="22" t="s">
        <v>45</v>
      </c>
      <c r="LX3" s="46" t="s">
        <v>699</v>
      </c>
      <c r="LY3" s="22" t="s">
        <v>45</v>
      </c>
      <c r="LZ3" s="46" t="s">
        <v>700</v>
      </c>
      <c r="MA3" s="22" t="s">
        <v>45</v>
      </c>
      <c r="MB3" s="46" t="s">
        <v>701</v>
      </c>
      <c r="MC3" s="22" t="s">
        <v>45</v>
      </c>
      <c r="MD3" s="48" t="s">
        <v>590</v>
      </c>
      <c r="ME3" s="27" t="s">
        <v>45</v>
      </c>
      <c r="MF3" s="47" t="s">
        <v>454</v>
      </c>
      <c r="MG3" s="22" t="s">
        <v>45</v>
      </c>
      <c r="MH3" s="47" t="s">
        <v>455</v>
      </c>
      <c r="MI3" s="22" t="s">
        <v>45</v>
      </c>
      <c r="MJ3" s="47" t="s">
        <v>462</v>
      </c>
      <c r="MK3" s="22" t="s">
        <v>45</v>
      </c>
      <c r="ML3" s="47" t="s">
        <v>456</v>
      </c>
      <c r="MM3" s="22" t="s">
        <v>45</v>
      </c>
      <c r="MN3" s="47" t="s">
        <v>457</v>
      </c>
      <c r="MO3" s="22" t="s">
        <v>45</v>
      </c>
      <c r="MP3" s="47" t="s">
        <v>458</v>
      </c>
      <c r="MQ3" s="22" t="s">
        <v>45</v>
      </c>
      <c r="MR3" s="47" t="s">
        <v>599</v>
      </c>
      <c r="MS3" s="22" t="s">
        <v>45</v>
      </c>
      <c r="MT3" s="47" t="s">
        <v>461</v>
      </c>
      <c r="MU3" s="22" t="s">
        <v>45</v>
      </c>
      <c r="MV3" s="47" t="s">
        <v>460</v>
      </c>
      <c r="MW3" s="22" t="s">
        <v>45</v>
      </c>
      <c r="MX3" s="47" t="s">
        <v>459</v>
      </c>
      <c r="MY3" s="22" t="s">
        <v>45</v>
      </c>
      <c r="MZ3" s="47" t="s">
        <v>600</v>
      </c>
      <c r="NA3" s="22" t="s">
        <v>45</v>
      </c>
      <c r="NB3" s="46" t="s">
        <v>645</v>
      </c>
      <c r="NC3" s="22" t="s">
        <v>45</v>
      </c>
      <c r="ND3" s="47" t="s">
        <v>646</v>
      </c>
      <c r="NE3" s="22" t="s">
        <v>45</v>
      </c>
      <c r="NF3" s="47" t="s">
        <v>647</v>
      </c>
      <c r="NG3" s="22" t="s">
        <v>45</v>
      </c>
      <c r="NH3" s="47" t="s">
        <v>648</v>
      </c>
      <c r="NI3" s="22" t="s">
        <v>45</v>
      </c>
      <c r="NJ3" s="47" t="s">
        <v>649</v>
      </c>
      <c r="NK3" s="22" t="s">
        <v>45</v>
      </c>
      <c r="NL3" s="47" t="s">
        <v>650</v>
      </c>
      <c r="NM3" s="22" t="s">
        <v>45</v>
      </c>
      <c r="NN3" s="46" t="s">
        <v>664</v>
      </c>
      <c r="NO3" s="22" t="s">
        <v>45</v>
      </c>
      <c r="NP3" s="46" t="s">
        <v>660</v>
      </c>
      <c r="NQ3" s="22" t="s">
        <v>45</v>
      </c>
      <c r="NR3" s="49" t="s">
        <v>634</v>
      </c>
      <c r="NS3" s="28" t="s">
        <v>45</v>
      </c>
      <c r="NT3" s="49" t="s">
        <v>635</v>
      </c>
      <c r="NU3" s="28" t="s">
        <v>45</v>
      </c>
    </row>
    <row r="4" spans="1:385" x14ac:dyDescent="0.2">
      <c r="A4" t="s">
        <v>1</v>
      </c>
      <c r="B4" s="1" t="s">
        <v>1037</v>
      </c>
      <c r="C4" s="1" t="s">
        <v>1035</v>
      </c>
      <c r="D4" s="39" cm="1">
        <f t="array" ref="D4">SUMPRODUCT((ISNUMBER(F4:NU4))*(MOD(COLUMN(F4:NU4),2)=0))</f>
        <v>183</v>
      </c>
      <c r="E4" s="1">
        <v>75.069999999999993</v>
      </c>
      <c r="F4" s="1">
        <v>0.19020000000000001</v>
      </c>
      <c r="G4" s="1" t="s">
        <v>58</v>
      </c>
      <c r="H4" s="1">
        <v>0.8024</v>
      </c>
      <c r="I4" s="1" t="s">
        <v>58</v>
      </c>
      <c r="J4" s="1">
        <v>0.52739999999999998</v>
      </c>
      <c r="K4" s="1">
        <v>6.4399999999999999E-2</v>
      </c>
      <c r="L4" s="1">
        <v>0.27279999999999999</v>
      </c>
      <c r="M4" s="1" t="s">
        <v>58</v>
      </c>
      <c r="N4" s="1">
        <v>0.36470000000000002</v>
      </c>
      <c r="O4" s="1">
        <v>9.7299999999999998E-2</v>
      </c>
      <c r="P4" s="9">
        <f>136/E4</f>
        <v>1.8116424670307714</v>
      </c>
      <c r="Q4" s="9">
        <f>14/E4</f>
        <v>0.18649260690022648</v>
      </c>
      <c r="R4" s="1">
        <v>3.7</v>
      </c>
      <c r="S4" s="1">
        <v>1</v>
      </c>
      <c r="T4" s="1">
        <v>3.46</v>
      </c>
      <c r="U4" s="1">
        <v>0.88</v>
      </c>
      <c r="V4" s="1">
        <v>275</v>
      </c>
      <c r="W4" s="1">
        <v>23</v>
      </c>
      <c r="X4" s="1">
        <v>770</v>
      </c>
      <c r="Y4" s="1">
        <v>5</v>
      </c>
      <c r="Z4" s="9">
        <f>26875/E4</f>
        <v>357.99920074597048</v>
      </c>
      <c r="AA4" s="9">
        <f>1176/E4</f>
        <v>15.665378979619023</v>
      </c>
      <c r="AB4" s="1">
        <v>726</v>
      </c>
      <c r="AC4" s="1">
        <v>205</v>
      </c>
      <c r="AD4" s="1">
        <v>188</v>
      </c>
      <c r="AE4" s="1">
        <v>45</v>
      </c>
      <c r="AF4" s="11">
        <f>105/E4</f>
        <v>1.3986945517516984</v>
      </c>
      <c r="AG4" s="11">
        <f>15/E4</f>
        <v>0.1998135073930998</v>
      </c>
      <c r="AH4" s="11">
        <f>48/E4</f>
        <v>0.63940322365791935</v>
      </c>
      <c r="AI4" s="11">
        <f>10/E4</f>
        <v>0.13320900492873319</v>
      </c>
      <c r="AJ4" s="11">
        <f>2606/E4</f>
        <v>34.714266684427869</v>
      </c>
      <c r="AK4" s="11">
        <f>717/E4</f>
        <v>9.5510856533901709</v>
      </c>
      <c r="AL4" s="1">
        <v>40</v>
      </c>
      <c r="AM4" s="1">
        <v>3</v>
      </c>
      <c r="AN4" s="11">
        <v>32</v>
      </c>
      <c r="AO4" s="11">
        <v>3</v>
      </c>
      <c r="AP4" s="11">
        <v>30.1</v>
      </c>
      <c r="AQ4" s="11">
        <v>6.3</v>
      </c>
      <c r="AR4" s="10">
        <f>1373/E4</f>
        <v>18.289596376715068</v>
      </c>
      <c r="AS4" s="10">
        <f>143/E4</f>
        <v>1.9048887704808848</v>
      </c>
      <c r="AT4" s="11">
        <f>1995/E4</f>
        <v>26.575196483282273</v>
      </c>
      <c r="AU4" s="11">
        <f>122/E4</f>
        <v>1.625149860130545</v>
      </c>
      <c r="AV4" s="11">
        <f>1448/E4</f>
        <v>19.288663913680566</v>
      </c>
      <c r="AW4" s="11">
        <f>682/E4</f>
        <v>9.0848541361396045</v>
      </c>
      <c r="AX4" s="11">
        <f>3391/E4</f>
        <v>45.171173571333426</v>
      </c>
      <c r="AY4" s="11">
        <f>1029/E4</f>
        <v>13.707206607166645</v>
      </c>
      <c r="AZ4" s="1">
        <v>160</v>
      </c>
      <c r="BA4" s="1">
        <v>5</v>
      </c>
      <c r="BB4" s="1">
        <v>1.7</v>
      </c>
      <c r="BC4" s="1">
        <v>0.1</v>
      </c>
      <c r="BD4" s="1">
        <v>42.1</v>
      </c>
      <c r="BE4" s="1" t="s">
        <v>55</v>
      </c>
      <c r="BF4" s="1">
        <v>2.2599999999999998</v>
      </c>
      <c r="BG4" s="1">
        <v>0.27</v>
      </c>
      <c r="BH4" s="1">
        <v>2.96</v>
      </c>
      <c r="BI4" s="1">
        <v>0.76</v>
      </c>
      <c r="BJ4" s="1">
        <v>12.8</v>
      </c>
      <c r="BK4" s="1">
        <v>3.1</v>
      </c>
      <c r="BL4" s="1">
        <v>110</v>
      </c>
      <c r="BM4" s="1">
        <v>5</v>
      </c>
      <c r="BN4" s="1">
        <v>20</v>
      </c>
      <c r="BO4" s="1">
        <v>3</v>
      </c>
      <c r="BP4" s="1">
        <v>158</v>
      </c>
      <c r="BQ4" s="1">
        <v>35</v>
      </c>
      <c r="BR4" s="11">
        <f>865/E4</f>
        <v>11.522578926335422</v>
      </c>
      <c r="BS4" s="11">
        <f>450/E4</f>
        <v>5.9944052217929942</v>
      </c>
      <c r="BT4" s="4">
        <v>10.7</v>
      </c>
      <c r="BU4" s="4">
        <v>0.8</v>
      </c>
      <c r="BV4" s="1">
        <v>0.79</v>
      </c>
      <c r="BW4" s="1">
        <v>0.05</v>
      </c>
      <c r="BX4" s="1">
        <v>0.25</v>
      </c>
      <c r="BY4" s="1">
        <v>0.12</v>
      </c>
      <c r="BZ4" s="10">
        <f>80/E4</f>
        <v>1.0656720394298655</v>
      </c>
      <c r="CA4" s="10">
        <f>10/E4</f>
        <v>0.13320900492873319</v>
      </c>
      <c r="CB4" s="10">
        <f>7.4/E4</f>
        <v>9.857466364726257E-2</v>
      </c>
      <c r="CC4" s="10">
        <f>2.4/E4</f>
        <v>3.1970161182895966E-2</v>
      </c>
      <c r="CD4" s="10">
        <f>63/E4</f>
        <v>0.83921673105101913</v>
      </c>
      <c r="CE4" s="10">
        <f>3/E4</f>
        <v>3.9962701478619959E-2</v>
      </c>
      <c r="CF4" s="10">
        <f>36/E4</f>
        <v>0.47955241774343949</v>
      </c>
      <c r="CG4" s="10">
        <f>2/E4</f>
        <v>2.6641800985746637E-2</v>
      </c>
      <c r="CH4" s="10">
        <f>24/E4</f>
        <v>0.31970161182895968</v>
      </c>
      <c r="CI4" s="10">
        <f>1/E4</f>
        <v>1.3320900492873319E-2</v>
      </c>
      <c r="CJ4" s="10">
        <f>69/E4</f>
        <v>0.91914213400825906</v>
      </c>
      <c r="CK4" s="10">
        <f>24/E4</f>
        <v>0.31970161182895968</v>
      </c>
      <c r="CL4" s="10">
        <f>19/E4</f>
        <v>0.25309710936459306</v>
      </c>
      <c r="CM4" s="10">
        <f>4/E4</f>
        <v>5.3283601971493275E-2</v>
      </c>
      <c r="CN4" s="10">
        <f>57/E4</f>
        <v>0.75929132809377919</v>
      </c>
      <c r="CO4" s="10">
        <f>7/E4</f>
        <v>9.3246303450113241E-2</v>
      </c>
      <c r="CP4" s="10">
        <f>120/E4</f>
        <v>1.5985080591447984</v>
      </c>
      <c r="CQ4" s="10">
        <f>16/E4</f>
        <v>0.2131344078859731</v>
      </c>
      <c r="CR4" s="10">
        <f>49/E4</f>
        <v>0.65272412415079262</v>
      </c>
      <c r="CS4" s="10">
        <f>5/E4</f>
        <v>6.6604502464366597E-2</v>
      </c>
      <c r="CT4" s="10">
        <f>47/E4</f>
        <v>0.62608232316504597</v>
      </c>
      <c r="CU4" s="10">
        <f>1/E4</f>
        <v>1.3320900492873319E-2</v>
      </c>
      <c r="CV4" s="10">
        <f>851/E4</f>
        <v>11.336086319435195</v>
      </c>
      <c r="CW4" s="10">
        <f>87/E4</f>
        <v>1.1589183428799787</v>
      </c>
      <c r="CX4" s="10">
        <f>7.5/E4</f>
        <v>9.9906753696549902E-2</v>
      </c>
      <c r="CY4" s="10">
        <f>0.7/E4</f>
        <v>9.3246303450113237E-3</v>
      </c>
      <c r="CZ4" s="10">
        <f>13/E4</f>
        <v>0.17317170640735316</v>
      </c>
      <c r="DA4" s="10">
        <f>5/E4</f>
        <v>6.6604502464366597E-2</v>
      </c>
      <c r="DB4" s="10">
        <f>19/E4</f>
        <v>0.25309710936459306</v>
      </c>
      <c r="DC4" s="10">
        <f>3/E4</f>
        <v>3.9962701478619959E-2</v>
      </c>
      <c r="DD4" s="10">
        <f>103.1/E4</f>
        <v>1.3733848408152391</v>
      </c>
      <c r="DE4" s="10">
        <f>2.8/E4</f>
        <v>3.7298521380045295E-2</v>
      </c>
      <c r="DF4" s="10">
        <f>256.7/E4</f>
        <v>3.4194751565205808</v>
      </c>
      <c r="DG4" s="10">
        <f>7.2/E4</f>
        <v>9.5910483548687905E-2</v>
      </c>
      <c r="DH4" s="10">
        <f>4531/E4</f>
        <v>60.357000133209013</v>
      </c>
      <c r="DI4" s="10">
        <f>429/E4</f>
        <v>5.7146663114426541</v>
      </c>
      <c r="DJ4" s="10">
        <f>4609/E4</f>
        <v>61.396030371653133</v>
      </c>
      <c r="DK4" s="10">
        <f>718/E4</f>
        <v>9.5644065538830425</v>
      </c>
      <c r="DL4" s="10">
        <f>5747/E4</f>
        <v>76.555215132542969</v>
      </c>
      <c r="DM4" s="10">
        <f>838/E4</f>
        <v>11.162914613027842</v>
      </c>
      <c r="DN4" s="10">
        <f>39/E4</f>
        <v>0.51951511922205951</v>
      </c>
      <c r="DO4" s="10">
        <f>6/E4</f>
        <v>7.9925402957239919E-2</v>
      </c>
      <c r="DP4" s="10">
        <f>900/E4</f>
        <v>11.988810443585988</v>
      </c>
      <c r="DQ4" s="10">
        <f>6/E4</f>
        <v>7.9925402957239919E-2</v>
      </c>
      <c r="DR4" s="10">
        <f>6.4/E4</f>
        <v>8.5253763154389248E-2</v>
      </c>
      <c r="DS4" s="10">
        <f>0.5/E4</f>
        <v>6.6604502464366593E-3</v>
      </c>
      <c r="DT4" s="10">
        <f>623/E4</f>
        <v>8.2989210070600787</v>
      </c>
      <c r="DU4" s="10">
        <f>193/E4</f>
        <v>2.5709337951245508</v>
      </c>
      <c r="DV4" s="10">
        <f>19/E4</f>
        <v>0.25309710936459306</v>
      </c>
      <c r="DW4" s="10">
        <f>2/E4</f>
        <v>2.6641800985746637E-2</v>
      </c>
      <c r="DX4" s="10">
        <f>13/E4</f>
        <v>0.17317170640735316</v>
      </c>
      <c r="DY4" s="10">
        <f>1/E4</f>
        <v>1.3320900492873319E-2</v>
      </c>
      <c r="DZ4" s="10">
        <f>59/E4</f>
        <v>0.78593312907952584</v>
      </c>
      <c r="EA4" s="10">
        <f>9/E4</f>
        <v>0.11988810443585987</v>
      </c>
      <c r="EB4" s="10">
        <f>3.8/E4</f>
        <v>5.061942187291861E-2</v>
      </c>
      <c r="EC4" s="10">
        <f>1.2/E4</f>
        <v>1.5985080591447983E-2</v>
      </c>
      <c r="ED4" s="10">
        <f>45/E4</f>
        <v>0.59944052217929933</v>
      </c>
      <c r="EE4" s="10">
        <f>6/E4</f>
        <v>7.9925402957239919E-2</v>
      </c>
      <c r="EF4" s="10">
        <f>14/E4</f>
        <v>0.18649260690022648</v>
      </c>
      <c r="EG4" s="10">
        <f>1/E4</f>
        <v>1.3320900492873319E-2</v>
      </c>
      <c r="EH4" s="10" t="s">
        <v>233</v>
      </c>
      <c r="EI4" s="10" t="s">
        <v>55</v>
      </c>
      <c r="EJ4" s="10" t="s">
        <v>233</v>
      </c>
      <c r="EK4" s="10" t="s">
        <v>55</v>
      </c>
      <c r="EL4" s="10">
        <f>3.6/1000</f>
        <v>3.5999999999999999E-3</v>
      </c>
      <c r="EM4" s="10">
        <f>0.7/1000</f>
        <v>6.9999999999999999E-4</v>
      </c>
      <c r="EN4" s="8">
        <f>534.6/E4</f>
        <v>7.1213534034900769</v>
      </c>
      <c r="EO4" s="8">
        <f>12.7/E4</f>
        <v>0.16917543625949114</v>
      </c>
      <c r="EP4" s="8">
        <f>294.2/E4</f>
        <v>3.9190089250033306</v>
      </c>
      <c r="EQ4" s="8">
        <f>4.6/E4</f>
        <v>6.1276142267217268E-2</v>
      </c>
      <c r="ER4" s="8">
        <f>15/E4</f>
        <v>0.1998135073930998</v>
      </c>
      <c r="ES4" s="8">
        <f>1/E4</f>
        <v>1.3320900492873319E-2</v>
      </c>
      <c r="ET4" s="8">
        <f>13/E4</f>
        <v>0.17317170640735316</v>
      </c>
      <c r="EU4" s="8">
        <f>1/E4</f>
        <v>1.3320900492873319E-2</v>
      </c>
      <c r="EV4" s="8">
        <f>41/E4</f>
        <v>0.54615692020780615</v>
      </c>
      <c r="EW4" s="8">
        <f>12/E4</f>
        <v>0.15985080591447984</v>
      </c>
      <c r="EX4" s="8">
        <f>45/E4</f>
        <v>0.59944052217929933</v>
      </c>
      <c r="EY4" s="8">
        <f>11/E4</f>
        <v>0.14652990542160652</v>
      </c>
      <c r="EZ4" s="8">
        <f>24/E4</f>
        <v>0.31970161182895968</v>
      </c>
      <c r="FA4" s="8">
        <f>3/E4</f>
        <v>3.9962701478619959E-2</v>
      </c>
      <c r="FB4" s="8">
        <f>18/E4</f>
        <v>0.23977620887171974</v>
      </c>
      <c r="FC4" s="8">
        <f>1/E4</f>
        <v>1.3320900492873319E-2</v>
      </c>
      <c r="FD4" s="8">
        <f>1.8/E4</f>
        <v>2.3977620887171976E-2</v>
      </c>
      <c r="FE4" s="8">
        <f>0.6/E4</f>
        <v>7.9925402957239915E-3</v>
      </c>
      <c r="FF4" s="10">
        <f>135/E4</f>
        <v>1.7983215665378982</v>
      </c>
      <c r="FG4" s="10">
        <f>44/E4</f>
        <v>0.58611962168642606</v>
      </c>
      <c r="FH4" s="10">
        <f>138/E4</f>
        <v>1.8382842680165181</v>
      </c>
      <c r="FI4" s="10">
        <f>43/E4</f>
        <v>0.57279872119355268</v>
      </c>
      <c r="FJ4" s="10">
        <f>104/E4</f>
        <v>1.3853736512588253</v>
      </c>
      <c r="FK4" s="10">
        <f>35/E4</f>
        <v>0.46623151725056616</v>
      </c>
      <c r="FL4" s="10">
        <f>180/E4</f>
        <v>2.3977620887171973</v>
      </c>
      <c r="FM4" s="10">
        <f>44/E4</f>
        <v>0.58611962168642606</v>
      </c>
      <c r="FN4" s="10">
        <f>251/E4</f>
        <v>3.3435460237112031</v>
      </c>
      <c r="FO4" s="10">
        <f>82/E4</f>
        <v>1.0923138404156123</v>
      </c>
      <c r="FP4" s="10">
        <f>59/E4</f>
        <v>0.78593312907952584</v>
      </c>
      <c r="FQ4" s="10">
        <f>18/E4</f>
        <v>0.23977620887171974</v>
      </c>
      <c r="FR4" s="10">
        <f>126/E4</f>
        <v>1.6784334621020383</v>
      </c>
      <c r="FS4" s="10">
        <f>25/E4</f>
        <v>0.333022512321833</v>
      </c>
      <c r="FT4" s="8">
        <v>17.68</v>
      </c>
      <c r="FU4" s="8">
        <v>0.18</v>
      </c>
      <c r="FV4" s="8">
        <v>4.18</v>
      </c>
      <c r="FW4" s="8">
        <v>0.14000000000000001</v>
      </c>
      <c r="FX4" s="8">
        <v>1.3</v>
      </c>
      <c r="FY4" s="8">
        <v>0.17</v>
      </c>
      <c r="FZ4" s="8">
        <v>3.17</v>
      </c>
      <c r="GA4" s="8">
        <v>0.01</v>
      </c>
      <c r="GB4" s="8">
        <v>0.44</v>
      </c>
      <c r="GC4" s="8">
        <v>0.02</v>
      </c>
      <c r="GD4" s="8">
        <v>0.42</v>
      </c>
      <c r="GE4" s="8">
        <v>0.02</v>
      </c>
      <c r="GF4" s="8">
        <v>1.52</v>
      </c>
      <c r="GG4" s="8">
        <v>0.09</v>
      </c>
      <c r="GH4" s="8" t="s">
        <v>157</v>
      </c>
      <c r="GI4" s="8" t="s">
        <v>55</v>
      </c>
      <c r="GJ4" s="8">
        <v>30.41</v>
      </c>
      <c r="GK4" s="8">
        <v>6.47</v>
      </c>
      <c r="GL4" s="8">
        <v>1.44</v>
      </c>
      <c r="GM4" s="8">
        <v>0.06</v>
      </c>
      <c r="GN4" s="8">
        <v>1.57</v>
      </c>
      <c r="GO4" s="8">
        <v>0.08</v>
      </c>
      <c r="GP4" s="8">
        <v>34.4</v>
      </c>
      <c r="GQ4" s="8">
        <v>0.31</v>
      </c>
      <c r="GR4" s="8">
        <v>0.46</v>
      </c>
      <c r="GS4" s="8">
        <v>0.05</v>
      </c>
      <c r="GT4" s="8">
        <v>1</v>
      </c>
      <c r="GU4" s="8">
        <v>0.2</v>
      </c>
      <c r="GV4" s="8">
        <v>44</v>
      </c>
      <c r="GW4" s="8">
        <v>1</v>
      </c>
      <c r="GX4" s="8">
        <f>23/E4</f>
        <v>0.30638071133608635</v>
      </c>
      <c r="GY4" s="8">
        <f>4/E4</f>
        <v>5.3283601971493275E-2</v>
      </c>
      <c r="GZ4" s="10">
        <v>28.456099999999999</v>
      </c>
      <c r="HA4" s="10" t="s">
        <v>55</v>
      </c>
      <c r="HB4" s="10">
        <v>29.298500000000001</v>
      </c>
      <c r="HC4" s="10" t="s">
        <v>55</v>
      </c>
      <c r="HD4" s="10">
        <v>112.59269999999999</v>
      </c>
      <c r="HE4" s="10" t="s">
        <v>55</v>
      </c>
      <c r="HF4" s="10">
        <v>130.3263</v>
      </c>
      <c r="HG4" s="10" t="s">
        <v>55</v>
      </c>
      <c r="HH4" s="10">
        <v>184.07060000000001</v>
      </c>
      <c r="HI4" s="10" t="s">
        <v>55</v>
      </c>
      <c r="HJ4" s="10">
        <v>32.5197</v>
      </c>
      <c r="HK4" s="10" t="s">
        <v>55</v>
      </c>
      <c r="HL4" s="10">
        <v>19.717400000000001</v>
      </c>
      <c r="HM4" s="10" t="s">
        <v>55</v>
      </c>
      <c r="HN4" s="10">
        <v>76.515299999999996</v>
      </c>
      <c r="HO4" s="10" t="s">
        <v>55</v>
      </c>
      <c r="HP4" s="10">
        <v>1370</v>
      </c>
      <c r="HQ4" s="10">
        <v>40</v>
      </c>
      <c r="HR4" s="10">
        <v>1330</v>
      </c>
      <c r="HS4" s="10">
        <v>60</v>
      </c>
      <c r="HT4" s="10">
        <v>240</v>
      </c>
      <c r="HU4" s="10">
        <v>20</v>
      </c>
      <c r="HV4" s="10">
        <v>140</v>
      </c>
      <c r="HW4" s="10">
        <v>11</v>
      </c>
      <c r="HX4" s="10" t="s">
        <v>75</v>
      </c>
      <c r="HY4" s="10" t="s">
        <v>55</v>
      </c>
      <c r="HZ4" s="10">
        <v>185</v>
      </c>
      <c r="IA4" s="10">
        <v>16</v>
      </c>
      <c r="IB4" s="10">
        <v>195</v>
      </c>
      <c r="IC4" s="10">
        <v>8</v>
      </c>
      <c r="ID4" s="10">
        <v>15.6157</v>
      </c>
      <c r="IE4" s="10">
        <v>6.8861999999999997</v>
      </c>
      <c r="IF4" s="4" t="s">
        <v>75</v>
      </c>
      <c r="IG4" s="4" t="s">
        <v>55</v>
      </c>
      <c r="IH4" s="4">
        <v>9.4</v>
      </c>
      <c r="II4" s="4" t="s">
        <v>55</v>
      </c>
      <c r="IJ4" s="4">
        <v>4.3</v>
      </c>
      <c r="IK4" s="4" t="s">
        <v>55</v>
      </c>
      <c r="IL4" s="4">
        <v>2.1</v>
      </c>
      <c r="IM4" s="4" t="s">
        <v>55</v>
      </c>
      <c r="IN4" s="4">
        <v>19.399999999999999</v>
      </c>
      <c r="IO4" s="4" t="s">
        <v>55</v>
      </c>
      <c r="IP4" s="4">
        <v>213</v>
      </c>
      <c r="IQ4" s="4" t="s">
        <v>55</v>
      </c>
      <c r="IR4" s="4">
        <v>4.18</v>
      </c>
      <c r="IS4" s="4">
        <v>0.55000000000000004</v>
      </c>
      <c r="IT4" s="1">
        <v>7.2</v>
      </c>
      <c r="IU4" s="1">
        <v>4.8</v>
      </c>
      <c r="IV4" s="4">
        <v>9.0299999999999994</v>
      </c>
      <c r="IW4" s="4" t="s">
        <v>55</v>
      </c>
      <c r="IX4" s="4">
        <f>5.33*1000</f>
        <v>5330</v>
      </c>
      <c r="IY4" s="4" t="s">
        <v>55</v>
      </c>
      <c r="IZ4" s="4">
        <f>2.62*1000</f>
        <v>2620</v>
      </c>
      <c r="JA4" s="4" t="s">
        <v>55</v>
      </c>
      <c r="JB4" s="4">
        <f>2.85*1000</f>
        <v>2850</v>
      </c>
      <c r="JC4" s="4" t="s">
        <v>55</v>
      </c>
      <c r="JD4" s="4">
        <f>0.81*1000</f>
        <v>810</v>
      </c>
      <c r="JE4" s="4" t="s">
        <v>55</v>
      </c>
      <c r="JF4" s="4">
        <v>0.44800000000000001</v>
      </c>
      <c r="JG4" s="4" t="s">
        <v>55</v>
      </c>
      <c r="JH4" s="4">
        <v>0.36199999999999999</v>
      </c>
      <c r="JI4" s="4" t="s">
        <v>55</v>
      </c>
      <c r="JJ4" s="4">
        <v>0.54200000000000004</v>
      </c>
      <c r="JK4" s="4" t="s">
        <v>55</v>
      </c>
      <c r="JL4" s="4">
        <v>2.633</v>
      </c>
      <c r="JM4" s="4" t="s">
        <v>55</v>
      </c>
      <c r="JN4" s="4">
        <v>1.619</v>
      </c>
      <c r="JO4" s="4" t="s">
        <v>55</v>
      </c>
      <c r="JP4" s="4">
        <v>1.2549999999999999</v>
      </c>
      <c r="JQ4" s="4" t="s">
        <v>55</v>
      </c>
      <c r="JR4" s="4">
        <v>1.524</v>
      </c>
      <c r="JS4" s="4" t="s">
        <v>55</v>
      </c>
      <c r="JT4" s="4">
        <v>1.5509999999999999</v>
      </c>
      <c r="JU4" s="4" t="s">
        <v>55</v>
      </c>
      <c r="JV4" s="4">
        <v>76.28</v>
      </c>
      <c r="JW4" s="4" t="s">
        <v>55</v>
      </c>
      <c r="JX4" s="26">
        <v>3988.5955375770905</v>
      </c>
      <c r="JY4" s="26">
        <v>1722.1123960817351</v>
      </c>
      <c r="JZ4" s="26">
        <v>4133.6994977525801</v>
      </c>
      <c r="KA4" s="26">
        <v>1375.9511685500172</v>
      </c>
      <c r="KB4" s="26">
        <v>4011.3628615314906</v>
      </c>
      <c r="KC4" s="26">
        <v>1390.4953787302982</v>
      </c>
      <c r="KD4" s="26">
        <v>11909.261315126443</v>
      </c>
      <c r="KE4" s="26">
        <v>10364.605698136267</v>
      </c>
      <c r="KF4" s="26">
        <v>4767.8105316750089</v>
      </c>
      <c r="KG4" s="26">
        <v>636.66755875150534</v>
      </c>
      <c r="KH4" s="4">
        <f>203.7*1000</f>
        <v>203700</v>
      </c>
      <c r="KI4" s="4">
        <f>7.3*1000</f>
        <v>7300</v>
      </c>
      <c r="KJ4" s="4">
        <f>875.3*1000</f>
        <v>875300</v>
      </c>
      <c r="KK4" s="4">
        <f>36.8*1000</f>
        <v>36800</v>
      </c>
      <c r="KL4" s="4">
        <f>83.2*1000</f>
        <v>83200</v>
      </c>
      <c r="KM4" s="4">
        <f>8.5*1000</f>
        <v>8500</v>
      </c>
      <c r="KN4" s="4">
        <f>166.4*1000</f>
        <v>166400</v>
      </c>
      <c r="KO4" s="4">
        <f>17*1000</f>
        <v>17000</v>
      </c>
      <c r="KP4" s="4">
        <f>455.6*1000</f>
        <v>455600</v>
      </c>
      <c r="KQ4" s="4">
        <f>28.2*1000</f>
        <v>28200</v>
      </c>
      <c r="KR4" s="4" t="s">
        <v>56</v>
      </c>
      <c r="KS4" s="4" t="s">
        <v>55</v>
      </c>
      <c r="KT4" s="4" t="s">
        <v>56</v>
      </c>
      <c r="KU4" s="4" t="s">
        <v>55</v>
      </c>
      <c r="KV4" s="4">
        <v>3538.3</v>
      </c>
      <c r="KW4" s="4">
        <v>614.79999999999995</v>
      </c>
      <c r="KX4" s="4">
        <v>4483.3999999999996</v>
      </c>
      <c r="KY4" s="4">
        <v>440.2</v>
      </c>
      <c r="KZ4" s="4">
        <v>4450.3</v>
      </c>
      <c r="LA4" s="4">
        <v>243.9</v>
      </c>
      <c r="LB4" s="10">
        <f>((2.67/100)*1000000000)/E4</f>
        <v>355668.04315971758</v>
      </c>
      <c r="LC4" s="10">
        <f>((0.01/100)*1000000000)/E4</f>
        <v>1332.090049287332</v>
      </c>
      <c r="LD4" s="10">
        <f>2.4*1000</f>
        <v>2400</v>
      </c>
      <c r="LE4" s="10">
        <f>0.3*1000</f>
        <v>300</v>
      </c>
      <c r="LF4" s="10">
        <f>2.35*1000</f>
        <v>2350</v>
      </c>
      <c r="LG4" s="10">
        <f>0.35*1000</f>
        <v>350</v>
      </c>
      <c r="LH4" s="10">
        <f>1.68*1000</f>
        <v>1680</v>
      </c>
      <c r="LI4" s="10">
        <f>0.17*1000</f>
        <v>170</v>
      </c>
      <c r="LJ4" s="10">
        <f>((7.59/100)*1000000000)/E4</f>
        <v>1011056.3474090849</v>
      </c>
      <c r="LK4" s="10" t="s">
        <v>162</v>
      </c>
      <c r="LL4" s="10">
        <f>(40.9*1000000)/E4</f>
        <v>544824.83015851874</v>
      </c>
      <c r="LM4" s="10">
        <f>(1.66*1000000)/E4</f>
        <v>22112.694818169712</v>
      </c>
      <c r="LN4" s="10">
        <f>((2.98/100)*1000000000)/E4</f>
        <v>396962.83468762494</v>
      </c>
      <c r="LO4" s="10" t="s">
        <v>162</v>
      </c>
      <c r="LP4" s="10">
        <f>((17.1/100)*1000000000)/E4</f>
        <v>2277873.9842813378</v>
      </c>
      <c r="LQ4" s="10" t="s">
        <v>162</v>
      </c>
      <c r="LR4" s="10">
        <f>((4.3/100)*1000000000)/E4</f>
        <v>572798.72119355272</v>
      </c>
      <c r="LS4" s="10" t="s">
        <v>162</v>
      </c>
      <c r="LT4" s="10">
        <f>((12.04/100)*1000000000)/E4</f>
        <v>1603836.4193419477</v>
      </c>
      <c r="LU4" s="10" t="s">
        <v>162</v>
      </c>
      <c r="LV4" s="10">
        <f>((97/100)*1000000)/E4</f>
        <v>12921.27347808712</v>
      </c>
      <c r="LW4" s="10" t="s">
        <v>55</v>
      </c>
      <c r="LX4" s="10">
        <f>((97/100)*1000000)/E4</f>
        <v>12921.27347808712</v>
      </c>
      <c r="LY4" s="10" t="s">
        <v>55</v>
      </c>
      <c r="LZ4" s="10">
        <f>((106/100)*1000000)/E4</f>
        <v>14120.154522445719</v>
      </c>
      <c r="MA4" s="10" t="s">
        <v>55</v>
      </c>
      <c r="MB4" s="10">
        <f>((91/100)*1000000)/E4</f>
        <v>12122.01944851472</v>
      </c>
      <c r="MC4" s="10" t="s">
        <v>55</v>
      </c>
      <c r="MD4" s="4">
        <v>13043</v>
      </c>
      <c r="ME4" s="4" t="s">
        <v>55</v>
      </c>
      <c r="MF4" s="4">
        <v>12284</v>
      </c>
      <c r="MG4" s="4" t="s">
        <v>55</v>
      </c>
      <c r="MH4" s="4">
        <v>11886</v>
      </c>
      <c r="MI4" s="4" t="s">
        <v>55</v>
      </c>
      <c r="MJ4" s="4">
        <v>11604</v>
      </c>
      <c r="MK4" s="4" t="s">
        <v>55</v>
      </c>
      <c r="ML4" s="4">
        <v>13351</v>
      </c>
      <c r="MM4" s="4" t="s">
        <v>55</v>
      </c>
      <c r="MN4" s="4">
        <v>15486</v>
      </c>
      <c r="MO4" s="4" t="s">
        <v>55</v>
      </c>
      <c r="MP4" s="4">
        <v>13824</v>
      </c>
      <c r="MQ4" s="4" t="s">
        <v>55</v>
      </c>
      <c r="MR4" s="4">
        <v>12183</v>
      </c>
      <c r="MS4" s="4" t="s">
        <v>55</v>
      </c>
      <c r="MT4" s="4">
        <v>14719</v>
      </c>
      <c r="MU4" s="4" t="s">
        <v>55</v>
      </c>
      <c r="MV4" s="4">
        <v>13059</v>
      </c>
      <c r="MW4" s="4" t="s">
        <v>55</v>
      </c>
      <c r="MX4" s="4">
        <v>9958</v>
      </c>
      <c r="MY4" s="4" t="s">
        <v>55</v>
      </c>
      <c r="MZ4" s="4">
        <v>13611</v>
      </c>
      <c r="NA4" s="4" t="s">
        <v>55</v>
      </c>
      <c r="NB4" s="10">
        <f>(0.16*1000000)/E4</f>
        <v>2131.3440788597313</v>
      </c>
      <c r="NC4" s="10" t="s">
        <v>55</v>
      </c>
      <c r="ND4" s="10">
        <f>(0.14*1000000)/E4</f>
        <v>1864.9260690022647</v>
      </c>
      <c r="NE4" s="10" t="s">
        <v>55</v>
      </c>
      <c r="NF4" s="10">
        <f>(0.1*1000000)/E4</f>
        <v>1332.090049287332</v>
      </c>
      <c r="NG4" s="10" t="s">
        <v>55</v>
      </c>
      <c r="NH4" s="10">
        <f>(2.28*1000000)/E4</f>
        <v>30371.65312375117</v>
      </c>
      <c r="NI4" s="10" t="s">
        <v>55</v>
      </c>
      <c r="NJ4" s="10">
        <f>(18*1000000)/E4</f>
        <v>239776.20887171975</v>
      </c>
      <c r="NK4" s="10" t="s">
        <v>55</v>
      </c>
      <c r="NL4" s="10">
        <f>(0.365*1000000)/E4</f>
        <v>4862.1286798987612</v>
      </c>
      <c r="NM4" s="4" t="s">
        <v>55</v>
      </c>
      <c r="NN4" s="4">
        <f>((7.13/100)*1000000)/E4</f>
        <v>949.78020514186767</v>
      </c>
      <c r="NO4" s="4" t="s">
        <v>55</v>
      </c>
      <c r="NP4" s="4">
        <f>(28.8*1000000)/E4</f>
        <v>383641.93419475161</v>
      </c>
      <c r="NQ4" s="4">
        <f>(0.35*1000000)/E4</f>
        <v>4662.3151725056614</v>
      </c>
      <c r="NR4" s="10">
        <f>(237*1000)/E4</f>
        <v>3157.0534168109766</v>
      </c>
      <c r="NS4" s="10">
        <f>(26*1000)/E4</f>
        <v>346.34341281470631</v>
      </c>
      <c r="NT4" s="10">
        <f>(288*1000)/E4</f>
        <v>3836.4193419475159</v>
      </c>
      <c r="NU4" s="10">
        <f>(42*1000)/E4</f>
        <v>559.47782070067944</v>
      </c>
    </row>
    <row r="5" spans="1:385" x14ac:dyDescent="0.2">
      <c r="A5" t="s">
        <v>707</v>
      </c>
      <c r="B5" s="1" t="s">
        <v>1040</v>
      </c>
      <c r="C5" s="1" t="s">
        <v>1035</v>
      </c>
      <c r="D5" s="39" cm="1">
        <f t="array" ref="D5">SUMPRODUCT((ISNUMBER(F5:NU5))*(MOD(COLUMN(F5:NU5),2)=0))</f>
        <v>3</v>
      </c>
      <c r="E5" s="1">
        <v>125.14</v>
      </c>
      <c r="F5" s="1" t="s">
        <v>56</v>
      </c>
      <c r="G5" s="1" t="s">
        <v>55</v>
      </c>
      <c r="H5" s="1" t="s">
        <v>56</v>
      </c>
      <c r="I5" s="1" t="s">
        <v>55</v>
      </c>
      <c r="J5" s="1" t="s">
        <v>56</v>
      </c>
      <c r="K5" s="1" t="s">
        <v>55</v>
      </c>
      <c r="L5" s="1" t="s">
        <v>56</v>
      </c>
      <c r="M5" s="1" t="s">
        <v>55</v>
      </c>
      <c r="N5" s="1" t="s">
        <v>56</v>
      </c>
      <c r="O5" s="1" t="s">
        <v>55</v>
      </c>
      <c r="P5" s="1" t="s">
        <v>56</v>
      </c>
      <c r="Q5" s="1" t="s">
        <v>55</v>
      </c>
      <c r="R5" s="1" t="s">
        <v>56</v>
      </c>
      <c r="S5" s="1" t="s">
        <v>55</v>
      </c>
      <c r="T5" s="1" t="s">
        <v>56</v>
      </c>
      <c r="U5" s="1" t="s">
        <v>55</v>
      </c>
      <c r="V5" s="1" t="s">
        <v>56</v>
      </c>
      <c r="W5" s="1" t="s">
        <v>55</v>
      </c>
      <c r="X5" s="1" t="s">
        <v>56</v>
      </c>
      <c r="Y5" s="1" t="s">
        <v>55</v>
      </c>
      <c r="Z5" s="1" t="s">
        <v>56</v>
      </c>
      <c r="AA5" s="1" t="s">
        <v>55</v>
      </c>
      <c r="AB5" s="1" t="s">
        <v>56</v>
      </c>
      <c r="AC5" s="1" t="s">
        <v>55</v>
      </c>
      <c r="AD5" s="1" t="s">
        <v>56</v>
      </c>
      <c r="AE5" s="1" t="s">
        <v>55</v>
      </c>
      <c r="AF5" s="1" t="s">
        <v>56</v>
      </c>
      <c r="AG5" s="1" t="s">
        <v>55</v>
      </c>
      <c r="AH5" s="1" t="s">
        <v>56</v>
      </c>
      <c r="AI5" s="1" t="s">
        <v>55</v>
      </c>
      <c r="AJ5" s="1" t="s">
        <v>56</v>
      </c>
      <c r="AK5" s="1" t="s">
        <v>55</v>
      </c>
      <c r="AL5" s="1" t="s">
        <v>56</v>
      </c>
      <c r="AM5" s="1" t="s">
        <v>55</v>
      </c>
      <c r="AN5" s="1" t="s">
        <v>56</v>
      </c>
      <c r="AO5" s="1" t="s">
        <v>55</v>
      </c>
      <c r="AP5" s="1" t="s">
        <v>56</v>
      </c>
      <c r="AQ5" s="1" t="s">
        <v>55</v>
      </c>
      <c r="AR5" s="1" t="s">
        <v>56</v>
      </c>
      <c r="AS5" s="1" t="s">
        <v>55</v>
      </c>
      <c r="AT5" s="1" t="s">
        <v>56</v>
      </c>
      <c r="AU5" s="1" t="s">
        <v>55</v>
      </c>
      <c r="AV5" s="1" t="s">
        <v>56</v>
      </c>
      <c r="AW5" s="1" t="s">
        <v>55</v>
      </c>
      <c r="AX5" s="1" t="s">
        <v>56</v>
      </c>
      <c r="AY5" s="1" t="s">
        <v>55</v>
      </c>
      <c r="AZ5" s="1" t="s">
        <v>56</v>
      </c>
      <c r="BA5" s="1" t="s">
        <v>55</v>
      </c>
      <c r="BB5" s="1" t="s">
        <v>56</v>
      </c>
      <c r="BC5" s="1" t="s">
        <v>55</v>
      </c>
      <c r="BD5" s="1" t="s">
        <v>56</v>
      </c>
      <c r="BE5" s="1" t="s">
        <v>55</v>
      </c>
      <c r="BF5" s="1" t="s">
        <v>56</v>
      </c>
      <c r="BG5" s="1" t="s">
        <v>55</v>
      </c>
      <c r="BH5" s="1" t="s">
        <v>56</v>
      </c>
      <c r="BI5" s="1" t="s">
        <v>55</v>
      </c>
      <c r="BJ5" s="1" t="s">
        <v>56</v>
      </c>
      <c r="BK5" s="1" t="s">
        <v>55</v>
      </c>
      <c r="BL5" s="1" t="s">
        <v>56</v>
      </c>
      <c r="BM5" s="1" t="s">
        <v>55</v>
      </c>
      <c r="BN5" s="1" t="s">
        <v>56</v>
      </c>
      <c r="BO5" s="1" t="s">
        <v>55</v>
      </c>
      <c r="BP5" s="1" t="s">
        <v>56</v>
      </c>
      <c r="BQ5" s="1" t="s">
        <v>55</v>
      </c>
      <c r="BR5" s="1" t="s">
        <v>56</v>
      </c>
      <c r="BS5" s="1" t="s">
        <v>55</v>
      </c>
      <c r="BT5" s="1" t="s">
        <v>56</v>
      </c>
      <c r="BU5" s="1" t="s">
        <v>55</v>
      </c>
      <c r="BV5" s="1" t="s">
        <v>56</v>
      </c>
      <c r="BW5" s="1" t="s">
        <v>55</v>
      </c>
      <c r="BX5" s="1" t="s">
        <v>56</v>
      </c>
      <c r="BY5" s="1" t="s">
        <v>55</v>
      </c>
      <c r="BZ5" s="1" t="s">
        <v>56</v>
      </c>
      <c r="CA5" s="1" t="s">
        <v>55</v>
      </c>
      <c r="CB5" s="1" t="s">
        <v>56</v>
      </c>
      <c r="CC5" s="1" t="s">
        <v>55</v>
      </c>
      <c r="CD5" s="1" t="s">
        <v>56</v>
      </c>
      <c r="CE5" s="1" t="s">
        <v>55</v>
      </c>
      <c r="CF5" s="1" t="s">
        <v>56</v>
      </c>
      <c r="CG5" s="1" t="s">
        <v>55</v>
      </c>
      <c r="CH5" s="1" t="s">
        <v>56</v>
      </c>
      <c r="CI5" s="1" t="s">
        <v>55</v>
      </c>
      <c r="CJ5" s="1" t="s">
        <v>56</v>
      </c>
      <c r="CK5" s="1" t="s">
        <v>55</v>
      </c>
      <c r="CL5" s="1" t="s">
        <v>56</v>
      </c>
      <c r="CM5" s="1" t="s">
        <v>55</v>
      </c>
      <c r="CN5" s="1" t="s">
        <v>56</v>
      </c>
      <c r="CO5" s="1" t="s">
        <v>55</v>
      </c>
      <c r="CP5" s="1" t="s">
        <v>56</v>
      </c>
      <c r="CQ5" s="1" t="s">
        <v>55</v>
      </c>
      <c r="CR5" s="1" t="s">
        <v>56</v>
      </c>
      <c r="CS5" s="1" t="s">
        <v>55</v>
      </c>
      <c r="CT5" s="1" t="s">
        <v>56</v>
      </c>
      <c r="CU5" s="1" t="s">
        <v>55</v>
      </c>
      <c r="CV5" s="1" t="s">
        <v>56</v>
      </c>
      <c r="CW5" s="1" t="s">
        <v>55</v>
      </c>
      <c r="CX5" s="1" t="s">
        <v>56</v>
      </c>
      <c r="CY5" s="1" t="s">
        <v>55</v>
      </c>
      <c r="CZ5" s="1" t="s">
        <v>56</v>
      </c>
      <c r="DA5" s="1" t="s">
        <v>55</v>
      </c>
      <c r="DB5" s="1" t="s">
        <v>56</v>
      </c>
      <c r="DC5" s="1" t="s">
        <v>55</v>
      </c>
      <c r="DD5" s="1" t="s">
        <v>56</v>
      </c>
      <c r="DE5" s="1" t="s">
        <v>55</v>
      </c>
      <c r="DF5" s="1" t="s">
        <v>56</v>
      </c>
      <c r="DG5" s="1" t="s">
        <v>55</v>
      </c>
      <c r="DH5" s="1" t="s">
        <v>56</v>
      </c>
      <c r="DI5" s="1" t="s">
        <v>55</v>
      </c>
      <c r="DJ5" s="1" t="s">
        <v>56</v>
      </c>
      <c r="DK5" s="1" t="s">
        <v>55</v>
      </c>
      <c r="DL5" s="1" t="s">
        <v>56</v>
      </c>
      <c r="DM5" s="1" t="s">
        <v>55</v>
      </c>
      <c r="DN5" s="1" t="s">
        <v>56</v>
      </c>
      <c r="DO5" s="1" t="s">
        <v>55</v>
      </c>
      <c r="DP5" s="1" t="s">
        <v>56</v>
      </c>
      <c r="DQ5" s="1" t="s">
        <v>55</v>
      </c>
      <c r="DR5" s="1" t="s">
        <v>56</v>
      </c>
      <c r="DS5" s="1" t="s">
        <v>55</v>
      </c>
      <c r="DT5" s="1" t="s">
        <v>56</v>
      </c>
      <c r="DU5" s="1" t="s">
        <v>55</v>
      </c>
      <c r="DV5" s="1" t="s">
        <v>56</v>
      </c>
      <c r="DW5" s="1" t="s">
        <v>55</v>
      </c>
      <c r="DX5" s="1" t="s">
        <v>56</v>
      </c>
      <c r="DY5" s="1" t="s">
        <v>55</v>
      </c>
      <c r="DZ5" s="1" t="s">
        <v>56</v>
      </c>
      <c r="EA5" s="1" t="s">
        <v>55</v>
      </c>
      <c r="EB5" s="1" t="s">
        <v>56</v>
      </c>
      <c r="EC5" s="1" t="s">
        <v>55</v>
      </c>
      <c r="ED5" s="1" t="s">
        <v>56</v>
      </c>
      <c r="EE5" s="1" t="s">
        <v>55</v>
      </c>
      <c r="EF5" s="1" t="s">
        <v>56</v>
      </c>
      <c r="EG5" s="1" t="s">
        <v>55</v>
      </c>
      <c r="EH5" s="1" t="s">
        <v>56</v>
      </c>
      <c r="EI5" s="1" t="s">
        <v>55</v>
      </c>
      <c r="EJ5" s="1" t="s">
        <v>56</v>
      </c>
      <c r="EK5" s="1" t="s">
        <v>55</v>
      </c>
      <c r="EL5" s="1" t="s">
        <v>56</v>
      </c>
      <c r="EM5" s="1" t="s">
        <v>55</v>
      </c>
      <c r="EN5" s="1" t="s">
        <v>56</v>
      </c>
      <c r="EO5" s="1" t="s">
        <v>55</v>
      </c>
      <c r="EP5" s="1" t="s">
        <v>56</v>
      </c>
      <c r="EQ5" s="1" t="s">
        <v>55</v>
      </c>
      <c r="ER5" s="1" t="s">
        <v>56</v>
      </c>
      <c r="ES5" s="1" t="s">
        <v>55</v>
      </c>
      <c r="ET5" s="1" t="s">
        <v>56</v>
      </c>
      <c r="EU5" s="1" t="s">
        <v>55</v>
      </c>
      <c r="EV5" s="1" t="s">
        <v>56</v>
      </c>
      <c r="EW5" s="1" t="s">
        <v>55</v>
      </c>
      <c r="EX5" s="1" t="s">
        <v>56</v>
      </c>
      <c r="EY5" s="1" t="s">
        <v>55</v>
      </c>
      <c r="EZ5" s="1" t="s">
        <v>56</v>
      </c>
      <c r="FA5" s="1" t="s">
        <v>55</v>
      </c>
      <c r="FB5" s="1" t="s">
        <v>56</v>
      </c>
      <c r="FC5" s="1" t="s">
        <v>55</v>
      </c>
      <c r="FD5" s="1" t="s">
        <v>56</v>
      </c>
      <c r="FE5" s="1" t="s">
        <v>55</v>
      </c>
      <c r="FF5" s="1" t="s">
        <v>56</v>
      </c>
      <c r="FG5" s="1" t="s">
        <v>55</v>
      </c>
      <c r="FH5" s="1" t="s">
        <v>56</v>
      </c>
      <c r="FI5" s="1" t="s">
        <v>55</v>
      </c>
      <c r="FJ5" s="1" t="s">
        <v>56</v>
      </c>
      <c r="FK5" s="1" t="s">
        <v>55</v>
      </c>
      <c r="FL5" s="1" t="s">
        <v>56</v>
      </c>
      <c r="FM5" s="1" t="s">
        <v>55</v>
      </c>
      <c r="FN5" s="1" t="s">
        <v>56</v>
      </c>
      <c r="FO5" s="1" t="s">
        <v>55</v>
      </c>
      <c r="FP5" s="1" t="s">
        <v>56</v>
      </c>
      <c r="FQ5" s="1" t="s">
        <v>55</v>
      </c>
      <c r="FR5" s="1" t="s">
        <v>56</v>
      </c>
      <c r="FS5" s="1" t="s">
        <v>55</v>
      </c>
      <c r="FT5" s="1" t="s">
        <v>56</v>
      </c>
      <c r="FU5" s="1" t="s">
        <v>55</v>
      </c>
      <c r="FV5" s="1" t="s">
        <v>56</v>
      </c>
      <c r="FW5" s="1" t="s">
        <v>55</v>
      </c>
      <c r="FX5" s="1" t="s">
        <v>56</v>
      </c>
      <c r="FY5" s="1" t="s">
        <v>55</v>
      </c>
      <c r="FZ5" s="1" t="s">
        <v>56</v>
      </c>
      <c r="GA5" s="1" t="s">
        <v>55</v>
      </c>
      <c r="GB5" s="1" t="s">
        <v>56</v>
      </c>
      <c r="GC5" s="1" t="s">
        <v>55</v>
      </c>
      <c r="GD5" s="1" t="s">
        <v>56</v>
      </c>
      <c r="GE5" s="1" t="s">
        <v>55</v>
      </c>
      <c r="GF5" s="1" t="s">
        <v>56</v>
      </c>
      <c r="GG5" s="1" t="s">
        <v>55</v>
      </c>
      <c r="GH5" s="1" t="s">
        <v>56</v>
      </c>
      <c r="GI5" s="1" t="s">
        <v>55</v>
      </c>
      <c r="GJ5" s="1" t="s">
        <v>56</v>
      </c>
      <c r="GK5" s="1" t="s">
        <v>55</v>
      </c>
      <c r="GL5" s="1" t="s">
        <v>56</v>
      </c>
      <c r="GM5" s="1" t="s">
        <v>55</v>
      </c>
      <c r="GN5" s="1" t="s">
        <v>56</v>
      </c>
      <c r="GO5" s="1" t="s">
        <v>55</v>
      </c>
      <c r="GP5" s="1" t="s">
        <v>56</v>
      </c>
      <c r="GQ5" s="1" t="s">
        <v>55</v>
      </c>
      <c r="GR5" s="1" t="s">
        <v>56</v>
      </c>
      <c r="GS5" s="1" t="s">
        <v>55</v>
      </c>
      <c r="GT5" s="1" t="s">
        <v>56</v>
      </c>
      <c r="GU5" s="1" t="s">
        <v>55</v>
      </c>
      <c r="GV5" s="17" t="s">
        <v>56</v>
      </c>
      <c r="GW5" s="17" t="s">
        <v>55</v>
      </c>
      <c r="GX5" s="1" t="s">
        <v>56</v>
      </c>
      <c r="GY5" s="1" t="s">
        <v>55</v>
      </c>
      <c r="GZ5" s="1" t="s">
        <v>56</v>
      </c>
      <c r="HA5" s="1" t="s">
        <v>55</v>
      </c>
      <c r="HB5" s="1" t="s">
        <v>56</v>
      </c>
      <c r="HC5" s="1" t="s">
        <v>55</v>
      </c>
      <c r="HD5" s="1" t="s">
        <v>56</v>
      </c>
      <c r="HE5" s="1" t="s">
        <v>55</v>
      </c>
      <c r="HF5" s="1" t="s">
        <v>56</v>
      </c>
      <c r="HG5" s="1" t="s">
        <v>55</v>
      </c>
      <c r="HH5" s="1" t="s">
        <v>56</v>
      </c>
      <c r="HI5" s="1" t="s">
        <v>55</v>
      </c>
      <c r="HJ5" s="1" t="s">
        <v>56</v>
      </c>
      <c r="HK5" s="1" t="s">
        <v>55</v>
      </c>
      <c r="HL5" s="1" t="s">
        <v>56</v>
      </c>
      <c r="HM5" s="1" t="s">
        <v>55</v>
      </c>
      <c r="HN5" s="1" t="s">
        <v>56</v>
      </c>
      <c r="HO5" s="1" t="s">
        <v>55</v>
      </c>
      <c r="HP5" s="1" t="s">
        <v>56</v>
      </c>
      <c r="HQ5" s="1" t="s">
        <v>55</v>
      </c>
      <c r="HR5" s="1" t="s">
        <v>56</v>
      </c>
      <c r="HS5" s="1" t="s">
        <v>55</v>
      </c>
      <c r="HT5" s="1" t="s">
        <v>56</v>
      </c>
      <c r="HU5" s="1" t="s">
        <v>55</v>
      </c>
      <c r="HV5" s="1" t="s">
        <v>56</v>
      </c>
      <c r="HW5" s="1" t="s">
        <v>55</v>
      </c>
      <c r="HX5" s="1" t="s">
        <v>56</v>
      </c>
      <c r="HY5" s="1" t="s">
        <v>55</v>
      </c>
      <c r="HZ5" s="1" t="s">
        <v>56</v>
      </c>
      <c r="IA5" s="1" t="s">
        <v>55</v>
      </c>
      <c r="IB5" s="1" t="s">
        <v>56</v>
      </c>
      <c r="IC5" s="1" t="s">
        <v>55</v>
      </c>
      <c r="ID5" s="1" t="s">
        <v>56</v>
      </c>
      <c r="IE5" s="1" t="s">
        <v>55</v>
      </c>
      <c r="IF5" s="1" t="s">
        <v>56</v>
      </c>
      <c r="IG5" s="1" t="s">
        <v>55</v>
      </c>
      <c r="IH5" s="1" t="s">
        <v>56</v>
      </c>
      <c r="II5" s="1" t="s">
        <v>55</v>
      </c>
      <c r="IJ5" s="1" t="s">
        <v>56</v>
      </c>
      <c r="IK5" s="1" t="s">
        <v>55</v>
      </c>
      <c r="IL5" s="1" t="s">
        <v>56</v>
      </c>
      <c r="IM5" s="1" t="s">
        <v>55</v>
      </c>
      <c r="IN5" s="1" t="s">
        <v>56</v>
      </c>
      <c r="IO5" s="1" t="s">
        <v>55</v>
      </c>
      <c r="IP5" s="1" t="s">
        <v>56</v>
      </c>
      <c r="IQ5" s="1" t="s">
        <v>55</v>
      </c>
      <c r="IR5" s="1" t="s">
        <v>56</v>
      </c>
      <c r="IS5" s="1" t="s">
        <v>55</v>
      </c>
      <c r="IT5" s="1" t="s">
        <v>56</v>
      </c>
      <c r="IU5" s="1" t="s">
        <v>55</v>
      </c>
      <c r="IV5" s="1" t="s">
        <v>56</v>
      </c>
      <c r="IW5" s="1" t="s">
        <v>55</v>
      </c>
      <c r="IX5" s="1" t="s">
        <v>56</v>
      </c>
      <c r="IY5" s="1" t="s">
        <v>55</v>
      </c>
      <c r="IZ5" s="1" t="s">
        <v>56</v>
      </c>
      <c r="JA5" s="1" t="s">
        <v>55</v>
      </c>
      <c r="JB5" s="1" t="s">
        <v>56</v>
      </c>
      <c r="JC5" s="1" t="s">
        <v>55</v>
      </c>
      <c r="JD5" s="1" t="s">
        <v>56</v>
      </c>
      <c r="JE5" s="1" t="s">
        <v>55</v>
      </c>
      <c r="JF5" s="1" t="s">
        <v>56</v>
      </c>
      <c r="JG5" s="1" t="s">
        <v>55</v>
      </c>
      <c r="JH5" s="1" t="s">
        <v>56</v>
      </c>
      <c r="JI5" s="1" t="s">
        <v>55</v>
      </c>
      <c r="JJ5" s="1" t="s">
        <v>56</v>
      </c>
      <c r="JK5" s="1" t="s">
        <v>55</v>
      </c>
      <c r="JL5" s="1" t="s">
        <v>56</v>
      </c>
      <c r="JM5" s="1" t="s">
        <v>55</v>
      </c>
      <c r="JN5" s="1" t="s">
        <v>56</v>
      </c>
      <c r="JO5" s="1" t="s">
        <v>55</v>
      </c>
      <c r="JP5" s="1" t="s">
        <v>56</v>
      </c>
      <c r="JQ5" s="1" t="s">
        <v>55</v>
      </c>
      <c r="JR5" s="1" t="s">
        <v>56</v>
      </c>
      <c r="JS5" s="1" t="s">
        <v>55</v>
      </c>
      <c r="JT5" s="1" t="s">
        <v>56</v>
      </c>
      <c r="JU5" s="1" t="s">
        <v>55</v>
      </c>
      <c r="JV5" s="1" t="s">
        <v>56</v>
      </c>
      <c r="JW5" s="1" t="s">
        <v>55</v>
      </c>
      <c r="JX5" s="1" t="s">
        <v>56</v>
      </c>
      <c r="JY5" s="1" t="s">
        <v>55</v>
      </c>
      <c r="JZ5" s="1" t="s">
        <v>56</v>
      </c>
      <c r="KA5" s="1" t="s">
        <v>55</v>
      </c>
      <c r="KB5" s="1" t="s">
        <v>56</v>
      </c>
      <c r="KC5" s="1" t="s">
        <v>55</v>
      </c>
      <c r="KD5" s="1" t="s">
        <v>56</v>
      </c>
      <c r="KE5" s="1" t="s">
        <v>55</v>
      </c>
      <c r="KF5" s="1" t="s">
        <v>56</v>
      </c>
      <c r="KG5" s="1" t="s">
        <v>55</v>
      </c>
      <c r="KH5" s="1" t="s">
        <v>56</v>
      </c>
      <c r="KI5" s="1" t="s">
        <v>55</v>
      </c>
      <c r="KJ5" s="1" t="s">
        <v>56</v>
      </c>
      <c r="KK5" s="1" t="s">
        <v>55</v>
      </c>
      <c r="KL5" s="1" t="s">
        <v>56</v>
      </c>
      <c r="KM5" s="1" t="s">
        <v>55</v>
      </c>
      <c r="KN5" s="1" t="s">
        <v>56</v>
      </c>
      <c r="KO5" s="1" t="s">
        <v>55</v>
      </c>
      <c r="KP5" s="1" t="s">
        <v>56</v>
      </c>
      <c r="KQ5" s="1" t="s">
        <v>55</v>
      </c>
      <c r="KR5" s="1" t="s">
        <v>56</v>
      </c>
      <c r="KS5" s="1" t="s">
        <v>55</v>
      </c>
      <c r="KT5" s="1" t="s">
        <v>56</v>
      </c>
      <c r="KU5" s="1" t="s">
        <v>55</v>
      </c>
      <c r="KV5" s="1" t="s">
        <v>56</v>
      </c>
      <c r="KW5" s="1" t="s">
        <v>55</v>
      </c>
      <c r="KX5" s="1" t="s">
        <v>56</v>
      </c>
      <c r="KY5" s="1" t="s">
        <v>55</v>
      </c>
      <c r="KZ5" s="1" t="s">
        <v>56</v>
      </c>
      <c r="LA5" s="1" t="s">
        <v>55</v>
      </c>
      <c r="LB5" s="1" t="s">
        <v>56</v>
      </c>
      <c r="LC5" s="1" t="s">
        <v>55</v>
      </c>
      <c r="LD5" s="10">
        <f>80.2*1000</f>
        <v>80200</v>
      </c>
      <c r="LE5" s="10">
        <f>7.1*1000</f>
        <v>7100</v>
      </c>
      <c r="LF5" s="10">
        <f>0.35*1000</f>
        <v>350</v>
      </c>
      <c r="LG5" s="10">
        <f>0.05*1000</f>
        <v>50</v>
      </c>
      <c r="LH5" s="10">
        <f>1.87*1000</f>
        <v>1870</v>
      </c>
      <c r="LI5" s="10">
        <f>0.24*1000</f>
        <v>240</v>
      </c>
      <c r="LJ5" s="10" t="s">
        <v>56</v>
      </c>
      <c r="LK5" s="10" t="s">
        <v>162</v>
      </c>
      <c r="LL5" s="10" t="s">
        <v>56</v>
      </c>
      <c r="LM5" s="10" t="s">
        <v>162</v>
      </c>
      <c r="LN5" s="10" t="s">
        <v>56</v>
      </c>
      <c r="LO5" s="10" t="s">
        <v>162</v>
      </c>
      <c r="LP5" s="10" t="s">
        <v>56</v>
      </c>
      <c r="LQ5" s="10" t="s">
        <v>162</v>
      </c>
      <c r="LR5" s="10" t="s">
        <v>56</v>
      </c>
      <c r="LS5" s="10" t="s">
        <v>162</v>
      </c>
      <c r="LT5" s="10" t="s">
        <v>56</v>
      </c>
      <c r="LU5" s="10" t="s">
        <v>162</v>
      </c>
      <c r="LV5" s="10" t="s">
        <v>56</v>
      </c>
      <c r="LW5" s="10" t="s">
        <v>55</v>
      </c>
      <c r="LX5" s="10" t="s">
        <v>56</v>
      </c>
      <c r="LY5" s="10" t="s">
        <v>55</v>
      </c>
      <c r="LZ5" s="10" t="s">
        <v>56</v>
      </c>
      <c r="MA5" s="10" t="s">
        <v>55</v>
      </c>
      <c r="MB5" s="10" t="s">
        <v>56</v>
      </c>
      <c r="MC5" s="10" t="s">
        <v>55</v>
      </c>
      <c r="MD5" s="4" t="s">
        <v>56</v>
      </c>
      <c r="ME5" s="4" t="s">
        <v>55</v>
      </c>
      <c r="MF5" s="4" t="s">
        <v>56</v>
      </c>
      <c r="MG5" s="4" t="s">
        <v>55</v>
      </c>
      <c r="MH5" s="4" t="s">
        <v>56</v>
      </c>
      <c r="MI5" s="4" t="s">
        <v>55</v>
      </c>
      <c r="MJ5" s="4" t="s">
        <v>56</v>
      </c>
      <c r="MK5" s="4" t="s">
        <v>55</v>
      </c>
      <c r="ML5" s="4" t="s">
        <v>56</v>
      </c>
      <c r="MM5" s="4" t="s">
        <v>55</v>
      </c>
      <c r="MN5" s="4" t="s">
        <v>56</v>
      </c>
      <c r="MO5" s="4" t="s">
        <v>55</v>
      </c>
      <c r="MP5" s="4" t="s">
        <v>56</v>
      </c>
      <c r="MQ5" s="4" t="s">
        <v>55</v>
      </c>
      <c r="MR5" s="4" t="s">
        <v>56</v>
      </c>
      <c r="MS5" s="4" t="s">
        <v>55</v>
      </c>
      <c r="MT5" s="4" t="s">
        <v>56</v>
      </c>
      <c r="MU5" s="4" t="s">
        <v>55</v>
      </c>
      <c r="MV5" s="4" t="s">
        <v>56</v>
      </c>
      <c r="MW5" s="4" t="s">
        <v>55</v>
      </c>
      <c r="MX5" s="4" t="s">
        <v>56</v>
      </c>
      <c r="MY5" s="4" t="s">
        <v>55</v>
      </c>
      <c r="MZ5" s="4" t="s">
        <v>56</v>
      </c>
      <c r="NA5" s="4" t="s">
        <v>55</v>
      </c>
      <c r="NB5" s="4" t="s">
        <v>56</v>
      </c>
      <c r="NC5" s="4" t="s">
        <v>55</v>
      </c>
      <c r="ND5" s="4" t="s">
        <v>56</v>
      </c>
      <c r="NE5" s="4" t="s">
        <v>55</v>
      </c>
      <c r="NF5" s="4" t="s">
        <v>56</v>
      </c>
      <c r="NG5" s="4" t="s">
        <v>55</v>
      </c>
      <c r="NH5" s="4" t="s">
        <v>56</v>
      </c>
      <c r="NI5" s="4" t="s">
        <v>55</v>
      </c>
      <c r="NJ5" s="4" t="s">
        <v>56</v>
      </c>
      <c r="NK5" s="4" t="s">
        <v>55</v>
      </c>
      <c r="NL5" s="4" t="s">
        <v>56</v>
      </c>
      <c r="NM5" s="4" t="s">
        <v>55</v>
      </c>
      <c r="NN5" s="4" t="s">
        <v>56</v>
      </c>
      <c r="NO5" s="4" t="s">
        <v>55</v>
      </c>
      <c r="NP5" s="4" t="s">
        <v>56</v>
      </c>
      <c r="NQ5" s="4" t="s">
        <v>55</v>
      </c>
      <c r="NR5" s="4" t="s">
        <v>56</v>
      </c>
      <c r="NS5" s="4" t="s">
        <v>55</v>
      </c>
      <c r="NT5" s="4" t="s">
        <v>56</v>
      </c>
      <c r="NU5" s="4" t="s">
        <v>55</v>
      </c>
    </row>
    <row r="6" spans="1:385" x14ac:dyDescent="0.2">
      <c r="A6" t="s">
        <v>1038</v>
      </c>
      <c r="B6" s="1" t="s">
        <v>1037</v>
      </c>
      <c r="C6" s="1" t="s">
        <v>858</v>
      </c>
      <c r="D6" s="39" cm="1">
        <f t="array" ref="D6">SUMPRODUCT((ISNUMBER(F6:NU6))*(MOD(COLUMN(F6:NU6),2)=0))</f>
        <v>106</v>
      </c>
      <c r="E6" s="1">
        <v>89.09</v>
      </c>
      <c r="F6" s="1">
        <v>6.8999999999999999E-3</v>
      </c>
      <c r="G6" s="1" t="s">
        <v>58</v>
      </c>
      <c r="H6" s="1">
        <v>1.6400000000000001E-2</v>
      </c>
      <c r="I6" s="1" t="s">
        <v>58</v>
      </c>
      <c r="J6" s="1">
        <v>2.0799999999999999E-2</v>
      </c>
      <c r="K6" s="1">
        <v>2.2000000000000001E-3</v>
      </c>
      <c r="L6" s="1">
        <v>7.7999999999999996E-3</v>
      </c>
      <c r="M6" s="1" t="s">
        <v>58</v>
      </c>
      <c r="N6" s="1">
        <v>8.9999999999999993E-3</v>
      </c>
      <c r="O6" s="1">
        <v>5.0000000000000001E-3</v>
      </c>
      <c r="P6" s="9">
        <f>74/E6</f>
        <v>0.83062072061959813</v>
      </c>
      <c r="Q6" s="9">
        <f>22/E6</f>
        <v>0.24694129531933998</v>
      </c>
      <c r="R6" s="1">
        <v>0.52</v>
      </c>
      <c r="S6" s="1">
        <v>0.18</v>
      </c>
      <c r="T6" s="1">
        <v>0.93</v>
      </c>
      <c r="U6" s="1">
        <v>0.23</v>
      </c>
      <c r="V6" s="1">
        <v>260</v>
      </c>
      <c r="W6" s="1">
        <v>18</v>
      </c>
      <c r="X6" s="1">
        <v>569</v>
      </c>
      <c r="Y6" s="1">
        <v>5</v>
      </c>
      <c r="Z6" s="9">
        <f>23862/E6</f>
        <v>267.84150858682233</v>
      </c>
      <c r="AA6" s="9">
        <f>324/E6</f>
        <v>3.6367718037939163</v>
      </c>
      <c r="AB6" s="1">
        <v>450</v>
      </c>
      <c r="AC6" s="1">
        <v>104</v>
      </c>
      <c r="AD6" s="1">
        <v>40.299999999999997</v>
      </c>
      <c r="AE6" s="1">
        <v>5.1100000000000003</v>
      </c>
      <c r="AF6" s="11">
        <f>18/E6</f>
        <v>0.20204287798855089</v>
      </c>
      <c r="AG6" s="11">
        <f>2/E6</f>
        <v>2.2449208665394543E-2</v>
      </c>
      <c r="AH6" s="11">
        <f>10/E6</f>
        <v>0.11224604332697272</v>
      </c>
      <c r="AI6" s="11">
        <f>1/E6</f>
        <v>1.1224604332697272E-2</v>
      </c>
      <c r="AJ6" s="11">
        <f>592/E6</f>
        <v>6.644965764956785</v>
      </c>
      <c r="AK6" s="11">
        <f>99/E6</f>
        <v>1.1112358289370299</v>
      </c>
      <c r="AL6" s="1">
        <v>2.2000000000000002</v>
      </c>
      <c r="AM6" s="1">
        <v>0.1</v>
      </c>
      <c r="AN6" s="11">
        <v>8.3000000000000007</v>
      </c>
      <c r="AO6" s="11">
        <v>0.8</v>
      </c>
      <c r="AP6" s="11">
        <v>9.4</v>
      </c>
      <c r="AQ6" s="11">
        <v>1.7</v>
      </c>
      <c r="AR6" s="10">
        <f>318/E6</f>
        <v>3.5694241777977327</v>
      </c>
      <c r="AS6" s="10">
        <f>59/E6</f>
        <v>0.66225165562913901</v>
      </c>
      <c r="AT6" s="11">
        <f>623/E6</f>
        <v>6.9929284992704002</v>
      </c>
      <c r="AU6" s="11">
        <f>6/E6</f>
        <v>6.734762599618363E-2</v>
      </c>
      <c r="AV6" s="11">
        <f>343/E6</f>
        <v>3.8500392861151642</v>
      </c>
      <c r="AW6" s="11">
        <f>171/E6</f>
        <v>1.9194073408912335</v>
      </c>
      <c r="AX6" s="11">
        <f>823/E6</f>
        <v>9.2378493658098542</v>
      </c>
      <c r="AY6" s="11">
        <f>295/E6</f>
        <v>3.3112582781456954</v>
      </c>
      <c r="AZ6" s="1">
        <v>28</v>
      </c>
      <c r="BA6" s="1">
        <v>2</v>
      </c>
      <c r="BB6" s="1" t="s">
        <v>91</v>
      </c>
      <c r="BC6" s="1" t="s">
        <v>55</v>
      </c>
      <c r="BD6" s="1">
        <v>6.1</v>
      </c>
      <c r="BE6" s="1" t="s">
        <v>55</v>
      </c>
      <c r="BF6" s="1">
        <v>0.21</v>
      </c>
      <c r="BG6" s="1">
        <v>0.18</v>
      </c>
      <c r="BH6" s="1">
        <v>0.19</v>
      </c>
      <c r="BI6" s="1">
        <v>0.03</v>
      </c>
      <c r="BJ6" s="1">
        <v>1.1299999999999999</v>
      </c>
      <c r="BK6" s="1">
        <v>0.12</v>
      </c>
      <c r="BL6" s="1">
        <v>8</v>
      </c>
      <c r="BM6" s="1">
        <v>0.4</v>
      </c>
      <c r="BN6" s="1">
        <v>3.7</v>
      </c>
      <c r="BO6" s="1">
        <v>0.2</v>
      </c>
      <c r="BP6" s="1">
        <v>17</v>
      </c>
      <c r="BQ6" s="1">
        <v>4</v>
      </c>
      <c r="BR6" s="11">
        <f>80/E6</f>
        <v>0.89796834661578173</v>
      </c>
      <c r="BS6" s="11">
        <f>17/E6</f>
        <v>0.19081827365585363</v>
      </c>
      <c r="BT6" s="4">
        <v>2.2999999999999998</v>
      </c>
      <c r="BU6" s="4">
        <v>0.5</v>
      </c>
      <c r="BV6" s="1">
        <v>7.0000000000000007E-2</v>
      </c>
      <c r="BW6" s="1">
        <v>0.01</v>
      </c>
      <c r="BX6" s="1">
        <v>0.15</v>
      </c>
      <c r="BY6" s="1">
        <v>0.01</v>
      </c>
      <c r="BZ6" s="10">
        <f>0.6/E6</f>
        <v>6.7347625996183628E-3</v>
      </c>
      <c r="CA6" s="10">
        <f>0.4/E6</f>
        <v>4.4898417330789088E-3</v>
      </c>
      <c r="CB6" s="10">
        <f>0.2/E6</f>
        <v>2.2449208665394544E-3</v>
      </c>
      <c r="CC6" s="10">
        <f>0.1/E6</f>
        <v>1.1224604332697272E-3</v>
      </c>
      <c r="CD6" s="10">
        <f>2.5/E6</f>
        <v>2.8061510831743179E-2</v>
      </c>
      <c r="CE6" s="10">
        <f>0.3/E6</f>
        <v>3.3673812998091814E-3</v>
      </c>
      <c r="CF6" s="10">
        <f>2.9/E6</f>
        <v>3.2551352564822091E-2</v>
      </c>
      <c r="CG6" s="10">
        <f>0.5/E6</f>
        <v>5.6123021663486358E-3</v>
      </c>
      <c r="CH6" s="10">
        <f>0.6/E6</f>
        <v>6.7347625996183628E-3</v>
      </c>
      <c r="CI6" s="10">
        <f>0.2/E6</f>
        <v>2.2449208665394544E-3</v>
      </c>
      <c r="CJ6" s="10">
        <f>11/E6</f>
        <v>0.12347064765966999</v>
      </c>
      <c r="CK6" s="10">
        <f>3/E6</f>
        <v>3.3673812998091815E-2</v>
      </c>
      <c r="CL6" s="10">
        <f>2.7/E6</f>
        <v>3.0306431698282635E-2</v>
      </c>
      <c r="CM6" s="10">
        <f>1/E6</f>
        <v>1.1224604332697272E-2</v>
      </c>
      <c r="CN6" s="10">
        <f>4/E6</f>
        <v>4.4898417330789087E-2</v>
      </c>
      <c r="CO6" s="10">
        <f>1.6/E6</f>
        <v>1.7959366932315635E-2</v>
      </c>
      <c r="CP6" s="10">
        <f>4/E6</f>
        <v>4.4898417330789087E-2</v>
      </c>
      <c r="CQ6" s="10">
        <f>0.9/E6</f>
        <v>1.0102143899427546E-2</v>
      </c>
      <c r="CR6" s="10">
        <f>5.2/E6</f>
        <v>5.8367942530025814E-2</v>
      </c>
      <c r="CS6" s="10">
        <f>2.1/E6</f>
        <v>2.3571669098664271E-2</v>
      </c>
      <c r="CT6" s="10">
        <f>5.5/E6</f>
        <v>6.1735323829834994E-2</v>
      </c>
      <c r="CU6" s="10">
        <f>3.3/E6</f>
        <v>3.7041194297900995E-2</v>
      </c>
      <c r="CV6" s="10">
        <f>221/E6</f>
        <v>2.480637557526097</v>
      </c>
      <c r="CW6" s="10">
        <f>12/E6</f>
        <v>0.13469525199236726</v>
      </c>
      <c r="CX6" s="10">
        <f>1.5/E6</f>
        <v>1.6836906499045907E-2</v>
      </c>
      <c r="CY6" s="10">
        <f>0.4/E6</f>
        <v>4.4898417330789088E-3</v>
      </c>
      <c r="CZ6" s="10">
        <f>1.5/E6</f>
        <v>1.6836906499045907E-2</v>
      </c>
      <c r="DA6" s="10">
        <f>0.4/E6</f>
        <v>4.4898417330789088E-3</v>
      </c>
      <c r="DB6" s="10">
        <f>0.9/E6</f>
        <v>1.0102143899427546E-2</v>
      </c>
      <c r="DC6" s="10">
        <f>0.4/E6</f>
        <v>4.4898417330789088E-3</v>
      </c>
      <c r="DD6" s="10">
        <f>13.3/E6</f>
        <v>0.14928723762487373</v>
      </c>
      <c r="DE6" s="10">
        <f>0.3/E6</f>
        <v>3.3673812998091814E-3</v>
      </c>
      <c r="DF6" s="10">
        <f>22.3/E6</f>
        <v>0.25030867661914918</v>
      </c>
      <c r="DG6" s="10">
        <f>0.9/E6</f>
        <v>1.0102143899427546E-2</v>
      </c>
      <c r="DH6" s="10">
        <f>830/E6</f>
        <v>9.3164215961387349</v>
      </c>
      <c r="DI6" s="10">
        <f>48/E6</f>
        <v>0.53878100796946904</v>
      </c>
      <c r="DJ6" s="10">
        <f>238/E6</f>
        <v>2.6714558311819507</v>
      </c>
      <c r="DK6" s="10">
        <f>30/E6</f>
        <v>0.33673812998091818</v>
      </c>
      <c r="DL6" s="10">
        <f>378/E6</f>
        <v>4.2429004377595687</v>
      </c>
      <c r="DM6" s="10">
        <f>74/E6</f>
        <v>0.83062072061959813</v>
      </c>
      <c r="DN6" s="10">
        <f>2.7/E6</f>
        <v>3.0306431698282635E-2</v>
      </c>
      <c r="DO6" s="10">
        <f>1.2/E6</f>
        <v>1.3469525199236726E-2</v>
      </c>
      <c r="DP6" s="10">
        <f>147/E6</f>
        <v>1.6500168369064989</v>
      </c>
      <c r="DQ6" s="10">
        <f>11/E6</f>
        <v>0.12347064765966999</v>
      </c>
      <c r="DR6" s="10">
        <f>15/E6</f>
        <v>0.16836906499045909</v>
      </c>
      <c r="DS6" s="10">
        <f>1/E6</f>
        <v>1.1224604332697272E-2</v>
      </c>
      <c r="DT6" s="10">
        <f>143/E6</f>
        <v>1.60511841957571</v>
      </c>
      <c r="DU6" s="10">
        <f>49/E6</f>
        <v>0.55000561230216638</v>
      </c>
      <c r="DV6" s="10" t="s">
        <v>271</v>
      </c>
      <c r="DW6" s="10" t="s">
        <v>55</v>
      </c>
      <c r="DX6" s="10" t="s">
        <v>239</v>
      </c>
      <c r="DY6" s="10" t="s">
        <v>55</v>
      </c>
      <c r="DZ6" s="10">
        <f>2.6/E6</f>
        <v>2.9183971265012907E-2</v>
      </c>
      <c r="EA6" s="10">
        <f>1/E6</f>
        <v>1.1224604332697272E-2</v>
      </c>
      <c r="EB6" s="10">
        <f>0.9/E6</f>
        <v>1.0102143899427546E-2</v>
      </c>
      <c r="EC6" s="10">
        <f>0.1/E6</f>
        <v>1.1224604332697272E-3</v>
      </c>
      <c r="ED6" s="10">
        <f>0.5/E6</f>
        <v>5.6123021663486358E-3</v>
      </c>
      <c r="EE6" s="10">
        <f>0.4/E6</f>
        <v>4.4898417330789088E-3</v>
      </c>
      <c r="EF6" s="10">
        <f>0.2/E6</f>
        <v>2.2449208665394544E-3</v>
      </c>
      <c r="EG6" s="10">
        <f>0.1/E6</f>
        <v>1.1224604332697272E-3</v>
      </c>
      <c r="EH6" s="10" t="s">
        <v>233</v>
      </c>
      <c r="EI6" s="10" t="s">
        <v>55</v>
      </c>
      <c r="EJ6" s="10" t="s">
        <v>233</v>
      </c>
      <c r="EK6" s="10" t="s">
        <v>55</v>
      </c>
      <c r="EL6" s="10" t="s">
        <v>233</v>
      </c>
      <c r="EM6" s="10" t="s">
        <v>55</v>
      </c>
      <c r="EN6" s="8">
        <f>68.2/E6</f>
        <v>0.76551801548995402</v>
      </c>
      <c r="EO6" s="8">
        <f>1.8/E6</f>
        <v>2.0204287798855091E-2</v>
      </c>
      <c r="EP6" s="8">
        <f>41.8/E6</f>
        <v>0.46918846110674595</v>
      </c>
      <c r="EQ6" s="8">
        <f>0.8/E6</f>
        <v>8.9796834661578177E-3</v>
      </c>
      <c r="ER6" s="8">
        <f>3.4/E6</f>
        <v>3.8163654731170726E-2</v>
      </c>
      <c r="ES6" s="8">
        <f>1.1/E6</f>
        <v>1.2347064765967E-2</v>
      </c>
      <c r="ET6" s="8">
        <f>2.5/E6</f>
        <v>2.8061510831743179E-2</v>
      </c>
      <c r="EU6" s="8">
        <f>0.2/E6</f>
        <v>2.2449208665394544E-3</v>
      </c>
      <c r="EV6" s="8">
        <f>4.6/E6</f>
        <v>5.1633179930407447E-2</v>
      </c>
      <c r="EW6" s="8">
        <f>0.8/E6</f>
        <v>8.9796834661578177E-3</v>
      </c>
      <c r="EX6" s="8">
        <f>3.4/E6</f>
        <v>3.8163654731170726E-2</v>
      </c>
      <c r="EY6" s="8">
        <f>0.5/E6</f>
        <v>5.6123021663486358E-3</v>
      </c>
      <c r="EZ6" s="8">
        <f>0.9/E6</f>
        <v>1.0102143899427546E-2</v>
      </c>
      <c r="FA6" s="8">
        <f>0.1/E6</f>
        <v>1.1224604332697272E-3</v>
      </c>
      <c r="FB6" s="8">
        <f>0.5/E6</f>
        <v>5.6123021663486358E-3</v>
      </c>
      <c r="FC6" s="8">
        <f>0.1/E6</f>
        <v>1.1224604332697272E-3</v>
      </c>
      <c r="FD6" s="8" t="s">
        <v>487</v>
      </c>
      <c r="FE6" s="8" t="s">
        <v>55</v>
      </c>
      <c r="FF6" s="10">
        <f>13/E6</f>
        <v>0.14591985632506455</v>
      </c>
      <c r="FG6" s="10">
        <f>3/E6</f>
        <v>3.3673812998091815E-2</v>
      </c>
      <c r="FH6" s="10">
        <f>12/E6</f>
        <v>0.13469525199236726</v>
      </c>
      <c r="FI6" s="10">
        <f>5/E6</f>
        <v>5.6123021663486358E-2</v>
      </c>
      <c r="FJ6" s="10">
        <f>9.4/E6</f>
        <v>0.10551128072735436</v>
      </c>
      <c r="FK6" s="10">
        <f>3/E6</f>
        <v>3.3673812998091815E-2</v>
      </c>
      <c r="FL6" s="10">
        <f>10/E6</f>
        <v>0.11224604332697272</v>
      </c>
      <c r="FM6" s="10">
        <f>1/E6</f>
        <v>1.1224604332697272E-2</v>
      </c>
      <c r="FN6" s="10">
        <f>17/E6</f>
        <v>0.19081827365585363</v>
      </c>
      <c r="FO6" s="10">
        <f>2/E6</f>
        <v>2.2449208665394543E-2</v>
      </c>
      <c r="FP6" s="10">
        <f>7.8/E6</f>
        <v>8.7551913795038724E-2</v>
      </c>
      <c r="FQ6" s="10">
        <f>1.9/E6</f>
        <v>2.1326748232124815E-2</v>
      </c>
      <c r="FR6" s="10">
        <f>7.3/E6</f>
        <v>8.1939611628690082E-2</v>
      </c>
      <c r="FS6" s="10">
        <f>0.6/E6</f>
        <v>6.7347625996183628E-3</v>
      </c>
      <c r="FT6" s="8">
        <v>0.33</v>
      </c>
      <c r="FU6" s="8">
        <v>0.01</v>
      </c>
      <c r="FV6" s="8">
        <v>0.15</v>
      </c>
      <c r="FW6" s="8">
        <v>0.01</v>
      </c>
      <c r="FX6" s="8">
        <v>0.8</v>
      </c>
      <c r="FY6" s="8">
        <v>0.2</v>
      </c>
      <c r="FZ6" s="8" t="s">
        <v>157</v>
      </c>
      <c r="GA6" s="8" t="s">
        <v>55</v>
      </c>
      <c r="GB6" s="8" t="s">
        <v>157</v>
      </c>
      <c r="GC6" s="8" t="s">
        <v>55</v>
      </c>
      <c r="GD6" s="8" t="s">
        <v>157</v>
      </c>
      <c r="GE6" s="8" t="s">
        <v>55</v>
      </c>
      <c r="GF6" s="8" t="s">
        <v>157</v>
      </c>
      <c r="GG6" s="8" t="s">
        <v>55</v>
      </c>
      <c r="GH6" s="8">
        <v>0.21</v>
      </c>
      <c r="GI6" s="8">
        <v>0.02</v>
      </c>
      <c r="GJ6" s="8">
        <v>0.24</v>
      </c>
      <c r="GK6" s="8">
        <v>0.08</v>
      </c>
      <c r="GL6" s="8" t="s">
        <v>157</v>
      </c>
      <c r="GM6" s="8" t="s">
        <v>55</v>
      </c>
      <c r="GN6" s="8" t="s">
        <v>157</v>
      </c>
      <c r="GO6" s="8" t="s">
        <v>55</v>
      </c>
      <c r="GP6" s="8">
        <v>0.77</v>
      </c>
      <c r="GQ6" s="8">
        <v>0.02</v>
      </c>
      <c r="GR6" s="8">
        <v>2.5000000000000001E-2</v>
      </c>
      <c r="GS6" s="8">
        <v>6.0000000000000001E-3</v>
      </c>
      <c r="GT6" s="8">
        <v>5.2999999999999999E-2</v>
      </c>
      <c r="GU6" s="8">
        <v>5.0000000000000001E-3</v>
      </c>
      <c r="GV6" s="8">
        <v>4</v>
      </c>
      <c r="GW6" s="8">
        <v>0.6</v>
      </c>
      <c r="GX6" s="8">
        <f>0.6/E6</f>
        <v>6.7347625996183628E-3</v>
      </c>
      <c r="GY6" s="8">
        <f>0.2/E6</f>
        <v>2.2449208665394544E-3</v>
      </c>
      <c r="GZ6" s="10" t="s">
        <v>56</v>
      </c>
      <c r="HA6" s="10" t="s">
        <v>55</v>
      </c>
      <c r="HB6" s="10" t="s">
        <v>56</v>
      </c>
      <c r="HC6" s="10" t="s">
        <v>55</v>
      </c>
      <c r="HD6" s="10" t="s">
        <v>56</v>
      </c>
      <c r="HE6" s="10" t="s">
        <v>55</v>
      </c>
      <c r="HF6" s="10" t="s">
        <v>56</v>
      </c>
      <c r="HG6" s="10" t="s">
        <v>55</v>
      </c>
      <c r="HH6" s="10" t="s">
        <v>56</v>
      </c>
      <c r="HI6" s="10" t="s">
        <v>55</v>
      </c>
      <c r="HJ6" s="10" t="s">
        <v>56</v>
      </c>
      <c r="HK6" s="10" t="s">
        <v>55</v>
      </c>
      <c r="HL6" s="10" t="s">
        <v>56</v>
      </c>
      <c r="HM6" s="10" t="s">
        <v>55</v>
      </c>
      <c r="HN6" s="10" t="s">
        <v>56</v>
      </c>
      <c r="HO6" s="10" t="s">
        <v>55</v>
      </c>
      <c r="HP6" s="10">
        <v>39</v>
      </c>
      <c r="HQ6" s="10">
        <v>4</v>
      </c>
      <c r="HR6" s="10">
        <v>39</v>
      </c>
      <c r="HS6" s="10">
        <v>4</v>
      </c>
      <c r="HT6" s="10" t="s">
        <v>317</v>
      </c>
      <c r="HU6" s="10" t="s">
        <v>55</v>
      </c>
      <c r="HV6" s="10" t="s">
        <v>75</v>
      </c>
      <c r="HW6" s="10" t="s">
        <v>55</v>
      </c>
      <c r="HX6" s="10" t="s">
        <v>75</v>
      </c>
      <c r="HY6" s="10" t="s">
        <v>55</v>
      </c>
      <c r="HZ6" s="10" t="s">
        <v>317</v>
      </c>
      <c r="IA6" s="10" t="s">
        <v>55</v>
      </c>
      <c r="IB6" s="10">
        <v>3.12</v>
      </c>
      <c r="IC6" s="10">
        <v>0.19</v>
      </c>
      <c r="ID6" s="1">
        <v>1.1592</v>
      </c>
      <c r="IE6" s="10">
        <v>0.40050000000000002</v>
      </c>
      <c r="IF6" s="10">
        <v>1.6400000000000001E-2</v>
      </c>
      <c r="IG6" s="10">
        <v>8.0000000000000002E-3</v>
      </c>
      <c r="IH6" s="4" t="s">
        <v>56</v>
      </c>
      <c r="II6" s="4" t="s">
        <v>55</v>
      </c>
      <c r="IJ6" s="4" t="s">
        <v>56</v>
      </c>
      <c r="IK6" s="4" t="s">
        <v>55</v>
      </c>
      <c r="IL6" s="4" t="s">
        <v>56</v>
      </c>
      <c r="IM6" s="4" t="s">
        <v>55</v>
      </c>
      <c r="IN6" s="4" t="s">
        <v>56</v>
      </c>
      <c r="IO6" s="4" t="s">
        <v>55</v>
      </c>
      <c r="IP6" s="4" t="s">
        <v>56</v>
      </c>
      <c r="IQ6" s="4" t="s">
        <v>55</v>
      </c>
      <c r="IR6" s="4" t="s">
        <v>56</v>
      </c>
      <c r="IS6" s="4" t="s">
        <v>55</v>
      </c>
      <c r="IT6" s="1">
        <v>1.5</v>
      </c>
      <c r="IU6" s="1">
        <v>1.6</v>
      </c>
      <c r="IV6" s="4" t="s">
        <v>56</v>
      </c>
      <c r="IW6" s="4" t="s">
        <v>55</v>
      </c>
      <c r="IX6" s="4" t="s">
        <v>56</v>
      </c>
      <c r="IY6" s="4" t="s">
        <v>55</v>
      </c>
      <c r="IZ6" s="4" t="s">
        <v>56</v>
      </c>
      <c r="JA6" s="4" t="s">
        <v>55</v>
      </c>
      <c r="JB6" s="4" t="s">
        <v>56</v>
      </c>
      <c r="JC6" s="4" t="s">
        <v>55</v>
      </c>
      <c r="JD6" s="4" t="s">
        <v>56</v>
      </c>
      <c r="JE6" s="4" t="s">
        <v>55</v>
      </c>
      <c r="JF6" s="4" t="s">
        <v>56</v>
      </c>
      <c r="JG6" s="4" t="s">
        <v>55</v>
      </c>
      <c r="JH6" s="4" t="s">
        <v>56</v>
      </c>
      <c r="JI6" s="4" t="s">
        <v>55</v>
      </c>
      <c r="JJ6" s="4" t="s">
        <v>56</v>
      </c>
      <c r="JK6" s="4" t="s">
        <v>55</v>
      </c>
      <c r="JL6" s="4" t="s">
        <v>56</v>
      </c>
      <c r="JM6" s="4" t="s">
        <v>55</v>
      </c>
      <c r="JN6" s="4" t="s">
        <v>56</v>
      </c>
      <c r="JO6" s="4" t="s">
        <v>55</v>
      </c>
      <c r="JP6" s="4" t="s">
        <v>56</v>
      </c>
      <c r="JQ6" s="4" t="s">
        <v>55</v>
      </c>
      <c r="JR6" s="4" t="s">
        <v>56</v>
      </c>
      <c r="JS6" s="4" t="s">
        <v>55</v>
      </c>
      <c r="JT6" s="4" t="s">
        <v>56</v>
      </c>
      <c r="JU6" s="4" t="s">
        <v>55</v>
      </c>
      <c r="JV6" s="4" t="s">
        <v>56</v>
      </c>
      <c r="JW6" s="4" t="s">
        <v>55</v>
      </c>
      <c r="JX6" s="26">
        <v>96.826994538335995</v>
      </c>
      <c r="JY6" s="26">
        <v>72.399669452283831</v>
      </c>
      <c r="JZ6" s="26">
        <v>108.92646557268317</v>
      </c>
      <c r="KA6" s="26">
        <v>78.03863973303261</v>
      </c>
      <c r="KB6" s="26">
        <v>217.62539380833354</v>
      </c>
      <c r="KC6" s="26">
        <v>97.022310326412594</v>
      </c>
      <c r="KD6" s="26">
        <v>255.95478329472687</v>
      </c>
      <c r="KE6" s="26">
        <v>266.18760910101207</v>
      </c>
      <c r="KF6" s="26">
        <v>140.48180835141821</v>
      </c>
      <c r="KG6" s="26">
        <v>133.48850393527414</v>
      </c>
      <c r="KH6" s="4" t="s">
        <v>56</v>
      </c>
      <c r="KI6" s="4" t="s">
        <v>55</v>
      </c>
      <c r="KJ6" s="4" t="s">
        <v>56</v>
      </c>
      <c r="KK6" s="4" t="s">
        <v>55</v>
      </c>
      <c r="KL6" s="4" t="s">
        <v>56</v>
      </c>
      <c r="KM6" s="4" t="s">
        <v>55</v>
      </c>
      <c r="KN6" s="4" t="s">
        <v>56</v>
      </c>
      <c r="KO6" s="4" t="s">
        <v>55</v>
      </c>
      <c r="KP6" s="4" t="s">
        <v>56</v>
      </c>
      <c r="KQ6" s="4" t="s">
        <v>55</v>
      </c>
      <c r="KR6" s="4">
        <v>3.54</v>
      </c>
      <c r="KS6" s="4">
        <v>1.03</v>
      </c>
      <c r="KT6" s="4">
        <v>2.92</v>
      </c>
      <c r="KU6" s="4">
        <v>1.28</v>
      </c>
      <c r="KV6" s="4">
        <v>11.6</v>
      </c>
      <c r="KW6" s="4">
        <v>8.8000000000000007</v>
      </c>
      <c r="KX6" s="4">
        <v>14.1</v>
      </c>
      <c r="KY6" s="4">
        <v>8.1</v>
      </c>
      <c r="KZ6" s="4">
        <v>13</v>
      </c>
      <c r="LA6" s="4">
        <v>7.9</v>
      </c>
      <c r="LB6" s="4" t="s">
        <v>56</v>
      </c>
      <c r="LC6" s="4" t="s">
        <v>55</v>
      </c>
      <c r="LD6" s="10" t="s">
        <v>56</v>
      </c>
      <c r="LE6" s="10" t="s">
        <v>55</v>
      </c>
      <c r="LF6" s="10" t="s">
        <v>56</v>
      </c>
      <c r="LG6" s="10" t="s">
        <v>55</v>
      </c>
      <c r="LH6" s="10" t="s">
        <v>56</v>
      </c>
      <c r="LI6" s="10" t="s">
        <v>55</v>
      </c>
      <c r="LJ6" s="4" t="s">
        <v>56</v>
      </c>
      <c r="LK6" s="4" t="s">
        <v>55</v>
      </c>
      <c r="LL6" s="4" t="s">
        <v>56</v>
      </c>
      <c r="LM6" s="4" t="s">
        <v>55</v>
      </c>
      <c r="LN6" s="4" t="s">
        <v>56</v>
      </c>
      <c r="LO6" s="4" t="s">
        <v>55</v>
      </c>
      <c r="LP6" s="4" t="s">
        <v>56</v>
      </c>
      <c r="LQ6" s="4" t="s">
        <v>55</v>
      </c>
      <c r="LR6" s="4" t="s">
        <v>56</v>
      </c>
      <c r="LS6" s="4" t="s">
        <v>55</v>
      </c>
      <c r="LT6" s="4" t="s">
        <v>56</v>
      </c>
      <c r="LU6" s="4" t="s">
        <v>55</v>
      </c>
      <c r="LV6" s="4" t="s">
        <v>56</v>
      </c>
      <c r="LW6" s="4" t="s">
        <v>55</v>
      </c>
      <c r="LX6" s="4" t="s">
        <v>56</v>
      </c>
      <c r="LY6" s="4" t="s">
        <v>55</v>
      </c>
      <c r="LZ6" s="4" t="s">
        <v>56</v>
      </c>
      <c r="MA6" s="4" t="s">
        <v>55</v>
      </c>
      <c r="MB6" s="4" t="s">
        <v>56</v>
      </c>
      <c r="MC6" s="4" t="s">
        <v>55</v>
      </c>
      <c r="MD6" s="4" t="s">
        <v>56</v>
      </c>
      <c r="ME6" s="4" t="s">
        <v>55</v>
      </c>
      <c r="MF6" s="4" t="s">
        <v>56</v>
      </c>
      <c r="MG6" s="4" t="s">
        <v>55</v>
      </c>
      <c r="MH6" s="4" t="s">
        <v>56</v>
      </c>
      <c r="MI6" s="4" t="s">
        <v>55</v>
      </c>
      <c r="MJ6" s="4" t="s">
        <v>56</v>
      </c>
      <c r="MK6" s="4" t="s">
        <v>55</v>
      </c>
      <c r="ML6" s="4" t="s">
        <v>56</v>
      </c>
      <c r="MM6" s="4" t="s">
        <v>55</v>
      </c>
      <c r="MN6" s="4" t="s">
        <v>56</v>
      </c>
      <c r="MO6" s="4" t="s">
        <v>55</v>
      </c>
      <c r="MP6" s="4" t="s">
        <v>56</v>
      </c>
      <c r="MQ6" s="4" t="s">
        <v>55</v>
      </c>
      <c r="MR6" s="4" t="s">
        <v>56</v>
      </c>
      <c r="MS6" s="4" t="s">
        <v>55</v>
      </c>
      <c r="MT6" s="4" t="s">
        <v>56</v>
      </c>
      <c r="MU6" s="4" t="s">
        <v>55</v>
      </c>
      <c r="MV6" s="4" t="s">
        <v>56</v>
      </c>
      <c r="MW6" s="4" t="s">
        <v>55</v>
      </c>
      <c r="MX6" s="4" t="s">
        <v>56</v>
      </c>
      <c r="MY6" s="4" t="s">
        <v>55</v>
      </c>
      <c r="MZ6" s="4" t="s">
        <v>56</v>
      </c>
      <c r="NA6" s="4" t="s">
        <v>55</v>
      </c>
      <c r="NB6" s="4" t="s">
        <v>56</v>
      </c>
      <c r="NC6" s="4" t="s">
        <v>55</v>
      </c>
      <c r="ND6" s="4" t="s">
        <v>56</v>
      </c>
      <c r="NE6" s="4" t="s">
        <v>55</v>
      </c>
      <c r="NF6" s="4" t="s">
        <v>56</v>
      </c>
      <c r="NG6" s="4" t="s">
        <v>55</v>
      </c>
      <c r="NH6" s="4" t="s">
        <v>56</v>
      </c>
      <c r="NI6" s="4" t="s">
        <v>55</v>
      </c>
      <c r="NJ6" s="4" t="s">
        <v>56</v>
      </c>
      <c r="NK6" s="4" t="s">
        <v>55</v>
      </c>
      <c r="NL6" s="4" t="s">
        <v>56</v>
      </c>
      <c r="NM6" s="4" t="s">
        <v>55</v>
      </c>
      <c r="NN6" s="4" t="s">
        <v>56</v>
      </c>
      <c r="NO6" s="4" t="s">
        <v>55</v>
      </c>
      <c r="NP6" s="4" t="s">
        <v>56</v>
      </c>
      <c r="NQ6" s="4" t="s">
        <v>55</v>
      </c>
      <c r="NR6" s="10">
        <f>(14*1000)/E6</f>
        <v>157.14446065776181</v>
      </c>
      <c r="NS6" s="10">
        <f>(2*1000)/E6</f>
        <v>22.449208665394544</v>
      </c>
      <c r="NT6" s="10">
        <f>(159*1000)/E6</f>
        <v>1784.7120888988663</v>
      </c>
      <c r="NU6" s="10">
        <f>(26*1000)/E6</f>
        <v>291.83971265012906</v>
      </c>
    </row>
    <row r="7" spans="1:385" x14ac:dyDescent="0.2">
      <c r="A7" t="s">
        <v>1039</v>
      </c>
      <c r="B7" s="1" t="s">
        <v>1037</v>
      </c>
      <c r="C7" s="1" t="s">
        <v>859</v>
      </c>
      <c r="D7" s="39" cm="1">
        <f t="array" ref="D7">SUMPRODUCT((ISNUMBER(F7:NU7))*(MOD(COLUMN(F7:NU7),2)=0))</f>
        <v>116</v>
      </c>
      <c r="E7" s="1">
        <v>89.09</v>
      </c>
      <c r="F7" s="1">
        <v>1.0699999999999999E-2</v>
      </c>
      <c r="G7" s="1" t="s">
        <v>58</v>
      </c>
      <c r="H7" s="1">
        <v>5.7299999999999997E-2</v>
      </c>
      <c r="I7" s="1" t="s">
        <v>58</v>
      </c>
      <c r="J7" s="1">
        <v>0.12379999999999999</v>
      </c>
      <c r="K7" s="1">
        <v>1.7100000000000001E-2</v>
      </c>
      <c r="L7" s="1">
        <v>1.5E-3</v>
      </c>
      <c r="M7" s="1" t="s">
        <v>58</v>
      </c>
      <c r="N7" s="1">
        <v>1.8499999999999999E-2</v>
      </c>
      <c r="O7" s="1">
        <v>1.5E-3</v>
      </c>
      <c r="P7" s="9">
        <f>96/E7</f>
        <v>1.0775620159389381</v>
      </c>
      <c r="Q7" s="9">
        <f>20/E7</f>
        <v>0.22449208665394543</v>
      </c>
      <c r="R7" s="1">
        <v>0.39</v>
      </c>
      <c r="S7" s="1">
        <v>0.06</v>
      </c>
      <c r="T7" s="1">
        <v>1.06</v>
      </c>
      <c r="U7" s="1">
        <v>0.3</v>
      </c>
      <c r="V7" s="1">
        <v>267</v>
      </c>
      <c r="W7" s="1">
        <v>20</v>
      </c>
      <c r="X7" s="1">
        <v>569</v>
      </c>
      <c r="Y7" s="1">
        <v>32</v>
      </c>
      <c r="Z7" s="9">
        <f>23215/E7</f>
        <v>260.57918958356714</v>
      </c>
      <c r="AA7" s="9">
        <f>609/E7</f>
        <v>6.8357840386126387</v>
      </c>
      <c r="AB7" s="1">
        <v>464</v>
      </c>
      <c r="AC7" s="1">
        <v>84</v>
      </c>
      <c r="AD7" s="1">
        <v>39.799999999999997</v>
      </c>
      <c r="AE7" s="1">
        <v>6.7</v>
      </c>
      <c r="AF7" s="11">
        <f>21/E7</f>
        <v>0.23571669098664272</v>
      </c>
      <c r="AG7" s="11">
        <f>3/E7</f>
        <v>3.3673812998091815E-2</v>
      </c>
      <c r="AH7" s="11">
        <f>10/E7</f>
        <v>0.11224604332697272</v>
      </c>
      <c r="AI7" s="11">
        <f>2/E7</f>
        <v>2.2449208665394543E-2</v>
      </c>
      <c r="AJ7" s="11">
        <f>718/E7</f>
        <v>8.0592659108766416</v>
      </c>
      <c r="AK7" s="11">
        <f>160/E7</f>
        <v>1.7959366932315635</v>
      </c>
      <c r="AL7" s="1">
        <v>3</v>
      </c>
      <c r="AM7" s="1">
        <v>0.2</v>
      </c>
      <c r="AN7" s="11">
        <v>8.1999999999999993</v>
      </c>
      <c r="AO7" s="11">
        <v>0.7</v>
      </c>
      <c r="AP7" s="11">
        <v>10.5</v>
      </c>
      <c r="AQ7" s="11">
        <v>2.1</v>
      </c>
      <c r="AR7" s="10">
        <f>398/E7</f>
        <v>4.4673925244135146</v>
      </c>
      <c r="AS7" s="10">
        <f>26/E7</f>
        <v>0.29183971265012909</v>
      </c>
      <c r="AT7" s="11">
        <f>659/E7</f>
        <v>7.3970142552475027</v>
      </c>
      <c r="AU7" s="11">
        <f>84/E7</f>
        <v>0.94286676394657087</v>
      </c>
      <c r="AV7" s="11">
        <f>352/E7</f>
        <v>3.9510607251094396</v>
      </c>
      <c r="AW7" s="11">
        <f>161/E7</f>
        <v>1.8071612975642608</v>
      </c>
      <c r="AX7" s="11">
        <f>745/E7</f>
        <v>8.3623302278594682</v>
      </c>
      <c r="AY7" s="11">
        <f>286/E7</f>
        <v>3.21023683915142</v>
      </c>
      <c r="AZ7" s="1">
        <v>30</v>
      </c>
      <c r="BA7" s="1">
        <v>2</v>
      </c>
      <c r="BB7" s="1" t="s">
        <v>91</v>
      </c>
      <c r="BC7" s="1" t="s">
        <v>55</v>
      </c>
      <c r="BD7" s="1">
        <v>12.1</v>
      </c>
      <c r="BE7" s="1" t="s">
        <v>55</v>
      </c>
      <c r="BF7" s="1">
        <v>0.39</v>
      </c>
      <c r="BG7" s="1">
        <v>0.08</v>
      </c>
      <c r="BH7" s="1">
        <v>1.2</v>
      </c>
      <c r="BI7" s="1">
        <v>0.15</v>
      </c>
      <c r="BJ7" s="1">
        <v>8</v>
      </c>
      <c r="BK7" s="1">
        <v>1.74</v>
      </c>
      <c r="BL7" s="1">
        <v>10.8</v>
      </c>
      <c r="BM7" s="1">
        <v>0.5</v>
      </c>
      <c r="BN7" s="1">
        <v>18.399999999999999</v>
      </c>
      <c r="BO7" s="1">
        <v>0.7</v>
      </c>
      <c r="BP7" s="1">
        <v>38</v>
      </c>
      <c r="BQ7" s="1">
        <v>6</v>
      </c>
      <c r="BR7" s="11">
        <f>94/E7</f>
        <v>1.0551128072735436</v>
      </c>
      <c r="BS7" s="11">
        <f>22/E7</f>
        <v>0.24694129531933998</v>
      </c>
      <c r="BT7" s="4">
        <v>2.5</v>
      </c>
      <c r="BU7" s="4">
        <v>1.8</v>
      </c>
      <c r="BV7" s="1">
        <v>0.1</v>
      </c>
      <c r="BW7" s="1">
        <v>0.04</v>
      </c>
      <c r="BX7" s="1">
        <v>0.51</v>
      </c>
      <c r="BY7" s="1">
        <v>0.01</v>
      </c>
      <c r="BZ7" s="10">
        <f>53/E7</f>
        <v>0.59490402963295541</v>
      </c>
      <c r="CA7" s="10">
        <f>5/E7</f>
        <v>5.6123021663486358E-2</v>
      </c>
      <c r="CB7" s="10">
        <f>0.6/E7</f>
        <v>6.7347625996183628E-3</v>
      </c>
      <c r="CC7" s="10">
        <f>0.1/E7</f>
        <v>1.1224604332697272E-3</v>
      </c>
      <c r="CD7" s="10">
        <f>3/E7</f>
        <v>3.3673812998091815E-2</v>
      </c>
      <c r="CE7" s="10">
        <f>0.7/E7</f>
        <v>7.8572230328880898E-3</v>
      </c>
      <c r="CF7" s="10">
        <f>6.8/E7</f>
        <v>7.6327309462341453E-2</v>
      </c>
      <c r="CG7" s="10">
        <f>1/E7</f>
        <v>1.1224604332697272E-2</v>
      </c>
      <c r="CH7" s="10">
        <f>6.7/E7</f>
        <v>7.5204849029071721E-2</v>
      </c>
      <c r="CI7" s="10">
        <f>0.9/E7</f>
        <v>1.0102143899427546E-2</v>
      </c>
      <c r="CJ7" s="10">
        <f>11/E7</f>
        <v>0.12347064765966999</v>
      </c>
      <c r="CK7" s="10">
        <f>2/E7</f>
        <v>2.2449208665394543E-2</v>
      </c>
      <c r="CL7" s="10">
        <f>6.7/E7</f>
        <v>7.5204849029071721E-2</v>
      </c>
      <c r="CM7" s="10">
        <f>1.1/E7</f>
        <v>1.2347064765967E-2</v>
      </c>
      <c r="CN7" s="10">
        <f>7.5/E7</f>
        <v>8.4184532495229544E-2</v>
      </c>
      <c r="CO7" s="10">
        <f>0.5/E7</f>
        <v>5.6123021663486358E-3</v>
      </c>
      <c r="CP7" s="10">
        <f>8/E7</f>
        <v>8.9796834661578173E-2</v>
      </c>
      <c r="CQ7" s="10">
        <f>1/E7</f>
        <v>1.1224604332697272E-2</v>
      </c>
      <c r="CR7" s="10">
        <f>10/E7</f>
        <v>0.11224604332697272</v>
      </c>
      <c r="CS7" s="10">
        <f>1/E7</f>
        <v>1.1224604332697272E-2</v>
      </c>
      <c r="CT7" s="10">
        <f>275/E7</f>
        <v>3.0867661914917499</v>
      </c>
      <c r="CU7" s="10">
        <f>63/E7</f>
        <v>0.70715007295992816</v>
      </c>
      <c r="CV7" s="10">
        <f>686/E7</f>
        <v>7.7000785722303284</v>
      </c>
      <c r="CW7" s="10">
        <f>52/E7</f>
        <v>0.58367942530025818</v>
      </c>
      <c r="CX7" s="10">
        <f>9.5/E7</f>
        <v>0.10663374116062409</v>
      </c>
      <c r="CY7" s="10">
        <f>0.7/E7</f>
        <v>7.8572230328880898E-3</v>
      </c>
      <c r="CZ7" s="10">
        <f>2.5/E7</f>
        <v>2.8061510831743179E-2</v>
      </c>
      <c r="DA7" s="10">
        <f>0.7/E7</f>
        <v>7.8572230328880898E-3</v>
      </c>
      <c r="DB7" s="10">
        <f>5.5/E7</f>
        <v>6.1735323829834994E-2</v>
      </c>
      <c r="DC7" s="10">
        <f>2.7/E7</f>
        <v>3.0306431698282635E-2</v>
      </c>
      <c r="DD7" s="10">
        <f>22.9/E7</f>
        <v>0.25704343921876749</v>
      </c>
      <c r="DE7" s="10">
        <f>0.7/E7</f>
        <v>7.8572230328880898E-3</v>
      </c>
      <c r="DF7" s="10">
        <f>35.8/E7</f>
        <v>0.40184083511056229</v>
      </c>
      <c r="DG7" s="10">
        <f>1.6/E7</f>
        <v>1.7959366932315635E-2</v>
      </c>
      <c r="DH7" s="10">
        <f>935/E7</f>
        <v>10.495005051071949</v>
      </c>
      <c r="DI7" s="10">
        <f>49/E7</f>
        <v>0.55000561230216638</v>
      </c>
      <c r="DJ7" s="10">
        <f>219/E7</f>
        <v>2.4581883488607024</v>
      </c>
      <c r="DK7" s="10">
        <f>34/E7</f>
        <v>0.38163654731170726</v>
      </c>
      <c r="DL7" s="10">
        <f>333/E7</f>
        <v>3.7377932427881917</v>
      </c>
      <c r="DM7" s="10">
        <f>70/E7</f>
        <v>0.78572230328880899</v>
      </c>
      <c r="DN7" s="10">
        <f>11/E7</f>
        <v>0.12347064765966999</v>
      </c>
      <c r="DO7" s="10">
        <f>3/E7</f>
        <v>3.3673812998091815E-2</v>
      </c>
      <c r="DP7" s="10">
        <f>125/E7</f>
        <v>1.403075541587159</v>
      </c>
      <c r="DQ7" s="10">
        <f>16/E7</f>
        <v>0.17959366932315635</v>
      </c>
      <c r="DR7" s="10" t="s">
        <v>251</v>
      </c>
      <c r="DS7" s="10" t="s">
        <v>55</v>
      </c>
      <c r="DT7" s="10">
        <f>212/E7</f>
        <v>2.3796161185318216</v>
      </c>
      <c r="DU7" s="10">
        <f>64/E7</f>
        <v>0.71837467729262539</v>
      </c>
      <c r="DV7" s="10" t="s">
        <v>272</v>
      </c>
      <c r="DW7" s="10" t="s">
        <v>55</v>
      </c>
      <c r="DX7" s="10" t="s">
        <v>273</v>
      </c>
      <c r="DY7" s="10" t="s">
        <v>55</v>
      </c>
      <c r="DZ7" s="10">
        <f>11/E7</f>
        <v>0.12347064765966999</v>
      </c>
      <c r="EA7" s="10">
        <f>4/E7</f>
        <v>4.4898417330789087E-2</v>
      </c>
      <c r="EB7" s="10">
        <f>3.2/E7</f>
        <v>3.5918733864631271E-2</v>
      </c>
      <c r="EC7" s="10">
        <f>0.6/E7</f>
        <v>6.7347625996183628E-3</v>
      </c>
      <c r="ED7" s="10">
        <f>0.7/E7</f>
        <v>7.8572230328880898E-3</v>
      </c>
      <c r="EE7" s="10">
        <f>0.6/E7</f>
        <v>6.7347625996183628E-3</v>
      </c>
      <c r="EF7" s="10">
        <f>3.1/E7</f>
        <v>3.4796273431361546E-2</v>
      </c>
      <c r="EG7" s="10">
        <f>0.1/E7</f>
        <v>1.1224604332697272E-3</v>
      </c>
      <c r="EH7" s="10" t="s">
        <v>233</v>
      </c>
      <c r="EI7" s="10" t="s">
        <v>55</v>
      </c>
      <c r="EJ7" s="10" t="s">
        <v>233</v>
      </c>
      <c r="EK7" s="10" t="s">
        <v>55</v>
      </c>
      <c r="EL7" s="10" t="s">
        <v>233</v>
      </c>
      <c r="EM7" s="10" t="s">
        <v>55</v>
      </c>
      <c r="EN7" s="8">
        <f>126.4/E7</f>
        <v>1.4187899876529353</v>
      </c>
      <c r="EO7" s="8">
        <f>1.4/E7</f>
        <v>1.571444606577618E-2</v>
      </c>
      <c r="EP7" s="8">
        <f>61/E7</f>
        <v>0.68470086429453358</v>
      </c>
      <c r="EQ7" s="8">
        <f>1/E7</f>
        <v>1.1224604332697272E-2</v>
      </c>
      <c r="ER7" s="8">
        <f>3/E7</f>
        <v>3.3673812998091815E-2</v>
      </c>
      <c r="ES7" s="8">
        <f>0.3/E7</f>
        <v>3.3673812998091814E-3</v>
      </c>
      <c r="ET7" s="8">
        <f>2.5/E7</f>
        <v>2.8061510831743179E-2</v>
      </c>
      <c r="EU7" s="8">
        <f>1.1/E7</f>
        <v>1.2347064765967E-2</v>
      </c>
      <c r="EV7" s="8">
        <f>48/E7</f>
        <v>0.53878100796946904</v>
      </c>
      <c r="EW7" s="8">
        <f>8/E7</f>
        <v>8.9796834661578173E-2</v>
      </c>
      <c r="EX7" s="8">
        <f>15/E7</f>
        <v>0.16836906499045909</v>
      </c>
      <c r="EY7" s="8">
        <f>3/E7</f>
        <v>3.3673812998091815E-2</v>
      </c>
      <c r="EZ7" s="8">
        <f>5/E7</f>
        <v>5.6123021663486358E-2</v>
      </c>
      <c r="FA7" s="8">
        <f>2.4/E7</f>
        <v>2.6939050398473451E-2</v>
      </c>
      <c r="FB7" s="8">
        <f>2/E7</f>
        <v>2.2449208665394543E-2</v>
      </c>
      <c r="FC7" s="8">
        <f>0.1/E7</f>
        <v>1.1224604332697272E-3</v>
      </c>
      <c r="FD7" s="8" t="s">
        <v>487</v>
      </c>
      <c r="FE7" s="8" t="s">
        <v>55</v>
      </c>
      <c r="FF7" s="10">
        <f>147/E7</f>
        <v>1.6500168369064989</v>
      </c>
      <c r="FG7" s="10">
        <f>48/E7</f>
        <v>0.53878100796946904</v>
      </c>
      <c r="FH7" s="10">
        <f>19/E7</f>
        <v>0.21326748232124818</v>
      </c>
      <c r="FI7" s="10">
        <f>4/E7</f>
        <v>4.4898417330789087E-2</v>
      </c>
      <c r="FJ7" s="10">
        <f>9.9/E7</f>
        <v>0.111123582893703</v>
      </c>
      <c r="FK7" s="10">
        <f>4.3/E7</f>
        <v>4.8265798630598267E-2</v>
      </c>
      <c r="FL7" s="10">
        <f>23/E7</f>
        <v>0.25816589965203723</v>
      </c>
      <c r="FM7" s="10">
        <f>4/E7</f>
        <v>4.4898417330789087E-2</v>
      </c>
      <c r="FN7" s="10">
        <f>24/E7</f>
        <v>0.26939050398473452</v>
      </c>
      <c r="FO7" s="10">
        <f>9/E7</f>
        <v>0.10102143899427544</v>
      </c>
      <c r="FP7" s="10">
        <f>15/E7</f>
        <v>0.16836906499045909</v>
      </c>
      <c r="FQ7" s="10">
        <f>5/E7</f>
        <v>5.6123021663486358E-2</v>
      </c>
      <c r="FR7" s="10">
        <f>9.8/E7</f>
        <v>0.11000112246043327</v>
      </c>
      <c r="FS7" s="10">
        <f>2.9/E7</f>
        <v>3.2551352564822091E-2</v>
      </c>
      <c r="FT7" s="8">
        <v>1.46</v>
      </c>
      <c r="FU7" s="8">
        <v>0.03</v>
      </c>
      <c r="FV7" s="8">
        <v>0.36</v>
      </c>
      <c r="FW7" s="8">
        <v>0.01</v>
      </c>
      <c r="FX7" s="8">
        <v>1.18</v>
      </c>
      <c r="FY7" s="8">
        <v>0.16</v>
      </c>
      <c r="FZ7" s="8">
        <v>0.53</v>
      </c>
      <c r="GA7" s="8">
        <v>0.01</v>
      </c>
      <c r="GB7" s="8" t="s">
        <v>157</v>
      </c>
      <c r="GC7" s="8" t="s">
        <v>55</v>
      </c>
      <c r="GD7" s="8" t="s">
        <v>157</v>
      </c>
      <c r="GE7" s="8" t="s">
        <v>55</v>
      </c>
      <c r="GF7" s="8" t="s">
        <v>157</v>
      </c>
      <c r="GG7" s="8" t="s">
        <v>55</v>
      </c>
      <c r="GH7" s="8" t="s">
        <v>157</v>
      </c>
      <c r="GI7" s="8" t="s">
        <v>55</v>
      </c>
      <c r="GJ7" s="8">
        <v>1.61</v>
      </c>
      <c r="GK7" s="8">
        <v>0.28999999999999998</v>
      </c>
      <c r="GL7" s="8" t="s">
        <v>157</v>
      </c>
      <c r="GM7" s="8" t="s">
        <v>55</v>
      </c>
      <c r="GN7" s="8" t="s">
        <v>157</v>
      </c>
      <c r="GO7" s="8" t="s">
        <v>55</v>
      </c>
      <c r="GP7" s="8">
        <v>3.27</v>
      </c>
      <c r="GQ7" s="8">
        <v>0.01</v>
      </c>
      <c r="GR7" s="8" t="s">
        <v>508</v>
      </c>
      <c r="GS7" s="8" t="s">
        <v>55</v>
      </c>
      <c r="GT7" s="8">
        <v>0.3</v>
      </c>
      <c r="GU7" s="8">
        <v>0.1</v>
      </c>
      <c r="GV7" s="8">
        <v>3.9</v>
      </c>
      <c r="GW7" s="8">
        <v>0.6</v>
      </c>
      <c r="GX7" s="8">
        <f>5.6/E7</f>
        <v>6.2857784263104718E-2</v>
      </c>
      <c r="GY7" s="8">
        <f>1.7/E7</f>
        <v>1.9081827365585363E-2</v>
      </c>
      <c r="GZ7" s="10">
        <v>14.8567</v>
      </c>
      <c r="HA7" s="10" t="s">
        <v>55</v>
      </c>
      <c r="HB7" s="10">
        <v>9.4829000000000008</v>
      </c>
      <c r="HC7" s="10" t="s">
        <v>55</v>
      </c>
      <c r="HD7" s="10">
        <v>52.668199999999999</v>
      </c>
      <c r="HE7" s="10" t="s">
        <v>55</v>
      </c>
      <c r="HF7" s="10">
        <v>60.995800000000003</v>
      </c>
      <c r="HG7" s="10" t="s">
        <v>55</v>
      </c>
      <c r="HH7" s="10">
        <v>83.423299999999998</v>
      </c>
      <c r="HI7" s="10" t="s">
        <v>55</v>
      </c>
      <c r="HJ7" s="10">
        <v>27.520499999999998</v>
      </c>
      <c r="HK7" s="10" t="s">
        <v>55</v>
      </c>
      <c r="HL7" s="10">
        <v>5.5068000000000001</v>
      </c>
      <c r="HM7" s="10" t="s">
        <v>55</v>
      </c>
      <c r="HN7" s="10">
        <v>41.264499999999998</v>
      </c>
      <c r="HO7" s="10" t="s">
        <v>55</v>
      </c>
      <c r="HP7" s="10">
        <v>510</v>
      </c>
      <c r="HQ7" s="10">
        <v>30</v>
      </c>
      <c r="HR7" s="10">
        <v>510</v>
      </c>
      <c r="HS7" s="10">
        <v>30</v>
      </c>
      <c r="HT7" s="10">
        <v>74</v>
      </c>
      <c r="HU7" s="10">
        <v>6</v>
      </c>
      <c r="HV7" s="10">
        <v>46</v>
      </c>
      <c r="HW7" s="10">
        <v>2</v>
      </c>
      <c r="HX7" s="10" t="s">
        <v>75</v>
      </c>
      <c r="HY7" s="10" t="s">
        <v>55</v>
      </c>
      <c r="HZ7" s="10">
        <v>136</v>
      </c>
      <c r="IA7" s="10">
        <v>6</v>
      </c>
      <c r="IB7" s="10">
        <v>48</v>
      </c>
      <c r="IC7" s="10">
        <v>4</v>
      </c>
      <c r="ID7" s="10">
        <v>5.6111000000000004</v>
      </c>
      <c r="IE7" s="10">
        <v>2.6831999999999998</v>
      </c>
      <c r="IF7" s="4" t="s">
        <v>75</v>
      </c>
      <c r="IG7" s="4" t="s">
        <v>55</v>
      </c>
      <c r="IH7" s="4" t="s">
        <v>56</v>
      </c>
      <c r="II7" s="4" t="s">
        <v>55</v>
      </c>
      <c r="IJ7" s="4" t="s">
        <v>56</v>
      </c>
      <c r="IK7" s="4" t="s">
        <v>55</v>
      </c>
      <c r="IL7" s="4" t="s">
        <v>56</v>
      </c>
      <c r="IM7" s="4" t="s">
        <v>55</v>
      </c>
      <c r="IN7" s="4" t="s">
        <v>56</v>
      </c>
      <c r="IO7" s="4" t="s">
        <v>55</v>
      </c>
      <c r="IP7" s="4" t="s">
        <v>56</v>
      </c>
      <c r="IQ7" s="4" t="s">
        <v>55</v>
      </c>
      <c r="IR7" s="4" t="s">
        <v>56</v>
      </c>
      <c r="IS7" s="4" t="s">
        <v>55</v>
      </c>
      <c r="IT7" s="1" t="s">
        <v>201</v>
      </c>
      <c r="IU7" s="1" t="s">
        <v>55</v>
      </c>
      <c r="IV7" s="4" t="s">
        <v>56</v>
      </c>
      <c r="IW7" s="4" t="s">
        <v>55</v>
      </c>
      <c r="IX7" s="4" t="s">
        <v>56</v>
      </c>
      <c r="IY7" s="4" t="s">
        <v>55</v>
      </c>
      <c r="IZ7" s="4" t="s">
        <v>56</v>
      </c>
      <c r="JA7" s="4" t="s">
        <v>55</v>
      </c>
      <c r="JB7" s="4" t="s">
        <v>56</v>
      </c>
      <c r="JC7" s="4" t="s">
        <v>55</v>
      </c>
      <c r="JD7" s="4" t="s">
        <v>56</v>
      </c>
      <c r="JE7" s="4" t="s">
        <v>55</v>
      </c>
      <c r="JF7" s="4" t="s">
        <v>56</v>
      </c>
      <c r="JG7" s="4" t="s">
        <v>55</v>
      </c>
      <c r="JH7" s="4" t="s">
        <v>56</v>
      </c>
      <c r="JI7" s="4" t="s">
        <v>55</v>
      </c>
      <c r="JJ7" s="4" t="s">
        <v>56</v>
      </c>
      <c r="JK7" s="4" t="s">
        <v>55</v>
      </c>
      <c r="JL7" s="4" t="s">
        <v>56</v>
      </c>
      <c r="JM7" s="4" t="s">
        <v>55</v>
      </c>
      <c r="JN7" s="4" t="s">
        <v>56</v>
      </c>
      <c r="JO7" s="4" t="s">
        <v>55</v>
      </c>
      <c r="JP7" s="4" t="s">
        <v>56</v>
      </c>
      <c r="JQ7" s="4" t="s">
        <v>55</v>
      </c>
      <c r="JR7" s="4" t="s">
        <v>56</v>
      </c>
      <c r="JS7" s="4" t="s">
        <v>55</v>
      </c>
      <c r="JT7" s="4" t="s">
        <v>56</v>
      </c>
      <c r="JU7" s="4" t="s">
        <v>55</v>
      </c>
      <c r="JV7" s="4" t="s">
        <v>56</v>
      </c>
      <c r="JW7" s="4" t="s">
        <v>55</v>
      </c>
      <c r="JX7" s="26">
        <v>5930.0486145216501</v>
      </c>
      <c r="JY7" s="26">
        <v>2526.4616515628622</v>
      </c>
      <c r="JZ7" s="26">
        <v>4438.2736910916101</v>
      </c>
      <c r="KA7" s="26">
        <v>1099.3527277023495</v>
      </c>
      <c r="KB7" s="26">
        <v>3639.6302466238558</v>
      </c>
      <c r="KC7" s="26">
        <v>1464.076964136895</v>
      </c>
      <c r="KD7" s="26">
        <v>11932.32948690167</v>
      </c>
      <c r="KE7" s="26">
        <v>9702.6206540018084</v>
      </c>
      <c r="KF7" s="26">
        <v>5000.2873897067002</v>
      </c>
      <c r="KG7" s="26">
        <v>756.24716934878916</v>
      </c>
      <c r="KH7" s="4" t="s">
        <v>56</v>
      </c>
      <c r="KI7" s="4" t="s">
        <v>55</v>
      </c>
      <c r="KJ7" s="4" t="s">
        <v>56</v>
      </c>
      <c r="KK7" s="4" t="s">
        <v>55</v>
      </c>
      <c r="KL7" s="4" t="s">
        <v>56</v>
      </c>
      <c r="KM7" s="4" t="s">
        <v>55</v>
      </c>
      <c r="KN7" s="4" t="s">
        <v>56</v>
      </c>
      <c r="KO7" s="4" t="s">
        <v>55</v>
      </c>
      <c r="KP7" s="4" t="s">
        <v>56</v>
      </c>
      <c r="KQ7" s="4" t="s">
        <v>55</v>
      </c>
      <c r="KR7" s="4">
        <v>328</v>
      </c>
      <c r="KS7" s="4">
        <v>18</v>
      </c>
      <c r="KT7" s="4">
        <v>51.6</v>
      </c>
      <c r="KU7" s="4">
        <v>2.5</v>
      </c>
      <c r="KV7" s="4">
        <v>3285.3</v>
      </c>
      <c r="KW7" s="4">
        <v>461.3</v>
      </c>
      <c r="KX7" s="4">
        <v>6405</v>
      </c>
      <c r="KY7" s="4">
        <v>531.9</v>
      </c>
      <c r="KZ7" s="4">
        <v>5680.3</v>
      </c>
      <c r="LA7" s="4">
        <v>151.5</v>
      </c>
      <c r="LB7" s="4" t="s">
        <v>56</v>
      </c>
      <c r="LC7" s="4" t="s">
        <v>55</v>
      </c>
      <c r="LD7" s="10">
        <f>15.3*1000</f>
        <v>15300</v>
      </c>
      <c r="LE7" s="10">
        <f>2.5*1000</f>
        <v>2500</v>
      </c>
      <c r="LF7" s="10">
        <f>2.5*1000</f>
        <v>2500</v>
      </c>
      <c r="LG7" s="10">
        <f>0.4*1000</f>
        <v>400</v>
      </c>
      <c r="LH7" s="10">
        <f>1.62*1000</f>
        <v>1620</v>
      </c>
      <c r="LI7" s="10">
        <f>0.11*1000</f>
        <v>110</v>
      </c>
      <c r="LJ7" s="4" t="s">
        <v>56</v>
      </c>
      <c r="LK7" s="4" t="s">
        <v>55</v>
      </c>
      <c r="LL7" s="4" t="s">
        <v>56</v>
      </c>
      <c r="LM7" s="4" t="s">
        <v>55</v>
      </c>
      <c r="LN7" s="4" t="s">
        <v>56</v>
      </c>
      <c r="LO7" s="4" t="s">
        <v>55</v>
      </c>
      <c r="LP7" s="4" t="s">
        <v>56</v>
      </c>
      <c r="LQ7" s="4" t="s">
        <v>55</v>
      </c>
      <c r="LR7" s="4" t="s">
        <v>56</v>
      </c>
      <c r="LS7" s="4" t="s">
        <v>55</v>
      </c>
      <c r="LT7" s="4" t="s">
        <v>56</v>
      </c>
      <c r="LU7" s="4" t="s">
        <v>55</v>
      </c>
      <c r="LV7" s="4" t="s">
        <v>56</v>
      </c>
      <c r="LW7" s="4" t="s">
        <v>55</v>
      </c>
      <c r="LX7" s="4" t="s">
        <v>56</v>
      </c>
      <c r="LY7" s="4" t="s">
        <v>55</v>
      </c>
      <c r="LZ7" s="4" t="s">
        <v>56</v>
      </c>
      <c r="MA7" s="4" t="s">
        <v>55</v>
      </c>
      <c r="MB7" s="4" t="s">
        <v>56</v>
      </c>
      <c r="MC7" s="4" t="s">
        <v>55</v>
      </c>
      <c r="MD7" s="4" t="s">
        <v>56</v>
      </c>
      <c r="ME7" s="4" t="s">
        <v>55</v>
      </c>
      <c r="MF7" s="4" t="s">
        <v>56</v>
      </c>
      <c r="MG7" s="4" t="s">
        <v>55</v>
      </c>
      <c r="MH7" s="4" t="s">
        <v>56</v>
      </c>
      <c r="MI7" s="4" t="s">
        <v>55</v>
      </c>
      <c r="MJ7" s="4" t="s">
        <v>56</v>
      </c>
      <c r="MK7" s="4" t="s">
        <v>55</v>
      </c>
      <c r="ML7" s="4" t="s">
        <v>56</v>
      </c>
      <c r="MM7" s="4" t="s">
        <v>55</v>
      </c>
      <c r="MN7" s="4" t="s">
        <v>56</v>
      </c>
      <c r="MO7" s="4" t="s">
        <v>55</v>
      </c>
      <c r="MP7" s="4" t="s">
        <v>56</v>
      </c>
      <c r="MQ7" s="4" t="s">
        <v>55</v>
      </c>
      <c r="MR7" s="4" t="s">
        <v>56</v>
      </c>
      <c r="MS7" s="4" t="s">
        <v>55</v>
      </c>
      <c r="MT7" s="4" t="s">
        <v>56</v>
      </c>
      <c r="MU7" s="4" t="s">
        <v>55</v>
      </c>
      <c r="MV7" s="4" t="s">
        <v>56</v>
      </c>
      <c r="MW7" s="4" t="s">
        <v>55</v>
      </c>
      <c r="MX7" s="4" t="s">
        <v>56</v>
      </c>
      <c r="MY7" s="4" t="s">
        <v>55</v>
      </c>
      <c r="MZ7" s="4" t="s">
        <v>56</v>
      </c>
      <c r="NA7" s="4" t="s">
        <v>55</v>
      </c>
      <c r="NB7" s="4" t="s">
        <v>56</v>
      </c>
      <c r="NC7" s="4" t="s">
        <v>55</v>
      </c>
      <c r="ND7" s="4" t="s">
        <v>56</v>
      </c>
      <c r="NE7" s="4" t="s">
        <v>55</v>
      </c>
      <c r="NF7" s="4" t="s">
        <v>56</v>
      </c>
      <c r="NG7" s="4" t="s">
        <v>55</v>
      </c>
      <c r="NH7" s="4" t="s">
        <v>56</v>
      </c>
      <c r="NI7" s="4" t="s">
        <v>55</v>
      </c>
      <c r="NJ7" s="4" t="s">
        <v>56</v>
      </c>
      <c r="NK7" s="4" t="s">
        <v>55</v>
      </c>
      <c r="NL7" s="4" t="s">
        <v>56</v>
      </c>
      <c r="NM7" s="4" t="s">
        <v>55</v>
      </c>
      <c r="NN7" s="4" t="s">
        <v>56</v>
      </c>
      <c r="NO7" s="4" t="s">
        <v>55</v>
      </c>
      <c r="NP7" s="4" t="s">
        <v>56</v>
      </c>
      <c r="NQ7" s="4" t="s">
        <v>55</v>
      </c>
      <c r="NR7" s="10">
        <f>(14*1000)/E7</f>
        <v>157.14446065776181</v>
      </c>
      <c r="NS7" s="10">
        <f>(2*1000)/E7</f>
        <v>22.449208665394544</v>
      </c>
      <c r="NT7" s="10">
        <f>(163*1000)/E7</f>
        <v>1829.6105062296554</v>
      </c>
      <c r="NU7" s="10">
        <f>(27*1000)/E7</f>
        <v>303.06431698282637</v>
      </c>
    </row>
    <row r="8" spans="1:385" x14ac:dyDescent="0.2">
      <c r="A8" t="s">
        <v>857</v>
      </c>
      <c r="B8" s="1" t="s">
        <v>1037</v>
      </c>
      <c r="C8" s="1" t="s">
        <v>843</v>
      </c>
      <c r="D8" s="39" cm="1">
        <f t="array" ref="D8">SUMPRODUCT((ISNUMBER(F8:NU8))*(MOD(COLUMN(F8:NU8),2)=0))</f>
        <v>56</v>
      </c>
      <c r="E8" s="1">
        <v>89.09</v>
      </c>
      <c r="F8" s="1" t="s">
        <v>56</v>
      </c>
      <c r="G8" s="1" t="s">
        <v>55</v>
      </c>
      <c r="H8" s="1" t="s">
        <v>56</v>
      </c>
      <c r="I8" s="1" t="s">
        <v>55</v>
      </c>
      <c r="J8" s="1" t="s">
        <v>56</v>
      </c>
      <c r="K8" s="1" t="s">
        <v>55</v>
      </c>
      <c r="L8" s="1" t="s">
        <v>56</v>
      </c>
      <c r="M8" s="1" t="s">
        <v>55</v>
      </c>
      <c r="N8" s="1" t="s">
        <v>56</v>
      </c>
      <c r="O8" s="1" t="s">
        <v>55</v>
      </c>
      <c r="P8" s="1" t="s">
        <v>56</v>
      </c>
      <c r="Q8" s="1" t="s">
        <v>55</v>
      </c>
      <c r="R8" s="1" t="s">
        <v>56</v>
      </c>
      <c r="S8" s="1" t="s">
        <v>55</v>
      </c>
      <c r="T8" s="1" t="s">
        <v>56</v>
      </c>
      <c r="U8" s="1" t="s">
        <v>55</v>
      </c>
      <c r="V8" s="1" t="s">
        <v>56</v>
      </c>
      <c r="W8" s="1" t="s">
        <v>55</v>
      </c>
      <c r="X8" s="1" t="s">
        <v>56</v>
      </c>
      <c r="Y8" s="1" t="s">
        <v>55</v>
      </c>
      <c r="Z8" s="1" t="s">
        <v>56</v>
      </c>
      <c r="AA8" s="1" t="s">
        <v>55</v>
      </c>
      <c r="AB8" s="1" t="s">
        <v>56</v>
      </c>
      <c r="AC8" s="1" t="s">
        <v>55</v>
      </c>
      <c r="AD8" s="1" t="s">
        <v>56</v>
      </c>
      <c r="AE8" s="1" t="s">
        <v>55</v>
      </c>
      <c r="AF8" s="1" t="s">
        <v>56</v>
      </c>
      <c r="AG8" s="1" t="s">
        <v>55</v>
      </c>
      <c r="AH8" s="1" t="s">
        <v>56</v>
      </c>
      <c r="AI8" s="1" t="s">
        <v>55</v>
      </c>
      <c r="AJ8" s="1" t="s">
        <v>56</v>
      </c>
      <c r="AK8" s="1" t="s">
        <v>55</v>
      </c>
      <c r="AL8" s="1" t="s">
        <v>56</v>
      </c>
      <c r="AM8" s="1" t="s">
        <v>55</v>
      </c>
      <c r="AN8" s="1" t="s">
        <v>56</v>
      </c>
      <c r="AO8" s="1" t="s">
        <v>55</v>
      </c>
      <c r="AP8" s="1" t="s">
        <v>56</v>
      </c>
      <c r="AQ8" s="1" t="s">
        <v>55</v>
      </c>
      <c r="AR8" s="1" t="s">
        <v>56</v>
      </c>
      <c r="AS8" s="1" t="s">
        <v>55</v>
      </c>
      <c r="AT8" s="1" t="s">
        <v>56</v>
      </c>
      <c r="AU8" s="1" t="s">
        <v>55</v>
      </c>
      <c r="AV8" s="1" t="s">
        <v>56</v>
      </c>
      <c r="AW8" s="1" t="s">
        <v>55</v>
      </c>
      <c r="AX8" s="1" t="s">
        <v>56</v>
      </c>
      <c r="AY8" s="1" t="s">
        <v>55</v>
      </c>
      <c r="AZ8" s="1" t="s">
        <v>56</v>
      </c>
      <c r="BA8" s="1" t="s">
        <v>55</v>
      </c>
      <c r="BB8" s="1" t="s">
        <v>56</v>
      </c>
      <c r="BC8" s="1" t="s">
        <v>55</v>
      </c>
      <c r="BD8" s="1" t="s">
        <v>56</v>
      </c>
      <c r="BE8" s="1" t="s">
        <v>55</v>
      </c>
      <c r="BF8" s="1" t="s">
        <v>56</v>
      </c>
      <c r="BG8" s="1" t="s">
        <v>55</v>
      </c>
      <c r="BH8" s="1" t="s">
        <v>56</v>
      </c>
      <c r="BI8" s="1" t="s">
        <v>55</v>
      </c>
      <c r="BJ8" s="1" t="s">
        <v>56</v>
      </c>
      <c r="BK8" s="1" t="s">
        <v>55</v>
      </c>
      <c r="BL8" s="1" t="s">
        <v>56</v>
      </c>
      <c r="BM8" s="1" t="s">
        <v>55</v>
      </c>
      <c r="BN8" s="1" t="s">
        <v>56</v>
      </c>
      <c r="BO8" s="1" t="s">
        <v>55</v>
      </c>
      <c r="BP8" s="1" t="s">
        <v>56</v>
      </c>
      <c r="BQ8" s="1" t="s">
        <v>55</v>
      </c>
      <c r="BR8" s="1" t="s">
        <v>56</v>
      </c>
      <c r="BS8" s="1" t="s">
        <v>55</v>
      </c>
      <c r="BT8" s="1" t="s">
        <v>56</v>
      </c>
      <c r="BU8" s="1" t="s">
        <v>55</v>
      </c>
      <c r="BV8" s="1" t="s">
        <v>56</v>
      </c>
      <c r="BW8" s="1" t="s">
        <v>55</v>
      </c>
      <c r="BX8" s="1" t="s">
        <v>56</v>
      </c>
      <c r="BY8" s="1" t="s">
        <v>55</v>
      </c>
      <c r="BZ8" s="1" t="s">
        <v>56</v>
      </c>
      <c r="CA8" s="1" t="s">
        <v>55</v>
      </c>
      <c r="CB8" s="1" t="s">
        <v>56</v>
      </c>
      <c r="CC8" s="1" t="s">
        <v>55</v>
      </c>
      <c r="CD8" s="1" t="s">
        <v>56</v>
      </c>
      <c r="CE8" s="1" t="s">
        <v>55</v>
      </c>
      <c r="CF8" s="1" t="s">
        <v>56</v>
      </c>
      <c r="CG8" s="1" t="s">
        <v>55</v>
      </c>
      <c r="CH8" s="1" t="s">
        <v>56</v>
      </c>
      <c r="CI8" s="1" t="s">
        <v>55</v>
      </c>
      <c r="CJ8" s="1" t="s">
        <v>56</v>
      </c>
      <c r="CK8" s="1" t="s">
        <v>55</v>
      </c>
      <c r="CL8" s="1" t="s">
        <v>56</v>
      </c>
      <c r="CM8" s="1" t="s">
        <v>55</v>
      </c>
      <c r="CN8" s="1" t="s">
        <v>56</v>
      </c>
      <c r="CO8" s="1" t="s">
        <v>55</v>
      </c>
      <c r="CP8" s="1" t="s">
        <v>56</v>
      </c>
      <c r="CQ8" s="1" t="s">
        <v>55</v>
      </c>
      <c r="CR8" s="1" t="s">
        <v>56</v>
      </c>
      <c r="CS8" s="1" t="s">
        <v>55</v>
      </c>
      <c r="CT8" s="1" t="s">
        <v>56</v>
      </c>
      <c r="CU8" s="1" t="s">
        <v>55</v>
      </c>
      <c r="CV8" s="1" t="s">
        <v>56</v>
      </c>
      <c r="CW8" s="1" t="s">
        <v>55</v>
      </c>
      <c r="CX8" s="1" t="s">
        <v>56</v>
      </c>
      <c r="CY8" s="1" t="s">
        <v>55</v>
      </c>
      <c r="CZ8" s="1" t="s">
        <v>56</v>
      </c>
      <c r="DA8" s="1" t="s">
        <v>55</v>
      </c>
      <c r="DB8" s="1" t="s">
        <v>56</v>
      </c>
      <c r="DC8" s="1" t="s">
        <v>55</v>
      </c>
      <c r="DD8" s="1" t="s">
        <v>56</v>
      </c>
      <c r="DE8" s="1" t="s">
        <v>55</v>
      </c>
      <c r="DF8" s="1" t="s">
        <v>56</v>
      </c>
      <c r="DG8" s="1" t="s">
        <v>55</v>
      </c>
      <c r="DH8" s="1" t="s">
        <v>56</v>
      </c>
      <c r="DI8" s="1" t="s">
        <v>55</v>
      </c>
      <c r="DJ8" s="1" t="s">
        <v>56</v>
      </c>
      <c r="DK8" s="1" t="s">
        <v>55</v>
      </c>
      <c r="DL8" s="1" t="s">
        <v>56</v>
      </c>
      <c r="DM8" s="1" t="s">
        <v>55</v>
      </c>
      <c r="DN8" s="1" t="s">
        <v>56</v>
      </c>
      <c r="DO8" s="1" t="s">
        <v>55</v>
      </c>
      <c r="DP8" s="1" t="s">
        <v>56</v>
      </c>
      <c r="DQ8" s="1" t="s">
        <v>55</v>
      </c>
      <c r="DR8" s="1" t="s">
        <v>56</v>
      </c>
      <c r="DS8" s="1" t="s">
        <v>55</v>
      </c>
      <c r="DT8" s="1" t="s">
        <v>56</v>
      </c>
      <c r="DU8" s="1" t="s">
        <v>55</v>
      </c>
      <c r="DV8" s="1" t="s">
        <v>56</v>
      </c>
      <c r="DW8" s="1" t="s">
        <v>55</v>
      </c>
      <c r="DX8" s="1" t="s">
        <v>56</v>
      </c>
      <c r="DY8" s="1" t="s">
        <v>55</v>
      </c>
      <c r="DZ8" s="1" t="s">
        <v>56</v>
      </c>
      <c r="EA8" s="1" t="s">
        <v>55</v>
      </c>
      <c r="EB8" s="1" t="s">
        <v>56</v>
      </c>
      <c r="EC8" s="1" t="s">
        <v>55</v>
      </c>
      <c r="ED8" s="1" t="s">
        <v>56</v>
      </c>
      <c r="EE8" s="1" t="s">
        <v>55</v>
      </c>
      <c r="EF8" s="1" t="s">
        <v>56</v>
      </c>
      <c r="EG8" s="1" t="s">
        <v>55</v>
      </c>
      <c r="EH8" s="1" t="s">
        <v>56</v>
      </c>
      <c r="EI8" s="1" t="s">
        <v>55</v>
      </c>
      <c r="EJ8" s="1" t="s">
        <v>56</v>
      </c>
      <c r="EK8" s="1" t="s">
        <v>55</v>
      </c>
      <c r="EL8" s="1" t="s">
        <v>56</v>
      </c>
      <c r="EM8" s="1" t="s">
        <v>55</v>
      </c>
      <c r="EN8" s="1" t="s">
        <v>56</v>
      </c>
      <c r="EO8" s="1" t="s">
        <v>55</v>
      </c>
      <c r="EP8" s="1" t="s">
        <v>56</v>
      </c>
      <c r="EQ8" s="1" t="s">
        <v>55</v>
      </c>
      <c r="ER8" s="1" t="s">
        <v>56</v>
      </c>
      <c r="ES8" s="1" t="s">
        <v>55</v>
      </c>
      <c r="ET8" s="1" t="s">
        <v>56</v>
      </c>
      <c r="EU8" s="1" t="s">
        <v>55</v>
      </c>
      <c r="EV8" s="1" t="s">
        <v>56</v>
      </c>
      <c r="EW8" s="1" t="s">
        <v>55</v>
      </c>
      <c r="EX8" s="1" t="s">
        <v>56</v>
      </c>
      <c r="EY8" s="1" t="s">
        <v>55</v>
      </c>
      <c r="EZ8" s="1" t="s">
        <v>56</v>
      </c>
      <c r="FA8" s="1" t="s">
        <v>55</v>
      </c>
      <c r="FB8" s="1" t="s">
        <v>56</v>
      </c>
      <c r="FC8" s="1" t="s">
        <v>55</v>
      </c>
      <c r="FD8" s="1" t="s">
        <v>56</v>
      </c>
      <c r="FE8" s="1" t="s">
        <v>55</v>
      </c>
      <c r="FF8" s="1" t="s">
        <v>56</v>
      </c>
      <c r="FG8" s="1" t="s">
        <v>55</v>
      </c>
      <c r="FH8" s="1" t="s">
        <v>56</v>
      </c>
      <c r="FI8" s="1" t="s">
        <v>55</v>
      </c>
      <c r="FJ8" s="1" t="s">
        <v>56</v>
      </c>
      <c r="FK8" s="1" t="s">
        <v>55</v>
      </c>
      <c r="FL8" s="1" t="s">
        <v>56</v>
      </c>
      <c r="FM8" s="1" t="s">
        <v>55</v>
      </c>
      <c r="FN8" s="1" t="s">
        <v>56</v>
      </c>
      <c r="FO8" s="1" t="s">
        <v>55</v>
      </c>
      <c r="FP8" s="1" t="s">
        <v>56</v>
      </c>
      <c r="FQ8" s="1" t="s">
        <v>55</v>
      </c>
      <c r="FR8" s="1" t="s">
        <v>56</v>
      </c>
      <c r="FS8" s="1" t="s">
        <v>55</v>
      </c>
      <c r="FT8" s="1" t="s">
        <v>56</v>
      </c>
      <c r="FU8" s="1" t="s">
        <v>55</v>
      </c>
      <c r="FV8" s="1" t="s">
        <v>56</v>
      </c>
      <c r="FW8" s="1" t="s">
        <v>55</v>
      </c>
      <c r="FX8" s="1" t="s">
        <v>56</v>
      </c>
      <c r="FY8" s="1" t="s">
        <v>55</v>
      </c>
      <c r="FZ8" s="1" t="s">
        <v>56</v>
      </c>
      <c r="GA8" s="1" t="s">
        <v>55</v>
      </c>
      <c r="GB8" s="1" t="s">
        <v>56</v>
      </c>
      <c r="GC8" s="1" t="s">
        <v>55</v>
      </c>
      <c r="GD8" s="1" t="s">
        <v>56</v>
      </c>
      <c r="GE8" s="1" t="s">
        <v>55</v>
      </c>
      <c r="GF8" s="1" t="s">
        <v>56</v>
      </c>
      <c r="GG8" s="1" t="s">
        <v>55</v>
      </c>
      <c r="GH8" s="1" t="s">
        <v>56</v>
      </c>
      <c r="GI8" s="1" t="s">
        <v>55</v>
      </c>
      <c r="GJ8" s="1" t="s">
        <v>56</v>
      </c>
      <c r="GK8" s="1" t="s">
        <v>55</v>
      </c>
      <c r="GL8" s="1" t="s">
        <v>56</v>
      </c>
      <c r="GM8" s="1" t="s">
        <v>55</v>
      </c>
      <c r="GN8" s="1" t="s">
        <v>56</v>
      </c>
      <c r="GO8" s="1" t="s">
        <v>55</v>
      </c>
      <c r="GP8" s="1" t="s">
        <v>56</v>
      </c>
      <c r="GQ8" s="1" t="s">
        <v>55</v>
      </c>
      <c r="GR8" s="1" t="s">
        <v>56</v>
      </c>
      <c r="GS8" s="1" t="s">
        <v>55</v>
      </c>
      <c r="GT8" s="1" t="s">
        <v>56</v>
      </c>
      <c r="GU8" s="1" t="s">
        <v>55</v>
      </c>
      <c r="GV8" s="17" t="s">
        <v>56</v>
      </c>
      <c r="GW8" s="17" t="s">
        <v>55</v>
      </c>
      <c r="GX8" s="1" t="s">
        <v>56</v>
      </c>
      <c r="GY8" s="1" t="s">
        <v>55</v>
      </c>
      <c r="GZ8" s="10" t="s">
        <v>56</v>
      </c>
      <c r="HA8" s="10" t="s">
        <v>55</v>
      </c>
      <c r="HB8" s="10" t="s">
        <v>56</v>
      </c>
      <c r="HC8" s="10" t="s">
        <v>55</v>
      </c>
      <c r="HD8" s="10" t="s">
        <v>56</v>
      </c>
      <c r="HE8" s="10" t="s">
        <v>55</v>
      </c>
      <c r="HF8" s="10" t="s">
        <v>56</v>
      </c>
      <c r="HG8" s="10" t="s">
        <v>55</v>
      </c>
      <c r="HH8" s="10" t="s">
        <v>56</v>
      </c>
      <c r="HI8" s="10" t="s">
        <v>55</v>
      </c>
      <c r="HJ8" s="10" t="s">
        <v>56</v>
      </c>
      <c r="HK8" s="10" t="s">
        <v>55</v>
      </c>
      <c r="HL8" s="10" t="s">
        <v>56</v>
      </c>
      <c r="HM8" s="10" t="s">
        <v>55</v>
      </c>
      <c r="HN8" s="10" t="s">
        <v>56</v>
      </c>
      <c r="HO8" s="10" t="s">
        <v>55</v>
      </c>
      <c r="HP8" s="10" t="s">
        <v>56</v>
      </c>
      <c r="HQ8" s="10" t="s">
        <v>55</v>
      </c>
      <c r="HR8" s="10" t="s">
        <v>56</v>
      </c>
      <c r="HS8" s="10" t="s">
        <v>55</v>
      </c>
      <c r="HT8" s="10" t="s">
        <v>56</v>
      </c>
      <c r="HU8" s="10" t="s">
        <v>55</v>
      </c>
      <c r="HV8" s="10" t="s">
        <v>56</v>
      </c>
      <c r="HW8" s="10" t="s">
        <v>55</v>
      </c>
      <c r="HX8" s="10" t="s">
        <v>56</v>
      </c>
      <c r="HY8" s="10" t="s">
        <v>55</v>
      </c>
      <c r="HZ8" s="10" t="s">
        <v>56</v>
      </c>
      <c r="IA8" s="10" t="s">
        <v>55</v>
      </c>
      <c r="IB8" s="10" t="s">
        <v>56</v>
      </c>
      <c r="IC8" s="10" t="s">
        <v>55</v>
      </c>
      <c r="ID8" s="10" t="s">
        <v>56</v>
      </c>
      <c r="IE8" s="10" t="s">
        <v>55</v>
      </c>
      <c r="IF8" s="10" t="s">
        <v>56</v>
      </c>
      <c r="IG8" s="10" t="s">
        <v>55</v>
      </c>
      <c r="IH8" s="4">
        <v>9.9</v>
      </c>
      <c r="II8" s="4" t="s">
        <v>55</v>
      </c>
      <c r="IJ8" s="4">
        <v>4.0999999999999996</v>
      </c>
      <c r="IK8" s="4" t="s">
        <v>55</v>
      </c>
      <c r="IL8" s="4">
        <v>4.8</v>
      </c>
      <c r="IM8" s="4" t="s">
        <v>55</v>
      </c>
      <c r="IN8" s="4">
        <v>20.8</v>
      </c>
      <c r="IO8" s="4" t="s">
        <v>55</v>
      </c>
      <c r="IP8" s="4">
        <v>207</v>
      </c>
      <c r="IQ8" s="4" t="s">
        <v>55</v>
      </c>
      <c r="IR8" s="4">
        <v>3.31</v>
      </c>
      <c r="IS8" s="4">
        <v>0.85</v>
      </c>
      <c r="IT8" s="1" t="s">
        <v>56</v>
      </c>
      <c r="IU8" s="1" t="s">
        <v>55</v>
      </c>
      <c r="IV8" s="4">
        <v>10.73</v>
      </c>
      <c r="IW8" s="4" t="s">
        <v>55</v>
      </c>
      <c r="IX8" s="4">
        <v>1440</v>
      </c>
      <c r="IY8" s="4" t="s">
        <v>55</v>
      </c>
      <c r="IZ8" s="4">
        <v>420</v>
      </c>
      <c r="JA8" s="4" t="s">
        <v>1056</v>
      </c>
      <c r="JB8" s="4">
        <v>980</v>
      </c>
      <c r="JC8" s="4" t="s">
        <v>55</v>
      </c>
      <c r="JD8" s="4">
        <v>240</v>
      </c>
      <c r="JE8" s="4" t="s">
        <v>55</v>
      </c>
      <c r="JF8" s="4">
        <v>0.22900000000000001</v>
      </c>
      <c r="JG8" s="4" t="s">
        <v>55</v>
      </c>
      <c r="JH8" s="4">
        <v>0.20499999999999999</v>
      </c>
      <c r="JI8" s="4" t="s">
        <v>55</v>
      </c>
      <c r="JJ8" s="4">
        <v>0.28599999999999998</v>
      </c>
      <c r="JK8" s="4" t="s">
        <v>55</v>
      </c>
      <c r="JL8" s="4">
        <v>1.0549999999999999</v>
      </c>
      <c r="JM8" s="4" t="s">
        <v>55</v>
      </c>
      <c r="JN8" s="4">
        <v>0.77300000000000002</v>
      </c>
      <c r="JO8" s="4" t="s">
        <v>55</v>
      </c>
      <c r="JP8" s="4">
        <v>0.59599999999999997</v>
      </c>
      <c r="JQ8" s="4" t="s">
        <v>55</v>
      </c>
      <c r="JR8" s="4">
        <v>0.76700000000000002</v>
      </c>
      <c r="JS8" s="4" t="s">
        <v>55</v>
      </c>
      <c r="JT8" s="4">
        <v>0.73099999999999998</v>
      </c>
      <c r="JU8" s="4" t="s">
        <v>55</v>
      </c>
      <c r="JV8" s="4">
        <v>39.130000000000003</v>
      </c>
      <c r="JW8" s="4" t="s">
        <v>55</v>
      </c>
      <c r="JX8" s="26" t="s">
        <v>56</v>
      </c>
      <c r="JY8" s="26" t="s">
        <v>55</v>
      </c>
      <c r="JZ8" s="26" t="s">
        <v>56</v>
      </c>
      <c r="KA8" s="26" t="s">
        <v>55</v>
      </c>
      <c r="KB8" s="26" t="s">
        <v>56</v>
      </c>
      <c r="KC8" s="26" t="s">
        <v>55</v>
      </c>
      <c r="KD8" s="26" t="s">
        <v>56</v>
      </c>
      <c r="KE8" s="26" t="s">
        <v>55</v>
      </c>
      <c r="KF8" s="26" t="s">
        <v>56</v>
      </c>
      <c r="KG8" s="26" t="s">
        <v>55</v>
      </c>
      <c r="KH8" s="4">
        <v>196500</v>
      </c>
      <c r="KI8" s="4">
        <v>21600</v>
      </c>
      <c r="KJ8" s="4">
        <v>978000</v>
      </c>
      <c r="KK8" s="4">
        <v>66500</v>
      </c>
      <c r="KL8" s="4">
        <v>110200</v>
      </c>
      <c r="KM8" s="4">
        <v>10600</v>
      </c>
      <c r="KN8" s="4">
        <v>151400</v>
      </c>
      <c r="KO8" s="4">
        <v>15400</v>
      </c>
      <c r="KP8" s="4">
        <v>409900</v>
      </c>
      <c r="KQ8" s="4">
        <v>29500</v>
      </c>
      <c r="KR8" s="4" t="s">
        <v>56</v>
      </c>
      <c r="KS8" s="4" t="s">
        <v>55</v>
      </c>
      <c r="KT8" s="4" t="s">
        <v>56</v>
      </c>
      <c r="KU8" s="4" t="s">
        <v>55</v>
      </c>
      <c r="KV8" s="4" t="s">
        <v>56</v>
      </c>
      <c r="KW8" s="4" t="s">
        <v>55</v>
      </c>
      <c r="KX8" s="4" t="s">
        <v>56</v>
      </c>
      <c r="KY8" s="4" t="s">
        <v>55</v>
      </c>
      <c r="KZ8" s="4" t="s">
        <v>56</v>
      </c>
      <c r="LA8" s="4" t="s">
        <v>55</v>
      </c>
      <c r="LB8" s="10">
        <f>((3.8/100)*1000000000)/E6</f>
        <v>426534.96464249631</v>
      </c>
      <c r="LC8" s="10">
        <f>((0.3/100)*1000000000)/E6</f>
        <v>33673.812998091817</v>
      </c>
      <c r="LD8" s="10" t="s">
        <v>56</v>
      </c>
      <c r="LE8" s="10" t="s">
        <v>55</v>
      </c>
      <c r="LF8" s="10" t="s">
        <v>56</v>
      </c>
      <c r="LG8" s="10" t="s">
        <v>55</v>
      </c>
      <c r="LH8" s="10" t="s">
        <v>56</v>
      </c>
      <c r="LI8" s="10" t="s">
        <v>55</v>
      </c>
      <c r="LJ8" s="10">
        <f>((7.74/100)*1000000000)/E6</f>
        <v>868784.37535076879</v>
      </c>
      <c r="LK8" s="10" t="s">
        <v>55</v>
      </c>
      <c r="LL8" s="10">
        <f>(37.7*1000000)/E8</f>
        <v>423167.58334268717</v>
      </c>
      <c r="LM8" s="10">
        <f>(2.01*1000000)/E8</f>
        <v>22561.454708721514</v>
      </c>
      <c r="LN8" s="10">
        <f>((1.33/100)*1000000000)/E8</f>
        <v>149287.23762487373</v>
      </c>
      <c r="LO8" s="10" t="s">
        <v>55</v>
      </c>
      <c r="LP8" s="10">
        <f>((15.6/100)*1000000000)/E8</f>
        <v>1751038.2759007744</v>
      </c>
      <c r="LQ8" s="10" t="s">
        <v>55</v>
      </c>
      <c r="LR8" s="10">
        <f>((8.49/100)*1000000000)/E8</f>
        <v>952968.90784599842</v>
      </c>
      <c r="LS8" s="10" t="s">
        <v>55</v>
      </c>
      <c r="LT8" s="10">
        <f>((10.47/100)*1000000000)/E8</f>
        <v>1175216.0736334044</v>
      </c>
      <c r="LU8" s="10" t="s">
        <v>55</v>
      </c>
      <c r="LV8" s="10">
        <f>((124/100)*1000000)/E8</f>
        <v>13918.509372544617</v>
      </c>
      <c r="LW8" s="10" t="s">
        <v>55</v>
      </c>
      <c r="LX8" s="10">
        <f>((158/100)*1000000)/E8</f>
        <v>17734.874845661689</v>
      </c>
      <c r="LY8" s="10" t="s">
        <v>55</v>
      </c>
      <c r="LZ8" s="10">
        <f>((159/100)*1000000)/E8</f>
        <v>17847.120888988662</v>
      </c>
      <c r="MA8" s="10" t="s">
        <v>55</v>
      </c>
      <c r="MB8" s="10">
        <f>((104/100)*1000000)/E8</f>
        <v>11673.588506005162</v>
      </c>
      <c r="MC8" s="10" t="s">
        <v>55</v>
      </c>
      <c r="MD8" s="4">
        <v>12271</v>
      </c>
      <c r="ME8" s="4" t="s">
        <v>55</v>
      </c>
      <c r="MF8" s="4">
        <v>13121</v>
      </c>
      <c r="MG8" s="4" t="s">
        <v>55</v>
      </c>
      <c r="MH8" s="4">
        <v>14112</v>
      </c>
      <c r="MI8" s="4" t="s">
        <v>55</v>
      </c>
      <c r="MJ8" s="4">
        <v>12375</v>
      </c>
      <c r="MK8" s="4" t="s">
        <v>55</v>
      </c>
      <c r="ML8" s="4">
        <v>15430</v>
      </c>
      <c r="MM8" s="4" t="s">
        <v>55</v>
      </c>
      <c r="MN8" s="4">
        <v>16349</v>
      </c>
      <c r="MO8" s="4" t="s">
        <v>55</v>
      </c>
      <c r="MP8" s="4">
        <v>15494</v>
      </c>
      <c r="MQ8" s="4" t="s">
        <v>55</v>
      </c>
      <c r="MR8" s="4">
        <v>11449</v>
      </c>
      <c r="MS8" s="4" t="s">
        <v>55</v>
      </c>
      <c r="MT8" s="4">
        <v>13150</v>
      </c>
      <c r="MU8" s="4" t="s">
        <v>55</v>
      </c>
      <c r="MV8" s="4">
        <v>12701</v>
      </c>
      <c r="MW8" s="4" t="s">
        <v>55</v>
      </c>
      <c r="MX8" s="4">
        <v>9745</v>
      </c>
      <c r="MY8" s="4" t="s">
        <v>55</v>
      </c>
      <c r="MZ8" s="4">
        <v>13563</v>
      </c>
      <c r="NA8" s="4" t="s">
        <v>55</v>
      </c>
      <c r="NB8" s="10">
        <f>(0.168*1000000)/E8</f>
        <v>1885.7335278931416</v>
      </c>
      <c r="NC8" s="10" t="s">
        <v>55</v>
      </c>
      <c r="ND8" s="10">
        <f>(0.412*1000000)/E8</f>
        <v>4624.5369850712759</v>
      </c>
      <c r="NE8" s="10" t="s">
        <v>55</v>
      </c>
      <c r="NF8" s="10">
        <f>(0.695*1000000)/E8</f>
        <v>7801.1000112246038</v>
      </c>
      <c r="NG8" s="10" t="s">
        <v>55</v>
      </c>
      <c r="NH8" s="10">
        <f>(0.958*1000000)/E8</f>
        <v>10753.170950723987</v>
      </c>
      <c r="NI8" s="10" t="s">
        <v>55</v>
      </c>
      <c r="NJ8" s="10">
        <f>(11.3*1000000)/E8</f>
        <v>126838.02895947917</v>
      </c>
      <c r="NK8" s="10" t="s">
        <v>55</v>
      </c>
      <c r="NL8" s="10">
        <f>(0.47*1000000)/E8</f>
        <v>5275.5640363677176</v>
      </c>
      <c r="NM8" s="4" t="s">
        <v>55</v>
      </c>
      <c r="NN8" s="4">
        <f>((14.42/100)*1000000)/E8</f>
        <v>1618.5879447749467</v>
      </c>
      <c r="NO8" s="4" t="s">
        <v>55</v>
      </c>
      <c r="NP8" s="4">
        <f>(58.9*1000000)/E8</f>
        <v>661129.19519586931</v>
      </c>
      <c r="NQ8" s="4">
        <f>(0.18*1000000)/E8</f>
        <v>2020.4287798855089</v>
      </c>
      <c r="NR8" s="10" t="s">
        <v>56</v>
      </c>
      <c r="NS8" s="10" t="s">
        <v>55</v>
      </c>
      <c r="NT8" s="10" t="s">
        <v>56</v>
      </c>
      <c r="NU8" s="10" t="s">
        <v>55</v>
      </c>
    </row>
    <row r="9" spans="1:385" x14ac:dyDescent="0.2">
      <c r="A9" t="s">
        <v>2</v>
      </c>
      <c r="B9" s="1" t="s">
        <v>1040</v>
      </c>
      <c r="C9" s="1" t="s">
        <v>843</v>
      </c>
      <c r="D9" s="39" cm="1">
        <f t="array" ref="D9">SUMPRODUCT((ISNUMBER(F9:NU9))*(MOD(COLUMN(F9:NU9),2)=0))</f>
        <v>138</v>
      </c>
      <c r="E9" s="1">
        <v>89.09</v>
      </c>
      <c r="F9" s="1">
        <v>5.3699999999999998E-2</v>
      </c>
      <c r="G9" s="1" t="s">
        <v>58</v>
      </c>
      <c r="H9" s="1">
        <v>8.2100000000000006E-2</v>
      </c>
      <c r="I9" s="1" t="s">
        <v>58</v>
      </c>
      <c r="J9" s="1">
        <v>5.6500000000000002E-2</v>
      </c>
      <c r="K9" s="1">
        <v>8.3000000000000001E-3</v>
      </c>
      <c r="L9" s="1">
        <v>4.2799999999999998E-2</v>
      </c>
      <c r="M9" s="1" t="s">
        <v>58</v>
      </c>
      <c r="N9" s="1">
        <v>3.7400000000000003E-2</v>
      </c>
      <c r="O9" s="1">
        <v>2.06E-2</v>
      </c>
      <c r="P9" s="9">
        <f>122/E9</f>
        <v>1.3694017285890672</v>
      </c>
      <c r="Q9" s="9">
        <f>6/E9</f>
        <v>6.734762599618363E-2</v>
      </c>
      <c r="R9" s="1">
        <v>3.3</v>
      </c>
      <c r="S9" s="1">
        <v>1.1000000000000001</v>
      </c>
      <c r="T9" s="1">
        <v>3.55</v>
      </c>
      <c r="U9" s="1">
        <v>0.68</v>
      </c>
      <c r="V9" s="1">
        <v>26</v>
      </c>
      <c r="W9" s="1">
        <v>3.2</v>
      </c>
      <c r="X9" s="1">
        <v>32.700000000000003</v>
      </c>
      <c r="Y9" s="1">
        <v>3.1</v>
      </c>
      <c r="Z9" s="9">
        <f>3005/E9</f>
        <v>33.7299360197553</v>
      </c>
      <c r="AA9" s="9">
        <f>95/E9</f>
        <v>1.0663374116062407</v>
      </c>
      <c r="AB9" s="1">
        <v>46.7</v>
      </c>
      <c r="AC9" s="1">
        <v>13.3</v>
      </c>
      <c r="AD9" s="1">
        <v>21.9</v>
      </c>
      <c r="AE9" s="1">
        <v>3.7</v>
      </c>
      <c r="AF9" s="11">
        <f>187/E9</f>
        <v>2.0990010102143897</v>
      </c>
      <c r="AG9" s="11">
        <f>34/E9</f>
        <v>0.38163654731170726</v>
      </c>
      <c r="AH9" s="11">
        <f>122/E9</f>
        <v>1.3694017285890672</v>
      </c>
      <c r="AI9" s="11">
        <f>45/E9</f>
        <v>0.50510719497137724</v>
      </c>
      <c r="AJ9" s="11">
        <f>1081/E9</f>
        <v>12.133797283645752</v>
      </c>
      <c r="AK9" s="11">
        <f>243/E9</f>
        <v>2.7275788528454372</v>
      </c>
      <c r="AL9" s="1">
        <v>6</v>
      </c>
      <c r="AM9" s="1">
        <v>0.2</v>
      </c>
      <c r="AN9" s="11">
        <v>16</v>
      </c>
      <c r="AO9" s="11">
        <v>1</v>
      </c>
      <c r="AP9" s="11">
        <v>15.5</v>
      </c>
      <c r="AQ9" s="11">
        <v>3.3</v>
      </c>
      <c r="AR9" s="10">
        <f>1064/E9</f>
        <v>11.942979009989898</v>
      </c>
      <c r="AS9" s="10">
        <f>151/E9</f>
        <v>1.6949152542372881</v>
      </c>
      <c r="AT9" s="11">
        <f>1419/E9</f>
        <v>15.927713548097429</v>
      </c>
      <c r="AU9" s="11">
        <f>157/E9</f>
        <v>1.7622628802334717</v>
      </c>
      <c r="AV9" s="11">
        <f>442/E9</f>
        <v>4.9612751150521941</v>
      </c>
      <c r="AW9" s="11">
        <f>238/E9</f>
        <v>2.6714558311819507</v>
      </c>
      <c r="AX9" s="11">
        <f>821/E9</f>
        <v>9.2154001571444599</v>
      </c>
      <c r="AY9" s="11">
        <f>323/E9</f>
        <v>3.6255471994612187</v>
      </c>
      <c r="AZ9" s="1">
        <v>21</v>
      </c>
      <c r="BA9" s="1">
        <v>1</v>
      </c>
      <c r="BB9" s="1" t="s">
        <v>91</v>
      </c>
      <c r="BC9" s="1" t="s">
        <v>55</v>
      </c>
      <c r="BD9" s="1">
        <v>2.5</v>
      </c>
      <c r="BE9" s="1" t="s">
        <v>55</v>
      </c>
      <c r="BF9" s="1">
        <v>0.51</v>
      </c>
      <c r="BG9" s="1">
        <v>0.18</v>
      </c>
      <c r="BH9" s="1">
        <v>0.53</v>
      </c>
      <c r="BI9" s="1">
        <v>0.04</v>
      </c>
      <c r="BJ9" s="1">
        <v>2.04</v>
      </c>
      <c r="BK9" s="1">
        <v>0.33</v>
      </c>
      <c r="BL9" s="1">
        <v>14</v>
      </c>
      <c r="BM9" s="1">
        <v>2</v>
      </c>
      <c r="BN9" s="1">
        <v>3.4</v>
      </c>
      <c r="BO9" s="1">
        <v>0.2</v>
      </c>
      <c r="BP9" s="1">
        <v>10</v>
      </c>
      <c r="BQ9" s="1">
        <v>2</v>
      </c>
      <c r="BR9" s="11">
        <f>2732/E9</f>
        <v>30.665619036928948</v>
      </c>
      <c r="BS9" s="11">
        <f>675/E9</f>
        <v>7.5766079245706583</v>
      </c>
      <c r="BT9" s="4">
        <v>29.2</v>
      </c>
      <c r="BU9" s="4">
        <v>8.1</v>
      </c>
      <c r="BV9" s="1">
        <v>0.36</v>
      </c>
      <c r="BW9" s="1">
        <v>0.04</v>
      </c>
      <c r="BX9" s="1">
        <v>0.19</v>
      </c>
      <c r="BY9" s="1">
        <v>0.02</v>
      </c>
      <c r="BZ9" s="10">
        <f>103/E9</f>
        <v>1.156134246267819</v>
      </c>
      <c r="CA9" s="10">
        <f>4/E9</f>
        <v>4.4898417330789087E-2</v>
      </c>
      <c r="CB9" s="10">
        <f>91/E9</f>
        <v>1.0214389942754518</v>
      </c>
      <c r="CC9" s="10">
        <f>11/E9</f>
        <v>0.12347064765966999</v>
      </c>
      <c r="CD9" s="10">
        <f>158/E9</f>
        <v>1.773487484566169</v>
      </c>
      <c r="CE9" s="10">
        <f>14/E9</f>
        <v>0.1571444606577618</v>
      </c>
      <c r="CF9" s="10">
        <f>161/E9</f>
        <v>1.8071612975642608</v>
      </c>
      <c r="CG9" s="10">
        <f>13/E9</f>
        <v>0.14591985632506455</v>
      </c>
      <c r="CH9" s="10">
        <f>102/E9</f>
        <v>1.1449096419351217</v>
      </c>
      <c r="CI9" s="10">
        <f>6/E9</f>
        <v>6.734762599618363E-2</v>
      </c>
      <c r="CJ9" s="10">
        <f>17/E9</f>
        <v>0.19081827365585363</v>
      </c>
      <c r="CK9" s="10">
        <f>7/E9</f>
        <v>7.8572230328880902E-2</v>
      </c>
      <c r="CL9" s="10">
        <f>112/E9</f>
        <v>1.2571556852620944</v>
      </c>
      <c r="CM9" s="10">
        <f>7/E9</f>
        <v>7.8572230328880902E-2</v>
      </c>
      <c r="CN9" s="10">
        <f>144/E9</f>
        <v>1.6163430239084071</v>
      </c>
      <c r="CO9" s="10">
        <f>8/E9</f>
        <v>8.9796834661578173E-2</v>
      </c>
      <c r="CP9" s="10">
        <f>271/E9</f>
        <v>3.0418677741609605</v>
      </c>
      <c r="CQ9" s="10">
        <f>32/E9</f>
        <v>0.35918733864631269</v>
      </c>
      <c r="CR9" s="10">
        <f>181/E9</f>
        <v>2.0316533842182061</v>
      </c>
      <c r="CS9" s="10">
        <f>17/E9</f>
        <v>0.19081827365585363</v>
      </c>
      <c r="CT9" s="10">
        <f>5/E9</f>
        <v>5.6123021663486358E-2</v>
      </c>
      <c r="CU9" s="10">
        <f>2.7/E9</f>
        <v>3.0306431698282635E-2</v>
      </c>
      <c r="CV9" s="10">
        <f>295/E9</f>
        <v>3.3112582781456954</v>
      </c>
      <c r="CW9" s="10">
        <f>23/E9</f>
        <v>0.25816589965203723</v>
      </c>
      <c r="CX9" s="10">
        <f>279/E9</f>
        <v>3.1316646088225388</v>
      </c>
      <c r="CY9" s="10">
        <f>30/E9</f>
        <v>0.33673812998091818</v>
      </c>
      <c r="CZ9" s="10">
        <f>13/E9</f>
        <v>0.14591985632506455</v>
      </c>
      <c r="DA9" s="10">
        <f>1/E9</f>
        <v>1.1224604332697272E-2</v>
      </c>
      <c r="DB9" s="10">
        <f>58/E9</f>
        <v>0.65102705129644178</v>
      </c>
      <c r="DC9" s="10">
        <f>3/E9</f>
        <v>3.3673812998091815E-2</v>
      </c>
      <c r="DD9" s="10">
        <f>121.6/E9</f>
        <v>1.3649118868559882</v>
      </c>
      <c r="DE9" s="10">
        <f>9.9/E9</f>
        <v>0.111123582893703</v>
      </c>
      <c r="DF9" s="10">
        <f>15.5/E9</f>
        <v>0.1739813671568077</v>
      </c>
      <c r="DG9" s="10">
        <f>0.7/E9</f>
        <v>7.8572230328880898E-3</v>
      </c>
      <c r="DH9" s="10">
        <f>1093/E9</f>
        <v>12.268492535638119</v>
      </c>
      <c r="DI9" s="10">
        <f>67/E9</f>
        <v>0.75204849029071719</v>
      </c>
      <c r="DJ9" s="10">
        <f>3818/E9</f>
        <v>42.855539342238181</v>
      </c>
      <c r="DK9" s="10">
        <f>342/E9</f>
        <v>3.8388146817824671</v>
      </c>
      <c r="DL9" s="10">
        <f>4218/E9</f>
        <v>47.345381075317093</v>
      </c>
      <c r="DM9" s="10">
        <f>290/E9</f>
        <v>3.2551352564822089</v>
      </c>
      <c r="DN9" s="10">
        <f>25/E9</f>
        <v>0.28061510831743181</v>
      </c>
      <c r="DO9" s="10">
        <f>1/E9</f>
        <v>1.1224604332697272E-2</v>
      </c>
      <c r="DP9" s="10">
        <f>267/E9</f>
        <v>2.9969693568301716</v>
      </c>
      <c r="DQ9" s="10">
        <f>32/E9</f>
        <v>0.35918733864631269</v>
      </c>
      <c r="DR9" s="10">
        <f>28/E9</f>
        <v>0.31428892131552361</v>
      </c>
      <c r="DS9" s="10">
        <f>1/E9</f>
        <v>1.1224604332697272E-2</v>
      </c>
      <c r="DT9" s="10">
        <f>734/E9</f>
        <v>8.2388595801997973</v>
      </c>
      <c r="DU9" s="10">
        <f>259/E9</f>
        <v>2.9071725221685933</v>
      </c>
      <c r="DV9" s="10">
        <f>18/E9</f>
        <v>0.20204287798855089</v>
      </c>
      <c r="DW9" s="10">
        <f>2/E9</f>
        <v>2.2449208665394543E-2</v>
      </c>
      <c r="DX9" s="10">
        <f>6.3/E9</f>
        <v>7.071500729599281E-2</v>
      </c>
      <c r="DY9" s="10">
        <f>0.8/E9</f>
        <v>8.9796834661578177E-3</v>
      </c>
      <c r="DZ9" s="10">
        <f>162/E9</f>
        <v>1.8183859018969581</v>
      </c>
      <c r="EA9" s="10">
        <f>20/E9</f>
        <v>0.22449208665394543</v>
      </c>
      <c r="EB9" s="10">
        <f>19/E9</f>
        <v>0.21326748232124818</v>
      </c>
      <c r="EC9" s="10">
        <f>2/E9</f>
        <v>2.2449208665394543E-2</v>
      </c>
      <c r="ED9" s="10">
        <f>101/E9</f>
        <v>1.1336850376024246</v>
      </c>
      <c r="EE9" s="10">
        <f>13/E9</f>
        <v>0.14591985632506455</v>
      </c>
      <c r="EF9" s="10">
        <f>12/E9</f>
        <v>0.13469525199236726</v>
      </c>
      <c r="EG9" s="10">
        <f>1/E9</f>
        <v>1.1224604332697272E-2</v>
      </c>
      <c r="EH9" s="10">
        <f>2.7/1000</f>
        <v>2.7000000000000001E-3</v>
      </c>
      <c r="EI9" s="10">
        <f>0.3/1000</f>
        <v>2.9999999999999997E-4</v>
      </c>
      <c r="EJ9" s="10" t="s">
        <v>233</v>
      </c>
      <c r="EK9" s="10" t="s">
        <v>55</v>
      </c>
      <c r="EL9" s="10">
        <f>10.7/1000</f>
        <v>1.0699999999999999E-2</v>
      </c>
      <c r="EM9" s="10">
        <f>0.4/1000</f>
        <v>4.0000000000000002E-4</v>
      </c>
      <c r="EN9" s="8">
        <f>340.1/E9</f>
        <v>3.8174879335503427</v>
      </c>
      <c r="EO9" s="8">
        <f>4.7/E9</f>
        <v>5.2755640363677178E-2</v>
      </c>
      <c r="EP9" s="8">
        <f>232.5/E9</f>
        <v>2.6097205073521157</v>
      </c>
      <c r="EQ9" s="8">
        <f>8/E9</f>
        <v>8.9796834661578173E-2</v>
      </c>
      <c r="ER9" s="8">
        <f>18/E9</f>
        <v>0.20204287798855089</v>
      </c>
      <c r="ES9" s="8">
        <f>2/E9</f>
        <v>2.2449208665394543E-2</v>
      </c>
      <c r="ET9" s="8">
        <f>45/E9</f>
        <v>0.50510719497137724</v>
      </c>
      <c r="EU9" s="8">
        <f>4/E9</f>
        <v>4.4898417330789087E-2</v>
      </c>
      <c r="EV9" s="8">
        <f>4.1/E9</f>
        <v>4.6020877764058811E-2</v>
      </c>
      <c r="EW9" s="8">
        <f>1.2/E9</f>
        <v>1.3469525199236726E-2</v>
      </c>
      <c r="EX9" s="8">
        <f>17/E9</f>
        <v>0.19081827365585363</v>
      </c>
      <c r="EY9" s="8">
        <f>1/E9</f>
        <v>1.1224604332697272E-2</v>
      </c>
      <c r="EZ9" s="8">
        <f>19/E9</f>
        <v>0.21326748232124818</v>
      </c>
      <c r="FA9" s="8">
        <f>1/E9</f>
        <v>1.1224604332697272E-2</v>
      </c>
      <c r="FB9" s="8">
        <f>2.4/E9</f>
        <v>2.6939050398473451E-2</v>
      </c>
      <c r="FC9" s="8">
        <f>0.2/E9</f>
        <v>2.2449208665394544E-3</v>
      </c>
      <c r="FD9" s="8">
        <f>1.9/E9</f>
        <v>2.1326748232124815E-2</v>
      </c>
      <c r="FE9" s="8">
        <f>0.7/E9</f>
        <v>7.8572230328880898E-3</v>
      </c>
      <c r="FF9" s="10">
        <f>123/E9</f>
        <v>1.3806263329217645</v>
      </c>
      <c r="FG9" s="10">
        <f>25/E9</f>
        <v>0.28061510831743181</v>
      </c>
      <c r="FH9" s="10">
        <f>43/E9</f>
        <v>0.48265798630598272</v>
      </c>
      <c r="FI9" s="10">
        <f>27/E9</f>
        <v>0.30306431698282632</v>
      </c>
      <c r="FJ9" s="10">
        <f>2/E9</f>
        <v>2.2449208665394543E-2</v>
      </c>
      <c r="FK9" s="10">
        <f>42/E9</f>
        <v>0.47143338197328544</v>
      </c>
      <c r="FL9" s="10">
        <f>7/E9</f>
        <v>7.8572230328880902E-2</v>
      </c>
      <c r="FM9" s="10">
        <f>59/E9</f>
        <v>0.66225165562913901</v>
      </c>
      <c r="FN9" s="10">
        <f>3/E9</f>
        <v>3.3673812998091815E-2</v>
      </c>
      <c r="FO9" s="10">
        <f>28/E9</f>
        <v>0.31428892131552361</v>
      </c>
      <c r="FP9" s="10">
        <f>28/E9</f>
        <v>0.31428892131552361</v>
      </c>
      <c r="FQ9" s="10">
        <f>3/E9</f>
        <v>3.3673812998091815E-2</v>
      </c>
      <c r="FR9" s="10">
        <f>22/E9</f>
        <v>0.24694129531933998</v>
      </c>
      <c r="FS9" s="10">
        <f>2/E9</f>
        <v>2.2449208665394543E-2</v>
      </c>
      <c r="FT9" s="8">
        <v>0.21</v>
      </c>
      <c r="FU9" s="8">
        <v>0.01</v>
      </c>
      <c r="FV9" s="8">
        <v>0.25</v>
      </c>
      <c r="FW9" s="8">
        <v>0.01</v>
      </c>
      <c r="FX9" s="8">
        <v>1.1000000000000001</v>
      </c>
      <c r="FY9" s="8">
        <v>0.33</v>
      </c>
      <c r="FZ9" s="8" t="s">
        <v>157</v>
      </c>
      <c r="GA9" s="8" t="s">
        <v>55</v>
      </c>
      <c r="GB9" s="8" t="s">
        <v>157</v>
      </c>
      <c r="GC9" s="8" t="s">
        <v>55</v>
      </c>
      <c r="GD9" s="8" t="s">
        <v>157</v>
      </c>
      <c r="GE9" s="8" t="s">
        <v>55</v>
      </c>
      <c r="GF9" s="8">
        <v>0.1</v>
      </c>
      <c r="GG9" s="8">
        <v>0.01</v>
      </c>
      <c r="GH9" s="8">
        <v>0.68</v>
      </c>
      <c r="GI9" s="8">
        <v>7.0000000000000007E-2</v>
      </c>
      <c r="GJ9" s="8">
        <v>0.35</v>
      </c>
      <c r="GK9" s="8">
        <v>0.1</v>
      </c>
      <c r="GL9" s="8">
        <v>1.1000000000000001</v>
      </c>
      <c r="GM9" s="8">
        <v>0.03</v>
      </c>
      <c r="GN9" s="8">
        <v>1.99</v>
      </c>
      <c r="GO9" s="8">
        <v>0.05</v>
      </c>
      <c r="GP9" s="8">
        <v>2.44</v>
      </c>
      <c r="GQ9" s="8">
        <v>0.03</v>
      </c>
      <c r="GR9" s="8">
        <v>3.3</v>
      </c>
      <c r="GS9" s="8">
        <v>0.1</v>
      </c>
      <c r="GT9" s="8">
        <v>3.6</v>
      </c>
      <c r="GU9" s="8">
        <v>0.6</v>
      </c>
      <c r="GV9" s="8">
        <v>3.3</v>
      </c>
      <c r="GW9" s="8">
        <v>0.5</v>
      </c>
      <c r="GX9" s="8">
        <f>59/E9</f>
        <v>0.66225165562913901</v>
      </c>
      <c r="GY9" s="8">
        <f>11/E9</f>
        <v>0.12347064765966999</v>
      </c>
      <c r="GZ9" s="10">
        <v>2.7706</v>
      </c>
      <c r="HA9" s="10" t="s">
        <v>55</v>
      </c>
      <c r="HB9" s="10">
        <v>1.7261</v>
      </c>
      <c r="HC9" s="10" t="s">
        <v>55</v>
      </c>
      <c r="HD9" s="10">
        <v>10.071999999999999</v>
      </c>
      <c r="HE9" s="10" t="s">
        <v>55</v>
      </c>
      <c r="HF9" s="10">
        <v>14.559200000000001</v>
      </c>
      <c r="HG9" s="10" t="s">
        <v>55</v>
      </c>
      <c r="HH9" s="10">
        <v>26.9636</v>
      </c>
      <c r="HI9" s="10" t="s">
        <v>55</v>
      </c>
      <c r="HJ9" s="10">
        <v>1.8149</v>
      </c>
      <c r="HK9" s="10" t="s">
        <v>55</v>
      </c>
      <c r="HL9" s="10">
        <v>2.2183000000000002</v>
      </c>
      <c r="HM9" s="10" t="s">
        <v>55</v>
      </c>
      <c r="HN9" s="10">
        <v>7.1848000000000001</v>
      </c>
      <c r="HO9" s="10" t="s">
        <v>55</v>
      </c>
      <c r="HP9" s="10">
        <v>28</v>
      </c>
      <c r="HQ9" s="10">
        <v>3</v>
      </c>
      <c r="HR9" s="10">
        <v>27</v>
      </c>
      <c r="HS9" s="10">
        <v>2</v>
      </c>
      <c r="HT9" s="10">
        <v>11.6</v>
      </c>
      <c r="HU9" s="10">
        <v>1.9</v>
      </c>
      <c r="HV9" s="10" t="s">
        <v>75</v>
      </c>
      <c r="HW9" s="10" t="s">
        <v>55</v>
      </c>
      <c r="HX9" s="10" t="s">
        <v>75</v>
      </c>
      <c r="HY9" s="10" t="s">
        <v>55</v>
      </c>
      <c r="HZ9" s="10" t="s">
        <v>319</v>
      </c>
      <c r="IA9" s="10" t="s">
        <v>55</v>
      </c>
      <c r="IB9" s="10">
        <v>9</v>
      </c>
      <c r="IC9" s="10">
        <v>1</v>
      </c>
      <c r="ID9" s="1">
        <v>3.2345000000000002</v>
      </c>
      <c r="IE9" s="10">
        <v>0.50929999999999997</v>
      </c>
      <c r="IF9" s="10">
        <v>0.19750000000000001</v>
      </c>
      <c r="IG9" s="10">
        <v>1.6E-2</v>
      </c>
      <c r="IH9" s="4">
        <v>20</v>
      </c>
      <c r="II9" s="4" t="s">
        <v>55</v>
      </c>
      <c r="IJ9" s="4">
        <v>0.4</v>
      </c>
      <c r="IK9" s="4" t="s">
        <v>55</v>
      </c>
      <c r="IL9" s="4">
        <v>0.5</v>
      </c>
      <c r="IM9" s="4" t="s">
        <v>55</v>
      </c>
      <c r="IN9" s="4">
        <v>0.1</v>
      </c>
      <c r="IO9" s="4" t="s">
        <v>55</v>
      </c>
      <c r="IP9" s="4">
        <v>16</v>
      </c>
      <c r="IQ9" s="4" t="s">
        <v>55</v>
      </c>
      <c r="IR9" s="4" t="s">
        <v>56</v>
      </c>
      <c r="IS9" s="4" t="s">
        <v>55</v>
      </c>
      <c r="IT9" s="1" t="s">
        <v>153</v>
      </c>
      <c r="IU9" s="1" t="s">
        <v>55</v>
      </c>
      <c r="IV9" s="4" t="s">
        <v>556</v>
      </c>
      <c r="IW9" s="4" t="s">
        <v>55</v>
      </c>
      <c r="IX9" s="4" t="s">
        <v>56</v>
      </c>
      <c r="IY9" s="4" t="s">
        <v>55</v>
      </c>
      <c r="IZ9" s="4" t="s">
        <v>56</v>
      </c>
      <c r="JA9" s="4" t="s">
        <v>55</v>
      </c>
      <c r="JB9" s="4" t="s">
        <v>56</v>
      </c>
      <c r="JC9" s="4" t="s">
        <v>55</v>
      </c>
      <c r="JD9" s="4" t="s">
        <v>56</v>
      </c>
      <c r="JE9" s="4" t="s">
        <v>55</v>
      </c>
      <c r="JF9" s="4">
        <v>3.5999999999999997E-2</v>
      </c>
      <c r="JG9" s="4" t="s">
        <v>55</v>
      </c>
      <c r="JH9" s="4">
        <v>3.4000000000000002E-2</v>
      </c>
      <c r="JI9" s="4" t="s">
        <v>55</v>
      </c>
      <c r="JJ9" s="4">
        <v>5.6000000000000001E-2</v>
      </c>
      <c r="JK9" s="4" t="s">
        <v>55</v>
      </c>
      <c r="JL9" s="4">
        <v>9.2999999999999999E-2</v>
      </c>
      <c r="JM9" s="4" t="s">
        <v>55</v>
      </c>
      <c r="JN9" s="4">
        <v>4.5999999999999999E-2</v>
      </c>
      <c r="JO9" s="4" t="s">
        <v>55</v>
      </c>
      <c r="JP9" s="4">
        <v>5.0999999999999997E-2</v>
      </c>
      <c r="JQ9" s="4" t="s">
        <v>55</v>
      </c>
      <c r="JR9" s="4">
        <v>8.4000000000000005E-2</v>
      </c>
      <c r="JS9" s="4" t="s">
        <v>55</v>
      </c>
      <c r="JT9" s="4">
        <v>0.10299999999999999</v>
      </c>
      <c r="JU9" s="4" t="s">
        <v>55</v>
      </c>
      <c r="JV9" s="4">
        <v>0.5</v>
      </c>
      <c r="JW9" s="4" t="s">
        <v>55</v>
      </c>
      <c r="JX9" s="26" t="s">
        <v>56</v>
      </c>
      <c r="JY9" s="26" t="s">
        <v>55</v>
      </c>
      <c r="JZ9" s="26" t="s">
        <v>56</v>
      </c>
      <c r="KA9" s="26" t="s">
        <v>55</v>
      </c>
      <c r="KB9" s="26" t="s">
        <v>56</v>
      </c>
      <c r="KC9" s="26" t="s">
        <v>55</v>
      </c>
      <c r="KD9" s="26" t="s">
        <v>56</v>
      </c>
      <c r="KE9" s="26" t="s">
        <v>55</v>
      </c>
      <c r="KF9" s="26" t="s">
        <v>56</v>
      </c>
      <c r="KG9" s="26" t="s">
        <v>55</v>
      </c>
      <c r="KH9" s="4" t="s">
        <v>56</v>
      </c>
      <c r="KI9" s="4" t="s">
        <v>55</v>
      </c>
      <c r="KJ9" s="4" t="s">
        <v>56</v>
      </c>
      <c r="KK9" s="4" t="s">
        <v>55</v>
      </c>
      <c r="KL9" s="4" t="s">
        <v>56</v>
      </c>
      <c r="KM9" s="4" t="s">
        <v>55</v>
      </c>
      <c r="KN9" s="4" t="s">
        <v>56</v>
      </c>
      <c r="KO9" s="4" t="s">
        <v>55</v>
      </c>
      <c r="KP9" s="4" t="s">
        <v>56</v>
      </c>
      <c r="KQ9" s="4" t="s">
        <v>55</v>
      </c>
      <c r="KR9" s="4" t="s">
        <v>56</v>
      </c>
      <c r="KS9" s="4" t="s">
        <v>55</v>
      </c>
      <c r="KT9" s="4" t="s">
        <v>56</v>
      </c>
      <c r="KU9" s="4" t="s">
        <v>55</v>
      </c>
      <c r="KV9" s="4" t="s">
        <v>56</v>
      </c>
      <c r="KW9" s="4" t="s">
        <v>55</v>
      </c>
      <c r="KX9" s="4" t="s">
        <v>56</v>
      </c>
      <c r="KY9" s="4" t="s">
        <v>55</v>
      </c>
      <c r="KZ9" s="4" t="s">
        <v>56</v>
      </c>
      <c r="LA9" s="4" t="s">
        <v>55</v>
      </c>
      <c r="LB9" s="10" t="s">
        <v>56</v>
      </c>
      <c r="LC9" s="10" t="s">
        <v>55</v>
      </c>
      <c r="LD9" s="10" t="s">
        <v>56</v>
      </c>
      <c r="LE9" s="10" t="s">
        <v>55</v>
      </c>
      <c r="LF9" s="10" t="s">
        <v>56</v>
      </c>
      <c r="LG9" s="10" t="s">
        <v>55</v>
      </c>
      <c r="LH9" s="10" t="s">
        <v>56</v>
      </c>
      <c r="LI9" s="10" t="s">
        <v>55</v>
      </c>
      <c r="LJ9" s="10" t="s">
        <v>56</v>
      </c>
      <c r="LK9" s="10" t="s">
        <v>162</v>
      </c>
      <c r="LL9" s="10" t="s">
        <v>56</v>
      </c>
      <c r="LM9" s="10" t="s">
        <v>162</v>
      </c>
      <c r="LN9" s="10" t="s">
        <v>56</v>
      </c>
      <c r="LO9" s="10" t="s">
        <v>162</v>
      </c>
      <c r="LP9" s="10" t="s">
        <v>56</v>
      </c>
      <c r="LQ9" s="10" t="s">
        <v>162</v>
      </c>
      <c r="LR9" s="10" t="s">
        <v>56</v>
      </c>
      <c r="LS9" s="10" t="s">
        <v>162</v>
      </c>
      <c r="LT9" s="10" t="s">
        <v>56</v>
      </c>
      <c r="LU9" s="10" t="s">
        <v>162</v>
      </c>
      <c r="LV9" s="10" t="s">
        <v>56</v>
      </c>
      <c r="LW9" s="10" t="s">
        <v>55</v>
      </c>
      <c r="LX9" s="10" t="s">
        <v>56</v>
      </c>
      <c r="LY9" s="10" t="s">
        <v>55</v>
      </c>
      <c r="LZ9" s="10" t="s">
        <v>56</v>
      </c>
      <c r="MA9" s="10" t="s">
        <v>55</v>
      </c>
      <c r="MB9" s="10" t="s">
        <v>56</v>
      </c>
      <c r="MC9" s="10" t="s">
        <v>55</v>
      </c>
      <c r="MD9" s="4">
        <v>248</v>
      </c>
      <c r="ME9" s="4" t="s">
        <v>55</v>
      </c>
      <c r="MF9" s="4">
        <v>332</v>
      </c>
      <c r="MG9" s="4" t="s">
        <v>55</v>
      </c>
      <c r="MH9" s="4">
        <v>571</v>
      </c>
      <c r="MI9" s="4" t="s">
        <v>55</v>
      </c>
      <c r="MJ9" s="4">
        <v>390</v>
      </c>
      <c r="MK9" s="4" t="s">
        <v>55</v>
      </c>
      <c r="ML9" s="4">
        <v>240</v>
      </c>
      <c r="MM9" s="4" t="s">
        <v>55</v>
      </c>
      <c r="MN9" s="4">
        <v>561</v>
      </c>
      <c r="MO9" s="4" t="s">
        <v>55</v>
      </c>
      <c r="MP9" s="4">
        <v>518</v>
      </c>
      <c r="MQ9" s="4" t="s">
        <v>55</v>
      </c>
      <c r="MR9" s="4">
        <v>179</v>
      </c>
      <c r="MS9" s="4" t="s">
        <v>55</v>
      </c>
      <c r="MT9" s="4">
        <v>495</v>
      </c>
      <c r="MU9" s="4" t="s">
        <v>55</v>
      </c>
      <c r="MV9" s="4">
        <v>357</v>
      </c>
      <c r="MW9" s="4" t="s">
        <v>55</v>
      </c>
      <c r="MX9" s="4">
        <v>115</v>
      </c>
      <c r="MY9" s="4" t="s">
        <v>55</v>
      </c>
      <c r="MZ9" s="4">
        <v>389</v>
      </c>
      <c r="NA9" s="4" t="s">
        <v>55</v>
      </c>
      <c r="NB9" s="10" t="s">
        <v>56</v>
      </c>
      <c r="NC9" s="10" t="s">
        <v>55</v>
      </c>
      <c r="ND9" s="10" t="s">
        <v>56</v>
      </c>
      <c r="NE9" s="10" t="s">
        <v>55</v>
      </c>
      <c r="NF9" s="10" t="s">
        <v>56</v>
      </c>
      <c r="NG9" s="10" t="s">
        <v>55</v>
      </c>
      <c r="NH9" s="10" t="s">
        <v>56</v>
      </c>
      <c r="NI9" s="10" t="s">
        <v>55</v>
      </c>
      <c r="NJ9" s="10" t="s">
        <v>56</v>
      </c>
      <c r="NK9" s="10" t="s">
        <v>55</v>
      </c>
      <c r="NL9" s="10" t="s">
        <v>56</v>
      </c>
      <c r="NM9" s="4" t="s">
        <v>55</v>
      </c>
      <c r="NN9" s="10" t="s">
        <v>56</v>
      </c>
      <c r="NO9" s="4" t="s">
        <v>55</v>
      </c>
      <c r="NP9" s="10" t="s">
        <v>56</v>
      </c>
      <c r="NQ9" s="4" t="s">
        <v>55</v>
      </c>
      <c r="NR9" s="10">
        <f>(43*1000)/E9</f>
        <v>482.65798630598272</v>
      </c>
      <c r="NS9" s="10">
        <f>(6*1000)/E9</f>
        <v>67.347625996183638</v>
      </c>
      <c r="NT9" s="10">
        <f>(198*1000)/E9</f>
        <v>2222.4716578740599</v>
      </c>
      <c r="NU9" s="10">
        <f>(39*1000)/E9</f>
        <v>437.75956897519359</v>
      </c>
    </row>
    <row r="10" spans="1:385" x14ac:dyDescent="0.2">
      <c r="A10" t="s">
        <v>619</v>
      </c>
      <c r="B10" s="1" t="s">
        <v>1037</v>
      </c>
      <c r="C10" s="1" t="s">
        <v>1035</v>
      </c>
      <c r="D10" s="39" cm="1">
        <f t="array" ref="D10">SUMPRODUCT((ISNUMBER(F10:NU10))*(MOD(COLUMN(F10:NU10),2)=0))</f>
        <v>1</v>
      </c>
      <c r="E10" s="1">
        <v>89.09</v>
      </c>
      <c r="F10" s="11" t="s">
        <v>56</v>
      </c>
      <c r="G10" s="11" t="s">
        <v>55</v>
      </c>
      <c r="H10" s="11" t="s">
        <v>56</v>
      </c>
      <c r="I10" s="11" t="s">
        <v>55</v>
      </c>
      <c r="J10" s="11" t="s">
        <v>56</v>
      </c>
      <c r="K10" s="11" t="s">
        <v>55</v>
      </c>
      <c r="L10" s="11" t="s">
        <v>56</v>
      </c>
      <c r="M10" s="11" t="s">
        <v>55</v>
      </c>
      <c r="N10" s="11" t="s">
        <v>56</v>
      </c>
      <c r="O10" s="11" t="s">
        <v>55</v>
      </c>
      <c r="P10" s="11" t="s">
        <v>56</v>
      </c>
      <c r="Q10" s="11" t="s">
        <v>55</v>
      </c>
      <c r="R10" s="11" t="s">
        <v>56</v>
      </c>
      <c r="S10" s="11" t="s">
        <v>55</v>
      </c>
      <c r="T10" s="11" t="s">
        <v>56</v>
      </c>
      <c r="U10" s="11" t="s">
        <v>55</v>
      </c>
      <c r="V10" s="11" t="s">
        <v>56</v>
      </c>
      <c r="W10" s="11" t="s">
        <v>55</v>
      </c>
      <c r="X10" s="11" t="s">
        <v>56</v>
      </c>
      <c r="Y10" s="11" t="s">
        <v>55</v>
      </c>
      <c r="Z10" s="11" t="s">
        <v>56</v>
      </c>
      <c r="AA10" s="11" t="s">
        <v>55</v>
      </c>
      <c r="AB10" s="11" t="s">
        <v>56</v>
      </c>
      <c r="AC10" s="11" t="s">
        <v>55</v>
      </c>
      <c r="AD10" s="11" t="s">
        <v>56</v>
      </c>
      <c r="AE10" s="11" t="s">
        <v>55</v>
      </c>
      <c r="AF10" s="11" t="s">
        <v>56</v>
      </c>
      <c r="AG10" s="11" t="s">
        <v>55</v>
      </c>
      <c r="AH10" s="11" t="s">
        <v>56</v>
      </c>
      <c r="AI10" s="11" t="s">
        <v>55</v>
      </c>
      <c r="AJ10" s="11" t="s">
        <v>56</v>
      </c>
      <c r="AK10" s="11" t="s">
        <v>55</v>
      </c>
      <c r="AL10" s="11" t="s">
        <v>56</v>
      </c>
      <c r="AM10" s="11" t="s">
        <v>55</v>
      </c>
      <c r="AN10" s="11" t="s">
        <v>56</v>
      </c>
      <c r="AO10" s="11" t="s">
        <v>55</v>
      </c>
      <c r="AP10" s="11" t="s">
        <v>56</v>
      </c>
      <c r="AQ10" s="11" t="s">
        <v>55</v>
      </c>
      <c r="AR10" s="10">
        <f>201/E10</f>
        <v>2.2561454708721516</v>
      </c>
      <c r="AS10" s="10">
        <f>26/E10</f>
        <v>0.29183971265012909</v>
      </c>
      <c r="AT10" s="11" t="s">
        <v>56</v>
      </c>
      <c r="AU10" s="11" t="s">
        <v>55</v>
      </c>
      <c r="AV10" s="11" t="s">
        <v>56</v>
      </c>
      <c r="AW10" s="11" t="s">
        <v>55</v>
      </c>
      <c r="AX10" s="11" t="s">
        <v>56</v>
      </c>
      <c r="AY10" s="11" t="s">
        <v>55</v>
      </c>
      <c r="AZ10" s="11" t="s">
        <v>56</v>
      </c>
      <c r="BA10" s="11" t="s">
        <v>55</v>
      </c>
      <c r="BB10" s="11" t="s">
        <v>56</v>
      </c>
      <c r="BC10" s="11" t="s">
        <v>55</v>
      </c>
      <c r="BD10" s="11" t="s">
        <v>56</v>
      </c>
      <c r="BE10" s="11" t="s">
        <v>55</v>
      </c>
      <c r="BF10" s="11" t="s">
        <v>56</v>
      </c>
      <c r="BG10" s="11" t="s">
        <v>55</v>
      </c>
      <c r="BH10" s="11" t="s">
        <v>56</v>
      </c>
      <c r="BI10" s="11" t="s">
        <v>55</v>
      </c>
      <c r="BJ10" s="11" t="s">
        <v>56</v>
      </c>
      <c r="BK10" s="11" t="s">
        <v>55</v>
      </c>
      <c r="BL10" s="11" t="s">
        <v>56</v>
      </c>
      <c r="BM10" s="11" t="s">
        <v>55</v>
      </c>
      <c r="BN10" s="11" t="s">
        <v>56</v>
      </c>
      <c r="BO10" s="11" t="s">
        <v>55</v>
      </c>
      <c r="BP10" s="11" t="s">
        <v>56</v>
      </c>
      <c r="BQ10" s="11" t="s">
        <v>55</v>
      </c>
      <c r="BR10" s="11" t="s">
        <v>56</v>
      </c>
      <c r="BS10" s="11" t="s">
        <v>55</v>
      </c>
      <c r="BT10" s="11" t="s">
        <v>56</v>
      </c>
      <c r="BU10" s="11" t="s">
        <v>55</v>
      </c>
      <c r="BV10" s="11" t="s">
        <v>56</v>
      </c>
      <c r="BW10" s="11" t="s">
        <v>55</v>
      </c>
      <c r="BX10" s="11" t="s">
        <v>56</v>
      </c>
      <c r="BY10" s="11" t="s">
        <v>55</v>
      </c>
      <c r="BZ10" s="11" t="s">
        <v>56</v>
      </c>
      <c r="CA10" s="11" t="s">
        <v>55</v>
      </c>
      <c r="CB10" s="11" t="s">
        <v>56</v>
      </c>
      <c r="CC10" s="11" t="s">
        <v>55</v>
      </c>
      <c r="CD10" s="11" t="s">
        <v>56</v>
      </c>
      <c r="CE10" s="11" t="s">
        <v>55</v>
      </c>
      <c r="CF10" s="11" t="s">
        <v>56</v>
      </c>
      <c r="CG10" s="11" t="s">
        <v>55</v>
      </c>
      <c r="CH10" s="11" t="s">
        <v>56</v>
      </c>
      <c r="CI10" s="11" t="s">
        <v>55</v>
      </c>
      <c r="CJ10" s="11" t="s">
        <v>56</v>
      </c>
      <c r="CK10" s="11" t="s">
        <v>55</v>
      </c>
      <c r="CL10" s="11" t="s">
        <v>56</v>
      </c>
      <c r="CM10" s="11" t="s">
        <v>55</v>
      </c>
      <c r="CN10" s="11" t="s">
        <v>56</v>
      </c>
      <c r="CO10" s="11" t="s">
        <v>55</v>
      </c>
      <c r="CP10" s="11" t="s">
        <v>56</v>
      </c>
      <c r="CQ10" s="11" t="s">
        <v>55</v>
      </c>
      <c r="CR10" s="11" t="s">
        <v>56</v>
      </c>
      <c r="CS10" s="11" t="s">
        <v>55</v>
      </c>
      <c r="CT10" s="11" t="s">
        <v>56</v>
      </c>
      <c r="CU10" s="11" t="s">
        <v>55</v>
      </c>
      <c r="CV10" s="11" t="s">
        <v>56</v>
      </c>
      <c r="CW10" s="11" t="s">
        <v>55</v>
      </c>
      <c r="CX10" s="11" t="s">
        <v>56</v>
      </c>
      <c r="CY10" s="11" t="s">
        <v>55</v>
      </c>
      <c r="CZ10" s="11" t="s">
        <v>56</v>
      </c>
      <c r="DA10" s="11" t="s">
        <v>55</v>
      </c>
      <c r="DB10" s="11" t="s">
        <v>56</v>
      </c>
      <c r="DC10" s="11" t="s">
        <v>55</v>
      </c>
      <c r="DD10" s="11" t="s">
        <v>56</v>
      </c>
      <c r="DE10" s="11" t="s">
        <v>55</v>
      </c>
      <c r="DF10" s="11" t="s">
        <v>56</v>
      </c>
      <c r="DG10" s="11" t="s">
        <v>55</v>
      </c>
      <c r="DH10" s="11" t="s">
        <v>56</v>
      </c>
      <c r="DI10" s="11" t="s">
        <v>55</v>
      </c>
      <c r="DJ10" s="11" t="s">
        <v>56</v>
      </c>
      <c r="DK10" s="11" t="s">
        <v>55</v>
      </c>
      <c r="DL10" s="11" t="s">
        <v>56</v>
      </c>
      <c r="DM10" s="11" t="s">
        <v>55</v>
      </c>
      <c r="DN10" s="11" t="s">
        <v>56</v>
      </c>
      <c r="DO10" s="11" t="s">
        <v>55</v>
      </c>
      <c r="DP10" s="11" t="s">
        <v>56</v>
      </c>
      <c r="DQ10" s="11" t="s">
        <v>55</v>
      </c>
      <c r="DR10" s="11" t="s">
        <v>56</v>
      </c>
      <c r="DS10" s="11" t="s">
        <v>55</v>
      </c>
      <c r="DT10" s="11" t="s">
        <v>56</v>
      </c>
      <c r="DU10" s="11" t="s">
        <v>55</v>
      </c>
      <c r="DV10" s="11" t="s">
        <v>56</v>
      </c>
      <c r="DW10" s="11" t="s">
        <v>55</v>
      </c>
      <c r="DX10" s="11" t="s">
        <v>56</v>
      </c>
      <c r="DY10" s="11" t="s">
        <v>55</v>
      </c>
      <c r="DZ10" s="11" t="s">
        <v>56</v>
      </c>
      <c r="EA10" s="11" t="s">
        <v>55</v>
      </c>
      <c r="EB10" s="11" t="s">
        <v>56</v>
      </c>
      <c r="EC10" s="11" t="s">
        <v>55</v>
      </c>
      <c r="ED10" s="11" t="s">
        <v>56</v>
      </c>
      <c r="EE10" s="11" t="s">
        <v>55</v>
      </c>
      <c r="EF10" s="11" t="s">
        <v>56</v>
      </c>
      <c r="EG10" s="11" t="s">
        <v>55</v>
      </c>
      <c r="EH10" s="11" t="s">
        <v>56</v>
      </c>
      <c r="EI10" s="11" t="s">
        <v>55</v>
      </c>
      <c r="EJ10" s="11" t="s">
        <v>56</v>
      </c>
      <c r="EK10" s="11" t="s">
        <v>55</v>
      </c>
      <c r="EL10" s="11" t="s">
        <v>56</v>
      </c>
      <c r="EM10" s="11" t="s">
        <v>55</v>
      </c>
      <c r="EN10" s="11" t="s">
        <v>56</v>
      </c>
      <c r="EO10" s="11" t="s">
        <v>55</v>
      </c>
      <c r="EP10" s="11" t="s">
        <v>56</v>
      </c>
      <c r="EQ10" s="11" t="s">
        <v>55</v>
      </c>
      <c r="ER10" s="11" t="s">
        <v>56</v>
      </c>
      <c r="ES10" s="11" t="s">
        <v>55</v>
      </c>
      <c r="ET10" s="11" t="s">
        <v>56</v>
      </c>
      <c r="EU10" s="11" t="s">
        <v>55</v>
      </c>
      <c r="EV10" s="11" t="s">
        <v>56</v>
      </c>
      <c r="EW10" s="11" t="s">
        <v>55</v>
      </c>
      <c r="EX10" s="11" t="s">
        <v>56</v>
      </c>
      <c r="EY10" s="11" t="s">
        <v>55</v>
      </c>
      <c r="EZ10" s="11" t="s">
        <v>56</v>
      </c>
      <c r="FA10" s="11" t="s">
        <v>55</v>
      </c>
      <c r="FB10" s="11" t="s">
        <v>56</v>
      </c>
      <c r="FC10" s="11" t="s">
        <v>55</v>
      </c>
      <c r="FD10" s="11" t="s">
        <v>56</v>
      </c>
      <c r="FE10" s="11" t="s">
        <v>55</v>
      </c>
      <c r="FF10" s="11" t="s">
        <v>56</v>
      </c>
      <c r="FG10" s="11" t="s">
        <v>55</v>
      </c>
      <c r="FH10" s="11" t="s">
        <v>56</v>
      </c>
      <c r="FI10" s="11" t="s">
        <v>55</v>
      </c>
      <c r="FJ10" s="11" t="s">
        <v>56</v>
      </c>
      <c r="FK10" s="11" t="s">
        <v>55</v>
      </c>
      <c r="FL10" s="11" t="s">
        <v>56</v>
      </c>
      <c r="FM10" s="11" t="s">
        <v>55</v>
      </c>
      <c r="FN10" s="11" t="s">
        <v>56</v>
      </c>
      <c r="FO10" s="11" t="s">
        <v>55</v>
      </c>
      <c r="FP10" s="11" t="s">
        <v>56</v>
      </c>
      <c r="FQ10" s="11" t="s">
        <v>55</v>
      </c>
      <c r="FR10" s="11" t="s">
        <v>56</v>
      </c>
      <c r="FS10" s="11" t="s">
        <v>55</v>
      </c>
      <c r="FT10" s="11" t="s">
        <v>56</v>
      </c>
      <c r="FU10" s="11" t="s">
        <v>55</v>
      </c>
      <c r="FV10" s="11" t="s">
        <v>56</v>
      </c>
      <c r="FW10" s="11" t="s">
        <v>55</v>
      </c>
      <c r="FX10" s="11" t="s">
        <v>56</v>
      </c>
      <c r="FY10" s="11" t="s">
        <v>55</v>
      </c>
      <c r="FZ10" s="11" t="s">
        <v>56</v>
      </c>
      <c r="GA10" s="11" t="s">
        <v>55</v>
      </c>
      <c r="GB10" s="11" t="s">
        <v>56</v>
      </c>
      <c r="GC10" s="11" t="s">
        <v>55</v>
      </c>
      <c r="GD10" s="11" t="s">
        <v>56</v>
      </c>
      <c r="GE10" s="11" t="s">
        <v>55</v>
      </c>
      <c r="GF10" s="11" t="s">
        <v>56</v>
      </c>
      <c r="GG10" s="11" t="s">
        <v>55</v>
      </c>
      <c r="GH10" s="11" t="s">
        <v>56</v>
      </c>
      <c r="GI10" s="11" t="s">
        <v>55</v>
      </c>
      <c r="GJ10" s="11" t="s">
        <v>56</v>
      </c>
      <c r="GK10" s="11" t="s">
        <v>55</v>
      </c>
      <c r="GL10" s="11" t="s">
        <v>56</v>
      </c>
      <c r="GM10" s="11" t="s">
        <v>55</v>
      </c>
      <c r="GN10" s="11" t="s">
        <v>56</v>
      </c>
      <c r="GO10" s="11" t="s">
        <v>55</v>
      </c>
      <c r="GP10" s="11" t="s">
        <v>56</v>
      </c>
      <c r="GQ10" s="11" t="s">
        <v>55</v>
      </c>
      <c r="GR10" s="11" t="s">
        <v>56</v>
      </c>
      <c r="GS10" s="11" t="s">
        <v>55</v>
      </c>
      <c r="GT10" s="11" t="s">
        <v>56</v>
      </c>
      <c r="GU10" s="11" t="s">
        <v>55</v>
      </c>
      <c r="GV10" s="17" t="s">
        <v>56</v>
      </c>
      <c r="GW10" s="17" t="s">
        <v>55</v>
      </c>
      <c r="GX10" s="11" t="s">
        <v>56</v>
      </c>
      <c r="GY10" s="11" t="s">
        <v>55</v>
      </c>
      <c r="GZ10" s="11" t="s">
        <v>56</v>
      </c>
      <c r="HA10" s="11" t="s">
        <v>55</v>
      </c>
      <c r="HB10" s="11" t="s">
        <v>56</v>
      </c>
      <c r="HC10" s="11" t="s">
        <v>55</v>
      </c>
      <c r="HD10" s="11" t="s">
        <v>56</v>
      </c>
      <c r="HE10" s="11" t="s">
        <v>55</v>
      </c>
      <c r="HF10" s="11" t="s">
        <v>56</v>
      </c>
      <c r="HG10" s="11" t="s">
        <v>55</v>
      </c>
      <c r="HH10" s="11" t="s">
        <v>56</v>
      </c>
      <c r="HI10" s="11" t="s">
        <v>55</v>
      </c>
      <c r="HJ10" s="11" t="s">
        <v>56</v>
      </c>
      <c r="HK10" s="11" t="s">
        <v>55</v>
      </c>
      <c r="HL10" s="11" t="s">
        <v>56</v>
      </c>
      <c r="HM10" s="11" t="s">
        <v>55</v>
      </c>
      <c r="HN10" s="11" t="s">
        <v>56</v>
      </c>
      <c r="HO10" s="11" t="s">
        <v>55</v>
      </c>
      <c r="HP10" s="11" t="s">
        <v>56</v>
      </c>
      <c r="HQ10" s="11" t="s">
        <v>55</v>
      </c>
      <c r="HR10" s="11" t="s">
        <v>56</v>
      </c>
      <c r="HS10" s="11" t="s">
        <v>55</v>
      </c>
      <c r="HT10" s="11" t="s">
        <v>56</v>
      </c>
      <c r="HU10" s="11" t="s">
        <v>55</v>
      </c>
      <c r="HV10" s="11" t="s">
        <v>56</v>
      </c>
      <c r="HW10" s="11" t="s">
        <v>55</v>
      </c>
      <c r="HX10" s="11" t="s">
        <v>56</v>
      </c>
      <c r="HY10" s="11" t="s">
        <v>55</v>
      </c>
      <c r="HZ10" s="11" t="s">
        <v>56</v>
      </c>
      <c r="IA10" s="11" t="s">
        <v>55</v>
      </c>
      <c r="IB10" s="11" t="s">
        <v>56</v>
      </c>
      <c r="IC10" s="11" t="s">
        <v>55</v>
      </c>
      <c r="ID10" s="11" t="s">
        <v>56</v>
      </c>
      <c r="IE10" s="11" t="s">
        <v>55</v>
      </c>
      <c r="IF10" s="11" t="s">
        <v>56</v>
      </c>
      <c r="IG10" s="11" t="s">
        <v>55</v>
      </c>
      <c r="IH10" s="11" t="s">
        <v>56</v>
      </c>
      <c r="II10" s="11" t="s">
        <v>55</v>
      </c>
      <c r="IJ10" s="11" t="s">
        <v>56</v>
      </c>
      <c r="IK10" s="11" t="s">
        <v>55</v>
      </c>
      <c r="IL10" s="11" t="s">
        <v>56</v>
      </c>
      <c r="IM10" s="11" t="s">
        <v>55</v>
      </c>
      <c r="IN10" s="11" t="s">
        <v>56</v>
      </c>
      <c r="IO10" s="11" t="s">
        <v>55</v>
      </c>
      <c r="IP10" s="11" t="s">
        <v>56</v>
      </c>
      <c r="IQ10" s="11" t="s">
        <v>55</v>
      </c>
      <c r="IR10" s="11" t="s">
        <v>56</v>
      </c>
      <c r="IS10" s="11" t="s">
        <v>55</v>
      </c>
      <c r="IT10" s="11" t="s">
        <v>56</v>
      </c>
      <c r="IU10" s="11" t="s">
        <v>55</v>
      </c>
      <c r="IV10" s="11" t="s">
        <v>56</v>
      </c>
      <c r="IW10" s="11" t="s">
        <v>55</v>
      </c>
      <c r="IX10" s="11" t="s">
        <v>56</v>
      </c>
      <c r="IY10" s="11" t="s">
        <v>55</v>
      </c>
      <c r="IZ10" s="11" t="s">
        <v>56</v>
      </c>
      <c r="JA10" s="11" t="s">
        <v>55</v>
      </c>
      <c r="JB10" s="11" t="s">
        <v>56</v>
      </c>
      <c r="JC10" s="11" t="s">
        <v>55</v>
      </c>
      <c r="JD10" s="11" t="s">
        <v>56</v>
      </c>
      <c r="JE10" s="11" t="s">
        <v>55</v>
      </c>
      <c r="JF10" s="11" t="s">
        <v>56</v>
      </c>
      <c r="JG10" s="11" t="s">
        <v>55</v>
      </c>
      <c r="JH10" s="11" t="s">
        <v>56</v>
      </c>
      <c r="JI10" s="11" t="s">
        <v>55</v>
      </c>
      <c r="JJ10" s="11" t="s">
        <v>56</v>
      </c>
      <c r="JK10" s="11" t="s">
        <v>55</v>
      </c>
      <c r="JL10" s="11" t="s">
        <v>56</v>
      </c>
      <c r="JM10" s="11" t="s">
        <v>55</v>
      </c>
      <c r="JN10" s="11" t="s">
        <v>56</v>
      </c>
      <c r="JO10" s="11" t="s">
        <v>55</v>
      </c>
      <c r="JP10" s="11" t="s">
        <v>56</v>
      </c>
      <c r="JQ10" s="11" t="s">
        <v>55</v>
      </c>
      <c r="JR10" s="11" t="s">
        <v>56</v>
      </c>
      <c r="JS10" s="11" t="s">
        <v>55</v>
      </c>
      <c r="JT10" s="11" t="s">
        <v>56</v>
      </c>
      <c r="JU10" s="11" t="s">
        <v>55</v>
      </c>
      <c r="JV10" s="11" t="s">
        <v>56</v>
      </c>
      <c r="JW10" s="11" t="s">
        <v>55</v>
      </c>
      <c r="JX10" s="11" t="s">
        <v>56</v>
      </c>
      <c r="JY10" s="11" t="s">
        <v>55</v>
      </c>
      <c r="JZ10" s="11" t="s">
        <v>56</v>
      </c>
      <c r="KA10" s="11" t="s">
        <v>55</v>
      </c>
      <c r="KB10" s="11" t="s">
        <v>56</v>
      </c>
      <c r="KC10" s="11" t="s">
        <v>55</v>
      </c>
      <c r="KD10" s="11" t="s">
        <v>56</v>
      </c>
      <c r="KE10" s="11" t="s">
        <v>55</v>
      </c>
      <c r="KF10" s="11" t="s">
        <v>56</v>
      </c>
      <c r="KG10" s="11" t="s">
        <v>55</v>
      </c>
      <c r="KH10" s="11" t="s">
        <v>56</v>
      </c>
      <c r="KI10" s="11" t="s">
        <v>55</v>
      </c>
      <c r="KJ10" s="11" t="s">
        <v>56</v>
      </c>
      <c r="KK10" s="11" t="s">
        <v>55</v>
      </c>
      <c r="KL10" s="11" t="s">
        <v>56</v>
      </c>
      <c r="KM10" s="11" t="s">
        <v>55</v>
      </c>
      <c r="KN10" s="11" t="s">
        <v>56</v>
      </c>
      <c r="KO10" s="11" t="s">
        <v>55</v>
      </c>
      <c r="KP10" s="11" t="s">
        <v>56</v>
      </c>
      <c r="KQ10" s="11" t="s">
        <v>55</v>
      </c>
      <c r="KR10" s="11" t="s">
        <v>56</v>
      </c>
      <c r="KS10" s="11" t="s">
        <v>55</v>
      </c>
      <c r="KT10" s="11" t="s">
        <v>56</v>
      </c>
      <c r="KU10" s="11" t="s">
        <v>55</v>
      </c>
      <c r="KV10" s="11" t="s">
        <v>56</v>
      </c>
      <c r="KW10" s="11" t="s">
        <v>55</v>
      </c>
      <c r="KX10" s="11" t="s">
        <v>56</v>
      </c>
      <c r="KY10" s="11" t="s">
        <v>55</v>
      </c>
      <c r="KZ10" s="11" t="s">
        <v>56</v>
      </c>
      <c r="LA10" s="11" t="s">
        <v>55</v>
      </c>
      <c r="LB10" s="10" t="s">
        <v>56</v>
      </c>
      <c r="LC10" s="10" t="s">
        <v>55</v>
      </c>
      <c r="LD10" s="10" t="s">
        <v>56</v>
      </c>
      <c r="LE10" s="10" t="s">
        <v>55</v>
      </c>
      <c r="LF10" s="10" t="s">
        <v>56</v>
      </c>
      <c r="LG10" s="10" t="s">
        <v>55</v>
      </c>
      <c r="LH10" s="10" t="s">
        <v>56</v>
      </c>
      <c r="LI10" s="10" t="s">
        <v>55</v>
      </c>
      <c r="LJ10" s="10" t="s">
        <v>56</v>
      </c>
      <c r="LK10" s="10" t="s">
        <v>162</v>
      </c>
      <c r="LL10" s="10" t="s">
        <v>56</v>
      </c>
      <c r="LM10" s="10" t="s">
        <v>162</v>
      </c>
      <c r="LN10" s="10" t="s">
        <v>56</v>
      </c>
      <c r="LO10" s="10" t="s">
        <v>162</v>
      </c>
      <c r="LP10" s="10" t="s">
        <v>56</v>
      </c>
      <c r="LQ10" s="10" t="s">
        <v>162</v>
      </c>
      <c r="LR10" s="10" t="s">
        <v>56</v>
      </c>
      <c r="LS10" s="10" t="s">
        <v>162</v>
      </c>
      <c r="LT10" s="10" t="s">
        <v>56</v>
      </c>
      <c r="LU10" s="10" t="s">
        <v>162</v>
      </c>
      <c r="LV10" s="10" t="s">
        <v>56</v>
      </c>
      <c r="LW10" s="10" t="s">
        <v>55</v>
      </c>
      <c r="LX10" s="10" t="s">
        <v>56</v>
      </c>
      <c r="LY10" s="10" t="s">
        <v>55</v>
      </c>
      <c r="LZ10" s="10" t="s">
        <v>56</v>
      </c>
      <c r="MA10" s="10" t="s">
        <v>55</v>
      </c>
      <c r="MB10" s="10" t="s">
        <v>56</v>
      </c>
      <c r="MC10" s="10" t="s">
        <v>55</v>
      </c>
      <c r="MD10" s="11" t="s">
        <v>56</v>
      </c>
      <c r="ME10" s="11" t="s">
        <v>55</v>
      </c>
      <c r="MF10" s="11" t="s">
        <v>56</v>
      </c>
      <c r="MG10" s="11" t="s">
        <v>55</v>
      </c>
      <c r="MH10" s="11" t="s">
        <v>56</v>
      </c>
      <c r="MI10" s="11" t="s">
        <v>55</v>
      </c>
      <c r="MJ10" s="11" t="s">
        <v>56</v>
      </c>
      <c r="MK10" s="11" t="s">
        <v>55</v>
      </c>
      <c r="ML10" s="11" t="s">
        <v>56</v>
      </c>
      <c r="MM10" s="11" t="s">
        <v>55</v>
      </c>
      <c r="MN10" s="11" t="s">
        <v>56</v>
      </c>
      <c r="MO10" s="11" t="s">
        <v>55</v>
      </c>
      <c r="MP10" s="11" t="s">
        <v>56</v>
      </c>
      <c r="MQ10" s="11" t="s">
        <v>55</v>
      </c>
      <c r="MR10" s="11" t="s">
        <v>56</v>
      </c>
      <c r="MS10" s="11" t="s">
        <v>55</v>
      </c>
      <c r="MT10" s="11" t="s">
        <v>56</v>
      </c>
      <c r="MU10" s="11" t="s">
        <v>55</v>
      </c>
      <c r="MV10" s="11" t="s">
        <v>56</v>
      </c>
      <c r="MW10" s="11" t="s">
        <v>55</v>
      </c>
      <c r="MX10" s="11" t="s">
        <v>56</v>
      </c>
      <c r="MY10" s="11" t="s">
        <v>55</v>
      </c>
      <c r="MZ10" s="11" t="s">
        <v>56</v>
      </c>
      <c r="NA10" s="11" t="s">
        <v>55</v>
      </c>
      <c r="NB10" s="10" t="s">
        <v>56</v>
      </c>
      <c r="NC10" s="10" t="s">
        <v>55</v>
      </c>
      <c r="ND10" s="10" t="s">
        <v>56</v>
      </c>
      <c r="NE10" s="10" t="s">
        <v>55</v>
      </c>
      <c r="NF10" s="10" t="s">
        <v>56</v>
      </c>
      <c r="NG10" s="10" t="s">
        <v>55</v>
      </c>
      <c r="NH10" s="10" t="s">
        <v>56</v>
      </c>
      <c r="NI10" s="10" t="s">
        <v>55</v>
      </c>
      <c r="NJ10" s="10" t="s">
        <v>56</v>
      </c>
      <c r="NK10" s="10" t="s">
        <v>55</v>
      </c>
      <c r="NL10" s="10" t="s">
        <v>56</v>
      </c>
      <c r="NM10" s="4" t="s">
        <v>55</v>
      </c>
      <c r="NN10" s="10" t="s">
        <v>56</v>
      </c>
      <c r="NO10" s="4" t="s">
        <v>55</v>
      </c>
      <c r="NP10" s="10" t="s">
        <v>56</v>
      </c>
      <c r="NQ10" s="4" t="s">
        <v>55</v>
      </c>
      <c r="NR10" s="10" t="s">
        <v>57</v>
      </c>
      <c r="NS10" s="10" t="s">
        <v>55</v>
      </c>
      <c r="NT10" s="10" t="s">
        <v>57</v>
      </c>
      <c r="NU10" s="10" t="s">
        <v>55</v>
      </c>
    </row>
    <row r="11" spans="1:385" x14ac:dyDescent="0.2">
      <c r="A11" t="s">
        <v>3</v>
      </c>
      <c r="B11" s="1" t="s">
        <v>1037</v>
      </c>
      <c r="C11" s="1" t="s">
        <v>858</v>
      </c>
      <c r="D11" s="39" cm="1">
        <f t="array" ref="D11">SUMPRODUCT((ISNUMBER(F11:NU11))*(MOD(COLUMN(F11:NU11),2)=0))</f>
        <v>72</v>
      </c>
      <c r="E11" s="1">
        <v>105.09</v>
      </c>
      <c r="F11" s="1">
        <v>2E-3</v>
      </c>
      <c r="G11" s="1" t="s">
        <v>58</v>
      </c>
      <c r="H11" s="1">
        <v>1.46E-2</v>
      </c>
      <c r="I11" s="1" t="s">
        <v>58</v>
      </c>
      <c r="J11" s="1">
        <v>1.6999999999999999E-3</v>
      </c>
      <c r="K11" s="1">
        <v>1E-3</v>
      </c>
      <c r="L11" s="1">
        <v>1.5E-3</v>
      </c>
      <c r="M11" s="1" t="s">
        <v>58</v>
      </c>
      <c r="N11" s="1" t="s">
        <v>54</v>
      </c>
      <c r="O11" s="1" t="s">
        <v>55</v>
      </c>
      <c r="P11" s="1" t="s">
        <v>56</v>
      </c>
      <c r="Q11" s="1" t="s">
        <v>55</v>
      </c>
      <c r="R11" s="1" t="s">
        <v>87</v>
      </c>
      <c r="S11" s="1" t="s">
        <v>55</v>
      </c>
      <c r="T11" s="1">
        <v>0.05</v>
      </c>
      <c r="U11" s="1">
        <v>0.01</v>
      </c>
      <c r="V11" s="1">
        <v>3.24</v>
      </c>
      <c r="W11" s="1">
        <v>0.37</v>
      </c>
      <c r="X11" s="9" t="s">
        <v>56</v>
      </c>
      <c r="Y11" s="9" t="s">
        <v>55</v>
      </c>
      <c r="Z11" s="9" t="s">
        <v>56</v>
      </c>
      <c r="AA11" s="9" t="s">
        <v>55</v>
      </c>
      <c r="AB11" s="1">
        <v>24.6</v>
      </c>
      <c r="AC11" s="1">
        <v>13.5</v>
      </c>
      <c r="AD11" s="1">
        <v>6.52</v>
      </c>
      <c r="AE11" s="1">
        <v>4.05</v>
      </c>
      <c r="AF11" s="11" t="s">
        <v>91</v>
      </c>
      <c r="AG11" s="11" t="s">
        <v>55</v>
      </c>
      <c r="AH11" s="11" t="s">
        <v>88</v>
      </c>
      <c r="AI11" s="11" t="s">
        <v>55</v>
      </c>
      <c r="AJ11" s="11" t="s">
        <v>57</v>
      </c>
      <c r="AK11" s="11" t="s">
        <v>55</v>
      </c>
      <c r="AL11" s="1">
        <v>0.13</v>
      </c>
      <c r="AM11" s="1">
        <v>0.03</v>
      </c>
      <c r="AN11" s="11">
        <v>0.4</v>
      </c>
      <c r="AO11" s="11">
        <v>0.1</v>
      </c>
      <c r="AP11" s="11">
        <v>0.6</v>
      </c>
      <c r="AQ11" s="11">
        <v>0.12</v>
      </c>
      <c r="AR11" s="10">
        <f>267/E11</f>
        <v>2.5406794176420209</v>
      </c>
      <c r="AS11" s="10">
        <f>26/E11</f>
        <v>0.2474069844894852</v>
      </c>
      <c r="AT11" s="11">
        <f>48/E11</f>
        <v>0.45675135598058803</v>
      </c>
      <c r="AU11" s="11">
        <f>9/E11</f>
        <v>8.5640879246360255E-2</v>
      </c>
      <c r="AV11" s="11">
        <f>219/E11</f>
        <v>2.0839280616614331</v>
      </c>
      <c r="AW11" s="11">
        <f>151/E11</f>
        <v>1.4368636406889332</v>
      </c>
      <c r="AX11" s="11">
        <f>99/E11</f>
        <v>0.9420496717099629</v>
      </c>
      <c r="AY11" s="11">
        <f>69/E11</f>
        <v>0.6565800742220953</v>
      </c>
      <c r="AZ11" s="1">
        <v>1.1000000000000001</v>
      </c>
      <c r="BA11" s="1">
        <v>0.2</v>
      </c>
      <c r="BB11" s="1" t="s">
        <v>91</v>
      </c>
      <c r="BC11" s="1" t="s">
        <v>55</v>
      </c>
      <c r="BD11" s="1" t="s">
        <v>56</v>
      </c>
      <c r="BE11" s="1" t="s">
        <v>55</v>
      </c>
      <c r="BF11" s="1">
        <v>0.05</v>
      </c>
      <c r="BG11" s="1">
        <v>0.01</v>
      </c>
      <c r="BH11" s="1">
        <v>0.04</v>
      </c>
      <c r="BI11" s="1">
        <v>0.01</v>
      </c>
      <c r="BJ11" s="1">
        <v>0.44</v>
      </c>
      <c r="BK11" s="1">
        <v>0.05</v>
      </c>
      <c r="BL11" s="1" t="s">
        <v>56</v>
      </c>
      <c r="BM11" s="1" t="s">
        <v>55</v>
      </c>
      <c r="BN11" s="1">
        <v>3.4</v>
      </c>
      <c r="BO11" s="1">
        <v>0.2</v>
      </c>
      <c r="BP11" s="1">
        <v>1.9</v>
      </c>
      <c r="BQ11" s="1">
        <v>0.2</v>
      </c>
      <c r="BR11" s="11" t="s">
        <v>91</v>
      </c>
      <c r="BS11" s="11" t="s">
        <v>162</v>
      </c>
      <c r="BT11" s="4">
        <v>0.05</v>
      </c>
      <c r="BU11" s="4">
        <v>0.01</v>
      </c>
      <c r="BV11" s="1">
        <v>0.03</v>
      </c>
      <c r="BW11" s="1">
        <v>0.01</v>
      </c>
      <c r="BX11" s="1" t="s">
        <v>91</v>
      </c>
      <c r="BY11" s="1" t="s">
        <v>55</v>
      </c>
      <c r="BZ11" s="10" t="s">
        <v>229</v>
      </c>
      <c r="CA11" s="10" t="s">
        <v>162</v>
      </c>
      <c r="CB11" s="10" t="s">
        <v>150</v>
      </c>
      <c r="CC11" s="10" t="s">
        <v>55</v>
      </c>
      <c r="CD11" s="10">
        <f>0.6/E11</f>
        <v>5.7093919497573503E-3</v>
      </c>
      <c r="CE11" s="10">
        <f>0.1/E11</f>
        <v>9.5156532495955853E-4</v>
      </c>
      <c r="CF11" s="10" t="s">
        <v>150</v>
      </c>
      <c r="CG11" s="10" t="s">
        <v>55</v>
      </c>
      <c r="CH11" s="10" t="s">
        <v>229</v>
      </c>
      <c r="CI11" s="10" t="s">
        <v>55</v>
      </c>
      <c r="CJ11" s="10" t="s">
        <v>480</v>
      </c>
      <c r="CK11" s="10" t="s">
        <v>55</v>
      </c>
      <c r="CL11" s="10" t="s">
        <v>229</v>
      </c>
      <c r="CM11" s="10" t="s">
        <v>55</v>
      </c>
      <c r="CN11" s="10" t="s">
        <v>229</v>
      </c>
      <c r="CO11" s="10" t="s">
        <v>55</v>
      </c>
      <c r="CP11" s="10" t="s">
        <v>229</v>
      </c>
      <c r="CQ11" s="10" t="s">
        <v>55</v>
      </c>
      <c r="CR11" s="10">
        <f>0.2/E11</f>
        <v>1.9031306499191171E-3</v>
      </c>
      <c r="CS11" s="10">
        <f>0.1/E11</f>
        <v>9.5156532495955853E-4</v>
      </c>
      <c r="CT11" s="10" t="s">
        <v>229</v>
      </c>
      <c r="CU11" s="10" t="s">
        <v>55</v>
      </c>
      <c r="CV11" s="10">
        <f>120/E11</f>
        <v>1.1418783899514702</v>
      </c>
      <c r="CW11" s="10">
        <f>19/E11</f>
        <v>0.18079741174231612</v>
      </c>
      <c r="CX11" s="10" t="s">
        <v>152</v>
      </c>
      <c r="CY11" s="10" t="s">
        <v>55</v>
      </c>
      <c r="CZ11" s="10" t="s">
        <v>229</v>
      </c>
      <c r="DA11" s="10" t="s">
        <v>55</v>
      </c>
      <c r="DB11" s="10">
        <f>1.1/E11</f>
        <v>1.0467218574555143E-2</v>
      </c>
      <c r="DC11" s="10">
        <f>0.1/E11</f>
        <v>9.5156532495955853E-4</v>
      </c>
      <c r="DD11" s="10" t="s">
        <v>56</v>
      </c>
      <c r="DE11" s="10" t="s">
        <v>55</v>
      </c>
      <c r="DF11" s="10" t="s">
        <v>56</v>
      </c>
      <c r="DG11" s="10" t="s">
        <v>55</v>
      </c>
      <c r="DH11" s="10">
        <f>13/E11</f>
        <v>0.1237034922447426</v>
      </c>
      <c r="DI11" s="10">
        <f>1/E11</f>
        <v>9.5156532495955844E-3</v>
      </c>
      <c r="DJ11" s="10">
        <f>45/E11</f>
        <v>0.42820439623180129</v>
      </c>
      <c r="DK11" s="10">
        <f>3/E11</f>
        <v>2.8546959748786752E-2</v>
      </c>
      <c r="DL11" s="10">
        <f>80/E11</f>
        <v>0.76125225996764678</v>
      </c>
      <c r="DM11" s="10">
        <f>13/E11</f>
        <v>0.1237034922447426</v>
      </c>
      <c r="DN11" s="10">
        <f>3.8/E11</f>
        <v>3.6159482348463216E-2</v>
      </c>
      <c r="DO11" s="10">
        <f>0.9/E11</f>
        <v>8.5640879246360255E-3</v>
      </c>
      <c r="DP11" s="10">
        <f>10/E11</f>
        <v>9.5156532495955848E-2</v>
      </c>
      <c r="DQ11" s="10">
        <f>1/E11</f>
        <v>9.5156532495955844E-3</v>
      </c>
      <c r="DR11" s="10">
        <f>0.9/E11</f>
        <v>8.5640879246360255E-3</v>
      </c>
      <c r="DS11" s="10">
        <f>0.2/E11</f>
        <v>1.9031306499191171E-3</v>
      </c>
      <c r="DT11" s="10">
        <f>100/E11</f>
        <v>0.95156532495955848</v>
      </c>
      <c r="DU11" s="10">
        <f>28/E11</f>
        <v>0.26643829098867639</v>
      </c>
      <c r="DV11" s="10" t="s">
        <v>239</v>
      </c>
      <c r="DW11" s="10" t="s">
        <v>55</v>
      </c>
      <c r="DX11" s="10" t="s">
        <v>239</v>
      </c>
      <c r="DY11" s="10" t="s">
        <v>55</v>
      </c>
      <c r="DZ11" s="10">
        <f>0.4/E11</f>
        <v>3.8062612998382341E-3</v>
      </c>
      <c r="EA11" s="10">
        <f>0.1/E11</f>
        <v>9.5156532495955853E-4</v>
      </c>
      <c r="EB11" s="10" t="s">
        <v>229</v>
      </c>
      <c r="EC11" s="10" t="s">
        <v>55</v>
      </c>
      <c r="ED11" s="10">
        <f>0.1/E11</f>
        <v>9.5156532495955853E-4</v>
      </c>
      <c r="EE11" s="10">
        <f>0.1/E11</f>
        <v>9.5156532495955853E-4</v>
      </c>
      <c r="EF11" s="10">
        <f>0.1/E11</f>
        <v>9.5156532495955853E-4</v>
      </c>
      <c r="EG11" s="10">
        <f>0.1/E11</f>
        <v>9.5156532495955853E-4</v>
      </c>
      <c r="EH11" s="10" t="s">
        <v>233</v>
      </c>
      <c r="EI11" s="10" t="s">
        <v>55</v>
      </c>
      <c r="EJ11" s="10" t="s">
        <v>233</v>
      </c>
      <c r="EK11" s="10" t="s">
        <v>55</v>
      </c>
      <c r="EL11" s="10" t="s">
        <v>233</v>
      </c>
      <c r="EM11" s="10" t="s">
        <v>55</v>
      </c>
      <c r="EN11" s="10" t="s">
        <v>56</v>
      </c>
      <c r="EO11" s="10" t="s">
        <v>55</v>
      </c>
      <c r="EP11" s="10" t="s">
        <v>56</v>
      </c>
      <c r="EQ11" s="10" t="s">
        <v>55</v>
      </c>
      <c r="ER11" s="10" t="s">
        <v>241</v>
      </c>
      <c r="ES11" s="10" t="s">
        <v>55</v>
      </c>
      <c r="ET11" s="10" t="s">
        <v>488</v>
      </c>
      <c r="EU11" s="10" t="s">
        <v>55</v>
      </c>
      <c r="EV11" s="10">
        <f>2.6/E11</f>
        <v>2.4740698448948519E-2</v>
      </c>
      <c r="EW11" s="10">
        <f>0.3/E11</f>
        <v>2.8546959748786752E-3</v>
      </c>
      <c r="EX11" s="10">
        <f>2.8/E11</f>
        <v>2.6643829098867634E-2</v>
      </c>
      <c r="EY11" s="10">
        <f>0.3/E11</f>
        <v>2.8546959748786752E-3</v>
      </c>
      <c r="EZ11" s="10">
        <f>2.7/E11</f>
        <v>2.569226377390808E-2</v>
      </c>
      <c r="FA11" s="10">
        <f>0.4/E11</f>
        <v>3.8062612998382341E-3</v>
      </c>
      <c r="FB11" s="10">
        <f>0.9/E11</f>
        <v>8.5640879246360255E-3</v>
      </c>
      <c r="FC11" s="10">
        <f>0.1/E11</f>
        <v>9.5156532495955853E-4</v>
      </c>
      <c r="FD11" s="10" t="s">
        <v>488</v>
      </c>
      <c r="FE11" s="10" t="s">
        <v>55</v>
      </c>
      <c r="FF11" s="10">
        <f>28/E11</f>
        <v>0.26643829098867639</v>
      </c>
      <c r="FG11" s="10">
        <f>1/E11</f>
        <v>9.5156532495955844E-3</v>
      </c>
      <c r="FH11" s="10">
        <f>41/E11</f>
        <v>0.39014178323341897</v>
      </c>
      <c r="FI11" s="10">
        <f>3/E11</f>
        <v>2.8546959748786752E-2</v>
      </c>
      <c r="FJ11" s="10">
        <f>21/E11</f>
        <v>0.19982871824150727</v>
      </c>
      <c r="FK11" s="10">
        <f>1/E11</f>
        <v>9.5156532495955844E-3</v>
      </c>
      <c r="FL11" s="10">
        <f>44/E11</f>
        <v>0.41868874298220571</v>
      </c>
      <c r="FM11" s="10">
        <f>4/E11</f>
        <v>3.8062612998382338E-2</v>
      </c>
      <c r="FN11" s="10">
        <f>60/E11</f>
        <v>0.57093919497573509</v>
      </c>
      <c r="FO11" s="10">
        <f>3/E11</f>
        <v>2.8546959748786752E-2</v>
      </c>
      <c r="FP11" s="10">
        <f>18/E11</f>
        <v>0.17128175849272051</v>
      </c>
      <c r="FQ11" s="10">
        <f>1/E11</f>
        <v>9.5156532495955844E-3</v>
      </c>
      <c r="FR11" s="10">
        <f>34/E11</f>
        <v>0.32353221048624986</v>
      </c>
      <c r="FS11" s="10">
        <f>1/E11</f>
        <v>9.5156532495955844E-3</v>
      </c>
      <c r="FT11" s="10">
        <v>0.33</v>
      </c>
      <c r="FU11" s="10">
        <v>0.01</v>
      </c>
      <c r="FV11" s="10">
        <v>0.21</v>
      </c>
      <c r="FW11" s="10">
        <v>0.01</v>
      </c>
      <c r="FX11" s="10">
        <v>0.6</v>
      </c>
      <c r="FY11" s="10">
        <v>0.25</v>
      </c>
      <c r="FZ11" s="8" t="s">
        <v>157</v>
      </c>
      <c r="GA11" s="8" t="s">
        <v>55</v>
      </c>
      <c r="GB11" s="8" t="s">
        <v>157</v>
      </c>
      <c r="GC11" s="8" t="s">
        <v>55</v>
      </c>
      <c r="GD11" s="8" t="s">
        <v>157</v>
      </c>
      <c r="GE11" s="8" t="s">
        <v>55</v>
      </c>
      <c r="GF11" s="10" t="s">
        <v>157</v>
      </c>
      <c r="GG11" s="10" t="s">
        <v>55</v>
      </c>
      <c r="GH11" s="10" t="s">
        <v>157</v>
      </c>
      <c r="GI11" s="10" t="s">
        <v>55</v>
      </c>
      <c r="GJ11" s="10">
        <v>0.15</v>
      </c>
      <c r="GK11" s="10">
        <v>0.03</v>
      </c>
      <c r="GL11" s="10" t="s">
        <v>157</v>
      </c>
      <c r="GM11" s="10" t="s">
        <v>55</v>
      </c>
      <c r="GN11" s="10" t="s">
        <v>157</v>
      </c>
      <c r="GO11" s="10" t="s">
        <v>55</v>
      </c>
      <c r="GP11" s="10">
        <v>0.12</v>
      </c>
      <c r="GQ11" s="10">
        <v>0.01</v>
      </c>
      <c r="GR11" s="10">
        <v>0.06</v>
      </c>
      <c r="GS11" s="10">
        <v>0.01</v>
      </c>
      <c r="GT11" s="10">
        <v>0.05</v>
      </c>
      <c r="GU11" s="10">
        <v>0.01</v>
      </c>
      <c r="GV11" s="10">
        <v>0.18</v>
      </c>
      <c r="GW11" s="10">
        <v>0.03</v>
      </c>
      <c r="GX11" s="10" t="s">
        <v>613</v>
      </c>
      <c r="GY11" s="10" t="s">
        <v>55</v>
      </c>
      <c r="GZ11" s="10" t="s">
        <v>56</v>
      </c>
      <c r="HA11" s="10" t="s">
        <v>55</v>
      </c>
      <c r="HB11" s="10" t="s">
        <v>56</v>
      </c>
      <c r="HC11" s="10" t="s">
        <v>55</v>
      </c>
      <c r="HD11" s="10" t="s">
        <v>56</v>
      </c>
      <c r="HE11" s="10" t="s">
        <v>55</v>
      </c>
      <c r="HF11" s="10" t="s">
        <v>56</v>
      </c>
      <c r="HG11" s="10" t="s">
        <v>55</v>
      </c>
      <c r="HH11" s="10" t="s">
        <v>56</v>
      </c>
      <c r="HI11" s="10" t="s">
        <v>55</v>
      </c>
      <c r="HJ11" s="10" t="s">
        <v>56</v>
      </c>
      <c r="HK11" s="10" t="s">
        <v>55</v>
      </c>
      <c r="HL11" s="10" t="s">
        <v>56</v>
      </c>
      <c r="HM11" s="10" t="s">
        <v>55</v>
      </c>
      <c r="HN11" s="10" t="s">
        <v>56</v>
      </c>
      <c r="HO11" s="10" t="s">
        <v>55</v>
      </c>
      <c r="HP11" s="10">
        <v>1.39</v>
      </c>
      <c r="HQ11" s="10">
        <v>0.17</v>
      </c>
      <c r="HR11" s="10">
        <v>1.39</v>
      </c>
      <c r="HS11" s="10">
        <v>0.17</v>
      </c>
      <c r="HT11" s="10" t="s">
        <v>319</v>
      </c>
      <c r="HU11" s="10" t="s">
        <v>55</v>
      </c>
      <c r="HV11" s="10" t="s">
        <v>319</v>
      </c>
      <c r="HW11" s="10" t="s">
        <v>55</v>
      </c>
      <c r="HX11" s="10" t="s">
        <v>319</v>
      </c>
      <c r="HY11" s="10" t="s">
        <v>55</v>
      </c>
      <c r="HZ11" s="10" t="s">
        <v>319</v>
      </c>
      <c r="IA11" s="10" t="s">
        <v>55</v>
      </c>
      <c r="IB11" s="10" t="s">
        <v>319</v>
      </c>
      <c r="IC11" s="10" t="s">
        <v>55</v>
      </c>
      <c r="ID11" s="1">
        <v>0.1283</v>
      </c>
      <c r="IE11" s="10">
        <v>8.2600000000000007E-2</v>
      </c>
      <c r="IF11" s="4">
        <v>8.9999999999999998E-4</v>
      </c>
      <c r="IG11" s="10">
        <v>1.2999999999999999E-3</v>
      </c>
      <c r="IH11" s="4" t="s">
        <v>56</v>
      </c>
      <c r="II11" s="4" t="s">
        <v>55</v>
      </c>
      <c r="IJ11" s="4" t="s">
        <v>56</v>
      </c>
      <c r="IK11" s="4" t="s">
        <v>55</v>
      </c>
      <c r="IL11" s="4" t="s">
        <v>56</v>
      </c>
      <c r="IM11" s="4" t="s">
        <v>55</v>
      </c>
      <c r="IN11" s="4" t="s">
        <v>56</v>
      </c>
      <c r="IO11" s="4" t="s">
        <v>55</v>
      </c>
      <c r="IP11" s="4" t="s">
        <v>56</v>
      </c>
      <c r="IQ11" s="4" t="s">
        <v>55</v>
      </c>
      <c r="IR11" s="4" t="s">
        <v>56</v>
      </c>
      <c r="IS11" s="4" t="s">
        <v>55</v>
      </c>
      <c r="IT11" s="1" t="s">
        <v>202</v>
      </c>
      <c r="IU11" s="1" t="s">
        <v>55</v>
      </c>
      <c r="IV11" s="19" t="s">
        <v>56</v>
      </c>
      <c r="IW11" s="19" t="s">
        <v>162</v>
      </c>
      <c r="IX11" s="19" t="s">
        <v>56</v>
      </c>
      <c r="IY11" s="19" t="s">
        <v>162</v>
      </c>
      <c r="IZ11" s="19" t="s">
        <v>56</v>
      </c>
      <c r="JA11" s="19" t="s">
        <v>162</v>
      </c>
      <c r="JB11" s="19" t="s">
        <v>56</v>
      </c>
      <c r="JC11" s="19" t="s">
        <v>162</v>
      </c>
      <c r="JD11" s="19" t="s">
        <v>56</v>
      </c>
      <c r="JE11" s="19" t="s">
        <v>162</v>
      </c>
      <c r="JF11" s="19" t="s">
        <v>56</v>
      </c>
      <c r="JG11" s="19" t="s">
        <v>162</v>
      </c>
      <c r="JH11" s="19" t="s">
        <v>56</v>
      </c>
      <c r="JI11" s="19" t="s">
        <v>162</v>
      </c>
      <c r="JJ11" s="19" t="s">
        <v>56</v>
      </c>
      <c r="JK11" s="19" t="s">
        <v>162</v>
      </c>
      <c r="JL11" s="19" t="s">
        <v>56</v>
      </c>
      <c r="JM11" s="19" t="s">
        <v>162</v>
      </c>
      <c r="JN11" s="19" t="s">
        <v>56</v>
      </c>
      <c r="JO11" s="19" t="s">
        <v>162</v>
      </c>
      <c r="JP11" s="19" t="s">
        <v>56</v>
      </c>
      <c r="JQ11" s="19" t="s">
        <v>162</v>
      </c>
      <c r="JR11" s="19" t="s">
        <v>56</v>
      </c>
      <c r="JS11" s="19" t="s">
        <v>162</v>
      </c>
      <c r="JT11" s="19" t="s">
        <v>56</v>
      </c>
      <c r="JU11" s="19" t="s">
        <v>162</v>
      </c>
      <c r="JV11" s="19" t="s">
        <v>56</v>
      </c>
      <c r="JW11" s="19" t="s">
        <v>162</v>
      </c>
      <c r="JX11" s="26">
        <v>45.763113664671465</v>
      </c>
      <c r="JY11" s="26">
        <v>41.50358172490553</v>
      </c>
      <c r="JZ11" s="26">
        <v>56.888440340134046</v>
      </c>
      <c r="KA11" s="26">
        <v>9.3341923694248994</v>
      </c>
      <c r="KB11" s="26">
        <v>118.20896156485429</v>
      </c>
      <c r="KC11" s="26">
        <v>121.61055981383245</v>
      </c>
      <c r="KD11" s="26">
        <v>17.492392853328472</v>
      </c>
      <c r="KE11" s="26">
        <v>13.61726205454165</v>
      </c>
      <c r="KF11" s="26">
        <v>74.225155531700139</v>
      </c>
      <c r="KG11" s="26">
        <v>57.575573604666921</v>
      </c>
      <c r="KH11" s="19" t="s">
        <v>56</v>
      </c>
      <c r="KI11" s="19" t="s">
        <v>162</v>
      </c>
      <c r="KJ11" s="19" t="s">
        <v>56</v>
      </c>
      <c r="KK11" s="19" t="s">
        <v>162</v>
      </c>
      <c r="KL11" s="19" t="s">
        <v>56</v>
      </c>
      <c r="KM11" s="19" t="s">
        <v>162</v>
      </c>
      <c r="KN11" s="19" t="s">
        <v>56</v>
      </c>
      <c r="KO11" s="19" t="s">
        <v>162</v>
      </c>
      <c r="KP11" s="19" t="s">
        <v>56</v>
      </c>
      <c r="KQ11" s="19" t="s">
        <v>162</v>
      </c>
      <c r="KR11" s="4">
        <v>4.8600000000000003</v>
      </c>
      <c r="KS11" s="4">
        <v>0.24</v>
      </c>
      <c r="KT11" s="4">
        <v>2.4300000000000002</v>
      </c>
      <c r="KU11" s="4">
        <v>1</v>
      </c>
      <c r="KV11" s="4">
        <v>3.8</v>
      </c>
      <c r="KW11" s="4">
        <v>0.5</v>
      </c>
      <c r="KX11" s="4">
        <v>4.9000000000000004</v>
      </c>
      <c r="KY11" s="4">
        <v>0.5</v>
      </c>
      <c r="KZ11" s="4">
        <v>4.3</v>
      </c>
      <c r="LA11" s="4">
        <v>0.3</v>
      </c>
      <c r="LB11" s="19" t="s">
        <v>56</v>
      </c>
      <c r="LC11" s="19" t="s">
        <v>162</v>
      </c>
      <c r="LD11" s="10" t="s">
        <v>56</v>
      </c>
      <c r="LE11" s="10" t="s">
        <v>55</v>
      </c>
      <c r="LF11" s="10" t="s">
        <v>56</v>
      </c>
      <c r="LG11" s="10" t="s">
        <v>55</v>
      </c>
      <c r="LH11" s="10" t="s">
        <v>56</v>
      </c>
      <c r="LI11" s="10" t="s">
        <v>55</v>
      </c>
      <c r="LJ11" s="10" t="s">
        <v>56</v>
      </c>
      <c r="LK11" s="10" t="s">
        <v>162</v>
      </c>
      <c r="LL11" s="10" t="s">
        <v>56</v>
      </c>
      <c r="LM11" s="10" t="s">
        <v>162</v>
      </c>
      <c r="LN11" s="10" t="s">
        <v>56</v>
      </c>
      <c r="LO11" s="10" t="s">
        <v>162</v>
      </c>
      <c r="LP11" s="10" t="s">
        <v>56</v>
      </c>
      <c r="LQ11" s="10" t="s">
        <v>162</v>
      </c>
      <c r="LR11" s="10" t="s">
        <v>56</v>
      </c>
      <c r="LS11" s="10" t="s">
        <v>162</v>
      </c>
      <c r="LT11" s="10" t="s">
        <v>56</v>
      </c>
      <c r="LU11" s="10" t="s">
        <v>162</v>
      </c>
      <c r="LV11" s="10" t="s">
        <v>56</v>
      </c>
      <c r="LW11" s="10" t="s">
        <v>162</v>
      </c>
      <c r="LX11" s="10" t="s">
        <v>56</v>
      </c>
      <c r="LY11" s="10" t="s">
        <v>162</v>
      </c>
      <c r="LZ11" s="10" t="s">
        <v>56</v>
      </c>
      <c r="MA11" s="10" t="s">
        <v>162</v>
      </c>
      <c r="MB11" s="10" t="s">
        <v>56</v>
      </c>
      <c r="MC11" s="10" t="s">
        <v>162</v>
      </c>
      <c r="MD11" s="10" t="s">
        <v>56</v>
      </c>
      <c r="ME11" s="10" t="s">
        <v>162</v>
      </c>
      <c r="MF11" s="10" t="s">
        <v>56</v>
      </c>
      <c r="MG11" s="10" t="s">
        <v>162</v>
      </c>
      <c r="MH11" s="10" t="s">
        <v>56</v>
      </c>
      <c r="MI11" s="10" t="s">
        <v>162</v>
      </c>
      <c r="MJ11" s="10" t="s">
        <v>56</v>
      </c>
      <c r="MK11" s="10" t="s">
        <v>162</v>
      </c>
      <c r="ML11" s="10" t="s">
        <v>56</v>
      </c>
      <c r="MM11" s="10" t="s">
        <v>162</v>
      </c>
      <c r="MN11" s="10" t="s">
        <v>56</v>
      </c>
      <c r="MO11" s="10" t="s">
        <v>162</v>
      </c>
      <c r="MP11" s="10" t="s">
        <v>56</v>
      </c>
      <c r="MQ11" s="10" t="s">
        <v>162</v>
      </c>
      <c r="MR11" s="10" t="s">
        <v>56</v>
      </c>
      <c r="MS11" s="10" t="s">
        <v>162</v>
      </c>
      <c r="MT11" s="10" t="s">
        <v>56</v>
      </c>
      <c r="MU11" s="10" t="s">
        <v>162</v>
      </c>
      <c r="MV11" s="10" t="s">
        <v>56</v>
      </c>
      <c r="MW11" s="10" t="s">
        <v>162</v>
      </c>
      <c r="MX11" s="10" t="s">
        <v>56</v>
      </c>
      <c r="MY11" s="10" t="s">
        <v>162</v>
      </c>
      <c r="MZ11" s="10" t="s">
        <v>56</v>
      </c>
      <c r="NA11" s="10" t="s">
        <v>162</v>
      </c>
      <c r="NB11" s="10" t="s">
        <v>56</v>
      </c>
      <c r="NC11" s="10" t="s">
        <v>162</v>
      </c>
      <c r="ND11" s="10" t="s">
        <v>56</v>
      </c>
      <c r="NE11" s="10" t="s">
        <v>162</v>
      </c>
      <c r="NF11" s="10" t="s">
        <v>56</v>
      </c>
      <c r="NG11" s="10" t="s">
        <v>162</v>
      </c>
      <c r="NH11" s="10" t="s">
        <v>56</v>
      </c>
      <c r="NI11" s="10" t="s">
        <v>162</v>
      </c>
      <c r="NJ11" s="10" t="s">
        <v>56</v>
      </c>
      <c r="NK11" s="10" t="s">
        <v>162</v>
      </c>
      <c r="NL11" s="10" t="s">
        <v>56</v>
      </c>
      <c r="NM11" s="10" t="s">
        <v>162</v>
      </c>
      <c r="NN11" s="10" t="s">
        <v>56</v>
      </c>
      <c r="NO11" s="10" t="s">
        <v>162</v>
      </c>
      <c r="NP11" s="10" t="s">
        <v>56</v>
      </c>
      <c r="NQ11" s="10" t="s">
        <v>162</v>
      </c>
      <c r="NR11" s="10">
        <f>(3.7*1000)/E11</f>
        <v>35.207917023503661</v>
      </c>
      <c r="NS11" s="10">
        <f>(1*1000)/E11</f>
        <v>9.5156532495955837</v>
      </c>
      <c r="NT11" s="10">
        <f>(23*1000)/E11</f>
        <v>218.86002474069844</v>
      </c>
      <c r="NU11" s="10">
        <f>(5*1000)/E11</f>
        <v>47.578266247977922</v>
      </c>
    </row>
    <row r="12" spans="1:385" x14ac:dyDescent="0.2">
      <c r="A12" t="s">
        <v>4</v>
      </c>
      <c r="B12" s="1" t="s">
        <v>1037</v>
      </c>
      <c r="C12" s="1" t="s">
        <v>859</v>
      </c>
      <c r="D12" s="39" cm="1">
        <f t="array" ref="D12">SUMPRODUCT((ISNUMBER(F12:NU12))*(MOD(COLUMN(F12:NU12),2)=0))</f>
        <v>96</v>
      </c>
      <c r="E12" s="1">
        <v>105.09</v>
      </c>
      <c r="F12" s="1">
        <v>3.5000000000000001E-3</v>
      </c>
      <c r="G12" s="1" t="s">
        <v>58</v>
      </c>
      <c r="H12" s="1">
        <v>0.10440000000000001</v>
      </c>
      <c r="I12" s="1" t="s">
        <v>58</v>
      </c>
      <c r="J12" s="1">
        <v>3.8699999999999998E-2</v>
      </c>
      <c r="K12" s="1">
        <v>3.5000000000000001E-3</v>
      </c>
      <c r="L12" s="1">
        <v>7.7999999999999996E-3</v>
      </c>
      <c r="M12" s="1" t="s">
        <v>58</v>
      </c>
      <c r="N12" s="1" t="s">
        <v>57</v>
      </c>
      <c r="O12" s="1" t="s">
        <v>55</v>
      </c>
      <c r="P12" s="1" t="s">
        <v>56</v>
      </c>
      <c r="Q12" s="1" t="s">
        <v>55</v>
      </c>
      <c r="R12" s="1" t="s">
        <v>88</v>
      </c>
      <c r="S12" s="1" t="s">
        <v>55</v>
      </c>
      <c r="T12" s="1">
        <v>0.06</v>
      </c>
      <c r="U12" s="1">
        <v>0.01</v>
      </c>
      <c r="V12" s="1">
        <v>2.62</v>
      </c>
      <c r="W12" s="1">
        <v>0.32</v>
      </c>
      <c r="X12" s="9" t="s">
        <v>56</v>
      </c>
      <c r="Y12" s="9" t="s">
        <v>55</v>
      </c>
      <c r="Z12" s="9" t="s">
        <v>56</v>
      </c>
      <c r="AA12" s="9" t="s">
        <v>55</v>
      </c>
      <c r="AB12" s="1">
        <v>21.6</v>
      </c>
      <c r="AC12" s="1">
        <v>11.8</v>
      </c>
      <c r="AD12" s="1">
        <v>5.79</v>
      </c>
      <c r="AE12" s="1">
        <v>3.61</v>
      </c>
      <c r="AF12" s="11" t="s">
        <v>90</v>
      </c>
      <c r="AG12" s="11" t="s">
        <v>55</v>
      </c>
      <c r="AH12" s="11" t="s">
        <v>90</v>
      </c>
      <c r="AI12" s="11" t="s">
        <v>55</v>
      </c>
      <c r="AJ12" s="11" t="s">
        <v>57</v>
      </c>
      <c r="AK12" s="11" t="s">
        <v>55</v>
      </c>
      <c r="AL12" s="1">
        <v>3.5</v>
      </c>
      <c r="AM12" s="1">
        <v>0.1</v>
      </c>
      <c r="AN12" s="11">
        <v>0.6</v>
      </c>
      <c r="AO12" s="11">
        <v>0.1</v>
      </c>
      <c r="AP12" s="11">
        <v>1.2</v>
      </c>
      <c r="AQ12" s="11">
        <v>0.2</v>
      </c>
      <c r="AR12" s="10">
        <f>318/E12</f>
        <v>3.0259777333713958</v>
      </c>
      <c r="AS12" s="10">
        <f>72/E12</f>
        <v>0.68512703397088204</v>
      </c>
      <c r="AT12" s="11">
        <f>46/E12</f>
        <v>0.43772004948139687</v>
      </c>
      <c r="AU12" s="11">
        <f>9/E12</f>
        <v>8.5640879246360255E-2</v>
      </c>
      <c r="AV12" s="11">
        <f>235/E12</f>
        <v>2.2361785136549623</v>
      </c>
      <c r="AW12" s="11">
        <f>163/E12</f>
        <v>1.5510514796840802</v>
      </c>
      <c r="AX12" s="11">
        <f>92/E12</f>
        <v>0.87544009896279373</v>
      </c>
      <c r="AY12" s="11">
        <f>30/E12</f>
        <v>0.28546959748786754</v>
      </c>
      <c r="AZ12" s="1">
        <v>5</v>
      </c>
      <c r="BA12" s="1">
        <v>0.2</v>
      </c>
      <c r="BB12" s="1" t="s">
        <v>91</v>
      </c>
      <c r="BC12" s="1" t="s">
        <v>55</v>
      </c>
      <c r="BD12" s="1">
        <v>10</v>
      </c>
      <c r="BE12" s="1" t="s">
        <v>55</v>
      </c>
      <c r="BF12" s="1">
        <v>1.06</v>
      </c>
      <c r="BG12" s="1">
        <v>0.11</v>
      </c>
      <c r="BH12" s="1">
        <v>1.57</v>
      </c>
      <c r="BI12" s="1">
        <v>0.02</v>
      </c>
      <c r="BJ12" s="1">
        <v>8.73</v>
      </c>
      <c r="BK12" s="1">
        <v>1.67</v>
      </c>
      <c r="BL12" s="1" t="s">
        <v>56</v>
      </c>
      <c r="BM12" s="1" t="s">
        <v>55</v>
      </c>
      <c r="BN12" s="1">
        <v>18</v>
      </c>
      <c r="BO12" s="1">
        <v>0.6</v>
      </c>
      <c r="BP12" s="1">
        <v>6.6</v>
      </c>
      <c r="BQ12" s="1">
        <v>0.9</v>
      </c>
      <c r="BR12" s="11" t="s">
        <v>91</v>
      </c>
      <c r="BS12" s="11" t="s">
        <v>162</v>
      </c>
      <c r="BT12" s="4">
        <v>0.51</v>
      </c>
      <c r="BU12" s="4">
        <v>0.03</v>
      </c>
      <c r="BV12" s="1">
        <v>0.59</v>
      </c>
      <c r="BW12" s="1">
        <v>7.0000000000000007E-2</v>
      </c>
      <c r="BX12" s="1">
        <v>0.3</v>
      </c>
      <c r="BY12" s="1">
        <v>0.04</v>
      </c>
      <c r="BZ12" s="10">
        <f>125/E12</f>
        <v>1.189456656199448</v>
      </c>
      <c r="CA12" s="10">
        <f>7/E12</f>
        <v>6.6609572747169096E-2</v>
      </c>
      <c r="CB12" s="10">
        <f>1.2/E12</f>
        <v>1.1418783899514701E-2</v>
      </c>
      <c r="CC12" s="10">
        <f>0.9/E12</f>
        <v>8.5640879246360255E-3</v>
      </c>
      <c r="CD12" s="10">
        <f>3.5/E12</f>
        <v>3.3304786373584548E-2</v>
      </c>
      <c r="CE12" s="10">
        <f>1.6/E12</f>
        <v>1.5225045199352936E-2</v>
      </c>
      <c r="CF12" s="10">
        <f>5.9/E12</f>
        <v>5.6142354172613949E-2</v>
      </c>
      <c r="CG12" s="10">
        <f>0.6/E12</f>
        <v>5.7093919497573503E-3</v>
      </c>
      <c r="CH12" s="10">
        <f>1.3/E12</f>
        <v>1.237034922447426E-2</v>
      </c>
      <c r="CI12" s="10">
        <f>0.4/E12</f>
        <v>3.8062612998382341E-3</v>
      </c>
      <c r="CJ12" s="10" t="s">
        <v>481</v>
      </c>
      <c r="CK12" s="10" t="s">
        <v>55</v>
      </c>
      <c r="CL12" s="10">
        <f>2.1/E12</f>
        <v>1.998287182415073E-2</v>
      </c>
      <c r="CM12" s="10" t="s">
        <v>230</v>
      </c>
      <c r="CN12" s="10">
        <f>2.7/E12</f>
        <v>2.569226377390808E-2</v>
      </c>
      <c r="CO12" s="10">
        <f>0.2/E12</f>
        <v>1.9031306499191171E-3</v>
      </c>
      <c r="CP12" s="10">
        <f>14.7/E12</f>
        <v>0.13988010276905508</v>
      </c>
      <c r="CQ12" s="10">
        <f>0.3/E12</f>
        <v>2.8546959748786752E-3</v>
      </c>
      <c r="CR12" s="10">
        <f>7.3/E12</f>
        <v>6.9464268722047764E-2</v>
      </c>
      <c r="CS12" s="10">
        <f>3.9/E12</f>
        <v>3.7111047673422777E-2</v>
      </c>
      <c r="CT12" s="10">
        <f>29/E12</f>
        <v>0.27595394423827196</v>
      </c>
      <c r="CU12" s="10">
        <f>5/E12</f>
        <v>4.7578266247977924E-2</v>
      </c>
      <c r="CV12" s="10">
        <f>654/E12</f>
        <v>6.2232372252355121</v>
      </c>
      <c r="CW12" s="10">
        <f>67/E12</f>
        <v>0.63754876772290414</v>
      </c>
      <c r="CX12" s="10">
        <f>14/E12</f>
        <v>0.13321914549433819</v>
      </c>
      <c r="CY12" s="10">
        <f>1/E12</f>
        <v>9.5156532495955844E-3</v>
      </c>
      <c r="CZ12" s="10">
        <f>3.5/E12</f>
        <v>3.3304786373584548E-2</v>
      </c>
      <c r="DA12" s="10">
        <f>1.4/E12</f>
        <v>1.3321914549433817E-2</v>
      </c>
      <c r="DB12" s="10">
        <f>16/E12</f>
        <v>0.15225045199352935</v>
      </c>
      <c r="DC12" s="10">
        <f>2/E12</f>
        <v>1.9031306499191169E-2</v>
      </c>
      <c r="DD12" s="10" t="s">
        <v>56</v>
      </c>
      <c r="DE12" s="10" t="s">
        <v>55</v>
      </c>
      <c r="DF12" s="10" t="s">
        <v>56</v>
      </c>
      <c r="DG12" s="10" t="s">
        <v>55</v>
      </c>
      <c r="DH12" s="10">
        <f>279/E12</f>
        <v>2.6548672566371683</v>
      </c>
      <c r="DI12" s="10">
        <f>31/E12</f>
        <v>0.29498525073746312</v>
      </c>
      <c r="DJ12" s="10">
        <f>104/E12</f>
        <v>0.9896279379579408</v>
      </c>
      <c r="DK12" s="10">
        <f>14/E12</f>
        <v>0.13321914549433819</v>
      </c>
      <c r="DL12" s="10">
        <f>159/E12</f>
        <v>1.5129888666856979</v>
      </c>
      <c r="DM12" s="10">
        <f>39/E12</f>
        <v>0.37111047673422781</v>
      </c>
      <c r="DN12" s="10">
        <f>24/E12</f>
        <v>0.22837567799029401</v>
      </c>
      <c r="DO12" s="10">
        <f>8/E12</f>
        <v>7.6125225996764675E-2</v>
      </c>
      <c r="DP12" s="10">
        <f>23/E12</f>
        <v>0.21886002474069843</v>
      </c>
      <c r="DQ12" s="10">
        <f>9/E12</f>
        <v>8.5640879246360255E-2</v>
      </c>
      <c r="DR12" s="10">
        <f>9/E12</f>
        <v>8.5640879246360255E-2</v>
      </c>
      <c r="DS12" s="10">
        <f>1.5/E12</f>
        <v>1.4273479874393376E-2</v>
      </c>
      <c r="DT12" s="10">
        <f>270/E12</f>
        <v>2.5692263773908079</v>
      </c>
      <c r="DU12" s="10">
        <f>57/E12</f>
        <v>0.54239223522694835</v>
      </c>
      <c r="DV12" s="10" t="s">
        <v>274</v>
      </c>
      <c r="DW12" s="10" t="s">
        <v>55</v>
      </c>
      <c r="DX12" s="10" t="s">
        <v>154</v>
      </c>
      <c r="DY12" s="10" t="s">
        <v>55</v>
      </c>
      <c r="DZ12" s="10">
        <f>25/E12</f>
        <v>0.23789133123988962</v>
      </c>
      <c r="EA12" s="10">
        <f>2/E12</f>
        <v>1.9031306499191169E-2</v>
      </c>
      <c r="EB12" s="10">
        <f>3/E12</f>
        <v>2.8546959748786752E-2</v>
      </c>
      <c r="EC12" s="10">
        <f>0.3/E12</f>
        <v>2.8546959748786752E-3</v>
      </c>
      <c r="ED12" s="10">
        <f>2.4/E12</f>
        <v>2.2837567799029401E-2</v>
      </c>
      <c r="EE12" s="10">
        <f>0.8/E12</f>
        <v>7.6125225996764682E-3</v>
      </c>
      <c r="EF12" s="10">
        <f>7.8/E12</f>
        <v>7.4222095346845554E-2</v>
      </c>
      <c r="EG12" s="10">
        <f>0.9/E12</f>
        <v>8.5640879246360255E-3</v>
      </c>
      <c r="EH12" s="10" t="s">
        <v>233</v>
      </c>
      <c r="EI12" s="10" t="s">
        <v>55</v>
      </c>
      <c r="EJ12" s="10" t="s">
        <v>233</v>
      </c>
      <c r="EK12" s="10" t="s">
        <v>55</v>
      </c>
      <c r="EL12" s="10" t="s">
        <v>233</v>
      </c>
      <c r="EM12" s="10" t="s">
        <v>55</v>
      </c>
      <c r="EN12" s="10" t="s">
        <v>56</v>
      </c>
      <c r="EO12" s="10" t="s">
        <v>55</v>
      </c>
      <c r="EP12" s="10" t="s">
        <v>56</v>
      </c>
      <c r="EQ12" s="10" t="s">
        <v>55</v>
      </c>
      <c r="ER12" s="10" t="s">
        <v>489</v>
      </c>
      <c r="ES12" s="10" t="s">
        <v>55</v>
      </c>
      <c r="ET12" s="10" t="s">
        <v>490</v>
      </c>
      <c r="EU12" s="10" t="s">
        <v>55</v>
      </c>
      <c r="EV12" s="10">
        <f>62/E12</f>
        <v>0.58997050147492625</v>
      </c>
      <c r="EW12" s="10">
        <f>9/E12</f>
        <v>8.5640879246360255E-2</v>
      </c>
      <c r="EX12" s="10">
        <f>13/E12</f>
        <v>0.1237034922447426</v>
      </c>
      <c r="EY12" s="10">
        <f>3/E12</f>
        <v>2.8546959748786752E-2</v>
      </c>
      <c r="EZ12" s="10">
        <f>11/E12</f>
        <v>0.10467218574555143</v>
      </c>
      <c r="FA12" s="10">
        <f>2/E12</f>
        <v>1.9031306499191169E-2</v>
      </c>
      <c r="FB12" s="10">
        <f>1.7/E12</f>
        <v>1.6176610524312494E-2</v>
      </c>
      <c r="FC12" s="10">
        <f>0.2/E12</f>
        <v>1.9031306499191171E-3</v>
      </c>
      <c r="FD12" s="10" t="s">
        <v>488</v>
      </c>
      <c r="FE12" s="10" t="s">
        <v>55</v>
      </c>
      <c r="FF12" s="10">
        <f>37/E12</f>
        <v>0.3520791702350366</v>
      </c>
      <c r="FG12" s="10">
        <f>5/E12</f>
        <v>4.7578266247977924E-2</v>
      </c>
      <c r="FH12" s="10">
        <f>42/E12</f>
        <v>0.39965743648301455</v>
      </c>
      <c r="FI12" s="10">
        <f>6/E12</f>
        <v>5.7093919497573503E-2</v>
      </c>
      <c r="FJ12" s="10">
        <f>14/E12</f>
        <v>0.13321914549433819</v>
      </c>
      <c r="FK12" s="10">
        <f>1/E12</f>
        <v>9.5156532495955844E-3</v>
      </c>
      <c r="FL12" s="10">
        <f>44/E12</f>
        <v>0.41868874298220571</v>
      </c>
      <c r="FM12" s="10">
        <f>5/E12</f>
        <v>4.7578266247977924E-2</v>
      </c>
      <c r="FN12" s="10">
        <f>67/E12</f>
        <v>0.63754876772290414</v>
      </c>
      <c r="FO12" s="10">
        <f>7/E12</f>
        <v>6.6609572747169096E-2</v>
      </c>
      <c r="FP12" s="10">
        <f>12/E12</f>
        <v>0.11418783899514701</v>
      </c>
      <c r="FQ12" s="10">
        <f>2/E12</f>
        <v>1.9031306499191169E-2</v>
      </c>
      <c r="FR12" s="10">
        <f>35/E12</f>
        <v>0.33304786373584544</v>
      </c>
      <c r="FS12" s="10">
        <f>3/E12</f>
        <v>2.8546959748786752E-2</v>
      </c>
      <c r="FT12" s="10">
        <v>3.42</v>
      </c>
      <c r="FU12" s="10">
        <v>7.0000000000000007E-2</v>
      </c>
      <c r="FV12" s="10">
        <v>0.74</v>
      </c>
      <c r="FW12" s="10">
        <v>0.01</v>
      </c>
      <c r="FX12" s="10">
        <v>0.62</v>
      </c>
      <c r="FY12" s="10">
        <v>0.12</v>
      </c>
      <c r="FZ12" s="10">
        <v>0.76</v>
      </c>
      <c r="GA12" s="10">
        <v>0.42</v>
      </c>
      <c r="GB12" s="8" t="s">
        <v>157</v>
      </c>
      <c r="GC12" s="8" t="s">
        <v>55</v>
      </c>
      <c r="GD12" s="8" t="s">
        <v>157</v>
      </c>
      <c r="GE12" s="8" t="s">
        <v>55</v>
      </c>
      <c r="GF12" s="10" t="s">
        <v>157</v>
      </c>
      <c r="GG12" s="10" t="s">
        <v>55</v>
      </c>
      <c r="GH12" s="10">
        <v>0.17</v>
      </c>
      <c r="GI12" s="10">
        <v>0.02</v>
      </c>
      <c r="GJ12" s="10">
        <v>4.6500000000000004</v>
      </c>
      <c r="GK12" s="10">
        <v>0.84</v>
      </c>
      <c r="GL12" s="10" t="s">
        <v>157</v>
      </c>
      <c r="GM12" s="10" t="s">
        <v>55</v>
      </c>
      <c r="GN12" s="10">
        <v>0.28999999999999998</v>
      </c>
      <c r="GO12" s="10">
        <v>0.02</v>
      </c>
      <c r="GP12" s="10">
        <v>0.46</v>
      </c>
      <c r="GQ12" s="10">
        <v>0.01</v>
      </c>
      <c r="GR12" s="10">
        <v>0.18</v>
      </c>
      <c r="GS12" s="10">
        <v>0.03</v>
      </c>
      <c r="GT12" s="10">
        <v>0.6</v>
      </c>
      <c r="GU12" s="10">
        <v>0.1</v>
      </c>
      <c r="GV12" s="10" t="s">
        <v>200</v>
      </c>
      <c r="GW12" s="10" t="s">
        <v>55</v>
      </c>
      <c r="GX12" s="10" t="s">
        <v>613</v>
      </c>
      <c r="GY12" s="10" t="s">
        <v>55</v>
      </c>
      <c r="GZ12" s="10">
        <v>14.8565</v>
      </c>
      <c r="HA12" s="10" t="s">
        <v>55</v>
      </c>
      <c r="HB12" s="10">
        <v>10.5807</v>
      </c>
      <c r="HC12" s="10" t="s">
        <v>55</v>
      </c>
      <c r="HD12" s="10">
        <v>34.701599999999999</v>
      </c>
      <c r="HE12" s="10" t="s">
        <v>55</v>
      </c>
      <c r="HF12" s="10">
        <v>32.014299999999999</v>
      </c>
      <c r="HG12" s="10" t="s">
        <v>55</v>
      </c>
      <c r="HH12" s="10">
        <v>38.833799999999997</v>
      </c>
      <c r="HI12" s="10" t="s">
        <v>55</v>
      </c>
      <c r="HJ12" s="10">
        <v>10.861599999999999</v>
      </c>
      <c r="HK12" s="10" t="s">
        <v>55</v>
      </c>
      <c r="HL12" s="10">
        <v>1.6198999999999999</v>
      </c>
      <c r="HM12" s="10" t="s">
        <v>55</v>
      </c>
      <c r="HN12" s="10">
        <v>14.0343</v>
      </c>
      <c r="HO12" s="10" t="s">
        <v>55</v>
      </c>
      <c r="HP12" s="10">
        <v>5</v>
      </c>
      <c r="HQ12" s="10">
        <v>0.5</v>
      </c>
      <c r="HR12" s="10">
        <v>5</v>
      </c>
      <c r="HS12" s="10">
        <v>0.5</v>
      </c>
      <c r="HT12" s="10" t="s">
        <v>317</v>
      </c>
      <c r="HU12" s="10" t="s">
        <v>55</v>
      </c>
      <c r="HV12" s="10" t="s">
        <v>317</v>
      </c>
      <c r="HW12" s="10" t="s">
        <v>55</v>
      </c>
      <c r="HX12" s="10" t="s">
        <v>319</v>
      </c>
      <c r="HY12" s="10" t="s">
        <v>55</v>
      </c>
      <c r="HZ12" s="10" t="s">
        <v>319</v>
      </c>
      <c r="IA12" s="10" t="s">
        <v>55</v>
      </c>
      <c r="IB12" s="10" t="s">
        <v>317</v>
      </c>
      <c r="IC12" s="10" t="s">
        <v>55</v>
      </c>
      <c r="ID12" s="10" t="s">
        <v>75</v>
      </c>
      <c r="IE12" s="10" t="s">
        <v>55</v>
      </c>
      <c r="IF12" s="10" t="s">
        <v>75</v>
      </c>
      <c r="IG12" s="10" t="s">
        <v>55</v>
      </c>
      <c r="IH12" s="4" t="s">
        <v>56</v>
      </c>
      <c r="II12" s="4" t="s">
        <v>55</v>
      </c>
      <c r="IJ12" s="4" t="s">
        <v>56</v>
      </c>
      <c r="IK12" s="4" t="s">
        <v>55</v>
      </c>
      <c r="IL12" s="4" t="s">
        <v>56</v>
      </c>
      <c r="IM12" s="4" t="s">
        <v>55</v>
      </c>
      <c r="IN12" s="4" t="s">
        <v>56</v>
      </c>
      <c r="IO12" s="4" t="s">
        <v>55</v>
      </c>
      <c r="IP12" s="4" t="s">
        <v>56</v>
      </c>
      <c r="IQ12" s="4" t="s">
        <v>55</v>
      </c>
      <c r="IR12" s="4" t="s">
        <v>56</v>
      </c>
      <c r="IS12" s="4" t="s">
        <v>55</v>
      </c>
      <c r="IT12" s="1" t="s">
        <v>209</v>
      </c>
      <c r="IU12" s="1" t="s">
        <v>55</v>
      </c>
      <c r="IV12" s="19" t="s">
        <v>56</v>
      </c>
      <c r="IW12" s="19" t="s">
        <v>162</v>
      </c>
      <c r="IX12" s="19" t="s">
        <v>56</v>
      </c>
      <c r="IY12" s="19" t="s">
        <v>162</v>
      </c>
      <c r="IZ12" s="19" t="s">
        <v>56</v>
      </c>
      <c r="JA12" s="19" t="s">
        <v>162</v>
      </c>
      <c r="JB12" s="19" t="s">
        <v>56</v>
      </c>
      <c r="JC12" s="19" t="s">
        <v>162</v>
      </c>
      <c r="JD12" s="19" t="s">
        <v>56</v>
      </c>
      <c r="JE12" s="19" t="s">
        <v>162</v>
      </c>
      <c r="JF12" s="19" t="s">
        <v>56</v>
      </c>
      <c r="JG12" s="19" t="s">
        <v>162</v>
      </c>
      <c r="JH12" s="19" t="s">
        <v>56</v>
      </c>
      <c r="JI12" s="19" t="s">
        <v>162</v>
      </c>
      <c r="JJ12" s="19" t="s">
        <v>56</v>
      </c>
      <c r="JK12" s="19" t="s">
        <v>162</v>
      </c>
      <c r="JL12" s="19" t="s">
        <v>56</v>
      </c>
      <c r="JM12" s="19" t="s">
        <v>162</v>
      </c>
      <c r="JN12" s="19" t="s">
        <v>56</v>
      </c>
      <c r="JO12" s="19" t="s">
        <v>162</v>
      </c>
      <c r="JP12" s="19" t="s">
        <v>56</v>
      </c>
      <c r="JQ12" s="19" t="s">
        <v>162</v>
      </c>
      <c r="JR12" s="19" t="s">
        <v>56</v>
      </c>
      <c r="JS12" s="19" t="s">
        <v>162</v>
      </c>
      <c r="JT12" s="19" t="s">
        <v>56</v>
      </c>
      <c r="JU12" s="19" t="s">
        <v>162</v>
      </c>
      <c r="JV12" s="19" t="s">
        <v>56</v>
      </c>
      <c r="JW12" s="19" t="s">
        <v>162</v>
      </c>
      <c r="JX12" s="26">
        <v>1630.9976793331614</v>
      </c>
      <c r="JY12" s="26">
        <v>439.62525731074277</v>
      </c>
      <c r="JZ12" s="26">
        <v>1273.5307360424667</v>
      </c>
      <c r="KA12" s="26">
        <v>204.64107664695507</v>
      </c>
      <c r="KB12" s="26">
        <v>1501.1470865146073</v>
      </c>
      <c r="KC12" s="26">
        <v>972.87290776322254</v>
      </c>
      <c r="KD12" s="26">
        <v>6224.5885644573145</v>
      </c>
      <c r="KE12" s="26">
        <v>6818.1194462921721</v>
      </c>
      <c r="KF12" s="26">
        <v>1980.8713370166245</v>
      </c>
      <c r="KG12" s="26">
        <v>378.0489223854421</v>
      </c>
      <c r="KH12" s="19" t="s">
        <v>56</v>
      </c>
      <c r="KI12" s="19" t="s">
        <v>162</v>
      </c>
      <c r="KJ12" s="19" t="s">
        <v>56</v>
      </c>
      <c r="KK12" s="19" t="s">
        <v>162</v>
      </c>
      <c r="KL12" s="19" t="s">
        <v>56</v>
      </c>
      <c r="KM12" s="19" t="s">
        <v>162</v>
      </c>
      <c r="KN12" s="19" t="s">
        <v>56</v>
      </c>
      <c r="KO12" s="19" t="s">
        <v>162</v>
      </c>
      <c r="KP12" s="19" t="s">
        <v>56</v>
      </c>
      <c r="KQ12" s="19" t="s">
        <v>162</v>
      </c>
      <c r="KR12" s="4">
        <v>227</v>
      </c>
      <c r="KS12" s="4">
        <v>75</v>
      </c>
      <c r="KT12" s="4">
        <v>127</v>
      </c>
      <c r="KU12" s="4">
        <v>31</v>
      </c>
      <c r="KV12" s="4">
        <v>1841.3</v>
      </c>
      <c r="KW12" s="4">
        <v>199.4</v>
      </c>
      <c r="KX12" s="4">
        <v>3530.4</v>
      </c>
      <c r="KY12" s="4">
        <v>246.2</v>
      </c>
      <c r="KZ12" s="4">
        <v>3116.1</v>
      </c>
      <c r="LA12" s="4">
        <v>164.6</v>
      </c>
      <c r="LB12" s="19" t="s">
        <v>56</v>
      </c>
      <c r="LC12" s="19" t="s">
        <v>162</v>
      </c>
      <c r="LD12" s="10">
        <f>1.5*1000</f>
        <v>1500</v>
      </c>
      <c r="LE12" s="10">
        <f>0.3*1000</f>
        <v>300</v>
      </c>
      <c r="LF12" s="10">
        <f>1.1*1000</f>
        <v>1100</v>
      </c>
      <c r="LG12" s="10">
        <f>0.03*1000</f>
        <v>30</v>
      </c>
      <c r="LH12" s="10">
        <f>0.86*1000</f>
        <v>860</v>
      </c>
      <c r="LI12" s="10">
        <f>0.08*1000</f>
        <v>80</v>
      </c>
      <c r="LJ12" s="10" t="s">
        <v>56</v>
      </c>
      <c r="LK12" s="10" t="s">
        <v>162</v>
      </c>
      <c r="LL12" s="10" t="s">
        <v>56</v>
      </c>
      <c r="LM12" s="10" t="s">
        <v>162</v>
      </c>
      <c r="LN12" s="10" t="s">
        <v>56</v>
      </c>
      <c r="LO12" s="10" t="s">
        <v>162</v>
      </c>
      <c r="LP12" s="10" t="s">
        <v>56</v>
      </c>
      <c r="LQ12" s="10" t="s">
        <v>162</v>
      </c>
      <c r="LR12" s="10" t="s">
        <v>56</v>
      </c>
      <c r="LS12" s="10" t="s">
        <v>162</v>
      </c>
      <c r="LT12" s="10" t="s">
        <v>56</v>
      </c>
      <c r="LU12" s="10" t="s">
        <v>162</v>
      </c>
      <c r="LV12" s="10" t="s">
        <v>56</v>
      </c>
      <c r="LW12" s="10" t="s">
        <v>162</v>
      </c>
      <c r="LX12" s="10" t="s">
        <v>56</v>
      </c>
      <c r="LY12" s="10" t="s">
        <v>162</v>
      </c>
      <c r="LZ12" s="10" t="s">
        <v>56</v>
      </c>
      <c r="MA12" s="10" t="s">
        <v>162</v>
      </c>
      <c r="MB12" s="10" t="s">
        <v>56</v>
      </c>
      <c r="MC12" s="10" t="s">
        <v>162</v>
      </c>
      <c r="MD12" s="10" t="s">
        <v>56</v>
      </c>
      <c r="ME12" s="10" t="s">
        <v>162</v>
      </c>
      <c r="MF12" s="10" t="s">
        <v>56</v>
      </c>
      <c r="MG12" s="10" t="s">
        <v>162</v>
      </c>
      <c r="MH12" s="10" t="s">
        <v>56</v>
      </c>
      <c r="MI12" s="10" t="s">
        <v>162</v>
      </c>
      <c r="MJ12" s="10" t="s">
        <v>56</v>
      </c>
      <c r="MK12" s="10" t="s">
        <v>162</v>
      </c>
      <c r="ML12" s="10" t="s">
        <v>56</v>
      </c>
      <c r="MM12" s="10" t="s">
        <v>162</v>
      </c>
      <c r="MN12" s="10" t="s">
        <v>56</v>
      </c>
      <c r="MO12" s="10" t="s">
        <v>162</v>
      </c>
      <c r="MP12" s="10" t="s">
        <v>56</v>
      </c>
      <c r="MQ12" s="10" t="s">
        <v>162</v>
      </c>
      <c r="MR12" s="10" t="s">
        <v>56</v>
      </c>
      <c r="MS12" s="10" t="s">
        <v>162</v>
      </c>
      <c r="MT12" s="10" t="s">
        <v>56</v>
      </c>
      <c r="MU12" s="10" t="s">
        <v>162</v>
      </c>
      <c r="MV12" s="10" t="s">
        <v>56</v>
      </c>
      <c r="MW12" s="10" t="s">
        <v>162</v>
      </c>
      <c r="MX12" s="10" t="s">
        <v>56</v>
      </c>
      <c r="MY12" s="10" t="s">
        <v>162</v>
      </c>
      <c r="MZ12" s="10" t="s">
        <v>56</v>
      </c>
      <c r="NA12" s="10" t="s">
        <v>162</v>
      </c>
      <c r="NB12" s="10" t="s">
        <v>56</v>
      </c>
      <c r="NC12" s="10" t="s">
        <v>162</v>
      </c>
      <c r="ND12" s="10" t="s">
        <v>56</v>
      </c>
      <c r="NE12" s="10" t="s">
        <v>162</v>
      </c>
      <c r="NF12" s="10" t="s">
        <v>56</v>
      </c>
      <c r="NG12" s="10" t="s">
        <v>162</v>
      </c>
      <c r="NH12" s="10" t="s">
        <v>56</v>
      </c>
      <c r="NI12" s="10" t="s">
        <v>162</v>
      </c>
      <c r="NJ12" s="10" t="s">
        <v>56</v>
      </c>
      <c r="NK12" s="10" t="s">
        <v>162</v>
      </c>
      <c r="NL12" s="10" t="s">
        <v>56</v>
      </c>
      <c r="NM12" s="10" t="s">
        <v>162</v>
      </c>
      <c r="NN12" s="10" t="s">
        <v>56</v>
      </c>
      <c r="NO12" s="10" t="s">
        <v>162</v>
      </c>
      <c r="NP12" s="10" t="s">
        <v>56</v>
      </c>
      <c r="NQ12" s="10" t="s">
        <v>162</v>
      </c>
      <c r="NR12" s="10">
        <f>(5.4*1000)/E12</f>
        <v>51.384527547816155</v>
      </c>
      <c r="NS12" s="10">
        <f>(1.9*1000)/E12</f>
        <v>18.079741174231611</v>
      </c>
      <c r="NT12" s="10">
        <f>(28*1000)/E12</f>
        <v>266.43829098867639</v>
      </c>
      <c r="NU12" s="10">
        <f>(7*1000)/E12</f>
        <v>66.609572747169096</v>
      </c>
    </row>
    <row r="13" spans="1:385" x14ac:dyDescent="0.2">
      <c r="A13" t="s">
        <v>862</v>
      </c>
      <c r="B13" s="1" t="s">
        <v>1037</v>
      </c>
      <c r="C13" s="1" t="s">
        <v>843</v>
      </c>
      <c r="D13" s="39" cm="1">
        <f t="array" ref="D13">SUMPRODUCT((ISNUMBER(F13:NU13))*(MOD(COLUMN(F13:NU13),2)=0))</f>
        <v>57</v>
      </c>
      <c r="E13" s="1">
        <v>105.09</v>
      </c>
      <c r="F13" s="11" t="s">
        <v>56</v>
      </c>
      <c r="G13" s="11" t="s">
        <v>55</v>
      </c>
      <c r="H13" s="11" t="s">
        <v>56</v>
      </c>
      <c r="I13" s="11" t="s">
        <v>55</v>
      </c>
      <c r="J13" s="11" t="s">
        <v>56</v>
      </c>
      <c r="K13" s="11" t="s">
        <v>55</v>
      </c>
      <c r="L13" s="11" t="s">
        <v>56</v>
      </c>
      <c r="M13" s="11" t="s">
        <v>55</v>
      </c>
      <c r="N13" s="11" t="s">
        <v>56</v>
      </c>
      <c r="O13" s="11" t="s">
        <v>55</v>
      </c>
      <c r="P13" s="11" t="s">
        <v>56</v>
      </c>
      <c r="Q13" s="11" t="s">
        <v>55</v>
      </c>
      <c r="R13" s="11" t="s">
        <v>56</v>
      </c>
      <c r="S13" s="11" t="s">
        <v>55</v>
      </c>
      <c r="T13" s="11" t="s">
        <v>56</v>
      </c>
      <c r="U13" s="11" t="s">
        <v>55</v>
      </c>
      <c r="V13" s="11" t="s">
        <v>56</v>
      </c>
      <c r="W13" s="11" t="s">
        <v>55</v>
      </c>
      <c r="X13" s="4">
        <v>17.2</v>
      </c>
      <c r="Y13" s="4">
        <v>0.8</v>
      </c>
      <c r="Z13" s="9" t="s">
        <v>56</v>
      </c>
      <c r="AA13" s="9" t="s">
        <v>55</v>
      </c>
      <c r="AB13" s="9" t="s">
        <v>56</v>
      </c>
      <c r="AC13" s="9" t="s">
        <v>55</v>
      </c>
      <c r="AD13" s="9" t="s">
        <v>56</v>
      </c>
      <c r="AE13" s="9" t="s">
        <v>55</v>
      </c>
      <c r="AF13" s="9" t="s">
        <v>56</v>
      </c>
      <c r="AG13" s="9" t="s">
        <v>55</v>
      </c>
      <c r="AH13" s="9" t="s">
        <v>56</v>
      </c>
      <c r="AI13" s="9" t="s">
        <v>55</v>
      </c>
      <c r="AJ13" s="9" t="s">
        <v>56</v>
      </c>
      <c r="AK13" s="9" t="s">
        <v>55</v>
      </c>
      <c r="AL13" s="9" t="s">
        <v>56</v>
      </c>
      <c r="AM13" s="9" t="s">
        <v>55</v>
      </c>
      <c r="AN13" s="9" t="s">
        <v>56</v>
      </c>
      <c r="AO13" s="9" t="s">
        <v>55</v>
      </c>
      <c r="AP13" s="9" t="s">
        <v>56</v>
      </c>
      <c r="AQ13" s="9" t="s">
        <v>55</v>
      </c>
      <c r="AR13" s="9" t="s">
        <v>56</v>
      </c>
      <c r="AS13" s="9" t="s">
        <v>55</v>
      </c>
      <c r="AT13" s="9" t="s">
        <v>56</v>
      </c>
      <c r="AU13" s="9" t="s">
        <v>55</v>
      </c>
      <c r="AV13" s="9" t="s">
        <v>56</v>
      </c>
      <c r="AW13" s="9" t="s">
        <v>55</v>
      </c>
      <c r="AX13" s="9" t="s">
        <v>56</v>
      </c>
      <c r="AY13" s="9" t="s">
        <v>55</v>
      </c>
      <c r="AZ13" s="9" t="s">
        <v>56</v>
      </c>
      <c r="BA13" s="9" t="s">
        <v>55</v>
      </c>
      <c r="BB13" s="9" t="s">
        <v>56</v>
      </c>
      <c r="BC13" s="9" t="s">
        <v>55</v>
      </c>
      <c r="BD13" s="9" t="s">
        <v>56</v>
      </c>
      <c r="BE13" s="9" t="s">
        <v>55</v>
      </c>
      <c r="BF13" s="9" t="s">
        <v>56</v>
      </c>
      <c r="BG13" s="9" t="s">
        <v>55</v>
      </c>
      <c r="BH13" s="9" t="s">
        <v>56</v>
      </c>
      <c r="BI13" s="9" t="s">
        <v>55</v>
      </c>
      <c r="BJ13" s="9" t="s">
        <v>56</v>
      </c>
      <c r="BK13" s="9" t="s">
        <v>55</v>
      </c>
      <c r="BL13" s="9" t="s">
        <v>56</v>
      </c>
      <c r="BM13" s="9" t="s">
        <v>55</v>
      </c>
      <c r="BN13" s="9" t="s">
        <v>56</v>
      </c>
      <c r="BO13" s="9" t="s">
        <v>55</v>
      </c>
      <c r="BP13" s="9" t="s">
        <v>56</v>
      </c>
      <c r="BQ13" s="9" t="s">
        <v>55</v>
      </c>
      <c r="BR13" s="9" t="s">
        <v>56</v>
      </c>
      <c r="BS13" s="9" t="s">
        <v>55</v>
      </c>
      <c r="BT13" s="9" t="s">
        <v>56</v>
      </c>
      <c r="BU13" s="9" t="s">
        <v>55</v>
      </c>
      <c r="BV13" s="9" t="s">
        <v>56</v>
      </c>
      <c r="BW13" s="9" t="s">
        <v>55</v>
      </c>
      <c r="BX13" s="9" t="s">
        <v>56</v>
      </c>
      <c r="BY13" s="9" t="s">
        <v>55</v>
      </c>
      <c r="BZ13" s="9" t="s">
        <v>56</v>
      </c>
      <c r="CA13" s="9" t="s">
        <v>55</v>
      </c>
      <c r="CB13" s="9" t="s">
        <v>56</v>
      </c>
      <c r="CC13" s="9" t="s">
        <v>55</v>
      </c>
      <c r="CD13" s="9" t="s">
        <v>56</v>
      </c>
      <c r="CE13" s="9" t="s">
        <v>55</v>
      </c>
      <c r="CF13" s="9" t="s">
        <v>56</v>
      </c>
      <c r="CG13" s="9" t="s">
        <v>55</v>
      </c>
      <c r="CH13" s="9" t="s">
        <v>56</v>
      </c>
      <c r="CI13" s="9" t="s">
        <v>55</v>
      </c>
      <c r="CJ13" s="9" t="s">
        <v>56</v>
      </c>
      <c r="CK13" s="9" t="s">
        <v>55</v>
      </c>
      <c r="CL13" s="9" t="s">
        <v>56</v>
      </c>
      <c r="CM13" s="9" t="s">
        <v>55</v>
      </c>
      <c r="CN13" s="9" t="s">
        <v>56</v>
      </c>
      <c r="CO13" s="9" t="s">
        <v>55</v>
      </c>
      <c r="CP13" s="9" t="s">
        <v>56</v>
      </c>
      <c r="CQ13" s="9" t="s">
        <v>55</v>
      </c>
      <c r="CR13" s="9" t="s">
        <v>56</v>
      </c>
      <c r="CS13" s="9" t="s">
        <v>55</v>
      </c>
      <c r="CT13" s="9" t="s">
        <v>56</v>
      </c>
      <c r="CU13" s="9" t="s">
        <v>55</v>
      </c>
      <c r="CV13" s="9" t="s">
        <v>56</v>
      </c>
      <c r="CW13" s="9" t="s">
        <v>55</v>
      </c>
      <c r="CX13" s="9" t="s">
        <v>56</v>
      </c>
      <c r="CY13" s="9" t="s">
        <v>55</v>
      </c>
      <c r="CZ13" s="9" t="s">
        <v>56</v>
      </c>
      <c r="DA13" s="9" t="s">
        <v>55</v>
      </c>
      <c r="DB13" s="9" t="s">
        <v>56</v>
      </c>
      <c r="DC13" s="9" t="s">
        <v>55</v>
      </c>
      <c r="DD13" s="9" t="s">
        <v>56</v>
      </c>
      <c r="DE13" s="9" t="s">
        <v>55</v>
      </c>
      <c r="DF13" s="9" t="s">
        <v>56</v>
      </c>
      <c r="DG13" s="9" t="s">
        <v>55</v>
      </c>
      <c r="DH13" s="9" t="s">
        <v>56</v>
      </c>
      <c r="DI13" s="9" t="s">
        <v>55</v>
      </c>
      <c r="DJ13" s="9" t="s">
        <v>56</v>
      </c>
      <c r="DK13" s="9" t="s">
        <v>55</v>
      </c>
      <c r="DL13" s="9" t="s">
        <v>56</v>
      </c>
      <c r="DM13" s="9" t="s">
        <v>55</v>
      </c>
      <c r="DN13" s="9" t="s">
        <v>56</v>
      </c>
      <c r="DO13" s="9" t="s">
        <v>55</v>
      </c>
      <c r="DP13" s="9" t="s">
        <v>56</v>
      </c>
      <c r="DQ13" s="9" t="s">
        <v>55</v>
      </c>
      <c r="DR13" s="9" t="s">
        <v>56</v>
      </c>
      <c r="DS13" s="9" t="s">
        <v>55</v>
      </c>
      <c r="DT13" s="9" t="s">
        <v>56</v>
      </c>
      <c r="DU13" s="9" t="s">
        <v>55</v>
      </c>
      <c r="DV13" s="9" t="s">
        <v>56</v>
      </c>
      <c r="DW13" s="9" t="s">
        <v>55</v>
      </c>
      <c r="DX13" s="9" t="s">
        <v>56</v>
      </c>
      <c r="DY13" s="9" t="s">
        <v>55</v>
      </c>
      <c r="DZ13" s="9" t="s">
        <v>56</v>
      </c>
      <c r="EA13" s="9" t="s">
        <v>55</v>
      </c>
      <c r="EB13" s="9" t="s">
        <v>56</v>
      </c>
      <c r="EC13" s="9" t="s">
        <v>55</v>
      </c>
      <c r="ED13" s="9" t="s">
        <v>56</v>
      </c>
      <c r="EE13" s="9" t="s">
        <v>55</v>
      </c>
      <c r="EF13" s="9" t="s">
        <v>56</v>
      </c>
      <c r="EG13" s="9" t="s">
        <v>55</v>
      </c>
      <c r="EH13" s="9" t="s">
        <v>56</v>
      </c>
      <c r="EI13" s="9" t="s">
        <v>55</v>
      </c>
      <c r="EJ13" s="9" t="s">
        <v>56</v>
      </c>
      <c r="EK13" s="9" t="s">
        <v>55</v>
      </c>
      <c r="EL13" s="9" t="s">
        <v>56</v>
      </c>
      <c r="EM13" s="9" t="s">
        <v>55</v>
      </c>
      <c r="EN13" s="9" t="s">
        <v>56</v>
      </c>
      <c r="EO13" s="9" t="s">
        <v>55</v>
      </c>
      <c r="EP13" s="9" t="s">
        <v>56</v>
      </c>
      <c r="EQ13" s="9" t="s">
        <v>55</v>
      </c>
      <c r="ER13" s="9" t="s">
        <v>56</v>
      </c>
      <c r="ES13" s="9" t="s">
        <v>55</v>
      </c>
      <c r="ET13" s="9" t="s">
        <v>56</v>
      </c>
      <c r="EU13" s="9" t="s">
        <v>55</v>
      </c>
      <c r="EV13" s="9" t="s">
        <v>56</v>
      </c>
      <c r="EW13" s="9" t="s">
        <v>55</v>
      </c>
      <c r="EX13" s="9" t="s">
        <v>56</v>
      </c>
      <c r="EY13" s="9" t="s">
        <v>55</v>
      </c>
      <c r="EZ13" s="9" t="s">
        <v>56</v>
      </c>
      <c r="FA13" s="9" t="s">
        <v>55</v>
      </c>
      <c r="FB13" s="9" t="s">
        <v>56</v>
      </c>
      <c r="FC13" s="9" t="s">
        <v>55</v>
      </c>
      <c r="FD13" s="9" t="s">
        <v>56</v>
      </c>
      <c r="FE13" s="9" t="s">
        <v>55</v>
      </c>
      <c r="FF13" s="9" t="s">
        <v>56</v>
      </c>
      <c r="FG13" s="9" t="s">
        <v>55</v>
      </c>
      <c r="FH13" s="9" t="s">
        <v>56</v>
      </c>
      <c r="FI13" s="9" t="s">
        <v>55</v>
      </c>
      <c r="FJ13" s="9" t="s">
        <v>56</v>
      </c>
      <c r="FK13" s="9" t="s">
        <v>55</v>
      </c>
      <c r="FL13" s="9" t="s">
        <v>56</v>
      </c>
      <c r="FM13" s="9" t="s">
        <v>55</v>
      </c>
      <c r="FN13" s="9" t="s">
        <v>56</v>
      </c>
      <c r="FO13" s="9" t="s">
        <v>55</v>
      </c>
      <c r="FP13" s="9" t="s">
        <v>56</v>
      </c>
      <c r="FQ13" s="9" t="s">
        <v>55</v>
      </c>
      <c r="FR13" s="9" t="s">
        <v>56</v>
      </c>
      <c r="FS13" s="9" t="s">
        <v>55</v>
      </c>
      <c r="FT13" s="9" t="s">
        <v>56</v>
      </c>
      <c r="FU13" s="9" t="s">
        <v>55</v>
      </c>
      <c r="FV13" s="9" t="s">
        <v>56</v>
      </c>
      <c r="FW13" s="9" t="s">
        <v>55</v>
      </c>
      <c r="FX13" s="9" t="s">
        <v>56</v>
      </c>
      <c r="FY13" s="9" t="s">
        <v>55</v>
      </c>
      <c r="FZ13" s="9" t="s">
        <v>56</v>
      </c>
      <c r="GA13" s="9" t="s">
        <v>55</v>
      </c>
      <c r="GB13" s="9" t="s">
        <v>56</v>
      </c>
      <c r="GC13" s="9" t="s">
        <v>55</v>
      </c>
      <c r="GD13" s="9" t="s">
        <v>56</v>
      </c>
      <c r="GE13" s="9" t="s">
        <v>55</v>
      </c>
      <c r="GF13" s="9" t="s">
        <v>56</v>
      </c>
      <c r="GG13" s="9" t="s">
        <v>55</v>
      </c>
      <c r="GH13" s="9" t="s">
        <v>56</v>
      </c>
      <c r="GI13" s="9" t="s">
        <v>55</v>
      </c>
      <c r="GJ13" s="9" t="s">
        <v>56</v>
      </c>
      <c r="GK13" s="9" t="s">
        <v>55</v>
      </c>
      <c r="GL13" s="9" t="s">
        <v>56</v>
      </c>
      <c r="GM13" s="9" t="s">
        <v>55</v>
      </c>
      <c r="GN13" s="9" t="s">
        <v>56</v>
      </c>
      <c r="GO13" s="9" t="s">
        <v>55</v>
      </c>
      <c r="GP13" s="9" t="s">
        <v>56</v>
      </c>
      <c r="GQ13" s="9" t="s">
        <v>55</v>
      </c>
      <c r="GR13" s="9" t="s">
        <v>56</v>
      </c>
      <c r="GS13" s="9" t="s">
        <v>55</v>
      </c>
      <c r="GT13" s="9" t="s">
        <v>56</v>
      </c>
      <c r="GU13" s="9" t="s">
        <v>55</v>
      </c>
      <c r="GV13" s="17" t="s">
        <v>56</v>
      </c>
      <c r="GW13" s="17" t="s">
        <v>55</v>
      </c>
      <c r="GX13" s="9" t="s">
        <v>56</v>
      </c>
      <c r="GY13" s="9" t="s">
        <v>55</v>
      </c>
      <c r="GZ13" s="10" t="s">
        <v>56</v>
      </c>
      <c r="HA13" s="10" t="s">
        <v>55</v>
      </c>
      <c r="HB13" s="10" t="s">
        <v>56</v>
      </c>
      <c r="HC13" s="10" t="s">
        <v>55</v>
      </c>
      <c r="HD13" s="10" t="s">
        <v>56</v>
      </c>
      <c r="HE13" s="10" t="s">
        <v>55</v>
      </c>
      <c r="HF13" s="10" t="s">
        <v>56</v>
      </c>
      <c r="HG13" s="10" t="s">
        <v>55</v>
      </c>
      <c r="HH13" s="10" t="s">
        <v>56</v>
      </c>
      <c r="HI13" s="10" t="s">
        <v>55</v>
      </c>
      <c r="HJ13" s="10" t="s">
        <v>56</v>
      </c>
      <c r="HK13" s="10" t="s">
        <v>55</v>
      </c>
      <c r="HL13" s="10" t="s">
        <v>56</v>
      </c>
      <c r="HM13" s="10" t="s">
        <v>55</v>
      </c>
      <c r="HN13" s="10" t="s">
        <v>56</v>
      </c>
      <c r="HO13" s="10" t="s">
        <v>55</v>
      </c>
      <c r="HP13" s="10" t="s">
        <v>56</v>
      </c>
      <c r="HQ13" s="10" t="s">
        <v>55</v>
      </c>
      <c r="HR13" s="10" t="s">
        <v>56</v>
      </c>
      <c r="HS13" s="10" t="s">
        <v>55</v>
      </c>
      <c r="HT13" s="10" t="s">
        <v>56</v>
      </c>
      <c r="HU13" s="10" t="s">
        <v>55</v>
      </c>
      <c r="HV13" s="10" t="s">
        <v>56</v>
      </c>
      <c r="HW13" s="10" t="s">
        <v>55</v>
      </c>
      <c r="HX13" s="10" t="s">
        <v>56</v>
      </c>
      <c r="HY13" s="10" t="s">
        <v>55</v>
      </c>
      <c r="HZ13" s="10" t="s">
        <v>56</v>
      </c>
      <c r="IA13" s="10" t="s">
        <v>55</v>
      </c>
      <c r="IB13" s="10" t="s">
        <v>56</v>
      </c>
      <c r="IC13" s="10" t="s">
        <v>55</v>
      </c>
      <c r="ID13" s="10" t="s">
        <v>56</v>
      </c>
      <c r="IE13" s="10" t="s">
        <v>55</v>
      </c>
      <c r="IF13" s="10" t="s">
        <v>56</v>
      </c>
      <c r="IG13" s="10" t="s">
        <v>55</v>
      </c>
      <c r="IH13" s="4">
        <v>3</v>
      </c>
      <c r="II13" s="4" t="s">
        <v>55</v>
      </c>
      <c r="IJ13" s="4">
        <v>0.9</v>
      </c>
      <c r="IK13" s="4" t="s">
        <v>55</v>
      </c>
      <c r="IL13" s="4">
        <v>0.2</v>
      </c>
      <c r="IM13" s="4" t="s">
        <v>55</v>
      </c>
      <c r="IN13" s="4">
        <v>6.7</v>
      </c>
      <c r="IO13" s="4" t="s">
        <v>55</v>
      </c>
      <c r="IP13" s="4">
        <v>85</v>
      </c>
      <c r="IQ13" s="4" t="s">
        <v>55</v>
      </c>
      <c r="IR13" s="4">
        <v>0.51</v>
      </c>
      <c r="IS13" s="4">
        <v>0.12</v>
      </c>
      <c r="IT13" s="1" t="s">
        <v>56</v>
      </c>
      <c r="IU13" s="1" t="s">
        <v>55</v>
      </c>
      <c r="IV13" s="4">
        <v>2.2000000000000002</v>
      </c>
      <c r="IW13" s="4" t="s">
        <v>55</v>
      </c>
      <c r="IX13" s="4">
        <v>1300</v>
      </c>
      <c r="IY13" s="4" t="s">
        <v>55</v>
      </c>
      <c r="IZ13" s="4">
        <v>630</v>
      </c>
      <c r="JA13" s="4" t="s">
        <v>162</v>
      </c>
      <c r="JB13" s="4">
        <v>800</v>
      </c>
      <c r="JC13" s="4" t="s">
        <v>55</v>
      </c>
      <c r="JD13" s="4">
        <v>480</v>
      </c>
      <c r="JE13" s="4" t="s">
        <v>55</v>
      </c>
      <c r="JF13" s="4">
        <v>0.19800000000000001</v>
      </c>
      <c r="JG13" s="4" t="s">
        <v>55</v>
      </c>
      <c r="JH13" s="4">
        <v>0.17599999999999999</v>
      </c>
      <c r="JI13" s="4" t="s">
        <v>55</v>
      </c>
      <c r="JJ13" s="4">
        <v>0.26600000000000001</v>
      </c>
      <c r="JK13" s="4" t="s">
        <v>55</v>
      </c>
      <c r="JL13" s="4">
        <v>0.79300000000000004</v>
      </c>
      <c r="JM13" s="4" t="s">
        <v>55</v>
      </c>
      <c r="JN13" s="4">
        <v>1.0149999999999999</v>
      </c>
      <c r="JO13" s="4" t="s">
        <v>55</v>
      </c>
      <c r="JP13" s="4">
        <v>0.56100000000000005</v>
      </c>
      <c r="JQ13" s="4" t="s">
        <v>55</v>
      </c>
      <c r="JR13" s="4">
        <v>0.58899999999999997</v>
      </c>
      <c r="JS13" s="4" t="s">
        <v>55</v>
      </c>
      <c r="JT13" s="4">
        <v>0.58499999999999996</v>
      </c>
      <c r="JU13" s="4" t="s">
        <v>55</v>
      </c>
      <c r="JV13" s="4">
        <v>32.619999999999997</v>
      </c>
      <c r="JW13" s="4" t="s">
        <v>55</v>
      </c>
      <c r="JX13" s="26" t="s">
        <v>56</v>
      </c>
      <c r="JY13" s="26" t="s">
        <v>55</v>
      </c>
      <c r="JZ13" s="26" t="s">
        <v>56</v>
      </c>
      <c r="KA13" s="26" t="s">
        <v>55</v>
      </c>
      <c r="KB13" s="26" t="s">
        <v>56</v>
      </c>
      <c r="KC13" s="26" t="s">
        <v>55</v>
      </c>
      <c r="KD13" s="26" t="s">
        <v>56</v>
      </c>
      <c r="KE13" s="26" t="s">
        <v>55</v>
      </c>
      <c r="KF13" s="26" t="s">
        <v>56</v>
      </c>
      <c r="KG13" s="26" t="s">
        <v>55</v>
      </c>
      <c r="KH13" s="4">
        <v>139600</v>
      </c>
      <c r="KI13" s="4">
        <v>17300</v>
      </c>
      <c r="KJ13" s="4">
        <v>383600</v>
      </c>
      <c r="KK13" s="4">
        <v>29900</v>
      </c>
      <c r="KL13" s="4">
        <v>18400</v>
      </c>
      <c r="KM13" s="4">
        <v>7500</v>
      </c>
      <c r="KN13" s="4">
        <v>109500</v>
      </c>
      <c r="KO13" s="4">
        <v>12900</v>
      </c>
      <c r="KP13" s="4">
        <v>275700</v>
      </c>
      <c r="KQ13" s="4">
        <v>17600</v>
      </c>
      <c r="KR13" s="4" t="s">
        <v>56</v>
      </c>
      <c r="KS13" s="4" t="s">
        <v>55</v>
      </c>
      <c r="KT13" s="4" t="s">
        <v>56</v>
      </c>
      <c r="KU13" s="4" t="s">
        <v>55</v>
      </c>
      <c r="KV13" s="4" t="s">
        <v>56</v>
      </c>
      <c r="KW13" s="4" t="s">
        <v>55</v>
      </c>
      <c r="KX13" s="4" t="s">
        <v>56</v>
      </c>
      <c r="KY13" s="4" t="s">
        <v>55</v>
      </c>
      <c r="KZ13" s="4" t="s">
        <v>56</v>
      </c>
      <c r="LA13" s="4" t="s">
        <v>55</v>
      </c>
      <c r="LB13" s="10">
        <f>((1.76/100)*1000000000)/E11</f>
        <v>167475.49719288229</v>
      </c>
      <c r="LC13" s="10">
        <f>((0.08/100)*1000000000)/E11</f>
        <v>7612.5225996764675</v>
      </c>
      <c r="LD13" s="10" t="s">
        <v>56</v>
      </c>
      <c r="LE13" s="10" t="s">
        <v>55</v>
      </c>
      <c r="LF13" s="10" t="s">
        <v>56</v>
      </c>
      <c r="LG13" s="10" t="s">
        <v>55</v>
      </c>
      <c r="LH13" s="10" t="s">
        <v>56</v>
      </c>
      <c r="LI13" s="10" t="s">
        <v>55</v>
      </c>
      <c r="LJ13" s="10">
        <f>((4.87/100)*1000000000)/E13</f>
        <v>463412.31325530494</v>
      </c>
      <c r="LK13" s="10" t="s">
        <v>162</v>
      </c>
      <c r="LL13" s="10">
        <f>(24*1000000)/E13</f>
        <v>228375.67799029403</v>
      </c>
      <c r="LM13" s="10">
        <f>(0.1*1000000)/E13</f>
        <v>951.56532495955844</v>
      </c>
      <c r="LN13" s="10">
        <f>((0.67/100)*1000000000)/E13</f>
        <v>63754.876772290416</v>
      </c>
      <c r="LO13" s="10" t="s">
        <v>162</v>
      </c>
      <c r="LP13" s="10">
        <f>((3.14/100)*1000000000)/E13</f>
        <v>298791.51203730138</v>
      </c>
      <c r="LQ13" s="10" t="s">
        <v>55</v>
      </c>
      <c r="LR13" s="10">
        <f>((4.24/100)*1000000000)/E13</f>
        <v>403463.6977828528</v>
      </c>
      <c r="LS13" s="10" t="s">
        <v>55</v>
      </c>
      <c r="LT13" s="10">
        <f>((5.79/100)*1000000000)/E13</f>
        <v>550956.32315158437</v>
      </c>
      <c r="LU13" s="10" t="s">
        <v>55</v>
      </c>
      <c r="LV13" s="10">
        <f>((110/100)*1000000)/E13</f>
        <v>10467.218574555143</v>
      </c>
      <c r="LW13" s="10" t="s">
        <v>55</v>
      </c>
      <c r="LX13" s="10">
        <f>((110/100)*1000000)/E13</f>
        <v>10467.218574555143</v>
      </c>
      <c r="LY13" s="10" t="s">
        <v>55</v>
      </c>
      <c r="LZ13" s="10">
        <f>((108/100)*1000000)/E13</f>
        <v>10276.905509563232</v>
      </c>
      <c r="MA13" s="10" t="s">
        <v>55</v>
      </c>
      <c r="MB13" s="10">
        <f>((103/100)*1000000)/E13</f>
        <v>9801.1228470834521</v>
      </c>
      <c r="MC13" s="10" t="s">
        <v>55</v>
      </c>
      <c r="MD13" s="4">
        <v>5731</v>
      </c>
      <c r="ME13" s="4" t="s">
        <v>55</v>
      </c>
      <c r="MF13" s="4">
        <v>4715</v>
      </c>
      <c r="MG13" s="4" t="s">
        <v>55</v>
      </c>
      <c r="MH13" s="4">
        <v>5767</v>
      </c>
      <c r="MI13" s="4" t="s">
        <v>55</v>
      </c>
      <c r="MJ13" s="4">
        <v>4533</v>
      </c>
      <c r="MK13" s="4" t="s">
        <v>55</v>
      </c>
      <c r="ML13" s="4">
        <v>5628</v>
      </c>
      <c r="MM13" s="4" t="s">
        <v>55</v>
      </c>
      <c r="MN13" s="4">
        <v>5096</v>
      </c>
      <c r="MO13" s="4" t="s">
        <v>55</v>
      </c>
      <c r="MP13" s="4">
        <v>5582</v>
      </c>
      <c r="MQ13" s="4" t="s">
        <v>55</v>
      </c>
      <c r="MR13" s="4">
        <v>6145</v>
      </c>
      <c r="MS13" s="4" t="s">
        <v>55</v>
      </c>
      <c r="MT13" s="4">
        <v>7023</v>
      </c>
      <c r="MU13" s="4" t="s">
        <v>55</v>
      </c>
      <c r="MV13" s="4">
        <v>5516</v>
      </c>
      <c r="MW13" s="4" t="s">
        <v>55</v>
      </c>
      <c r="MX13" s="4">
        <v>5349</v>
      </c>
      <c r="MY13" s="4" t="s">
        <v>55</v>
      </c>
      <c r="MZ13" s="4">
        <v>5704</v>
      </c>
      <c r="NA13" s="4" t="s">
        <v>55</v>
      </c>
      <c r="NB13" s="10">
        <f>(0.256*1000000)/E13</f>
        <v>2436.0072318964694</v>
      </c>
      <c r="NC13" s="10" t="s">
        <v>55</v>
      </c>
      <c r="ND13" s="10">
        <f>(0.366*1000000)/E13</f>
        <v>3482.7290893519839</v>
      </c>
      <c r="NE13" s="10" t="s">
        <v>55</v>
      </c>
      <c r="NF13" s="10">
        <f>(0.541*1000000)/E13</f>
        <v>5147.9684080312109</v>
      </c>
      <c r="NG13" s="10" t="s">
        <v>55</v>
      </c>
      <c r="NH13" s="10">
        <f>(0.459*1000000)/E13</f>
        <v>4367.6848415643735</v>
      </c>
      <c r="NI13" s="10" t="s">
        <v>55</v>
      </c>
      <c r="NJ13" s="10">
        <f>(3.41*1000000)/E13</f>
        <v>32448.377581120942</v>
      </c>
      <c r="NK13" s="10" t="s">
        <v>55</v>
      </c>
      <c r="NL13" s="10">
        <f>(0.124*1000000)/E13</f>
        <v>1179.9410029498524</v>
      </c>
      <c r="NM13" s="4" t="s">
        <v>55</v>
      </c>
      <c r="NN13" s="4">
        <f>((3.06/100)*1000000)/E13</f>
        <v>291.17898943762492</v>
      </c>
      <c r="NO13" s="4" t="s">
        <v>55</v>
      </c>
      <c r="NP13" s="4">
        <f>(42.6*1000000)/E13</f>
        <v>405366.8284327719</v>
      </c>
      <c r="NQ13" s="4">
        <f>(0.88*1000000)/E13</f>
        <v>8373.7748596441143</v>
      </c>
      <c r="NR13" s="10" t="s">
        <v>56</v>
      </c>
      <c r="NS13" s="10" t="s">
        <v>162</v>
      </c>
      <c r="NT13" s="10" t="s">
        <v>56</v>
      </c>
      <c r="NU13" s="10" t="s">
        <v>162</v>
      </c>
    </row>
    <row r="14" spans="1:385" x14ac:dyDescent="0.2">
      <c r="A14" t="s">
        <v>5</v>
      </c>
      <c r="B14" s="1" t="s">
        <v>1037</v>
      </c>
      <c r="C14" s="1" t="s">
        <v>858</v>
      </c>
      <c r="D14" s="39" cm="1">
        <f t="array" ref="D14">SUMPRODUCT((ISNUMBER(F14:NU14))*(MOD(COLUMN(F14:NU14),2)=0))</f>
        <v>0</v>
      </c>
      <c r="E14" s="1">
        <v>121.16</v>
      </c>
      <c r="F14" s="1" t="s">
        <v>56</v>
      </c>
      <c r="G14" s="1" t="s">
        <v>55</v>
      </c>
      <c r="H14" s="1" t="s">
        <v>56</v>
      </c>
      <c r="I14" s="1" t="s">
        <v>55</v>
      </c>
      <c r="J14" s="1" t="s">
        <v>56</v>
      </c>
      <c r="K14" s="1" t="s">
        <v>55</v>
      </c>
      <c r="L14" s="1" t="s">
        <v>56</v>
      </c>
      <c r="M14" s="1" t="s">
        <v>55</v>
      </c>
      <c r="N14" s="1" t="s">
        <v>56</v>
      </c>
      <c r="O14" s="1" t="s">
        <v>55</v>
      </c>
      <c r="P14" s="1" t="s">
        <v>56</v>
      </c>
      <c r="Q14" s="1" t="s">
        <v>55</v>
      </c>
      <c r="R14" s="1" t="s">
        <v>56</v>
      </c>
      <c r="S14" s="1" t="s">
        <v>55</v>
      </c>
      <c r="T14" s="1" t="s">
        <v>56</v>
      </c>
      <c r="U14" s="1" t="s">
        <v>55</v>
      </c>
      <c r="V14" s="1" t="s">
        <v>56</v>
      </c>
      <c r="W14" s="1" t="s">
        <v>55</v>
      </c>
      <c r="X14" s="1" t="s">
        <v>56</v>
      </c>
      <c r="Y14" s="1" t="s">
        <v>55</v>
      </c>
      <c r="Z14" s="9" t="s">
        <v>56</v>
      </c>
      <c r="AA14" s="9" t="s">
        <v>55</v>
      </c>
      <c r="AB14" s="1" t="s">
        <v>56</v>
      </c>
      <c r="AC14" s="1" t="s">
        <v>55</v>
      </c>
      <c r="AD14" s="1" t="s">
        <v>56</v>
      </c>
      <c r="AE14" s="1" t="s">
        <v>55</v>
      </c>
      <c r="AF14" s="11" t="s">
        <v>56</v>
      </c>
      <c r="AG14" s="11" t="s">
        <v>55</v>
      </c>
      <c r="AH14" s="11" t="s">
        <v>56</v>
      </c>
      <c r="AI14" s="11" t="s">
        <v>55</v>
      </c>
      <c r="AJ14" s="11" t="s">
        <v>56</v>
      </c>
      <c r="AK14" s="11" t="s">
        <v>55</v>
      </c>
      <c r="AL14" s="1" t="s">
        <v>56</v>
      </c>
      <c r="AM14" s="1" t="s">
        <v>55</v>
      </c>
      <c r="AN14" s="11" t="s">
        <v>56</v>
      </c>
      <c r="AO14" s="11" t="s">
        <v>55</v>
      </c>
      <c r="AP14" s="11" t="s">
        <v>56</v>
      </c>
      <c r="AQ14" s="11" t="s">
        <v>55</v>
      </c>
      <c r="AR14" s="10" t="s">
        <v>56</v>
      </c>
      <c r="AS14" s="10" t="s">
        <v>55</v>
      </c>
      <c r="AT14" s="11" t="s">
        <v>56</v>
      </c>
      <c r="AU14" s="11" t="s">
        <v>55</v>
      </c>
      <c r="AV14" s="11" t="s">
        <v>56</v>
      </c>
      <c r="AW14" s="11" t="s">
        <v>55</v>
      </c>
      <c r="AX14" s="11" t="s">
        <v>56</v>
      </c>
      <c r="AY14" s="11" t="s">
        <v>55</v>
      </c>
      <c r="AZ14" s="1" t="s">
        <v>56</v>
      </c>
      <c r="BA14" s="1" t="s">
        <v>55</v>
      </c>
      <c r="BB14" s="1" t="s">
        <v>56</v>
      </c>
      <c r="BC14" s="1" t="s">
        <v>55</v>
      </c>
      <c r="BD14" s="1" t="s">
        <v>56</v>
      </c>
      <c r="BE14" s="1" t="s">
        <v>55</v>
      </c>
      <c r="BF14" s="1" t="s">
        <v>56</v>
      </c>
      <c r="BG14" s="1" t="s">
        <v>55</v>
      </c>
      <c r="BH14" s="1" t="s">
        <v>56</v>
      </c>
      <c r="BI14" s="1" t="s">
        <v>55</v>
      </c>
      <c r="BJ14" s="1" t="s">
        <v>56</v>
      </c>
      <c r="BK14" s="1" t="s">
        <v>55</v>
      </c>
      <c r="BL14" s="1" t="s">
        <v>56</v>
      </c>
      <c r="BM14" s="1" t="s">
        <v>55</v>
      </c>
      <c r="BN14" s="1" t="s">
        <v>56</v>
      </c>
      <c r="BO14" s="1" t="s">
        <v>55</v>
      </c>
      <c r="BP14" s="1" t="s">
        <v>56</v>
      </c>
      <c r="BQ14" s="1" t="s">
        <v>55</v>
      </c>
      <c r="BR14" s="11" t="s">
        <v>56</v>
      </c>
      <c r="BS14" s="11" t="s">
        <v>162</v>
      </c>
      <c r="BT14" s="4" t="s">
        <v>56</v>
      </c>
      <c r="BU14" s="4" t="s">
        <v>55</v>
      </c>
      <c r="BV14" s="4" t="s">
        <v>56</v>
      </c>
      <c r="BW14" s="4" t="s">
        <v>55</v>
      </c>
      <c r="BX14" s="4" t="s">
        <v>56</v>
      </c>
      <c r="BY14" s="4" t="s">
        <v>55</v>
      </c>
      <c r="BZ14" s="10" t="s">
        <v>56</v>
      </c>
      <c r="CA14" s="10" t="s">
        <v>55</v>
      </c>
      <c r="CB14" s="10" t="s">
        <v>56</v>
      </c>
      <c r="CC14" s="10" t="s">
        <v>55</v>
      </c>
      <c r="CD14" s="10" t="s">
        <v>56</v>
      </c>
      <c r="CE14" s="10" t="s">
        <v>55</v>
      </c>
      <c r="CF14" s="10" t="s">
        <v>56</v>
      </c>
      <c r="CG14" s="10" t="s">
        <v>55</v>
      </c>
      <c r="CH14" s="10" t="s">
        <v>56</v>
      </c>
      <c r="CI14" s="10" t="s">
        <v>55</v>
      </c>
      <c r="CJ14" s="10" t="s">
        <v>56</v>
      </c>
      <c r="CK14" s="10" t="s">
        <v>55</v>
      </c>
      <c r="CL14" s="10" t="s">
        <v>56</v>
      </c>
      <c r="CM14" s="10" t="s">
        <v>55</v>
      </c>
      <c r="CN14" s="10" t="s">
        <v>56</v>
      </c>
      <c r="CO14" s="10" t="s">
        <v>55</v>
      </c>
      <c r="CP14" s="10" t="s">
        <v>56</v>
      </c>
      <c r="CQ14" s="10" t="s">
        <v>55</v>
      </c>
      <c r="CR14" s="10" t="s">
        <v>56</v>
      </c>
      <c r="CS14" s="10" t="s">
        <v>55</v>
      </c>
      <c r="CT14" s="10" t="s">
        <v>56</v>
      </c>
      <c r="CU14" s="10" t="s">
        <v>55</v>
      </c>
      <c r="CV14" s="10" t="s">
        <v>56</v>
      </c>
      <c r="CW14" s="10" t="s">
        <v>55</v>
      </c>
      <c r="CX14" s="10" t="s">
        <v>56</v>
      </c>
      <c r="CY14" s="10" t="s">
        <v>55</v>
      </c>
      <c r="CZ14" s="10" t="s">
        <v>56</v>
      </c>
      <c r="DA14" s="10" t="s">
        <v>55</v>
      </c>
      <c r="DB14" s="10" t="s">
        <v>56</v>
      </c>
      <c r="DC14" s="10" t="s">
        <v>55</v>
      </c>
      <c r="DD14" s="10" t="s">
        <v>56</v>
      </c>
      <c r="DE14" s="10" t="s">
        <v>55</v>
      </c>
      <c r="DF14" s="10" t="s">
        <v>56</v>
      </c>
      <c r="DG14" s="10" t="s">
        <v>55</v>
      </c>
      <c r="DH14" s="10" t="s">
        <v>56</v>
      </c>
      <c r="DI14" s="10" t="s">
        <v>55</v>
      </c>
      <c r="DJ14" s="10" t="s">
        <v>56</v>
      </c>
      <c r="DK14" s="10" t="s">
        <v>55</v>
      </c>
      <c r="DL14" s="10" t="s">
        <v>56</v>
      </c>
      <c r="DM14" s="10" t="s">
        <v>55</v>
      </c>
      <c r="DN14" s="10" t="s">
        <v>56</v>
      </c>
      <c r="DO14" s="10" t="s">
        <v>55</v>
      </c>
      <c r="DP14" s="10" t="s">
        <v>56</v>
      </c>
      <c r="DQ14" s="10" t="s">
        <v>55</v>
      </c>
      <c r="DR14" s="10" t="s">
        <v>56</v>
      </c>
      <c r="DS14" s="10" t="s">
        <v>55</v>
      </c>
      <c r="DT14" s="10" t="s">
        <v>56</v>
      </c>
      <c r="DU14" s="10" t="s">
        <v>55</v>
      </c>
      <c r="DV14" s="10" t="s">
        <v>56</v>
      </c>
      <c r="DW14" s="10" t="s">
        <v>55</v>
      </c>
      <c r="DX14" s="10" t="s">
        <v>56</v>
      </c>
      <c r="DY14" s="10" t="s">
        <v>55</v>
      </c>
      <c r="DZ14" s="10" t="s">
        <v>56</v>
      </c>
      <c r="EA14" s="10" t="s">
        <v>55</v>
      </c>
      <c r="EB14" s="10" t="s">
        <v>56</v>
      </c>
      <c r="EC14" s="10" t="s">
        <v>55</v>
      </c>
      <c r="ED14" s="10" t="s">
        <v>56</v>
      </c>
      <c r="EE14" s="10" t="s">
        <v>55</v>
      </c>
      <c r="EF14" s="10" t="s">
        <v>56</v>
      </c>
      <c r="EG14" s="10" t="s">
        <v>55</v>
      </c>
      <c r="EH14" s="10" t="s">
        <v>56</v>
      </c>
      <c r="EI14" s="10" t="s">
        <v>55</v>
      </c>
      <c r="EJ14" s="10" t="s">
        <v>56</v>
      </c>
      <c r="EK14" s="10" t="s">
        <v>55</v>
      </c>
      <c r="EL14" s="10" t="s">
        <v>56</v>
      </c>
      <c r="EM14" s="10" t="s">
        <v>55</v>
      </c>
      <c r="EN14" s="10" t="s">
        <v>56</v>
      </c>
      <c r="EO14" s="10" t="s">
        <v>55</v>
      </c>
      <c r="EP14" s="10" t="s">
        <v>56</v>
      </c>
      <c r="EQ14" s="10" t="s">
        <v>55</v>
      </c>
      <c r="ER14" s="10" t="s">
        <v>56</v>
      </c>
      <c r="ES14" s="10" t="s">
        <v>55</v>
      </c>
      <c r="ET14" s="10" t="s">
        <v>56</v>
      </c>
      <c r="EU14" s="10" t="s">
        <v>55</v>
      </c>
      <c r="EV14" s="10" t="s">
        <v>56</v>
      </c>
      <c r="EW14" s="10" t="s">
        <v>55</v>
      </c>
      <c r="EX14" s="10" t="s">
        <v>56</v>
      </c>
      <c r="EY14" s="10" t="s">
        <v>55</v>
      </c>
      <c r="EZ14" s="10" t="s">
        <v>56</v>
      </c>
      <c r="FA14" s="10" t="s">
        <v>55</v>
      </c>
      <c r="FB14" s="10" t="s">
        <v>56</v>
      </c>
      <c r="FC14" s="10" t="s">
        <v>55</v>
      </c>
      <c r="FD14" s="10" t="s">
        <v>56</v>
      </c>
      <c r="FE14" s="10" t="s">
        <v>55</v>
      </c>
      <c r="FF14" s="10" t="s">
        <v>56</v>
      </c>
      <c r="FG14" s="10" t="s">
        <v>55</v>
      </c>
      <c r="FH14" s="10" t="s">
        <v>56</v>
      </c>
      <c r="FI14" s="10" t="s">
        <v>55</v>
      </c>
      <c r="FJ14" s="10" t="s">
        <v>56</v>
      </c>
      <c r="FK14" s="10" t="s">
        <v>55</v>
      </c>
      <c r="FL14" s="10" t="s">
        <v>56</v>
      </c>
      <c r="FM14" s="10" t="s">
        <v>55</v>
      </c>
      <c r="FN14" s="10" t="s">
        <v>56</v>
      </c>
      <c r="FO14" s="10" t="s">
        <v>55</v>
      </c>
      <c r="FP14" s="10" t="s">
        <v>56</v>
      </c>
      <c r="FQ14" s="10" t="s">
        <v>55</v>
      </c>
      <c r="FR14" s="10" t="s">
        <v>56</v>
      </c>
      <c r="FS14" s="10" t="s">
        <v>55</v>
      </c>
      <c r="FT14" s="10" t="s">
        <v>56</v>
      </c>
      <c r="FU14" s="10" t="s">
        <v>55</v>
      </c>
      <c r="FV14" s="10" t="s">
        <v>56</v>
      </c>
      <c r="FW14" s="10" t="s">
        <v>55</v>
      </c>
      <c r="FX14" s="10" t="s">
        <v>56</v>
      </c>
      <c r="FY14" s="10" t="s">
        <v>55</v>
      </c>
      <c r="FZ14" s="10" t="s">
        <v>56</v>
      </c>
      <c r="GA14" s="10" t="s">
        <v>55</v>
      </c>
      <c r="GB14" s="10" t="s">
        <v>56</v>
      </c>
      <c r="GC14" s="10" t="s">
        <v>55</v>
      </c>
      <c r="GD14" s="10" t="s">
        <v>56</v>
      </c>
      <c r="GE14" s="10" t="s">
        <v>55</v>
      </c>
      <c r="GF14" s="10" t="s">
        <v>56</v>
      </c>
      <c r="GG14" s="10" t="s">
        <v>55</v>
      </c>
      <c r="GH14" s="10" t="s">
        <v>56</v>
      </c>
      <c r="GI14" s="10" t="s">
        <v>55</v>
      </c>
      <c r="GJ14" s="10" t="s">
        <v>56</v>
      </c>
      <c r="GK14" s="10" t="s">
        <v>55</v>
      </c>
      <c r="GL14" s="10" t="s">
        <v>56</v>
      </c>
      <c r="GM14" s="10" t="s">
        <v>55</v>
      </c>
      <c r="GN14" s="10" t="s">
        <v>56</v>
      </c>
      <c r="GO14" s="10" t="s">
        <v>55</v>
      </c>
      <c r="GP14" s="10" t="s">
        <v>56</v>
      </c>
      <c r="GQ14" s="10" t="s">
        <v>55</v>
      </c>
      <c r="GR14" s="10" t="s">
        <v>56</v>
      </c>
      <c r="GS14" s="10" t="s">
        <v>55</v>
      </c>
      <c r="GT14" s="10" t="s">
        <v>56</v>
      </c>
      <c r="GU14" s="10" t="s">
        <v>55</v>
      </c>
      <c r="GV14" s="17" t="s">
        <v>56</v>
      </c>
      <c r="GW14" s="17" t="s">
        <v>55</v>
      </c>
      <c r="GX14" s="10" t="s">
        <v>56</v>
      </c>
      <c r="GY14" s="10" t="s">
        <v>55</v>
      </c>
      <c r="GZ14" s="10" t="s">
        <v>56</v>
      </c>
      <c r="HA14" s="10" t="s">
        <v>55</v>
      </c>
      <c r="HB14" s="10" t="s">
        <v>56</v>
      </c>
      <c r="HC14" s="10" t="s">
        <v>55</v>
      </c>
      <c r="HD14" s="10" t="s">
        <v>56</v>
      </c>
      <c r="HE14" s="10" t="s">
        <v>55</v>
      </c>
      <c r="HF14" s="10" t="s">
        <v>56</v>
      </c>
      <c r="HG14" s="10" t="s">
        <v>55</v>
      </c>
      <c r="HH14" s="10" t="s">
        <v>56</v>
      </c>
      <c r="HI14" s="10" t="s">
        <v>55</v>
      </c>
      <c r="HJ14" s="10" t="s">
        <v>56</v>
      </c>
      <c r="HK14" s="10" t="s">
        <v>55</v>
      </c>
      <c r="HL14" s="10" t="s">
        <v>56</v>
      </c>
      <c r="HM14" s="10" t="s">
        <v>55</v>
      </c>
      <c r="HN14" s="10" t="s">
        <v>56</v>
      </c>
      <c r="HO14" s="10" t="s">
        <v>55</v>
      </c>
      <c r="HP14" s="10" t="s">
        <v>56</v>
      </c>
      <c r="HQ14" s="10" t="s">
        <v>55</v>
      </c>
      <c r="HR14" s="10" t="s">
        <v>56</v>
      </c>
      <c r="HS14" s="10" t="s">
        <v>55</v>
      </c>
      <c r="HT14" s="10" t="s">
        <v>56</v>
      </c>
      <c r="HU14" s="10" t="s">
        <v>55</v>
      </c>
      <c r="HV14" s="10" t="s">
        <v>56</v>
      </c>
      <c r="HW14" s="10" t="s">
        <v>55</v>
      </c>
      <c r="HX14" s="10" t="s">
        <v>56</v>
      </c>
      <c r="HY14" s="10" t="s">
        <v>55</v>
      </c>
      <c r="HZ14" s="10" t="s">
        <v>56</v>
      </c>
      <c r="IA14" s="10" t="s">
        <v>55</v>
      </c>
      <c r="IB14" s="10" t="s">
        <v>56</v>
      </c>
      <c r="IC14" s="10" t="s">
        <v>55</v>
      </c>
      <c r="ID14" s="1" t="s">
        <v>56</v>
      </c>
      <c r="IE14" s="1" t="s">
        <v>55</v>
      </c>
      <c r="IF14" s="4" t="s">
        <v>56</v>
      </c>
      <c r="IG14" s="4" t="s">
        <v>55</v>
      </c>
      <c r="IH14" s="4" t="s">
        <v>56</v>
      </c>
      <c r="II14" s="4" t="s">
        <v>55</v>
      </c>
      <c r="IJ14" s="4" t="s">
        <v>56</v>
      </c>
      <c r="IK14" s="4" t="s">
        <v>55</v>
      </c>
      <c r="IL14" s="4" t="s">
        <v>56</v>
      </c>
      <c r="IM14" s="4" t="s">
        <v>55</v>
      </c>
      <c r="IN14" s="4" t="s">
        <v>56</v>
      </c>
      <c r="IO14" s="4" t="s">
        <v>55</v>
      </c>
      <c r="IP14" s="4" t="s">
        <v>56</v>
      </c>
      <c r="IQ14" s="4" t="s">
        <v>55</v>
      </c>
      <c r="IR14" s="4" t="s">
        <v>56</v>
      </c>
      <c r="IS14" s="4" t="s">
        <v>55</v>
      </c>
      <c r="IT14" s="1" t="s">
        <v>56</v>
      </c>
      <c r="IU14" s="1" t="s">
        <v>55</v>
      </c>
      <c r="IV14" s="4" t="s">
        <v>556</v>
      </c>
      <c r="IW14" s="4" t="s">
        <v>55</v>
      </c>
      <c r="IX14" s="4" t="s">
        <v>56</v>
      </c>
      <c r="IY14" s="4" t="s">
        <v>55</v>
      </c>
      <c r="IZ14" s="4" t="s">
        <v>56</v>
      </c>
      <c r="JA14" s="4" t="s">
        <v>55</v>
      </c>
      <c r="JB14" s="4" t="s">
        <v>56</v>
      </c>
      <c r="JC14" s="4" t="s">
        <v>55</v>
      </c>
      <c r="JD14" s="4" t="s">
        <v>56</v>
      </c>
      <c r="JE14" s="4" t="s">
        <v>55</v>
      </c>
      <c r="JF14" s="4" t="s">
        <v>56</v>
      </c>
      <c r="JG14" s="4" t="s">
        <v>55</v>
      </c>
      <c r="JH14" s="4" t="s">
        <v>56</v>
      </c>
      <c r="JI14" s="4" t="s">
        <v>55</v>
      </c>
      <c r="JJ14" s="4" t="s">
        <v>56</v>
      </c>
      <c r="JK14" s="4" t="s">
        <v>55</v>
      </c>
      <c r="JL14" s="4" t="s">
        <v>56</v>
      </c>
      <c r="JM14" s="4" t="s">
        <v>55</v>
      </c>
      <c r="JN14" s="4" t="s">
        <v>56</v>
      </c>
      <c r="JO14" s="4" t="s">
        <v>55</v>
      </c>
      <c r="JP14" s="4" t="s">
        <v>56</v>
      </c>
      <c r="JQ14" s="4" t="s">
        <v>55</v>
      </c>
      <c r="JR14" s="4" t="s">
        <v>56</v>
      </c>
      <c r="JS14" s="4" t="s">
        <v>55</v>
      </c>
      <c r="JT14" s="4" t="s">
        <v>56</v>
      </c>
      <c r="JU14" s="4" t="s">
        <v>55</v>
      </c>
      <c r="JV14" s="4" t="s">
        <v>56</v>
      </c>
      <c r="JW14" s="4" t="s">
        <v>55</v>
      </c>
      <c r="JX14" s="26" t="s">
        <v>61</v>
      </c>
      <c r="JY14" s="26" t="s">
        <v>61</v>
      </c>
      <c r="JZ14" s="26" t="s">
        <v>61</v>
      </c>
      <c r="KA14" s="26" t="s">
        <v>61</v>
      </c>
      <c r="KB14" s="26" t="s">
        <v>61</v>
      </c>
      <c r="KC14" s="26" t="s">
        <v>61</v>
      </c>
      <c r="KD14" s="26" t="s">
        <v>61</v>
      </c>
      <c r="KE14" s="26" t="s">
        <v>61</v>
      </c>
      <c r="KF14" s="26" t="s">
        <v>61</v>
      </c>
      <c r="KG14" s="26" t="s">
        <v>61</v>
      </c>
      <c r="KH14" s="10" t="s">
        <v>56</v>
      </c>
      <c r="KI14" s="4" t="s">
        <v>55</v>
      </c>
      <c r="KJ14" s="10" t="s">
        <v>56</v>
      </c>
      <c r="KK14" s="4" t="s">
        <v>55</v>
      </c>
      <c r="KL14" s="10" t="s">
        <v>56</v>
      </c>
      <c r="KM14" s="4" t="s">
        <v>55</v>
      </c>
      <c r="KN14" s="10" t="s">
        <v>56</v>
      </c>
      <c r="KO14" s="4" t="s">
        <v>55</v>
      </c>
      <c r="KP14" s="10" t="s">
        <v>56</v>
      </c>
      <c r="KQ14" s="4" t="s">
        <v>55</v>
      </c>
      <c r="KR14" s="4" t="s">
        <v>56</v>
      </c>
      <c r="KS14" s="4" t="s">
        <v>55</v>
      </c>
      <c r="KT14" s="4" t="s">
        <v>56</v>
      </c>
      <c r="KU14" s="4" t="s">
        <v>55</v>
      </c>
      <c r="KV14" s="4" t="s">
        <v>57</v>
      </c>
      <c r="KW14" s="4" t="s">
        <v>55</v>
      </c>
      <c r="KX14" s="4" t="s">
        <v>57</v>
      </c>
      <c r="KY14" s="4" t="s">
        <v>55</v>
      </c>
      <c r="KZ14" s="4" t="s">
        <v>57</v>
      </c>
      <c r="LA14" s="4" t="s">
        <v>55</v>
      </c>
      <c r="LB14" s="10" t="s">
        <v>56</v>
      </c>
      <c r="LC14" s="4" t="s">
        <v>55</v>
      </c>
      <c r="LD14" s="10" t="s">
        <v>56</v>
      </c>
      <c r="LE14" s="10" t="s">
        <v>55</v>
      </c>
      <c r="LF14" s="10" t="s">
        <v>56</v>
      </c>
      <c r="LG14" s="10" t="s">
        <v>55</v>
      </c>
      <c r="LH14" s="10" t="s">
        <v>56</v>
      </c>
      <c r="LI14" s="10" t="s">
        <v>55</v>
      </c>
      <c r="LJ14" s="10" t="s">
        <v>56</v>
      </c>
      <c r="LK14" s="4" t="s">
        <v>55</v>
      </c>
      <c r="LL14" s="10" t="s">
        <v>56</v>
      </c>
      <c r="LM14" s="10" t="s">
        <v>162</v>
      </c>
      <c r="LN14" s="10" t="s">
        <v>56</v>
      </c>
      <c r="LO14" s="10" t="s">
        <v>162</v>
      </c>
      <c r="LP14" s="10" t="s">
        <v>56</v>
      </c>
      <c r="LQ14" s="4" t="s">
        <v>55</v>
      </c>
      <c r="LR14" s="10" t="s">
        <v>56</v>
      </c>
      <c r="LS14" s="10" t="s">
        <v>162</v>
      </c>
      <c r="LT14" s="10" t="s">
        <v>56</v>
      </c>
      <c r="LU14" s="10" t="s">
        <v>162</v>
      </c>
      <c r="LV14" s="10" t="s">
        <v>56</v>
      </c>
      <c r="LW14" s="4" t="s">
        <v>55</v>
      </c>
      <c r="LX14" s="10" t="s">
        <v>56</v>
      </c>
      <c r="LY14" s="4" t="s">
        <v>55</v>
      </c>
      <c r="LZ14" s="10" t="s">
        <v>56</v>
      </c>
      <c r="MA14" s="4" t="s">
        <v>55</v>
      </c>
      <c r="MB14" s="10" t="s">
        <v>56</v>
      </c>
      <c r="MC14" s="4" t="s">
        <v>55</v>
      </c>
      <c r="MD14" s="10" t="s">
        <v>56</v>
      </c>
      <c r="ME14" s="4" t="s">
        <v>55</v>
      </c>
      <c r="MF14" s="10" t="s">
        <v>56</v>
      </c>
      <c r="MG14" s="4" t="s">
        <v>55</v>
      </c>
      <c r="MH14" s="10" t="s">
        <v>56</v>
      </c>
      <c r="MI14" s="4" t="s">
        <v>55</v>
      </c>
      <c r="MJ14" s="10" t="s">
        <v>56</v>
      </c>
      <c r="MK14" s="4" t="s">
        <v>55</v>
      </c>
      <c r="ML14" s="10" t="s">
        <v>56</v>
      </c>
      <c r="MM14" s="4" t="s">
        <v>55</v>
      </c>
      <c r="MN14" s="10" t="s">
        <v>56</v>
      </c>
      <c r="MO14" s="4" t="s">
        <v>55</v>
      </c>
      <c r="MP14" s="10" t="s">
        <v>56</v>
      </c>
      <c r="MQ14" s="4" t="s">
        <v>55</v>
      </c>
      <c r="MR14" s="10" t="s">
        <v>56</v>
      </c>
      <c r="MS14" s="4" t="s">
        <v>55</v>
      </c>
      <c r="MT14" s="10" t="s">
        <v>56</v>
      </c>
      <c r="MU14" s="4" t="s">
        <v>55</v>
      </c>
      <c r="MV14" s="10" t="s">
        <v>56</v>
      </c>
      <c r="MW14" s="4" t="s">
        <v>55</v>
      </c>
      <c r="MX14" s="10" t="s">
        <v>56</v>
      </c>
      <c r="MY14" s="4" t="s">
        <v>55</v>
      </c>
      <c r="MZ14" s="10" t="s">
        <v>56</v>
      </c>
      <c r="NA14" s="4" t="s">
        <v>55</v>
      </c>
      <c r="NB14" s="10" t="s">
        <v>56</v>
      </c>
      <c r="NC14" s="10" t="s">
        <v>55</v>
      </c>
      <c r="ND14" s="10" t="s">
        <v>56</v>
      </c>
      <c r="NE14" s="10" t="s">
        <v>55</v>
      </c>
      <c r="NF14" s="10" t="s">
        <v>56</v>
      </c>
      <c r="NG14" s="10" t="s">
        <v>55</v>
      </c>
      <c r="NH14" s="10" t="s">
        <v>56</v>
      </c>
      <c r="NI14" s="10" t="s">
        <v>55</v>
      </c>
      <c r="NJ14" s="10" t="s">
        <v>56</v>
      </c>
      <c r="NK14" s="10" t="s">
        <v>55</v>
      </c>
      <c r="NL14" s="10" t="s">
        <v>56</v>
      </c>
      <c r="NM14" s="4" t="s">
        <v>55</v>
      </c>
      <c r="NN14" s="10" t="s">
        <v>56</v>
      </c>
      <c r="NO14" s="4" t="s">
        <v>55</v>
      </c>
      <c r="NP14" s="10" t="s">
        <v>56</v>
      </c>
      <c r="NQ14" s="4" t="s">
        <v>55</v>
      </c>
      <c r="NR14" s="10" t="s">
        <v>56</v>
      </c>
      <c r="NS14" s="10" t="s">
        <v>55</v>
      </c>
      <c r="NT14" s="10" t="s">
        <v>56</v>
      </c>
      <c r="NU14" s="10" t="s">
        <v>55</v>
      </c>
    </row>
    <row r="15" spans="1:385" x14ac:dyDescent="0.2">
      <c r="A15" t="s">
        <v>6</v>
      </c>
      <c r="B15" s="1" t="s">
        <v>1037</v>
      </c>
      <c r="C15" s="1" t="s">
        <v>859</v>
      </c>
      <c r="D15" s="39" cm="1">
        <f t="array" ref="D15">SUMPRODUCT((ISNUMBER(F15:NU15))*(MOD(COLUMN(F15:NU15),2)=0))</f>
        <v>8</v>
      </c>
      <c r="E15" s="1">
        <v>121.16</v>
      </c>
      <c r="F15" s="1" t="s">
        <v>56</v>
      </c>
      <c r="G15" s="1" t="s">
        <v>55</v>
      </c>
      <c r="H15" s="1" t="s">
        <v>56</v>
      </c>
      <c r="I15" s="1" t="s">
        <v>55</v>
      </c>
      <c r="J15" s="1" t="s">
        <v>56</v>
      </c>
      <c r="K15" s="1" t="s">
        <v>55</v>
      </c>
      <c r="L15" s="1" t="s">
        <v>56</v>
      </c>
      <c r="M15" s="1" t="s">
        <v>55</v>
      </c>
      <c r="N15" s="1" t="s">
        <v>56</v>
      </c>
      <c r="O15" s="1" t="s">
        <v>55</v>
      </c>
      <c r="P15" s="1" t="s">
        <v>56</v>
      </c>
      <c r="Q15" s="1" t="s">
        <v>55</v>
      </c>
      <c r="R15" s="1" t="s">
        <v>56</v>
      </c>
      <c r="S15" s="1" t="s">
        <v>55</v>
      </c>
      <c r="T15" s="1" t="s">
        <v>56</v>
      </c>
      <c r="U15" s="1" t="s">
        <v>55</v>
      </c>
      <c r="V15" s="1" t="s">
        <v>56</v>
      </c>
      <c r="W15" s="1" t="s">
        <v>55</v>
      </c>
      <c r="X15" s="1" t="s">
        <v>56</v>
      </c>
      <c r="Y15" s="1" t="s">
        <v>55</v>
      </c>
      <c r="Z15" s="9" t="s">
        <v>56</v>
      </c>
      <c r="AA15" s="9" t="s">
        <v>55</v>
      </c>
      <c r="AB15" s="1" t="s">
        <v>56</v>
      </c>
      <c r="AC15" s="1" t="s">
        <v>55</v>
      </c>
      <c r="AD15" s="1" t="s">
        <v>56</v>
      </c>
      <c r="AE15" s="1" t="s">
        <v>55</v>
      </c>
      <c r="AF15" s="11" t="s">
        <v>56</v>
      </c>
      <c r="AG15" s="11" t="s">
        <v>55</v>
      </c>
      <c r="AH15" s="11" t="s">
        <v>56</v>
      </c>
      <c r="AI15" s="11" t="s">
        <v>55</v>
      </c>
      <c r="AJ15" s="11" t="s">
        <v>56</v>
      </c>
      <c r="AK15" s="11" t="s">
        <v>55</v>
      </c>
      <c r="AL15" s="1" t="s">
        <v>56</v>
      </c>
      <c r="AM15" s="1" t="s">
        <v>55</v>
      </c>
      <c r="AN15" s="11" t="s">
        <v>56</v>
      </c>
      <c r="AO15" s="11" t="s">
        <v>55</v>
      </c>
      <c r="AP15" s="11" t="s">
        <v>56</v>
      </c>
      <c r="AQ15" s="11" t="s">
        <v>55</v>
      </c>
      <c r="AR15" s="10" t="s">
        <v>56</v>
      </c>
      <c r="AS15" s="10" t="s">
        <v>55</v>
      </c>
      <c r="AT15" s="11" t="s">
        <v>56</v>
      </c>
      <c r="AU15" s="11" t="s">
        <v>55</v>
      </c>
      <c r="AV15" s="11" t="s">
        <v>56</v>
      </c>
      <c r="AW15" s="11" t="s">
        <v>55</v>
      </c>
      <c r="AX15" s="11" t="s">
        <v>56</v>
      </c>
      <c r="AY15" s="11" t="s">
        <v>55</v>
      </c>
      <c r="AZ15" s="1" t="s">
        <v>56</v>
      </c>
      <c r="BA15" s="1" t="s">
        <v>55</v>
      </c>
      <c r="BB15" s="1" t="s">
        <v>56</v>
      </c>
      <c r="BC15" s="1" t="s">
        <v>55</v>
      </c>
      <c r="BD15" s="1" t="s">
        <v>56</v>
      </c>
      <c r="BE15" s="1" t="s">
        <v>55</v>
      </c>
      <c r="BF15" s="1" t="s">
        <v>56</v>
      </c>
      <c r="BG15" s="1" t="s">
        <v>55</v>
      </c>
      <c r="BH15" s="1" t="s">
        <v>56</v>
      </c>
      <c r="BI15" s="1" t="s">
        <v>55</v>
      </c>
      <c r="BJ15" s="1" t="s">
        <v>56</v>
      </c>
      <c r="BK15" s="1" t="s">
        <v>55</v>
      </c>
      <c r="BL15" s="1" t="s">
        <v>56</v>
      </c>
      <c r="BM15" s="1" t="s">
        <v>55</v>
      </c>
      <c r="BN15" s="1" t="s">
        <v>56</v>
      </c>
      <c r="BO15" s="1" t="s">
        <v>55</v>
      </c>
      <c r="BP15" s="1" t="s">
        <v>56</v>
      </c>
      <c r="BQ15" s="1" t="s">
        <v>55</v>
      </c>
      <c r="BR15" s="11" t="s">
        <v>56</v>
      </c>
      <c r="BS15" s="11" t="s">
        <v>162</v>
      </c>
      <c r="BT15" s="4" t="s">
        <v>56</v>
      </c>
      <c r="BU15" s="4" t="s">
        <v>55</v>
      </c>
      <c r="BV15" s="4" t="s">
        <v>56</v>
      </c>
      <c r="BW15" s="4" t="s">
        <v>55</v>
      </c>
      <c r="BX15" s="4" t="s">
        <v>56</v>
      </c>
      <c r="BY15" s="4" t="s">
        <v>55</v>
      </c>
      <c r="BZ15" s="10" t="s">
        <v>56</v>
      </c>
      <c r="CA15" s="10" t="s">
        <v>55</v>
      </c>
      <c r="CB15" s="10" t="s">
        <v>56</v>
      </c>
      <c r="CC15" s="10" t="s">
        <v>55</v>
      </c>
      <c r="CD15" s="10" t="s">
        <v>56</v>
      </c>
      <c r="CE15" s="10" t="s">
        <v>55</v>
      </c>
      <c r="CF15" s="10" t="s">
        <v>56</v>
      </c>
      <c r="CG15" s="10" t="s">
        <v>55</v>
      </c>
      <c r="CH15" s="10" t="s">
        <v>56</v>
      </c>
      <c r="CI15" s="10" t="s">
        <v>55</v>
      </c>
      <c r="CJ15" s="10" t="s">
        <v>56</v>
      </c>
      <c r="CK15" s="10" t="s">
        <v>55</v>
      </c>
      <c r="CL15" s="10" t="s">
        <v>56</v>
      </c>
      <c r="CM15" s="10" t="s">
        <v>55</v>
      </c>
      <c r="CN15" s="10" t="s">
        <v>56</v>
      </c>
      <c r="CO15" s="10" t="s">
        <v>55</v>
      </c>
      <c r="CP15" s="10" t="s">
        <v>56</v>
      </c>
      <c r="CQ15" s="10" t="s">
        <v>55</v>
      </c>
      <c r="CR15" s="10" t="s">
        <v>56</v>
      </c>
      <c r="CS15" s="10" t="s">
        <v>55</v>
      </c>
      <c r="CT15" s="10" t="s">
        <v>56</v>
      </c>
      <c r="CU15" s="10" t="s">
        <v>55</v>
      </c>
      <c r="CV15" s="10" t="s">
        <v>56</v>
      </c>
      <c r="CW15" s="10" t="s">
        <v>55</v>
      </c>
      <c r="CX15" s="10" t="s">
        <v>56</v>
      </c>
      <c r="CY15" s="10" t="s">
        <v>55</v>
      </c>
      <c r="CZ15" s="10" t="s">
        <v>56</v>
      </c>
      <c r="DA15" s="10" t="s">
        <v>55</v>
      </c>
      <c r="DB15" s="10" t="s">
        <v>56</v>
      </c>
      <c r="DC15" s="10" t="s">
        <v>55</v>
      </c>
      <c r="DD15" s="10" t="s">
        <v>56</v>
      </c>
      <c r="DE15" s="10" t="s">
        <v>55</v>
      </c>
      <c r="DF15" s="10" t="s">
        <v>56</v>
      </c>
      <c r="DG15" s="10" t="s">
        <v>55</v>
      </c>
      <c r="DH15" s="10" t="s">
        <v>56</v>
      </c>
      <c r="DI15" s="10" t="s">
        <v>55</v>
      </c>
      <c r="DJ15" s="10" t="s">
        <v>56</v>
      </c>
      <c r="DK15" s="10" t="s">
        <v>55</v>
      </c>
      <c r="DL15" s="10" t="s">
        <v>56</v>
      </c>
      <c r="DM15" s="10" t="s">
        <v>55</v>
      </c>
      <c r="DN15" s="10" t="s">
        <v>56</v>
      </c>
      <c r="DO15" s="10" t="s">
        <v>55</v>
      </c>
      <c r="DP15" s="10" t="s">
        <v>56</v>
      </c>
      <c r="DQ15" s="10" t="s">
        <v>55</v>
      </c>
      <c r="DR15" s="10" t="s">
        <v>56</v>
      </c>
      <c r="DS15" s="10" t="s">
        <v>55</v>
      </c>
      <c r="DT15" s="10" t="s">
        <v>56</v>
      </c>
      <c r="DU15" s="10" t="s">
        <v>55</v>
      </c>
      <c r="DV15" s="10" t="s">
        <v>56</v>
      </c>
      <c r="DW15" s="10" t="s">
        <v>55</v>
      </c>
      <c r="DX15" s="10" t="s">
        <v>56</v>
      </c>
      <c r="DY15" s="10" t="s">
        <v>55</v>
      </c>
      <c r="DZ15" s="10" t="s">
        <v>56</v>
      </c>
      <c r="EA15" s="10" t="s">
        <v>55</v>
      </c>
      <c r="EB15" s="10" t="s">
        <v>56</v>
      </c>
      <c r="EC15" s="10" t="s">
        <v>55</v>
      </c>
      <c r="ED15" s="10" t="s">
        <v>56</v>
      </c>
      <c r="EE15" s="10" t="s">
        <v>55</v>
      </c>
      <c r="EF15" s="10" t="s">
        <v>56</v>
      </c>
      <c r="EG15" s="10" t="s">
        <v>55</v>
      </c>
      <c r="EH15" s="10" t="s">
        <v>56</v>
      </c>
      <c r="EI15" s="10" t="s">
        <v>55</v>
      </c>
      <c r="EJ15" s="10" t="s">
        <v>56</v>
      </c>
      <c r="EK15" s="10" t="s">
        <v>55</v>
      </c>
      <c r="EL15" s="10" t="s">
        <v>56</v>
      </c>
      <c r="EM15" s="10" t="s">
        <v>55</v>
      </c>
      <c r="EN15" s="10" t="s">
        <v>56</v>
      </c>
      <c r="EO15" s="10" t="s">
        <v>55</v>
      </c>
      <c r="EP15" s="10" t="s">
        <v>56</v>
      </c>
      <c r="EQ15" s="10" t="s">
        <v>55</v>
      </c>
      <c r="ER15" s="10" t="s">
        <v>56</v>
      </c>
      <c r="ES15" s="10" t="s">
        <v>55</v>
      </c>
      <c r="ET15" s="10" t="s">
        <v>56</v>
      </c>
      <c r="EU15" s="10" t="s">
        <v>55</v>
      </c>
      <c r="EV15" s="10" t="s">
        <v>56</v>
      </c>
      <c r="EW15" s="10" t="s">
        <v>55</v>
      </c>
      <c r="EX15" s="10" t="s">
        <v>56</v>
      </c>
      <c r="EY15" s="10" t="s">
        <v>55</v>
      </c>
      <c r="EZ15" s="10" t="s">
        <v>56</v>
      </c>
      <c r="FA15" s="10" t="s">
        <v>55</v>
      </c>
      <c r="FB15" s="10" t="s">
        <v>56</v>
      </c>
      <c r="FC15" s="10" t="s">
        <v>55</v>
      </c>
      <c r="FD15" s="10" t="s">
        <v>56</v>
      </c>
      <c r="FE15" s="10" t="s">
        <v>55</v>
      </c>
      <c r="FF15" s="10" t="s">
        <v>56</v>
      </c>
      <c r="FG15" s="10" t="s">
        <v>55</v>
      </c>
      <c r="FH15" s="10" t="s">
        <v>56</v>
      </c>
      <c r="FI15" s="10" t="s">
        <v>55</v>
      </c>
      <c r="FJ15" s="10" t="s">
        <v>56</v>
      </c>
      <c r="FK15" s="10" t="s">
        <v>55</v>
      </c>
      <c r="FL15" s="10" t="s">
        <v>56</v>
      </c>
      <c r="FM15" s="10" t="s">
        <v>55</v>
      </c>
      <c r="FN15" s="10" t="s">
        <v>56</v>
      </c>
      <c r="FO15" s="10" t="s">
        <v>55</v>
      </c>
      <c r="FP15" s="10" t="s">
        <v>56</v>
      </c>
      <c r="FQ15" s="10" t="s">
        <v>55</v>
      </c>
      <c r="FR15" s="10" t="s">
        <v>56</v>
      </c>
      <c r="FS15" s="10" t="s">
        <v>55</v>
      </c>
      <c r="FT15" s="10" t="s">
        <v>56</v>
      </c>
      <c r="FU15" s="10" t="s">
        <v>55</v>
      </c>
      <c r="FV15" s="10" t="s">
        <v>56</v>
      </c>
      <c r="FW15" s="10" t="s">
        <v>55</v>
      </c>
      <c r="FX15" s="10" t="s">
        <v>56</v>
      </c>
      <c r="FY15" s="10" t="s">
        <v>55</v>
      </c>
      <c r="FZ15" s="10" t="s">
        <v>56</v>
      </c>
      <c r="GA15" s="10" t="s">
        <v>55</v>
      </c>
      <c r="GB15" s="10" t="s">
        <v>56</v>
      </c>
      <c r="GC15" s="10" t="s">
        <v>55</v>
      </c>
      <c r="GD15" s="10" t="s">
        <v>56</v>
      </c>
      <c r="GE15" s="10" t="s">
        <v>55</v>
      </c>
      <c r="GF15" s="10" t="s">
        <v>56</v>
      </c>
      <c r="GG15" s="10" t="s">
        <v>55</v>
      </c>
      <c r="GH15" s="10" t="s">
        <v>56</v>
      </c>
      <c r="GI15" s="10" t="s">
        <v>55</v>
      </c>
      <c r="GJ15" s="10" t="s">
        <v>56</v>
      </c>
      <c r="GK15" s="10" t="s">
        <v>55</v>
      </c>
      <c r="GL15" s="10" t="s">
        <v>56</v>
      </c>
      <c r="GM15" s="10" t="s">
        <v>55</v>
      </c>
      <c r="GN15" s="10" t="s">
        <v>56</v>
      </c>
      <c r="GO15" s="10" t="s">
        <v>55</v>
      </c>
      <c r="GP15" s="10" t="s">
        <v>56</v>
      </c>
      <c r="GQ15" s="10" t="s">
        <v>55</v>
      </c>
      <c r="GR15" s="10" t="s">
        <v>56</v>
      </c>
      <c r="GS15" s="10" t="s">
        <v>55</v>
      </c>
      <c r="GT15" s="10" t="s">
        <v>56</v>
      </c>
      <c r="GU15" s="10" t="s">
        <v>55</v>
      </c>
      <c r="GV15" s="17" t="s">
        <v>56</v>
      </c>
      <c r="GW15" s="17" t="s">
        <v>55</v>
      </c>
      <c r="GX15" s="10" t="s">
        <v>56</v>
      </c>
      <c r="GY15" s="10" t="s">
        <v>55</v>
      </c>
      <c r="GZ15" s="10" t="s">
        <v>56</v>
      </c>
      <c r="HA15" s="10" t="s">
        <v>55</v>
      </c>
      <c r="HB15" s="10" t="s">
        <v>56</v>
      </c>
      <c r="HC15" s="10" t="s">
        <v>55</v>
      </c>
      <c r="HD15" s="10" t="s">
        <v>56</v>
      </c>
      <c r="HE15" s="10" t="s">
        <v>55</v>
      </c>
      <c r="HF15" s="10" t="s">
        <v>56</v>
      </c>
      <c r="HG15" s="10" t="s">
        <v>55</v>
      </c>
      <c r="HH15" s="10" t="s">
        <v>56</v>
      </c>
      <c r="HI15" s="10" t="s">
        <v>55</v>
      </c>
      <c r="HJ15" s="10" t="s">
        <v>56</v>
      </c>
      <c r="HK15" s="10" t="s">
        <v>55</v>
      </c>
      <c r="HL15" s="10" t="s">
        <v>56</v>
      </c>
      <c r="HM15" s="10" t="s">
        <v>55</v>
      </c>
      <c r="HN15" s="10" t="s">
        <v>56</v>
      </c>
      <c r="HO15" s="10" t="s">
        <v>55</v>
      </c>
      <c r="HP15" s="10" t="s">
        <v>56</v>
      </c>
      <c r="HQ15" s="10" t="s">
        <v>55</v>
      </c>
      <c r="HR15" s="10" t="s">
        <v>56</v>
      </c>
      <c r="HS15" s="10" t="s">
        <v>55</v>
      </c>
      <c r="HT15" s="10" t="s">
        <v>56</v>
      </c>
      <c r="HU15" s="10" t="s">
        <v>55</v>
      </c>
      <c r="HV15" s="10" t="s">
        <v>56</v>
      </c>
      <c r="HW15" s="10" t="s">
        <v>55</v>
      </c>
      <c r="HX15" s="10" t="s">
        <v>56</v>
      </c>
      <c r="HY15" s="10" t="s">
        <v>55</v>
      </c>
      <c r="HZ15" s="10" t="s">
        <v>56</v>
      </c>
      <c r="IA15" s="10" t="s">
        <v>55</v>
      </c>
      <c r="IB15" s="10" t="s">
        <v>56</v>
      </c>
      <c r="IC15" s="10" t="s">
        <v>55</v>
      </c>
      <c r="ID15" s="1" t="s">
        <v>56</v>
      </c>
      <c r="IE15" s="1" t="s">
        <v>55</v>
      </c>
      <c r="IF15" s="4" t="s">
        <v>56</v>
      </c>
      <c r="IG15" s="4" t="s">
        <v>55</v>
      </c>
      <c r="IH15" s="4" t="s">
        <v>56</v>
      </c>
      <c r="II15" s="4" t="s">
        <v>55</v>
      </c>
      <c r="IJ15" s="4" t="s">
        <v>56</v>
      </c>
      <c r="IK15" s="4" t="s">
        <v>55</v>
      </c>
      <c r="IL15" s="4" t="s">
        <v>56</v>
      </c>
      <c r="IM15" s="4" t="s">
        <v>55</v>
      </c>
      <c r="IN15" s="4" t="s">
        <v>56</v>
      </c>
      <c r="IO15" s="4" t="s">
        <v>55</v>
      </c>
      <c r="IP15" s="4" t="s">
        <v>56</v>
      </c>
      <c r="IQ15" s="4" t="s">
        <v>55</v>
      </c>
      <c r="IR15" s="4" t="s">
        <v>56</v>
      </c>
      <c r="IS15" s="4" t="s">
        <v>55</v>
      </c>
      <c r="IT15" s="1" t="s">
        <v>56</v>
      </c>
      <c r="IU15" s="1" t="s">
        <v>55</v>
      </c>
      <c r="IV15" s="4" t="s">
        <v>556</v>
      </c>
      <c r="IW15" s="4" t="s">
        <v>55</v>
      </c>
      <c r="IX15" s="4" t="s">
        <v>56</v>
      </c>
      <c r="IY15" s="4" t="s">
        <v>55</v>
      </c>
      <c r="IZ15" s="4" t="s">
        <v>56</v>
      </c>
      <c r="JA15" s="4" t="s">
        <v>55</v>
      </c>
      <c r="JB15" s="4" t="s">
        <v>56</v>
      </c>
      <c r="JC15" s="4" t="s">
        <v>55</v>
      </c>
      <c r="JD15" s="4" t="s">
        <v>56</v>
      </c>
      <c r="JE15" s="4" t="s">
        <v>55</v>
      </c>
      <c r="JF15" s="4" t="s">
        <v>56</v>
      </c>
      <c r="JG15" s="4" t="s">
        <v>55</v>
      </c>
      <c r="JH15" s="4" t="s">
        <v>56</v>
      </c>
      <c r="JI15" s="4" t="s">
        <v>55</v>
      </c>
      <c r="JJ15" s="4" t="s">
        <v>56</v>
      </c>
      <c r="JK15" s="4" t="s">
        <v>55</v>
      </c>
      <c r="JL15" s="4" t="s">
        <v>56</v>
      </c>
      <c r="JM15" s="4" t="s">
        <v>55</v>
      </c>
      <c r="JN15" s="4" t="s">
        <v>56</v>
      </c>
      <c r="JO15" s="4" t="s">
        <v>55</v>
      </c>
      <c r="JP15" s="4" t="s">
        <v>56</v>
      </c>
      <c r="JQ15" s="4" t="s">
        <v>55</v>
      </c>
      <c r="JR15" s="4" t="s">
        <v>56</v>
      </c>
      <c r="JS15" s="4" t="s">
        <v>55</v>
      </c>
      <c r="JT15" s="4" t="s">
        <v>56</v>
      </c>
      <c r="JU15" s="4" t="s">
        <v>55</v>
      </c>
      <c r="JV15" s="4" t="s">
        <v>56</v>
      </c>
      <c r="JW15" s="4" t="s">
        <v>55</v>
      </c>
      <c r="JX15" s="26">
        <f>2*543.067553561632</f>
        <v>1086.1351071232641</v>
      </c>
      <c r="JY15" s="26">
        <f>2*237.845943838376</f>
        <v>475.691887676752</v>
      </c>
      <c r="JZ15" s="26">
        <f>2*706.027381345189</f>
        <v>1412.0547626903781</v>
      </c>
      <c r="KA15" s="26">
        <f>2*162.022965860004</f>
        <v>324.04593172000801</v>
      </c>
      <c r="KB15" s="26">
        <f>2*200.041411665255</f>
        <v>400.08282333051</v>
      </c>
      <c r="KC15" s="26">
        <f>2*54.6693235697604</f>
        <v>109.3386471395208</v>
      </c>
      <c r="KD15" s="26">
        <f>2*692.379011305355</f>
        <v>1384.75802261071</v>
      </c>
      <c r="KE15" s="26">
        <f>2*44.474700274151</f>
        <v>88.949400548301995</v>
      </c>
      <c r="KF15" s="26">
        <f>2*1128.97578228496</f>
        <v>2257.9515645699198</v>
      </c>
      <c r="KG15" s="26">
        <f>2*453.322558135783</f>
        <v>906.64511627156605</v>
      </c>
      <c r="KH15" s="10" t="s">
        <v>56</v>
      </c>
      <c r="KI15" s="4" t="s">
        <v>55</v>
      </c>
      <c r="KJ15" s="10" t="s">
        <v>56</v>
      </c>
      <c r="KK15" s="4" t="s">
        <v>55</v>
      </c>
      <c r="KL15" s="10" t="s">
        <v>56</v>
      </c>
      <c r="KM15" s="4" t="s">
        <v>55</v>
      </c>
      <c r="KN15" s="10" t="s">
        <v>56</v>
      </c>
      <c r="KO15" s="4" t="s">
        <v>55</v>
      </c>
      <c r="KP15" s="10" t="s">
        <v>56</v>
      </c>
      <c r="KQ15" s="4" t="s">
        <v>55</v>
      </c>
      <c r="KR15" s="4" t="s">
        <v>56</v>
      </c>
      <c r="KS15" s="4" t="s">
        <v>55</v>
      </c>
      <c r="KT15" s="4" t="s">
        <v>56</v>
      </c>
      <c r="KU15" s="4" t="s">
        <v>55</v>
      </c>
      <c r="KV15" s="4">
        <v>84.9</v>
      </c>
      <c r="KW15" s="4">
        <v>70.099999999999994</v>
      </c>
      <c r="KX15" s="4">
        <v>17.2</v>
      </c>
      <c r="KY15" s="4">
        <v>11.2</v>
      </c>
      <c r="KZ15" s="4">
        <v>96.5</v>
      </c>
      <c r="LA15" s="4">
        <v>26.4</v>
      </c>
      <c r="LB15" s="10" t="s">
        <v>56</v>
      </c>
      <c r="LC15" s="4" t="s">
        <v>55</v>
      </c>
      <c r="LD15" s="10" t="s">
        <v>56</v>
      </c>
      <c r="LE15" s="10" t="s">
        <v>55</v>
      </c>
      <c r="LF15" s="10" t="s">
        <v>56</v>
      </c>
      <c r="LG15" s="10" t="s">
        <v>55</v>
      </c>
      <c r="LH15" s="10" t="s">
        <v>56</v>
      </c>
      <c r="LI15" s="10" t="s">
        <v>55</v>
      </c>
      <c r="LJ15" s="10" t="s">
        <v>56</v>
      </c>
      <c r="LK15" s="4" t="s">
        <v>55</v>
      </c>
      <c r="LL15" s="10" t="s">
        <v>56</v>
      </c>
      <c r="LM15" s="10" t="s">
        <v>162</v>
      </c>
      <c r="LN15" s="10" t="s">
        <v>56</v>
      </c>
      <c r="LO15" s="10" t="s">
        <v>162</v>
      </c>
      <c r="LP15" s="10" t="s">
        <v>56</v>
      </c>
      <c r="LQ15" s="4" t="s">
        <v>55</v>
      </c>
      <c r="LR15" s="10" t="s">
        <v>56</v>
      </c>
      <c r="LS15" s="10" t="s">
        <v>162</v>
      </c>
      <c r="LT15" s="10" t="s">
        <v>56</v>
      </c>
      <c r="LU15" s="10" t="s">
        <v>162</v>
      </c>
      <c r="LV15" s="10" t="s">
        <v>56</v>
      </c>
      <c r="LW15" s="4" t="s">
        <v>55</v>
      </c>
      <c r="LX15" s="10" t="s">
        <v>56</v>
      </c>
      <c r="LY15" s="4" t="s">
        <v>55</v>
      </c>
      <c r="LZ15" s="10" t="s">
        <v>56</v>
      </c>
      <c r="MA15" s="4" t="s">
        <v>55</v>
      </c>
      <c r="MB15" s="10" t="s">
        <v>56</v>
      </c>
      <c r="MC15" s="4" t="s">
        <v>55</v>
      </c>
      <c r="MD15" s="10" t="s">
        <v>56</v>
      </c>
      <c r="ME15" s="4" t="s">
        <v>55</v>
      </c>
      <c r="MF15" s="10" t="s">
        <v>56</v>
      </c>
      <c r="MG15" s="4" t="s">
        <v>55</v>
      </c>
      <c r="MH15" s="10" t="s">
        <v>56</v>
      </c>
      <c r="MI15" s="4" t="s">
        <v>55</v>
      </c>
      <c r="MJ15" s="10" t="s">
        <v>56</v>
      </c>
      <c r="MK15" s="4" t="s">
        <v>55</v>
      </c>
      <c r="ML15" s="10" t="s">
        <v>56</v>
      </c>
      <c r="MM15" s="4" t="s">
        <v>55</v>
      </c>
      <c r="MN15" s="10" t="s">
        <v>56</v>
      </c>
      <c r="MO15" s="4" t="s">
        <v>55</v>
      </c>
      <c r="MP15" s="10" t="s">
        <v>56</v>
      </c>
      <c r="MQ15" s="4" t="s">
        <v>55</v>
      </c>
      <c r="MR15" s="10" t="s">
        <v>56</v>
      </c>
      <c r="MS15" s="4" t="s">
        <v>55</v>
      </c>
      <c r="MT15" s="10" t="s">
        <v>56</v>
      </c>
      <c r="MU15" s="4" t="s">
        <v>55</v>
      </c>
      <c r="MV15" s="10" t="s">
        <v>56</v>
      </c>
      <c r="MW15" s="4" t="s">
        <v>55</v>
      </c>
      <c r="MX15" s="10" t="s">
        <v>56</v>
      </c>
      <c r="MY15" s="4" t="s">
        <v>55</v>
      </c>
      <c r="MZ15" s="10" t="s">
        <v>56</v>
      </c>
      <c r="NA15" s="4" t="s">
        <v>55</v>
      </c>
      <c r="NB15" s="10" t="s">
        <v>56</v>
      </c>
      <c r="NC15" s="10" t="s">
        <v>55</v>
      </c>
      <c r="ND15" s="10" t="s">
        <v>56</v>
      </c>
      <c r="NE15" s="10" t="s">
        <v>55</v>
      </c>
      <c r="NF15" s="10" t="s">
        <v>56</v>
      </c>
      <c r="NG15" s="10" t="s">
        <v>55</v>
      </c>
      <c r="NH15" s="10" t="s">
        <v>56</v>
      </c>
      <c r="NI15" s="10" t="s">
        <v>55</v>
      </c>
      <c r="NJ15" s="10" t="s">
        <v>56</v>
      </c>
      <c r="NK15" s="10" t="s">
        <v>55</v>
      </c>
      <c r="NL15" s="10" t="s">
        <v>56</v>
      </c>
      <c r="NM15" s="4" t="s">
        <v>55</v>
      </c>
      <c r="NN15" s="10" t="s">
        <v>56</v>
      </c>
      <c r="NO15" s="4" t="s">
        <v>55</v>
      </c>
      <c r="NP15" s="10" t="s">
        <v>56</v>
      </c>
      <c r="NQ15" s="4" t="s">
        <v>55</v>
      </c>
      <c r="NR15" s="10" t="s">
        <v>56</v>
      </c>
      <c r="NS15" s="10" t="s">
        <v>55</v>
      </c>
      <c r="NT15" s="10" t="s">
        <v>56</v>
      </c>
      <c r="NU15" s="10" t="s">
        <v>55</v>
      </c>
    </row>
    <row r="16" spans="1:385" x14ac:dyDescent="0.2">
      <c r="A16" t="s">
        <v>863</v>
      </c>
      <c r="B16" s="1" t="s">
        <v>1037</v>
      </c>
      <c r="C16" s="1" t="s">
        <v>843</v>
      </c>
      <c r="D16" s="39" cm="1">
        <f t="array" ref="D16">SUMPRODUCT((ISNUMBER(F16:NU16))*(MOD(COLUMN(F16:NU16),2)=0))</f>
        <v>19</v>
      </c>
      <c r="E16" s="1">
        <v>121.16</v>
      </c>
      <c r="F16" s="1" t="s">
        <v>56</v>
      </c>
      <c r="G16" s="1" t="s">
        <v>55</v>
      </c>
      <c r="H16" s="1" t="s">
        <v>56</v>
      </c>
      <c r="I16" s="1" t="s">
        <v>55</v>
      </c>
      <c r="J16" s="1" t="s">
        <v>56</v>
      </c>
      <c r="K16" s="1" t="s">
        <v>55</v>
      </c>
      <c r="L16" s="1" t="s">
        <v>56</v>
      </c>
      <c r="M16" s="1" t="s">
        <v>55</v>
      </c>
      <c r="N16" s="1" t="s">
        <v>56</v>
      </c>
      <c r="O16" s="1" t="s">
        <v>55</v>
      </c>
      <c r="P16" s="1" t="s">
        <v>56</v>
      </c>
      <c r="Q16" s="1" t="s">
        <v>55</v>
      </c>
      <c r="R16" s="1" t="s">
        <v>56</v>
      </c>
      <c r="S16" s="1" t="s">
        <v>55</v>
      </c>
      <c r="T16" s="1" t="s">
        <v>56</v>
      </c>
      <c r="U16" s="1" t="s">
        <v>55</v>
      </c>
      <c r="V16" s="1" t="s">
        <v>56</v>
      </c>
      <c r="W16" s="1" t="s">
        <v>55</v>
      </c>
      <c r="X16" s="1" t="s">
        <v>56</v>
      </c>
      <c r="Y16" s="1" t="s">
        <v>55</v>
      </c>
      <c r="Z16" s="1" t="s">
        <v>56</v>
      </c>
      <c r="AA16" s="1" t="s">
        <v>55</v>
      </c>
      <c r="AB16" s="1" t="s">
        <v>56</v>
      </c>
      <c r="AC16" s="1" t="s">
        <v>55</v>
      </c>
      <c r="AD16" s="1" t="s">
        <v>56</v>
      </c>
      <c r="AE16" s="1" t="s">
        <v>55</v>
      </c>
      <c r="AF16" s="1" t="s">
        <v>56</v>
      </c>
      <c r="AG16" s="1" t="s">
        <v>55</v>
      </c>
      <c r="AH16" s="1" t="s">
        <v>56</v>
      </c>
      <c r="AI16" s="1" t="s">
        <v>55</v>
      </c>
      <c r="AJ16" s="1" t="s">
        <v>56</v>
      </c>
      <c r="AK16" s="1" t="s">
        <v>55</v>
      </c>
      <c r="AL16" s="1" t="s">
        <v>56</v>
      </c>
      <c r="AM16" s="1" t="s">
        <v>55</v>
      </c>
      <c r="AN16" s="1" t="s">
        <v>56</v>
      </c>
      <c r="AO16" s="1" t="s">
        <v>55</v>
      </c>
      <c r="AP16" s="1" t="s">
        <v>56</v>
      </c>
      <c r="AQ16" s="1" t="s">
        <v>55</v>
      </c>
      <c r="AR16" s="1" t="s">
        <v>56</v>
      </c>
      <c r="AS16" s="1" t="s">
        <v>55</v>
      </c>
      <c r="AT16" s="1" t="s">
        <v>56</v>
      </c>
      <c r="AU16" s="1" t="s">
        <v>55</v>
      </c>
      <c r="AV16" s="1" t="s">
        <v>56</v>
      </c>
      <c r="AW16" s="1" t="s">
        <v>55</v>
      </c>
      <c r="AX16" s="1" t="s">
        <v>56</v>
      </c>
      <c r="AY16" s="1" t="s">
        <v>55</v>
      </c>
      <c r="AZ16" s="1" t="s">
        <v>56</v>
      </c>
      <c r="BA16" s="1" t="s">
        <v>55</v>
      </c>
      <c r="BB16" s="1" t="s">
        <v>56</v>
      </c>
      <c r="BC16" s="1" t="s">
        <v>55</v>
      </c>
      <c r="BD16" s="1" t="s">
        <v>56</v>
      </c>
      <c r="BE16" s="1" t="s">
        <v>55</v>
      </c>
      <c r="BF16" s="1" t="s">
        <v>56</v>
      </c>
      <c r="BG16" s="1" t="s">
        <v>55</v>
      </c>
      <c r="BH16" s="1" t="s">
        <v>56</v>
      </c>
      <c r="BI16" s="1" t="s">
        <v>55</v>
      </c>
      <c r="BJ16" s="1" t="s">
        <v>56</v>
      </c>
      <c r="BK16" s="1" t="s">
        <v>55</v>
      </c>
      <c r="BL16" s="1" t="s">
        <v>56</v>
      </c>
      <c r="BM16" s="1" t="s">
        <v>55</v>
      </c>
      <c r="BN16" s="1" t="s">
        <v>56</v>
      </c>
      <c r="BO16" s="1" t="s">
        <v>55</v>
      </c>
      <c r="BP16" s="1" t="s">
        <v>56</v>
      </c>
      <c r="BQ16" s="1" t="s">
        <v>55</v>
      </c>
      <c r="BR16" s="1" t="s">
        <v>56</v>
      </c>
      <c r="BS16" s="1" t="s">
        <v>55</v>
      </c>
      <c r="BT16" s="1" t="s">
        <v>56</v>
      </c>
      <c r="BU16" s="1" t="s">
        <v>55</v>
      </c>
      <c r="BV16" s="1" t="s">
        <v>56</v>
      </c>
      <c r="BW16" s="1" t="s">
        <v>55</v>
      </c>
      <c r="BX16" s="1" t="s">
        <v>56</v>
      </c>
      <c r="BY16" s="1" t="s">
        <v>55</v>
      </c>
      <c r="BZ16" s="1" t="s">
        <v>56</v>
      </c>
      <c r="CA16" s="1" t="s">
        <v>55</v>
      </c>
      <c r="CB16" s="1" t="s">
        <v>56</v>
      </c>
      <c r="CC16" s="1" t="s">
        <v>55</v>
      </c>
      <c r="CD16" s="1" t="s">
        <v>56</v>
      </c>
      <c r="CE16" s="1" t="s">
        <v>55</v>
      </c>
      <c r="CF16" s="1" t="s">
        <v>56</v>
      </c>
      <c r="CG16" s="1" t="s">
        <v>55</v>
      </c>
      <c r="CH16" s="1" t="s">
        <v>56</v>
      </c>
      <c r="CI16" s="1" t="s">
        <v>55</v>
      </c>
      <c r="CJ16" s="1" t="s">
        <v>56</v>
      </c>
      <c r="CK16" s="1" t="s">
        <v>55</v>
      </c>
      <c r="CL16" s="1" t="s">
        <v>56</v>
      </c>
      <c r="CM16" s="1" t="s">
        <v>55</v>
      </c>
      <c r="CN16" s="1" t="s">
        <v>56</v>
      </c>
      <c r="CO16" s="1" t="s">
        <v>55</v>
      </c>
      <c r="CP16" s="1" t="s">
        <v>56</v>
      </c>
      <c r="CQ16" s="1" t="s">
        <v>55</v>
      </c>
      <c r="CR16" s="1" t="s">
        <v>56</v>
      </c>
      <c r="CS16" s="1" t="s">
        <v>55</v>
      </c>
      <c r="CT16" s="1" t="s">
        <v>56</v>
      </c>
      <c r="CU16" s="1" t="s">
        <v>55</v>
      </c>
      <c r="CV16" s="1" t="s">
        <v>56</v>
      </c>
      <c r="CW16" s="1" t="s">
        <v>55</v>
      </c>
      <c r="CX16" s="1" t="s">
        <v>56</v>
      </c>
      <c r="CY16" s="1" t="s">
        <v>55</v>
      </c>
      <c r="CZ16" s="1" t="s">
        <v>56</v>
      </c>
      <c r="DA16" s="1" t="s">
        <v>55</v>
      </c>
      <c r="DB16" s="1" t="s">
        <v>56</v>
      </c>
      <c r="DC16" s="1" t="s">
        <v>55</v>
      </c>
      <c r="DD16" s="1" t="s">
        <v>56</v>
      </c>
      <c r="DE16" s="1" t="s">
        <v>55</v>
      </c>
      <c r="DF16" s="1" t="s">
        <v>56</v>
      </c>
      <c r="DG16" s="1" t="s">
        <v>55</v>
      </c>
      <c r="DH16" s="1" t="s">
        <v>56</v>
      </c>
      <c r="DI16" s="1" t="s">
        <v>55</v>
      </c>
      <c r="DJ16" s="1" t="s">
        <v>56</v>
      </c>
      <c r="DK16" s="1" t="s">
        <v>55</v>
      </c>
      <c r="DL16" s="1" t="s">
        <v>56</v>
      </c>
      <c r="DM16" s="1" t="s">
        <v>55</v>
      </c>
      <c r="DN16" s="1" t="s">
        <v>56</v>
      </c>
      <c r="DO16" s="1" t="s">
        <v>55</v>
      </c>
      <c r="DP16" s="1" t="s">
        <v>56</v>
      </c>
      <c r="DQ16" s="1" t="s">
        <v>55</v>
      </c>
      <c r="DR16" s="1" t="s">
        <v>56</v>
      </c>
      <c r="DS16" s="1" t="s">
        <v>55</v>
      </c>
      <c r="DT16" s="1" t="s">
        <v>56</v>
      </c>
      <c r="DU16" s="1" t="s">
        <v>55</v>
      </c>
      <c r="DV16" s="1" t="s">
        <v>56</v>
      </c>
      <c r="DW16" s="1" t="s">
        <v>55</v>
      </c>
      <c r="DX16" s="1" t="s">
        <v>56</v>
      </c>
      <c r="DY16" s="1" t="s">
        <v>55</v>
      </c>
      <c r="DZ16" s="1" t="s">
        <v>56</v>
      </c>
      <c r="EA16" s="1" t="s">
        <v>55</v>
      </c>
      <c r="EB16" s="1" t="s">
        <v>56</v>
      </c>
      <c r="EC16" s="1" t="s">
        <v>55</v>
      </c>
      <c r="ED16" s="1" t="s">
        <v>56</v>
      </c>
      <c r="EE16" s="1" t="s">
        <v>55</v>
      </c>
      <c r="EF16" s="1" t="s">
        <v>56</v>
      </c>
      <c r="EG16" s="1" t="s">
        <v>55</v>
      </c>
      <c r="EH16" s="1" t="s">
        <v>56</v>
      </c>
      <c r="EI16" s="1" t="s">
        <v>55</v>
      </c>
      <c r="EJ16" s="1" t="s">
        <v>56</v>
      </c>
      <c r="EK16" s="1" t="s">
        <v>55</v>
      </c>
      <c r="EL16" s="1" t="s">
        <v>56</v>
      </c>
      <c r="EM16" s="1" t="s">
        <v>55</v>
      </c>
      <c r="EN16" s="1" t="s">
        <v>56</v>
      </c>
      <c r="EO16" s="1" t="s">
        <v>55</v>
      </c>
      <c r="EP16" s="1" t="s">
        <v>56</v>
      </c>
      <c r="EQ16" s="1" t="s">
        <v>55</v>
      </c>
      <c r="ER16" s="1" t="s">
        <v>56</v>
      </c>
      <c r="ES16" s="1" t="s">
        <v>55</v>
      </c>
      <c r="ET16" s="1" t="s">
        <v>56</v>
      </c>
      <c r="EU16" s="1" t="s">
        <v>55</v>
      </c>
      <c r="EV16" s="1" t="s">
        <v>56</v>
      </c>
      <c r="EW16" s="1" t="s">
        <v>55</v>
      </c>
      <c r="EX16" s="1" t="s">
        <v>56</v>
      </c>
      <c r="EY16" s="1" t="s">
        <v>55</v>
      </c>
      <c r="EZ16" s="1" t="s">
        <v>56</v>
      </c>
      <c r="FA16" s="1" t="s">
        <v>55</v>
      </c>
      <c r="FB16" s="1" t="s">
        <v>56</v>
      </c>
      <c r="FC16" s="1" t="s">
        <v>55</v>
      </c>
      <c r="FD16" s="1" t="s">
        <v>56</v>
      </c>
      <c r="FE16" s="1" t="s">
        <v>55</v>
      </c>
      <c r="FF16" s="1" t="s">
        <v>56</v>
      </c>
      <c r="FG16" s="1" t="s">
        <v>55</v>
      </c>
      <c r="FH16" s="1" t="s">
        <v>56</v>
      </c>
      <c r="FI16" s="1" t="s">
        <v>55</v>
      </c>
      <c r="FJ16" s="1" t="s">
        <v>56</v>
      </c>
      <c r="FK16" s="1" t="s">
        <v>55</v>
      </c>
      <c r="FL16" s="1" t="s">
        <v>56</v>
      </c>
      <c r="FM16" s="1" t="s">
        <v>55</v>
      </c>
      <c r="FN16" s="1" t="s">
        <v>56</v>
      </c>
      <c r="FO16" s="1" t="s">
        <v>55</v>
      </c>
      <c r="FP16" s="1" t="s">
        <v>56</v>
      </c>
      <c r="FQ16" s="1" t="s">
        <v>55</v>
      </c>
      <c r="FR16" s="1" t="s">
        <v>56</v>
      </c>
      <c r="FS16" s="1" t="s">
        <v>55</v>
      </c>
      <c r="FT16" s="1" t="s">
        <v>56</v>
      </c>
      <c r="FU16" s="1" t="s">
        <v>55</v>
      </c>
      <c r="FV16" s="1" t="s">
        <v>56</v>
      </c>
      <c r="FW16" s="1" t="s">
        <v>55</v>
      </c>
      <c r="FX16" s="1" t="s">
        <v>56</v>
      </c>
      <c r="FY16" s="1" t="s">
        <v>55</v>
      </c>
      <c r="FZ16" s="1" t="s">
        <v>56</v>
      </c>
      <c r="GA16" s="1" t="s">
        <v>55</v>
      </c>
      <c r="GB16" s="1" t="s">
        <v>56</v>
      </c>
      <c r="GC16" s="1" t="s">
        <v>55</v>
      </c>
      <c r="GD16" s="1" t="s">
        <v>56</v>
      </c>
      <c r="GE16" s="1" t="s">
        <v>55</v>
      </c>
      <c r="GF16" s="1" t="s">
        <v>56</v>
      </c>
      <c r="GG16" s="1" t="s">
        <v>55</v>
      </c>
      <c r="GH16" s="1" t="s">
        <v>56</v>
      </c>
      <c r="GI16" s="1" t="s">
        <v>55</v>
      </c>
      <c r="GJ16" s="1" t="s">
        <v>56</v>
      </c>
      <c r="GK16" s="1" t="s">
        <v>55</v>
      </c>
      <c r="GL16" s="1" t="s">
        <v>56</v>
      </c>
      <c r="GM16" s="1" t="s">
        <v>55</v>
      </c>
      <c r="GN16" s="1" t="s">
        <v>56</v>
      </c>
      <c r="GO16" s="1" t="s">
        <v>55</v>
      </c>
      <c r="GP16" s="1" t="s">
        <v>56</v>
      </c>
      <c r="GQ16" s="1" t="s">
        <v>55</v>
      </c>
      <c r="GR16" s="1" t="s">
        <v>56</v>
      </c>
      <c r="GS16" s="1" t="s">
        <v>55</v>
      </c>
      <c r="GT16" s="1" t="s">
        <v>56</v>
      </c>
      <c r="GU16" s="1" t="s">
        <v>55</v>
      </c>
      <c r="GV16" s="17" t="s">
        <v>56</v>
      </c>
      <c r="GW16" s="17" t="s">
        <v>55</v>
      </c>
      <c r="GX16" s="1" t="s">
        <v>56</v>
      </c>
      <c r="GY16" s="1" t="s">
        <v>55</v>
      </c>
      <c r="GZ16" s="10" t="s">
        <v>56</v>
      </c>
      <c r="HA16" s="10" t="s">
        <v>55</v>
      </c>
      <c r="HB16" s="10" t="s">
        <v>56</v>
      </c>
      <c r="HC16" s="10" t="s">
        <v>55</v>
      </c>
      <c r="HD16" s="10" t="s">
        <v>56</v>
      </c>
      <c r="HE16" s="10" t="s">
        <v>55</v>
      </c>
      <c r="HF16" s="10" t="s">
        <v>56</v>
      </c>
      <c r="HG16" s="10" t="s">
        <v>55</v>
      </c>
      <c r="HH16" s="10" t="s">
        <v>56</v>
      </c>
      <c r="HI16" s="10" t="s">
        <v>55</v>
      </c>
      <c r="HJ16" s="10" t="s">
        <v>56</v>
      </c>
      <c r="HK16" s="10" t="s">
        <v>55</v>
      </c>
      <c r="HL16" s="10" t="s">
        <v>56</v>
      </c>
      <c r="HM16" s="10" t="s">
        <v>55</v>
      </c>
      <c r="HN16" s="10" t="s">
        <v>56</v>
      </c>
      <c r="HO16" s="10" t="s">
        <v>55</v>
      </c>
      <c r="HP16" s="10" t="s">
        <v>56</v>
      </c>
      <c r="HQ16" s="10" t="s">
        <v>55</v>
      </c>
      <c r="HR16" s="10" t="s">
        <v>56</v>
      </c>
      <c r="HS16" s="10" t="s">
        <v>55</v>
      </c>
      <c r="HT16" s="10" t="s">
        <v>56</v>
      </c>
      <c r="HU16" s="10" t="s">
        <v>55</v>
      </c>
      <c r="HV16" s="10" t="s">
        <v>56</v>
      </c>
      <c r="HW16" s="10" t="s">
        <v>55</v>
      </c>
      <c r="HX16" s="10" t="s">
        <v>56</v>
      </c>
      <c r="HY16" s="10" t="s">
        <v>55</v>
      </c>
      <c r="HZ16" s="10" t="s">
        <v>56</v>
      </c>
      <c r="IA16" s="10" t="s">
        <v>55</v>
      </c>
      <c r="IB16" s="10" t="s">
        <v>56</v>
      </c>
      <c r="IC16" s="10" t="s">
        <v>55</v>
      </c>
      <c r="ID16" s="10" t="s">
        <v>56</v>
      </c>
      <c r="IE16" s="10" t="s">
        <v>55</v>
      </c>
      <c r="IF16" s="10" t="s">
        <v>56</v>
      </c>
      <c r="IG16" s="10" t="s">
        <v>55</v>
      </c>
      <c r="IH16" s="10" t="s">
        <v>56</v>
      </c>
      <c r="II16" s="10" t="s">
        <v>55</v>
      </c>
      <c r="IJ16" s="10" t="s">
        <v>56</v>
      </c>
      <c r="IK16" s="10" t="s">
        <v>55</v>
      </c>
      <c r="IL16" s="10" t="s">
        <v>56</v>
      </c>
      <c r="IM16" s="10" t="s">
        <v>55</v>
      </c>
      <c r="IN16" s="10" t="s">
        <v>56</v>
      </c>
      <c r="IO16" s="10" t="s">
        <v>55</v>
      </c>
      <c r="IP16" s="10" t="s">
        <v>56</v>
      </c>
      <c r="IQ16" s="10" t="s">
        <v>55</v>
      </c>
      <c r="IR16" s="10" t="s">
        <v>56</v>
      </c>
      <c r="IS16" s="10" t="s">
        <v>55</v>
      </c>
      <c r="IT16" s="10" t="s">
        <v>56</v>
      </c>
      <c r="IU16" s="10" t="s">
        <v>55</v>
      </c>
      <c r="IV16" s="10" t="s">
        <v>56</v>
      </c>
      <c r="IW16" s="10" t="s">
        <v>55</v>
      </c>
      <c r="IX16" s="10" t="s">
        <v>56</v>
      </c>
      <c r="IY16" s="10" t="s">
        <v>55</v>
      </c>
      <c r="IZ16" s="10" t="s">
        <v>56</v>
      </c>
      <c r="JA16" s="10" t="s">
        <v>55</v>
      </c>
      <c r="JB16" s="10" t="s">
        <v>56</v>
      </c>
      <c r="JC16" s="10" t="s">
        <v>55</v>
      </c>
      <c r="JD16" s="10" t="s">
        <v>56</v>
      </c>
      <c r="JE16" s="10" t="s">
        <v>55</v>
      </c>
      <c r="JF16" s="10" t="s">
        <v>56</v>
      </c>
      <c r="JG16" s="10" t="s">
        <v>55</v>
      </c>
      <c r="JH16" s="10" t="s">
        <v>56</v>
      </c>
      <c r="JI16" s="10" t="s">
        <v>55</v>
      </c>
      <c r="JJ16" s="10" t="s">
        <v>56</v>
      </c>
      <c r="JK16" s="10" t="s">
        <v>55</v>
      </c>
      <c r="JL16" s="10" t="s">
        <v>56</v>
      </c>
      <c r="JM16" s="10" t="s">
        <v>55</v>
      </c>
      <c r="JN16" s="10" t="s">
        <v>56</v>
      </c>
      <c r="JO16" s="10" t="s">
        <v>55</v>
      </c>
      <c r="JP16" s="10" t="s">
        <v>56</v>
      </c>
      <c r="JQ16" s="10" t="s">
        <v>55</v>
      </c>
      <c r="JR16" s="10" t="s">
        <v>56</v>
      </c>
      <c r="JS16" s="10" t="s">
        <v>55</v>
      </c>
      <c r="JT16" s="10" t="s">
        <v>56</v>
      </c>
      <c r="JU16" s="10" t="s">
        <v>55</v>
      </c>
      <c r="JV16" s="11" t="s">
        <v>57</v>
      </c>
      <c r="JW16" s="4" t="s">
        <v>55</v>
      </c>
      <c r="JX16" s="26" t="s">
        <v>56</v>
      </c>
      <c r="JY16" s="26" t="s">
        <v>55</v>
      </c>
      <c r="JZ16" s="26" t="s">
        <v>56</v>
      </c>
      <c r="KA16" s="26" t="s">
        <v>55</v>
      </c>
      <c r="KB16" s="26" t="s">
        <v>56</v>
      </c>
      <c r="KC16" s="26" t="s">
        <v>55</v>
      </c>
      <c r="KD16" s="26" t="s">
        <v>56</v>
      </c>
      <c r="KE16" s="26" t="s">
        <v>55</v>
      </c>
      <c r="KF16" s="26" t="s">
        <v>56</v>
      </c>
      <c r="KG16" s="26" t="s">
        <v>55</v>
      </c>
      <c r="KH16" s="4" t="s">
        <v>319</v>
      </c>
      <c r="KI16" s="4" t="s">
        <v>162</v>
      </c>
      <c r="KJ16" s="4" t="s">
        <v>319</v>
      </c>
      <c r="KK16" s="4" t="s">
        <v>162</v>
      </c>
      <c r="KL16" s="4" t="s">
        <v>319</v>
      </c>
      <c r="KM16" s="4" t="s">
        <v>162</v>
      </c>
      <c r="KN16" s="4" t="s">
        <v>319</v>
      </c>
      <c r="KO16" s="4" t="s">
        <v>162</v>
      </c>
      <c r="KP16" s="4" t="s">
        <v>319</v>
      </c>
      <c r="KQ16" s="4" t="s">
        <v>162</v>
      </c>
      <c r="KR16" s="4" t="s">
        <v>56</v>
      </c>
      <c r="KS16" s="4" t="s">
        <v>55</v>
      </c>
      <c r="KT16" s="4" t="s">
        <v>56</v>
      </c>
      <c r="KU16" s="4" t="s">
        <v>55</v>
      </c>
      <c r="KV16" s="4" t="s">
        <v>56</v>
      </c>
      <c r="KW16" s="4" t="s">
        <v>55</v>
      </c>
      <c r="KX16" s="4" t="s">
        <v>56</v>
      </c>
      <c r="KY16" s="4" t="s">
        <v>55</v>
      </c>
      <c r="KZ16" s="4" t="s">
        <v>56</v>
      </c>
      <c r="LA16" s="4" t="s">
        <v>55</v>
      </c>
      <c r="LB16" s="10">
        <f>((1.1/100)*1000000000)/E16</f>
        <v>90789.039286893385</v>
      </c>
      <c r="LC16" s="10">
        <f>((0.1/100)*1000000000)/E16</f>
        <v>8253.5490260812148</v>
      </c>
      <c r="LD16" s="10" t="s">
        <v>56</v>
      </c>
      <c r="LE16" s="10" t="s">
        <v>55</v>
      </c>
      <c r="LF16" s="10" t="s">
        <v>56</v>
      </c>
      <c r="LG16" s="10" t="s">
        <v>55</v>
      </c>
      <c r="LH16" s="10" t="s">
        <v>56</v>
      </c>
      <c r="LI16" s="10" t="s">
        <v>55</v>
      </c>
      <c r="LJ16" s="10">
        <f>((0.3/100)*1000000000)/E16</f>
        <v>24760.647078243645</v>
      </c>
      <c r="LK16" s="10" t="s">
        <v>162</v>
      </c>
      <c r="LL16" s="10" t="s">
        <v>56</v>
      </c>
      <c r="LM16" s="10" t="s">
        <v>162</v>
      </c>
      <c r="LN16" s="10" t="s">
        <v>56</v>
      </c>
      <c r="LO16" s="10" t="s">
        <v>162</v>
      </c>
      <c r="LP16" s="10">
        <f>((1.86/100)*1000000000)/E16</f>
        <v>153516.01188511064</v>
      </c>
      <c r="LQ16" s="10" t="s">
        <v>55</v>
      </c>
      <c r="LR16" s="10" t="s">
        <v>56</v>
      </c>
      <c r="LS16" s="10" t="s">
        <v>162</v>
      </c>
      <c r="LT16" s="10" t="s">
        <v>56</v>
      </c>
      <c r="LU16" s="10" t="s">
        <v>162</v>
      </c>
      <c r="LV16" s="10">
        <f>((28/100)*1000000)/E16</f>
        <v>2310.9937273027404</v>
      </c>
      <c r="LW16" s="10" t="s">
        <v>55</v>
      </c>
      <c r="LX16" s="10">
        <f>((23/100)*1000000)/E16</f>
        <v>1898.3162759986794</v>
      </c>
      <c r="LY16" s="10" t="s">
        <v>55</v>
      </c>
      <c r="LZ16" s="10">
        <f>((23/100)*1000000)/E16</f>
        <v>1898.3162759986794</v>
      </c>
      <c r="MA16" s="10" t="s">
        <v>55</v>
      </c>
      <c r="MB16" s="10">
        <f>((24/100)*1000000)/E16</f>
        <v>1980.8517662594916</v>
      </c>
      <c r="MC16" s="10" t="s">
        <v>55</v>
      </c>
      <c r="MD16" s="4">
        <f>704*2</f>
        <v>1408</v>
      </c>
      <c r="ME16" s="4" t="s">
        <v>55</v>
      </c>
      <c r="MF16" s="4">
        <f>654*2</f>
        <v>1308</v>
      </c>
      <c r="MG16" s="4" t="s">
        <v>55</v>
      </c>
      <c r="MH16" s="4">
        <f>958*2</f>
        <v>1916</v>
      </c>
      <c r="MI16" s="4" t="s">
        <v>55</v>
      </c>
      <c r="MJ16" s="4">
        <f>811*2</f>
        <v>1622</v>
      </c>
      <c r="MK16" s="4" t="s">
        <v>55</v>
      </c>
      <c r="ML16" s="4">
        <f>1093*2</f>
        <v>2186</v>
      </c>
      <c r="MM16" s="4" t="s">
        <v>55</v>
      </c>
      <c r="MN16" s="4">
        <f>1856*2</f>
        <v>3712</v>
      </c>
      <c r="MO16" s="4" t="s">
        <v>55</v>
      </c>
      <c r="MP16" s="4">
        <f>1475*2</f>
        <v>2950</v>
      </c>
      <c r="MQ16" s="4" t="s">
        <v>55</v>
      </c>
      <c r="MR16" s="4">
        <f>686*2</f>
        <v>1372</v>
      </c>
      <c r="MS16" s="4" t="s">
        <v>55</v>
      </c>
      <c r="MT16" s="4">
        <f>1290*2</f>
        <v>2580</v>
      </c>
      <c r="MU16" s="4" t="s">
        <v>55</v>
      </c>
      <c r="MV16" s="4">
        <f>841*2</f>
        <v>1682</v>
      </c>
      <c r="MW16" s="4" t="s">
        <v>55</v>
      </c>
      <c r="MX16" s="4">
        <f>469*2</f>
        <v>938</v>
      </c>
      <c r="MY16" s="4" t="s">
        <v>55</v>
      </c>
      <c r="MZ16" s="4">
        <f>981*2</f>
        <v>1962</v>
      </c>
      <c r="NA16" s="4" t="s">
        <v>55</v>
      </c>
      <c r="NB16" s="10" t="s">
        <v>56</v>
      </c>
      <c r="NC16" s="10" t="s">
        <v>55</v>
      </c>
      <c r="ND16" s="10" t="s">
        <v>56</v>
      </c>
      <c r="NE16" s="10" t="s">
        <v>55</v>
      </c>
      <c r="NF16" s="10" t="s">
        <v>56</v>
      </c>
      <c r="NG16" s="10" t="s">
        <v>55</v>
      </c>
      <c r="NH16" s="10" t="s">
        <v>56</v>
      </c>
      <c r="NI16" s="10" t="s">
        <v>55</v>
      </c>
      <c r="NJ16" s="10" t="s">
        <v>56</v>
      </c>
      <c r="NK16" s="10" t="s">
        <v>55</v>
      </c>
      <c r="NL16" s="10" t="s">
        <v>56</v>
      </c>
      <c r="NM16" s="4" t="s">
        <v>55</v>
      </c>
      <c r="NN16" s="10" t="s">
        <v>56</v>
      </c>
      <c r="NO16" s="4" t="s">
        <v>55</v>
      </c>
      <c r="NP16" s="4" t="s">
        <v>57</v>
      </c>
      <c r="NQ16" s="4" t="s">
        <v>55</v>
      </c>
      <c r="NR16" s="10" t="s">
        <v>56</v>
      </c>
      <c r="NS16" s="10" t="s">
        <v>55</v>
      </c>
      <c r="NT16" s="10" t="s">
        <v>56</v>
      </c>
      <c r="NU16" s="10" t="s">
        <v>55</v>
      </c>
    </row>
    <row r="17" spans="1:385" x14ac:dyDescent="0.2">
      <c r="A17" t="s">
        <v>7</v>
      </c>
      <c r="B17" s="1" t="s">
        <v>1037</v>
      </c>
      <c r="C17" s="1" t="s">
        <v>858</v>
      </c>
      <c r="D17" s="39" cm="1">
        <f t="array" ref="D17">SUMPRODUCT((ISNUMBER(F17:NU17))*(MOD(COLUMN(F17:NU17),2)=0))</f>
        <v>92</v>
      </c>
      <c r="E17" s="1">
        <v>133.1</v>
      </c>
      <c r="F17" s="1">
        <v>1.2999999999999999E-3</v>
      </c>
      <c r="G17" s="1" t="s">
        <v>58</v>
      </c>
      <c r="H17" s="1">
        <v>6.1999999999999998E-3</v>
      </c>
      <c r="I17" s="1" t="s">
        <v>58</v>
      </c>
      <c r="J17" s="1" t="s">
        <v>54</v>
      </c>
      <c r="K17" s="1" t="s">
        <v>55</v>
      </c>
      <c r="L17" s="1">
        <v>1.9E-3</v>
      </c>
      <c r="M17" s="1" t="s">
        <v>58</v>
      </c>
      <c r="N17" s="1" t="s">
        <v>54</v>
      </c>
      <c r="O17" s="1" t="s">
        <v>55</v>
      </c>
      <c r="P17" s="9">
        <f>12/E17</f>
        <v>9.0157776108189341E-2</v>
      </c>
      <c r="Q17" s="9">
        <f>2/E17</f>
        <v>1.5026296018031555E-2</v>
      </c>
      <c r="R17" s="1" t="s">
        <v>89</v>
      </c>
      <c r="S17" s="1" t="s">
        <v>55</v>
      </c>
      <c r="T17" s="1">
        <v>0.19</v>
      </c>
      <c r="U17" s="1">
        <v>0.01</v>
      </c>
      <c r="V17" s="1">
        <v>8.18</v>
      </c>
      <c r="W17" s="1">
        <v>2.66</v>
      </c>
      <c r="X17" s="1">
        <v>5.0199999999999996</v>
      </c>
      <c r="Y17" s="1">
        <v>0.05</v>
      </c>
      <c r="Z17" s="9">
        <f>467/E17</f>
        <v>3.5086401202103681</v>
      </c>
      <c r="AA17" s="9">
        <f>71/E17</f>
        <v>0.53343350864012018</v>
      </c>
      <c r="AB17" s="1">
        <v>7.72</v>
      </c>
      <c r="AC17" s="1">
        <v>1.18</v>
      </c>
      <c r="AD17" s="1">
        <v>4.0999999999999996</v>
      </c>
      <c r="AE17" s="1">
        <v>1.61</v>
      </c>
      <c r="AF17" s="11" t="s">
        <v>91</v>
      </c>
      <c r="AG17" s="11" t="s">
        <v>55</v>
      </c>
      <c r="AH17" s="11" t="s">
        <v>91</v>
      </c>
      <c r="AI17" s="11" t="s">
        <v>55</v>
      </c>
      <c r="AJ17" s="11">
        <f>189/E17</f>
        <v>1.419984973703982</v>
      </c>
      <c r="AK17" s="11">
        <f>14/E17</f>
        <v>0.10518407212622088</v>
      </c>
      <c r="AL17" s="1">
        <v>0.59</v>
      </c>
      <c r="AM17" s="1">
        <v>0.02</v>
      </c>
      <c r="AN17" s="11">
        <v>0.95</v>
      </c>
      <c r="AO17" s="11">
        <v>0.04</v>
      </c>
      <c r="AP17" s="11">
        <v>1.1000000000000001</v>
      </c>
      <c r="AQ17" s="11">
        <v>0.2</v>
      </c>
      <c r="AR17" s="10">
        <f>108/E17</f>
        <v>0.81141998497370404</v>
      </c>
      <c r="AS17" s="10">
        <f>18/E17</f>
        <v>0.135236664162284</v>
      </c>
      <c r="AT17" s="11">
        <f>120/E17</f>
        <v>0.90157776108189336</v>
      </c>
      <c r="AU17" s="11">
        <f>16/E17</f>
        <v>0.12021036814425244</v>
      </c>
      <c r="AV17" s="11">
        <f>127/E17</f>
        <v>0.95416979714500383</v>
      </c>
      <c r="AW17" s="11">
        <f>24/E17</f>
        <v>0.18031555221637868</v>
      </c>
      <c r="AX17" s="11">
        <f>118/E17</f>
        <v>0.88655146506386184</v>
      </c>
      <c r="AY17" s="11">
        <f>63/E17</f>
        <v>0.47332832456799401</v>
      </c>
      <c r="AZ17" s="1">
        <v>2.4</v>
      </c>
      <c r="BA17" s="1">
        <v>0.1</v>
      </c>
      <c r="BB17" s="1" t="s">
        <v>91</v>
      </c>
      <c r="BC17" s="1" t="s">
        <v>55</v>
      </c>
      <c r="BD17" s="1" t="s">
        <v>56</v>
      </c>
      <c r="BE17" s="1" t="s">
        <v>55</v>
      </c>
      <c r="BF17" s="1">
        <v>0.2</v>
      </c>
      <c r="BG17" s="1">
        <v>0.04</v>
      </c>
      <c r="BH17" s="1">
        <v>0.24</v>
      </c>
      <c r="BI17" s="1">
        <v>0.05</v>
      </c>
      <c r="BJ17" s="1">
        <v>2.27</v>
      </c>
      <c r="BK17" s="1">
        <v>0.14000000000000001</v>
      </c>
      <c r="BL17" s="1">
        <v>1.01</v>
      </c>
      <c r="BM17" s="1">
        <v>0.04</v>
      </c>
      <c r="BN17" s="1">
        <v>2.4</v>
      </c>
      <c r="BO17" s="1">
        <v>0.01</v>
      </c>
      <c r="BP17" s="1">
        <v>15.1</v>
      </c>
      <c r="BQ17" s="1">
        <v>0.7</v>
      </c>
      <c r="BR17" s="11">
        <f>54/E17</f>
        <v>0.40570999248685202</v>
      </c>
      <c r="BS17" s="11">
        <f>31/E17</f>
        <v>0.23290758827948913</v>
      </c>
      <c r="BT17" s="4">
        <v>0.56000000000000005</v>
      </c>
      <c r="BU17" s="4">
        <v>0.03</v>
      </c>
      <c r="BV17" s="1">
        <v>0.02</v>
      </c>
      <c r="BW17" s="1">
        <v>0.01</v>
      </c>
      <c r="BX17" s="1">
        <v>0.02</v>
      </c>
      <c r="BY17" s="1">
        <v>0.01</v>
      </c>
      <c r="BZ17" s="10" t="s">
        <v>231</v>
      </c>
      <c r="CA17" s="10" t="s">
        <v>55</v>
      </c>
      <c r="CB17" s="10" t="s">
        <v>91</v>
      </c>
      <c r="CC17" s="10" t="s">
        <v>55</v>
      </c>
      <c r="CD17" s="10">
        <f>1.7/E17</f>
        <v>1.2772351615326822E-2</v>
      </c>
      <c r="CE17" s="10">
        <f>1.1/E17</f>
        <v>8.2644628099173556E-3</v>
      </c>
      <c r="CF17" s="10">
        <f>1.5/E17</f>
        <v>1.1269722013523668E-2</v>
      </c>
      <c r="CG17" s="10">
        <f>0.9/E17</f>
        <v>6.7618332081142004E-3</v>
      </c>
      <c r="CH17" s="10" t="s">
        <v>91</v>
      </c>
      <c r="CI17" s="10" t="s">
        <v>55</v>
      </c>
      <c r="CJ17" s="10">
        <f>3/E17</f>
        <v>2.2539444027047335E-2</v>
      </c>
      <c r="CK17" s="10">
        <f>0.2/E17</f>
        <v>1.5026296018031556E-3</v>
      </c>
      <c r="CL17" s="10" t="s">
        <v>232</v>
      </c>
      <c r="CM17" s="10" t="s">
        <v>55</v>
      </c>
      <c r="CN17" s="10">
        <f>1.4/E17</f>
        <v>1.0518407212622089E-2</v>
      </c>
      <c r="CO17" s="10">
        <f>0.8/E17</f>
        <v>6.0105184072126224E-3</v>
      </c>
      <c r="CP17" s="10" t="s">
        <v>233</v>
      </c>
      <c r="CQ17" s="10" t="s">
        <v>55</v>
      </c>
      <c r="CR17" s="10" t="s">
        <v>234</v>
      </c>
      <c r="CS17" s="10" t="s">
        <v>55</v>
      </c>
      <c r="CT17" s="10" t="s">
        <v>235</v>
      </c>
      <c r="CU17" s="10" t="s">
        <v>55</v>
      </c>
      <c r="CV17" s="10">
        <f>454/E17</f>
        <v>3.4109691960931632</v>
      </c>
      <c r="CW17" s="10">
        <f>47/E17</f>
        <v>0.35311795642374155</v>
      </c>
      <c r="CX17" s="10">
        <f>0.6/E17</f>
        <v>4.5078888054094664E-3</v>
      </c>
      <c r="CY17" s="10">
        <f>0.4/E17</f>
        <v>3.0052592036063112E-3</v>
      </c>
      <c r="CZ17" s="10">
        <f>1.2/E17</f>
        <v>9.0157776108189328E-3</v>
      </c>
      <c r="DA17" s="10">
        <f>0.1/E17</f>
        <v>7.513148009015778E-4</v>
      </c>
      <c r="DB17" s="10">
        <f>0.7/E17</f>
        <v>5.2592036063110444E-3</v>
      </c>
      <c r="DC17" s="10">
        <f>0.6/E17</f>
        <v>4.5078888054094664E-3</v>
      </c>
      <c r="DD17" s="10">
        <f>5.4/E17</f>
        <v>4.0570999248685201E-2</v>
      </c>
      <c r="DE17" s="10">
        <f>0.1/E17</f>
        <v>7.513148009015778E-4</v>
      </c>
      <c r="DF17" s="10">
        <f>9.7/E17</f>
        <v>7.2877535687453046E-2</v>
      </c>
      <c r="DG17" s="10">
        <f>0.2/E17</f>
        <v>1.5026296018031556E-3</v>
      </c>
      <c r="DH17" s="10">
        <f>99/E17</f>
        <v>0.74380165289256206</v>
      </c>
      <c r="DI17" s="10">
        <f>10/E17</f>
        <v>7.5131480090157785E-2</v>
      </c>
      <c r="DJ17" s="10">
        <f>120/E17</f>
        <v>0.90157776108189336</v>
      </c>
      <c r="DK17" s="10">
        <f>21/E17</f>
        <v>0.15777610818933133</v>
      </c>
      <c r="DL17" s="10">
        <f>158/E17</f>
        <v>1.1870773854244929</v>
      </c>
      <c r="DM17" s="10">
        <f>34/E17</f>
        <v>0.25544703230653643</v>
      </c>
      <c r="DN17" s="10">
        <f>3/E17</f>
        <v>2.2539444027047335E-2</v>
      </c>
      <c r="DO17" s="10">
        <f>0.1/E17</f>
        <v>7.513148009015778E-4</v>
      </c>
      <c r="DP17" s="10">
        <f>40/E17</f>
        <v>0.30052592036063114</v>
      </c>
      <c r="DQ17" s="10">
        <f>6/E17</f>
        <v>4.5078888054094671E-2</v>
      </c>
      <c r="DR17" s="10">
        <f>6.4/E17</f>
        <v>4.8084147257700979E-2</v>
      </c>
      <c r="DS17" s="10">
        <f>0.5/E17</f>
        <v>3.7565740045078888E-3</v>
      </c>
      <c r="DT17" s="10">
        <f>60/E17</f>
        <v>0.45078888054094668</v>
      </c>
      <c r="DU17" s="10">
        <f>34/E17</f>
        <v>0.25544703230653643</v>
      </c>
      <c r="DV17" s="10" t="s">
        <v>239</v>
      </c>
      <c r="DW17" s="10" t="s">
        <v>55</v>
      </c>
      <c r="DX17" s="10" t="s">
        <v>239</v>
      </c>
      <c r="DY17" s="10" t="s">
        <v>55</v>
      </c>
      <c r="DZ17" s="10">
        <f>2.2/E17</f>
        <v>1.6528925619834711E-2</v>
      </c>
      <c r="EA17" s="10">
        <f>1.5/E17</f>
        <v>1.1269722013523668E-2</v>
      </c>
      <c r="EB17" s="10">
        <f>0.5/E17</f>
        <v>3.7565740045078888E-3</v>
      </c>
      <c r="EC17" s="10">
        <f>0.2/E17</f>
        <v>1.5026296018031556E-3</v>
      </c>
      <c r="ED17" s="10">
        <f>1.1/E17</f>
        <v>8.2644628099173556E-3</v>
      </c>
      <c r="EE17" s="10">
        <f>0.2/E17</f>
        <v>1.5026296018031556E-3</v>
      </c>
      <c r="EF17" s="10">
        <f>0.5/E17</f>
        <v>3.7565740045078888E-3</v>
      </c>
      <c r="EG17" s="10">
        <f>0.1/E17</f>
        <v>7.513148009015778E-4</v>
      </c>
      <c r="EH17" s="10" t="s">
        <v>233</v>
      </c>
      <c r="EI17" s="10" t="s">
        <v>55</v>
      </c>
      <c r="EJ17" s="10" t="s">
        <v>233</v>
      </c>
      <c r="EK17" s="10" t="s">
        <v>55</v>
      </c>
      <c r="EL17" s="10" t="s">
        <v>233</v>
      </c>
      <c r="EM17" s="10" t="s">
        <v>55</v>
      </c>
      <c r="EN17" s="8">
        <f>45.9/E17</f>
        <v>0.34485349361382417</v>
      </c>
      <c r="EO17" s="8">
        <f>1/E17</f>
        <v>7.5131480090157776E-3</v>
      </c>
      <c r="EP17" s="8">
        <f>22.4/E17</f>
        <v>0.16829451540195342</v>
      </c>
      <c r="EQ17" s="8">
        <f>0.5/E17</f>
        <v>3.7565740045078888E-3</v>
      </c>
      <c r="ER17" s="8" t="s">
        <v>491</v>
      </c>
      <c r="ES17" s="8" t="s">
        <v>55</v>
      </c>
      <c r="ET17" s="8" t="s">
        <v>278</v>
      </c>
      <c r="EU17" s="8" t="s">
        <v>55</v>
      </c>
      <c r="EV17" s="8">
        <f>11/E17</f>
        <v>8.2644628099173556E-2</v>
      </c>
      <c r="EW17" s="8">
        <f>3/E17</f>
        <v>2.2539444027047335E-2</v>
      </c>
      <c r="EX17" s="8">
        <f>11/E17</f>
        <v>8.2644628099173556E-2</v>
      </c>
      <c r="EY17" s="8">
        <f>1/E17</f>
        <v>7.5131480090157776E-3</v>
      </c>
      <c r="EZ17" s="8">
        <f>5.1/E17</f>
        <v>3.8317054845980462E-2</v>
      </c>
      <c r="FA17" s="8">
        <f>0.8/E17</f>
        <v>6.0105184072126224E-3</v>
      </c>
      <c r="FB17" s="8">
        <f>0.8/E17</f>
        <v>6.0105184072126224E-3</v>
      </c>
      <c r="FC17" s="8">
        <f>0.1/E17</f>
        <v>7.513148009015778E-4</v>
      </c>
      <c r="FD17" s="8">
        <f>1/E17</f>
        <v>7.5131480090157776E-3</v>
      </c>
      <c r="FE17" s="8">
        <f>0.5/E17</f>
        <v>3.7565740045078888E-3</v>
      </c>
      <c r="FF17" s="10">
        <f>12/E17</f>
        <v>9.0157776108189341E-2</v>
      </c>
      <c r="FG17" s="10">
        <f>2/E17</f>
        <v>1.5026296018031555E-2</v>
      </c>
      <c r="FH17" s="10">
        <f>12/E17</f>
        <v>9.0157776108189341E-2</v>
      </c>
      <c r="FI17" s="10">
        <f>2/E17</f>
        <v>1.5026296018031555E-2</v>
      </c>
      <c r="FJ17" s="10">
        <f>5.1/E17</f>
        <v>3.8317054845980462E-2</v>
      </c>
      <c r="FK17" s="10">
        <f>1.1/E17</f>
        <v>8.2644628099173556E-3</v>
      </c>
      <c r="FL17" s="10">
        <f>11/E17</f>
        <v>8.2644628099173556E-2</v>
      </c>
      <c r="FM17" s="10">
        <f>2/E17</f>
        <v>1.5026296018031555E-2</v>
      </c>
      <c r="FN17" s="10">
        <f>27/E17</f>
        <v>0.20285499624342601</v>
      </c>
      <c r="FO17" s="10">
        <f>2/E17</f>
        <v>1.5026296018031555E-2</v>
      </c>
      <c r="FP17" s="10">
        <f>17/E17</f>
        <v>0.12772351615326821</v>
      </c>
      <c r="FQ17" s="10">
        <f>2/E17</f>
        <v>1.5026296018031555E-2</v>
      </c>
      <c r="FR17" s="10">
        <f>7.1/E17</f>
        <v>5.3343350864012019E-2</v>
      </c>
      <c r="FS17" s="10">
        <f>0.8/E17</f>
        <v>6.0105184072126224E-3</v>
      </c>
      <c r="FT17" s="8">
        <v>0.66</v>
      </c>
      <c r="FU17" s="8">
        <v>0.01</v>
      </c>
      <c r="FV17" s="8">
        <v>0.21</v>
      </c>
      <c r="FW17" s="8">
        <v>0.02</v>
      </c>
      <c r="FX17" s="8" t="s">
        <v>157</v>
      </c>
      <c r="FY17" s="8" t="s">
        <v>55</v>
      </c>
      <c r="FZ17" s="8">
        <v>0.17</v>
      </c>
      <c r="GA17" s="8">
        <v>0.01</v>
      </c>
      <c r="GB17" s="8" t="s">
        <v>157</v>
      </c>
      <c r="GC17" s="8" t="s">
        <v>55</v>
      </c>
      <c r="GD17" s="8" t="s">
        <v>157</v>
      </c>
      <c r="GE17" s="8" t="s">
        <v>55</v>
      </c>
      <c r="GF17" s="8">
        <v>0.13</v>
      </c>
      <c r="GG17" s="8">
        <v>0.01</v>
      </c>
      <c r="GH17" s="8">
        <v>0.21</v>
      </c>
      <c r="GI17" s="8">
        <v>0.01</v>
      </c>
      <c r="GJ17" s="8">
        <v>1</v>
      </c>
      <c r="GK17" s="8">
        <v>0.24</v>
      </c>
      <c r="GL17" s="8" t="s">
        <v>157</v>
      </c>
      <c r="GM17" s="8" t="s">
        <v>55</v>
      </c>
      <c r="GN17" s="8">
        <v>0.19</v>
      </c>
      <c r="GO17" s="8">
        <v>0.1</v>
      </c>
      <c r="GP17" s="8" t="s">
        <v>157</v>
      </c>
      <c r="GQ17" s="8" t="s">
        <v>55</v>
      </c>
      <c r="GR17" s="8" t="s">
        <v>89</v>
      </c>
      <c r="GS17" s="8" t="s">
        <v>55</v>
      </c>
      <c r="GT17" s="8" t="s">
        <v>89</v>
      </c>
      <c r="GU17" s="8" t="s">
        <v>55</v>
      </c>
      <c r="GV17" s="8">
        <v>1.35</v>
      </c>
      <c r="GW17" s="8">
        <v>0.14000000000000001</v>
      </c>
      <c r="GX17" s="8" t="s">
        <v>493</v>
      </c>
      <c r="GY17" s="8" t="s">
        <v>55</v>
      </c>
      <c r="GZ17" s="10" t="s">
        <v>56</v>
      </c>
      <c r="HA17" s="10" t="s">
        <v>55</v>
      </c>
      <c r="HB17" s="10" t="s">
        <v>56</v>
      </c>
      <c r="HC17" s="10" t="s">
        <v>55</v>
      </c>
      <c r="HD17" s="10" t="s">
        <v>56</v>
      </c>
      <c r="HE17" s="10" t="s">
        <v>55</v>
      </c>
      <c r="HF17" s="10" t="s">
        <v>56</v>
      </c>
      <c r="HG17" s="10" t="s">
        <v>55</v>
      </c>
      <c r="HH17" s="10" t="s">
        <v>56</v>
      </c>
      <c r="HI17" s="10" t="s">
        <v>55</v>
      </c>
      <c r="HJ17" s="10" t="s">
        <v>56</v>
      </c>
      <c r="HK17" s="10" t="s">
        <v>55</v>
      </c>
      <c r="HL17" s="10" t="s">
        <v>56</v>
      </c>
      <c r="HM17" s="10" t="s">
        <v>55</v>
      </c>
      <c r="HN17" s="10" t="s">
        <v>56</v>
      </c>
      <c r="HO17" s="10" t="s">
        <v>55</v>
      </c>
      <c r="HP17" s="10">
        <v>211</v>
      </c>
      <c r="HQ17" s="10">
        <v>14</v>
      </c>
      <c r="HR17" s="10">
        <v>211</v>
      </c>
      <c r="HS17" s="10">
        <v>14</v>
      </c>
      <c r="HT17" s="10">
        <v>17.100000000000001</v>
      </c>
      <c r="HU17" s="10">
        <v>1.8</v>
      </c>
      <c r="HV17" s="10">
        <v>15.1</v>
      </c>
      <c r="HW17" s="10">
        <v>0.3</v>
      </c>
      <c r="HX17" s="10" t="s">
        <v>317</v>
      </c>
      <c r="HY17" s="10" t="s">
        <v>55</v>
      </c>
      <c r="HZ17" s="10">
        <v>1.3</v>
      </c>
      <c r="IA17" s="10">
        <v>0.13</v>
      </c>
      <c r="IB17" s="10">
        <v>18.399999999999999</v>
      </c>
      <c r="IC17" s="10">
        <v>0.7</v>
      </c>
      <c r="ID17" s="1">
        <v>0.25030000000000002</v>
      </c>
      <c r="IE17" s="1">
        <v>8.1100000000000005E-2</v>
      </c>
      <c r="IF17" s="10" t="s">
        <v>75</v>
      </c>
      <c r="IG17" s="10" t="s">
        <v>55</v>
      </c>
      <c r="IH17" s="4" t="s">
        <v>56</v>
      </c>
      <c r="II17" s="4" t="s">
        <v>56</v>
      </c>
      <c r="IJ17" s="4" t="s">
        <v>56</v>
      </c>
      <c r="IK17" s="4" t="s">
        <v>56</v>
      </c>
      <c r="IL17" s="4" t="s">
        <v>56</v>
      </c>
      <c r="IM17" s="4" t="s">
        <v>56</v>
      </c>
      <c r="IN17" s="4" t="s">
        <v>56</v>
      </c>
      <c r="IO17" s="4" t="s">
        <v>56</v>
      </c>
      <c r="IP17" s="4" t="s">
        <v>56</v>
      </c>
      <c r="IQ17" s="4" t="s">
        <v>56</v>
      </c>
      <c r="IR17" s="4" t="s">
        <v>56</v>
      </c>
      <c r="IS17" s="4" t="s">
        <v>56</v>
      </c>
      <c r="IT17" s="4" t="s">
        <v>204</v>
      </c>
      <c r="IU17" s="4" t="s">
        <v>55</v>
      </c>
      <c r="IV17" s="4" t="s">
        <v>556</v>
      </c>
      <c r="IW17" s="4" t="s">
        <v>55</v>
      </c>
      <c r="IX17" s="4" t="s">
        <v>556</v>
      </c>
      <c r="IY17" s="4" t="s">
        <v>55</v>
      </c>
      <c r="IZ17" s="4" t="s">
        <v>556</v>
      </c>
      <c r="JA17" s="4" t="s">
        <v>55</v>
      </c>
      <c r="JB17" s="4" t="s">
        <v>556</v>
      </c>
      <c r="JC17" s="4" t="s">
        <v>55</v>
      </c>
      <c r="JD17" s="4" t="s">
        <v>556</v>
      </c>
      <c r="JE17" s="4" t="s">
        <v>55</v>
      </c>
      <c r="JF17" s="4" t="s">
        <v>556</v>
      </c>
      <c r="JG17" s="4" t="s">
        <v>55</v>
      </c>
      <c r="JH17" s="4" t="s">
        <v>556</v>
      </c>
      <c r="JI17" s="4" t="s">
        <v>55</v>
      </c>
      <c r="JJ17" s="4" t="s">
        <v>556</v>
      </c>
      <c r="JK17" s="4" t="s">
        <v>55</v>
      </c>
      <c r="JL17" s="4" t="s">
        <v>556</v>
      </c>
      <c r="JM17" s="4" t="s">
        <v>55</v>
      </c>
      <c r="JN17" s="4" t="s">
        <v>556</v>
      </c>
      <c r="JO17" s="4" t="s">
        <v>55</v>
      </c>
      <c r="JP17" s="4" t="s">
        <v>556</v>
      </c>
      <c r="JQ17" s="4" t="s">
        <v>55</v>
      </c>
      <c r="JR17" s="4" t="s">
        <v>556</v>
      </c>
      <c r="JS17" s="4" t="s">
        <v>55</v>
      </c>
      <c r="JT17" s="4" t="s">
        <v>556</v>
      </c>
      <c r="JU17" s="4" t="s">
        <v>55</v>
      </c>
      <c r="JV17" s="4" t="s">
        <v>556</v>
      </c>
      <c r="JW17" s="4" t="s">
        <v>55</v>
      </c>
      <c r="JX17" s="26">
        <v>219.58516361980514</v>
      </c>
      <c r="JY17" s="26">
        <v>90.655554443039136</v>
      </c>
      <c r="JZ17" s="26">
        <v>201.01402129230019</v>
      </c>
      <c r="KA17" s="26">
        <v>60.833345446032467</v>
      </c>
      <c r="KB17" s="26">
        <v>85.521771089206936</v>
      </c>
      <c r="KC17" s="26">
        <v>64.990056163557782</v>
      </c>
      <c r="KD17" s="26">
        <v>41.121823767158759</v>
      </c>
      <c r="KE17" s="26">
        <v>34.754713306845417</v>
      </c>
      <c r="KF17" s="26">
        <v>148.47345178056273</v>
      </c>
      <c r="KG17" s="26">
        <v>72.94051836757761</v>
      </c>
      <c r="KH17" s="10" t="s">
        <v>56</v>
      </c>
      <c r="KI17" s="4" t="s">
        <v>55</v>
      </c>
      <c r="KJ17" s="10" t="s">
        <v>56</v>
      </c>
      <c r="KK17" s="4" t="s">
        <v>55</v>
      </c>
      <c r="KL17" s="10" t="s">
        <v>56</v>
      </c>
      <c r="KM17" s="4" t="s">
        <v>55</v>
      </c>
      <c r="KN17" s="10" t="s">
        <v>56</v>
      </c>
      <c r="KO17" s="4" t="s">
        <v>55</v>
      </c>
      <c r="KP17" s="10" t="s">
        <v>56</v>
      </c>
      <c r="KQ17" s="4" t="s">
        <v>55</v>
      </c>
      <c r="KR17" s="4">
        <v>21.9</v>
      </c>
      <c r="KS17" s="4">
        <v>1.9</v>
      </c>
      <c r="KT17" s="4" t="s">
        <v>61</v>
      </c>
      <c r="KU17" s="4" t="s">
        <v>55</v>
      </c>
      <c r="KV17" s="4">
        <v>143.4</v>
      </c>
      <c r="KW17" s="4">
        <v>65.7</v>
      </c>
      <c r="KX17" s="4">
        <v>174.3</v>
      </c>
      <c r="KY17" s="4">
        <v>53.8</v>
      </c>
      <c r="KZ17" s="4">
        <v>104.7</v>
      </c>
      <c r="LA17" s="4">
        <v>24.8</v>
      </c>
      <c r="LB17" s="10" t="s">
        <v>56</v>
      </c>
      <c r="LC17" s="4" t="s">
        <v>55</v>
      </c>
      <c r="LD17" s="10">
        <f>9.1*1000</f>
        <v>9100</v>
      </c>
      <c r="LE17" s="10">
        <f>2.2*1000</f>
        <v>2200</v>
      </c>
      <c r="LF17" s="10">
        <f>0.28*1000</f>
        <v>280</v>
      </c>
      <c r="LG17" s="10">
        <f>0.04*1000</f>
        <v>40</v>
      </c>
      <c r="LH17" s="10">
        <f>0.02*1000</f>
        <v>20</v>
      </c>
      <c r="LI17" s="10">
        <f>0.004*1000</f>
        <v>4</v>
      </c>
      <c r="LJ17" s="10" t="s">
        <v>56</v>
      </c>
      <c r="LK17" s="4" t="s">
        <v>55</v>
      </c>
      <c r="LL17" s="10" t="s">
        <v>56</v>
      </c>
      <c r="LM17" s="4" t="s">
        <v>55</v>
      </c>
      <c r="LN17" s="10" t="s">
        <v>56</v>
      </c>
      <c r="LO17" s="4" t="s">
        <v>55</v>
      </c>
      <c r="LP17" s="10" t="s">
        <v>56</v>
      </c>
      <c r="LQ17" s="4" t="s">
        <v>55</v>
      </c>
      <c r="LR17" s="10" t="s">
        <v>56</v>
      </c>
      <c r="LS17" s="4" t="s">
        <v>55</v>
      </c>
      <c r="LT17" s="10" t="s">
        <v>56</v>
      </c>
      <c r="LU17" s="4" t="s">
        <v>55</v>
      </c>
      <c r="LV17" s="10" t="s">
        <v>56</v>
      </c>
      <c r="LW17" s="4" t="s">
        <v>55</v>
      </c>
      <c r="LX17" s="10" t="s">
        <v>56</v>
      </c>
      <c r="LY17" s="4" t="s">
        <v>55</v>
      </c>
      <c r="LZ17" s="10" t="s">
        <v>56</v>
      </c>
      <c r="MA17" s="4" t="s">
        <v>55</v>
      </c>
      <c r="MB17" s="10" t="s">
        <v>56</v>
      </c>
      <c r="MC17" s="4" t="s">
        <v>55</v>
      </c>
      <c r="MD17" s="10" t="s">
        <v>56</v>
      </c>
      <c r="ME17" s="4" t="s">
        <v>55</v>
      </c>
      <c r="MF17" s="10" t="s">
        <v>56</v>
      </c>
      <c r="MG17" s="4" t="s">
        <v>55</v>
      </c>
      <c r="MH17" s="10" t="s">
        <v>56</v>
      </c>
      <c r="MI17" s="4" t="s">
        <v>55</v>
      </c>
      <c r="MJ17" s="10" t="s">
        <v>56</v>
      </c>
      <c r="MK17" s="4" t="s">
        <v>55</v>
      </c>
      <c r="ML17" s="10" t="s">
        <v>56</v>
      </c>
      <c r="MM17" s="4" t="s">
        <v>55</v>
      </c>
      <c r="MN17" s="10" t="s">
        <v>56</v>
      </c>
      <c r="MO17" s="4" t="s">
        <v>55</v>
      </c>
      <c r="MP17" s="10" t="s">
        <v>56</v>
      </c>
      <c r="MQ17" s="4" t="s">
        <v>55</v>
      </c>
      <c r="MR17" s="10" t="s">
        <v>56</v>
      </c>
      <c r="MS17" s="4" t="s">
        <v>55</v>
      </c>
      <c r="MT17" s="10" t="s">
        <v>56</v>
      </c>
      <c r="MU17" s="4" t="s">
        <v>55</v>
      </c>
      <c r="MV17" s="10" t="s">
        <v>56</v>
      </c>
      <c r="MW17" s="4" t="s">
        <v>55</v>
      </c>
      <c r="MX17" s="10" t="s">
        <v>56</v>
      </c>
      <c r="MY17" s="4" t="s">
        <v>55</v>
      </c>
      <c r="MZ17" s="10" t="s">
        <v>56</v>
      </c>
      <c r="NA17" s="4" t="s">
        <v>55</v>
      </c>
      <c r="NB17" s="10" t="s">
        <v>56</v>
      </c>
      <c r="NC17" s="4" t="s">
        <v>55</v>
      </c>
      <c r="ND17" s="10" t="s">
        <v>56</v>
      </c>
      <c r="NE17" s="4" t="s">
        <v>55</v>
      </c>
      <c r="NF17" s="10" t="s">
        <v>56</v>
      </c>
      <c r="NG17" s="4" t="s">
        <v>55</v>
      </c>
      <c r="NH17" s="10" t="s">
        <v>56</v>
      </c>
      <c r="NI17" s="4" t="s">
        <v>55</v>
      </c>
      <c r="NJ17" s="10" t="s">
        <v>56</v>
      </c>
      <c r="NK17" s="4" t="s">
        <v>55</v>
      </c>
      <c r="NL17" s="10" t="s">
        <v>56</v>
      </c>
      <c r="NM17" s="4" t="s">
        <v>55</v>
      </c>
      <c r="NN17" s="10" t="s">
        <v>56</v>
      </c>
      <c r="NO17" s="4" t="s">
        <v>55</v>
      </c>
      <c r="NP17" s="10" t="s">
        <v>56</v>
      </c>
      <c r="NQ17" s="4" t="s">
        <v>55</v>
      </c>
      <c r="NR17" s="10" t="s">
        <v>57</v>
      </c>
      <c r="NS17" s="10" t="s">
        <v>55</v>
      </c>
      <c r="NT17" s="10">
        <f>(1.3*1000)/E17</f>
        <v>9.7670924117205118</v>
      </c>
      <c r="NU17" s="10">
        <f>(0.3*1000)/E17</f>
        <v>2.2539444027047333</v>
      </c>
    </row>
    <row r="18" spans="1:385" x14ac:dyDescent="0.2">
      <c r="A18" t="s">
        <v>8</v>
      </c>
      <c r="B18" s="1" t="s">
        <v>1037</v>
      </c>
      <c r="C18" s="1" t="s">
        <v>859</v>
      </c>
      <c r="D18" s="39" cm="1">
        <f t="array" ref="D18">SUMPRODUCT((ISNUMBER(F18:NU18))*(MOD(COLUMN(F18:NU18),2)=0))</f>
        <v>103</v>
      </c>
      <c r="E18" s="1">
        <v>133.1</v>
      </c>
      <c r="F18" s="1" t="s">
        <v>54</v>
      </c>
      <c r="G18" s="1" t="s">
        <v>58</v>
      </c>
      <c r="H18" s="1">
        <v>4.4600000000000001E-2</v>
      </c>
      <c r="I18" s="1" t="s">
        <v>58</v>
      </c>
      <c r="J18" s="1">
        <v>3.5000000000000001E-3</v>
      </c>
      <c r="K18" s="1">
        <v>2.9999999999999997E-4</v>
      </c>
      <c r="L18" s="1">
        <v>4.4999999999999997E-3</v>
      </c>
      <c r="M18" s="1" t="s">
        <v>58</v>
      </c>
      <c r="N18" s="1" t="s">
        <v>59</v>
      </c>
      <c r="O18" s="1" t="s">
        <v>55</v>
      </c>
      <c r="P18" s="9">
        <f>19/E18</f>
        <v>0.14274981217129978</v>
      </c>
      <c r="Q18" s="9">
        <f>4/E18</f>
        <v>3.005259203606311E-2</v>
      </c>
      <c r="R18" s="1" t="s">
        <v>90</v>
      </c>
      <c r="S18" s="1" t="s">
        <v>55</v>
      </c>
      <c r="T18" s="1">
        <v>0.18</v>
      </c>
      <c r="U18" s="1">
        <v>0.05</v>
      </c>
      <c r="V18" s="1">
        <v>7.9</v>
      </c>
      <c r="W18" s="1">
        <v>2.09</v>
      </c>
      <c r="X18" s="1">
        <v>5.23</v>
      </c>
      <c r="Y18" s="1">
        <v>7.0000000000000007E-2</v>
      </c>
      <c r="Z18" s="9">
        <f>524/E18</f>
        <v>3.9368895567242674</v>
      </c>
      <c r="AA18" s="9">
        <f>76/E18</f>
        <v>0.57099924868519913</v>
      </c>
      <c r="AB18" s="1">
        <v>7.63</v>
      </c>
      <c r="AC18" s="1">
        <v>1.0900000000000001</v>
      </c>
      <c r="AD18" s="1">
        <v>4.03</v>
      </c>
      <c r="AE18" s="1">
        <v>1.28</v>
      </c>
      <c r="AF18" s="11" t="s">
        <v>90</v>
      </c>
      <c r="AG18" s="11" t="s">
        <v>55</v>
      </c>
      <c r="AH18" s="11" t="s">
        <v>90</v>
      </c>
      <c r="AI18" s="11" t="s">
        <v>55</v>
      </c>
      <c r="AJ18" s="11">
        <f>281/E18</f>
        <v>2.1111945905334335</v>
      </c>
      <c r="AK18" s="11">
        <f>23/E18</f>
        <v>0.1728024042073629</v>
      </c>
      <c r="AL18" s="1">
        <v>3</v>
      </c>
      <c r="AM18" s="1">
        <v>0.1</v>
      </c>
      <c r="AN18" s="11">
        <v>1.7</v>
      </c>
      <c r="AO18" s="11">
        <v>0.1</v>
      </c>
      <c r="AP18" s="11">
        <v>2.5</v>
      </c>
      <c r="AQ18" s="11">
        <v>0.3</v>
      </c>
      <c r="AR18" s="10">
        <f>267/E18</f>
        <v>2.0060105184072126</v>
      </c>
      <c r="AS18" s="10">
        <f>53/E18</f>
        <v>0.39819684447783621</v>
      </c>
      <c r="AT18" s="11">
        <f>132/E18</f>
        <v>0.99173553719008267</v>
      </c>
      <c r="AU18" s="11">
        <f>15/E18</f>
        <v>0.11269722013523667</v>
      </c>
      <c r="AV18" s="11">
        <f>151/E18</f>
        <v>1.1344853493613825</v>
      </c>
      <c r="AW18" s="11">
        <f>73/E18</f>
        <v>0.54845980465815181</v>
      </c>
      <c r="AX18" s="11">
        <f>112/E18</f>
        <v>0.84147257700976708</v>
      </c>
      <c r="AY18" s="11">
        <f>41/E18</f>
        <v>0.3080390683696469</v>
      </c>
      <c r="AZ18" s="1">
        <v>4.9000000000000004</v>
      </c>
      <c r="BA18" s="1">
        <v>0.2</v>
      </c>
      <c r="BB18" s="1" t="s">
        <v>91</v>
      </c>
      <c r="BC18" s="1" t="s">
        <v>55</v>
      </c>
      <c r="BD18" s="1">
        <v>14.1</v>
      </c>
      <c r="BE18" s="1" t="s">
        <v>55</v>
      </c>
      <c r="BF18" s="1">
        <v>0.44</v>
      </c>
      <c r="BG18" s="1">
        <v>0.04</v>
      </c>
      <c r="BH18" s="1">
        <v>0.24</v>
      </c>
      <c r="BI18" s="1">
        <v>0.05</v>
      </c>
      <c r="BJ18" s="1">
        <v>8.48</v>
      </c>
      <c r="BK18" s="1">
        <v>1.08</v>
      </c>
      <c r="BL18" s="1">
        <v>1.5</v>
      </c>
      <c r="BM18" s="1">
        <v>0.04</v>
      </c>
      <c r="BN18" s="1">
        <v>10.1</v>
      </c>
      <c r="BO18" s="1">
        <v>0.3</v>
      </c>
      <c r="BP18" s="1">
        <v>27</v>
      </c>
      <c r="BQ18" s="1">
        <v>1</v>
      </c>
      <c r="BR18" s="11">
        <f>55/E18</f>
        <v>0.41322314049586778</v>
      </c>
      <c r="BS18" s="11">
        <f>28/E18</f>
        <v>0.21036814425244177</v>
      </c>
      <c r="BT18" s="4">
        <v>0.63</v>
      </c>
      <c r="BU18" s="4">
        <v>0.04</v>
      </c>
      <c r="BV18" s="1">
        <v>0.14000000000000001</v>
      </c>
      <c r="BW18" s="1">
        <v>7.0000000000000007E-2</v>
      </c>
      <c r="BX18" s="1">
        <v>0.03</v>
      </c>
      <c r="BY18" s="1">
        <v>0.01</v>
      </c>
      <c r="BZ18" s="10" t="s">
        <v>236</v>
      </c>
      <c r="CA18" s="10" t="s">
        <v>55</v>
      </c>
      <c r="CB18" s="10" t="s">
        <v>88</v>
      </c>
      <c r="CC18" s="10" t="s">
        <v>55</v>
      </c>
      <c r="CD18" s="10">
        <f>1.4/E18</f>
        <v>1.0518407212622089E-2</v>
      </c>
      <c r="CE18" s="10">
        <f>0.6/E18</f>
        <v>4.5078888054094664E-3</v>
      </c>
      <c r="CF18" s="10">
        <f>4.1/E18</f>
        <v>3.0803906836964687E-2</v>
      </c>
      <c r="CG18" s="10">
        <f>3.1/E18</f>
        <v>2.3290758827948913E-2</v>
      </c>
      <c r="CH18" s="10" t="s">
        <v>237</v>
      </c>
      <c r="CI18" s="10" t="s">
        <v>55</v>
      </c>
      <c r="CJ18" s="10">
        <f>5/E18</f>
        <v>3.7565740045078892E-2</v>
      </c>
      <c r="CK18" s="10">
        <f>1.5/E18</f>
        <v>1.1269722013523668E-2</v>
      </c>
      <c r="CL18" s="10" t="s">
        <v>90</v>
      </c>
      <c r="CM18" s="10" t="s">
        <v>55</v>
      </c>
      <c r="CN18" s="10">
        <f>6.9/E18</f>
        <v>5.1840721262208872E-2</v>
      </c>
      <c r="CO18" s="10">
        <f>3.5/E18</f>
        <v>2.6296018031555221E-2</v>
      </c>
      <c r="CP18" s="10" t="s">
        <v>238</v>
      </c>
      <c r="CQ18" s="10" t="s">
        <v>55</v>
      </c>
      <c r="CR18" s="10" t="s">
        <v>239</v>
      </c>
      <c r="CS18" s="10" t="s">
        <v>55</v>
      </c>
      <c r="CT18" s="10">
        <f>18/E18</f>
        <v>0.135236664162284</v>
      </c>
      <c r="CU18" s="10">
        <f>3/E18</f>
        <v>2.2539444027047335E-2</v>
      </c>
      <c r="CV18" s="10">
        <f>801/E18</f>
        <v>6.0180315552216381</v>
      </c>
      <c r="CW18" s="10">
        <f>233/E18</f>
        <v>1.7505634861006762</v>
      </c>
      <c r="CX18" s="10">
        <f>2/E18</f>
        <v>1.5026296018031555E-2</v>
      </c>
      <c r="CY18" s="10">
        <f>1/E18</f>
        <v>7.5131480090157776E-3</v>
      </c>
      <c r="CZ18" s="10">
        <f>1.6/E18</f>
        <v>1.2021036814425245E-2</v>
      </c>
      <c r="DA18" s="10">
        <f>0.1/E18</f>
        <v>7.513148009015778E-4</v>
      </c>
      <c r="DB18" s="10">
        <f>0.6/E18</f>
        <v>4.5078888054094664E-3</v>
      </c>
      <c r="DC18" s="10">
        <f>0.1/E18</f>
        <v>7.513148009015778E-4</v>
      </c>
      <c r="DD18" s="10">
        <f>12/E18</f>
        <v>9.0157776108189341E-2</v>
      </c>
      <c r="DE18" s="10">
        <f>0.2/E18</f>
        <v>1.5026296018031556E-3</v>
      </c>
      <c r="DF18" s="10">
        <f>15.5/E18</f>
        <v>0.11645379413974456</v>
      </c>
      <c r="DG18" s="10">
        <f>0.6/E18</f>
        <v>4.5078888054094664E-3</v>
      </c>
      <c r="DH18" s="10">
        <f>273/E18</f>
        <v>2.0510894064613074</v>
      </c>
      <c r="DI18" s="10">
        <f>40/E18</f>
        <v>0.30052592036063114</v>
      </c>
      <c r="DJ18" s="10">
        <f>210/E18</f>
        <v>1.5777610818933134</v>
      </c>
      <c r="DK18" s="10">
        <f>36/E18</f>
        <v>0.270473328324568</v>
      </c>
      <c r="DL18" s="10">
        <f>247/E18</f>
        <v>1.8557475582268972</v>
      </c>
      <c r="DM18" s="10">
        <f>51/E18</f>
        <v>0.38317054845980469</v>
      </c>
      <c r="DN18" s="10">
        <f>14/E18</f>
        <v>0.10518407212622088</v>
      </c>
      <c r="DO18" s="10">
        <f>5/E18</f>
        <v>3.7565740045078892E-2</v>
      </c>
      <c r="DP18" s="10">
        <f>47/E18</f>
        <v>0.35311795642374155</v>
      </c>
      <c r="DQ18" s="10">
        <f>3/E18</f>
        <v>2.2539444027047335E-2</v>
      </c>
      <c r="DR18" s="10">
        <f>10/E18</f>
        <v>7.5131480090157785E-2</v>
      </c>
      <c r="DS18" s="10">
        <f>1/E18</f>
        <v>7.5131480090157776E-3</v>
      </c>
      <c r="DT18" s="10">
        <f>166/E18</f>
        <v>1.2471825694966192</v>
      </c>
      <c r="DU18" s="10">
        <f>5/E18</f>
        <v>3.7565740045078892E-2</v>
      </c>
      <c r="DV18" s="10" t="s">
        <v>275</v>
      </c>
      <c r="DW18" s="10" t="s">
        <v>55</v>
      </c>
      <c r="DX18" s="10" t="s">
        <v>276</v>
      </c>
      <c r="DY18" s="10" t="s">
        <v>55</v>
      </c>
      <c r="DZ18" s="10">
        <f>10/E18</f>
        <v>7.5131480090157785E-2</v>
      </c>
      <c r="EA18" s="10">
        <f>6/E18</f>
        <v>4.5078888054094671E-2</v>
      </c>
      <c r="EB18" s="10">
        <f>2.2/E18</f>
        <v>1.6528925619834711E-2</v>
      </c>
      <c r="EC18" s="10">
        <f>0.3/E18</f>
        <v>2.2539444027047332E-3</v>
      </c>
      <c r="ED18" s="10">
        <f>2/E18</f>
        <v>1.5026296018031555E-2</v>
      </c>
      <c r="EE18" s="10">
        <f>0.1/E18</f>
        <v>7.513148009015778E-4</v>
      </c>
      <c r="EF18" s="10">
        <f>1.7/E18</f>
        <v>1.2772351615326822E-2</v>
      </c>
      <c r="EG18" s="10">
        <f>0.2/E18</f>
        <v>1.5026296018031556E-3</v>
      </c>
      <c r="EH18" s="10" t="s">
        <v>233</v>
      </c>
      <c r="EI18" s="10" t="s">
        <v>55</v>
      </c>
      <c r="EJ18" s="10" t="s">
        <v>233</v>
      </c>
      <c r="EK18" s="10" t="s">
        <v>55</v>
      </c>
      <c r="EL18" s="10" t="s">
        <v>233</v>
      </c>
      <c r="EM18" s="10" t="s">
        <v>55</v>
      </c>
      <c r="EN18" s="8">
        <f>69/E18</f>
        <v>0.51840721262208866</v>
      </c>
      <c r="EO18" s="8">
        <f>1.5/E18</f>
        <v>1.1269722013523668E-2</v>
      </c>
      <c r="EP18" s="8">
        <f>32.8/E18</f>
        <v>0.2464312546957175</v>
      </c>
      <c r="EQ18" s="8">
        <f>0.8/E18</f>
        <v>6.0105184072126224E-3</v>
      </c>
      <c r="ER18" s="8" t="s">
        <v>492</v>
      </c>
      <c r="ES18" s="8" t="s">
        <v>55</v>
      </c>
      <c r="ET18" s="8" t="s">
        <v>492</v>
      </c>
      <c r="EU18" s="8" t="s">
        <v>55</v>
      </c>
      <c r="EV18" s="8">
        <f>59/E18</f>
        <v>0.44327573253193092</v>
      </c>
      <c r="EW18" s="8">
        <f>6/E18</f>
        <v>4.5078888054094671E-2</v>
      </c>
      <c r="EX18" s="8">
        <f>37/E18</f>
        <v>0.27798647633358381</v>
      </c>
      <c r="EY18" s="8">
        <f>3/E18</f>
        <v>2.2539444027047335E-2</v>
      </c>
      <c r="EZ18" s="8">
        <f>18/E18</f>
        <v>0.135236664162284</v>
      </c>
      <c r="FA18" s="8">
        <f>3/E18</f>
        <v>2.2539444027047335E-2</v>
      </c>
      <c r="FB18" s="8">
        <f>1.9/E18</f>
        <v>1.4274981217129978E-2</v>
      </c>
      <c r="FC18" s="8">
        <f>0.2/E18</f>
        <v>1.5026296018031556E-3</v>
      </c>
      <c r="FD18" s="8" t="s">
        <v>493</v>
      </c>
      <c r="FE18" s="8" t="s">
        <v>55</v>
      </c>
      <c r="FF18" s="10">
        <f>26/E18</f>
        <v>0.19534184823441023</v>
      </c>
      <c r="FG18" s="10">
        <f>1/E18</f>
        <v>7.5131480090157776E-3</v>
      </c>
      <c r="FH18" s="10">
        <f>22/E18</f>
        <v>0.16528925619834711</v>
      </c>
      <c r="FI18" s="10">
        <f>3/E18</f>
        <v>2.2539444027047335E-2</v>
      </c>
      <c r="FJ18" s="10">
        <f>5.3/E18</f>
        <v>3.9819684447783624E-2</v>
      </c>
      <c r="FK18" s="10">
        <f>2.1/E18</f>
        <v>1.5777610818933134E-2</v>
      </c>
      <c r="FL18" s="10">
        <f>23/E18</f>
        <v>0.1728024042073629</v>
      </c>
      <c r="FM18" s="10">
        <f>3/E18</f>
        <v>2.2539444027047335E-2</v>
      </c>
      <c r="FN18" s="10">
        <f>52/E18</f>
        <v>0.39068369646882045</v>
      </c>
      <c r="FO18" s="10">
        <f>3/E18</f>
        <v>2.2539444027047335E-2</v>
      </c>
      <c r="FP18" s="10">
        <f>27/E18</f>
        <v>0.20285499624342601</v>
      </c>
      <c r="FQ18" s="10">
        <f>2/E18</f>
        <v>1.5026296018031555E-2</v>
      </c>
      <c r="FR18" s="10">
        <f>15.3/E18</f>
        <v>0.11495116453794141</v>
      </c>
      <c r="FS18" s="10">
        <f>0.6/E18</f>
        <v>4.5078888054094664E-3</v>
      </c>
      <c r="FT18" s="8">
        <v>2.52</v>
      </c>
      <c r="FU18" s="8">
        <v>0.01</v>
      </c>
      <c r="FV18" s="8">
        <v>0.39</v>
      </c>
      <c r="FW18" s="8">
        <v>0.04</v>
      </c>
      <c r="FX18" s="8">
        <v>0.11</v>
      </c>
      <c r="FY18" s="8">
        <v>0.02</v>
      </c>
      <c r="FZ18" s="8">
        <v>0.68</v>
      </c>
      <c r="GA18" s="8">
        <v>0.02</v>
      </c>
      <c r="GB18" s="8" t="s">
        <v>157</v>
      </c>
      <c r="GC18" s="8" t="s">
        <v>55</v>
      </c>
      <c r="GD18" s="8" t="s">
        <v>157</v>
      </c>
      <c r="GE18" s="8" t="s">
        <v>55</v>
      </c>
      <c r="GF18" s="8" t="s">
        <v>157</v>
      </c>
      <c r="GG18" s="8" t="s">
        <v>55</v>
      </c>
      <c r="GH18" s="8" t="s">
        <v>157</v>
      </c>
      <c r="GI18" s="8" t="s">
        <v>55</v>
      </c>
      <c r="GJ18" s="8">
        <v>3.46</v>
      </c>
      <c r="GK18" s="8">
        <v>0.7</v>
      </c>
      <c r="GL18" s="8" t="s">
        <v>157</v>
      </c>
      <c r="GM18" s="8" t="s">
        <v>55</v>
      </c>
      <c r="GN18" s="8">
        <v>0.22</v>
      </c>
      <c r="GO18" s="8">
        <v>0.01</v>
      </c>
      <c r="GP18" s="8">
        <v>0.21</v>
      </c>
      <c r="GQ18" s="8">
        <v>0.01</v>
      </c>
      <c r="GR18" s="8">
        <v>0.02</v>
      </c>
      <c r="GS18" s="8">
        <v>0.01</v>
      </c>
      <c r="GT18" s="8">
        <v>7.0000000000000007E-2</v>
      </c>
      <c r="GU18" s="8">
        <v>0.01</v>
      </c>
      <c r="GV18" s="8">
        <v>1.22</v>
      </c>
      <c r="GW18" s="8">
        <v>0.12</v>
      </c>
      <c r="GX18" s="8" t="s">
        <v>493</v>
      </c>
      <c r="GY18" s="8" t="s">
        <v>55</v>
      </c>
      <c r="GZ18" s="10" t="s">
        <v>75</v>
      </c>
      <c r="HA18" s="10" t="s">
        <v>55</v>
      </c>
      <c r="HB18" s="10">
        <v>4.6635999999999997</v>
      </c>
      <c r="HC18" s="10" t="s">
        <v>55</v>
      </c>
      <c r="HD18" s="10">
        <v>39.698</v>
      </c>
      <c r="HE18" s="10" t="s">
        <v>55</v>
      </c>
      <c r="HF18" s="10">
        <v>45.488199999999999</v>
      </c>
      <c r="HG18" s="10" t="s">
        <v>55</v>
      </c>
      <c r="HH18" s="10">
        <v>22.846699999999998</v>
      </c>
      <c r="HI18" s="10" t="s">
        <v>55</v>
      </c>
      <c r="HJ18" s="10">
        <v>15.9786</v>
      </c>
      <c r="HK18" s="10" t="s">
        <v>55</v>
      </c>
      <c r="HL18" s="10" t="s">
        <v>75</v>
      </c>
      <c r="HM18" s="10" t="s">
        <v>55</v>
      </c>
      <c r="HN18" s="10">
        <v>20.4145</v>
      </c>
      <c r="HO18" s="10" t="s">
        <v>55</v>
      </c>
      <c r="HP18" s="10">
        <v>610</v>
      </c>
      <c r="HQ18" s="10">
        <v>60</v>
      </c>
      <c r="HR18" s="10">
        <v>900</v>
      </c>
      <c r="HS18" s="10">
        <v>60</v>
      </c>
      <c r="HT18" s="10">
        <v>73</v>
      </c>
      <c r="HU18" s="10">
        <v>7</v>
      </c>
      <c r="HV18" s="10">
        <v>66.3</v>
      </c>
      <c r="HW18" s="10">
        <v>0.9</v>
      </c>
      <c r="HX18" s="10">
        <v>4.3</v>
      </c>
      <c r="HY18" s="10">
        <v>0.4</v>
      </c>
      <c r="HZ18" s="10">
        <v>4</v>
      </c>
      <c r="IA18" s="10">
        <v>0.4</v>
      </c>
      <c r="IB18" s="10">
        <v>126</v>
      </c>
      <c r="IC18" s="10">
        <v>8</v>
      </c>
      <c r="ID18" s="1">
        <v>0.98170000000000002</v>
      </c>
      <c r="IE18" s="1">
        <v>0.41510000000000002</v>
      </c>
      <c r="IF18" s="10" t="s">
        <v>75</v>
      </c>
      <c r="IG18" s="10" t="s">
        <v>55</v>
      </c>
      <c r="IH18" s="10" t="s">
        <v>56</v>
      </c>
      <c r="II18" s="10" t="s">
        <v>56</v>
      </c>
      <c r="IJ18" s="10" t="s">
        <v>56</v>
      </c>
      <c r="IK18" s="10" t="s">
        <v>56</v>
      </c>
      <c r="IL18" s="10" t="s">
        <v>56</v>
      </c>
      <c r="IM18" s="10" t="s">
        <v>56</v>
      </c>
      <c r="IN18" s="10" t="s">
        <v>56</v>
      </c>
      <c r="IO18" s="10" t="s">
        <v>56</v>
      </c>
      <c r="IP18" s="10" t="s">
        <v>56</v>
      </c>
      <c r="IQ18" s="10" t="s">
        <v>56</v>
      </c>
      <c r="IR18" s="10" t="s">
        <v>56</v>
      </c>
      <c r="IS18" s="10" t="s">
        <v>56</v>
      </c>
      <c r="IT18" s="4" t="s">
        <v>204</v>
      </c>
      <c r="IU18" s="4" t="s">
        <v>55</v>
      </c>
      <c r="IV18" s="10" t="s">
        <v>56</v>
      </c>
      <c r="IW18" s="4" t="s">
        <v>55</v>
      </c>
      <c r="IX18" s="10" t="s">
        <v>56</v>
      </c>
      <c r="IY18" s="4" t="s">
        <v>55</v>
      </c>
      <c r="IZ18" s="10" t="s">
        <v>56</v>
      </c>
      <c r="JA18" s="4" t="s">
        <v>55</v>
      </c>
      <c r="JB18" s="10" t="s">
        <v>56</v>
      </c>
      <c r="JC18" s="4" t="s">
        <v>55</v>
      </c>
      <c r="JD18" s="10" t="s">
        <v>56</v>
      </c>
      <c r="JE18" s="4" t="s">
        <v>55</v>
      </c>
      <c r="JF18" s="10" t="s">
        <v>56</v>
      </c>
      <c r="JG18" s="4" t="s">
        <v>55</v>
      </c>
      <c r="JH18" s="10" t="s">
        <v>56</v>
      </c>
      <c r="JI18" s="4" t="s">
        <v>55</v>
      </c>
      <c r="JJ18" s="10" t="s">
        <v>56</v>
      </c>
      <c r="JK18" s="4" t="s">
        <v>55</v>
      </c>
      <c r="JL18" s="10" t="s">
        <v>56</v>
      </c>
      <c r="JM18" s="4" t="s">
        <v>55</v>
      </c>
      <c r="JN18" s="10" t="s">
        <v>56</v>
      </c>
      <c r="JO18" s="4" t="s">
        <v>55</v>
      </c>
      <c r="JP18" s="10" t="s">
        <v>56</v>
      </c>
      <c r="JQ18" s="4" t="s">
        <v>55</v>
      </c>
      <c r="JR18" s="10" t="s">
        <v>56</v>
      </c>
      <c r="JS18" s="4" t="s">
        <v>55</v>
      </c>
      <c r="JT18" s="10" t="s">
        <v>56</v>
      </c>
      <c r="JU18" s="4" t="s">
        <v>55</v>
      </c>
      <c r="JV18" s="10" t="s">
        <v>56</v>
      </c>
      <c r="JW18" s="4" t="s">
        <v>55</v>
      </c>
      <c r="JX18" s="26">
        <v>5165.0394045830826</v>
      </c>
      <c r="JY18" s="26">
        <v>1388.5369074787407</v>
      </c>
      <c r="JZ18" s="26">
        <v>4457.508081238836</v>
      </c>
      <c r="KA18" s="26">
        <v>1792.8077208530642</v>
      </c>
      <c r="KB18" s="26">
        <v>2172.5611748011047</v>
      </c>
      <c r="KC18" s="26">
        <v>1039.6851162788976</v>
      </c>
      <c r="KD18" s="26">
        <v>3169.5516206468842</v>
      </c>
      <c r="KE18" s="26">
        <v>2194.4541668183547</v>
      </c>
      <c r="KF18" s="26">
        <v>2461.5541964180775</v>
      </c>
      <c r="KG18" s="26">
        <v>525.28762717972404</v>
      </c>
      <c r="KH18" s="10" t="s">
        <v>56</v>
      </c>
      <c r="KI18" s="4" t="s">
        <v>55</v>
      </c>
      <c r="KJ18" s="10" t="s">
        <v>56</v>
      </c>
      <c r="KK18" s="4" t="s">
        <v>55</v>
      </c>
      <c r="KL18" s="10" t="s">
        <v>56</v>
      </c>
      <c r="KM18" s="4" t="s">
        <v>55</v>
      </c>
      <c r="KN18" s="10" t="s">
        <v>56</v>
      </c>
      <c r="KO18" s="4" t="s">
        <v>55</v>
      </c>
      <c r="KP18" s="10" t="s">
        <v>56</v>
      </c>
      <c r="KQ18" s="4" t="s">
        <v>55</v>
      </c>
      <c r="KR18" s="4">
        <v>719</v>
      </c>
      <c r="KS18" s="4">
        <v>164</v>
      </c>
      <c r="KT18" s="4">
        <v>375</v>
      </c>
      <c r="KU18" s="4">
        <v>95</v>
      </c>
      <c r="KV18" s="4">
        <v>786</v>
      </c>
      <c r="KW18" s="4">
        <v>97.1</v>
      </c>
      <c r="KX18" s="4">
        <v>1381.9</v>
      </c>
      <c r="KY18" s="4">
        <v>163.9</v>
      </c>
      <c r="KZ18" s="4">
        <v>1833.4</v>
      </c>
      <c r="LA18" s="4">
        <v>134.30000000000001</v>
      </c>
      <c r="LB18" s="10" t="s">
        <v>56</v>
      </c>
      <c r="LC18" s="4" t="s">
        <v>55</v>
      </c>
      <c r="LD18" s="10">
        <f>9*1000</f>
        <v>9000</v>
      </c>
      <c r="LE18" s="10">
        <f>1.1*1000</f>
        <v>1100</v>
      </c>
      <c r="LF18" s="10">
        <f>3.9*1000</f>
        <v>3900</v>
      </c>
      <c r="LG18" s="10">
        <f>0.3*1000</f>
        <v>300</v>
      </c>
      <c r="LH18" s="10">
        <f>1.44*1000</f>
        <v>1440</v>
      </c>
      <c r="LI18" s="10">
        <f>0.18*1000</f>
        <v>180</v>
      </c>
      <c r="LJ18" s="10" t="s">
        <v>56</v>
      </c>
      <c r="LK18" s="4" t="s">
        <v>55</v>
      </c>
      <c r="LL18" s="10" t="s">
        <v>56</v>
      </c>
      <c r="LM18" s="4" t="s">
        <v>55</v>
      </c>
      <c r="LN18" s="10" t="s">
        <v>56</v>
      </c>
      <c r="LO18" s="4" t="s">
        <v>55</v>
      </c>
      <c r="LP18" s="10" t="s">
        <v>56</v>
      </c>
      <c r="LQ18" s="4" t="s">
        <v>55</v>
      </c>
      <c r="LR18" s="10" t="s">
        <v>56</v>
      </c>
      <c r="LS18" s="4" t="s">
        <v>55</v>
      </c>
      <c r="LT18" s="10" t="s">
        <v>56</v>
      </c>
      <c r="LU18" s="4" t="s">
        <v>55</v>
      </c>
      <c r="LV18" s="10" t="s">
        <v>56</v>
      </c>
      <c r="LW18" s="4" t="s">
        <v>55</v>
      </c>
      <c r="LX18" s="10" t="s">
        <v>56</v>
      </c>
      <c r="LY18" s="4" t="s">
        <v>55</v>
      </c>
      <c r="LZ18" s="10" t="s">
        <v>56</v>
      </c>
      <c r="MA18" s="4" t="s">
        <v>55</v>
      </c>
      <c r="MB18" s="10" t="s">
        <v>56</v>
      </c>
      <c r="MC18" s="4" t="s">
        <v>55</v>
      </c>
      <c r="MD18" s="10" t="s">
        <v>56</v>
      </c>
      <c r="ME18" s="4" t="s">
        <v>55</v>
      </c>
      <c r="MF18" s="10" t="s">
        <v>56</v>
      </c>
      <c r="MG18" s="4" t="s">
        <v>55</v>
      </c>
      <c r="MH18" s="10" t="s">
        <v>56</v>
      </c>
      <c r="MI18" s="4" t="s">
        <v>55</v>
      </c>
      <c r="MJ18" s="10" t="s">
        <v>56</v>
      </c>
      <c r="MK18" s="4" t="s">
        <v>55</v>
      </c>
      <c r="ML18" s="10" t="s">
        <v>56</v>
      </c>
      <c r="MM18" s="4" t="s">
        <v>55</v>
      </c>
      <c r="MN18" s="10" t="s">
        <v>56</v>
      </c>
      <c r="MO18" s="4" t="s">
        <v>55</v>
      </c>
      <c r="MP18" s="10" t="s">
        <v>56</v>
      </c>
      <c r="MQ18" s="4" t="s">
        <v>55</v>
      </c>
      <c r="MR18" s="10" t="s">
        <v>56</v>
      </c>
      <c r="MS18" s="4" t="s">
        <v>55</v>
      </c>
      <c r="MT18" s="10" t="s">
        <v>56</v>
      </c>
      <c r="MU18" s="4" t="s">
        <v>55</v>
      </c>
      <c r="MV18" s="10" t="s">
        <v>56</v>
      </c>
      <c r="MW18" s="4" t="s">
        <v>55</v>
      </c>
      <c r="MX18" s="10" t="s">
        <v>56</v>
      </c>
      <c r="MY18" s="4" t="s">
        <v>55</v>
      </c>
      <c r="MZ18" s="10" t="s">
        <v>56</v>
      </c>
      <c r="NA18" s="4" t="s">
        <v>55</v>
      </c>
      <c r="NB18" s="10" t="s">
        <v>56</v>
      </c>
      <c r="NC18" s="4" t="s">
        <v>55</v>
      </c>
      <c r="ND18" s="10" t="s">
        <v>56</v>
      </c>
      <c r="NE18" s="4" t="s">
        <v>55</v>
      </c>
      <c r="NF18" s="10" t="s">
        <v>56</v>
      </c>
      <c r="NG18" s="4" t="s">
        <v>55</v>
      </c>
      <c r="NH18" s="10" t="s">
        <v>56</v>
      </c>
      <c r="NI18" s="4" t="s">
        <v>55</v>
      </c>
      <c r="NJ18" s="10" t="s">
        <v>56</v>
      </c>
      <c r="NK18" s="4" t="s">
        <v>55</v>
      </c>
      <c r="NL18" s="10" t="s">
        <v>56</v>
      </c>
      <c r="NM18" s="4" t="s">
        <v>55</v>
      </c>
      <c r="NN18" s="10" t="s">
        <v>56</v>
      </c>
      <c r="NO18" s="4" t="s">
        <v>55</v>
      </c>
      <c r="NP18" s="10" t="s">
        <v>56</v>
      </c>
      <c r="NQ18" s="4" t="s">
        <v>55</v>
      </c>
      <c r="NR18" s="10" t="s">
        <v>620</v>
      </c>
      <c r="NS18" s="10" t="s">
        <v>55</v>
      </c>
      <c r="NT18" s="10">
        <f>(2.5*1000)/E18</f>
        <v>18.782870022539445</v>
      </c>
      <c r="NU18" s="10">
        <f>(0.7*1000)/E18</f>
        <v>5.2592036063110443</v>
      </c>
    </row>
    <row r="19" spans="1:385" x14ac:dyDescent="0.2">
      <c r="A19" t="s">
        <v>864</v>
      </c>
      <c r="B19" s="1" t="s">
        <v>1037</v>
      </c>
      <c r="C19" s="1" t="s">
        <v>843</v>
      </c>
      <c r="D19" s="39" cm="1">
        <f t="array" ref="D19">SUMPRODUCT((ISNUMBER(F19:NU19))*(MOD(COLUMN(F19:NU19),2)=0))</f>
        <v>54</v>
      </c>
      <c r="E19" s="1">
        <v>133.1</v>
      </c>
      <c r="F19" s="1" t="s">
        <v>56</v>
      </c>
      <c r="G19" s="1" t="s">
        <v>55</v>
      </c>
      <c r="H19" s="1" t="s">
        <v>56</v>
      </c>
      <c r="I19" s="1" t="s">
        <v>55</v>
      </c>
      <c r="J19" s="1" t="s">
        <v>56</v>
      </c>
      <c r="K19" s="1" t="s">
        <v>55</v>
      </c>
      <c r="L19" s="1" t="s">
        <v>56</v>
      </c>
      <c r="M19" s="1" t="s">
        <v>55</v>
      </c>
      <c r="N19" s="1" t="s">
        <v>56</v>
      </c>
      <c r="O19" s="1" t="s">
        <v>55</v>
      </c>
      <c r="P19" s="1" t="s">
        <v>56</v>
      </c>
      <c r="Q19" s="1" t="s">
        <v>55</v>
      </c>
      <c r="R19" s="1" t="s">
        <v>56</v>
      </c>
      <c r="S19" s="1" t="s">
        <v>55</v>
      </c>
      <c r="T19" s="1" t="s">
        <v>56</v>
      </c>
      <c r="U19" s="1" t="s">
        <v>55</v>
      </c>
      <c r="V19" s="1" t="s">
        <v>56</v>
      </c>
      <c r="W19" s="1" t="s">
        <v>55</v>
      </c>
      <c r="X19" s="1" t="s">
        <v>56</v>
      </c>
      <c r="Y19" s="1" t="s">
        <v>55</v>
      </c>
      <c r="Z19" s="1" t="s">
        <v>56</v>
      </c>
      <c r="AA19" s="1" t="s">
        <v>55</v>
      </c>
      <c r="AB19" s="1" t="s">
        <v>56</v>
      </c>
      <c r="AC19" s="1" t="s">
        <v>55</v>
      </c>
      <c r="AD19" s="1" t="s">
        <v>56</v>
      </c>
      <c r="AE19" s="1" t="s">
        <v>55</v>
      </c>
      <c r="AF19" s="1" t="s">
        <v>56</v>
      </c>
      <c r="AG19" s="1" t="s">
        <v>55</v>
      </c>
      <c r="AH19" s="1" t="s">
        <v>56</v>
      </c>
      <c r="AI19" s="1" t="s">
        <v>55</v>
      </c>
      <c r="AJ19" s="1" t="s">
        <v>56</v>
      </c>
      <c r="AK19" s="1" t="s">
        <v>55</v>
      </c>
      <c r="AL19" s="1" t="s">
        <v>56</v>
      </c>
      <c r="AM19" s="1" t="s">
        <v>55</v>
      </c>
      <c r="AN19" s="1" t="s">
        <v>56</v>
      </c>
      <c r="AO19" s="1" t="s">
        <v>55</v>
      </c>
      <c r="AP19" s="1" t="s">
        <v>56</v>
      </c>
      <c r="AQ19" s="1" t="s">
        <v>55</v>
      </c>
      <c r="AR19" s="1" t="s">
        <v>56</v>
      </c>
      <c r="AS19" s="1" t="s">
        <v>55</v>
      </c>
      <c r="AT19" s="1" t="s">
        <v>56</v>
      </c>
      <c r="AU19" s="1" t="s">
        <v>55</v>
      </c>
      <c r="AV19" s="1" t="s">
        <v>56</v>
      </c>
      <c r="AW19" s="1" t="s">
        <v>55</v>
      </c>
      <c r="AX19" s="1" t="s">
        <v>56</v>
      </c>
      <c r="AY19" s="1" t="s">
        <v>55</v>
      </c>
      <c r="AZ19" s="1" t="s">
        <v>56</v>
      </c>
      <c r="BA19" s="1" t="s">
        <v>55</v>
      </c>
      <c r="BB19" s="1" t="s">
        <v>56</v>
      </c>
      <c r="BC19" s="1" t="s">
        <v>55</v>
      </c>
      <c r="BD19" s="1" t="s">
        <v>56</v>
      </c>
      <c r="BE19" s="1" t="s">
        <v>55</v>
      </c>
      <c r="BF19" s="1" t="s">
        <v>56</v>
      </c>
      <c r="BG19" s="1" t="s">
        <v>55</v>
      </c>
      <c r="BH19" s="1" t="s">
        <v>56</v>
      </c>
      <c r="BI19" s="1" t="s">
        <v>55</v>
      </c>
      <c r="BJ19" s="1" t="s">
        <v>56</v>
      </c>
      <c r="BK19" s="1" t="s">
        <v>55</v>
      </c>
      <c r="BL19" s="1" t="s">
        <v>56</v>
      </c>
      <c r="BM19" s="1" t="s">
        <v>55</v>
      </c>
      <c r="BN19" s="1" t="s">
        <v>56</v>
      </c>
      <c r="BO19" s="1" t="s">
        <v>55</v>
      </c>
      <c r="BP19" s="1" t="s">
        <v>56</v>
      </c>
      <c r="BQ19" s="1" t="s">
        <v>55</v>
      </c>
      <c r="BR19" s="1" t="s">
        <v>56</v>
      </c>
      <c r="BS19" s="1" t="s">
        <v>55</v>
      </c>
      <c r="BT19" s="1" t="s">
        <v>56</v>
      </c>
      <c r="BU19" s="1" t="s">
        <v>55</v>
      </c>
      <c r="BV19" s="1" t="s">
        <v>56</v>
      </c>
      <c r="BW19" s="1" t="s">
        <v>55</v>
      </c>
      <c r="BX19" s="1" t="s">
        <v>56</v>
      </c>
      <c r="BY19" s="1" t="s">
        <v>55</v>
      </c>
      <c r="BZ19" s="1" t="s">
        <v>56</v>
      </c>
      <c r="CA19" s="1" t="s">
        <v>55</v>
      </c>
      <c r="CB19" s="1" t="s">
        <v>56</v>
      </c>
      <c r="CC19" s="1" t="s">
        <v>55</v>
      </c>
      <c r="CD19" s="1" t="s">
        <v>56</v>
      </c>
      <c r="CE19" s="1" t="s">
        <v>55</v>
      </c>
      <c r="CF19" s="1" t="s">
        <v>56</v>
      </c>
      <c r="CG19" s="1" t="s">
        <v>55</v>
      </c>
      <c r="CH19" s="1" t="s">
        <v>56</v>
      </c>
      <c r="CI19" s="1" t="s">
        <v>55</v>
      </c>
      <c r="CJ19" s="1" t="s">
        <v>56</v>
      </c>
      <c r="CK19" s="1" t="s">
        <v>55</v>
      </c>
      <c r="CL19" s="1" t="s">
        <v>56</v>
      </c>
      <c r="CM19" s="1" t="s">
        <v>55</v>
      </c>
      <c r="CN19" s="1" t="s">
        <v>56</v>
      </c>
      <c r="CO19" s="1" t="s">
        <v>55</v>
      </c>
      <c r="CP19" s="1" t="s">
        <v>56</v>
      </c>
      <c r="CQ19" s="1" t="s">
        <v>55</v>
      </c>
      <c r="CR19" s="1" t="s">
        <v>56</v>
      </c>
      <c r="CS19" s="1" t="s">
        <v>55</v>
      </c>
      <c r="CT19" s="1" t="s">
        <v>56</v>
      </c>
      <c r="CU19" s="1" t="s">
        <v>55</v>
      </c>
      <c r="CV19" s="1" t="s">
        <v>56</v>
      </c>
      <c r="CW19" s="1" t="s">
        <v>55</v>
      </c>
      <c r="CX19" s="1" t="s">
        <v>56</v>
      </c>
      <c r="CY19" s="1" t="s">
        <v>55</v>
      </c>
      <c r="CZ19" s="1" t="s">
        <v>56</v>
      </c>
      <c r="DA19" s="1" t="s">
        <v>55</v>
      </c>
      <c r="DB19" s="1" t="s">
        <v>56</v>
      </c>
      <c r="DC19" s="1" t="s">
        <v>55</v>
      </c>
      <c r="DD19" s="1" t="s">
        <v>56</v>
      </c>
      <c r="DE19" s="1" t="s">
        <v>55</v>
      </c>
      <c r="DF19" s="1" t="s">
        <v>56</v>
      </c>
      <c r="DG19" s="1" t="s">
        <v>55</v>
      </c>
      <c r="DH19" s="1" t="s">
        <v>56</v>
      </c>
      <c r="DI19" s="1" t="s">
        <v>55</v>
      </c>
      <c r="DJ19" s="1" t="s">
        <v>56</v>
      </c>
      <c r="DK19" s="1" t="s">
        <v>55</v>
      </c>
      <c r="DL19" s="1" t="s">
        <v>56</v>
      </c>
      <c r="DM19" s="1" t="s">
        <v>55</v>
      </c>
      <c r="DN19" s="1" t="s">
        <v>56</v>
      </c>
      <c r="DO19" s="1" t="s">
        <v>55</v>
      </c>
      <c r="DP19" s="1" t="s">
        <v>56</v>
      </c>
      <c r="DQ19" s="1" t="s">
        <v>55</v>
      </c>
      <c r="DR19" s="1" t="s">
        <v>56</v>
      </c>
      <c r="DS19" s="1" t="s">
        <v>55</v>
      </c>
      <c r="DT19" s="1" t="s">
        <v>56</v>
      </c>
      <c r="DU19" s="1" t="s">
        <v>55</v>
      </c>
      <c r="DV19" s="1" t="s">
        <v>56</v>
      </c>
      <c r="DW19" s="1" t="s">
        <v>55</v>
      </c>
      <c r="DX19" s="1" t="s">
        <v>56</v>
      </c>
      <c r="DY19" s="1" t="s">
        <v>55</v>
      </c>
      <c r="DZ19" s="1" t="s">
        <v>56</v>
      </c>
      <c r="EA19" s="1" t="s">
        <v>55</v>
      </c>
      <c r="EB19" s="1" t="s">
        <v>56</v>
      </c>
      <c r="EC19" s="1" t="s">
        <v>55</v>
      </c>
      <c r="ED19" s="1" t="s">
        <v>56</v>
      </c>
      <c r="EE19" s="1" t="s">
        <v>55</v>
      </c>
      <c r="EF19" s="1" t="s">
        <v>56</v>
      </c>
      <c r="EG19" s="1" t="s">
        <v>55</v>
      </c>
      <c r="EH19" s="1" t="s">
        <v>56</v>
      </c>
      <c r="EI19" s="1" t="s">
        <v>55</v>
      </c>
      <c r="EJ19" s="1" t="s">
        <v>56</v>
      </c>
      <c r="EK19" s="1" t="s">
        <v>55</v>
      </c>
      <c r="EL19" s="1" t="s">
        <v>56</v>
      </c>
      <c r="EM19" s="1" t="s">
        <v>55</v>
      </c>
      <c r="EN19" s="1" t="s">
        <v>56</v>
      </c>
      <c r="EO19" s="1" t="s">
        <v>55</v>
      </c>
      <c r="EP19" s="1" t="s">
        <v>56</v>
      </c>
      <c r="EQ19" s="1" t="s">
        <v>55</v>
      </c>
      <c r="ER19" s="1" t="s">
        <v>56</v>
      </c>
      <c r="ES19" s="1" t="s">
        <v>55</v>
      </c>
      <c r="ET19" s="1" t="s">
        <v>56</v>
      </c>
      <c r="EU19" s="1" t="s">
        <v>55</v>
      </c>
      <c r="EV19" s="1" t="s">
        <v>56</v>
      </c>
      <c r="EW19" s="1" t="s">
        <v>55</v>
      </c>
      <c r="EX19" s="1" t="s">
        <v>56</v>
      </c>
      <c r="EY19" s="1" t="s">
        <v>55</v>
      </c>
      <c r="EZ19" s="1" t="s">
        <v>56</v>
      </c>
      <c r="FA19" s="1" t="s">
        <v>55</v>
      </c>
      <c r="FB19" s="1" t="s">
        <v>56</v>
      </c>
      <c r="FC19" s="1" t="s">
        <v>55</v>
      </c>
      <c r="FD19" s="1" t="s">
        <v>56</v>
      </c>
      <c r="FE19" s="1" t="s">
        <v>55</v>
      </c>
      <c r="FF19" s="1" t="s">
        <v>56</v>
      </c>
      <c r="FG19" s="1" t="s">
        <v>55</v>
      </c>
      <c r="FH19" s="1" t="s">
        <v>56</v>
      </c>
      <c r="FI19" s="1" t="s">
        <v>55</v>
      </c>
      <c r="FJ19" s="1" t="s">
        <v>56</v>
      </c>
      <c r="FK19" s="1" t="s">
        <v>55</v>
      </c>
      <c r="FL19" s="1" t="s">
        <v>56</v>
      </c>
      <c r="FM19" s="1" t="s">
        <v>55</v>
      </c>
      <c r="FN19" s="1" t="s">
        <v>56</v>
      </c>
      <c r="FO19" s="1" t="s">
        <v>55</v>
      </c>
      <c r="FP19" s="1" t="s">
        <v>56</v>
      </c>
      <c r="FQ19" s="1" t="s">
        <v>55</v>
      </c>
      <c r="FR19" s="1" t="s">
        <v>56</v>
      </c>
      <c r="FS19" s="1" t="s">
        <v>55</v>
      </c>
      <c r="FT19" s="1" t="s">
        <v>56</v>
      </c>
      <c r="FU19" s="1" t="s">
        <v>55</v>
      </c>
      <c r="FV19" s="1" t="s">
        <v>56</v>
      </c>
      <c r="FW19" s="1" t="s">
        <v>55</v>
      </c>
      <c r="FX19" s="1" t="s">
        <v>56</v>
      </c>
      <c r="FY19" s="1" t="s">
        <v>55</v>
      </c>
      <c r="FZ19" s="1" t="s">
        <v>56</v>
      </c>
      <c r="GA19" s="1" t="s">
        <v>55</v>
      </c>
      <c r="GB19" s="1" t="s">
        <v>56</v>
      </c>
      <c r="GC19" s="1" t="s">
        <v>55</v>
      </c>
      <c r="GD19" s="1" t="s">
        <v>56</v>
      </c>
      <c r="GE19" s="1" t="s">
        <v>55</v>
      </c>
      <c r="GF19" s="1" t="s">
        <v>56</v>
      </c>
      <c r="GG19" s="1" t="s">
        <v>55</v>
      </c>
      <c r="GH19" s="1" t="s">
        <v>56</v>
      </c>
      <c r="GI19" s="1" t="s">
        <v>55</v>
      </c>
      <c r="GJ19" s="1" t="s">
        <v>56</v>
      </c>
      <c r="GK19" s="1" t="s">
        <v>55</v>
      </c>
      <c r="GL19" s="1" t="s">
        <v>56</v>
      </c>
      <c r="GM19" s="1" t="s">
        <v>55</v>
      </c>
      <c r="GN19" s="1" t="s">
        <v>56</v>
      </c>
      <c r="GO19" s="1" t="s">
        <v>55</v>
      </c>
      <c r="GP19" s="1" t="s">
        <v>56</v>
      </c>
      <c r="GQ19" s="1" t="s">
        <v>55</v>
      </c>
      <c r="GR19" s="1" t="s">
        <v>56</v>
      </c>
      <c r="GS19" s="1" t="s">
        <v>55</v>
      </c>
      <c r="GT19" s="1" t="s">
        <v>56</v>
      </c>
      <c r="GU19" s="1" t="s">
        <v>55</v>
      </c>
      <c r="GV19" s="17" t="s">
        <v>56</v>
      </c>
      <c r="GW19" s="17" t="s">
        <v>55</v>
      </c>
      <c r="GX19" s="1" t="s">
        <v>56</v>
      </c>
      <c r="GY19" s="1" t="s">
        <v>55</v>
      </c>
      <c r="GZ19" s="10" t="s">
        <v>56</v>
      </c>
      <c r="HA19" s="10" t="s">
        <v>55</v>
      </c>
      <c r="HB19" s="10" t="s">
        <v>56</v>
      </c>
      <c r="HC19" s="10" t="s">
        <v>55</v>
      </c>
      <c r="HD19" s="10" t="s">
        <v>56</v>
      </c>
      <c r="HE19" s="10" t="s">
        <v>55</v>
      </c>
      <c r="HF19" s="10" t="s">
        <v>56</v>
      </c>
      <c r="HG19" s="10" t="s">
        <v>55</v>
      </c>
      <c r="HH19" s="10" t="s">
        <v>56</v>
      </c>
      <c r="HI19" s="10" t="s">
        <v>55</v>
      </c>
      <c r="HJ19" s="10" t="s">
        <v>56</v>
      </c>
      <c r="HK19" s="10" t="s">
        <v>55</v>
      </c>
      <c r="HL19" s="10" t="s">
        <v>56</v>
      </c>
      <c r="HM19" s="10" t="s">
        <v>55</v>
      </c>
      <c r="HN19" s="10" t="s">
        <v>56</v>
      </c>
      <c r="HO19" s="10" t="s">
        <v>55</v>
      </c>
      <c r="HP19" s="10" t="s">
        <v>56</v>
      </c>
      <c r="HQ19" s="10" t="s">
        <v>55</v>
      </c>
      <c r="HR19" s="10" t="s">
        <v>56</v>
      </c>
      <c r="HS19" s="10" t="s">
        <v>55</v>
      </c>
      <c r="HT19" s="10" t="s">
        <v>56</v>
      </c>
      <c r="HU19" s="10" t="s">
        <v>55</v>
      </c>
      <c r="HV19" s="10" t="s">
        <v>56</v>
      </c>
      <c r="HW19" s="10" t="s">
        <v>55</v>
      </c>
      <c r="HX19" s="10" t="s">
        <v>56</v>
      </c>
      <c r="HY19" s="10" t="s">
        <v>55</v>
      </c>
      <c r="HZ19" s="10" t="s">
        <v>56</v>
      </c>
      <c r="IA19" s="10" t="s">
        <v>55</v>
      </c>
      <c r="IB19" s="10" t="s">
        <v>56</v>
      </c>
      <c r="IC19" s="10" t="s">
        <v>55</v>
      </c>
      <c r="ID19" s="10" t="s">
        <v>56</v>
      </c>
      <c r="IE19" s="10" t="s">
        <v>55</v>
      </c>
      <c r="IF19" s="10" t="s">
        <v>56</v>
      </c>
      <c r="IG19" s="10" t="s">
        <v>55</v>
      </c>
      <c r="IH19" s="4">
        <v>5.9</v>
      </c>
      <c r="II19" s="4" t="s">
        <v>55</v>
      </c>
      <c r="IJ19" s="4">
        <v>1.5</v>
      </c>
      <c r="IK19" s="4" t="s">
        <v>55</v>
      </c>
      <c r="IL19" s="4">
        <v>0.5</v>
      </c>
      <c r="IM19" s="4" t="s">
        <v>55</v>
      </c>
      <c r="IN19" s="4">
        <v>11</v>
      </c>
      <c r="IO19" s="4" t="s">
        <v>55</v>
      </c>
      <c r="IP19" s="4">
        <v>156</v>
      </c>
      <c r="IQ19" s="4" t="s">
        <v>55</v>
      </c>
      <c r="IR19" s="4">
        <v>0.98</v>
      </c>
      <c r="IS19" s="4">
        <v>0.23</v>
      </c>
      <c r="IT19" s="10" t="s">
        <v>56</v>
      </c>
      <c r="IU19" s="10" t="s">
        <v>55</v>
      </c>
      <c r="IV19" s="4">
        <v>3.85</v>
      </c>
      <c r="IW19" s="4" t="s">
        <v>55</v>
      </c>
      <c r="IX19" s="4">
        <f>2.15*1000</f>
        <v>2150</v>
      </c>
      <c r="IY19" s="4" t="s">
        <v>55</v>
      </c>
      <c r="IZ19" s="4">
        <f>0.48*1000</f>
        <v>480</v>
      </c>
      <c r="JA19" s="4" t="s">
        <v>55</v>
      </c>
      <c r="JB19" s="4">
        <f>1.25*1000</f>
        <v>1250</v>
      </c>
      <c r="JC19" s="4" t="s">
        <v>55</v>
      </c>
      <c r="JD19" s="4">
        <f>0.34*1000</f>
        <v>340</v>
      </c>
      <c r="JE19" s="4" t="s">
        <v>55</v>
      </c>
      <c r="JF19" s="4">
        <v>0.22900000000000001</v>
      </c>
      <c r="JG19" s="4" t="s">
        <v>55</v>
      </c>
      <c r="JH19" s="4">
        <v>0.19500000000000001</v>
      </c>
      <c r="JI19" s="4" t="s">
        <v>55</v>
      </c>
      <c r="JJ19" s="4">
        <v>0.375</v>
      </c>
      <c r="JK19" s="4" t="s">
        <v>55</v>
      </c>
      <c r="JL19" s="4">
        <v>0.81100000000000005</v>
      </c>
      <c r="JM19" s="4" t="s">
        <v>55</v>
      </c>
      <c r="JN19" s="4">
        <v>0.70899999999999996</v>
      </c>
      <c r="JO19" s="4" t="s">
        <v>55</v>
      </c>
      <c r="JP19" s="4">
        <v>0.57899999999999996</v>
      </c>
      <c r="JQ19" s="4" t="s">
        <v>55</v>
      </c>
      <c r="JR19" s="4">
        <v>1.0509999999999999</v>
      </c>
      <c r="JS19" s="4" t="s">
        <v>55</v>
      </c>
      <c r="JT19" s="4">
        <v>0.91</v>
      </c>
      <c r="JU19" s="4" t="s">
        <v>55</v>
      </c>
      <c r="JV19" s="4">
        <v>30.34</v>
      </c>
      <c r="JW19" s="4" t="s">
        <v>55</v>
      </c>
      <c r="JX19" s="26" t="s">
        <v>56</v>
      </c>
      <c r="JY19" s="26" t="s">
        <v>55</v>
      </c>
      <c r="JZ19" s="26" t="s">
        <v>56</v>
      </c>
      <c r="KA19" s="26" t="s">
        <v>55</v>
      </c>
      <c r="KB19" s="26" t="s">
        <v>56</v>
      </c>
      <c r="KC19" s="26" t="s">
        <v>55</v>
      </c>
      <c r="KD19" s="26" t="s">
        <v>56</v>
      </c>
      <c r="KE19" s="26" t="s">
        <v>55</v>
      </c>
      <c r="KF19" s="26" t="s">
        <v>56</v>
      </c>
      <c r="KG19" s="26" t="s">
        <v>55</v>
      </c>
      <c r="KH19" s="4">
        <f>294.6*1000</f>
        <v>294600</v>
      </c>
      <c r="KI19" s="4">
        <f>44.8*1000</f>
        <v>44800</v>
      </c>
      <c r="KJ19" s="4">
        <f>1140.7*1000</f>
        <v>1140700</v>
      </c>
      <c r="KK19" s="4">
        <f>54.8*1000</f>
        <v>54800</v>
      </c>
      <c r="KL19" s="4">
        <f>113.7*1000</f>
        <v>113700</v>
      </c>
      <c r="KM19" s="4">
        <f>11.1*1000</f>
        <v>11100</v>
      </c>
      <c r="KN19" s="4">
        <f>233.7*1000</f>
        <v>233700</v>
      </c>
      <c r="KO19" s="4">
        <f>18.7*1000</f>
        <v>18700</v>
      </c>
      <c r="KP19" s="4">
        <f>630.7*1000</f>
        <v>630700</v>
      </c>
      <c r="KQ19" s="4">
        <f>44.1*1000</f>
        <v>44100</v>
      </c>
      <c r="KR19" s="4" t="s">
        <v>56</v>
      </c>
      <c r="KS19" s="4" t="s">
        <v>55</v>
      </c>
      <c r="KT19" s="4" t="s">
        <v>56</v>
      </c>
      <c r="KU19" s="4" t="s">
        <v>55</v>
      </c>
      <c r="KV19" s="4" t="s">
        <v>56</v>
      </c>
      <c r="KW19" s="4" t="s">
        <v>55</v>
      </c>
      <c r="KX19" s="4" t="s">
        <v>56</v>
      </c>
      <c r="KY19" s="4" t="s">
        <v>55</v>
      </c>
      <c r="KZ19" s="4" t="s">
        <v>56</v>
      </c>
      <c r="LA19" s="4" t="s">
        <v>55</v>
      </c>
      <c r="LB19" s="10">
        <f>((3.6/100)*1000000000)/E19</f>
        <v>270473.32832456805</v>
      </c>
      <c r="LC19" s="10">
        <f>((0.4/100)*1000000000)/E19</f>
        <v>30052.592036063113</v>
      </c>
      <c r="LD19" s="10" t="s">
        <v>56</v>
      </c>
      <c r="LE19" s="10" t="s">
        <v>55</v>
      </c>
      <c r="LF19" s="10" t="s">
        <v>56</v>
      </c>
      <c r="LG19" s="10" t="s">
        <v>55</v>
      </c>
      <c r="LH19" s="10" t="s">
        <v>56</v>
      </c>
      <c r="LI19" s="10" t="s">
        <v>55</v>
      </c>
      <c r="LJ19" s="10">
        <f>((10.72/100)*1000000000)/E19</f>
        <v>805409.46656649141</v>
      </c>
      <c r="LK19" s="10" t="s">
        <v>162</v>
      </c>
      <c r="LL19" s="10">
        <f>(67.2*1000000)/E19</f>
        <v>504883.54620586027</v>
      </c>
      <c r="LM19" s="10">
        <f>(5.3*1000000)/E19</f>
        <v>39819.68444778362</v>
      </c>
      <c r="LN19" s="10">
        <f>((0.67/100)*1000000000)/E19</f>
        <v>50338.091660405713</v>
      </c>
      <c r="LO19" s="10" t="s">
        <v>162</v>
      </c>
      <c r="LP19" s="10">
        <f>((5.54/100)*1000000000)/E19</f>
        <v>416228.3996994741</v>
      </c>
      <c r="LQ19" s="10" t="s">
        <v>55</v>
      </c>
      <c r="LR19" s="10">
        <f>((9.84/100)*1000000000)/E19</f>
        <v>739293.76408715255</v>
      </c>
      <c r="LS19" s="10" t="s">
        <v>55</v>
      </c>
      <c r="LT19" s="10">
        <f>((8.38/100)*1000000000)/E19</f>
        <v>629601.80315552233</v>
      </c>
      <c r="LU19" s="10" t="s">
        <v>55</v>
      </c>
      <c r="LV19" s="10">
        <f>((293/100)*1000000)/E19</f>
        <v>22013.523666416229</v>
      </c>
      <c r="LW19" s="10" t="s">
        <v>55</v>
      </c>
      <c r="LX19" s="10">
        <f>((270/100)*1000000)/E19</f>
        <v>20285.499624342599</v>
      </c>
      <c r="LY19" s="10" t="s">
        <v>55</v>
      </c>
      <c r="LZ19" s="10">
        <f>((275/100)*1000000)/E19</f>
        <v>20661.157024793389</v>
      </c>
      <c r="MA19" s="10" t="s">
        <v>55</v>
      </c>
      <c r="MB19" s="10">
        <f>((190/100)*1000000)/E19</f>
        <v>14274.981217129978</v>
      </c>
      <c r="MC19" s="10" t="s">
        <v>55</v>
      </c>
      <c r="MD19" s="4">
        <v>14312</v>
      </c>
      <c r="ME19" s="4" t="s">
        <v>55</v>
      </c>
      <c r="MF19" s="4">
        <v>11155</v>
      </c>
      <c r="MG19" s="4" t="s">
        <v>55</v>
      </c>
      <c r="MH19" s="4">
        <v>20547</v>
      </c>
      <c r="MI19" s="4" t="s">
        <v>55</v>
      </c>
      <c r="MJ19" s="4">
        <v>13353</v>
      </c>
      <c r="MK19" s="4" t="s">
        <v>55</v>
      </c>
      <c r="ML19" s="4">
        <v>13961</v>
      </c>
      <c r="MM19" s="4" t="s">
        <v>55</v>
      </c>
      <c r="MN19" s="4">
        <v>21033</v>
      </c>
      <c r="MO19" s="4" t="s">
        <v>55</v>
      </c>
      <c r="MP19" s="4">
        <v>16374</v>
      </c>
      <c r="MQ19" s="4" t="s">
        <v>55</v>
      </c>
      <c r="MR19" s="4">
        <v>11957</v>
      </c>
      <c r="MS19" s="4" t="s">
        <v>55</v>
      </c>
      <c r="MT19" s="4">
        <v>19157</v>
      </c>
      <c r="MU19" s="4" t="s">
        <v>55</v>
      </c>
      <c r="MV19" s="4">
        <v>13578</v>
      </c>
      <c r="MW19" s="4" t="s">
        <v>55</v>
      </c>
      <c r="MX19" s="4">
        <v>9672</v>
      </c>
      <c r="MY19" s="4" t="s">
        <v>55</v>
      </c>
      <c r="MZ19" s="4">
        <v>14468</v>
      </c>
      <c r="NA19" s="4" t="s">
        <v>55</v>
      </c>
      <c r="NB19" s="10">
        <f>(0.538*1000000)/E19</f>
        <v>4042.0736288504886</v>
      </c>
      <c r="NC19" s="10" t="s">
        <v>55</v>
      </c>
      <c r="ND19" s="10">
        <f>(1.9*1000000)/E19</f>
        <v>14274.981217129978</v>
      </c>
      <c r="NE19" s="10" t="s">
        <v>55</v>
      </c>
      <c r="NF19" s="10">
        <f>(1.24*1000000)/E19</f>
        <v>9316.3035311795647</v>
      </c>
      <c r="NG19" s="10" t="s">
        <v>55</v>
      </c>
      <c r="NH19" s="10" t="s">
        <v>318</v>
      </c>
      <c r="NI19" s="10" t="s">
        <v>55</v>
      </c>
      <c r="NJ19" s="10">
        <f>(4.06*1000000)/E19</f>
        <v>30503.380916604056</v>
      </c>
      <c r="NK19" s="10" t="s">
        <v>55</v>
      </c>
      <c r="NL19" s="10">
        <f>(1*1000000)/E19</f>
        <v>7513.1480090157784</v>
      </c>
      <c r="NM19" s="4" t="s">
        <v>55</v>
      </c>
      <c r="NN19" s="4" t="s">
        <v>57</v>
      </c>
      <c r="NO19" s="4" t="s">
        <v>55</v>
      </c>
      <c r="NP19" s="4">
        <f>(60.6*1000000)/E19</f>
        <v>455296.76934635616</v>
      </c>
      <c r="NQ19" s="4">
        <f>(0.56*1000000)/E19</f>
        <v>4207.3628850488358</v>
      </c>
      <c r="NR19" s="10" t="s">
        <v>56</v>
      </c>
      <c r="NS19" s="10" t="s">
        <v>55</v>
      </c>
      <c r="NT19" s="10" t="s">
        <v>56</v>
      </c>
      <c r="NU19" s="10" t="s">
        <v>55</v>
      </c>
    </row>
    <row r="20" spans="1:385" x14ac:dyDescent="0.2">
      <c r="A20" t="s">
        <v>9</v>
      </c>
      <c r="B20" s="1" t="s">
        <v>1037</v>
      </c>
      <c r="C20" s="1" t="s">
        <v>858</v>
      </c>
      <c r="D20" s="39" cm="1">
        <f t="array" ref="D20">SUMPRODUCT((ISNUMBER(F20:NU20))*(MOD(COLUMN(F20:NU20),2)=0))</f>
        <v>13</v>
      </c>
      <c r="E20" s="1">
        <v>119.12</v>
      </c>
      <c r="F20" s="1" t="s">
        <v>56</v>
      </c>
      <c r="G20" s="1" t="s">
        <v>55</v>
      </c>
      <c r="H20" s="1" t="s">
        <v>56</v>
      </c>
      <c r="I20" s="1" t="s">
        <v>55</v>
      </c>
      <c r="J20" s="1" t="s">
        <v>56</v>
      </c>
      <c r="K20" s="1" t="s">
        <v>55</v>
      </c>
      <c r="L20" s="1" t="s">
        <v>56</v>
      </c>
      <c r="M20" s="1" t="s">
        <v>55</v>
      </c>
      <c r="N20" s="1" t="s">
        <v>56</v>
      </c>
      <c r="O20" s="1" t="s">
        <v>55</v>
      </c>
      <c r="P20" s="9" t="s">
        <v>56</v>
      </c>
      <c r="Q20" s="9" t="s">
        <v>55</v>
      </c>
      <c r="R20" s="1" t="s">
        <v>56</v>
      </c>
      <c r="S20" s="1" t="s">
        <v>55</v>
      </c>
      <c r="T20" s="1" t="s">
        <v>91</v>
      </c>
      <c r="U20" s="1" t="s">
        <v>55</v>
      </c>
      <c r="V20" s="1">
        <v>1.1100000000000001</v>
      </c>
      <c r="W20" s="1">
        <v>0.18</v>
      </c>
      <c r="X20" s="1" t="s">
        <v>56</v>
      </c>
      <c r="Y20" s="1" t="s">
        <v>55</v>
      </c>
      <c r="Z20" s="9" t="s">
        <v>56</v>
      </c>
      <c r="AA20" s="9" t="s">
        <v>55</v>
      </c>
      <c r="AB20" s="1" t="s">
        <v>56</v>
      </c>
      <c r="AC20" s="1" t="s">
        <v>55</v>
      </c>
      <c r="AD20" s="1" t="s">
        <v>56</v>
      </c>
      <c r="AE20" s="1" t="s">
        <v>55</v>
      </c>
      <c r="AF20" s="11" t="s">
        <v>56</v>
      </c>
      <c r="AG20" s="11" t="s">
        <v>55</v>
      </c>
      <c r="AH20" s="11" t="s">
        <v>56</v>
      </c>
      <c r="AI20" s="11" t="s">
        <v>55</v>
      </c>
      <c r="AJ20" s="11" t="s">
        <v>56</v>
      </c>
      <c r="AK20" s="11" t="s">
        <v>55</v>
      </c>
      <c r="AL20" s="1">
        <v>0.02</v>
      </c>
      <c r="AM20" s="1">
        <v>0.01</v>
      </c>
      <c r="AN20" s="11">
        <v>0.17</v>
      </c>
      <c r="AO20" s="11">
        <v>0.01</v>
      </c>
      <c r="AP20" s="11" t="s">
        <v>56</v>
      </c>
      <c r="AQ20" s="11" t="s">
        <v>55</v>
      </c>
      <c r="AR20" s="10" t="s">
        <v>620</v>
      </c>
      <c r="AS20" s="10" t="s">
        <v>55</v>
      </c>
      <c r="AT20" s="11" t="s">
        <v>56</v>
      </c>
      <c r="AU20" s="11" t="s">
        <v>55</v>
      </c>
      <c r="AV20" s="11" t="s">
        <v>56</v>
      </c>
      <c r="AW20" s="11" t="s">
        <v>55</v>
      </c>
      <c r="AX20" s="11" t="s">
        <v>56</v>
      </c>
      <c r="AY20" s="11" t="s">
        <v>55</v>
      </c>
      <c r="AZ20" s="1" t="s">
        <v>57</v>
      </c>
      <c r="BA20" s="1" t="s">
        <v>55</v>
      </c>
      <c r="BB20" s="1" t="s">
        <v>57</v>
      </c>
      <c r="BC20" s="1" t="s">
        <v>55</v>
      </c>
      <c r="BD20" s="1" t="s">
        <v>56</v>
      </c>
      <c r="BE20" s="1" t="s">
        <v>55</v>
      </c>
      <c r="BF20" s="1" t="s">
        <v>283</v>
      </c>
      <c r="BG20" s="1" t="s">
        <v>55</v>
      </c>
      <c r="BH20" s="1" t="s">
        <v>88</v>
      </c>
      <c r="BI20" s="1" t="s">
        <v>55</v>
      </c>
      <c r="BJ20" s="1">
        <v>7.0000000000000007E-2</v>
      </c>
      <c r="BK20" s="1">
        <v>0</v>
      </c>
      <c r="BL20" s="1" t="s">
        <v>56</v>
      </c>
      <c r="BM20" s="1" t="s">
        <v>55</v>
      </c>
      <c r="BN20" s="1">
        <v>0.01</v>
      </c>
      <c r="BO20" s="1">
        <v>0.01</v>
      </c>
      <c r="BP20" s="1">
        <v>0.7</v>
      </c>
      <c r="BQ20" s="1">
        <v>0.2</v>
      </c>
      <c r="BR20" s="11" t="s">
        <v>56</v>
      </c>
      <c r="BS20" s="11" t="s">
        <v>162</v>
      </c>
      <c r="BT20" s="4" t="s">
        <v>56</v>
      </c>
      <c r="BU20" s="4" t="s">
        <v>55</v>
      </c>
      <c r="BV20" s="4" t="s">
        <v>56</v>
      </c>
      <c r="BW20" s="4" t="s">
        <v>55</v>
      </c>
      <c r="BX20" s="4" t="s">
        <v>56</v>
      </c>
      <c r="BY20" s="4" t="s">
        <v>55</v>
      </c>
      <c r="BZ20" s="10" t="s">
        <v>56</v>
      </c>
      <c r="CA20" s="10" t="s">
        <v>55</v>
      </c>
      <c r="CB20" s="10" t="s">
        <v>56</v>
      </c>
      <c r="CC20" s="10" t="s">
        <v>55</v>
      </c>
      <c r="CD20" s="10" t="s">
        <v>56</v>
      </c>
      <c r="CE20" s="10" t="s">
        <v>55</v>
      </c>
      <c r="CF20" s="10" t="s">
        <v>56</v>
      </c>
      <c r="CG20" s="10" t="s">
        <v>55</v>
      </c>
      <c r="CH20" s="10" t="s">
        <v>56</v>
      </c>
      <c r="CI20" s="10" t="s">
        <v>55</v>
      </c>
      <c r="CJ20" s="10" t="s">
        <v>482</v>
      </c>
      <c r="CK20" s="10" t="s">
        <v>55</v>
      </c>
      <c r="CL20" s="10" t="s">
        <v>56</v>
      </c>
      <c r="CM20" s="10" t="s">
        <v>55</v>
      </c>
      <c r="CN20" s="10" t="s">
        <v>56</v>
      </c>
      <c r="CO20" s="10" t="s">
        <v>55</v>
      </c>
      <c r="CP20" s="10" t="s">
        <v>56</v>
      </c>
      <c r="CQ20" s="10" t="s">
        <v>55</v>
      </c>
      <c r="CR20" s="10" t="s">
        <v>56</v>
      </c>
      <c r="CS20" s="10" t="s">
        <v>55</v>
      </c>
      <c r="CT20" s="10" t="s">
        <v>56</v>
      </c>
      <c r="CU20" s="10" t="s">
        <v>55</v>
      </c>
      <c r="CV20" s="10" t="s">
        <v>56</v>
      </c>
      <c r="CW20" s="10" t="s">
        <v>55</v>
      </c>
      <c r="CX20" s="10" t="s">
        <v>56</v>
      </c>
      <c r="CY20" s="10" t="s">
        <v>55</v>
      </c>
      <c r="CZ20" s="10" t="s">
        <v>56</v>
      </c>
      <c r="DA20" s="10" t="s">
        <v>55</v>
      </c>
      <c r="DB20" s="10" t="s">
        <v>56</v>
      </c>
      <c r="DC20" s="10" t="s">
        <v>55</v>
      </c>
      <c r="DD20" s="10" t="s">
        <v>56</v>
      </c>
      <c r="DE20" s="10" t="s">
        <v>55</v>
      </c>
      <c r="DF20" s="10" t="s">
        <v>56</v>
      </c>
      <c r="DG20" s="10" t="s">
        <v>55</v>
      </c>
      <c r="DH20" s="10" t="s">
        <v>56</v>
      </c>
      <c r="DI20" s="10" t="s">
        <v>55</v>
      </c>
      <c r="DJ20" s="10" t="s">
        <v>56</v>
      </c>
      <c r="DK20" s="10" t="s">
        <v>55</v>
      </c>
      <c r="DL20" s="10" t="s">
        <v>56</v>
      </c>
      <c r="DM20" s="10" t="s">
        <v>55</v>
      </c>
      <c r="DN20" s="10" t="s">
        <v>56</v>
      </c>
      <c r="DO20" s="10" t="s">
        <v>55</v>
      </c>
      <c r="DP20" s="10" t="s">
        <v>56</v>
      </c>
      <c r="DQ20" s="10" t="s">
        <v>55</v>
      </c>
      <c r="DR20" s="10" t="s">
        <v>56</v>
      </c>
      <c r="DS20" s="10" t="s">
        <v>55</v>
      </c>
      <c r="DT20" s="10" t="s">
        <v>56</v>
      </c>
      <c r="DU20" s="10" t="s">
        <v>55</v>
      </c>
      <c r="DV20" s="10" t="s">
        <v>56</v>
      </c>
      <c r="DW20" s="10" t="s">
        <v>55</v>
      </c>
      <c r="DX20" s="10" t="s">
        <v>56</v>
      </c>
      <c r="DY20" s="10" t="s">
        <v>55</v>
      </c>
      <c r="DZ20" s="10" t="s">
        <v>56</v>
      </c>
      <c r="EA20" s="10" t="s">
        <v>55</v>
      </c>
      <c r="EB20" s="10" t="s">
        <v>56</v>
      </c>
      <c r="EC20" s="10" t="s">
        <v>55</v>
      </c>
      <c r="ED20" s="10" t="s">
        <v>56</v>
      </c>
      <c r="EE20" s="10" t="s">
        <v>55</v>
      </c>
      <c r="EF20" s="10" t="s">
        <v>56</v>
      </c>
      <c r="EG20" s="10" t="s">
        <v>55</v>
      </c>
      <c r="EH20" s="10" t="s">
        <v>56</v>
      </c>
      <c r="EI20" s="10" t="s">
        <v>55</v>
      </c>
      <c r="EJ20" s="10" t="s">
        <v>56</v>
      </c>
      <c r="EK20" s="10" t="s">
        <v>55</v>
      </c>
      <c r="EL20" s="10" t="s">
        <v>56</v>
      </c>
      <c r="EM20" s="10" t="s">
        <v>55</v>
      </c>
      <c r="EN20" s="10" t="s">
        <v>56</v>
      </c>
      <c r="EO20" s="10" t="s">
        <v>55</v>
      </c>
      <c r="EP20" s="10" t="s">
        <v>56</v>
      </c>
      <c r="EQ20" s="10" t="s">
        <v>55</v>
      </c>
      <c r="ER20" s="10" t="s">
        <v>494</v>
      </c>
      <c r="ES20" s="10" t="s">
        <v>55</v>
      </c>
      <c r="ET20" s="10" t="s">
        <v>495</v>
      </c>
      <c r="EU20" s="10" t="s">
        <v>55</v>
      </c>
      <c r="EV20" s="10" t="s">
        <v>231</v>
      </c>
      <c r="EW20" s="10" t="s">
        <v>55</v>
      </c>
      <c r="EX20" s="10" t="s">
        <v>496</v>
      </c>
      <c r="EY20" s="10" t="s">
        <v>55</v>
      </c>
      <c r="EZ20" s="10" t="s">
        <v>496</v>
      </c>
      <c r="FA20" s="10" t="s">
        <v>55</v>
      </c>
      <c r="FB20" s="10" t="s">
        <v>494</v>
      </c>
      <c r="FC20" s="10" t="s">
        <v>55</v>
      </c>
      <c r="FD20" s="10" t="s">
        <v>494</v>
      </c>
      <c r="FE20" s="10" t="s">
        <v>55</v>
      </c>
      <c r="FF20" s="10" t="s">
        <v>494</v>
      </c>
      <c r="FG20" s="10" t="s">
        <v>55</v>
      </c>
      <c r="FH20" s="10" t="s">
        <v>506</v>
      </c>
      <c r="FI20" s="10" t="s">
        <v>55</v>
      </c>
      <c r="FJ20" s="10" t="s">
        <v>506</v>
      </c>
      <c r="FK20" s="10" t="s">
        <v>55</v>
      </c>
      <c r="FL20" s="10" t="s">
        <v>494</v>
      </c>
      <c r="FM20" s="10" t="s">
        <v>55</v>
      </c>
      <c r="FN20" s="10" t="s">
        <v>507</v>
      </c>
      <c r="FO20" s="10" t="s">
        <v>55</v>
      </c>
      <c r="FP20" s="10" t="s">
        <v>494</v>
      </c>
      <c r="FQ20" s="10" t="s">
        <v>55</v>
      </c>
      <c r="FR20" s="10" t="s">
        <v>507</v>
      </c>
      <c r="FS20" s="10" t="s">
        <v>55</v>
      </c>
      <c r="FT20" s="10" t="s">
        <v>56</v>
      </c>
      <c r="FU20" s="10" t="s">
        <v>55</v>
      </c>
      <c r="FV20" s="10" t="s">
        <v>56</v>
      </c>
      <c r="FW20" s="10" t="s">
        <v>55</v>
      </c>
      <c r="FX20" s="10" t="s">
        <v>56</v>
      </c>
      <c r="FY20" s="10" t="s">
        <v>55</v>
      </c>
      <c r="FZ20" s="10" t="s">
        <v>56</v>
      </c>
      <c r="GA20" s="10" t="s">
        <v>55</v>
      </c>
      <c r="GB20" s="10" t="s">
        <v>56</v>
      </c>
      <c r="GC20" s="10" t="s">
        <v>55</v>
      </c>
      <c r="GD20" s="10" t="s">
        <v>56</v>
      </c>
      <c r="GE20" s="10" t="s">
        <v>55</v>
      </c>
      <c r="GF20" s="10" t="s">
        <v>56</v>
      </c>
      <c r="GG20" s="10" t="s">
        <v>55</v>
      </c>
      <c r="GH20" s="10" t="s">
        <v>56</v>
      </c>
      <c r="GI20" s="10" t="s">
        <v>55</v>
      </c>
      <c r="GJ20" s="10" t="s">
        <v>56</v>
      </c>
      <c r="GK20" s="10" t="s">
        <v>55</v>
      </c>
      <c r="GL20" s="10" t="s">
        <v>56</v>
      </c>
      <c r="GM20" s="10" t="s">
        <v>55</v>
      </c>
      <c r="GN20" s="10" t="s">
        <v>56</v>
      </c>
      <c r="GO20" s="10" t="s">
        <v>55</v>
      </c>
      <c r="GP20" s="10" t="s">
        <v>56</v>
      </c>
      <c r="GQ20" s="10" t="s">
        <v>55</v>
      </c>
      <c r="GR20" s="10" t="s">
        <v>90</v>
      </c>
      <c r="GS20" s="10" t="s">
        <v>55</v>
      </c>
      <c r="GT20" s="10" t="s">
        <v>90</v>
      </c>
      <c r="GU20" s="10" t="s">
        <v>55</v>
      </c>
      <c r="GV20" s="10" t="s">
        <v>1253</v>
      </c>
      <c r="GW20" s="10" t="s">
        <v>55</v>
      </c>
      <c r="GX20" s="10" t="s">
        <v>56</v>
      </c>
      <c r="GY20" s="10" t="s">
        <v>55</v>
      </c>
      <c r="GZ20" s="10" t="s">
        <v>56</v>
      </c>
      <c r="HA20" s="10" t="s">
        <v>55</v>
      </c>
      <c r="HB20" s="10" t="s">
        <v>56</v>
      </c>
      <c r="HC20" s="10" t="s">
        <v>55</v>
      </c>
      <c r="HD20" s="10" t="s">
        <v>56</v>
      </c>
      <c r="HE20" s="10" t="s">
        <v>55</v>
      </c>
      <c r="HF20" s="10" t="s">
        <v>56</v>
      </c>
      <c r="HG20" s="10" t="s">
        <v>55</v>
      </c>
      <c r="HH20" s="10" t="s">
        <v>56</v>
      </c>
      <c r="HI20" s="10" t="s">
        <v>55</v>
      </c>
      <c r="HJ20" s="10" t="s">
        <v>56</v>
      </c>
      <c r="HK20" s="10" t="s">
        <v>55</v>
      </c>
      <c r="HL20" s="10" t="s">
        <v>56</v>
      </c>
      <c r="HM20" s="10" t="s">
        <v>55</v>
      </c>
      <c r="HN20" s="10" t="s">
        <v>56</v>
      </c>
      <c r="HO20" s="10" t="s">
        <v>55</v>
      </c>
      <c r="HP20" s="10" t="s">
        <v>56</v>
      </c>
      <c r="HQ20" s="10" t="s">
        <v>55</v>
      </c>
      <c r="HR20" s="10" t="s">
        <v>56</v>
      </c>
      <c r="HS20" s="10" t="s">
        <v>55</v>
      </c>
      <c r="HT20" s="10" t="s">
        <v>56</v>
      </c>
      <c r="HU20" s="10" t="s">
        <v>55</v>
      </c>
      <c r="HV20" s="10" t="s">
        <v>56</v>
      </c>
      <c r="HW20" s="10" t="s">
        <v>55</v>
      </c>
      <c r="HX20" s="10" t="s">
        <v>56</v>
      </c>
      <c r="HY20" s="10" t="s">
        <v>55</v>
      </c>
      <c r="HZ20" s="10" t="s">
        <v>56</v>
      </c>
      <c r="IA20" s="10" t="s">
        <v>55</v>
      </c>
      <c r="IB20" s="10" t="s">
        <v>56</v>
      </c>
      <c r="IC20" s="10" t="s">
        <v>55</v>
      </c>
      <c r="ID20" s="1">
        <v>1.72E-2</v>
      </c>
      <c r="IE20" s="1">
        <v>2.3400000000000001E-2</v>
      </c>
      <c r="IF20" s="4">
        <v>1.95E-2</v>
      </c>
      <c r="IG20" s="4">
        <v>1.6E-2</v>
      </c>
      <c r="IH20" s="4" t="s">
        <v>56</v>
      </c>
      <c r="II20" s="4" t="s">
        <v>55</v>
      </c>
      <c r="IJ20" s="4" t="s">
        <v>56</v>
      </c>
      <c r="IK20" s="4" t="s">
        <v>55</v>
      </c>
      <c r="IL20" s="4" t="s">
        <v>56</v>
      </c>
      <c r="IM20" s="4" t="s">
        <v>55</v>
      </c>
      <c r="IN20" s="4" t="s">
        <v>56</v>
      </c>
      <c r="IO20" s="4" t="s">
        <v>55</v>
      </c>
      <c r="IP20" s="4" t="s">
        <v>56</v>
      </c>
      <c r="IQ20" s="4" t="s">
        <v>55</v>
      </c>
      <c r="IR20" s="1" t="s">
        <v>56</v>
      </c>
      <c r="IS20" s="1" t="s">
        <v>55</v>
      </c>
      <c r="IT20" s="1" t="s">
        <v>56</v>
      </c>
      <c r="IU20" s="1" t="s">
        <v>55</v>
      </c>
      <c r="IV20" s="1" t="s">
        <v>56</v>
      </c>
      <c r="IW20" s="1" t="s">
        <v>55</v>
      </c>
      <c r="IX20" s="1" t="s">
        <v>56</v>
      </c>
      <c r="IY20" s="1" t="s">
        <v>55</v>
      </c>
      <c r="IZ20" s="1" t="s">
        <v>56</v>
      </c>
      <c r="JA20" s="1" t="s">
        <v>55</v>
      </c>
      <c r="JB20" s="1" t="s">
        <v>56</v>
      </c>
      <c r="JC20" s="1" t="s">
        <v>55</v>
      </c>
      <c r="JD20" s="1" t="s">
        <v>56</v>
      </c>
      <c r="JE20" s="1" t="s">
        <v>55</v>
      </c>
      <c r="JF20" s="1" t="s">
        <v>56</v>
      </c>
      <c r="JG20" s="1" t="s">
        <v>55</v>
      </c>
      <c r="JH20" s="1" t="s">
        <v>56</v>
      </c>
      <c r="JI20" s="1" t="s">
        <v>55</v>
      </c>
      <c r="JJ20" s="1" t="s">
        <v>56</v>
      </c>
      <c r="JK20" s="1" t="s">
        <v>55</v>
      </c>
      <c r="JL20" s="1" t="s">
        <v>56</v>
      </c>
      <c r="JM20" s="1" t="s">
        <v>55</v>
      </c>
      <c r="JN20" s="1" t="s">
        <v>56</v>
      </c>
      <c r="JO20" s="1" t="s">
        <v>55</v>
      </c>
      <c r="JP20" s="1" t="s">
        <v>56</v>
      </c>
      <c r="JQ20" s="1" t="s">
        <v>55</v>
      </c>
      <c r="JR20" s="1" t="s">
        <v>56</v>
      </c>
      <c r="JS20" s="1" t="s">
        <v>55</v>
      </c>
      <c r="JT20" s="1" t="s">
        <v>56</v>
      </c>
      <c r="JU20" s="1" t="s">
        <v>55</v>
      </c>
      <c r="JV20" s="1" t="s">
        <v>56</v>
      </c>
      <c r="JW20" s="1" t="s">
        <v>55</v>
      </c>
      <c r="JX20" s="26">
        <v>463.36948699917843</v>
      </c>
      <c r="JY20" s="26">
        <v>183.46143117291885</v>
      </c>
      <c r="JZ20" s="26">
        <v>330.89948351736587</v>
      </c>
      <c r="KA20" s="26">
        <v>149.26178556142744</v>
      </c>
      <c r="KB20" s="26">
        <v>267.02396122701811</v>
      </c>
      <c r="KC20" s="26">
        <v>143.29999182896412</v>
      </c>
      <c r="KD20" s="26">
        <v>409.97787459408045</v>
      </c>
      <c r="KE20" s="26">
        <v>63.013330165860381</v>
      </c>
      <c r="KF20" s="26">
        <v>300.13640478100876</v>
      </c>
      <c r="KG20" s="26">
        <v>122.28050496667676</v>
      </c>
      <c r="KH20" s="10" t="s">
        <v>56</v>
      </c>
      <c r="KI20" s="4" t="s">
        <v>55</v>
      </c>
      <c r="KJ20" s="10" t="s">
        <v>56</v>
      </c>
      <c r="KK20" s="4" t="s">
        <v>55</v>
      </c>
      <c r="KL20" s="10" t="s">
        <v>56</v>
      </c>
      <c r="KM20" s="4" t="s">
        <v>55</v>
      </c>
      <c r="KN20" s="10" t="s">
        <v>56</v>
      </c>
      <c r="KO20" s="4" t="s">
        <v>55</v>
      </c>
      <c r="KP20" s="10" t="s">
        <v>56</v>
      </c>
      <c r="KQ20" s="4" t="s">
        <v>55</v>
      </c>
      <c r="KR20" s="17" t="s">
        <v>56</v>
      </c>
      <c r="KS20" s="17" t="s">
        <v>55</v>
      </c>
      <c r="KT20" s="17" t="s">
        <v>56</v>
      </c>
      <c r="KU20" s="17" t="s">
        <v>55</v>
      </c>
      <c r="KV20" s="4" t="s">
        <v>57</v>
      </c>
      <c r="KW20" s="4" t="s">
        <v>55</v>
      </c>
      <c r="KX20" s="4" t="s">
        <v>57</v>
      </c>
      <c r="KY20" s="4" t="s">
        <v>55</v>
      </c>
      <c r="KZ20" s="4" t="s">
        <v>57</v>
      </c>
      <c r="LA20" s="4" t="s">
        <v>55</v>
      </c>
      <c r="LB20" s="10" t="s">
        <v>56</v>
      </c>
      <c r="LC20" s="10" t="s">
        <v>55</v>
      </c>
      <c r="LD20" s="10" t="s">
        <v>56</v>
      </c>
      <c r="LE20" s="10" t="s">
        <v>55</v>
      </c>
      <c r="LF20" s="10" t="s">
        <v>56</v>
      </c>
      <c r="LG20" s="10" t="s">
        <v>55</v>
      </c>
      <c r="LH20" s="10" t="s">
        <v>56</v>
      </c>
      <c r="LI20" s="10" t="s">
        <v>55</v>
      </c>
      <c r="LJ20" s="10" t="s">
        <v>56</v>
      </c>
      <c r="LK20" s="10" t="s">
        <v>55</v>
      </c>
      <c r="LL20" s="10" t="s">
        <v>56</v>
      </c>
      <c r="LM20" s="10" t="s">
        <v>55</v>
      </c>
      <c r="LN20" s="10" t="s">
        <v>56</v>
      </c>
      <c r="LO20" s="10" t="s">
        <v>55</v>
      </c>
      <c r="LP20" s="10" t="s">
        <v>56</v>
      </c>
      <c r="LQ20" s="10" t="s">
        <v>55</v>
      </c>
      <c r="LR20" s="10" t="s">
        <v>56</v>
      </c>
      <c r="LS20" s="10" t="s">
        <v>55</v>
      </c>
      <c r="LT20" s="10" t="s">
        <v>56</v>
      </c>
      <c r="LU20" s="10" t="s">
        <v>55</v>
      </c>
      <c r="LV20" s="10" t="s">
        <v>56</v>
      </c>
      <c r="LW20" s="10" t="s">
        <v>55</v>
      </c>
      <c r="LX20" s="10" t="s">
        <v>56</v>
      </c>
      <c r="LY20" s="10" t="s">
        <v>55</v>
      </c>
      <c r="LZ20" s="10" t="s">
        <v>56</v>
      </c>
      <c r="MA20" s="10" t="s">
        <v>55</v>
      </c>
      <c r="MB20" s="10" t="s">
        <v>56</v>
      </c>
      <c r="MC20" s="10" t="s">
        <v>55</v>
      </c>
      <c r="MD20" s="10" t="s">
        <v>56</v>
      </c>
      <c r="ME20" s="10" t="s">
        <v>55</v>
      </c>
      <c r="MF20" s="10" t="s">
        <v>56</v>
      </c>
      <c r="MG20" s="10" t="s">
        <v>55</v>
      </c>
      <c r="MH20" s="10" t="s">
        <v>56</v>
      </c>
      <c r="MI20" s="10" t="s">
        <v>55</v>
      </c>
      <c r="MJ20" s="10" t="s">
        <v>56</v>
      </c>
      <c r="MK20" s="10" t="s">
        <v>55</v>
      </c>
      <c r="ML20" s="10" t="s">
        <v>56</v>
      </c>
      <c r="MM20" s="10" t="s">
        <v>55</v>
      </c>
      <c r="MN20" s="10" t="s">
        <v>56</v>
      </c>
      <c r="MO20" s="10" t="s">
        <v>55</v>
      </c>
      <c r="MP20" s="10" t="s">
        <v>56</v>
      </c>
      <c r="MQ20" s="10" t="s">
        <v>55</v>
      </c>
      <c r="MR20" s="10" t="s">
        <v>56</v>
      </c>
      <c r="MS20" s="10" t="s">
        <v>55</v>
      </c>
      <c r="MT20" s="10" t="s">
        <v>56</v>
      </c>
      <c r="MU20" s="10" t="s">
        <v>55</v>
      </c>
      <c r="MV20" s="10" t="s">
        <v>56</v>
      </c>
      <c r="MW20" s="10" t="s">
        <v>55</v>
      </c>
      <c r="MX20" s="10" t="s">
        <v>56</v>
      </c>
      <c r="MY20" s="10" t="s">
        <v>55</v>
      </c>
      <c r="MZ20" s="10" t="s">
        <v>56</v>
      </c>
      <c r="NA20" s="10" t="s">
        <v>55</v>
      </c>
      <c r="NB20" s="10" t="s">
        <v>56</v>
      </c>
      <c r="NC20" s="10" t="s">
        <v>55</v>
      </c>
      <c r="ND20" s="10" t="s">
        <v>56</v>
      </c>
      <c r="NE20" s="10" t="s">
        <v>55</v>
      </c>
      <c r="NF20" s="10" t="s">
        <v>56</v>
      </c>
      <c r="NG20" s="10" t="s">
        <v>55</v>
      </c>
      <c r="NH20" s="10" t="s">
        <v>56</v>
      </c>
      <c r="NI20" s="10" t="s">
        <v>55</v>
      </c>
      <c r="NJ20" s="10" t="s">
        <v>56</v>
      </c>
      <c r="NK20" s="10" t="s">
        <v>55</v>
      </c>
      <c r="NL20" s="10" t="s">
        <v>56</v>
      </c>
      <c r="NM20" s="10" t="s">
        <v>55</v>
      </c>
      <c r="NN20" s="10" t="s">
        <v>56</v>
      </c>
      <c r="NO20" s="10" t="s">
        <v>55</v>
      </c>
      <c r="NP20" s="10" t="s">
        <v>56</v>
      </c>
      <c r="NQ20" s="10" t="s">
        <v>55</v>
      </c>
      <c r="NR20" s="10" t="s">
        <v>57</v>
      </c>
      <c r="NS20" s="10" t="s">
        <v>55</v>
      </c>
      <c r="NT20" s="10" t="s">
        <v>57</v>
      </c>
      <c r="NU20" s="10" t="s">
        <v>55</v>
      </c>
    </row>
    <row r="21" spans="1:385" x14ac:dyDescent="0.2">
      <c r="A21" t="s">
        <v>10</v>
      </c>
      <c r="B21" s="1" t="s">
        <v>1037</v>
      </c>
      <c r="C21" s="1" t="s">
        <v>859</v>
      </c>
      <c r="D21" s="39" cm="1">
        <f t="array" ref="D21">SUMPRODUCT((ISNUMBER(F21:NU21))*(MOD(COLUMN(F21:NU21),2)=0))</f>
        <v>40</v>
      </c>
      <c r="E21" s="1">
        <v>119.12</v>
      </c>
      <c r="F21" s="1" t="s">
        <v>56</v>
      </c>
      <c r="G21" s="1" t="s">
        <v>55</v>
      </c>
      <c r="H21" s="1" t="s">
        <v>56</v>
      </c>
      <c r="I21" s="1" t="s">
        <v>55</v>
      </c>
      <c r="J21" s="1" t="s">
        <v>56</v>
      </c>
      <c r="K21" s="1" t="s">
        <v>55</v>
      </c>
      <c r="L21" s="1" t="s">
        <v>56</v>
      </c>
      <c r="M21" s="1" t="s">
        <v>55</v>
      </c>
      <c r="N21" s="1" t="s">
        <v>56</v>
      </c>
      <c r="O21" s="1" t="s">
        <v>55</v>
      </c>
      <c r="P21" s="9" t="s">
        <v>56</v>
      </c>
      <c r="Q21" s="9" t="s">
        <v>55</v>
      </c>
      <c r="R21" s="1" t="s">
        <v>56</v>
      </c>
      <c r="S21" s="1" t="s">
        <v>55</v>
      </c>
      <c r="T21" s="1" t="s">
        <v>91</v>
      </c>
      <c r="U21" s="1" t="s">
        <v>55</v>
      </c>
      <c r="V21" s="1">
        <v>0.91</v>
      </c>
      <c r="W21" s="1">
        <v>0.17</v>
      </c>
      <c r="X21" s="1" t="s">
        <v>56</v>
      </c>
      <c r="Y21" s="1" t="s">
        <v>55</v>
      </c>
      <c r="Z21" s="9" t="s">
        <v>56</v>
      </c>
      <c r="AA21" s="9" t="s">
        <v>55</v>
      </c>
      <c r="AB21" s="1" t="s">
        <v>56</v>
      </c>
      <c r="AC21" s="1" t="s">
        <v>55</v>
      </c>
      <c r="AD21" s="1" t="s">
        <v>56</v>
      </c>
      <c r="AE21" s="1" t="s">
        <v>55</v>
      </c>
      <c r="AF21" s="11" t="s">
        <v>56</v>
      </c>
      <c r="AG21" s="11" t="s">
        <v>55</v>
      </c>
      <c r="AH21" s="11" t="s">
        <v>56</v>
      </c>
      <c r="AI21" s="11" t="s">
        <v>55</v>
      </c>
      <c r="AJ21" s="11" t="s">
        <v>56</v>
      </c>
      <c r="AK21" s="11" t="s">
        <v>55</v>
      </c>
      <c r="AL21" s="1">
        <v>2.21</v>
      </c>
      <c r="AM21" s="1">
        <v>0.05</v>
      </c>
      <c r="AN21" s="11">
        <v>0.32</v>
      </c>
      <c r="AO21" s="11">
        <v>0.03</v>
      </c>
      <c r="AP21" s="11" t="s">
        <v>56</v>
      </c>
      <c r="AQ21" s="11" t="s">
        <v>55</v>
      </c>
      <c r="AR21" s="10">
        <f>173/E21</f>
        <v>1.4523169912693081</v>
      </c>
      <c r="AS21" s="10">
        <f>23/E21</f>
        <v>0.19308260577568837</v>
      </c>
      <c r="AT21" s="11" t="s">
        <v>56</v>
      </c>
      <c r="AU21" s="11" t="s">
        <v>55</v>
      </c>
      <c r="AV21" s="11" t="s">
        <v>56</v>
      </c>
      <c r="AW21" s="11" t="s">
        <v>55</v>
      </c>
      <c r="AX21" s="11" t="s">
        <v>56</v>
      </c>
      <c r="AY21" s="11" t="s">
        <v>55</v>
      </c>
      <c r="AZ21" s="1" t="s">
        <v>57</v>
      </c>
      <c r="BA21" s="1" t="s">
        <v>55</v>
      </c>
      <c r="BB21" s="1" t="s">
        <v>57</v>
      </c>
      <c r="BC21" s="1" t="s">
        <v>55</v>
      </c>
      <c r="BD21" s="1" t="s">
        <v>56</v>
      </c>
      <c r="BE21" s="1" t="s">
        <v>55</v>
      </c>
      <c r="BF21" s="1" t="s">
        <v>283</v>
      </c>
      <c r="BG21" s="1" t="s">
        <v>55</v>
      </c>
      <c r="BH21" s="1">
        <v>0.66</v>
      </c>
      <c r="BI21" s="1">
        <v>0.08</v>
      </c>
      <c r="BJ21" s="1">
        <v>5.83</v>
      </c>
      <c r="BK21" s="1">
        <v>0.81</v>
      </c>
      <c r="BL21" s="1" t="s">
        <v>56</v>
      </c>
      <c r="BM21" s="1" t="s">
        <v>55</v>
      </c>
      <c r="BN21" s="1">
        <v>14.8</v>
      </c>
      <c r="BO21" s="1">
        <v>0.7</v>
      </c>
      <c r="BP21" s="1">
        <v>56</v>
      </c>
      <c r="BQ21" s="1">
        <v>28</v>
      </c>
      <c r="BR21" s="11" t="s">
        <v>56</v>
      </c>
      <c r="BS21" s="11" t="s">
        <v>162</v>
      </c>
      <c r="BT21" s="4" t="s">
        <v>56</v>
      </c>
      <c r="BU21" s="4" t="s">
        <v>55</v>
      </c>
      <c r="BV21" s="4" t="s">
        <v>56</v>
      </c>
      <c r="BW21" s="4" t="s">
        <v>55</v>
      </c>
      <c r="BX21" s="4" t="s">
        <v>56</v>
      </c>
      <c r="BY21" s="4" t="s">
        <v>55</v>
      </c>
      <c r="BZ21" s="10" t="s">
        <v>56</v>
      </c>
      <c r="CA21" s="10" t="s">
        <v>55</v>
      </c>
      <c r="CB21" s="10" t="s">
        <v>56</v>
      </c>
      <c r="CC21" s="10" t="s">
        <v>55</v>
      </c>
      <c r="CD21" s="10" t="s">
        <v>56</v>
      </c>
      <c r="CE21" s="10" t="s">
        <v>55</v>
      </c>
      <c r="CF21" s="10" t="s">
        <v>56</v>
      </c>
      <c r="CG21" s="10" t="s">
        <v>55</v>
      </c>
      <c r="CH21" s="10" t="s">
        <v>56</v>
      </c>
      <c r="CI21" s="10" t="s">
        <v>55</v>
      </c>
      <c r="CJ21" s="10" t="s">
        <v>483</v>
      </c>
      <c r="CK21" s="10" t="s">
        <v>55</v>
      </c>
      <c r="CL21" s="10" t="s">
        <v>56</v>
      </c>
      <c r="CM21" s="10" t="s">
        <v>55</v>
      </c>
      <c r="CN21" s="10" t="s">
        <v>56</v>
      </c>
      <c r="CO21" s="10" t="s">
        <v>55</v>
      </c>
      <c r="CP21" s="10" t="s">
        <v>56</v>
      </c>
      <c r="CQ21" s="10" t="s">
        <v>55</v>
      </c>
      <c r="CR21" s="10" t="s">
        <v>56</v>
      </c>
      <c r="CS21" s="10" t="s">
        <v>55</v>
      </c>
      <c r="CT21" s="10" t="s">
        <v>56</v>
      </c>
      <c r="CU21" s="10" t="s">
        <v>55</v>
      </c>
      <c r="CV21" s="10" t="s">
        <v>56</v>
      </c>
      <c r="CW21" s="10" t="s">
        <v>55</v>
      </c>
      <c r="CX21" s="10" t="s">
        <v>56</v>
      </c>
      <c r="CY21" s="10" t="s">
        <v>55</v>
      </c>
      <c r="CZ21" s="10" t="s">
        <v>56</v>
      </c>
      <c r="DA21" s="10" t="s">
        <v>55</v>
      </c>
      <c r="DB21" s="10" t="s">
        <v>56</v>
      </c>
      <c r="DC21" s="10" t="s">
        <v>55</v>
      </c>
      <c r="DD21" s="10" t="s">
        <v>56</v>
      </c>
      <c r="DE21" s="10" t="s">
        <v>55</v>
      </c>
      <c r="DF21" s="10" t="s">
        <v>56</v>
      </c>
      <c r="DG21" s="10" t="s">
        <v>55</v>
      </c>
      <c r="DH21" s="10" t="s">
        <v>56</v>
      </c>
      <c r="DI21" s="10" t="s">
        <v>55</v>
      </c>
      <c r="DJ21" s="10" t="s">
        <v>56</v>
      </c>
      <c r="DK21" s="10" t="s">
        <v>55</v>
      </c>
      <c r="DL21" s="10" t="s">
        <v>56</v>
      </c>
      <c r="DM21" s="10" t="s">
        <v>55</v>
      </c>
      <c r="DN21" s="10" t="s">
        <v>56</v>
      </c>
      <c r="DO21" s="10" t="s">
        <v>55</v>
      </c>
      <c r="DP21" s="10" t="s">
        <v>56</v>
      </c>
      <c r="DQ21" s="10" t="s">
        <v>55</v>
      </c>
      <c r="DR21" s="10" t="s">
        <v>56</v>
      </c>
      <c r="DS21" s="10" t="s">
        <v>55</v>
      </c>
      <c r="DT21" s="10" t="s">
        <v>56</v>
      </c>
      <c r="DU21" s="10" t="s">
        <v>55</v>
      </c>
      <c r="DV21" s="10" t="s">
        <v>56</v>
      </c>
      <c r="DW21" s="10" t="s">
        <v>55</v>
      </c>
      <c r="DX21" s="10" t="s">
        <v>56</v>
      </c>
      <c r="DY21" s="10" t="s">
        <v>55</v>
      </c>
      <c r="DZ21" s="10" t="s">
        <v>56</v>
      </c>
      <c r="EA21" s="10" t="s">
        <v>55</v>
      </c>
      <c r="EB21" s="10" t="s">
        <v>56</v>
      </c>
      <c r="EC21" s="10" t="s">
        <v>55</v>
      </c>
      <c r="ED21" s="10" t="s">
        <v>56</v>
      </c>
      <c r="EE21" s="10" t="s">
        <v>55</v>
      </c>
      <c r="EF21" s="10" t="s">
        <v>56</v>
      </c>
      <c r="EG21" s="10" t="s">
        <v>55</v>
      </c>
      <c r="EH21" s="10" t="s">
        <v>56</v>
      </c>
      <c r="EI21" s="10" t="s">
        <v>55</v>
      </c>
      <c r="EJ21" s="10" t="s">
        <v>56</v>
      </c>
      <c r="EK21" s="10" t="s">
        <v>55</v>
      </c>
      <c r="EL21" s="10" t="s">
        <v>56</v>
      </c>
      <c r="EM21" s="10" t="s">
        <v>55</v>
      </c>
      <c r="EN21" s="10" t="s">
        <v>56</v>
      </c>
      <c r="EO21" s="10" t="s">
        <v>55</v>
      </c>
      <c r="EP21" s="10" t="s">
        <v>56</v>
      </c>
      <c r="EQ21" s="10" t="s">
        <v>55</v>
      </c>
      <c r="ER21" s="10" t="s">
        <v>495</v>
      </c>
      <c r="ES21" s="10" t="s">
        <v>55</v>
      </c>
      <c r="ET21" s="10" t="s">
        <v>495</v>
      </c>
      <c r="EU21" s="10" t="s">
        <v>55</v>
      </c>
      <c r="EV21" s="10">
        <f>60/E21</f>
        <v>0.50369375419744788</v>
      </c>
      <c r="EW21" s="10">
        <f>11/E21</f>
        <v>9.2343854936198788E-2</v>
      </c>
      <c r="EX21" s="10">
        <f>11/E21</f>
        <v>9.2343854936198788E-2</v>
      </c>
      <c r="EY21" s="10">
        <f>1/E21</f>
        <v>8.3948959032907992E-3</v>
      </c>
      <c r="EZ21" s="10">
        <f>1.4/E21</f>
        <v>1.1752854264607118E-2</v>
      </c>
      <c r="FA21" s="10">
        <f>0.7/E21</f>
        <v>5.8764271323035588E-3</v>
      </c>
      <c r="FB21" s="10">
        <f>3/E21</f>
        <v>2.5184687709872398E-2</v>
      </c>
      <c r="FC21" s="10">
        <f>0.3/E21</f>
        <v>2.5184687709872396E-3</v>
      </c>
      <c r="FD21" s="10" t="s">
        <v>494</v>
      </c>
      <c r="FE21" s="10" t="s">
        <v>55</v>
      </c>
      <c r="FF21" s="10">
        <f>83/E21</f>
        <v>0.69677635997313636</v>
      </c>
      <c r="FG21" s="10">
        <f>20/E21</f>
        <v>0.16789791806581597</v>
      </c>
      <c r="FH21" s="10">
        <f>15/E21</f>
        <v>0.12592343854936197</v>
      </c>
      <c r="FI21" s="10">
        <f>1/E21</f>
        <v>8.3948959032907992E-3</v>
      </c>
      <c r="FJ21" s="10">
        <f>4.5/E21</f>
        <v>3.7777031564808598E-2</v>
      </c>
      <c r="FK21" s="10">
        <f>0.8/E21</f>
        <v>6.7159167226326392E-3</v>
      </c>
      <c r="FL21" s="10">
        <f>12/E21</f>
        <v>0.10073875083948959</v>
      </c>
      <c r="FM21" s="10">
        <f>1/E21</f>
        <v>8.3948959032907992E-3</v>
      </c>
      <c r="FN21" s="10">
        <f>26/E21</f>
        <v>0.21826729348556076</v>
      </c>
      <c r="FO21" s="10">
        <f>1/E21</f>
        <v>8.3948959032907992E-3</v>
      </c>
      <c r="FP21" s="10">
        <f>15/E21</f>
        <v>0.12592343854936197</v>
      </c>
      <c r="FQ21" s="10">
        <f>2/E21</f>
        <v>1.6789791806581598E-2</v>
      </c>
      <c r="FR21" s="10">
        <f>7.7/E21</f>
        <v>6.4640698455339152E-2</v>
      </c>
      <c r="FS21" s="10">
        <f>0.7/E21</f>
        <v>5.8764271323035588E-3</v>
      </c>
      <c r="FT21" s="10" t="s">
        <v>56</v>
      </c>
      <c r="FU21" s="10" t="s">
        <v>55</v>
      </c>
      <c r="FV21" s="10" t="s">
        <v>56</v>
      </c>
      <c r="FW21" s="10" t="s">
        <v>55</v>
      </c>
      <c r="FX21" s="10" t="s">
        <v>56</v>
      </c>
      <c r="FY21" s="10" t="s">
        <v>55</v>
      </c>
      <c r="FZ21" s="10" t="s">
        <v>56</v>
      </c>
      <c r="GA21" s="10" t="s">
        <v>55</v>
      </c>
      <c r="GB21" s="10" t="s">
        <v>56</v>
      </c>
      <c r="GC21" s="10" t="s">
        <v>55</v>
      </c>
      <c r="GD21" s="10" t="s">
        <v>56</v>
      </c>
      <c r="GE21" s="10" t="s">
        <v>55</v>
      </c>
      <c r="GF21" s="10" t="s">
        <v>56</v>
      </c>
      <c r="GG21" s="10" t="s">
        <v>55</v>
      </c>
      <c r="GH21" s="10" t="s">
        <v>56</v>
      </c>
      <c r="GI21" s="10" t="s">
        <v>55</v>
      </c>
      <c r="GJ21" s="10" t="s">
        <v>56</v>
      </c>
      <c r="GK21" s="10" t="s">
        <v>55</v>
      </c>
      <c r="GL21" s="10" t="s">
        <v>56</v>
      </c>
      <c r="GM21" s="10" t="s">
        <v>55</v>
      </c>
      <c r="GN21" s="10" t="s">
        <v>56</v>
      </c>
      <c r="GO21" s="10" t="s">
        <v>55</v>
      </c>
      <c r="GP21" s="10" t="s">
        <v>56</v>
      </c>
      <c r="GQ21" s="10" t="s">
        <v>55</v>
      </c>
      <c r="GR21" s="10" t="s">
        <v>87</v>
      </c>
      <c r="GS21" s="10" t="s">
        <v>55</v>
      </c>
      <c r="GT21" s="10" t="s">
        <v>87</v>
      </c>
      <c r="GU21" s="10" t="s">
        <v>55</v>
      </c>
      <c r="GV21" s="10" t="s">
        <v>1253</v>
      </c>
      <c r="GW21" s="10" t="s">
        <v>55</v>
      </c>
      <c r="GX21" s="10" t="s">
        <v>56</v>
      </c>
      <c r="GY21" s="10" t="s">
        <v>55</v>
      </c>
      <c r="GZ21" s="10">
        <v>8.2926000000000002</v>
      </c>
      <c r="HA21" s="10" t="s">
        <v>55</v>
      </c>
      <c r="HB21" s="10">
        <v>7.2422000000000004</v>
      </c>
      <c r="HC21" s="10" t="s">
        <v>55</v>
      </c>
      <c r="HD21" s="10">
        <v>35.299300000000002</v>
      </c>
      <c r="HE21" s="10" t="s">
        <v>55</v>
      </c>
      <c r="HF21" s="10">
        <v>39.433700000000002</v>
      </c>
      <c r="HG21" s="10" t="s">
        <v>55</v>
      </c>
      <c r="HH21" s="10">
        <v>22.278700000000001</v>
      </c>
      <c r="HI21" s="10" t="s">
        <v>55</v>
      </c>
      <c r="HJ21" s="10">
        <v>20.136900000000001</v>
      </c>
      <c r="HK21" s="10" t="s">
        <v>55</v>
      </c>
      <c r="HL21" s="10">
        <v>1.5384</v>
      </c>
      <c r="HM21" s="10" t="s">
        <v>55</v>
      </c>
      <c r="HN21" s="10">
        <v>24.4815</v>
      </c>
      <c r="HO21" s="10" t="s">
        <v>55</v>
      </c>
      <c r="HP21" s="10" t="s">
        <v>56</v>
      </c>
      <c r="HQ21" s="10" t="s">
        <v>55</v>
      </c>
      <c r="HR21" s="10" t="s">
        <v>56</v>
      </c>
      <c r="HS21" s="10" t="s">
        <v>55</v>
      </c>
      <c r="HT21" s="10" t="s">
        <v>56</v>
      </c>
      <c r="HU21" s="10" t="s">
        <v>55</v>
      </c>
      <c r="HV21" s="10" t="s">
        <v>56</v>
      </c>
      <c r="HW21" s="10" t="s">
        <v>55</v>
      </c>
      <c r="HX21" s="10" t="s">
        <v>56</v>
      </c>
      <c r="HY21" s="10" t="s">
        <v>55</v>
      </c>
      <c r="HZ21" s="10" t="s">
        <v>56</v>
      </c>
      <c r="IA21" s="10" t="s">
        <v>55</v>
      </c>
      <c r="IB21" s="10" t="s">
        <v>56</v>
      </c>
      <c r="IC21" s="10" t="s">
        <v>55</v>
      </c>
      <c r="ID21" s="1">
        <v>0.2676</v>
      </c>
      <c r="IE21" s="1">
        <v>0.4617</v>
      </c>
      <c r="IF21" s="10" t="s">
        <v>75</v>
      </c>
      <c r="IG21" s="10" t="s">
        <v>55</v>
      </c>
      <c r="IH21" s="4" t="s">
        <v>56</v>
      </c>
      <c r="II21" s="4" t="s">
        <v>55</v>
      </c>
      <c r="IJ21" s="4" t="s">
        <v>56</v>
      </c>
      <c r="IK21" s="4" t="s">
        <v>55</v>
      </c>
      <c r="IL21" s="4" t="s">
        <v>56</v>
      </c>
      <c r="IM21" s="4" t="s">
        <v>55</v>
      </c>
      <c r="IN21" s="4" t="s">
        <v>56</v>
      </c>
      <c r="IO21" s="4" t="s">
        <v>55</v>
      </c>
      <c r="IP21" s="4" t="s">
        <v>56</v>
      </c>
      <c r="IQ21" s="4" t="s">
        <v>55</v>
      </c>
      <c r="IR21" s="1" t="s">
        <v>56</v>
      </c>
      <c r="IS21" s="1" t="s">
        <v>55</v>
      </c>
      <c r="IT21" s="1" t="s">
        <v>56</v>
      </c>
      <c r="IU21" s="1" t="s">
        <v>55</v>
      </c>
      <c r="IV21" s="1" t="s">
        <v>56</v>
      </c>
      <c r="IW21" s="1" t="s">
        <v>55</v>
      </c>
      <c r="IX21" s="1" t="s">
        <v>56</v>
      </c>
      <c r="IY21" s="1" t="s">
        <v>55</v>
      </c>
      <c r="IZ21" s="1" t="s">
        <v>56</v>
      </c>
      <c r="JA21" s="1" t="s">
        <v>55</v>
      </c>
      <c r="JB21" s="1" t="s">
        <v>56</v>
      </c>
      <c r="JC21" s="1" t="s">
        <v>55</v>
      </c>
      <c r="JD21" s="1" t="s">
        <v>56</v>
      </c>
      <c r="JE21" s="1" t="s">
        <v>55</v>
      </c>
      <c r="JF21" s="1" t="s">
        <v>56</v>
      </c>
      <c r="JG21" s="1" t="s">
        <v>55</v>
      </c>
      <c r="JH21" s="1" t="s">
        <v>56</v>
      </c>
      <c r="JI21" s="1" t="s">
        <v>55</v>
      </c>
      <c r="JJ21" s="1" t="s">
        <v>56</v>
      </c>
      <c r="JK21" s="1" t="s">
        <v>55</v>
      </c>
      <c r="JL21" s="1" t="s">
        <v>56</v>
      </c>
      <c r="JM21" s="1" t="s">
        <v>55</v>
      </c>
      <c r="JN21" s="1" t="s">
        <v>56</v>
      </c>
      <c r="JO21" s="1" t="s">
        <v>55</v>
      </c>
      <c r="JP21" s="1" t="s">
        <v>56</v>
      </c>
      <c r="JQ21" s="1" t="s">
        <v>55</v>
      </c>
      <c r="JR21" s="1" t="s">
        <v>56</v>
      </c>
      <c r="JS21" s="1" t="s">
        <v>55</v>
      </c>
      <c r="JT21" s="1" t="s">
        <v>56</v>
      </c>
      <c r="JU21" s="1" t="s">
        <v>55</v>
      </c>
      <c r="JV21" s="1" t="s">
        <v>56</v>
      </c>
      <c r="JW21" s="1" t="s">
        <v>55</v>
      </c>
      <c r="JX21" s="26">
        <v>1238.3713260584107</v>
      </c>
      <c r="JY21" s="26">
        <v>341.13792454157362</v>
      </c>
      <c r="JZ21" s="26">
        <v>842.19559292027952</v>
      </c>
      <c r="KA21" s="26">
        <v>241.49578661866497</v>
      </c>
      <c r="KB21" s="26">
        <v>934.10258124026393</v>
      </c>
      <c r="KC21" s="26">
        <v>619.8327957986279</v>
      </c>
      <c r="KD21" s="26">
        <v>5253.2015397846035</v>
      </c>
      <c r="KE21" s="26">
        <v>6165.841924018875</v>
      </c>
      <c r="KF21" s="26">
        <v>1170.0479725169848</v>
      </c>
      <c r="KG21" s="26">
        <v>187.85284549665133</v>
      </c>
      <c r="KH21" s="10" t="s">
        <v>56</v>
      </c>
      <c r="KI21" s="4" t="s">
        <v>55</v>
      </c>
      <c r="KJ21" s="10" t="s">
        <v>56</v>
      </c>
      <c r="KK21" s="4" t="s">
        <v>55</v>
      </c>
      <c r="KL21" s="10" t="s">
        <v>56</v>
      </c>
      <c r="KM21" s="4" t="s">
        <v>55</v>
      </c>
      <c r="KN21" s="10" t="s">
        <v>56</v>
      </c>
      <c r="KO21" s="4" t="s">
        <v>55</v>
      </c>
      <c r="KP21" s="10" t="s">
        <v>56</v>
      </c>
      <c r="KQ21" s="4" t="s">
        <v>55</v>
      </c>
      <c r="KR21" s="17" t="s">
        <v>56</v>
      </c>
      <c r="KS21" s="17" t="s">
        <v>55</v>
      </c>
      <c r="KT21" s="17" t="s">
        <v>56</v>
      </c>
      <c r="KU21" s="17" t="s">
        <v>55</v>
      </c>
      <c r="KV21" s="17">
        <v>837.9</v>
      </c>
      <c r="KW21" s="17">
        <v>64.099999999999994</v>
      </c>
      <c r="KX21" s="17">
        <v>1644.3</v>
      </c>
      <c r="KY21" s="17">
        <v>171.31</v>
      </c>
      <c r="KZ21" s="17">
        <v>1564</v>
      </c>
      <c r="LA21" s="17">
        <v>121.91</v>
      </c>
      <c r="LB21" s="10" t="s">
        <v>56</v>
      </c>
      <c r="LC21" s="10" t="s">
        <v>55</v>
      </c>
      <c r="LD21" s="10">
        <f>1.3*1000</f>
        <v>1300</v>
      </c>
      <c r="LE21" s="10">
        <f>0.2*1000</f>
        <v>200</v>
      </c>
      <c r="LF21" s="10">
        <f>0.25*1000</f>
        <v>250</v>
      </c>
      <c r="LG21" s="10">
        <f>0.05*1000</f>
        <v>50</v>
      </c>
      <c r="LH21" s="10">
        <f>0.42*1000</f>
        <v>420</v>
      </c>
      <c r="LI21" s="10">
        <f>0.06*1000</f>
        <v>60</v>
      </c>
      <c r="LJ21" s="10" t="s">
        <v>56</v>
      </c>
      <c r="LK21" s="10" t="s">
        <v>55</v>
      </c>
      <c r="LL21" s="10" t="s">
        <v>56</v>
      </c>
      <c r="LM21" s="10" t="s">
        <v>55</v>
      </c>
      <c r="LN21" s="10" t="s">
        <v>56</v>
      </c>
      <c r="LO21" s="10" t="s">
        <v>55</v>
      </c>
      <c r="LP21" s="10" t="s">
        <v>56</v>
      </c>
      <c r="LQ21" s="10" t="s">
        <v>55</v>
      </c>
      <c r="LR21" s="10" t="s">
        <v>56</v>
      </c>
      <c r="LS21" s="10" t="s">
        <v>55</v>
      </c>
      <c r="LT21" s="10" t="s">
        <v>56</v>
      </c>
      <c r="LU21" s="10" t="s">
        <v>55</v>
      </c>
      <c r="LV21" s="10" t="s">
        <v>56</v>
      </c>
      <c r="LW21" s="10" t="s">
        <v>55</v>
      </c>
      <c r="LX21" s="10" t="s">
        <v>56</v>
      </c>
      <c r="LY21" s="10" t="s">
        <v>55</v>
      </c>
      <c r="LZ21" s="10" t="s">
        <v>56</v>
      </c>
      <c r="MA21" s="10" t="s">
        <v>55</v>
      </c>
      <c r="MB21" s="10" t="s">
        <v>56</v>
      </c>
      <c r="MC21" s="10" t="s">
        <v>55</v>
      </c>
      <c r="MD21" s="10" t="s">
        <v>56</v>
      </c>
      <c r="ME21" s="10" t="s">
        <v>55</v>
      </c>
      <c r="MF21" s="10" t="s">
        <v>56</v>
      </c>
      <c r="MG21" s="10" t="s">
        <v>55</v>
      </c>
      <c r="MH21" s="10" t="s">
        <v>56</v>
      </c>
      <c r="MI21" s="10" t="s">
        <v>55</v>
      </c>
      <c r="MJ21" s="10" t="s">
        <v>56</v>
      </c>
      <c r="MK21" s="10" t="s">
        <v>55</v>
      </c>
      <c r="ML21" s="10" t="s">
        <v>56</v>
      </c>
      <c r="MM21" s="10" t="s">
        <v>55</v>
      </c>
      <c r="MN21" s="10" t="s">
        <v>56</v>
      </c>
      <c r="MO21" s="10" t="s">
        <v>55</v>
      </c>
      <c r="MP21" s="10" t="s">
        <v>56</v>
      </c>
      <c r="MQ21" s="10" t="s">
        <v>55</v>
      </c>
      <c r="MR21" s="10" t="s">
        <v>56</v>
      </c>
      <c r="MS21" s="10" t="s">
        <v>55</v>
      </c>
      <c r="MT21" s="10" t="s">
        <v>56</v>
      </c>
      <c r="MU21" s="10" t="s">
        <v>55</v>
      </c>
      <c r="MV21" s="10" t="s">
        <v>56</v>
      </c>
      <c r="MW21" s="10" t="s">
        <v>55</v>
      </c>
      <c r="MX21" s="10" t="s">
        <v>56</v>
      </c>
      <c r="MY21" s="10" t="s">
        <v>55</v>
      </c>
      <c r="MZ21" s="10" t="s">
        <v>56</v>
      </c>
      <c r="NA21" s="10" t="s">
        <v>55</v>
      </c>
      <c r="NB21" s="10" t="s">
        <v>56</v>
      </c>
      <c r="NC21" s="10" t="s">
        <v>55</v>
      </c>
      <c r="ND21" s="10" t="s">
        <v>56</v>
      </c>
      <c r="NE21" s="10" t="s">
        <v>55</v>
      </c>
      <c r="NF21" s="10" t="s">
        <v>56</v>
      </c>
      <c r="NG21" s="10" t="s">
        <v>55</v>
      </c>
      <c r="NH21" s="10" t="s">
        <v>56</v>
      </c>
      <c r="NI21" s="10" t="s">
        <v>55</v>
      </c>
      <c r="NJ21" s="10" t="s">
        <v>56</v>
      </c>
      <c r="NK21" s="10" t="s">
        <v>55</v>
      </c>
      <c r="NL21" s="10" t="s">
        <v>56</v>
      </c>
      <c r="NM21" s="10" t="s">
        <v>55</v>
      </c>
      <c r="NN21" s="10" t="s">
        <v>56</v>
      </c>
      <c r="NO21" s="10" t="s">
        <v>55</v>
      </c>
      <c r="NP21" s="10" t="s">
        <v>56</v>
      </c>
      <c r="NQ21" s="10" t="s">
        <v>55</v>
      </c>
      <c r="NR21" s="10" t="s">
        <v>620</v>
      </c>
      <c r="NS21" s="10" t="s">
        <v>55</v>
      </c>
      <c r="NT21" s="10">
        <f>(6.9*1000)/E21</f>
        <v>57.924781732706514</v>
      </c>
      <c r="NU21" s="10">
        <f>(2.6*1000)/E21</f>
        <v>21.826729348556078</v>
      </c>
    </row>
    <row r="22" spans="1:385" x14ac:dyDescent="0.2">
      <c r="A22" t="s">
        <v>865</v>
      </c>
      <c r="B22" s="1" t="s">
        <v>1037</v>
      </c>
      <c r="C22" s="1" t="s">
        <v>843</v>
      </c>
      <c r="D22" s="39" cm="1">
        <f t="array" ref="D22">SUMPRODUCT((ISNUMBER(F22:NU22))*(MOD(COLUMN(F22:NU22),2)=0))</f>
        <v>51</v>
      </c>
      <c r="E22" s="1">
        <v>119.12</v>
      </c>
      <c r="F22" s="1" t="s">
        <v>56</v>
      </c>
      <c r="G22" s="1" t="s">
        <v>55</v>
      </c>
      <c r="H22" s="1" t="s">
        <v>56</v>
      </c>
      <c r="I22" s="1" t="s">
        <v>55</v>
      </c>
      <c r="J22" s="1" t="s">
        <v>56</v>
      </c>
      <c r="K22" s="1" t="s">
        <v>55</v>
      </c>
      <c r="L22" s="1" t="s">
        <v>56</v>
      </c>
      <c r="M22" s="1" t="s">
        <v>55</v>
      </c>
      <c r="N22" s="1" t="s">
        <v>56</v>
      </c>
      <c r="O22" s="1" t="s">
        <v>55</v>
      </c>
      <c r="P22" s="1" t="s">
        <v>56</v>
      </c>
      <c r="Q22" s="1" t="s">
        <v>55</v>
      </c>
      <c r="R22" s="1" t="s">
        <v>56</v>
      </c>
      <c r="S22" s="1" t="s">
        <v>55</v>
      </c>
      <c r="T22" s="1" t="s">
        <v>56</v>
      </c>
      <c r="U22" s="1" t="s">
        <v>55</v>
      </c>
      <c r="V22" s="1" t="s">
        <v>56</v>
      </c>
      <c r="W22" s="1" t="s">
        <v>55</v>
      </c>
      <c r="X22" s="1" t="s">
        <v>56</v>
      </c>
      <c r="Y22" s="1" t="s">
        <v>55</v>
      </c>
      <c r="Z22" s="1" t="s">
        <v>56</v>
      </c>
      <c r="AA22" s="1" t="s">
        <v>55</v>
      </c>
      <c r="AB22" s="1" t="s">
        <v>56</v>
      </c>
      <c r="AC22" s="1" t="s">
        <v>55</v>
      </c>
      <c r="AD22" s="1" t="s">
        <v>56</v>
      </c>
      <c r="AE22" s="1" t="s">
        <v>55</v>
      </c>
      <c r="AF22" s="1" t="s">
        <v>56</v>
      </c>
      <c r="AG22" s="1" t="s">
        <v>55</v>
      </c>
      <c r="AH22" s="1" t="s">
        <v>56</v>
      </c>
      <c r="AI22" s="1" t="s">
        <v>55</v>
      </c>
      <c r="AJ22" s="1" t="s">
        <v>56</v>
      </c>
      <c r="AK22" s="1" t="s">
        <v>55</v>
      </c>
      <c r="AL22" s="1" t="s">
        <v>56</v>
      </c>
      <c r="AM22" s="1" t="s">
        <v>55</v>
      </c>
      <c r="AN22" s="1" t="s">
        <v>56</v>
      </c>
      <c r="AO22" s="1" t="s">
        <v>55</v>
      </c>
      <c r="AP22" s="1" t="s">
        <v>56</v>
      </c>
      <c r="AQ22" s="1" t="s">
        <v>55</v>
      </c>
      <c r="AR22" s="1" t="s">
        <v>56</v>
      </c>
      <c r="AS22" s="1" t="s">
        <v>55</v>
      </c>
      <c r="AT22" s="1" t="s">
        <v>56</v>
      </c>
      <c r="AU22" s="1" t="s">
        <v>55</v>
      </c>
      <c r="AV22" s="1" t="s">
        <v>56</v>
      </c>
      <c r="AW22" s="1" t="s">
        <v>55</v>
      </c>
      <c r="AX22" s="1" t="s">
        <v>56</v>
      </c>
      <c r="AY22" s="1" t="s">
        <v>55</v>
      </c>
      <c r="AZ22" s="1" t="s">
        <v>56</v>
      </c>
      <c r="BA22" s="1" t="s">
        <v>55</v>
      </c>
      <c r="BB22" s="1" t="s">
        <v>56</v>
      </c>
      <c r="BC22" s="1" t="s">
        <v>55</v>
      </c>
      <c r="BD22" s="1" t="s">
        <v>56</v>
      </c>
      <c r="BE22" s="1" t="s">
        <v>55</v>
      </c>
      <c r="BF22" s="1" t="s">
        <v>56</v>
      </c>
      <c r="BG22" s="1" t="s">
        <v>55</v>
      </c>
      <c r="BH22" s="1" t="s">
        <v>56</v>
      </c>
      <c r="BI22" s="1" t="s">
        <v>55</v>
      </c>
      <c r="BJ22" s="1" t="s">
        <v>56</v>
      </c>
      <c r="BK22" s="1" t="s">
        <v>55</v>
      </c>
      <c r="BL22" s="1" t="s">
        <v>56</v>
      </c>
      <c r="BM22" s="1" t="s">
        <v>55</v>
      </c>
      <c r="BN22" s="1" t="s">
        <v>56</v>
      </c>
      <c r="BO22" s="1" t="s">
        <v>55</v>
      </c>
      <c r="BP22" s="1" t="s">
        <v>56</v>
      </c>
      <c r="BQ22" s="1" t="s">
        <v>55</v>
      </c>
      <c r="BR22" s="1" t="s">
        <v>56</v>
      </c>
      <c r="BS22" s="1" t="s">
        <v>55</v>
      </c>
      <c r="BT22" s="1" t="s">
        <v>56</v>
      </c>
      <c r="BU22" s="1" t="s">
        <v>55</v>
      </c>
      <c r="BV22" s="1" t="s">
        <v>56</v>
      </c>
      <c r="BW22" s="1" t="s">
        <v>55</v>
      </c>
      <c r="BX22" s="1" t="s">
        <v>56</v>
      </c>
      <c r="BY22" s="1" t="s">
        <v>55</v>
      </c>
      <c r="BZ22" s="1" t="s">
        <v>56</v>
      </c>
      <c r="CA22" s="1" t="s">
        <v>55</v>
      </c>
      <c r="CB22" s="1" t="s">
        <v>56</v>
      </c>
      <c r="CC22" s="1" t="s">
        <v>55</v>
      </c>
      <c r="CD22" s="1" t="s">
        <v>56</v>
      </c>
      <c r="CE22" s="1" t="s">
        <v>55</v>
      </c>
      <c r="CF22" s="1" t="s">
        <v>56</v>
      </c>
      <c r="CG22" s="1" t="s">
        <v>55</v>
      </c>
      <c r="CH22" s="1" t="s">
        <v>56</v>
      </c>
      <c r="CI22" s="1" t="s">
        <v>55</v>
      </c>
      <c r="CJ22" s="1" t="s">
        <v>56</v>
      </c>
      <c r="CK22" s="1" t="s">
        <v>55</v>
      </c>
      <c r="CL22" s="1" t="s">
        <v>56</v>
      </c>
      <c r="CM22" s="1" t="s">
        <v>55</v>
      </c>
      <c r="CN22" s="1" t="s">
        <v>56</v>
      </c>
      <c r="CO22" s="1" t="s">
        <v>55</v>
      </c>
      <c r="CP22" s="1" t="s">
        <v>56</v>
      </c>
      <c r="CQ22" s="1" t="s">
        <v>55</v>
      </c>
      <c r="CR22" s="1" t="s">
        <v>56</v>
      </c>
      <c r="CS22" s="1" t="s">
        <v>55</v>
      </c>
      <c r="CT22" s="1" t="s">
        <v>56</v>
      </c>
      <c r="CU22" s="1" t="s">
        <v>55</v>
      </c>
      <c r="CV22" s="1" t="s">
        <v>56</v>
      </c>
      <c r="CW22" s="1" t="s">
        <v>55</v>
      </c>
      <c r="CX22" s="1" t="s">
        <v>56</v>
      </c>
      <c r="CY22" s="1" t="s">
        <v>55</v>
      </c>
      <c r="CZ22" s="1" t="s">
        <v>56</v>
      </c>
      <c r="DA22" s="1" t="s">
        <v>55</v>
      </c>
      <c r="DB22" s="1" t="s">
        <v>56</v>
      </c>
      <c r="DC22" s="1" t="s">
        <v>55</v>
      </c>
      <c r="DD22" s="1" t="s">
        <v>56</v>
      </c>
      <c r="DE22" s="1" t="s">
        <v>55</v>
      </c>
      <c r="DF22" s="1" t="s">
        <v>56</v>
      </c>
      <c r="DG22" s="1" t="s">
        <v>55</v>
      </c>
      <c r="DH22" s="1" t="s">
        <v>56</v>
      </c>
      <c r="DI22" s="1" t="s">
        <v>55</v>
      </c>
      <c r="DJ22" s="1" t="s">
        <v>56</v>
      </c>
      <c r="DK22" s="1" t="s">
        <v>55</v>
      </c>
      <c r="DL22" s="1" t="s">
        <v>56</v>
      </c>
      <c r="DM22" s="1" t="s">
        <v>55</v>
      </c>
      <c r="DN22" s="1" t="s">
        <v>56</v>
      </c>
      <c r="DO22" s="1" t="s">
        <v>55</v>
      </c>
      <c r="DP22" s="1" t="s">
        <v>56</v>
      </c>
      <c r="DQ22" s="1" t="s">
        <v>55</v>
      </c>
      <c r="DR22" s="1" t="s">
        <v>56</v>
      </c>
      <c r="DS22" s="1" t="s">
        <v>55</v>
      </c>
      <c r="DT22" s="1" t="s">
        <v>56</v>
      </c>
      <c r="DU22" s="1" t="s">
        <v>55</v>
      </c>
      <c r="DV22" s="1" t="s">
        <v>56</v>
      </c>
      <c r="DW22" s="1" t="s">
        <v>55</v>
      </c>
      <c r="DX22" s="1" t="s">
        <v>56</v>
      </c>
      <c r="DY22" s="1" t="s">
        <v>55</v>
      </c>
      <c r="DZ22" s="1" t="s">
        <v>56</v>
      </c>
      <c r="EA22" s="1" t="s">
        <v>55</v>
      </c>
      <c r="EB22" s="1" t="s">
        <v>56</v>
      </c>
      <c r="EC22" s="1" t="s">
        <v>55</v>
      </c>
      <c r="ED22" s="1" t="s">
        <v>56</v>
      </c>
      <c r="EE22" s="1" t="s">
        <v>55</v>
      </c>
      <c r="EF22" s="1" t="s">
        <v>56</v>
      </c>
      <c r="EG22" s="1" t="s">
        <v>55</v>
      </c>
      <c r="EH22" s="1" t="s">
        <v>56</v>
      </c>
      <c r="EI22" s="1" t="s">
        <v>55</v>
      </c>
      <c r="EJ22" s="1" t="s">
        <v>56</v>
      </c>
      <c r="EK22" s="1" t="s">
        <v>55</v>
      </c>
      <c r="EL22" s="1" t="s">
        <v>56</v>
      </c>
      <c r="EM22" s="1" t="s">
        <v>55</v>
      </c>
      <c r="EN22" s="1" t="s">
        <v>56</v>
      </c>
      <c r="EO22" s="1" t="s">
        <v>55</v>
      </c>
      <c r="EP22" s="1" t="s">
        <v>56</v>
      </c>
      <c r="EQ22" s="1" t="s">
        <v>55</v>
      </c>
      <c r="ER22" s="1" t="s">
        <v>56</v>
      </c>
      <c r="ES22" s="1" t="s">
        <v>55</v>
      </c>
      <c r="ET22" s="1" t="s">
        <v>56</v>
      </c>
      <c r="EU22" s="1" t="s">
        <v>55</v>
      </c>
      <c r="EV22" s="1" t="s">
        <v>56</v>
      </c>
      <c r="EW22" s="1" t="s">
        <v>55</v>
      </c>
      <c r="EX22" s="1" t="s">
        <v>56</v>
      </c>
      <c r="EY22" s="1" t="s">
        <v>55</v>
      </c>
      <c r="EZ22" s="1" t="s">
        <v>56</v>
      </c>
      <c r="FA22" s="1" t="s">
        <v>55</v>
      </c>
      <c r="FB22" s="1" t="s">
        <v>56</v>
      </c>
      <c r="FC22" s="1" t="s">
        <v>55</v>
      </c>
      <c r="FD22" s="1" t="s">
        <v>56</v>
      </c>
      <c r="FE22" s="1" t="s">
        <v>55</v>
      </c>
      <c r="FF22" s="1" t="s">
        <v>56</v>
      </c>
      <c r="FG22" s="1" t="s">
        <v>55</v>
      </c>
      <c r="FH22" s="1" t="s">
        <v>56</v>
      </c>
      <c r="FI22" s="1" t="s">
        <v>55</v>
      </c>
      <c r="FJ22" s="1" t="s">
        <v>56</v>
      </c>
      <c r="FK22" s="1" t="s">
        <v>55</v>
      </c>
      <c r="FL22" s="1" t="s">
        <v>56</v>
      </c>
      <c r="FM22" s="1" t="s">
        <v>55</v>
      </c>
      <c r="FN22" s="1" t="s">
        <v>56</v>
      </c>
      <c r="FO22" s="1" t="s">
        <v>55</v>
      </c>
      <c r="FP22" s="1" t="s">
        <v>56</v>
      </c>
      <c r="FQ22" s="1" t="s">
        <v>55</v>
      </c>
      <c r="FR22" s="1" t="s">
        <v>56</v>
      </c>
      <c r="FS22" s="1" t="s">
        <v>55</v>
      </c>
      <c r="FT22" s="1" t="s">
        <v>56</v>
      </c>
      <c r="FU22" s="1" t="s">
        <v>55</v>
      </c>
      <c r="FV22" s="1" t="s">
        <v>56</v>
      </c>
      <c r="FW22" s="1" t="s">
        <v>55</v>
      </c>
      <c r="FX22" s="1" t="s">
        <v>56</v>
      </c>
      <c r="FY22" s="1" t="s">
        <v>55</v>
      </c>
      <c r="FZ22" s="1" t="s">
        <v>56</v>
      </c>
      <c r="GA22" s="1" t="s">
        <v>55</v>
      </c>
      <c r="GB22" s="1" t="s">
        <v>56</v>
      </c>
      <c r="GC22" s="1" t="s">
        <v>55</v>
      </c>
      <c r="GD22" s="1" t="s">
        <v>56</v>
      </c>
      <c r="GE22" s="1" t="s">
        <v>55</v>
      </c>
      <c r="GF22" s="1" t="s">
        <v>56</v>
      </c>
      <c r="GG22" s="1" t="s">
        <v>55</v>
      </c>
      <c r="GH22" s="1" t="s">
        <v>56</v>
      </c>
      <c r="GI22" s="1" t="s">
        <v>55</v>
      </c>
      <c r="GJ22" s="1" t="s">
        <v>56</v>
      </c>
      <c r="GK22" s="1" t="s">
        <v>55</v>
      </c>
      <c r="GL22" s="1" t="s">
        <v>56</v>
      </c>
      <c r="GM22" s="1" t="s">
        <v>55</v>
      </c>
      <c r="GN22" s="1" t="s">
        <v>56</v>
      </c>
      <c r="GO22" s="1" t="s">
        <v>55</v>
      </c>
      <c r="GP22" s="1" t="s">
        <v>56</v>
      </c>
      <c r="GQ22" s="1" t="s">
        <v>55</v>
      </c>
      <c r="GR22" s="1" t="s">
        <v>56</v>
      </c>
      <c r="GS22" s="1" t="s">
        <v>55</v>
      </c>
      <c r="GT22" s="1" t="s">
        <v>56</v>
      </c>
      <c r="GU22" s="1" t="s">
        <v>55</v>
      </c>
      <c r="GV22" s="17" t="s">
        <v>56</v>
      </c>
      <c r="GW22" s="17" t="s">
        <v>55</v>
      </c>
      <c r="GX22" s="1" t="s">
        <v>56</v>
      </c>
      <c r="GY22" s="1" t="s">
        <v>55</v>
      </c>
      <c r="GZ22" s="10" t="s">
        <v>56</v>
      </c>
      <c r="HA22" s="10" t="s">
        <v>55</v>
      </c>
      <c r="HB22" s="10" t="s">
        <v>56</v>
      </c>
      <c r="HC22" s="10" t="s">
        <v>55</v>
      </c>
      <c r="HD22" s="10" t="s">
        <v>56</v>
      </c>
      <c r="HE22" s="10" t="s">
        <v>55</v>
      </c>
      <c r="HF22" s="10" t="s">
        <v>56</v>
      </c>
      <c r="HG22" s="10" t="s">
        <v>55</v>
      </c>
      <c r="HH22" s="10" t="s">
        <v>56</v>
      </c>
      <c r="HI22" s="10" t="s">
        <v>55</v>
      </c>
      <c r="HJ22" s="10" t="s">
        <v>56</v>
      </c>
      <c r="HK22" s="10" t="s">
        <v>55</v>
      </c>
      <c r="HL22" s="10" t="s">
        <v>56</v>
      </c>
      <c r="HM22" s="10" t="s">
        <v>55</v>
      </c>
      <c r="HN22" s="10" t="s">
        <v>56</v>
      </c>
      <c r="HO22" s="10" t="s">
        <v>55</v>
      </c>
      <c r="HP22" s="10" t="s">
        <v>56</v>
      </c>
      <c r="HQ22" s="10" t="s">
        <v>55</v>
      </c>
      <c r="HR22" s="10" t="s">
        <v>56</v>
      </c>
      <c r="HS22" s="10" t="s">
        <v>55</v>
      </c>
      <c r="HT22" s="10" t="s">
        <v>56</v>
      </c>
      <c r="HU22" s="10" t="s">
        <v>55</v>
      </c>
      <c r="HV22" s="10" t="s">
        <v>56</v>
      </c>
      <c r="HW22" s="10" t="s">
        <v>55</v>
      </c>
      <c r="HX22" s="10" t="s">
        <v>56</v>
      </c>
      <c r="HY22" s="10" t="s">
        <v>55</v>
      </c>
      <c r="HZ22" s="10" t="s">
        <v>56</v>
      </c>
      <c r="IA22" s="10" t="s">
        <v>55</v>
      </c>
      <c r="IB22" s="10" t="s">
        <v>56</v>
      </c>
      <c r="IC22" s="10" t="s">
        <v>55</v>
      </c>
      <c r="ID22" s="10" t="s">
        <v>56</v>
      </c>
      <c r="IE22" s="10" t="s">
        <v>55</v>
      </c>
      <c r="IF22" s="10" t="s">
        <v>56</v>
      </c>
      <c r="IG22" s="10" t="s">
        <v>55</v>
      </c>
      <c r="IH22" s="10" t="s">
        <v>56</v>
      </c>
      <c r="II22" s="10" t="s">
        <v>55</v>
      </c>
      <c r="IJ22" s="10" t="s">
        <v>56</v>
      </c>
      <c r="IK22" s="10" t="s">
        <v>55</v>
      </c>
      <c r="IL22" s="10" t="s">
        <v>56</v>
      </c>
      <c r="IM22" s="10" t="s">
        <v>55</v>
      </c>
      <c r="IN22" s="10" t="s">
        <v>56</v>
      </c>
      <c r="IO22" s="10" t="s">
        <v>55</v>
      </c>
      <c r="IP22" s="10" t="s">
        <v>56</v>
      </c>
      <c r="IQ22" s="10" t="s">
        <v>55</v>
      </c>
      <c r="IR22" s="4">
        <v>1.71</v>
      </c>
      <c r="IS22" s="4">
        <v>0.11</v>
      </c>
      <c r="IT22" s="1" t="s">
        <v>56</v>
      </c>
      <c r="IU22" s="1" t="s">
        <v>55</v>
      </c>
      <c r="IV22" s="4">
        <v>4.4400000000000004</v>
      </c>
      <c r="IW22" s="4" t="s">
        <v>162</v>
      </c>
      <c r="IX22" s="4">
        <f>1.03*1000</f>
        <v>1030</v>
      </c>
      <c r="IY22" s="4" t="s">
        <v>55</v>
      </c>
      <c r="IZ22" s="4">
        <f>0.33*1000</f>
        <v>330</v>
      </c>
      <c r="JA22" s="4" t="s">
        <v>55</v>
      </c>
      <c r="JB22" s="4">
        <f>0.61*1000</f>
        <v>610</v>
      </c>
      <c r="JC22" s="4" t="s">
        <v>55</v>
      </c>
      <c r="JD22" s="4">
        <f>0.2*1000</f>
        <v>200</v>
      </c>
      <c r="JE22" s="4" t="s">
        <v>55</v>
      </c>
      <c r="JF22" s="4">
        <v>0.16700000000000001</v>
      </c>
      <c r="JG22" s="4" t="s">
        <v>55</v>
      </c>
      <c r="JH22" s="4">
        <v>0.14699999999999999</v>
      </c>
      <c r="JI22" s="4" t="s">
        <v>55</v>
      </c>
      <c r="JJ22" s="4">
        <v>0.217</v>
      </c>
      <c r="JK22" s="4" t="s">
        <v>55</v>
      </c>
      <c r="JL22" s="4">
        <v>0.60399999999999998</v>
      </c>
      <c r="JM22" s="4" t="s">
        <v>55</v>
      </c>
      <c r="JN22" s="4">
        <v>0.52400000000000002</v>
      </c>
      <c r="JO22" s="4" t="s">
        <v>55</v>
      </c>
      <c r="JP22" s="4">
        <v>0.38300000000000001</v>
      </c>
      <c r="JQ22" s="4" t="s">
        <v>55</v>
      </c>
      <c r="JR22" s="4">
        <v>0.55700000000000005</v>
      </c>
      <c r="JS22" s="4" t="s">
        <v>55</v>
      </c>
      <c r="JT22" s="4">
        <v>0.51700000000000002</v>
      </c>
      <c r="JU22" s="4" t="s">
        <v>55</v>
      </c>
      <c r="JV22" s="4">
        <v>32.119999999999997</v>
      </c>
      <c r="JW22" s="4" t="s">
        <v>55</v>
      </c>
      <c r="JX22" s="11" t="s">
        <v>56</v>
      </c>
      <c r="JY22" s="11" t="s">
        <v>55</v>
      </c>
      <c r="JZ22" s="11" t="s">
        <v>56</v>
      </c>
      <c r="KA22" s="11" t="s">
        <v>55</v>
      </c>
      <c r="KB22" s="11" t="s">
        <v>56</v>
      </c>
      <c r="KC22" s="11" t="s">
        <v>55</v>
      </c>
      <c r="KD22" s="11" t="s">
        <v>56</v>
      </c>
      <c r="KE22" s="11" t="s">
        <v>55</v>
      </c>
      <c r="KF22" s="11" t="s">
        <v>56</v>
      </c>
      <c r="KG22" s="11" t="s">
        <v>55</v>
      </c>
      <c r="KH22" s="4">
        <f>132.5*1000</f>
        <v>132500</v>
      </c>
      <c r="KI22" s="4">
        <f>18.6*1000</f>
        <v>18600</v>
      </c>
      <c r="KJ22" s="4">
        <f>491.4*1000</f>
        <v>491400</v>
      </c>
      <c r="KK22" s="4">
        <f>31.4*1000</f>
        <v>31400</v>
      </c>
      <c r="KL22" s="4">
        <f>70.7*1000</f>
        <v>70700</v>
      </c>
      <c r="KM22" s="4">
        <f>8.5*1000</f>
        <v>8500</v>
      </c>
      <c r="KN22" s="4">
        <f>102.7*1000</f>
        <v>102700</v>
      </c>
      <c r="KO22" s="4">
        <f>7.2*1000</f>
        <v>7200</v>
      </c>
      <c r="KP22" s="4">
        <f>284.2*1000</f>
        <v>284200</v>
      </c>
      <c r="KQ22" s="4">
        <f>21*1000</f>
        <v>21000</v>
      </c>
      <c r="KR22" s="17" t="s">
        <v>56</v>
      </c>
      <c r="KS22" s="17" t="s">
        <v>55</v>
      </c>
      <c r="KT22" s="17" t="s">
        <v>56</v>
      </c>
      <c r="KU22" s="17" t="s">
        <v>55</v>
      </c>
      <c r="KV22" s="17" t="s">
        <v>56</v>
      </c>
      <c r="KW22" s="17" t="s">
        <v>55</v>
      </c>
      <c r="KX22" s="17" t="s">
        <v>56</v>
      </c>
      <c r="KY22" s="17" t="s">
        <v>55</v>
      </c>
      <c r="KZ22" s="17" t="s">
        <v>56</v>
      </c>
      <c r="LA22" s="17" t="s">
        <v>55</v>
      </c>
      <c r="LB22" s="10">
        <f>((1.49/100)*1000000000)/E22</f>
        <v>125083.9489590329</v>
      </c>
      <c r="LC22" s="10">
        <f>((0.02/100)*1000000000)/E22</f>
        <v>1678.9791806581597</v>
      </c>
      <c r="LD22" s="10" t="s">
        <v>56</v>
      </c>
      <c r="LE22" s="10" t="s">
        <v>55</v>
      </c>
      <c r="LF22" s="10" t="s">
        <v>56</v>
      </c>
      <c r="LG22" s="10" t="s">
        <v>55</v>
      </c>
      <c r="LH22" s="10" t="s">
        <v>56</v>
      </c>
      <c r="LI22" s="10" t="s">
        <v>55</v>
      </c>
      <c r="LJ22" s="10">
        <f>((4.74/100)*1000000000)/E22</f>
        <v>397918.06581598392</v>
      </c>
      <c r="LK22" s="10" t="s">
        <v>162</v>
      </c>
      <c r="LL22" s="10">
        <f>(30.2*1000000)/E22</f>
        <v>253525.85627938213</v>
      </c>
      <c r="LM22" s="10">
        <f>(6.89*1000000)/E22</f>
        <v>57840.832773673603</v>
      </c>
      <c r="LN22" s="10">
        <f>((0.74/100)*1000000000)/E22</f>
        <v>62122.229684351914</v>
      </c>
      <c r="LO22" s="10" t="s">
        <v>162</v>
      </c>
      <c r="LP22" s="10">
        <f>((2.03/100)*1000000000)/E22</f>
        <v>170416.38683680323</v>
      </c>
      <c r="LQ22" s="10" t="s">
        <v>55</v>
      </c>
      <c r="LR22" s="10">
        <f>((4.68/100)*1000000000)/E22</f>
        <v>392881.12827400933</v>
      </c>
      <c r="LS22" s="10" t="s">
        <v>55</v>
      </c>
      <c r="LT22" s="10">
        <f>((14.05/100)*1000000000)/E22</f>
        <v>1179482.8744123573</v>
      </c>
      <c r="LU22" s="10" t="s">
        <v>55</v>
      </c>
      <c r="LV22" s="10">
        <f>((106/100)*1000000)/E22</f>
        <v>8898.5896574882463</v>
      </c>
      <c r="LW22" s="10" t="s">
        <v>55</v>
      </c>
      <c r="LX22" s="10">
        <f>((102/100)*1000000)/E22</f>
        <v>8562.793821356614</v>
      </c>
      <c r="LY22" s="10" t="s">
        <v>55</v>
      </c>
      <c r="LZ22" s="10">
        <f>((111/100)*1000000)/E22</f>
        <v>9318.3344526527871</v>
      </c>
      <c r="MA22" s="10" t="s">
        <v>55</v>
      </c>
      <c r="MB22" s="10">
        <f>((98/100)*1000000)/E22</f>
        <v>8226.9979852249835</v>
      </c>
      <c r="MC22" s="10" t="s">
        <v>55</v>
      </c>
      <c r="MD22" s="4">
        <v>5669</v>
      </c>
      <c r="ME22" s="4" t="s">
        <v>55</v>
      </c>
      <c r="MF22" s="4">
        <v>4919</v>
      </c>
      <c r="MG22" s="4" t="s">
        <v>55</v>
      </c>
      <c r="MH22" s="4">
        <v>5345</v>
      </c>
      <c r="MI22" s="4" t="s">
        <v>55</v>
      </c>
      <c r="MJ22" s="4">
        <v>5015</v>
      </c>
      <c r="MK22" s="4" t="s">
        <v>55</v>
      </c>
      <c r="ML22" s="4">
        <v>5735</v>
      </c>
      <c r="MM22" s="4" t="s">
        <v>55</v>
      </c>
      <c r="MN22" s="4">
        <v>6277</v>
      </c>
      <c r="MO22" s="4" t="s">
        <v>55</v>
      </c>
      <c r="MP22" s="4">
        <v>6771</v>
      </c>
      <c r="MQ22" s="4" t="s">
        <v>55</v>
      </c>
      <c r="MR22" s="4">
        <v>6128</v>
      </c>
      <c r="MS22" s="4" t="s">
        <v>55</v>
      </c>
      <c r="MT22" s="4">
        <v>7079</v>
      </c>
      <c r="MU22" s="4" t="s">
        <v>55</v>
      </c>
      <c r="MV22" s="4">
        <v>5833</v>
      </c>
      <c r="MW22" s="4" t="s">
        <v>55</v>
      </c>
      <c r="MX22" s="4">
        <v>5714</v>
      </c>
      <c r="MY22" s="4" t="s">
        <v>55</v>
      </c>
      <c r="MZ22" s="4">
        <v>6009</v>
      </c>
      <c r="NA22" s="4" t="s">
        <v>55</v>
      </c>
      <c r="NB22" s="10">
        <f>(0.168*1000000)/E22</f>
        <v>1410.3425117528543</v>
      </c>
      <c r="NC22" s="10" t="s">
        <v>55</v>
      </c>
      <c r="ND22" s="10">
        <f>(0.412*1000000)/E22</f>
        <v>3458.697112155809</v>
      </c>
      <c r="NE22" s="10" t="s">
        <v>55</v>
      </c>
      <c r="NF22" s="10">
        <f>(0.695*1000000)/E22</f>
        <v>5834.4526527871049</v>
      </c>
      <c r="NG22" s="10" t="s">
        <v>55</v>
      </c>
      <c r="NH22" s="10">
        <f>(0.958*1000000)/E22</f>
        <v>8042.3102753525854</v>
      </c>
      <c r="NI22" s="10" t="s">
        <v>55</v>
      </c>
      <c r="NJ22" s="10">
        <f>(11.3*1000000)/E22</f>
        <v>94862.32370718602</v>
      </c>
      <c r="NK22" s="10" t="s">
        <v>55</v>
      </c>
      <c r="NL22" s="10">
        <f>(0.47*1000000)/E22</f>
        <v>3945.6010745466756</v>
      </c>
      <c r="NM22" s="4" t="s">
        <v>55</v>
      </c>
      <c r="NN22" s="4">
        <f>((5.73/100)*1000000)/E22</f>
        <v>481.02753525856286</v>
      </c>
      <c r="NO22" s="4" t="s">
        <v>55</v>
      </c>
      <c r="NP22" s="4">
        <f>(90.9*1000000)/E22</f>
        <v>763096.03760913364</v>
      </c>
      <c r="NQ22" s="4">
        <f>(0.82*1000000)/E22</f>
        <v>6883.8146406984552</v>
      </c>
      <c r="NR22" s="10" t="s">
        <v>56</v>
      </c>
      <c r="NS22" s="10" t="s">
        <v>55</v>
      </c>
      <c r="NT22" s="10" t="s">
        <v>56</v>
      </c>
      <c r="NU22" s="10" t="s">
        <v>55</v>
      </c>
    </row>
    <row r="23" spans="1:385" x14ac:dyDescent="0.2">
      <c r="A23" t="s">
        <v>866</v>
      </c>
      <c r="B23" s="1" t="s">
        <v>1040</v>
      </c>
      <c r="C23" s="1" t="s">
        <v>843</v>
      </c>
      <c r="D23" s="39" cm="1">
        <f t="array" ref="D23">SUMPRODUCT((ISNUMBER(F23:NU23))*(MOD(COLUMN(F23:NU23),2)=0))</f>
        <v>3</v>
      </c>
      <c r="E23" s="1">
        <v>119.12</v>
      </c>
      <c r="F23" s="11" t="s">
        <v>56</v>
      </c>
      <c r="G23" s="11" t="s">
        <v>55</v>
      </c>
      <c r="H23" s="11" t="s">
        <v>56</v>
      </c>
      <c r="I23" s="11" t="s">
        <v>55</v>
      </c>
      <c r="J23" s="11" t="s">
        <v>56</v>
      </c>
      <c r="K23" s="11" t="s">
        <v>55</v>
      </c>
      <c r="L23" s="11" t="s">
        <v>56</v>
      </c>
      <c r="M23" s="11" t="s">
        <v>55</v>
      </c>
      <c r="N23" s="11" t="s">
        <v>56</v>
      </c>
      <c r="O23" s="11" t="s">
        <v>55</v>
      </c>
      <c r="P23" s="11" t="s">
        <v>56</v>
      </c>
      <c r="Q23" s="11" t="s">
        <v>55</v>
      </c>
      <c r="R23" s="11" t="s">
        <v>56</v>
      </c>
      <c r="S23" s="11" t="s">
        <v>55</v>
      </c>
      <c r="T23" s="11" t="s">
        <v>56</v>
      </c>
      <c r="U23" s="11" t="s">
        <v>55</v>
      </c>
      <c r="V23" s="11" t="s">
        <v>56</v>
      </c>
      <c r="W23" s="11" t="s">
        <v>55</v>
      </c>
      <c r="X23" s="11" t="s">
        <v>56</v>
      </c>
      <c r="Y23" s="11" t="s">
        <v>55</v>
      </c>
      <c r="Z23" s="11" t="s">
        <v>56</v>
      </c>
      <c r="AA23" s="11" t="s">
        <v>55</v>
      </c>
      <c r="AB23" s="11" t="s">
        <v>56</v>
      </c>
      <c r="AC23" s="11" t="s">
        <v>55</v>
      </c>
      <c r="AD23" s="11" t="s">
        <v>56</v>
      </c>
      <c r="AE23" s="11" t="s">
        <v>55</v>
      </c>
      <c r="AF23" s="11" t="s">
        <v>56</v>
      </c>
      <c r="AG23" s="11" t="s">
        <v>55</v>
      </c>
      <c r="AH23" s="11" t="s">
        <v>56</v>
      </c>
      <c r="AI23" s="11" t="s">
        <v>55</v>
      </c>
      <c r="AJ23" s="11" t="s">
        <v>56</v>
      </c>
      <c r="AK23" s="11" t="s">
        <v>55</v>
      </c>
      <c r="AL23" s="11" t="s">
        <v>56</v>
      </c>
      <c r="AM23" s="11" t="s">
        <v>55</v>
      </c>
      <c r="AN23" s="11" t="s">
        <v>56</v>
      </c>
      <c r="AO23" s="11" t="s">
        <v>55</v>
      </c>
      <c r="AP23" s="11" t="s">
        <v>56</v>
      </c>
      <c r="AQ23" s="11" t="s">
        <v>55</v>
      </c>
      <c r="AR23" s="10">
        <f>15/E23</f>
        <v>0.12592343854936197</v>
      </c>
      <c r="AS23" s="10">
        <f>1/E23</f>
        <v>8.3948959032907992E-3</v>
      </c>
      <c r="AT23" s="11" t="s">
        <v>56</v>
      </c>
      <c r="AU23" s="11" t="s">
        <v>55</v>
      </c>
      <c r="AV23" s="11" t="s">
        <v>56</v>
      </c>
      <c r="AW23" s="11" t="s">
        <v>55</v>
      </c>
      <c r="AX23" s="11" t="s">
        <v>56</v>
      </c>
      <c r="AY23" s="11" t="s">
        <v>55</v>
      </c>
      <c r="AZ23" s="11" t="s">
        <v>56</v>
      </c>
      <c r="BA23" s="11" t="s">
        <v>55</v>
      </c>
      <c r="BB23" s="11" t="s">
        <v>56</v>
      </c>
      <c r="BC23" s="11" t="s">
        <v>55</v>
      </c>
      <c r="BD23" s="11" t="s">
        <v>56</v>
      </c>
      <c r="BE23" s="11" t="s">
        <v>55</v>
      </c>
      <c r="BF23" s="11" t="s">
        <v>56</v>
      </c>
      <c r="BG23" s="11" t="s">
        <v>55</v>
      </c>
      <c r="BH23" s="11" t="s">
        <v>56</v>
      </c>
      <c r="BI23" s="11" t="s">
        <v>55</v>
      </c>
      <c r="BJ23" s="11" t="s">
        <v>56</v>
      </c>
      <c r="BK23" s="11" t="s">
        <v>55</v>
      </c>
      <c r="BL23" s="11" t="s">
        <v>56</v>
      </c>
      <c r="BM23" s="11" t="s">
        <v>55</v>
      </c>
      <c r="BN23" s="11" t="s">
        <v>56</v>
      </c>
      <c r="BO23" s="11" t="s">
        <v>55</v>
      </c>
      <c r="BP23" s="11" t="s">
        <v>56</v>
      </c>
      <c r="BQ23" s="11" t="s">
        <v>55</v>
      </c>
      <c r="BR23" s="11" t="s">
        <v>56</v>
      </c>
      <c r="BS23" s="11" t="s">
        <v>55</v>
      </c>
      <c r="BT23" s="11" t="s">
        <v>56</v>
      </c>
      <c r="BU23" s="11" t="s">
        <v>55</v>
      </c>
      <c r="BV23" s="11" t="s">
        <v>56</v>
      </c>
      <c r="BW23" s="11" t="s">
        <v>55</v>
      </c>
      <c r="BX23" s="11" t="s">
        <v>56</v>
      </c>
      <c r="BY23" s="11" t="s">
        <v>55</v>
      </c>
      <c r="BZ23" s="11" t="s">
        <v>56</v>
      </c>
      <c r="CA23" s="11" t="s">
        <v>55</v>
      </c>
      <c r="CB23" s="11" t="s">
        <v>56</v>
      </c>
      <c r="CC23" s="11" t="s">
        <v>55</v>
      </c>
      <c r="CD23" s="11" t="s">
        <v>56</v>
      </c>
      <c r="CE23" s="11" t="s">
        <v>55</v>
      </c>
      <c r="CF23" s="11" t="s">
        <v>56</v>
      </c>
      <c r="CG23" s="11" t="s">
        <v>55</v>
      </c>
      <c r="CH23" s="11" t="s">
        <v>56</v>
      </c>
      <c r="CI23" s="11" t="s">
        <v>55</v>
      </c>
      <c r="CJ23" s="11" t="s">
        <v>56</v>
      </c>
      <c r="CK23" s="11" t="s">
        <v>55</v>
      </c>
      <c r="CL23" s="11" t="s">
        <v>56</v>
      </c>
      <c r="CM23" s="11" t="s">
        <v>55</v>
      </c>
      <c r="CN23" s="11" t="s">
        <v>56</v>
      </c>
      <c r="CO23" s="11" t="s">
        <v>55</v>
      </c>
      <c r="CP23" s="11" t="s">
        <v>56</v>
      </c>
      <c r="CQ23" s="11" t="s">
        <v>55</v>
      </c>
      <c r="CR23" s="11" t="s">
        <v>56</v>
      </c>
      <c r="CS23" s="11" t="s">
        <v>55</v>
      </c>
      <c r="CT23" s="11" t="s">
        <v>56</v>
      </c>
      <c r="CU23" s="11" t="s">
        <v>55</v>
      </c>
      <c r="CV23" s="11" t="s">
        <v>56</v>
      </c>
      <c r="CW23" s="11" t="s">
        <v>55</v>
      </c>
      <c r="CX23" s="11" t="s">
        <v>56</v>
      </c>
      <c r="CY23" s="11" t="s">
        <v>55</v>
      </c>
      <c r="CZ23" s="11" t="s">
        <v>56</v>
      </c>
      <c r="DA23" s="11" t="s">
        <v>55</v>
      </c>
      <c r="DB23" s="11" t="s">
        <v>56</v>
      </c>
      <c r="DC23" s="11" t="s">
        <v>55</v>
      </c>
      <c r="DD23" s="11" t="s">
        <v>56</v>
      </c>
      <c r="DE23" s="11" t="s">
        <v>55</v>
      </c>
      <c r="DF23" s="11" t="s">
        <v>56</v>
      </c>
      <c r="DG23" s="11" t="s">
        <v>55</v>
      </c>
      <c r="DH23" s="11" t="s">
        <v>56</v>
      </c>
      <c r="DI23" s="11" t="s">
        <v>55</v>
      </c>
      <c r="DJ23" s="11" t="s">
        <v>56</v>
      </c>
      <c r="DK23" s="11" t="s">
        <v>55</v>
      </c>
      <c r="DL23" s="11" t="s">
        <v>56</v>
      </c>
      <c r="DM23" s="11" t="s">
        <v>55</v>
      </c>
      <c r="DN23" s="11" t="s">
        <v>56</v>
      </c>
      <c r="DO23" s="11" t="s">
        <v>55</v>
      </c>
      <c r="DP23" s="11" t="s">
        <v>56</v>
      </c>
      <c r="DQ23" s="11" t="s">
        <v>55</v>
      </c>
      <c r="DR23" s="11" t="s">
        <v>56</v>
      </c>
      <c r="DS23" s="11" t="s">
        <v>55</v>
      </c>
      <c r="DT23" s="11" t="s">
        <v>56</v>
      </c>
      <c r="DU23" s="11" t="s">
        <v>55</v>
      </c>
      <c r="DV23" s="11" t="s">
        <v>56</v>
      </c>
      <c r="DW23" s="11" t="s">
        <v>55</v>
      </c>
      <c r="DX23" s="11" t="s">
        <v>56</v>
      </c>
      <c r="DY23" s="11" t="s">
        <v>55</v>
      </c>
      <c r="DZ23" s="11" t="s">
        <v>56</v>
      </c>
      <c r="EA23" s="11" t="s">
        <v>55</v>
      </c>
      <c r="EB23" s="11" t="s">
        <v>56</v>
      </c>
      <c r="EC23" s="11" t="s">
        <v>55</v>
      </c>
      <c r="ED23" s="11" t="s">
        <v>56</v>
      </c>
      <c r="EE23" s="11" t="s">
        <v>55</v>
      </c>
      <c r="EF23" s="11" t="s">
        <v>56</v>
      </c>
      <c r="EG23" s="11" t="s">
        <v>55</v>
      </c>
      <c r="EH23" s="11" t="s">
        <v>56</v>
      </c>
      <c r="EI23" s="11" t="s">
        <v>55</v>
      </c>
      <c r="EJ23" s="11" t="s">
        <v>56</v>
      </c>
      <c r="EK23" s="11" t="s">
        <v>55</v>
      </c>
      <c r="EL23" s="11" t="s">
        <v>56</v>
      </c>
      <c r="EM23" s="11" t="s">
        <v>55</v>
      </c>
      <c r="EN23" s="11" t="s">
        <v>56</v>
      </c>
      <c r="EO23" s="11" t="s">
        <v>55</v>
      </c>
      <c r="EP23" s="11" t="s">
        <v>56</v>
      </c>
      <c r="EQ23" s="11" t="s">
        <v>55</v>
      </c>
      <c r="ER23" s="11" t="s">
        <v>56</v>
      </c>
      <c r="ES23" s="11" t="s">
        <v>55</v>
      </c>
      <c r="ET23" s="11" t="s">
        <v>56</v>
      </c>
      <c r="EU23" s="11" t="s">
        <v>55</v>
      </c>
      <c r="EV23" s="11" t="s">
        <v>56</v>
      </c>
      <c r="EW23" s="11" t="s">
        <v>55</v>
      </c>
      <c r="EX23" s="11" t="s">
        <v>56</v>
      </c>
      <c r="EY23" s="11" t="s">
        <v>55</v>
      </c>
      <c r="EZ23" s="11" t="s">
        <v>56</v>
      </c>
      <c r="FA23" s="11" t="s">
        <v>55</v>
      </c>
      <c r="FB23" s="11" t="s">
        <v>56</v>
      </c>
      <c r="FC23" s="11" t="s">
        <v>55</v>
      </c>
      <c r="FD23" s="11" t="s">
        <v>56</v>
      </c>
      <c r="FE23" s="11" t="s">
        <v>55</v>
      </c>
      <c r="FF23" s="11" t="s">
        <v>56</v>
      </c>
      <c r="FG23" s="11" t="s">
        <v>55</v>
      </c>
      <c r="FH23" s="11" t="s">
        <v>56</v>
      </c>
      <c r="FI23" s="11" t="s">
        <v>55</v>
      </c>
      <c r="FJ23" s="11" t="s">
        <v>56</v>
      </c>
      <c r="FK23" s="11" t="s">
        <v>55</v>
      </c>
      <c r="FL23" s="11" t="s">
        <v>56</v>
      </c>
      <c r="FM23" s="11" t="s">
        <v>55</v>
      </c>
      <c r="FN23" s="11" t="s">
        <v>56</v>
      </c>
      <c r="FO23" s="11" t="s">
        <v>55</v>
      </c>
      <c r="FP23" s="11" t="s">
        <v>56</v>
      </c>
      <c r="FQ23" s="11" t="s">
        <v>55</v>
      </c>
      <c r="FR23" s="11" t="s">
        <v>56</v>
      </c>
      <c r="FS23" s="11" t="s">
        <v>55</v>
      </c>
      <c r="FT23" s="11" t="s">
        <v>56</v>
      </c>
      <c r="FU23" s="11" t="s">
        <v>55</v>
      </c>
      <c r="FV23" s="11" t="s">
        <v>56</v>
      </c>
      <c r="FW23" s="11" t="s">
        <v>55</v>
      </c>
      <c r="FX23" s="11" t="s">
        <v>56</v>
      </c>
      <c r="FY23" s="11" t="s">
        <v>55</v>
      </c>
      <c r="FZ23" s="11" t="s">
        <v>56</v>
      </c>
      <c r="GA23" s="11" t="s">
        <v>55</v>
      </c>
      <c r="GB23" s="11" t="s">
        <v>56</v>
      </c>
      <c r="GC23" s="11" t="s">
        <v>55</v>
      </c>
      <c r="GD23" s="11" t="s">
        <v>56</v>
      </c>
      <c r="GE23" s="11" t="s">
        <v>55</v>
      </c>
      <c r="GF23" s="11" t="s">
        <v>56</v>
      </c>
      <c r="GG23" s="11" t="s">
        <v>55</v>
      </c>
      <c r="GH23" s="11" t="s">
        <v>56</v>
      </c>
      <c r="GI23" s="11" t="s">
        <v>55</v>
      </c>
      <c r="GJ23" s="11" t="s">
        <v>56</v>
      </c>
      <c r="GK23" s="11" t="s">
        <v>55</v>
      </c>
      <c r="GL23" s="11" t="s">
        <v>56</v>
      </c>
      <c r="GM23" s="11" t="s">
        <v>55</v>
      </c>
      <c r="GN23" s="11" t="s">
        <v>56</v>
      </c>
      <c r="GO23" s="11" t="s">
        <v>55</v>
      </c>
      <c r="GP23" s="11" t="s">
        <v>56</v>
      </c>
      <c r="GQ23" s="11" t="s">
        <v>55</v>
      </c>
      <c r="GR23" s="11" t="s">
        <v>56</v>
      </c>
      <c r="GS23" s="11" t="s">
        <v>55</v>
      </c>
      <c r="GT23" s="11" t="s">
        <v>56</v>
      </c>
      <c r="GU23" s="11" t="s">
        <v>55</v>
      </c>
      <c r="GV23" s="17" t="s">
        <v>56</v>
      </c>
      <c r="GW23" s="17" t="s">
        <v>55</v>
      </c>
      <c r="GX23" s="11" t="s">
        <v>56</v>
      </c>
      <c r="GY23" s="11" t="s">
        <v>55</v>
      </c>
      <c r="GZ23" s="11" t="s">
        <v>56</v>
      </c>
      <c r="HA23" s="11" t="s">
        <v>55</v>
      </c>
      <c r="HB23" s="11" t="s">
        <v>56</v>
      </c>
      <c r="HC23" s="11" t="s">
        <v>55</v>
      </c>
      <c r="HD23" s="11" t="s">
        <v>56</v>
      </c>
      <c r="HE23" s="11" t="s">
        <v>55</v>
      </c>
      <c r="HF23" s="11" t="s">
        <v>56</v>
      </c>
      <c r="HG23" s="11" t="s">
        <v>55</v>
      </c>
      <c r="HH23" s="11" t="s">
        <v>56</v>
      </c>
      <c r="HI23" s="11" t="s">
        <v>55</v>
      </c>
      <c r="HJ23" s="11" t="s">
        <v>56</v>
      </c>
      <c r="HK23" s="11" t="s">
        <v>55</v>
      </c>
      <c r="HL23" s="11" t="s">
        <v>56</v>
      </c>
      <c r="HM23" s="11" t="s">
        <v>55</v>
      </c>
      <c r="HN23" s="11" t="s">
        <v>56</v>
      </c>
      <c r="HO23" s="11" t="s">
        <v>55</v>
      </c>
      <c r="HP23" s="11" t="s">
        <v>56</v>
      </c>
      <c r="HQ23" s="11" t="s">
        <v>55</v>
      </c>
      <c r="HR23" s="11" t="s">
        <v>56</v>
      </c>
      <c r="HS23" s="11" t="s">
        <v>55</v>
      </c>
      <c r="HT23" s="11" t="s">
        <v>56</v>
      </c>
      <c r="HU23" s="11" t="s">
        <v>55</v>
      </c>
      <c r="HV23" s="11" t="s">
        <v>56</v>
      </c>
      <c r="HW23" s="11" t="s">
        <v>55</v>
      </c>
      <c r="HX23" s="11" t="s">
        <v>56</v>
      </c>
      <c r="HY23" s="11" t="s">
        <v>55</v>
      </c>
      <c r="HZ23" s="11" t="s">
        <v>56</v>
      </c>
      <c r="IA23" s="11" t="s">
        <v>55</v>
      </c>
      <c r="IB23" s="11" t="s">
        <v>56</v>
      </c>
      <c r="IC23" s="11" t="s">
        <v>55</v>
      </c>
      <c r="ID23" s="11" t="s">
        <v>56</v>
      </c>
      <c r="IE23" s="11" t="s">
        <v>55</v>
      </c>
      <c r="IF23" s="11" t="s">
        <v>56</v>
      </c>
      <c r="IG23" s="11" t="s">
        <v>55</v>
      </c>
      <c r="IH23" s="11" t="s">
        <v>56</v>
      </c>
      <c r="II23" s="11" t="s">
        <v>55</v>
      </c>
      <c r="IJ23" s="11" t="s">
        <v>56</v>
      </c>
      <c r="IK23" s="11" t="s">
        <v>55</v>
      </c>
      <c r="IL23" s="11" t="s">
        <v>56</v>
      </c>
      <c r="IM23" s="11" t="s">
        <v>55</v>
      </c>
      <c r="IN23" s="11" t="s">
        <v>56</v>
      </c>
      <c r="IO23" s="11" t="s">
        <v>55</v>
      </c>
      <c r="IP23" s="11" t="s">
        <v>56</v>
      </c>
      <c r="IQ23" s="11" t="s">
        <v>55</v>
      </c>
      <c r="IR23" s="11" t="s">
        <v>56</v>
      </c>
      <c r="IS23" s="11" t="s">
        <v>55</v>
      </c>
      <c r="IT23" s="11" t="s">
        <v>56</v>
      </c>
      <c r="IU23" s="11" t="s">
        <v>55</v>
      </c>
      <c r="IV23" s="11" t="s">
        <v>56</v>
      </c>
      <c r="IW23" s="11" t="s">
        <v>55</v>
      </c>
      <c r="IX23" s="11" t="s">
        <v>56</v>
      </c>
      <c r="IY23" s="11" t="s">
        <v>55</v>
      </c>
      <c r="IZ23" s="11" t="s">
        <v>56</v>
      </c>
      <c r="JA23" s="11" t="s">
        <v>55</v>
      </c>
      <c r="JB23" s="11" t="s">
        <v>56</v>
      </c>
      <c r="JC23" s="11" t="s">
        <v>55</v>
      </c>
      <c r="JD23" s="11" t="s">
        <v>56</v>
      </c>
      <c r="JE23" s="11" t="s">
        <v>55</v>
      </c>
      <c r="JF23" s="11" t="s">
        <v>56</v>
      </c>
      <c r="JG23" s="11" t="s">
        <v>55</v>
      </c>
      <c r="JH23" s="11" t="s">
        <v>56</v>
      </c>
      <c r="JI23" s="11" t="s">
        <v>55</v>
      </c>
      <c r="JJ23" s="11" t="s">
        <v>56</v>
      </c>
      <c r="JK23" s="11" t="s">
        <v>55</v>
      </c>
      <c r="JL23" s="11" t="s">
        <v>56</v>
      </c>
      <c r="JM23" s="11" t="s">
        <v>55</v>
      </c>
      <c r="JN23" s="11" t="s">
        <v>56</v>
      </c>
      <c r="JO23" s="11" t="s">
        <v>55</v>
      </c>
      <c r="JP23" s="11" t="s">
        <v>56</v>
      </c>
      <c r="JQ23" s="11" t="s">
        <v>55</v>
      </c>
      <c r="JR23" s="11" t="s">
        <v>56</v>
      </c>
      <c r="JS23" s="11" t="s">
        <v>55</v>
      </c>
      <c r="JT23" s="11" t="s">
        <v>56</v>
      </c>
      <c r="JU23" s="11" t="s">
        <v>55</v>
      </c>
      <c r="JV23" s="11" t="s">
        <v>56</v>
      </c>
      <c r="JW23" s="11" t="s">
        <v>55</v>
      </c>
      <c r="JX23" s="11" t="s">
        <v>56</v>
      </c>
      <c r="JY23" s="11" t="s">
        <v>55</v>
      </c>
      <c r="JZ23" s="11" t="s">
        <v>56</v>
      </c>
      <c r="KA23" s="11" t="s">
        <v>55</v>
      </c>
      <c r="KB23" s="11" t="s">
        <v>56</v>
      </c>
      <c r="KC23" s="11" t="s">
        <v>55</v>
      </c>
      <c r="KD23" s="11" t="s">
        <v>56</v>
      </c>
      <c r="KE23" s="11" t="s">
        <v>55</v>
      </c>
      <c r="KF23" s="11" t="s">
        <v>56</v>
      </c>
      <c r="KG23" s="11" t="s">
        <v>55</v>
      </c>
      <c r="KH23" s="11" t="s">
        <v>56</v>
      </c>
      <c r="KI23" s="11" t="s">
        <v>55</v>
      </c>
      <c r="KJ23" s="11" t="s">
        <v>56</v>
      </c>
      <c r="KK23" s="11" t="s">
        <v>55</v>
      </c>
      <c r="KL23" s="11" t="s">
        <v>56</v>
      </c>
      <c r="KM23" s="11" t="s">
        <v>55</v>
      </c>
      <c r="KN23" s="11" t="s">
        <v>56</v>
      </c>
      <c r="KO23" s="11" t="s">
        <v>55</v>
      </c>
      <c r="KP23" s="11" t="s">
        <v>56</v>
      </c>
      <c r="KQ23" s="11" t="s">
        <v>55</v>
      </c>
      <c r="KR23" s="17" t="s">
        <v>56</v>
      </c>
      <c r="KS23" s="17" t="s">
        <v>55</v>
      </c>
      <c r="KT23" s="11" t="s">
        <v>56</v>
      </c>
      <c r="KU23" s="11" t="s">
        <v>55</v>
      </c>
      <c r="KV23" s="11" t="s">
        <v>56</v>
      </c>
      <c r="KW23" s="11" t="s">
        <v>55</v>
      </c>
      <c r="KX23" s="11" t="s">
        <v>56</v>
      </c>
      <c r="KY23" s="11" t="s">
        <v>55</v>
      </c>
      <c r="KZ23" s="11" t="s">
        <v>56</v>
      </c>
      <c r="LA23" s="11" t="s">
        <v>55</v>
      </c>
      <c r="LB23" s="10" t="s">
        <v>56</v>
      </c>
      <c r="LC23" s="10" t="s">
        <v>55</v>
      </c>
      <c r="LD23" s="10" t="s">
        <v>56</v>
      </c>
      <c r="LE23" s="10" t="s">
        <v>55</v>
      </c>
      <c r="LF23" s="10" t="s">
        <v>56</v>
      </c>
      <c r="LG23" s="10" t="s">
        <v>55</v>
      </c>
      <c r="LH23" s="10" t="s">
        <v>56</v>
      </c>
      <c r="LI23" s="10" t="s">
        <v>55</v>
      </c>
      <c r="LJ23" s="10" t="s">
        <v>56</v>
      </c>
      <c r="LK23" s="10" t="s">
        <v>162</v>
      </c>
      <c r="LL23" s="10" t="s">
        <v>56</v>
      </c>
      <c r="LM23" s="10" t="s">
        <v>162</v>
      </c>
      <c r="LN23" s="10" t="s">
        <v>56</v>
      </c>
      <c r="LO23" s="10" t="s">
        <v>162</v>
      </c>
      <c r="LP23" s="10" t="s">
        <v>56</v>
      </c>
      <c r="LQ23" s="10" t="s">
        <v>162</v>
      </c>
      <c r="LR23" s="10" t="s">
        <v>56</v>
      </c>
      <c r="LS23" s="10" t="s">
        <v>162</v>
      </c>
      <c r="LT23" s="10" t="s">
        <v>56</v>
      </c>
      <c r="LU23" s="10" t="s">
        <v>162</v>
      </c>
      <c r="LV23" s="10" t="s">
        <v>56</v>
      </c>
      <c r="LW23" s="10" t="s">
        <v>55</v>
      </c>
      <c r="LX23" s="10" t="s">
        <v>56</v>
      </c>
      <c r="LY23" s="10" t="s">
        <v>55</v>
      </c>
      <c r="LZ23" s="10" t="s">
        <v>56</v>
      </c>
      <c r="MA23" s="10" t="s">
        <v>55</v>
      </c>
      <c r="MB23" s="10" t="s">
        <v>56</v>
      </c>
      <c r="MC23" s="10" t="s">
        <v>55</v>
      </c>
      <c r="MD23" s="11" t="s">
        <v>56</v>
      </c>
      <c r="ME23" s="11" t="s">
        <v>55</v>
      </c>
      <c r="MF23" s="11" t="s">
        <v>56</v>
      </c>
      <c r="MG23" s="11" t="s">
        <v>55</v>
      </c>
      <c r="MH23" s="11" t="s">
        <v>56</v>
      </c>
      <c r="MI23" s="11" t="s">
        <v>55</v>
      </c>
      <c r="MJ23" s="11" t="s">
        <v>56</v>
      </c>
      <c r="MK23" s="11" t="s">
        <v>55</v>
      </c>
      <c r="ML23" s="11" t="s">
        <v>56</v>
      </c>
      <c r="MM23" s="11" t="s">
        <v>55</v>
      </c>
      <c r="MN23" s="11" t="s">
        <v>56</v>
      </c>
      <c r="MO23" s="11" t="s">
        <v>55</v>
      </c>
      <c r="MP23" s="11" t="s">
        <v>56</v>
      </c>
      <c r="MQ23" s="11" t="s">
        <v>55</v>
      </c>
      <c r="MR23" s="11" t="s">
        <v>56</v>
      </c>
      <c r="MS23" s="11" t="s">
        <v>55</v>
      </c>
      <c r="MT23" s="11" t="s">
        <v>56</v>
      </c>
      <c r="MU23" s="11" t="s">
        <v>55</v>
      </c>
      <c r="MV23" s="11" t="s">
        <v>56</v>
      </c>
      <c r="MW23" s="11" t="s">
        <v>55</v>
      </c>
      <c r="MX23" s="11" t="s">
        <v>56</v>
      </c>
      <c r="MY23" s="11" t="s">
        <v>55</v>
      </c>
      <c r="MZ23" s="11" t="s">
        <v>56</v>
      </c>
      <c r="NA23" s="11" t="s">
        <v>55</v>
      </c>
      <c r="NB23" s="10" t="s">
        <v>56</v>
      </c>
      <c r="NC23" s="10" t="s">
        <v>55</v>
      </c>
      <c r="ND23" s="10" t="s">
        <v>56</v>
      </c>
      <c r="NE23" s="10" t="s">
        <v>55</v>
      </c>
      <c r="NF23" s="10" t="s">
        <v>56</v>
      </c>
      <c r="NG23" s="10" t="s">
        <v>55</v>
      </c>
      <c r="NH23" s="10" t="s">
        <v>56</v>
      </c>
      <c r="NI23" s="10" t="s">
        <v>55</v>
      </c>
      <c r="NJ23" s="10" t="s">
        <v>56</v>
      </c>
      <c r="NK23" s="10" t="s">
        <v>55</v>
      </c>
      <c r="NL23" s="10" t="s">
        <v>56</v>
      </c>
      <c r="NM23" s="4" t="s">
        <v>55</v>
      </c>
      <c r="NN23" s="10" t="s">
        <v>56</v>
      </c>
      <c r="NO23" s="4" t="s">
        <v>55</v>
      </c>
      <c r="NP23" s="10" t="s">
        <v>56</v>
      </c>
      <c r="NQ23" s="4" t="s">
        <v>55</v>
      </c>
      <c r="NR23" s="10">
        <f>(16*1000)/E23</f>
        <v>134.31833445265278</v>
      </c>
      <c r="NS23" s="10">
        <f>(2*1000)/E23</f>
        <v>16.789791806581597</v>
      </c>
      <c r="NT23" s="10">
        <f>(61*1000)/E23</f>
        <v>512.08865010073873</v>
      </c>
      <c r="NU23" s="10">
        <f>(15*1000)/E23</f>
        <v>125.92343854936199</v>
      </c>
    </row>
    <row r="24" spans="1:385" x14ac:dyDescent="0.2">
      <c r="A24" t="s">
        <v>623</v>
      </c>
      <c r="B24" s="1" t="s">
        <v>1040</v>
      </c>
      <c r="C24" s="1" t="s">
        <v>858</v>
      </c>
      <c r="D24" s="39" cm="1">
        <f t="array" ref="D24">SUMPRODUCT((ISNUMBER(F24:NU24))*(MOD(COLUMN(F24:NU24),2)=0))</f>
        <v>2</v>
      </c>
      <c r="E24" s="1">
        <v>119.12</v>
      </c>
      <c r="F24" s="11" t="s">
        <v>56</v>
      </c>
      <c r="G24" s="11" t="s">
        <v>55</v>
      </c>
      <c r="H24" s="11" t="s">
        <v>56</v>
      </c>
      <c r="I24" s="11" t="s">
        <v>55</v>
      </c>
      <c r="J24" s="11" t="s">
        <v>56</v>
      </c>
      <c r="K24" s="11" t="s">
        <v>55</v>
      </c>
      <c r="L24" s="11" t="s">
        <v>56</v>
      </c>
      <c r="M24" s="11" t="s">
        <v>55</v>
      </c>
      <c r="N24" s="11" t="s">
        <v>56</v>
      </c>
      <c r="O24" s="11" t="s">
        <v>55</v>
      </c>
      <c r="P24" s="11" t="s">
        <v>56</v>
      </c>
      <c r="Q24" s="11" t="s">
        <v>55</v>
      </c>
      <c r="R24" s="11" t="s">
        <v>56</v>
      </c>
      <c r="S24" s="11" t="s">
        <v>55</v>
      </c>
      <c r="T24" s="11" t="s">
        <v>56</v>
      </c>
      <c r="U24" s="11" t="s">
        <v>55</v>
      </c>
      <c r="V24" s="11" t="s">
        <v>56</v>
      </c>
      <c r="W24" s="11" t="s">
        <v>55</v>
      </c>
      <c r="X24" s="11" t="s">
        <v>56</v>
      </c>
      <c r="Y24" s="11" t="s">
        <v>55</v>
      </c>
      <c r="Z24" s="11" t="s">
        <v>56</v>
      </c>
      <c r="AA24" s="11" t="s">
        <v>55</v>
      </c>
      <c r="AB24" s="11" t="s">
        <v>56</v>
      </c>
      <c r="AC24" s="11" t="s">
        <v>55</v>
      </c>
      <c r="AD24" s="11" t="s">
        <v>56</v>
      </c>
      <c r="AE24" s="11" t="s">
        <v>55</v>
      </c>
      <c r="AF24" s="11" t="s">
        <v>56</v>
      </c>
      <c r="AG24" s="11" t="s">
        <v>55</v>
      </c>
      <c r="AH24" s="11" t="s">
        <v>56</v>
      </c>
      <c r="AI24" s="11" t="s">
        <v>55</v>
      </c>
      <c r="AJ24" s="11" t="s">
        <v>56</v>
      </c>
      <c r="AK24" s="11" t="s">
        <v>55</v>
      </c>
      <c r="AL24" s="11" t="s">
        <v>56</v>
      </c>
      <c r="AM24" s="11" t="s">
        <v>55</v>
      </c>
      <c r="AN24" s="11" t="s">
        <v>56</v>
      </c>
      <c r="AO24" s="11" t="s">
        <v>55</v>
      </c>
      <c r="AP24" s="11" t="s">
        <v>56</v>
      </c>
      <c r="AQ24" s="11" t="s">
        <v>55</v>
      </c>
      <c r="AR24" s="10" t="s">
        <v>620</v>
      </c>
      <c r="AS24" s="10" t="s">
        <v>55</v>
      </c>
      <c r="AT24" s="11" t="s">
        <v>56</v>
      </c>
      <c r="AU24" s="11" t="s">
        <v>55</v>
      </c>
      <c r="AV24" s="11" t="s">
        <v>56</v>
      </c>
      <c r="AW24" s="11" t="s">
        <v>55</v>
      </c>
      <c r="AX24" s="11" t="s">
        <v>56</v>
      </c>
      <c r="AY24" s="11" t="s">
        <v>55</v>
      </c>
      <c r="AZ24" s="11" t="s">
        <v>56</v>
      </c>
      <c r="BA24" s="11" t="s">
        <v>55</v>
      </c>
      <c r="BB24" s="11" t="s">
        <v>56</v>
      </c>
      <c r="BC24" s="11" t="s">
        <v>55</v>
      </c>
      <c r="BD24" s="11" t="s">
        <v>56</v>
      </c>
      <c r="BE24" s="11" t="s">
        <v>55</v>
      </c>
      <c r="BF24" s="11" t="s">
        <v>56</v>
      </c>
      <c r="BG24" s="11" t="s">
        <v>55</v>
      </c>
      <c r="BH24" s="11" t="s">
        <v>56</v>
      </c>
      <c r="BI24" s="11" t="s">
        <v>55</v>
      </c>
      <c r="BJ24" s="11" t="s">
        <v>56</v>
      </c>
      <c r="BK24" s="11" t="s">
        <v>55</v>
      </c>
      <c r="BL24" s="11" t="s">
        <v>56</v>
      </c>
      <c r="BM24" s="11" t="s">
        <v>55</v>
      </c>
      <c r="BN24" s="11" t="s">
        <v>56</v>
      </c>
      <c r="BO24" s="11" t="s">
        <v>55</v>
      </c>
      <c r="BP24" s="11" t="s">
        <v>56</v>
      </c>
      <c r="BQ24" s="11" t="s">
        <v>55</v>
      </c>
      <c r="BR24" s="11" t="s">
        <v>56</v>
      </c>
      <c r="BS24" s="11" t="s">
        <v>55</v>
      </c>
      <c r="BT24" s="11" t="s">
        <v>56</v>
      </c>
      <c r="BU24" s="11" t="s">
        <v>55</v>
      </c>
      <c r="BV24" s="11" t="s">
        <v>56</v>
      </c>
      <c r="BW24" s="11" t="s">
        <v>55</v>
      </c>
      <c r="BX24" s="11" t="s">
        <v>56</v>
      </c>
      <c r="BY24" s="11" t="s">
        <v>55</v>
      </c>
      <c r="BZ24" s="11" t="s">
        <v>56</v>
      </c>
      <c r="CA24" s="11" t="s">
        <v>55</v>
      </c>
      <c r="CB24" s="11" t="s">
        <v>56</v>
      </c>
      <c r="CC24" s="11" t="s">
        <v>55</v>
      </c>
      <c r="CD24" s="11" t="s">
        <v>56</v>
      </c>
      <c r="CE24" s="11" t="s">
        <v>55</v>
      </c>
      <c r="CF24" s="11" t="s">
        <v>56</v>
      </c>
      <c r="CG24" s="11" t="s">
        <v>55</v>
      </c>
      <c r="CH24" s="11" t="s">
        <v>56</v>
      </c>
      <c r="CI24" s="11" t="s">
        <v>55</v>
      </c>
      <c r="CJ24" s="11" t="s">
        <v>56</v>
      </c>
      <c r="CK24" s="11" t="s">
        <v>55</v>
      </c>
      <c r="CL24" s="11" t="s">
        <v>56</v>
      </c>
      <c r="CM24" s="11" t="s">
        <v>55</v>
      </c>
      <c r="CN24" s="11" t="s">
        <v>56</v>
      </c>
      <c r="CO24" s="11" t="s">
        <v>55</v>
      </c>
      <c r="CP24" s="11" t="s">
        <v>56</v>
      </c>
      <c r="CQ24" s="11" t="s">
        <v>55</v>
      </c>
      <c r="CR24" s="11" t="s">
        <v>56</v>
      </c>
      <c r="CS24" s="11" t="s">
        <v>55</v>
      </c>
      <c r="CT24" s="11" t="s">
        <v>56</v>
      </c>
      <c r="CU24" s="11" t="s">
        <v>55</v>
      </c>
      <c r="CV24" s="11" t="s">
        <v>56</v>
      </c>
      <c r="CW24" s="11" t="s">
        <v>55</v>
      </c>
      <c r="CX24" s="11" t="s">
        <v>56</v>
      </c>
      <c r="CY24" s="11" t="s">
        <v>55</v>
      </c>
      <c r="CZ24" s="11" t="s">
        <v>56</v>
      </c>
      <c r="DA24" s="11" t="s">
        <v>55</v>
      </c>
      <c r="DB24" s="11" t="s">
        <v>56</v>
      </c>
      <c r="DC24" s="11" t="s">
        <v>55</v>
      </c>
      <c r="DD24" s="11" t="s">
        <v>56</v>
      </c>
      <c r="DE24" s="11" t="s">
        <v>55</v>
      </c>
      <c r="DF24" s="11" t="s">
        <v>56</v>
      </c>
      <c r="DG24" s="11" t="s">
        <v>55</v>
      </c>
      <c r="DH24" s="11" t="s">
        <v>56</v>
      </c>
      <c r="DI24" s="11" t="s">
        <v>55</v>
      </c>
      <c r="DJ24" s="11" t="s">
        <v>56</v>
      </c>
      <c r="DK24" s="11" t="s">
        <v>55</v>
      </c>
      <c r="DL24" s="11" t="s">
        <v>56</v>
      </c>
      <c r="DM24" s="11" t="s">
        <v>55</v>
      </c>
      <c r="DN24" s="11" t="s">
        <v>56</v>
      </c>
      <c r="DO24" s="11" t="s">
        <v>55</v>
      </c>
      <c r="DP24" s="11" t="s">
        <v>56</v>
      </c>
      <c r="DQ24" s="11" t="s">
        <v>55</v>
      </c>
      <c r="DR24" s="11" t="s">
        <v>56</v>
      </c>
      <c r="DS24" s="11" t="s">
        <v>55</v>
      </c>
      <c r="DT24" s="11" t="s">
        <v>56</v>
      </c>
      <c r="DU24" s="11" t="s">
        <v>55</v>
      </c>
      <c r="DV24" s="11" t="s">
        <v>56</v>
      </c>
      <c r="DW24" s="11" t="s">
        <v>55</v>
      </c>
      <c r="DX24" s="11" t="s">
        <v>56</v>
      </c>
      <c r="DY24" s="11" t="s">
        <v>55</v>
      </c>
      <c r="DZ24" s="11" t="s">
        <v>56</v>
      </c>
      <c r="EA24" s="11" t="s">
        <v>55</v>
      </c>
      <c r="EB24" s="11" t="s">
        <v>56</v>
      </c>
      <c r="EC24" s="11" t="s">
        <v>55</v>
      </c>
      <c r="ED24" s="11" t="s">
        <v>56</v>
      </c>
      <c r="EE24" s="11" t="s">
        <v>55</v>
      </c>
      <c r="EF24" s="11" t="s">
        <v>56</v>
      </c>
      <c r="EG24" s="11" t="s">
        <v>55</v>
      </c>
      <c r="EH24" s="11" t="s">
        <v>56</v>
      </c>
      <c r="EI24" s="11" t="s">
        <v>55</v>
      </c>
      <c r="EJ24" s="11" t="s">
        <v>56</v>
      </c>
      <c r="EK24" s="11" t="s">
        <v>55</v>
      </c>
      <c r="EL24" s="11" t="s">
        <v>56</v>
      </c>
      <c r="EM24" s="11" t="s">
        <v>55</v>
      </c>
      <c r="EN24" s="11" t="s">
        <v>56</v>
      </c>
      <c r="EO24" s="11" t="s">
        <v>55</v>
      </c>
      <c r="EP24" s="11" t="s">
        <v>56</v>
      </c>
      <c r="EQ24" s="11" t="s">
        <v>55</v>
      </c>
      <c r="ER24" s="11" t="s">
        <v>56</v>
      </c>
      <c r="ES24" s="11" t="s">
        <v>55</v>
      </c>
      <c r="ET24" s="11" t="s">
        <v>56</v>
      </c>
      <c r="EU24" s="11" t="s">
        <v>55</v>
      </c>
      <c r="EV24" s="11" t="s">
        <v>56</v>
      </c>
      <c r="EW24" s="11" t="s">
        <v>55</v>
      </c>
      <c r="EX24" s="11" t="s">
        <v>56</v>
      </c>
      <c r="EY24" s="11" t="s">
        <v>55</v>
      </c>
      <c r="EZ24" s="11" t="s">
        <v>56</v>
      </c>
      <c r="FA24" s="11" t="s">
        <v>55</v>
      </c>
      <c r="FB24" s="11" t="s">
        <v>56</v>
      </c>
      <c r="FC24" s="11" t="s">
        <v>55</v>
      </c>
      <c r="FD24" s="11" t="s">
        <v>56</v>
      </c>
      <c r="FE24" s="11" t="s">
        <v>55</v>
      </c>
      <c r="FF24" s="11" t="s">
        <v>56</v>
      </c>
      <c r="FG24" s="11" t="s">
        <v>55</v>
      </c>
      <c r="FH24" s="11" t="s">
        <v>56</v>
      </c>
      <c r="FI24" s="11" t="s">
        <v>55</v>
      </c>
      <c r="FJ24" s="11" t="s">
        <v>56</v>
      </c>
      <c r="FK24" s="11" t="s">
        <v>55</v>
      </c>
      <c r="FL24" s="11" t="s">
        <v>56</v>
      </c>
      <c r="FM24" s="11" t="s">
        <v>55</v>
      </c>
      <c r="FN24" s="11" t="s">
        <v>56</v>
      </c>
      <c r="FO24" s="11" t="s">
        <v>55</v>
      </c>
      <c r="FP24" s="11" t="s">
        <v>56</v>
      </c>
      <c r="FQ24" s="11" t="s">
        <v>55</v>
      </c>
      <c r="FR24" s="11" t="s">
        <v>56</v>
      </c>
      <c r="FS24" s="11" t="s">
        <v>55</v>
      </c>
      <c r="FT24" s="11" t="s">
        <v>56</v>
      </c>
      <c r="FU24" s="11" t="s">
        <v>55</v>
      </c>
      <c r="FV24" s="11" t="s">
        <v>56</v>
      </c>
      <c r="FW24" s="11" t="s">
        <v>55</v>
      </c>
      <c r="FX24" s="11" t="s">
        <v>56</v>
      </c>
      <c r="FY24" s="11" t="s">
        <v>55</v>
      </c>
      <c r="FZ24" s="11" t="s">
        <v>56</v>
      </c>
      <c r="GA24" s="11" t="s">
        <v>55</v>
      </c>
      <c r="GB24" s="11" t="s">
        <v>56</v>
      </c>
      <c r="GC24" s="11" t="s">
        <v>55</v>
      </c>
      <c r="GD24" s="11" t="s">
        <v>56</v>
      </c>
      <c r="GE24" s="11" t="s">
        <v>55</v>
      </c>
      <c r="GF24" s="11" t="s">
        <v>56</v>
      </c>
      <c r="GG24" s="11" t="s">
        <v>55</v>
      </c>
      <c r="GH24" s="11" t="s">
        <v>56</v>
      </c>
      <c r="GI24" s="11" t="s">
        <v>55</v>
      </c>
      <c r="GJ24" s="11" t="s">
        <v>56</v>
      </c>
      <c r="GK24" s="11" t="s">
        <v>55</v>
      </c>
      <c r="GL24" s="11" t="s">
        <v>56</v>
      </c>
      <c r="GM24" s="11" t="s">
        <v>55</v>
      </c>
      <c r="GN24" s="11" t="s">
        <v>56</v>
      </c>
      <c r="GO24" s="11" t="s">
        <v>55</v>
      </c>
      <c r="GP24" s="11" t="s">
        <v>56</v>
      </c>
      <c r="GQ24" s="11" t="s">
        <v>55</v>
      </c>
      <c r="GR24" s="11" t="s">
        <v>56</v>
      </c>
      <c r="GS24" s="11" t="s">
        <v>55</v>
      </c>
      <c r="GT24" s="11" t="s">
        <v>56</v>
      </c>
      <c r="GU24" s="11" t="s">
        <v>55</v>
      </c>
      <c r="GV24" s="17" t="s">
        <v>56</v>
      </c>
      <c r="GW24" s="17" t="s">
        <v>55</v>
      </c>
      <c r="GX24" s="11" t="s">
        <v>56</v>
      </c>
      <c r="GY24" s="11" t="s">
        <v>55</v>
      </c>
      <c r="GZ24" s="11" t="s">
        <v>56</v>
      </c>
      <c r="HA24" s="11" t="s">
        <v>55</v>
      </c>
      <c r="HB24" s="11" t="s">
        <v>56</v>
      </c>
      <c r="HC24" s="11" t="s">
        <v>55</v>
      </c>
      <c r="HD24" s="11" t="s">
        <v>56</v>
      </c>
      <c r="HE24" s="11" t="s">
        <v>55</v>
      </c>
      <c r="HF24" s="11" t="s">
        <v>56</v>
      </c>
      <c r="HG24" s="11" t="s">
        <v>55</v>
      </c>
      <c r="HH24" s="11" t="s">
        <v>56</v>
      </c>
      <c r="HI24" s="11" t="s">
        <v>55</v>
      </c>
      <c r="HJ24" s="11" t="s">
        <v>56</v>
      </c>
      <c r="HK24" s="11" t="s">
        <v>55</v>
      </c>
      <c r="HL24" s="11" t="s">
        <v>56</v>
      </c>
      <c r="HM24" s="11" t="s">
        <v>55</v>
      </c>
      <c r="HN24" s="11" t="s">
        <v>56</v>
      </c>
      <c r="HO24" s="11" t="s">
        <v>55</v>
      </c>
      <c r="HP24" s="11" t="s">
        <v>56</v>
      </c>
      <c r="HQ24" s="11" t="s">
        <v>55</v>
      </c>
      <c r="HR24" s="11" t="s">
        <v>56</v>
      </c>
      <c r="HS24" s="11" t="s">
        <v>55</v>
      </c>
      <c r="HT24" s="11" t="s">
        <v>56</v>
      </c>
      <c r="HU24" s="11" t="s">
        <v>55</v>
      </c>
      <c r="HV24" s="11" t="s">
        <v>56</v>
      </c>
      <c r="HW24" s="11" t="s">
        <v>55</v>
      </c>
      <c r="HX24" s="11" t="s">
        <v>56</v>
      </c>
      <c r="HY24" s="11" t="s">
        <v>55</v>
      </c>
      <c r="HZ24" s="11" t="s">
        <v>56</v>
      </c>
      <c r="IA24" s="11" t="s">
        <v>55</v>
      </c>
      <c r="IB24" s="11" t="s">
        <v>56</v>
      </c>
      <c r="IC24" s="11" t="s">
        <v>55</v>
      </c>
      <c r="ID24" s="11" t="s">
        <v>56</v>
      </c>
      <c r="IE24" s="11" t="s">
        <v>55</v>
      </c>
      <c r="IF24" s="11" t="s">
        <v>56</v>
      </c>
      <c r="IG24" s="11" t="s">
        <v>55</v>
      </c>
      <c r="IH24" s="11" t="s">
        <v>56</v>
      </c>
      <c r="II24" s="11" t="s">
        <v>55</v>
      </c>
      <c r="IJ24" s="11" t="s">
        <v>56</v>
      </c>
      <c r="IK24" s="11" t="s">
        <v>55</v>
      </c>
      <c r="IL24" s="11" t="s">
        <v>56</v>
      </c>
      <c r="IM24" s="11" t="s">
        <v>55</v>
      </c>
      <c r="IN24" s="11" t="s">
        <v>56</v>
      </c>
      <c r="IO24" s="11" t="s">
        <v>55</v>
      </c>
      <c r="IP24" s="11" t="s">
        <v>56</v>
      </c>
      <c r="IQ24" s="11" t="s">
        <v>55</v>
      </c>
      <c r="IR24" s="11" t="s">
        <v>56</v>
      </c>
      <c r="IS24" s="11" t="s">
        <v>55</v>
      </c>
      <c r="IT24" s="11" t="s">
        <v>56</v>
      </c>
      <c r="IU24" s="11" t="s">
        <v>55</v>
      </c>
      <c r="IV24" s="11" t="s">
        <v>56</v>
      </c>
      <c r="IW24" s="11" t="s">
        <v>55</v>
      </c>
      <c r="IX24" s="11" t="s">
        <v>56</v>
      </c>
      <c r="IY24" s="11" t="s">
        <v>55</v>
      </c>
      <c r="IZ24" s="11" t="s">
        <v>56</v>
      </c>
      <c r="JA24" s="11" t="s">
        <v>55</v>
      </c>
      <c r="JB24" s="11" t="s">
        <v>56</v>
      </c>
      <c r="JC24" s="11" t="s">
        <v>55</v>
      </c>
      <c r="JD24" s="11" t="s">
        <v>56</v>
      </c>
      <c r="JE24" s="11" t="s">
        <v>55</v>
      </c>
      <c r="JF24" s="11" t="s">
        <v>56</v>
      </c>
      <c r="JG24" s="11" t="s">
        <v>55</v>
      </c>
      <c r="JH24" s="11" t="s">
        <v>56</v>
      </c>
      <c r="JI24" s="11" t="s">
        <v>55</v>
      </c>
      <c r="JJ24" s="11" t="s">
        <v>56</v>
      </c>
      <c r="JK24" s="11" t="s">
        <v>55</v>
      </c>
      <c r="JL24" s="11" t="s">
        <v>56</v>
      </c>
      <c r="JM24" s="11" t="s">
        <v>55</v>
      </c>
      <c r="JN24" s="11" t="s">
        <v>56</v>
      </c>
      <c r="JO24" s="11" t="s">
        <v>55</v>
      </c>
      <c r="JP24" s="11" t="s">
        <v>56</v>
      </c>
      <c r="JQ24" s="11" t="s">
        <v>55</v>
      </c>
      <c r="JR24" s="11" t="s">
        <v>56</v>
      </c>
      <c r="JS24" s="11" t="s">
        <v>55</v>
      </c>
      <c r="JT24" s="11" t="s">
        <v>56</v>
      </c>
      <c r="JU24" s="11" t="s">
        <v>55</v>
      </c>
      <c r="JV24" s="11" t="s">
        <v>56</v>
      </c>
      <c r="JW24" s="11" t="s">
        <v>55</v>
      </c>
      <c r="JX24" s="11" t="s">
        <v>56</v>
      </c>
      <c r="JY24" s="11" t="s">
        <v>55</v>
      </c>
      <c r="JZ24" s="11" t="s">
        <v>56</v>
      </c>
      <c r="KA24" s="11" t="s">
        <v>55</v>
      </c>
      <c r="KB24" s="11" t="s">
        <v>56</v>
      </c>
      <c r="KC24" s="11" t="s">
        <v>55</v>
      </c>
      <c r="KD24" s="11" t="s">
        <v>56</v>
      </c>
      <c r="KE24" s="11" t="s">
        <v>55</v>
      </c>
      <c r="KF24" s="11" t="s">
        <v>56</v>
      </c>
      <c r="KG24" s="11" t="s">
        <v>55</v>
      </c>
      <c r="KH24" s="11" t="s">
        <v>56</v>
      </c>
      <c r="KI24" s="11" t="s">
        <v>55</v>
      </c>
      <c r="KJ24" s="11" t="s">
        <v>56</v>
      </c>
      <c r="KK24" s="11" t="s">
        <v>55</v>
      </c>
      <c r="KL24" s="11" t="s">
        <v>56</v>
      </c>
      <c r="KM24" s="11" t="s">
        <v>55</v>
      </c>
      <c r="KN24" s="11" t="s">
        <v>56</v>
      </c>
      <c r="KO24" s="11" t="s">
        <v>55</v>
      </c>
      <c r="KP24" s="11" t="s">
        <v>56</v>
      </c>
      <c r="KQ24" s="11" t="s">
        <v>55</v>
      </c>
      <c r="KR24" s="11" t="s">
        <v>56</v>
      </c>
      <c r="KS24" s="11" t="s">
        <v>55</v>
      </c>
      <c r="KT24" s="11" t="s">
        <v>56</v>
      </c>
      <c r="KU24" s="11" t="s">
        <v>55</v>
      </c>
      <c r="KV24" s="11" t="s">
        <v>56</v>
      </c>
      <c r="KW24" s="11" t="s">
        <v>55</v>
      </c>
      <c r="KX24" s="11" t="s">
        <v>56</v>
      </c>
      <c r="KY24" s="11" t="s">
        <v>55</v>
      </c>
      <c r="KZ24" s="11" t="s">
        <v>56</v>
      </c>
      <c r="LA24" s="11" t="s">
        <v>55</v>
      </c>
      <c r="LB24" s="10" t="s">
        <v>56</v>
      </c>
      <c r="LC24" s="10" t="s">
        <v>55</v>
      </c>
      <c r="LD24" s="10" t="s">
        <v>56</v>
      </c>
      <c r="LE24" s="10" t="s">
        <v>55</v>
      </c>
      <c r="LF24" s="10" t="s">
        <v>56</v>
      </c>
      <c r="LG24" s="10" t="s">
        <v>55</v>
      </c>
      <c r="LH24" s="10" t="s">
        <v>56</v>
      </c>
      <c r="LI24" s="10" t="s">
        <v>55</v>
      </c>
      <c r="LJ24" s="10" t="s">
        <v>56</v>
      </c>
      <c r="LK24" s="10" t="s">
        <v>162</v>
      </c>
      <c r="LL24" s="10" t="s">
        <v>56</v>
      </c>
      <c r="LM24" s="10" t="s">
        <v>162</v>
      </c>
      <c r="LN24" s="10" t="s">
        <v>56</v>
      </c>
      <c r="LO24" s="10" t="s">
        <v>162</v>
      </c>
      <c r="LP24" s="10" t="s">
        <v>56</v>
      </c>
      <c r="LQ24" s="10" t="s">
        <v>162</v>
      </c>
      <c r="LR24" s="10" t="s">
        <v>56</v>
      </c>
      <c r="LS24" s="10" t="s">
        <v>162</v>
      </c>
      <c r="LT24" s="10" t="s">
        <v>56</v>
      </c>
      <c r="LU24" s="10" t="s">
        <v>162</v>
      </c>
      <c r="LV24" s="10" t="s">
        <v>56</v>
      </c>
      <c r="LW24" s="10" t="s">
        <v>55</v>
      </c>
      <c r="LX24" s="10" t="s">
        <v>56</v>
      </c>
      <c r="LY24" s="10" t="s">
        <v>55</v>
      </c>
      <c r="LZ24" s="10" t="s">
        <v>56</v>
      </c>
      <c r="MA24" s="10" t="s">
        <v>55</v>
      </c>
      <c r="MB24" s="10" t="s">
        <v>56</v>
      </c>
      <c r="MC24" s="10" t="s">
        <v>55</v>
      </c>
      <c r="MD24" s="11" t="s">
        <v>56</v>
      </c>
      <c r="ME24" s="11" t="s">
        <v>55</v>
      </c>
      <c r="MF24" s="11" t="s">
        <v>56</v>
      </c>
      <c r="MG24" s="11" t="s">
        <v>55</v>
      </c>
      <c r="MH24" s="11" t="s">
        <v>56</v>
      </c>
      <c r="MI24" s="11" t="s">
        <v>55</v>
      </c>
      <c r="MJ24" s="11" t="s">
        <v>56</v>
      </c>
      <c r="MK24" s="11" t="s">
        <v>55</v>
      </c>
      <c r="ML24" s="11" t="s">
        <v>56</v>
      </c>
      <c r="MM24" s="11" t="s">
        <v>55</v>
      </c>
      <c r="MN24" s="11" t="s">
        <v>56</v>
      </c>
      <c r="MO24" s="11" t="s">
        <v>55</v>
      </c>
      <c r="MP24" s="11" t="s">
        <v>56</v>
      </c>
      <c r="MQ24" s="11" t="s">
        <v>55</v>
      </c>
      <c r="MR24" s="11" t="s">
        <v>56</v>
      </c>
      <c r="MS24" s="11" t="s">
        <v>55</v>
      </c>
      <c r="MT24" s="11" t="s">
        <v>56</v>
      </c>
      <c r="MU24" s="11" t="s">
        <v>55</v>
      </c>
      <c r="MV24" s="11" t="s">
        <v>56</v>
      </c>
      <c r="MW24" s="11" t="s">
        <v>55</v>
      </c>
      <c r="MX24" s="11" t="s">
        <v>56</v>
      </c>
      <c r="MY24" s="11" t="s">
        <v>55</v>
      </c>
      <c r="MZ24" s="11" t="s">
        <v>56</v>
      </c>
      <c r="NA24" s="11" t="s">
        <v>55</v>
      </c>
      <c r="NB24" s="10" t="s">
        <v>56</v>
      </c>
      <c r="NC24" s="10" t="s">
        <v>55</v>
      </c>
      <c r="ND24" s="10" t="s">
        <v>56</v>
      </c>
      <c r="NE24" s="10" t="s">
        <v>55</v>
      </c>
      <c r="NF24" s="10" t="s">
        <v>56</v>
      </c>
      <c r="NG24" s="10" t="s">
        <v>55</v>
      </c>
      <c r="NH24" s="10" t="s">
        <v>56</v>
      </c>
      <c r="NI24" s="10" t="s">
        <v>55</v>
      </c>
      <c r="NJ24" s="10" t="s">
        <v>56</v>
      </c>
      <c r="NK24" s="10" t="s">
        <v>55</v>
      </c>
      <c r="NL24" s="10" t="s">
        <v>56</v>
      </c>
      <c r="NM24" s="4" t="s">
        <v>55</v>
      </c>
      <c r="NN24" s="10" t="s">
        <v>56</v>
      </c>
      <c r="NO24" s="4" t="s">
        <v>55</v>
      </c>
      <c r="NP24" s="10" t="s">
        <v>56</v>
      </c>
      <c r="NQ24" s="4" t="s">
        <v>55</v>
      </c>
      <c r="NR24" s="10">
        <f>(17*1000)/E24</f>
        <v>142.71323035594358</v>
      </c>
      <c r="NS24" s="10">
        <f>(4*1000)/E24</f>
        <v>33.579583613163194</v>
      </c>
      <c r="NT24" s="10">
        <f>(42*1000)/E24</f>
        <v>352.58562793821358</v>
      </c>
      <c r="NU24" s="10">
        <f>(12*1000)/E24</f>
        <v>100.73875083948958</v>
      </c>
    </row>
    <row r="25" spans="1:385" x14ac:dyDescent="0.2">
      <c r="A25" t="s">
        <v>624</v>
      </c>
      <c r="B25" s="1" t="s">
        <v>1040</v>
      </c>
      <c r="C25" s="1" t="s">
        <v>859</v>
      </c>
      <c r="D25" s="39" cm="1">
        <f t="array" ref="D25">SUMPRODUCT((ISNUMBER(F25:NU25))*(MOD(COLUMN(F25:NU25),2)=0))</f>
        <v>2</v>
      </c>
      <c r="E25" s="1">
        <v>119.12</v>
      </c>
      <c r="F25" s="11" t="s">
        <v>56</v>
      </c>
      <c r="G25" s="11" t="s">
        <v>55</v>
      </c>
      <c r="H25" s="11" t="s">
        <v>56</v>
      </c>
      <c r="I25" s="11" t="s">
        <v>55</v>
      </c>
      <c r="J25" s="11" t="s">
        <v>56</v>
      </c>
      <c r="K25" s="11" t="s">
        <v>55</v>
      </c>
      <c r="L25" s="11" t="s">
        <v>56</v>
      </c>
      <c r="M25" s="11" t="s">
        <v>55</v>
      </c>
      <c r="N25" s="11" t="s">
        <v>56</v>
      </c>
      <c r="O25" s="11" t="s">
        <v>55</v>
      </c>
      <c r="P25" s="11" t="s">
        <v>56</v>
      </c>
      <c r="Q25" s="11" t="s">
        <v>55</v>
      </c>
      <c r="R25" s="11" t="s">
        <v>56</v>
      </c>
      <c r="S25" s="11" t="s">
        <v>55</v>
      </c>
      <c r="T25" s="11" t="s">
        <v>56</v>
      </c>
      <c r="U25" s="11" t="s">
        <v>55</v>
      </c>
      <c r="V25" s="11" t="s">
        <v>56</v>
      </c>
      <c r="W25" s="11" t="s">
        <v>55</v>
      </c>
      <c r="X25" s="11" t="s">
        <v>56</v>
      </c>
      <c r="Y25" s="11" t="s">
        <v>55</v>
      </c>
      <c r="Z25" s="11" t="s">
        <v>56</v>
      </c>
      <c r="AA25" s="11" t="s">
        <v>55</v>
      </c>
      <c r="AB25" s="11" t="s">
        <v>56</v>
      </c>
      <c r="AC25" s="11" t="s">
        <v>55</v>
      </c>
      <c r="AD25" s="11" t="s">
        <v>56</v>
      </c>
      <c r="AE25" s="11" t="s">
        <v>55</v>
      </c>
      <c r="AF25" s="11" t="s">
        <v>56</v>
      </c>
      <c r="AG25" s="11" t="s">
        <v>55</v>
      </c>
      <c r="AH25" s="11" t="s">
        <v>56</v>
      </c>
      <c r="AI25" s="11" t="s">
        <v>55</v>
      </c>
      <c r="AJ25" s="11" t="s">
        <v>56</v>
      </c>
      <c r="AK25" s="11" t="s">
        <v>55</v>
      </c>
      <c r="AL25" s="11" t="s">
        <v>56</v>
      </c>
      <c r="AM25" s="11" t="s">
        <v>55</v>
      </c>
      <c r="AN25" s="11" t="s">
        <v>56</v>
      </c>
      <c r="AO25" s="11" t="s">
        <v>55</v>
      </c>
      <c r="AP25" s="11" t="s">
        <v>56</v>
      </c>
      <c r="AQ25" s="11" t="s">
        <v>55</v>
      </c>
      <c r="AR25" s="10" t="s">
        <v>620</v>
      </c>
      <c r="AS25" s="10" t="s">
        <v>55</v>
      </c>
      <c r="AT25" s="11" t="s">
        <v>56</v>
      </c>
      <c r="AU25" s="11" t="s">
        <v>55</v>
      </c>
      <c r="AV25" s="11" t="s">
        <v>56</v>
      </c>
      <c r="AW25" s="11" t="s">
        <v>55</v>
      </c>
      <c r="AX25" s="11" t="s">
        <v>56</v>
      </c>
      <c r="AY25" s="11" t="s">
        <v>55</v>
      </c>
      <c r="AZ25" s="11" t="s">
        <v>56</v>
      </c>
      <c r="BA25" s="11" t="s">
        <v>55</v>
      </c>
      <c r="BB25" s="11" t="s">
        <v>56</v>
      </c>
      <c r="BC25" s="11" t="s">
        <v>55</v>
      </c>
      <c r="BD25" s="11" t="s">
        <v>56</v>
      </c>
      <c r="BE25" s="11" t="s">
        <v>55</v>
      </c>
      <c r="BF25" s="11" t="s">
        <v>56</v>
      </c>
      <c r="BG25" s="11" t="s">
        <v>55</v>
      </c>
      <c r="BH25" s="11" t="s">
        <v>56</v>
      </c>
      <c r="BI25" s="11" t="s">
        <v>55</v>
      </c>
      <c r="BJ25" s="11" t="s">
        <v>56</v>
      </c>
      <c r="BK25" s="11" t="s">
        <v>55</v>
      </c>
      <c r="BL25" s="11" t="s">
        <v>56</v>
      </c>
      <c r="BM25" s="11" t="s">
        <v>55</v>
      </c>
      <c r="BN25" s="11" t="s">
        <v>56</v>
      </c>
      <c r="BO25" s="11" t="s">
        <v>55</v>
      </c>
      <c r="BP25" s="11" t="s">
        <v>56</v>
      </c>
      <c r="BQ25" s="11" t="s">
        <v>55</v>
      </c>
      <c r="BR25" s="11" t="s">
        <v>56</v>
      </c>
      <c r="BS25" s="11" t="s">
        <v>55</v>
      </c>
      <c r="BT25" s="11" t="s">
        <v>56</v>
      </c>
      <c r="BU25" s="11" t="s">
        <v>55</v>
      </c>
      <c r="BV25" s="11" t="s">
        <v>56</v>
      </c>
      <c r="BW25" s="11" t="s">
        <v>55</v>
      </c>
      <c r="BX25" s="11" t="s">
        <v>56</v>
      </c>
      <c r="BY25" s="11" t="s">
        <v>55</v>
      </c>
      <c r="BZ25" s="11" t="s">
        <v>56</v>
      </c>
      <c r="CA25" s="11" t="s">
        <v>55</v>
      </c>
      <c r="CB25" s="11" t="s">
        <v>56</v>
      </c>
      <c r="CC25" s="11" t="s">
        <v>55</v>
      </c>
      <c r="CD25" s="11" t="s">
        <v>56</v>
      </c>
      <c r="CE25" s="11" t="s">
        <v>55</v>
      </c>
      <c r="CF25" s="11" t="s">
        <v>56</v>
      </c>
      <c r="CG25" s="11" t="s">
        <v>55</v>
      </c>
      <c r="CH25" s="11" t="s">
        <v>56</v>
      </c>
      <c r="CI25" s="11" t="s">
        <v>55</v>
      </c>
      <c r="CJ25" s="11" t="s">
        <v>56</v>
      </c>
      <c r="CK25" s="11" t="s">
        <v>55</v>
      </c>
      <c r="CL25" s="11" t="s">
        <v>56</v>
      </c>
      <c r="CM25" s="11" t="s">
        <v>55</v>
      </c>
      <c r="CN25" s="11" t="s">
        <v>56</v>
      </c>
      <c r="CO25" s="11" t="s">
        <v>55</v>
      </c>
      <c r="CP25" s="11" t="s">
        <v>56</v>
      </c>
      <c r="CQ25" s="11" t="s">
        <v>55</v>
      </c>
      <c r="CR25" s="11" t="s">
        <v>56</v>
      </c>
      <c r="CS25" s="11" t="s">
        <v>55</v>
      </c>
      <c r="CT25" s="11" t="s">
        <v>56</v>
      </c>
      <c r="CU25" s="11" t="s">
        <v>55</v>
      </c>
      <c r="CV25" s="11" t="s">
        <v>56</v>
      </c>
      <c r="CW25" s="11" t="s">
        <v>55</v>
      </c>
      <c r="CX25" s="11" t="s">
        <v>56</v>
      </c>
      <c r="CY25" s="11" t="s">
        <v>55</v>
      </c>
      <c r="CZ25" s="11" t="s">
        <v>56</v>
      </c>
      <c r="DA25" s="11" t="s">
        <v>55</v>
      </c>
      <c r="DB25" s="11" t="s">
        <v>56</v>
      </c>
      <c r="DC25" s="11" t="s">
        <v>55</v>
      </c>
      <c r="DD25" s="11" t="s">
        <v>56</v>
      </c>
      <c r="DE25" s="11" t="s">
        <v>55</v>
      </c>
      <c r="DF25" s="11" t="s">
        <v>56</v>
      </c>
      <c r="DG25" s="11" t="s">
        <v>55</v>
      </c>
      <c r="DH25" s="11" t="s">
        <v>56</v>
      </c>
      <c r="DI25" s="11" t="s">
        <v>55</v>
      </c>
      <c r="DJ25" s="11" t="s">
        <v>56</v>
      </c>
      <c r="DK25" s="11" t="s">
        <v>55</v>
      </c>
      <c r="DL25" s="11" t="s">
        <v>56</v>
      </c>
      <c r="DM25" s="11" t="s">
        <v>55</v>
      </c>
      <c r="DN25" s="11" t="s">
        <v>56</v>
      </c>
      <c r="DO25" s="11" t="s">
        <v>55</v>
      </c>
      <c r="DP25" s="11" t="s">
        <v>56</v>
      </c>
      <c r="DQ25" s="11" t="s">
        <v>55</v>
      </c>
      <c r="DR25" s="11" t="s">
        <v>56</v>
      </c>
      <c r="DS25" s="11" t="s">
        <v>55</v>
      </c>
      <c r="DT25" s="11" t="s">
        <v>56</v>
      </c>
      <c r="DU25" s="11" t="s">
        <v>55</v>
      </c>
      <c r="DV25" s="11" t="s">
        <v>56</v>
      </c>
      <c r="DW25" s="11" t="s">
        <v>55</v>
      </c>
      <c r="DX25" s="11" t="s">
        <v>56</v>
      </c>
      <c r="DY25" s="11" t="s">
        <v>55</v>
      </c>
      <c r="DZ25" s="11" t="s">
        <v>56</v>
      </c>
      <c r="EA25" s="11" t="s">
        <v>55</v>
      </c>
      <c r="EB25" s="11" t="s">
        <v>56</v>
      </c>
      <c r="EC25" s="11" t="s">
        <v>55</v>
      </c>
      <c r="ED25" s="11" t="s">
        <v>56</v>
      </c>
      <c r="EE25" s="11" t="s">
        <v>55</v>
      </c>
      <c r="EF25" s="11" t="s">
        <v>56</v>
      </c>
      <c r="EG25" s="11" t="s">
        <v>55</v>
      </c>
      <c r="EH25" s="11" t="s">
        <v>56</v>
      </c>
      <c r="EI25" s="11" t="s">
        <v>55</v>
      </c>
      <c r="EJ25" s="11" t="s">
        <v>56</v>
      </c>
      <c r="EK25" s="11" t="s">
        <v>55</v>
      </c>
      <c r="EL25" s="11" t="s">
        <v>56</v>
      </c>
      <c r="EM25" s="11" t="s">
        <v>55</v>
      </c>
      <c r="EN25" s="11" t="s">
        <v>56</v>
      </c>
      <c r="EO25" s="11" t="s">
        <v>55</v>
      </c>
      <c r="EP25" s="11" t="s">
        <v>56</v>
      </c>
      <c r="EQ25" s="11" t="s">
        <v>55</v>
      </c>
      <c r="ER25" s="11" t="s">
        <v>56</v>
      </c>
      <c r="ES25" s="11" t="s">
        <v>55</v>
      </c>
      <c r="ET25" s="11" t="s">
        <v>56</v>
      </c>
      <c r="EU25" s="11" t="s">
        <v>55</v>
      </c>
      <c r="EV25" s="11" t="s">
        <v>56</v>
      </c>
      <c r="EW25" s="11" t="s">
        <v>55</v>
      </c>
      <c r="EX25" s="11" t="s">
        <v>56</v>
      </c>
      <c r="EY25" s="11" t="s">
        <v>55</v>
      </c>
      <c r="EZ25" s="11" t="s">
        <v>56</v>
      </c>
      <c r="FA25" s="11" t="s">
        <v>55</v>
      </c>
      <c r="FB25" s="11" t="s">
        <v>56</v>
      </c>
      <c r="FC25" s="11" t="s">
        <v>55</v>
      </c>
      <c r="FD25" s="11" t="s">
        <v>56</v>
      </c>
      <c r="FE25" s="11" t="s">
        <v>55</v>
      </c>
      <c r="FF25" s="11" t="s">
        <v>56</v>
      </c>
      <c r="FG25" s="11" t="s">
        <v>55</v>
      </c>
      <c r="FH25" s="11" t="s">
        <v>56</v>
      </c>
      <c r="FI25" s="11" t="s">
        <v>55</v>
      </c>
      <c r="FJ25" s="11" t="s">
        <v>56</v>
      </c>
      <c r="FK25" s="11" t="s">
        <v>55</v>
      </c>
      <c r="FL25" s="11" t="s">
        <v>56</v>
      </c>
      <c r="FM25" s="11" t="s">
        <v>55</v>
      </c>
      <c r="FN25" s="11" t="s">
        <v>56</v>
      </c>
      <c r="FO25" s="11" t="s">
        <v>55</v>
      </c>
      <c r="FP25" s="11" t="s">
        <v>56</v>
      </c>
      <c r="FQ25" s="11" t="s">
        <v>55</v>
      </c>
      <c r="FR25" s="11" t="s">
        <v>56</v>
      </c>
      <c r="FS25" s="11" t="s">
        <v>55</v>
      </c>
      <c r="FT25" s="11" t="s">
        <v>56</v>
      </c>
      <c r="FU25" s="11" t="s">
        <v>55</v>
      </c>
      <c r="FV25" s="11" t="s">
        <v>56</v>
      </c>
      <c r="FW25" s="11" t="s">
        <v>55</v>
      </c>
      <c r="FX25" s="11" t="s">
        <v>56</v>
      </c>
      <c r="FY25" s="11" t="s">
        <v>55</v>
      </c>
      <c r="FZ25" s="11" t="s">
        <v>56</v>
      </c>
      <c r="GA25" s="11" t="s">
        <v>55</v>
      </c>
      <c r="GB25" s="11" t="s">
        <v>56</v>
      </c>
      <c r="GC25" s="11" t="s">
        <v>55</v>
      </c>
      <c r="GD25" s="11" t="s">
        <v>56</v>
      </c>
      <c r="GE25" s="11" t="s">
        <v>55</v>
      </c>
      <c r="GF25" s="11" t="s">
        <v>56</v>
      </c>
      <c r="GG25" s="11" t="s">
        <v>55</v>
      </c>
      <c r="GH25" s="11" t="s">
        <v>56</v>
      </c>
      <c r="GI25" s="11" t="s">
        <v>55</v>
      </c>
      <c r="GJ25" s="11" t="s">
        <v>56</v>
      </c>
      <c r="GK25" s="11" t="s">
        <v>55</v>
      </c>
      <c r="GL25" s="11" t="s">
        <v>56</v>
      </c>
      <c r="GM25" s="11" t="s">
        <v>55</v>
      </c>
      <c r="GN25" s="11" t="s">
        <v>56</v>
      </c>
      <c r="GO25" s="11" t="s">
        <v>55</v>
      </c>
      <c r="GP25" s="11" t="s">
        <v>56</v>
      </c>
      <c r="GQ25" s="11" t="s">
        <v>55</v>
      </c>
      <c r="GR25" s="11" t="s">
        <v>56</v>
      </c>
      <c r="GS25" s="11" t="s">
        <v>55</v>
      </c>
      <c r="GT25" s="11" t="s">
        <v>56</v>
      </c>
      <c r="GU25" s="11" t="s">
        <v>55</v>
      </c>
      <c r="GV25" s="17" t="s">
        <v>56</v>
      </c>
      <c r="GW25" s="17" t="s">
        <v>55</v>
      </c>
      <c r="GX25" s="11" t="s">
        <v>56</v>
      </c>
      <c r="GY25" s="11" t="s">
        <v>55</v>
      </c>
      <c r="GZ25" s="11" t="s">
        <v>56</v>
      </c>
      <c r="HA25" s="11" t="s">
        <v>55</v>
      </c>
      <c r="HB25" s="11" t="s">
        <v>56</v>
      </c>
      <c r="HC25" s="11" t="s">
        <v>55</v>
      </c>
      <c r="HD25" s="11" t="s">
        <v>56</v>
      </c>
      <c r="HE25" s="11" t="s">
        <v>55</v>
      </c>
      <c r="HF25" s="11" t="s">
        <v>56</v>
      </c>
      <c r="HG25" s="11" t="s">
        <v>55</v>
      </c>
      <c r="HH25" s="11" t="s">
        <v>56</v>
      </c>
      <c r="HI25" s="11" t="s">
        <v>55</v>
      </c>
      <c r="HJ25" s="11" t="s">
        <v>56</v>
      </c>
      <c r="HK25" s="11" t="s">
        <v>55</v>
      </c>
      <c r="HL25" s="11" t="s">
        <v>56</v>
      </c>
      <c r="HM25" s="11" t="s">
        <v>55</v>
      </c>
      <c r="HN25" s="11" t="s">
        <v>56</v>
      </c>
      <c r="HO25" s="11" t="s">
        <v>55</v>
      </c>
      <c r="HP25" s="11" t="s">
        <v>56</v>
      </c>
      <c r="HQ25" s="11" t="s">
        <v>55</v>
      </c>
      <c r="HR25" s="11" t="s">
        <v>56</v>
      </c>
      <c r="HS25" s="11" t="s">
        <v>55</v>
      </c>
      <c r="HT25" s="11" t="s">
        <v>56</v>
      </c>
      <c r="HU25" s="11" t="s">
        <v>55</v>
      </c>
      <c r="HV25" s="11" t="s">
        <v>56</v>
      </c>
      <c r="HW25" s="11" t="s">
        <v>55</v>
      </c>
      <c r="HX25" s="11" t="s">
        <v>56</v>
      </c>
      <c r="HY25" s="11" t="s">
        <v>55</v>
      </c>
      <c r="HZ25" s="11" t="s">
        <v>56</v>
      </c>
      <c r="IA25" s="11" t="s">
        <v>55</v>
      </c>
      <c r="IB25" s="11" t="s">
        <v>56</v>
      </c>
      <c r="IC25" s="11" t="s">
        <v>55</v>
      </c>
      <c r="ID25" s="11" t="s">
        <v>56</v>
      </c>
      <c r="IE25" s="11" t="s">
        <v>55</v>
      </c>
      <c r="IF25" s="11" t="s">
        <v>56</v>
      </c>
      <c r="IG25" s="11" t="s">
        <v>55</v>
      </c>
      <c r="IH25" s="11" t="s">
        <v>56</v>
      </c>
      <c r="II25" s="11" t="s">
        <v>55</v>
      </c>
      <c r="IJ25" s="11" t="s">
        <v>56</v>
      </c>
      <c r="IK25" s="11" t="s">
        <v>55</v>
      </c>
      <c r="IL25" s="11" t="s">
        <v>56</v>
      </c>
      <c r="IM25" s="11" t="s">
        <v>55</v>
      </c>
      <c r="IN25" s="11" t="s">
        <v>56</v>
      </c>
      <c r="IO25" s="11" t="s">
        <v>55</v>
      </c>
      <c r="IP25" s="11" t="s">
        <v>56</v>
      </c>
      <c r="IQ25" s="11" t="s">
        <v>55</v>
      </c>
      <c r="IR25" s="11" t="s">
        <v>56</v>
      </c>
      <c r="IS25" s="11" t="s">
        <v>55</v>
      </c>
      <c r="IT25" s="11" t="s">
        <v>56</v>
      </c>
      <c r="IU25" s="11" t="s">
        <v>55</v>
      </c>
      <c r="IV25" s="11" t="s">
        <v>56</v>
      </c>
      <c r="IW25" s="11" t="s">
        <v>55</v>
      </c>
      <c r="IX25" s="11" t="s">
        <v>56</v>
      </c>
      <c r="IY25" s="11" t="s">
        <v>55</v>
      </c>
      <c r="IZ25" s="11" t="s">
        <v>56</v>
      </c>
      <c r="JA25" s="11" t="s">
        <v>55</v>
      </c>
      <c r="JB25" s="11" t="s">
        <v>56</v>
      </c>
      <c r="JC25" s="11" t="s">
        <v>55</v>
      </c>
      <c r="JD25" s="11" t="s">
        <v>56</v>
      </c>
      <c r="JE25" s="11" t="s">
        <v>55</v>
      </c>
      <c r="JF25" s="11" t="s">
        <v>56</v>
      </c>
      <c r="JG25" s="11" t="s">
        <v>55</v>
      </c>
      <c r="JH25" s="11" t="s">
        <v>56</v>
      </c>
      <c r="JI25" s="11" t="s">
        <v>55</v>
      </c>
      <c r="JJ25" s="11" t="s">
        <v>56</v>
      </c>
      <c r="JK25" s="11" t="s">
        <v>55</v>
      </c>
      <c r="JL25" s="11" t="s">
        <v>56</v>
      </c>
      <c r="JM25" s="11" t="s">
        <v>55</v>
      </c>
      <c r="JN25" s="11" t="s">
        <v>56</v>
      </c>
      <c r="JO25" s="11" t="s">
        <v>55</v>
      </c>
      <c r="JP25" s="11" t="s">
        <v>56</v>
      </c>
      <c r="JQ25" s="11" t="s">
        <v>55</v>
      </c>
      <c r="JR25" s="11" t="s">
        <v>56</v>
      </c>
      <c r="JS25" s="11" t="s">
        <v>55</v>
      </c>
      <c r="JT25" s="11" t="s">
        <v>56</v>
      </c>
      <c r="JU25" s="11" t="s">
        <v>55</v>
      </c>
      <c r="JV25" s="11" t="s">
        <v>56</v>
      </c>
      <c r="JW25" s="11" t="s">
        <v>55</v>
      </c>
      <c r="JX25" s="11" t="s">
        <v>56</v>
      </c>
      <c r="JY25" s="11" t="s">
        <v>55</v>
      </c>
      <c r="JZ25" s="11" t="s">
        <v>56</v>
      </c>
      <c r="KA25" s="11" t="s">
        <v>55</v>
      </c>
      <c r="KB25" s="11" t="s">
        <v>56</v>
      </c>
      <c r="KC25" s="11" t="s">
        <v>55</v>
      </c>
      <c r="KD25" s="11" t="s">
        <v>56</v>
      </c>
      <c r="KE25" s="11" t="s">
        <v>55</v>
      </c>
      <c r="KF25" s="11" t="s">
        <v>56</v>
      </c>
      <c r="KG25" s="11" t="s">
        <v>55</v>
      </c>
      <c r="KH25" s="11" t="s">
        <v>56</v>
      </c>
      <c r="KI25" s="11" t="s">
        <v>55</v>
      </c>
      <c r="KJ25" s="11" t="s">
        <v>56</v>
      </c>
      <c r="KK25" s="11" t="s">
        <v>55</v>
      </c>
      <c r="KL25" s="11" t="s">
        <v>56</v>
      </c>
      <c r="KM25" s="11" t="s">
        <v>55</v>
      </c>
      <c r="KN25" s="11" t="s">
        <v>56</v>
      </c>
      <c r="KO25" s="11" t="s">
        <v>55</v>
      </c>
      <c r="KP25" s="11" t="s">
        <v>56</v>
      </c>
      <c r="KQ25" s="11" t="s">
        <v>55</v>
      </c>
      <c r="KR25" s="11" t="s">
        <v>56</v>
      </c>
      <c r="KS25" s="11" t="s">
        <v>55</v>
      </c>
      <c r="KT25" s="11" t="s">
        <v>56</v>
      </c>
      <c r="KU25" s="11" t="s">
        <v>55</v>
      </c>
      <c r="KV25" s="11" t="s">
        <v>56</v>
      </c>
      <c r="KW25" s="11" t="s">
        <v>55</v>
      </c>
      <c r="KX25" s="11" t="s">
        <v>56</v>
      </c>
      <c r="KY25" s="11" t="s">
        <v>55</v>
      </c>
      <c r="KZ25" s="11" t="s">
        <v>56</v>
      </c>
      <c r="LA25" s="11" t="s">
        <v>55</v>
      </c>
      <c r="LB25" s="10" t="s">
        <v>56</v>
      </c>
      <c r="LC25" s="10" t="s">
        <v>55</v>
      </c>
      <c r="LD25" s="10" t="s">
        <v>56</v>
      </c>
      <c r="LE25" s="10" t="s">
        <v>55</v>
      </c>
      <c r="LF25" s="10" t="s">
        <v>56</v>
      </c>
      <c r="LG25" s="10" t="s">
        <v>55</v>
      </c>
      <c r="LH25" s="10" t="s">
        <v>56</v>
      </c>
      <c r="LI25" s="10" t="s">
        <v>55</v>
      </c>
      <c r="LJ25" s="10" t="s">
        <v>56</v>
      </c>
      <c r="LK25" s="10" t="s">
        <v>162</v>
      </c>
      <c r="LL25" s="10" t="s">
        <v>56</v>
      </c>
      <c r="LM25" s="10" t="s">
        <v>162</v>
      </c>
      <c r="LN25" s="10" t="s">
        <v>56</v>
      </c>
      <c r="LO25" s="10" t="s">
        <v>162</v>
      </c>
      <c r="LP25" s="10" t="s">
        <v>56</v>
      </c>
      <c r="LQ25" s="10" t="s">
        <v>162</v>
      </c>
      <c r="LR25" s="10" t="s">
        <v>56</v>
      </c>
      <c r="LS25" s="10" t="s">
        <v>162</v>
      </c>
      <c r="LT25" s="10" t="s">
        <v>56</v>
      </c>
      <c r="LU25" s="10" t="s">
        <v>162</v>
      </c>
      <c r="LV25" s="10" t="s">
        <v>56</v>
      </c>
      <c r="LW25" s="10" t="s">
        <v>55</v>
      </c>
      <c r="LX25" s="10" t="s">
        <v>56</v>
      </c>
      <c r="LY25" s="10" t="s">
        <v>55</v>
      </c>
      <c r="LZ25" s="10" t="s">
        <v>56</v>
      </c>
      <c r="MA25" s="10" t="s">
        <v>55</v>
      </c>
      <c r="MB25" s="10" t="s">
        <v>56</v>
      </c>
      <c r="MC25" s="10" t="s">
        <v>55</v>
      </c>
      <c r="MD25" s="11" t="s">
        <v>56</v>
      </c>
      <c r="ME25" s="11" t="s">
        <v>55</v>
      </c>
      <c r="MF25" s="11" t="s">
        <v>56</v>
      </c>
      <c r="MG25" s="11" t="s">
        <v>55</v>
      </c>
      <c r="MH25" s="11" t="s">
        <v>56</v>
      </c>
      <c r="MI25" s="11" t="s">
        <v>55</v>
      </c>
      <c r="MJ25" s="11" t="s">
        <v>56</v>
      </c>
      <c r="MK25" s="11" t="s">
        <v>55</v>
      </c>
      <c r="ML25" s="11" t="s">
        <v>56</v>
      </c>
      <c r="MM25" s="11" t="s">
        <v>55</v>
      </c>
      <c r="MN25" s="11" t="s">
        <v>56</v>
      </c>
      <c r="MO25" s="11" t="s">
        <v>55</v>
      </c>
      <c r="MP25" s="11" t="s">
        <v>56</v>
      </c>
      <c r="MQ25" s="11" t="s">
        <v>55</v>
      </c>
      <c r="MR25" s="11" t="s">
        <v>56</v>
      </c>
      <c r="MS25" s="11" t="s">
        <v>55</v>
      </c>
      <c r="MT25" s="11" t="s">
        <v>56</v>
      </c>
      <c r="MU25" s="11" t="s">
        <v>55</v>
      </c>
      <c r="MV25" s="11" t="s">
        <v>56</v>
      </c>
      <c r="MW25" s="11" t="s">
        <v>55</v>
      </c>
      <c r="MX25" s="11" t="s">
        <v>56</v>
      </c>
      <c r="MY25" s="11" t="s">
        <v>55</v>
      </c>
      <c r="MZ25" s="11" t="s">
        <v>56</v>
      </c>
      <c r="NA25" s="11" t="s">
        <v>55</v>
      </c>
      <c r="NB25" s="10" t="s">
        <v>56</v>
      </c>
      <c r="NC25" s="10" t="s">
        <v>55</v>
      </c>
      <c r="ND25" s="10" t="s">
        <v>56</v>
      </c>
      <c r="NE25" s="10" t="s">
        <v>55</v>
      </c>
      <c r="NF25" s="10" t="s">
        <v>56</v>
      </c>
      <c r="NG25" s="10" t="s">
        <v>55</v>
      </c>
      <c r="NH25" s="10" t="s">
        <v>56</v>
      </c>
      <c r="NI25" s="10" t="s">
        <v>55</v>
      </c>
      <c r="NJ25" s="10" t="s">
        <v>56</v>
      </c>
      <c r="NK25" s="10" t="s">
        <v>55</v>
      </c>
      <c r="NL25" s="10" t="s">
        <v>56</v>
      </c>
      <c r="NM25" s="4" t="s">
        <v>55</v>
      </c>
      <c r="NN25" s="10" t="s">
        <v>56</v>
      </c>
      <c r="NO25" s="4" t="s">
        <v>55</v>
      </c>
      <c r="NP25" s="10" t="s">
        <v>56</v>
      </c>
      <c r="NQ25" s="4" t="s">
        <v>55</v>
      </c>
      <c r="NR25" s="10">
        <f>(21*1000)/E25</f>
        <v>176.29281396910679</v>
      </c>
      <c r="NS25" s="10">
        <f>(2*1000)/E25</f>
        <v>16.789791806581597</v>
      </c>
      <c r="NT25" s="10">
        <f>(47*1000)/E25</f>
        <v>394.56010745466756</v>
      </c>
      <c r="NU25" s="10">
        <f>(14*1000)/E25</f>
        <v>117.52854264607119</v>
      </c>
    </row>
    <row r="26" spans="1:385" x14ac:dyDescent="0.2">
      <c r="A26" t="s">
        <v>63</v>
      </c>
      <c r="B26" s="1" t="s">
        <v>1037</v>
      </c>
      <c r="C26" s="1" t="s">
        <v>858</v>
      </c>
      <c r="D26" s="39" cm="1">
        <f t="array" ref="D26">SUMPRODUCT((ISNUMBER(F26:NU26))*(MOD(COLUMN(F26:NU26),2)=0))</f>
        <v>3</v>
      </c>
      <c r="E26" s="1">
        <v>103.12</v>
      </c>
      <c r="F26" s="9" t="s">
        <v>56</v>
      </c>
      <c r="G26" s="9" t="s">
        <v>55</v>
      </c>
      <c r="H26" s="9" t="s">
        <v>56</v>
      </c>
      <c r="I26" s="9" t="s">
        <v>55</v>
      </c>
      <c r="J26" s="9" t="s">
        <v>56</v>
      </c>
      <c r="K26" s="9" t="s">
        <v>55</v>
      </c>
      <c r="L26" s="9" t="s">
        <v>56</v>
      </c>
      <c r="M26" s="9" t="s">
        <v>55</v>
      </c>
      <c r="N26" s="9" t="s">
        <v>56</v>
      </c>
      <c r="O26" s="9" t="s">
        <v>55</v>
      </c>
      <c r="P26" s="9" t="s">
        <v>56</v>
      </c>
      <c r="Q26" s="9" t="s">
        <v>55</v>
      </c>
      <c r="R26" s="9" t="s">
        <v>56</v>
      </c>
      <c r="S26" s="9" t="s">
        <v>55</v>
      </c>
      <c r="T26" s="9" t="s">
        <v>56</v>
      </c>
      <c r="U26" s="9" t="s">
        <v>55</v>
      </c>
      <c r="V26" s="9" t="s">
        <v>56</v>
      </c>
      <c r="W26" s="9" t="s">
        <v>55</v>
      </c>
      <c r="X26" s="9" t="s">
        <v>56</v>
      </c>
      <c r="Y26" s="9" t="s">
        <v>55</v>
      </c>
      <c r="Z26" s="9" t="s">
        <v>56</v>
      </c>
      <c r="AA26" s="9" t="s">
        <v>55</v>
      </c>
      <c r="AB26" s="9" t="s">
        <v>56</v>
      </c>
      <c r="AC26" s="9" t="s">
        <v>55</v>
      </c>
      <c r="AD26" s="9" t="s">
        <v>56</v>
      </c>
      <c r="AE26" s="9" t="s">
        <v>55</v>
      </c>
      <c r="AF26" s="9" t="s">
        <v>56</v>
      </c>
      <c r="AG26" s="9" t="s">
        <v>55</v>
      </c>
      <c r="AH26" s="9" t="s">
        <v>56</v>
      </c>
      <c r="AI26" s="9" t="s">
        <v>55</v>
      </c>
      <c r="AJ26" s="9" t="s">
        <v>56</v>
      </c>
      <c r="AK26" s="9" t="s">
        <v>55</v>
      </c>
      <c r="AL26" s="9" t="s">
        <v>56</v>
      </c>
      <c r="AM26" s="1" t="s">
        <v>55</v>
      </c>
      <c r="AN26" s="9" t="s">
        <v>56</v>
      </c>
      <c r="AO26" s="11" t="s">
        <v>55</v>
      </c>
      <c r="AP26" s="9" t="s">
        <v>56</v>
      </c>
      <c r="AQ26" s="11" t="s">
        <v>55</v>
      </c>
      <c r="AR26" s="10">
        <f>532/E26</f>
        <v>5.1590380139643131</v>
      </c>
      <c r="AS26" s="10">
        <f>81/E26</f>
        <v>0.78549262994569435</v>
      </c>
      <c r="AT26" s="9" t="s">
        <v>56</v>
      </c>
      <c r="AU26" s="11" t="s">
        <v>55</v>
      </c>
      <c r="AV26" s="9" t="s">
        <v>56</v>
      </c>
      <c r="AW26" s="11" t="s">
        <v>55</v>
      </c>
      <c r="AX26" s="9" t="s">
        <v>56</v>
      </c>
      <c r="AY26" s="11" t="s">
        <v>55</v>
      </c>
      <c r="AZ26" s="9" t="s">
        <v>56</v>
      </c>
      <c r="BA26" s="11" t="s">
        <v>55</v>
      </c>
      <c r="BB26" s="9" t="s">
        <v>56</v>
      </c>
      <c r="BC26" s="11" t="s">
        <v>55</v>
      </c>
      <c r="BD26" s="9" t="s">
        <v>56</v>
      </c>
      <c r="BE26" s="1" t="s">
        <v>55</v>
      </c>
      <c r="BF26" s="9" t="s">
        <v>56</v>
      </c>
      <c r="BG26" s="1" t="s">
        <v>55</v>
      </c>
      <c r="BH26" s="9" t="s">
        <v>56</v>
      </c>
      <c r="BI26" s="1" t="s">
        <v>55</v>
      </c>
      <c r="BJ26" s="9" t="s">
        <v>56</v>
      </c>
      <c r="BK26" s="1" t="s">
        <v>55</v>
      </c>
      <c r="BL26" s="9" t="s">
        <v>56</v>
      </c>
      <c r="BM26" s="1" t="s">
        <v>55</v>
      </c>
      <c r="BN26" s="9" t="s">
        <v>56</v>
      </c>
      <c r="BO26" s="1" t="s">
        <v>55</v>
      </c>
      <c r="BP26" s="9" t="s">
        <v>56</v>
      </c>
      <c r="BQ26" s="1" t="s">
        <v>55</v>
      </c>
      <c r="BR26" s="9" t="s">
        <v>56</v>
      </c>
      <c r="BS26" s="1" t="s">
        <v>55</v>
      </c>
      <c r="BT26" s="9" t="s">
        <v>56</v>
      </c>
      <c r="BU26" s="1" t="s">
        <v>55</v>
      </c>
      <c r="BV26" s="9" t="s">
        <v>56</v>
      </c>
      <c r="BW26" s="1" t="s">
        <v>55</v>
      </c>
      <c r="BX26" s="9" t="s">
        <v>56</v>
      </c>
      <c r="BY26" s="1" t="s">
        <v>55</v>
      </c>
      <c r="BZ26" s="9" t="s">
        <v>56</v>
      </c>
      <c r="CA26" s="1" t="s">
        <v>55</v>
      </c>
      <c r="CB26" s="9" t="s">
        <v>56</v>
      </c>
      <c r="CC26" s="1" t="s">
        <v>55</v>
      </c>
      <c r="CD26" s="9" t="s">
        <v>56</v>
      </c>
      <c r="CE26" s="1" t="s">
        <v>55</v>
      </c>
      <c r="CF26" s="9" t="s">
        <v>56</v>
      </c>
      <c r="CG26" s="1" t="s">
        <v>55</v>
      </c>
      <c r="CH26" s="9" t="s">
        <v>56</v>
      </c>
      <c r="CI26" s="1" t="s">
        <v>55</v>
      </c>
      <c r="CJ26" s="9" t="s">
        <v>56</v>
      </c>
      <c r="CK26" s="1" t="s">
        <v>55</v>
      </c>
      <c r="CL26" s="9" t="s">
        <v>56</v>
      </c>
      <c r="CM26" s="1" t="s">
        <v>55</v>
      </c>
      <c r="CN26" s="9" t="s">
        <v>56</v>
      </c>
      <c r="CO26" s="1" t="s">
        <v>55</v>
      </c>
      <c r="CP26" s="9" t="s">
        <v>56</v>
      </c>
      <c r="CQ26" s="1" t="s">
        <v>55</v>
      </c>
      <c r="CR26" s="9" t="s">
        <v>56</v>
      </c>
      <c r="CS26" s="1" t="s">
        <v>55</v>
      </c>
      <c r="CT26" s="9" t="s">
        <v>56</v>
      </c>
      <c r="CU26" s="1" t="s">
        <v>55</v>
      </c>
      <c r="CV26" s="9" t="s">
        <v>56</v>
      </c>
      <c r="CW26" s="1" t="s">
        <v>55</v>
      </c>
      <c r="CX26" s="9" t="s">
        <v>56</v>
      </c>
      <c r="CY26" s="1" t="s">
        <v>55</v>
      </c>
      <c r="CZ26" s="9" t="s">
        <v>56</v>
      </c>
      <c r="DA26" s="1" t="s">
        <v>55</v>
      </c>
      <c r="DB26" s="9" t="s">
        <v>56</v>
      </c>
      <c r="DC26" s="1" t="s">
        <v>55</v>
      </c>
      <c r="DD26" s="10" t="s">
        <v>56</v>
      </c>
      <c r="DE26" s="10" t="s">
        <v>55</v>
      </c>
      <c r="DF26" s="10" t="s">
        <v>56</v>
      </c>
      <c r="DG26" s="10" t="s">
        <v>55</v>
      </c>
      <c r="DH26" s="10" t="s">
        <v>56</v>
      </c>
      <c r="DI26" s="10" t="s">
        <v>55</v>
      </c>
      <c r="DJ26" s="10" t="s">
        <v>56</v>
      </c>
      <c r="DK26" s="10" t="s">
        <v>55</v>
      </c>
      <c r="DL26" s="10" t="s">
        <v>56</v>
      </c>
      <c r="DM26" s="10" t="s">
        <v>55</v>
      </c>
      <c r="DN26" s="11" t="s">
        <v>56</v>
      </c>
      <c r="DO26" s="11" t="s">
        <v>55</v>
      </c>
      <c r="DP26" s="11" t="s">
        <v>56</v>
      </c>
      <c r="DQ26" s="11" t="s">
        <v>55</v>
      </c>
      <c r="DR26" s="11" t="s">
        <v>56</v>
      </c>
      <c r="DS26" s="11" t="s">
        <v>55</v>
      </c>
      <c r="DT26" s="11" t="s">
        <v>56</v>
      </c>
      <c r="DU26" s="11" t="s">
        <v>55</v>
      </c>
      <c r="DV26" s="11" t="s">
        <v>56</v>
      </c>
      <c r="DW26" s="11" t="s">
        <v>55</v>
      </c>
      <c r="DX26" s="11" t="s">
        <v>56</v>
      </c>
      <c r="DY26" s="11" t="s">
        <v>55</v>
      </c>
      <c r="DZ26" s="11" t="s">
        <v>56</v>
      </c>
      <c r="EA26" s="11" t="s">
        <v>55</v>
      </c>
      <c r="EB26" s="11" t="s">
        <v>56</v>
      </c>
      <c r="EC26" s="11" t="s">
        <v>55</v>
      </c>
      <c r="ED26" s="11" t="s">
        <v>56</v>
      </c>
      <c r="EE26" s="11" t="s">
        <v>55</v>
      </c>
      <c r="EF26" s="11" t="s">
        <v>56</v>
      </c>
      <c r="EG26" s="11" t="s">
        <v>55</v>
      </c>
      <c r="EH26" s="11" t="s">
        <v>56</v>
      </c>
      <c r="EI26" s="11" t="s">
        <v>55</v>
      </c>
      <c r="EJ26" s="11" t="s">
        <v>56</v>
      </c>
      <c r="EK26" s="11" t="s">
        <v>55</v>
      </c>
      <c r="EL26" s="11" t="s">
        <v>56</v>
      </c>
      <c r="EM26" s="11" t="s">
        <v>55</v>
      </c>
      <c r="EN26" s="10" t="s">
        <v>56</v>
      </c>
      <c r="EO26" s="10" t="s">
        <v>55</v>
      </c>
      <c r="EP26" s="10" t="s">
        <v>56</v>
      </c>
      <c r="EQ26" s="10" t="s">
        <v>55</v>
      </c>
      <c r="ER26" s="10" t="s">
        <v>56</v>
      </c>
      <c r="ES26" s="10" t="s">
        <v>55</v>
      </c>
      <c r="ET26" s="10" t="s">
        <v>56</v>
      </c>
      <c r="EU26" s="10" t="s">
        <v>55</v>
      </c>
      <c r="EV26" s="10" t="s">
        <v>56</v>
      </c>
      <c r="EW26" s="10" t="s">
        <v>55</v>
      </c>
      <c r="EX26" s="10" t="s">
        <v>56</v>
      </c>
      <c r="EY26" s="10" t="s">
        <v>55</v>
      </c>
      <c r="EZ26" s="10" t="s">
        <v>56</v>
      </c>
      <c r="FA26" s="10" t="s">
        <v>55</v>
      </c>
      <c r="FB26" s="10" t="s">
        <v>56</v>
      </c>
      <c r="FC26" s="10" t="s">
        <v>55</v>
      </c>
      <c r="FD26" s="10" t="s">
        <v>56</v>
      </c>
      <c r="FE26" s="10" t="s">
        <v>55</v>
      </c>
      <c r="FF26" s="10" t="s">
        <v>56</v>
      </c>
      <c r="FG26" s="10" t="s">
        <v>55</v>
      </c>
      <c r="FH26" s="10" t="s">
        <v>56</v>
      </c>
      <c r="FI26" s="10" t="s">
        <v>55</v>
      </c>
      <c r="FJ26" s="10" t="s">
        <v>56</v>
      </c>
      <c r="FK26" s="10" t="s">
        <v>55</v>
      </c>
      <c r="FL26" s="10" t="s">
        <v>56</v>
      </c>
      <c r="FM26" s="10" t="s">
        <v>55</v>
      </c>
      <c r="FN26" s="10" t="s">
        <v>56</v>
      </c>
      <c r="FO26" s="10" t="s">
        <v>55</v>
      </c>
      <c r="FP26" s="10" t="s">
        <v>56</v>
      </c>
      <c r="FQ26" s="10" t="s">
        <v>55</v>
      </c>
      <c r="FR26" s="10" t="s">
        <v>56</v>
      </c>
      <c r="FS26" s="10" t="s">
        <v>55</v>
      </c>
      <c r="FT26" s="10" t="s">
        <v>56</v>
      </c>
      <c r="FU26" s="10" t="s">
        <v>55</v>
      </c>
      <c r="FV26" s="10" t="s">
        <v>56</v>
      </c>
      <c r="FW26" s="10" t="s">
        <v>55</v>
      </c>
      <c r="FX26" s="10" t="s">
        <v>56</v>
      </c>
      <c r="FY26" s="10" t="s">
        <v>55</v>
      </c>
      <c r="FZ26" s="10" t="s">
        <v>56</v>
      </c>
      <c r="GA26" s="10" t="s">
        <v>55</v>
      </c>
      <c r="GB26" s="10" t="s">
        <v>56</v>
      </c>
      <c r="GC26" s="10" t="s">
        <v>55</v>
      </c>
      <c r="GD26" s="10" t="s">
        <v>56</v>
      </c>
      <c r="GE26" s="10" t="s">
        <v>55</v>
      </c>
      <c r="GF26" s="10" t="s">
        <v>56</v>
      </c>
      <c r="GG26" s="10" t="s">
        <v>55</v>
      </c>
      <c r="GH26" s="10" t="s">
        <v>56</v>
      </c>
      <c r="GI26" s="10" t="s">
        <v>55</v>
      </c>
      <c r="GJ26" s="10" t="s">
        <v>56</v>
      </c>
      <c r="GK26" s="10" t="s">
        <v>55</v>
      </c>
      <c r="GL26" s="10" t="s">
        <v>56</v>
      </c>
      <c r="GM26" s="10" t="s">
        <v>55</v>
      </c>
      <c r="GN26" s="10" t="s">
        <v>56</v>
      </c>
      <c r="GO26" s="10" t="s">
        <v>55</v>
      </c>
      <c r="GP26" s="10" t="s">
        <v>56</v>
      </c>
      <c r="GQ26" s="10" t="s">
        <v>55</v>
      </c>
      <c r="GR26" s="10" t="s">
        <v>56</v>
      </c>
      <c r="GS26" s="10" t="s">
        <v>55</v>
      </c>
      <c r="GT26" s="10" t="s">
        <v>56</v>
      </c>
      <c r="GU26" s="10" t="s">
        <v>55</v>
      </c>
      <c r="GV26" s="17" t="s">
        <v>56</v>
      </c>
      <c r="GW26" s="17" t="s">
        <v>55</v>
      </c>
      <c r="GX26" s="10" t="s">
        <v>56</v>
      </c>
      <c r="GY26" s="10" t="s">
        <v>55</v>
      </c>
      <c r="GZ26" s="10" t="s">
        <v>56</v>
      </c>
      <c r="HA26" s="10" t="s">
        <v>55</v>
      </c>
      <c r="HB26" s="10" t="s">
        <v>56</v>
      </c>
      <c r="HC26" s="10" t="s">
        <v>55</v>
      </c>
      <c r="HD26" s="10" t="s">
        <v>56</v>
      </c>
      <c r="HE26" s="10" t="s">
        <v>55</v>
      </c>
      <c r="HF26" s="10" t="s">
        <v>56</v>
      </c>
      <c r="HG26" s="10" t="s">
        <v>55</v>
      </c>
      <c r="HH26" s="10" t="s">
        <v>56</v>
      </c>
      <c r="HI26" s="10" t="s">
        <v>55</v>
      </c>
      <c r="HJ26" s="10" t="s">
        <v>56</v>
      </c>
      <c r="HK26" s="10" t="s">
        <v>55</v>
      </c>
      <c r="HL26" s="10" t="s">
        <v>56</v>
      </c>
      <c r="HM26" s="10" t="s">
        <v>55</v>
      </c>
      <c r="HN26" s="10" t="s">
        <v>56</v>
      </c>
      <c r="HO26" s="10" t="s">
        <v>55</v>
      </c>
      <c r="HP26" s="10" t="s">
        <v>56</v>
      </c>
      <c r="HQ26" s="10" t="s">
        <v>55</v>
      </c>
      <c r="HR26" s="10" t="s">
        <v>56</v>
      </c>
      <c r="HS26" s="10" t="s">
        <v>55</v>
      </c>
      <c r="HT26" s="10" t="s">
        <v>56</v>
      </c>
      <c r="HU26" s="10" t="s">
        <v>55</v>
      </c>
      <c r="HV26" s="10" t="s">
        <v>56</v>
      </c>
      <c r="HW26" s="10" t="s">
        <v>55</v>
      </c>
      <c r="HX26" s="10" t="s">
        <v>56</v>
      </c>
      <c r="HY26" s="10" t="s">
        <v>55</v>
      </c>
      <c r="HZ26" s="10" t="s">
        <v>56</v>
      </c>
      <c r="IA26" s="10" t="s">
        <v>55</v>
      </c>
      <c r="IB26" s="10" t="s">
        <v>56</v>
      </c>
      <c r="IC26" s="10" t="s">
        <v>55</v>
      </c>
      <c r="ID26" s="10" t="s">
        <v>56</v>
      </c>
      <c r="IE26" s="10" t="s">
        <v>55</v>
      </c>
      <c r="IF26" s="10" t="s">
        <v>56</v>
      </c>
      <c r="IG26" s="10" t="s">
        <v>55</v>
      </c>
      <c r="IH26" s="4" t="s">
        <v>56</v>
      </c>
      <c r="II26" s="4" t="s">
        <v>55</v>
      </c>
      <c r="IJ26" s="4" t="s">
        <v>56</v>
      </c>
      <c r="IK26" s="4" t="s">
        <v>55</v>
      </c>
      <c r="IL26" s="4" t="s">
        <v>56</v>
      </c>
      <c r="IM26" s="4" t="s">
        <v>55</v>
      </c>
      <c r="IN26" s="4" t="s">
        <v>56</v>
      </c>
      <c r="IO26" s="4" t="s">
        <v>55</v>
      </c>
      <c r="IP26" s="4" t="s">
        <v>56</v>
      </c>
      <c r="IQ26" s="4" t="s">
        <v>55</v>
      </c>
      <c r="IR26" s="4" t="s">
        <v>56</v>
      </c>
      <c r="IS26" s="4" t="s">
        <v>55</v>
      </c>
      <c r="IT26" s="11" t="s">
        <v>56</v>
      </c>
      <c r="IU26" s="11" t="s">
        <v>55</v>
      </c>
      <c r="IV26" s="4" t="s">
        <v>556</v>
      </c>
      <c r="IW26" s="4" t="s">
        <v>55</v>
      </c>
      <c r="IX26" s="4" t="s">
        <v>56</v>
      </c>
      <c r="IY26" s="4" t="s">
        <v>55</v>
      </c>
      <c r="IZ26" s="4" t="s">
        <v>56</v>
      </c>
      <c r="JA26" s="4" t="s">
        <v>55</v>
      </c>
      <c r="JB26" s="4" t="s">
        <v>56</v>
      </c>
      <c r="JC26" s="4" t="s">
        <v>55</v>
      </c>
      <c r="JD26" s="4" t="s">
        <v>56</v>
      </c>
      <c r="JE26" s="4" t="s">
        <v>55</v>
      </c>
      <c r="JF26" s="4" t="s">
        <v>56</v>
      </c>
      <c r="JG26" s="4" t="s">
        <v>55</v>
      </c>
      <c r="JH26" s="4" t="s">
        <v>56</v>
      </c>
      <c r="JI26" s="4" t="s">
        <v>55</v>
      </c>
      <c r="JJ26" s="4" t="s">
        <v>56</v>
      </c>
      <c r="JK26" s="4" t="s">
        <v>55</v>
      </c>
      <c r="JL26" s="4" t="s">
        <v>56</v>
      </c>
      <c r="JM26" s="4" t="s">
        <v>55</v>
      </c>
      <c r="JN26" s="4" t="s">
        <v>56</v>
      </c>
      <c r="JO26" s="4" t="s">
        <v>55</v>
      </c>
      <c r="JP26" s="4" t="s">
        <v>56</v>
      </c>
      <c r="JQ26" s="4" t="s">
        <v>55</v>
      </c>
      <c r="JR26" s="4" t="s">
        <v>56</v>
      </c>
      <c r="JS26" s="4" t="s">
        <v>55</v>
      </c>
      <c r="JT26" s="4" t="s">
        <v>56</v>
      </c>
      <c r="JU26" s="4" t="s">
        <v>55</v>
      </c>
      <c r="JV26" s="4" t="s">
        <v>56</v>
      </c>
      <c r="JW26" s="4" t="s">
        <v>55</v>
      </c>
      <c r="JX26" s="26" t="s">
        <v>56</v>
      </c>
      <c r="JY26" s="26" t="s">
        <v>55</v>
      </c>
      <c r="JZ26" s="26" t="s">
        <v>56</v>
      </c>
      <c r="KA26" s="26" t="s">
        <v>55</v>
      </c>
      <c r="KB26" s="26" t="s">
        <v>56</v>
      </c>
      <c r="KC26" s="26" t="s">
        <v>55</v>
      </c>
      <c r="KD26" s="26" t="s">
        <v>56</v>
      </c>
      <c r="KE26" s="26" t="s">
        <v>55</v>
      </c>
      <c r="KF26" s="26" t="s">
        <v>56</v>
      </c>
      <c r="KG26" s="26" t="s">
        <v>55</v>
      </c>
      <c r="KH26" s="4" t="s">
        <v>56</v>
      </c>
      <c r="KI26" s="4" t="s">
        <v>55</v>
      </c>
      <c r="KJ26" s="4" t="s">
        <v>56</v>
      </c>
      <c r="KK26" s="4" t="s">
        <v>55</v>
      </c>
      <c r="KL26" s="4" t="s">
        <v>56</v>
      </c>
      <c r="KM26" s="4" t="s">
        <v>55</v>
      </c>
      <c r="KN26" s="4" t="s">
        <v>56</v>
      </c>
      <c r="KO26" s="4" t="s">
        <v>55</v>
      </c>
      <c r="KP26" s="4" t="s">
        <v>56</v>
      </c>
      <c r="KQ26" s="4" t="s">
        <v>55</v>
      </c>
      <c r="KR26" s="17" t="s">
        <v>56</v>
      </c>
      <c r="KS26" s="17" t="s">
        <v>55</v>
      </c>
      <c r="KT26" s="17" t="s">
        <v>56</v>
      </c>
      <c r="KU26" s="17" t="s">
        <v>55</v>
      </c>
      <c r="KV26" s="4" t="s">
        <v>56</v>
      </c>
      <c r="KW26" s="4" t="s">
        <v>55</v>
      </c>
      <c r="KX26" s="4" t="s">
        <v>56</v>
      </c>
      <c r="KY26" s="4" t="s">
        <v>55</v>
      </c>
      <c r="KZ26" s="4" t="s">
        <v>56</v>
      </c>
      <c r="LA26" s="4" t="s">
        <v>55</v>
      </c>
      <c r="LB26" s="10" t="s">
        <v>56</v>
      </c>
      <c r="LC26" s="10" t="s">
        <v>55</v>
      </c>
      <c r="LD26" s="10" t="s">
        <v>56</v>
      </c>
      <c r="LE26" s="10" t="s">
        <v>55</v>
      </c>
      <c r="LF26" s="10" t="s">
        <v>56</v>
      </c>
      <c r="LG26" s="10" t="s">
        <v>55</v>
      </c>
      <c r="LH26" s="10" t="s">
        <v>56</v>
      </c>
      <c r="LI26" s="10" t="s">
        <v>55</v>
      </c>
      <c r="LJ26" s="10" t="s">
        <v>56</v>
      </c>
      <c r="LK26" s="10" t="s">
        <v>162</v>
      </c>
      <c r="LL26" s="10" t="s">
        <v>56</v>
      </c>
      <c r="LM26" s="10" t="s">
        <v>162</v>
      </c>
      <c r="LN26" s="10" t="s">
        <v>56</v>
      </c>
      <c r="LO26" s="10" t="s">
        <v>162</v>
      </c>
      <c r="LP26" s="10" t="s">
        <v>56</v>
      </c>
      <c r="LQ26" s="10" t="s">
        <v>162</v>
      </c>
      <c r="LR26" s="10" t="s">
        <v>56</v>
      </c>
      <c r="LS26" s="10" t="s">
        <v>162</v>
      </c>
      <c r="LT26" s="10" t="s">
        <v>56</v>
      </c>
      <c r="LU26" s="10" t="s">
        <v>162</v>
      </c>
      <c r="LV26" s="10" t="s">
        <v>56</v>
      </c>
      <c r="LW26" s="10" t="s">
        <v>55</v>
      </c>
      <c r="LX26" s="10" t="s">
        <v>56</v>
      </c>
      <c r="LY26" s="10" t="s">
        <v>55</v>
      </c>
      <c r="LZ26" s="10" t="s">
        <v>56</v>
      </c>
      <c r="MA26" s="10" t="s">
        <v>55</v>
      </c>
      <c r="MB26" s="10" t="s">
        <v>56</v>
      </c>
      <c r="MC26" s="10" t="s">
        <v>55</v>
      </c>
      <c r="MD26" s="17" t="s">
        <v>56</v>
      </c>
      <c r="ME26" s="4" t="s">
        <v>55</v>
      </c>
      <c r="MF26" s="17" t="s">
        <v>56</v>
      </c>
      <c r="MG26" s="4" t="s">
        <v>55</v>
      </c>
      <c r="MH26" s="17" t="s">
        <v>56</v>
      </c>
      <c r="MI26" s="4" t="s">
        <v>55</v>
      </c>
      <c r="MJ26" s="17" t="s">
        <v>56</v>
      </c>
      <c r="MK26" s="4" t="s">
        <v>55</v>
      </c>
      <c r="ML26" s="17" t="s">
        <v>56</v>
      </c>
      <c r="MM26" s="4" t="s">
        <v>55</v>
      </c>
      <c r="MN26" s="17" t="s">
        <v>56</v>
      </c>
      <c r="MO26" s="4" t="s">
        <v>55</v>
      </c>
      <c r="MP26" s="17" t="s">
        <v>56</v>
      </c>
      <c r="MQ26" s="4" t="s">
        <v>55</v>
      </c>
      <c r="MR26" s="17" t="s">
        <v>56</v>
      </c>
      <c r="MS26" s="4" t="s">
        <v>55</v>
      </c>
      <c r="MT26" s="17" t="s">
        <v>56</v>
      </c>
      <c r="MU26" s="4" t="s">
        <v>55</v>
      </c>
      <c r="MV26" s="17" t="s">
        <v>56</v>
      </c>
      <c r="MW26" s="4" t="s">
        <v>55</v>
      </c>
      <c r="MX26" s="17" t="s">
        <v>56</v>
      </c>
      <c r="MY26" s="4" t="s">
        <v>55</v>
      </c>
      <c r="MZ26" s="17" t="s">
        <v>56</v>
      </c>
      <c r="NA26" s="4" t="s">
        <v>55</v>
      </c>
      <c r="NB26" s="10" t="s">
        <v>56</v>
      </c>
      <c r="NC26" s="10" t="s">
        <v>55</v>
      </c>
      <c r="ND26" s="10" t="s">
        <v>56</v>
      </c>
      <c r="NE26" s="10" t="s">
        <v>55</v>
      </c>
      <c r="NF26" s="10" t="s">
        <v>56</v>
      </c>
      <c r="NG26" s="10" t="s">
        <v>55</v>
      </c>
      <c r="NH26" s="10" t="s">
        <v>56</v>
      </c>
      <c r="NI26" s="10" t="s">
        <v>55</v>
      </c>
      <c r="NJ26" s="10" t="s">
        <v>56</v>
      </c>
      <c r="NK26" s="10" t="s">
        <v>55</v>
      </c>
      <c r="NL26" s="10" t="s">
        <v>56</v>
      </c>
      <c r="NM26" s="4" t="s">
        <v>55</v>
      </c>
      <c r="NN26" s="10" t="s">
        <v>56</v>
      </c>
      <c r="NO26" s="4" t="s">
        <v>55</v>
      </c>
      <c r="NP26" s="10" t="s">
        <v>56</v>
      </c>
      <c r="NQ26" s="4" t="s">
        <v>55</v>
      </c>
      <c r="NR26" s="10">
        <f>(1.5*1000)/E26</f>
        <v>14.546159813809155</v>
      </c>
      <c r="NS26" s="10">
        <f>(0.7*1000)/E26</f>
        <v>6.7882079131109387</v>
      </c>
      <c r="NT26" s="10">
        <f>(63*1000)/E26</f>
        <v>610.93871217998446</v>
      </c>
      <c r="NU26" s="10">
        <f>(11*1000)/E26</f>
        <v>106.67183863460046</v>
      </c>
    </row>
    <row r="27" spans="1:385" x14ac:dyDescent="0.2">
      <c r="A27" t="s">
        <v>64</v>
      </c>
      <c r="B27" s="1" t="s">
        <v>1037</v>
      </c>
      <c r="C27" s="1" t="s">
        <v>859</v>
      </c>
      <c r="D27" s="39" cm="1">
        <f t="array" ref="D27">SUMPRODUCT((ISNUMBER(F27:NU27))*(MOD(COLUMN(F27:NU27),2)=0))</f>
        <v>3</v>
      </c>
      <c r="E27" s="1">
        <v>103.12</v>
      </c>
      <c r="F27" s="9" t="s">
        <v>56</v>
      </c>
      <c r="G27" s="9" t="s">
        <v>55</v>
      </c>
      <c r="H27" s="9" t="s">
        <v>56</v>
      </c>
      <c r="I27" s="9" t="s">
        <v>55</v>
      </c>
      <c r="J27" s="9" t="s">
        <v>56</v>
      </c>
      <c r="K27" s="9" t="s">
        <v>55</v>
      </c>
      <c r="L27" s="9" t="s">
        <v>56</v>
      </c>
      <c r="M27" s="9" t="s">
        <v>55</v>
      </c>
      <c r="N27" s="9" t="s">
        <v>56</v>
      </c>
      <c r="O27" s="9" t="s">
        <v>55</v>
      </c>
      <c r="P27" s="9" t="s">
        <v>56</v>
      </c>
      <c r="Q27" s="9" t="s">
        <v>55</v>
      </c>
      <c r="R27" s="9" t="s">
        <v>56</v>
      </c>
      <c r="S27" s="9" t="s">
        <v>55</v>
      </c>
      <c r="T27" s="9" t="s">
        <v>56</v>
      </c>
      <c r="U27" s="9" t="s">
        <v>55</v>
      </c>
      <c r="V27" s="9" t="s">
        <v>56</v>
      </c>
      <c r="W27" s="9" t="s">
        <v>55</v>
      </c>
      <c r="X27" s="9" t="s">
        <v>56</v>
      </c>
      <c r="Y27" s="9" t="s">
        <v>55</v>
      </c>
      <c r="Z27" s="9" t="s">
        <v>56</v>
      </c>
      <c r="AA27" s="9" t="s">
        <v>55</v>
      </c>
      <c r="AB27" s="9" t="s">
        <v>56</v>
      </c>
      <c r="AC27" s="9" t="s">
        <v>55</v>
      </c>
      <c r="AD27" s="9" t="s">
        <v>56</v>
      </c>
      <c r="AE27" s="9" t="s">
        <v>55</v>
      </c>
      <c r="AF27" s="9" t="s">
        <v>56</v>
      </c>
      <c r="AG27" s="9" t="s">
        <v>55</v>
      </c>
      <c r="AH27" s="9" t="s">
        <v>56</v>
      </c>
      <c r="AI27" s="9" t="s">
        <v>55</v>
      </c>
      <c r="AJ27" s="9" t="s">
        <v>56</v>
      </c>
      <c r="AK27" s="9" t="s">
        <v>55</v>
      </c>
      <c r="AL27" s="9" t="s">
        <v>56</v>
      </c>
      <c r="AM27" s="1" t="s">
        <v>55</v>
      </c>
      <c r="AN27" s="9" t="s">
        <v>56</v>
      </c>
      <c r="AO27" s="11" t="s">
        <v>55</v>
      </c>
      <c r="AP27" s="9" t="s">
        <v>56</v>
      </c>
      <c r="AQ27" s="11" t="s">
        <v>55</v>
      </c>
      <c r="AR27" s="10">
        <f>541/E27</f>
        <v>5.2463149728471681</v>
      </c>
      <c r="AS27" s="10">
        <f>142/E27</f>
        <v>1.3770364623739333</v>
      </c>
      <c r="AT27" s="9" t="s">
        <v>56</v>
      </c>
      <c r="AU27" s="11" t="s">
        <v>55</v>
      </c>
      <c r="AV27" s="9" t="s">
        <v>56</v>
      </c>
      <c r="AW27" s="11" t="s">
        <v>55</v>
      </c>
      <c r="AX27" s="9" t="s">
        <v>56</v>
      </c>
      <c r="AY27" s="11" t="s">
        <v>55</v>
      </c>
      <c r="AZ27" s="9" t="s">
        <v>56</v>
      </c>
      <c r="BA27" s="11" t="s">
        <v>55</v>
      </c>
      <c r="BB27" s="9" t="s">
        <v>56</v>
      </c>
      <c r="BC27" s="11" t="s">
        <v>55</v>
      </c>
      <c r="BD27" s="9" t="s">
        <v>56</v>
      </c>
      <c r="BE27" s="1" t="s">
        <v>55</v>
      </c>
      <c r="BF27" s="9" t="s">
        <v>56</v>
      </c>
      <c r="BG27" s="1" t="s">
        <v>55</v>
      </c>
      <c r="BH27" s="9" t="s">
        <v>56</v>
      </c>
      <c r="BI27" s="1" t="s">
        <v>55</v>
      </c>
      <c r="BJ27" s="9" t="s">
        <v>56</v>
      </c>
      <c r="BK27" s="1" t="s">
        <v>55</v>
      </c>
      <c r="BL27" s="9" t="s">
        <v>56</v>
      </c>
      <c r="BM27" s="1" t="s">
        <v>55</v>
      </c>
      <c r="BN27" s="9" t="s">
        <v>56</v>
      </c>
      <c r="BO27" s="1" t="s">
        <v>55</v>
      </c>
      <c r="BP27" s="9" t="s">
        <v>56</v>
      </c>
      <c r="BQ27" s="1" t="s">
        <v>55</v>
      </c>
      <c r="BR27" s="9" t="s">
        <v>56</v>
      </c>
      <c r="BS27" s="1" t="s">
        <v>55</v>
      </c>
      <c r="BT27" s="9" t="s">
        <v>56</v>
      </c>
      <c r="BU27" s="1" t="s">
        <v>55</v>
      </c>
      <c r="BV27" s="9" t="s">
        <v>56</v>
      </c>
      <c r="BW27" s="1" t="s">
        <v>55</v>
      </c>
      <c r="BX27" s="9" t="s">
        <v>56</v>
      </c>
      <c r="BY27" s="1" t="s">
        <v>55</v>
      </c>
      <c r="BZ27" s="9" t="s">
        <v>56</v>
      </c>
      <c r="CA27" s="1" t="s">
        <v>55</v>
      </c>
      <c r="CB27" s="9" t="s">
        <v>56</v>
      </c>
      <c r="CC27" s="1" t="s">
        <v>55</v>
      </c>
      <c r="CD27" s="9" t="s">
        <v>56</v>
      </c>
      <c r="CE27" s="1" t="s">
        <v>55</v>
      </c>
      <c r="CF27" s="9" t="s">
        <v>56</v>
      </c>
      <c r="CG27" s="1" t="s">
        <v>55</v>
      </c>
      <c r="CH27" s="9" t="s">
        <v>56</v>
      </c>
      <c r="CI27" s="1" t="s">
        <v>55</v>
      </c>
      <c r="CJ27" s="9" t="s">
        <v>56</v>
      </c>
      <c r="CK27" s="1" t="s">
        <v>55</v>
      </c>
      <c r="CL27" s="9" t="s">
        <v>56</v>
      </c>
      <c r="CM27" s="1" t="s">
        <v>55</v>
      </c>
      <c r="CN27" s="9" t="s">
        <v>56</v>
      </c>
      <c r="CO27" s="1" t="s">
        <v>55</v>
      </c>
      <c r="CP27" s="9" t="s">
        <v>56</v>
      </c>
      <c r="CQ27" s="1" t="s">
        <v>55</v>
      </c>
      <c r="CR27" s="9" t="s">
        <v>56</v>
      </c>
      <c r="CS27" s="1" t="s">
        <v>55</v>
      </c>
      <c r="CT27" s="9" t="s">
        <v>56</v>
      </c>
      <c r="CU27" s="1" t="s">
        <v>55</v>
      </c>
      <c r="CV27" s="9" t="s">
        <v>56</v>
      </c>
      <c r="CW27" s="1" t="s">
        <v>55</v>
      </c>
      <c r="CX27" s="9" t="s">
        <v>56</v>
      </c>
      <c r="CY27" s="1" t="s">
        <v>55</v>
      </c>
      <c r="CZ27" s="9" t="s">
        <v>56</v>
      </c>
      <c r="DA27" s="1" t="s">
        <v>55</v>
      </c>
      <c r="DB27" s="9" t="s">
        <v>56</v>
      </c>
      <c r="DC27" s="1" t="s">
        <v>55</v>
      </c>
      <c r="DD27" s="10" t="s">
        <v>56</v>
      </c>
      <c r="DE27" s="10" t="s">
        <v>55</v>
      </c>
      <c r="DF27" s="10" t="s">
        <v>56</v>
      </c>
      <c r="DG27" s="10" t="s">
        <v>55</v>
      </c>
      <c r="DH27" s="10" t="s">
        <v>56</v>
      </c>
      <c r="DI27" s="10" t="s">
        <v>55</v>
      </c>
      <c r="DJ27" s="10" t="s">
        <v>56</v>
      </c>
      <c r="DK27" s="10" t="s">
        <v>55</v>
      </c>
      <c r="DL27" s="10" t="s">
        <v>56</v>
      </c>
      <c r="DM27" s="10" t="s">
        <v>55</v>
      </c>
      <c r="DN27" s="11" t="s">
        <v>56</v>
      </c>
      <c r="DO27" s="11" t="s">
        <v>55</v>
      </c>
      <c r="DP27" s="11" t="s">
        <v>56</v>
      </c>
      <c r="DQ27" s="11" t="s">
        <v>55</v>
      </c>
      <c r="DR27" s="11" t="s">
        <v>56</v>
      </c>
      <c r="DS27" s="11" t="s">
        <v>55</v>
      </c>
      <c r="DT27" s="11" t="s">
        <v>56</v>
      </c>
      <c r="DU27" s="11" t="s">
        <v>55</v>
      </c>
      <c r="DV27" s="11" t="s">
        <v>56</v>
      </c>
      <c r="DW27" s="11" t="s">
        <v>55</v>
      </c>
      <c r="DX27" s="11" t="s">
        <v>56</v>
      </c>
      <c r="DY27" s="11" t="s">
        <v>55</v>
      </c>
      <c r="DZ27" s="11" t="s">
        <v>56</v>
      </c>
      <c r="EA27" s="11" t="s">
        <v>55</v>
      </c>
      <c r="EB27" s="11" t="s">
        <v>56</v>
      </c>
      <c r="EC27" s="11" t="s">
        <v>55</v>
      </c>
      <c r="ED27" s="11" t="s">
        <v>56</v>
      </c>
      <c r="EE27" s="11" t="s">
        <v>55</v>
      </c>
      <c r="EF27" s="11" t="s">
        <v>56</v>
      </c>
      <c r="EG27" s="11" t="s">
        <v>55</v>
      </c>
      <c r="EH27" s="11" t="s">
        <v>56</v>
      </c>
      <c r="EI27" s="11" t="s">
        <v>55</v>
      </c>
      <c r="EJ27" s="11" t="s">
        <v>56</v>
      </c>
      <c r="EK27" s="11" t="s">
        <v>55</v>
      </c>
      <c r="EL27" s="11" t="s">
        <v>56</v>
      </c>
      <c r="EM27" s="11" t="s">
        <v>55</v>
      </c>
      <c r="EN27" s="10" t="s">
        <v>56</v>
      </c>
      <c r="EO27" s="10" t="s">
        <v>55</v>
      </c>
      <c r="EP27" s="10" t="s">
        <v>56</v>
      </c>
      <c r="EQ27" s="10" t="s">
        <v>55</v>
      </c>
      <c r="ER27" s="10" t="s">
        <v>56</v>
      </c>
      <c r="ES27" s="10" t="s">
        <v>55</v>
      </c>
      <c r="ET27" s="10" t="s">
        <v>56</v>
      </c>
      <c r="EU27" s="10" t="s">
        <v>55</v>
      </c>
      <c r="EV27" s="10" t="s">
        <v>56</v>
      </c>
      <c r="EW27" s="10" t="s">
        <v>55</v>
      </c>
      <c r="EX27" s="10" t="s">
        <v>56</v>
      </c>
      <c r="EY27" s="10" t="s">
        <v>55</v>
      </c>
      <c r="EZ27" s="10" t="s">
        <v>56</v>
      </c>
      <c r="FA27" s="10" t="s">
        <v>55</v>
      </c>
      <c r="FB27" s="10" t="s">
        <v>56</v>
      </c>
      <c r="FC27" s="10" t="s">
        <v>55</v>
      </c>
      <c r="FD27" s="10" t="s">
        <v>56</v>
      </c>
      <c r="FE27" s="10" t="s">
        <v>55</v>
      </c>
      <c r="FF27" s="10" t="s">
        <v>56</v>
      </c>
      <c r="FG27" s="10" t="s">
        <v>55</v>
      </c>
      <c r="FH27" s="10" t="s">
        <v>56</v>
      </c>
      <c r="FI27" s="10" t="s">
        <v>55</v>
      </c>
      <c r="FJ27" s="10" t="s">
        <v>56</v>
      </c>
      <c r="FK27" s="10" t="s">
        <v>55</v>
      </c>
      <c r="FL27" s="10" t="s">
        <v>56</v>
      </c>
      <c r="FM27" s="10" t="s">
        <v>55</v>
      </c>
      <c r="FN27" s="10" t="s">
        <v>56</v>
      </c>
      <c r="FO27" s="10" t="s">
        <v>55</v>
      </c>
      <c r="FP27" s="10" t="s">
        <v>56</v>
      </c>
      <c r="FQ27" s="10" t="s">
        <v>55</v>
      </c>
      <c r="FR27" s="10" t="s">
        <v>56</v>
      </c>
      <c r="FS27" s="10" t="s">
        <v>55</v>
      </c>
      <c r="FT27" s="10" t="s">
        <v>56</v>
      </c>
      <c r="FU27" s="10" t="s">
        <v>55</v>
      </c>
      <c r="FV27" s="10" t="s">
        <v>56</v>
      </c>
      <c r="FW27" s="10" t="s">
        <v>55</v>
      </c>
      <c r="FX27" s="10" t="s">
        <v>56</v>
      </c>
      <c r="FY27" s="10" t="s">
        <v>55</v>
      </c>
      <c r="FZ27" s="10" t="s">
        <v>56</v>
      </c>
      <c r="GA27" s="10" t="s">
        <v>55</v>
      </c>
      <c r="GB27" s="10" t="s">
        <v>56</v>
      </c>
      <c r="GC27" s="10" t="s">
        <v>55</v>
      </c>
      <c r="GD27" s="10" t="s">
        <v>56</v>
      </c>
      <c r="GE27" s="10" t="s">
        <v>55</v>
      </c>
      <c r="GF27" s="10" t="s">
        <v>56</v>
      </c>
      <c r="GG27" s="10" t="s">
        <v>55</v>
      </c>
      <c r="GH27" s="10" t="s">
        <v>56</v>
      </c>
      <c r="GI27" s="10" t="s">
        <v>55</v>
      </c>
      <c r="GJ27" s="10" t="s">
        <v>56</v>
      </c>
      <c r="GK27" s="10" t="s">
        <v>55</v>
      </c>
      <c r="GL27" s="10" t="s">
        <v>56</v>
      </c>
      <c r="GM27" s="10" t="s">
        <v>55</v>
      </c>
      <c r="GN27" s="10" t="s">
        <v>56</v>
      </c>
      <c r="GO27" s="10" t="s">
        <v>55</v>
      </c>
      <c r="GP27" s="10" t="s">
        <v>56</v>
      </c>
      <c r="GQ27" s="10" t="s">
        <v>55</v>
      </c>
      <c r="GR27" s="10" t="s">
        <v>56</v>
      </c>
      <c r="GS27" s="10" t="s">
        <v>55</v>
      </c>
      <c r="GT27" s="10" t="s">
        <v>56</v>
      </c>
      <c r="GU27" s="10" t="s">
        <v>55</v>
      </c>
      <c r="GV27" s="17" t="s">
        <v>56</v>
      </c>
      <c r="GW27" s="17" t="s">
        <v>55</v>
      </c>
      <c r="GX27" s="10" t="s">
        <v>56</v>
      </c>
      <c r="GY27" s="10" t="s">
        <v>55</v>
      </c>
      <c r="GZ27" s="10" t="s">
        <v>56</v>
      </c>
      <c r="HA27" s="10" t="s">
        <v>55</v>
      </c>
      <c r="HB27" s="10" t="s">
        <v>56</v>
      </c>
      <c r="HC27" s="10" t="s">
        <v>55</v>
      </c>
      <c r="HD27" s="10" t="s">
        <v>56</v>
      </c>
      <c r="HE27" s="10" t="s">
        <v>55</v>
      </c>
      <c r="HF27" s="10" t="s">
        <v>56</v>
      </c>
      <c r="HG27" s="10" t="s">
        <v>55</v>
      </c>
      <c r="HH27" s="10" t="s">
        <v>56</v>
      </c>
      <c r="HI27" s="10" t="s">
        <v>55</v>
      </c>
      <c r="HJ27" s="10" t="s">
        <v>56</v>
      </c>
      <c r="HK27" s="10" t="s">
        <v>55</v>
      </c>
      <c r="HL27" s="10" t="s">
        <v>56</v>
      </c>
      <c r="HM27" s="10" t="s">
        <v>55</v>
      </c>
      <c r="HN27" s="10" t="s">
        <v>56</v>
      </c>
      <c r="HO27" s="10" t="s">
        <v>55</v>
      </c>
      <c r="HP27" s="10" t="s">
        <v>56</v>
      </c>
      <c r="HQ27" s="10" t="s">
        <v>55</v>
      </c>
      <c r="HR27" s="10" t="s">
        <v>56</v>
      </c>
      <c r="HS27" s="10" t="s">
        <v>55</v>
      </c>
      <c r="HT27" s="10" t="s">
        <v>56</v>
      </c>
      <c r="HU27" s="10" t="s">
        <v>55</v>
      </c>
      <c r="HV27" s="10" t="s">
        <v>56</v>
      </c>
      <c r="HW27" s="10" t="s">
        <v>55</v>
      </c>
      <c r="HX27" s="10" t="s">
        <v>56</v>
      </c>
      <c r="HY27" s="10" t="s">
        <v>55</v>
      </c>
      <c r="HZ27" s="10" t="s">
        <v>56</v>
      </c>
      <c r="IA27" s="10" t="s">
        <v>55</v>
      </c>
      <c r="IB27" s="10" t="s">
        <v>56</v>
      </c>
      <c r="IC27" s="10" t="s">
        <v>55</v>
      </c>
      <c r="ID27" s="10" t="s">
        <v>56</v>
      </c>
      <c r="IE27" s="10" t="s">
        <v>55</v>
      </c>
      <c r="IF27" s="10" t="s">
        <v>56</v>
      </c>
      <c r="IG27" s="10" t="s">
        <v>55</v>
      </c>
      <c r="IH27" s="4" t="s">
        <v>56</v>
      </c>
      <c r="II27" s="4" t="s">
        <v>55</v>
      </c>
      <c r="IJ27" s="4" t="s">
        <v>56</v>
      </c>
      <c r="IK27" s="4" t="s">
        <v>55</v>
      </c>
      <c r="IL27" s="4" t="s">
        <v>56</v>
      </c>
      <c r="IM27" s="4" t="s">
        <v>55</v>
      </c>
      <c r="IN27" s="4" t="s">
        <v>56</v>
      </c>
      <c r="IO27" s="4" t="s">
        <v>55</v>
      </c>
      <c r="IP27" s="4" t="s">
        <v>56</v>
      </c>
      <c r="IQ27" s="4" t="s">
        <v>55</v>
      </c>
      <c r="IR27" s="4" t="s">
        <v>56</v>
      </c>
      <c r="IS27" s="4" t="s">
        <v>55</v>
      </c>
      <c r="IT27" s="11" t="s">
        <v>56</v>
      </c>
      <c r="IU27" s="4" t="s">
        <v>55</v>
      </c>
      <c r="IV27" s="4" t="s">
        <v>556</v>
      </c>
      <c r="IW27" s="4" t="s">
        <v>55</v>
      </c>
      <c r="IX27" s="4" t="s">
        <v>56</v>
      </c>
      <c r="IY27" s="4" t="s">
        <v>55</v>
      </c>
      <c r="IZ27" s="4" t="s">
        <v>56</v>
      </c>
      <c r="JA27" s="4" t="s">
        <v>55</v>
      </c>
      <c r="JB27" s="4" t="s">
        <v>56</v>
      </c>
      <c r="JC27" s="4" t="s">
        <v>55</v>
      </c>
      <c r="JD27" s="4" t="s">
        <v>56</v>
      </c>
      <c r="JE27" s="4" t="s">
        <v>55</v>
      </c>
      <c r="JF27" s="4" t="s">
        <v>56</v>
      </c>
      <c r="JG27" s="4" t="s">
        <v>55</v>
      </c>
      <c r="JH27" s="4" t="s">
        <v>56</v>
      </c>
      <c r="JI27" s="4" t="s">
        <v>55</v>
      </c>
      <c r="JJ27" s="4" t="s">
        <v>56</v>
      </c>
      <c r="JK27" s="4" t="s">
        <v>55</v>
      </c>
      <c r="JL27" s="4" t="s">
        <v>56</v>
      </c>
      <c r="JM27" s="4" t="s">
        <v>55</v>
      </c>
      <c r="JN27" s="4" t="s">
        <v>56</v>
      </c>
      <c r="JO27" s="4" t="s">
        <v>55</v>
      </c>
      <c r="JP27" s="4" t="s">
        <v>56</v>
      </c>
      <c r="JQ27" s="4" t="s">
        <v>55</v>
      </c>
      <c r="JR27" s="4" t="s">
        <v>56</v>
      </c>
      <c r="JS27" s="4" t="s">
        <v>55</v>
      </c>
      <c r="JT27" s="4" t="s">
        <v>56</v>
      </c>
      <c r="JU27" s="4" t="s">
        <v>55</v>
      </c>
      <c r="JV27" s="4" t="s">
        <v>56</v>
      </c>
      <c r="JW27" s="4" t="s">
        <v>55</v>
      </c>
      <c r="JX27" s="26" t="s">
        <v>56</v>
      </c>
      <c r="JY27" s="26" t="s">
        <v>55</v>
      </c>
      <c r="JZ27" s="26" t="s">
        <v>56</v>
      </c>
      <c r="KA27" s="26" t="s">
        <v>55</v>
      </c>
      <c r="KB27" s="26" t="s">
        <v>56</v>
      </c>
      <c r="KC27" s="26" t="s">
        <v>55</v>
      </c>
      <c r="KD27" s="26" t="s">
        <v>56</v>
      </c>
      <c r="KE27" s="26" t="s">
        <v>55</v>
      </c>
      <c r="KF27" s="26" t="s">
        <v>56</v>
      </c>
      <c r="KG27" s="26" t="s">
        <v>55</v>
      </c>
      <c r="KH27" s="4" t="s">
        <v>56</v>
      </c>
      <c r="KI27" s="4" t="s">
        <v>55</v>
      </c>
      <c r="KJ27" s="4" t="s">
        <v>56</v>
      </c>
      <c r="KK27" s="4" t="s">
        <v>55</v>
      </c>
      <c r="KL27" s="4" t="s">
        <v>56</v>
      </c>
      <c r="KM27" s="4" t="s">
        <v>55</v>
      </c>
      <c r="KN27" s="4" t="s">
        <v>56</v>
      </c>
      <c r="KO27" s="4" t="s">
        <v>55</v>
      </c>
      <c r="KP27" s="4" t="s">
        <v>56</v>
      </c>
      <c r="KQ27" s="4" t="s">
        <v>55</v>
      </c>
      <c r="KR27" s="17" t="s">
        <v>56</v>
      </c>
      <c r="KS27" s="17" t="s">
        <v>55</v>
      </c>
      <c r="KT27" s="17" t="s">
        <v>56</v>
      </c>
      <c r="KU27" s="17" t="s">
        <v>55</v>
      </c>
      <c r="KV27" s="4" t="s">
        <v>56</v>
      </c>
      <c r="KW27" s="4" t="s">
        <v>55</v>
      </c>
      <c r="KX27" s="4" t="s">
        <v>56</v>
      </c>
      <c r="KY27" s="4" t="s">
        <v>55</v>
      </c>
      <c r="KZ27" s="4" t="s">
        <v>56</v>
      </c>
      <c r="LA27" s="4" t="s">
        <v>55</v>
      </c>
      <c r="LB27" s="10" t="s">
        <v>56</v>
      </c>
      <c r="LC27" s="10" t="s">
        <v>55</v>
      </c>
      <c r="LD27" s="10" t="s">
        <v>56</v>
      </c>
      <c r="LE27" s="10" t="s">
        <v>55</v>
      </c>
      <c r="LF27" s="10" t="s">
        <v>56</v>
      </c>
      <c r="LG27" s="10" t="s">
        <v>55</v>
      </c>
      <c r="LH27" s="10" t="s">
        <v>56</v>
      </c>
      <c r="LI27" s="10" t="s">
        <v>55</v>
      </c>
      <c r="LJ27" s="10" t="s">
        <v>56</v>
      </c>
      <c r="LK27" s="10" t="s">
        <v>162</v>
      </c>
      <c r="LL27" s="10" t="s">
        <v>56</v>
      </c>
      <c r="LM27" s="10" t="s">
        <v>162</v>
      </c>
      <c r="LN27" s="10" t="s">
        <v>56</v>
      </c>
      <c r="LO27" s="10" t="s">
        <v>162</v>
      </c>
      <c r="LP27" s="10" t="s">
        <v>56</v>
      </c>
      <c r="LQ27" s="10" t="s">
        <v>162</v>
      </c>
      <c r="LR27" s="10" t="s">
        <v>56</v>
      </c>
      <c r="LS27" s="10" t="s">
        <v>162</v>
      </c>
      <c r="LT27" s="10" t="s">
        <v>56</v>
      </c>
      <c r="LU27" s="10" t="s">
        <v>162</v>
      </c>
      <c r="LV27" s="10" t="s">
        <v>56</v>
      </c>
      <c r="LW27" s="10" t="s">
        <v>55</v>
      </c>
      <c r="LX27" s="10" t="s">
        <v>56</v>
      </c>
      <c r="LY27" s="10" t="s">
        <v>55</v>
      </c>
      <c r="LZ27" s="10" t="s">
        <v>56</v>
      </c>
      <c r="MA27" s="10" t="s">
        <v>55</v>
      </c>
      <c r="MB27" s="10" t="s">
        <v>56</v>
      </c>
      <c r="MC27" s="10" t="s">
        <v>55</v>
      </c>
      <c r="MD27" s="17" t="s">
        <v>56</v>
      </c>
      <c r="ME27" s="4" t="s">
        <v>55</v>
      </c>
      <c r="MF27" s="17" t="s">
        <v>56</v>
      </c>
      <c r="MG27" s="4" t="s">
        <v>55</v>
      </c>
      <c r="MH27" s="17" t="s">
        <v>56</v>
      </c>
      <c r="MI27" s="4" t="s">
        <v>55</v>
      </c>
      <c r="MJ27" s="17" t="s">
        <v>56</v>
      </c>
      <c r="MK27" s="4" t="s">
        <v>55</v>
      </c>
      <c r="ML27" s="17" t="s">
        <v>56</v>
      </c>
      <c r="MM27" s="4" t="s">
        <v>55</v>
      </c>
      <c r="MN27" s="17" t="s">
        <v>56</v>
      </c>
      <c r="MO27" s="4" t="s">
        <v>55</v>
      </c>
      <c r="MP27" s="17" t="s">
        <v>56</v>
      </c>
      <c r="MQ27" s="4" t="s">
        <v>55</v>
      </c>
      <c r="MR27" s="17" t="s">
        <v>56</v>
      </c>
      <c r="MS27" s="4" t="s">
        <v>55</v>
      </c>
      <c r="MT27" s="17" t="s">
        <v>56</v>
      </c>
      <c r="MU27" s="4" t="s">
        <v>55</v>
      </c>
      <c r="MV27" s="17" t="s">
        <v>56</v>
      </c>
      <c r="MW27" s="4" t="s">
        <v>55</v>
      </c>
      <c r="MX27" s="17" t="s">
        <v>56</v>
      </c>
      <c r="MY27" s="4" t="s">
        <v>55</v>
      </c>
      <c r="MZ27" s="17" t="s">
        <v>56</v>
      </c>
      <c r="NA27" s="4" t="s">
        <v>55</v>
      </c>
      <c r="NB27" s="10" t="s">
        <v>56</v>
      </c>
      <c r="NC27" s="10" t="s">
        <v>55</v>
      </c>
      <c r="ND27" s="10" t="s">
        <v>56</v>
      </c>
      <c r="NE27" s="10" t="s">
        <v>55</v>
      </c>
      <c r="NF27" s="10" t="s">
        <v>56</v>
      </c>
      <c r="NG27" s="10" t="s">
        <v>55</v>
      </c>
      <c r="NH27" s="10" t="s">
        <v>56</v>
      </c>
      <c r="NI27" s="10" t="s">
        <v>55</v>
      </c>
      <c r="NJ27" s="10" t="s">
        <v>56</v>
      </c>
      <c r="NK27" s="10" t="s">
        <v>55</v>
      </c>
      <c r="NL27" s="10" t="s">
        <v>56</v>
      </c>
      <c r="NM27" s="4" t="s">
        <v>55</v>
      </c>
      <c r="NN27" s="10" t="s">
        <v>56</v>
      </c>
      <c r="NO27" s="4" t="s">
        <v>55</v>
      </c>
      <c r="NP27" s="10" t="s">
        <v>56</v>
      </c>
      <c r="NQ27" s="4" t="s">
        <v>55</v>
      </c>
      <c r="NR27" s="10">
        <f>(2.9*1000)/E27</f>
        <v>28.12257564003103</v>
      </c>
      <c r="NS27" s="10">
        <f>(0.9*1000)/E27</f>
        <v>8.727695888285492</v>
      </c>
      <c r="NT27" s="10">
        <f>(62*1000)/E27</f>
        <v>601.2412723041117</v>
      </c>
      <c r="NU27" s="10">
        <f>(10*1000)/E27</f>
        <v>96.974398758727688</v>
      </c>
    </row>
    <row r="28" spans="1:385" x14ac:dyDescent="0.2">
      <c r="A28" t="s">
        <v>1041</v>
      </c>
      <c r="B28" s="1" t="s">
        <v>1037</v>
      </c>
      <c r="C28" s="1" t="s">
        <v>843</v>
      </c>
      <c r="D28" s="39" cm="1">
        <f t="array" ref="D28">SUMPRODUCT((ISNUMBER(F28:NU28))*(MOD(COLUMN(F28:NU28),2)=0))</f>
        <v>60</v>
      </c>
      <c r="E28" s="1">
        <v>103.12</v>
      </c>
      <c r="F28" s="4">
        <v>1.8E-3</v>
      </c>
      <c r="G28" s="4" t="s">
        <v>58</v>
      </c>
      <c r="H28" s="4" t="s">
        <v>54</v>
      </c>
      <c r="I28" s="4" t="s">
        <v>55</v>
      </c>
      <c r="J28" s="4">
        <v>2.3E-3</v>
      </c>
      <c r="K28" s="4">
        <v>2.9999999999999997E-4</v>
      </c>
      <c r="L28" s="4">
        <v>1.6000000000000001E-3</v>
      </c>
      <c r="M28" s="4" t="s">
        <v>58</v>
      </c>
      <c r="N28" s="4">
        <v>3.0000000000000001E-3</v>
      </c>
      <c r="O28" s="4">
        <v>2.9999999999999997E-4</v>
      </c>
      <c r="P28" s="9" t="s">
        <v>56</v>
      </c>
      <c r="Q28" s="9" t="s">
        <v>55</v>
      </c>
      <c r="R28" s="4">
        <v>0.44</v>
      </c>
      <c r="S28" s="4">
        <v>0.12</v>
      </c>
      <c r="T28" s="4">
        <v>0.63</v>
      </c>
      <c r="U28" s="4">
        <v>0.08</v>
      </c>
      <c r="V28" s="4">
        <v>107</v>
      </c>
      <c r="W28" s="4">
        <v>11</v>
      </c>
      <c r="X28" s="4" t="s">
        <v>56</v>
      </c>
      <c r="Y28" s="4" t="s">
        <v>55</v>
      </c>
      <c r="Z28" s="9" t="s">
        <v>56</v>
      </c>
      <c r="AA28" s="9" t="s">
        <v>55</v>
      </c>
      <c r="AB28" s="4">
        <v>202</v>
      </c>
      <c r="AC28" s="4">
        <v>55</v>
      </c>
      <c r="AD28" s="4">
        <v>32</v>
      </c>
      <c r="AE28" s="4">
        <v>6.2</v>
      </c>
      <c r="AF28" s="11">
        <v>0.223</v>
      </c>
      <c r="AG28" s="11">
        <v>3.9E-2</v>
      </c>
      <c r="AH28" s="11">
        <v>3.9E-2</v>
      </c>
      <c r="AI28" s="11">
        <v>0.01</v>
      </c>
      <c r="AJ28" s="11">
        <v>6.032</v>
      </c>
      <c r="AK28" s="11">
        <v>1.2410000000000001</v>
      </c>
      <c r="AL28" s="4">
        <v>2</v>
      </c>
      <c r="AM28" s="4">
        <v>0.4</v>
      </c>
      <c r="AN28" s="11">
        <v>2.4</v>
      </c>
      <c r="AO28" s="11">
        <v>0.3</v>
      </c>
      <c r="AP28" s="11">
        <v>7.2</v>
      </c>
      <c r="AQ28" s="11">
        <v>0.6</v>
      </c>
      <c r="AR28" s="10" t="s">
        <v>56</v>
      </c>
      <c r="AS28" s="10" t="s">
        <v>55</v>
      </c>
      <c r="AT28" s="11">
        <v>3.9079999999999999</v>
      </c>
      <c r="AU28" s="11">
        <v>1.5129999999999999</v>
      </c>
      <c r="AV28" s="11">
        <v>4.18</v>
      </c>
      <c r="AW28" s="11">
        <v>1.542</v>
      </c>
      <c r="AX28" s="11">
        <v>8.6890000000000001</v>
      </c>
      <c r="AY28" s="11">
        <v>2.9089999999999998</v>
      </c>
      <c r="AZ28" s="4">
        <v>16</v>
      </c>
      <c r="BA28" s="4">
        <v>2</v>
      </c>
      <c r="BB28" s="4" t="s">
        <v>91</v>
      </c>
      <c r="BC28" s="4" t="s">
        <v>55</v>
      </c>
      <c r="BD28" s="4">
        <v>2.2000000000000002</v>
      </c>
      <c r="BE28" s="1" t="s">
        <v>55</v>
      </c>
      <c r="BF28" s="4" t="s">
        <v>88</v>
      </c>
      <c r="BG28" s="4" t="s">
        <v>55</v>
      </c>
      <c r="BH28" s="4">
        <v>0.01</v>
      </c>
      <c r="BI28" s="4">
        <v>0.01</v>
      </c>
      <c r="BJ28" s="4">
        <v>0.21</v>
      </c>
      <c r="BK28" s="4">
        <v>0.16</v>
      </c>
      <c r="BL28" s="4">
        <v>1.17</v>
      </c>
      <c r="BM28" s="4">
        <v>0.04</v>
      </c>
      <c r="BN28" s="4">
        <v>1.8</v>
      </c>
      <c r="BO28" s="4">
        <v>0.3</v>
      </c>
      <c r="BP28" s="4">
        <v>2.9</v>
      </c>
      <c r="BQ28" s="4">
        <v>0.4</v>
      </c>
      <c r="BR28" s="11">
        <v>0.68899999999999995</v>
      </c>
      <c r="BS28" s="11">
        <v>0.47499999999999998</v>
      </c>
      <c r="BT28" s="4">
        <v>0.4</v>
      </c>
      <c r="BU28" s="4">
        <v>0.02</v>
      </c>
      <c r="BV28" s="4" t="s">
        <v>91</v>
      </c>
      <c r="BW28" s="4" t="s">
        <v>55</v>
      </c>
      <c r="BX28" s="4">
        <v>0.01</v>
      </c>
      <c r="BY28" s="4" t="s">
        <v>55</v>
      </c>
      <c r="BZ28" s="10" t="s">
        <v>229</v>
      </c>
      <c r="CA28" s="10" t="s">
        <v>55</v>
      </c>
      <c r="CB28" s="10" t="s">
        <v>152</v>
      </c>
      <c r="CC28" s="10" t="s">
        <v>55</v>
      </c>
      <c r="CD28" s="10">
        <v>3.8999999999999998E-3</v>
      </c>
      <c r="CE28" s="10">
        <v>1.9E-3</v>
      </c>
      <c r="CF28" s="10">
        <v>4.7999999999999996E-3</v>
      </c>
      <c r="CG28" s="10">
        <v>2.8999999999999998E-3</v>
      </c>
      <c r="CH28" s="10">
        <v>3.8999999999999998E-3</v>
      </c>
      <c r="CI28" s="10">
        <v>1.9E-3</v>
      </c>
      <c r="CJ28" s="10">
        <v>4.8500000000000001E-2</v>
      </c>
      <c r="CK28" s="10">
        <v>4.7999999999999996E-3</v>
      </c>
      <c r="CL28" s="10">
        <v>6.7999999999999996E-3</v>
      </c>
      <c r="CM28" s="10">
        <v>4.7999999999999996E-3</v>
      </c>
      <c r="CN28" s="10">
        <v>3.8999999999999998E-3</v>
      </c>
      <c r="CO28" s="10">
        <v>2.8999999999999998E-3</v>
      </c>
      <c r="CP28" s="10">
        <v>2.8999999999999998E-3</v>
      </c>
      <c r="CQ28" s="10">
        <v>1E-3</v>
      </c>
      <c r="CR28" s="10" t="s">
        <v>229</v>
      </c>
      <c r="CS28" s="10" t="s">
        <v>55</v>
      </c>
      <c r="CT28" s="10">
        <v>3.8999999999999998E-3</v>
      </c>
      <c r="CU28" s="10">
        <v>1E-3</v>
      </c>
      <c r="CV28" s="10">
        <v>0.14549999999999999</v>
      </c>
      <c r="CW28" s="10">
        <v>2.9100000000000001E-2</v>
      </c>
      <c r="CX28" s="10" t="s">
        <v>152</v>
      </c>
      <c r="CY28" s="10" t="s">
        <v>55</v>
      </c>
      <c r="CZ28" s="10">
        <v>7.7999999999999996E-3</v>
      </c>
      <c r="DA28" s="10">
        <v>3.8999999999999998E-3</v>
      </c>
      <c r="DB28" s="10">
        <v>7.7999999999999996E-3</v>
      </c>
      <c r="DC28" s="10">
        <v>1.9E-3</v>
      </c>
      <c r="DD28" s="10" t="s">
        <v>56</v>
      </c>
      <c r="DE28" s="10" t="s">
        <v>55</v>
      </c>
      <c r="DF28" s="10" t="s">
        <v>56</v>
      </c>
      <c r="DG28" s="10" t="s">
        <v>55</v>
      </c>
      <c r="DH28" s="10">
        <v>4.5578000000000003</v>
      </c>
      <c r="DI28" s="10">
        <v>0.31030000000000002</v>
      </c>
      <c r="DJ28" s="10">
        <v>2.8801000000000001</v>
      </c>
      <c r="DK28" s="10">
        <v>0.57210000000000005</v>
      </c>
      <c r="DL28" s="10">
        <v>3.6364999999999998</v>
      </c>
      <c r="DM28" s="10">
        <v>0.50429999999999997</v>
      </c>
      <c r="DN28" s="10" t="s">
        <v>229</v>
      </c>
      <c r="DO28" s="10" t="s">
        <v>55</v>
      </c>
      <c r="DP28" s="10">
        <v>0.66910000000000003</v>
      </c>
      <c r="DQ28" s="10">
        <v>5.8200000000000002E-2</v>
      </c>
      <c r="DR28" s="10">
        <v>0.12609999999999999</v>
      </c>
      <c r="DS28" s="10">
        <v>9.7000000000000003E-3</v>
      </c>
      <c r="DT28" s="10">
        <v>3.9800000000000002E-2</v>
      </c>
      <c r="DU28" s="10">
        <v>4.7999999999999996E-3</v>
      </c>
      <c r="DV28" s="10" t="s">
        <v>229</v>
      </c>
      <c r="DW28" s="10" t="s">
        <v>55</v>
      </c>
      <c r="DX28" s="10" t="s">
        <v>229</v>
      </c>
      <c r="DY28" s="10" t="s">
        <v>55</v>
      </c>
      <c r="DZ28" s="10" t="s">
        <v>241</v>
      </c>
      <c r="EA28" s="10" t="s">
        <v>55</v>
      </c>
      <c r="EB28" s="10" t="s">
        <v>241</v>
      </c>
      <c r="EC28" s="10" t="s">
        <v>55</v>
      </c>
      <c r="ED28" s="10" t="s">
        <v>241</v>
      </c>
      <c r="EE28" s="10" t="s">
        <v>55</v>
      </c>
      <c r="EF28" s="10" t="s">
        <v>241</v>
      </c>
      <c r="EG28" s="10" t="s">
        <v>55</v>
      </c>
      <c r="EH28" s="10" t="s">
        <v>229</v>
      </c>
      <c r="EI28" s="10" t="s">
        <v>55</v>
      </c>
      <c r="EJ28" s="10" t="s">
        <v>233</v>
      </c>
      <c r="EK28" s="10" t="s">
        <v>55</v>
      </c>
      <c r="EL28" s="10" t="s">
        <v>233</v>
      </c>
      <c r="EM28" s="10" t="s">
        <v>55</v>
      </c>
      <c r="EN28" s="10" t="s">
        <v>56</v>
      </c>
      <c r="EO28" s="10" t="s">
        <v>55</v>
      </c>
      <c r="EP28" s="10" t="s">
        <v>56</v>
      </c>
      <c r="EQ28" s="10" t="s">
        <v>55</v>
      </c>
      <c r="ER28" s="10">
        <v>6.2100000000000002E-2</v>
      </c>
      <c r="ES28" s="10">
        <v>4.65E-2</v>
      </c>
      <c r="ET28" s="10">
        <v>7.0800000000000002E-2</v>
      </c>
      <c r="EU28" s="10">
        <v>3.8800000000000001E-2</v>
      </c>
      <c r="EV28" s="10" t="s">
        <v>498</v>
      </c>
      <c r="EW28" s="10" t="s">
        <v>55</v>
      </c>
      <c r="EX28" s="10" t="s">
        <v>499</v>
      </c>
      <c r="EY28" s="10" t="s">
        <v>55</v>
      </c>
      <c r="EZ28" s="10" t="s">
        <v>498</v>
      </c>
      <c r="FA28" s="10" t="s">
        <v>55</v>
      </c>
      <c r="FB28" s="10" t="s">
        <v>498</v>
      </c>
      <c r="FC28" s="10" t="s">
        <v>55</v>
      </c>
      <c r="FD28" s="10" t="s">
        <v>498</v>
      </c>
      <c r="FE28" s="10" t="s">
        <v>55</v>
      </c>
      <c r="FF28" s="10">
        <v>3.8800000000000001E-2</v>
      </c>
      <c r="FG28" s="10">
        <v>1.84E-2</v>
      </c>
      <c r="FH28" s="10">
        <v>3.3000000000000002E-2</v>
      </c>
      <c r="FI28" s="10">
        <v>1.9400000000000001E-2</v>
      </c>
      <c r="FJ28" s="10">
        <v>3.0099999999999998E-2</v>
      </c>
      <c r="FK28" s="10">
        <v>1.7500000000000002E-2</v>
      </c>
      <c r="FL28" s="10">
        <v>9.4100000000000003E-2</v>
      </c>
      <c r="FM28" s="10">
        <v>4.4600000000000001E-2</v>
      </c>
      <c r="FN28" s="10">
        <v>2.8999999999999998E-3</v>
      </c>
      <c r="FO28" s="10">
        <v>1.9E-2</v>
      </c>
      <c r="FP28" s="10">
        <v>2.23E-2</v>
      </c>
      <c r="FQ28" s="10">
        <v>1.26E-2</v>
      </c>
      <c r="FR28" s="10">
        <v>5.9200000000000003E-2</v>
      </c>
      <c r="FS28" s="10">
        <v>2.1299999999999999E-2</v>
      </c>
      <c r="FT28" s="10" t="s">
        <v>157</v>
      </c>
      <c r="FU28" s="10" t="s">
        <v>55</v>
      </c>
      <c r="FV28" s="10" t="s">
        <v>157</v>
      </c>
      <c r="FW28" s="10" t="s">
        <v>55</v>
      </c>
      <c r="FX28" s="10">
        <v>0.14000000000000001</v>
      </c>
      <c r="FY28" s="36">
        <v>0.01</v>
      </c>
      <c r="FZ28" s="10" t="s">
        <v>157</v>
      </c>
      <c r="GA28" s="10" t="s">
        <v>55</v>
      </c>
      <c r="GB28" s="10" t="s">
        <v>157</v>
      </c>
      <c r="GC28" s="10" t="s">
        <v>55</v>
      </c>
      <c r="GD28" s="10" t="s">
        <v>157</v>
      </c>
      <c r="GE28" s="10" t="s">
        <v>55</v>
      </c>
      <c r="GF28" s="10" t="s">
        <v>157</v>
      </c>
      <c r="GG28" s="10" t="s">
        <v>55</v>
      </c>
      <c r="GH28" s="10" t="s">
        <v>157</v>
      </c>
      <c r="GI28" s="10" t="s">
        <v>55</v>
      </c>
      <c r="GJ28" s="10" t="s">
        <v>157</v>
      </c>
      <c r="GK28" s="10" t="s">
        <v>55</v>
      </c>
      <c r="GL28" s="10" t="s">
        <v>157</v>
      </c>
      <c r="GM28" s="10" t="s">
        <v>55</v>
      </c>
      <c r="GN28" s="10" t="s">
        <v>157</v>
      </c>
      <c r="GO28" s="10" t="s">
        <v>55</v>
      </c>
      <c r="GP28" s="10" t="s">
        <v>157</v>
      </c>
      <c r="GQ28" s="10" t="s">
        <v>55</v>
      </c>
      <c r="GR28" s="10" t="s">
        <v>90</v>
      </c>
      <c r="GS28" s="10" t="s">
        <v>55</v>
      </c>
      <c r="GT28" s="10" t="s">
        <v>90</v>
      </c>
      <c r="GU28" s="10" t="s">
        <v>55</v>
      </c>
      <c r="GV28" s="10">
        <v>0.8</v>
      </c>
      <c r="GW28" s="10">
        <v>0.02</v>
      </c>
      <c r="GX28" s="10" t="s">
        <v>614</v>
      </c>
      <c r="GY28" s="10" t="s">
        <v>55</v>
      </c>
      <c r="GZ28" s="10" t="s">
        <v>56</v>
      </c>
      <c r="HA28" s="10" t="s">
        <v>55</v>
      </c>
      <c r="HB28" s="10" t="s">
        <v>56</v>
      </c>
      <c r="HC28" s="10" t="s">
        <v>55</v>
      </c>
      <c r="HD28" s="10" t="s">
        <v>56</v>
      </c>
      <c r="HE28" s="10" t="s">
        <v>55</v>
      </c>
      <c r="HF28" s="10" t="s">
        <v>56</v>
      </c>
      <c r="HG28" s="10" t="s">
        <v>55</v>
      </c>
      <c r="HH28" s="10" t="s">
        <v>56</v>
      </c>
      <c r="HI28" s="10" t="s">
        <v>55</v>
      </c>
      <c r="HJ28" s="10" t="s">
        <v>56</v>
      </c>
      <c r="HK28" s="10" t="s">
        <v>55</v>
      </c>
      <c r="HL28" s="10" t="s">
        <v>56</v>
      </c>
      <c r="HM28" s="10" t="s">
        <v>55</v>
      </c>
      <c r="HN28" s="10" t="s">
        <v>56</v>
      </c>
      <c r="HO28" s="10" t="s">
        <v>55</v>
      </c>
      <c r="HP28" s="10" t="s">
        <v>56</v>
      </c>
      <c r="HQ28" s="10" t="s">
        <v>55</v>
      </c>
      <c r="HR28" s="10" t="s">
        <v>56</v>
      </c>
      <c r="HS28" s="10" t="s">
        <v>55</v>
      </c>
      <c r="HT28" s="10" t="s">
        <v>56</v>
      </c>
      <c r="HU28" s="10" t="s">
        <v>55</v>
      </c>
      <c r="HV28" s="10" t="s">
        <v>56</v>
      </c>
      <c r="HW28" s="10" t="s">
        <v>55</v>
      </c>
      <c r="HX28" s="10" t="s">
        <v>56</v>
      </c>
      <c r="HY28" s="10" t="s">
        <v>55</v>
      </c>
      <c r="HZ28" s="10" t="s">
        <v>56</v>
      </c>
      <c r="IA28" s="10" t="s">
        <v>55</v>
      </c>
      <c r="IB28" s="10" t="s">
        <v>56</v>
      </c>
      <c r="IC28" s="10" t="s">
        <v>55</v>
      </c>
      <c r="ID28" s="4">
        <v>3.0499999999999999E-2</v>
      </c>
      <c r="IE28" s="4">
        <v>1.7399999999999999E-2</v>
      </c>
      <c r="IF28" s="4" t="s">
        <v>75</v>
      </c>
      <c r="IG28" s="4" t="s">
        <v>55</v>
      </c>
      <c r="IH28" s="4">
        <v>0.2</v>
      </c>
      <c r="II28" s="4" t="s">
        <v>55</v>
      </c>
      <c r="IJ28" s="4" t="s">
        <v>372</v>
      </c>
      <c r="IK28" s="4" t="s">
        <v>55</v>
      </c>
      <c r="IL28" s="4" t="s">
        <v>372</v>
      </c>
      <c r="IM28" s="4" t="s">
        <v>55</v>
      </c>
      <c r="IN28" s="4">
        <v>0.4</v>
      </c>
      <c r="IO28" s="4" t="s">
        <v>55</v>
      </c>
      <c r="IP28" s="4">
        <v>2</v>
      </c>
      <c r="IQ28" s="4" t="s">
        <v>55</v>
      </c>
      <c r="IR28" s="4" t="s">
        <v>56</v>
      </c>
      <c r="IS28" s="4" t="s">
        <v>55</v>
      </c>
      <c r="IT28" s="4" t="s">
        <v>150</v>
      </c>
      <c r="IU28" s="4" t="s">
        <v>55</v>
      </c>
      <c r="IV28" s="4" t="s">
        <v>556</v>
      </c>
      <c r="IW28" s="4" t="s">
        <v>55</v>
      </c>
      <c r="IX28" s="4" t="s">
        <v>56</v>
      </c>
      <c r="IY28" s="4" t="s">
        <v>55</v>
      </c>
      <c r="IZ28" s="4" t="s">
        <v>56</v>
      </c>
      <c r="JA28" s="4" t="s">
        <v>55</v>
      </c>
      <c r="JB28" s="4" t="s">
        <v>56</v>
      </c>
      <c r="JC28" s="4" t="s">
        <v>55</v>
      </c>
      <c r="JD28" s="4" t="s">
        <v>56</v>
      </c>
      <c r="JE28" s="4" t="s">
        <v>55</v>
      </c>
      <c r="JF28" s="4" t="s">
        <v>56</v>
      </c>
      <c r="JG28" s="4" t="s">
        <v>55</v>
      </c>
      <c r="JH28" s="4" t="s">
        <v>56</v>
      </c>
      <c r="JI28" s="4" t="s">
        <v>55</v>
      </c>
      <c r="JJ28" s="4" t="s">
        <v>56</v>
      </c>
      <c r="JK28" s="4" t="s">
        <v>55</v>
      </c>
      <c r="JL28" s="4" t="s">
        <v>56</v>
      </c>
      <c r="JM28" s="4" t="s">
        <v>55</v>
      </c>
      <c r="JN28" s="4" t="s">
        <v>56</v>
      </c>
      <c r="JO28" s="4" t="s">
        <v>55</v>
      </c>
      <c r="JP28" s="4" t="s">
        <v>56</v>
      </c>
      <c r="JQ28" s="4" t="s">
        <v>55</v>
      </c>
      <c r="JR28" s="4" t="s">
        <v>56</v>
      </c>
      <c r="JS28" s="4" t="s">
        <v>55</v>
      </c>
      <c r="JT28" s="4" t="s">
        <v>56</v>
      </c>
      <c r="JU28" s="4" t="s">
        <v>55</v>
      </c>
      <c r="JV28" s="4" t="s">
        <v>56</v>
      </c>
      <c r="JW28" s="4" t="s">
        <v>55</v>
      </c>
      <c r="JX28" s="26" t="s">
        <v>56</v>
      </c>
      <c r="JY28" s="26" t="s">
        <v>55</v>
      </c>
      <c r="JZ28" s="26" t="s">
        <v>56</v>
      </c>
      <c r="KA28" s="26" t="s">
        <v>55</v>
      </c>
      <c r="KB28" s="26" t="s">
        <v>56</v>
      </c>
      <c r="KC28" s="26" t="s">
        <v>55</v>
      </c>
      <c r="KD28" s="26" t="s">
        <v>56</v>
      </c>
      <c r="KE28" s="26" t="s">
        <v>55</v>
      </c>
      <c r="KF28" s="26" t="s">
        <v>56</v>
      </c>
      <c r="KG28" s="26" t="s">
        <v>55</v>
      </c>
      <c r="KH28" s="4" t="s">
        <v>56</v>
      </c>
      <c r="KI28" s="4" t="s">
        <v>55</v>
      </c>
      <c r="KJ28" s="4" t="s">
        <v>56</v>
      </c>
      <c r="KK28" s="4" t="s">
        <v>55</v>
      </c>
      <c r="KL28" s="4" t="s">
        <v>56</v>
      </c>
      <c r="KM28" s="4" t="s">
        <v>55</v>
      </c>
      <c r="KN28" s="4" t="s">
        <v>56</v>
      </c>
      <c r="KO28" s="4" t="s">
        <v>55</v>
      </c>
      <c r="KP28" s="4" t="s">
        <v>56</v>
      </c>
      <c r="KQ28" s="4" t="s">
        <v>55</v>
      </c>
      <c r="KR28" s="17" t="s">
        <v>56</v>
      </c>
      <c r="KS28" s="17" t="s">
        <v>55</v>
      </c>
      <c r="KT28" s="17" t="s">
        <v>56</v>
      </c>
      <c r="KU28" s="17" t="s">
        <v>55</v>
      </c>
      <c r="KV28" s="4" t="s">
        <v>56</v>
      </c>
      <c r="KW28" s="4" t="s">
        <v>55</v>
      </c>
      <c r="KX28" s="4" t="s">
        <v>56</v>
      </c>
      <c r="KY28" s="4" t="s">
        <v>55</v>
      </c>
      <c r="KZ28" s="4" t="s">
        <v>56</v>
      </c>
      <c r="LA28" s="4" t="s">
        <v>55</v>
      </c>
      <c r="LB28" s="10" t="s">
        <v>56</v>
      </c>
      <c r="LC28" s="10" t="s">
        <v>55</v>
      </c>
      <c r="LD28" s="10" t="s">
        <v>56</v>
      </c>
      <c r="LE28" s="10" t="s">
        <v>55</v>
      </c>
      <c r="LF28" s="10" t="s">
        <v>56</v>
      </c>
      <c r="LG28" s="10" t="s">
        <v>55</v>
      </c>
      <c r="LH28" s="10" t="s">
        <v>56</v>
      </c>
      <c r="LI28" s="10" t="s">
        <v>55</v>
      </c>
      <c r="LJ28" s="10" t="s">
        <v>56</v>
      </c>
      <c r="LK28" s="10" t="s">
        <v>162</v>
      </c>
      <c r="LL28" s="10" t="s">
        <v>56</v>
      </c>
      <c r="LM28" s="10" t="s">
        <v>162</v>
      </c>
      <c r="LN28" s="10" t="s">
        <v>56</v>
      </c>
      <c r="LO28" s="10" t="s">
        <v>162</v>
      </c>
      <c r="LP28" s="10" t="s">
        <v>56</v>
      </c>
      <c r="LQ28" s="10" t="s">
        <v>162</v>
      </c>
      <c r="LR28" s="10" t="s">
        <v>56</v>
      </c>
      <c r="LS28" s="10" t="s">
        <v>162</v>
      </c>
      <c r="LT28" s="10" t="s">
        <v>56</v>
      </c>
      <c r="LU28" s="10" t="s">
        <v>162</v>
      </c>
      <c r="LV28" s="10" t="s">
        <v>56</v>
      </c>
      <c r="LW28" s="10" t="s">
        <v>55</v>
      </c>
      <c r="LX28" s="10" t="s">
        <v>56</v>
      </c>
      <c r="LY28" s="10" t="s">
        <v>55</v>
      </c>
      <c r="LZ28" s="10" t="s">
        <v>56</v>
      </c>
      <c r="MA28" s="10" t="s">
        <v>55</v>
      </c>
      <c r="MB28" s="10" t="s">
        <v>56</v>
      </c>
      <c r="MC28" s="10" t="s">
        <v>55</v>
      </c>
      <c r="MD28" s="17" t="s">
        <v>56</v>
      </c>
      <c r="ME28" s="4" t="s">
        <v>55</v>
      </c>
      <c r="MF28" s="17" t="s">
        <v>56</v>
      </c>
      <c r="MG28" s="4" t="s">
        <v>55</v>
      </c>
      <c r="MH28" s="17" t="s">
        <v>56</v>
      </c>
      <c r="MI28" s="4" t="s">
        <v>55</v>
      </c>
      <c r="MJ28" s="17" t="s">
        <v>56</v>
      </c>
      <c r="MK28" s="4" t="s">
        <v>55</v>
      </c>
      <c r="ML28" s="17" t="s">
        <v>56</v>
      </c>
      <c r="MM28" s="4" t="s">
        <v>55</v>
      </c>
      <c r="MN28" s="17" t="s">
        <v>56</v>
      </c>
      <c r="MO28" s="4" t="s">
        <v>55</v>
      </c>
      <c r="MP28" s="17" t="s">
        <v>56</v>
      </c>
      <c r="MQ28" s="4" t="s">
        <v>55</v>
      </c>
      <c r="MR28" s="17" t="s">
        <v>56</v>
      </c>
      <c r="MS28" s="4" t="s">
        <v>55</v>
      </c>
      <c r="MT28" s="17" t="s">
        <v>56</v>
      </c>
      <c r="MU28" s="4" t="s">
        <v>55</v>
      </c>
      <c r="MV28" s="17" t="s">
        <v>56</v>
      </c>
      <c r="MW28" s="4" t="s">
        <v>55</v>
      </c>
      <c r="MX28" s="17" t="s">
        <v>56</v>
      </c>
      <c r="MY28" s="4" t="s">
        <v>55</v>
      </c>
      <c r="MZ28" s="17" t="s">
        <v>56</v>
      </c>
      <c r="NA28" s="4" t="s">
        <v>55</v>
      </c>
      <c r="NB28" s="10" t="s">
        <v>56</v>
      </c>
      <c r="NC28" s="10" t="s">
        <v>55</v>
      </c>
      <c r="ND28" s="10" t="s">
        <v>56</v>
      </c>
      <c r="NE28" s="10" t="s">
        <v>55</v>
      </c>
      <c r="NF28" s="10" t="s">
        <v>56</v>
      </c>
      <c r="NG28" s="10" t="s">
        <v>55</v>
      </c>
      <c r="NH28" s="10" t="s">
        <v>56</v>
      </c>
      <c r="NI28" s="10" t="s">
        <v>55</v>
      </c>
      <c r="NJ28" s="10" t="s">
        <v>56</v>
      </c>
      <c r="NK28" s="10" t="s">
        <v>55</v>
      </c>
      <c r="NL28" s="10" t="s">
        <v>56</v>
      </c>
      <c r="NM28" s="4" t="s">
        <v>55</v>
      </c>
      <c r="NN28" s="10" t="s">
        <v>56</v>
      </c>
      <c r="NO28" s="4" t="s">
        <v>55</v>
      </c>
      <c r="NP28" s="10" t="s">
        <v>56</v>
      </c>
      <c r="NQ28" s="4" t="s">
        <v>55</v>
      </c>
      <c r="NR28" s="10" t="s">
        <v>56</v>
      </c>
      <c r="NS28" s="10" t="s">
        <v>55</v>
      </c>
      <c r="NT28" s="10" t="s">
        <v>56</v>
      </c>
      <c r="NU28" s="10" t="s">
        <v>55</v>
      </c>
    </row>
    <row r="29" spans="1:385" x14ac:dyDescent="0.2">
      <c r="A29" t="s">
        <v>65</v>
      </c>
      <c r="B29" s="1" t="s">
        <v>1040</v>
      </c>
      <c r="C29" s="1" t="s">
        <v>858</v>
      </c>
      <c r="D29" s="39" cm="1">
        <f t="array" ref="D29">SUMPRODUCT((ISNUMBER(F29:NU29))*(MOD(COLUMN(F29:NU29),2)=0))</f>
        <v>65</v>
      </c>
      <c r="E29" s="1">
        <v>103.12</v>
      </c>
      <c r="F29" s="1">
        <v>1.1999999999999999E-3</v>
      </c>
      <c r="G29" s="1" t="s">
        <v>58</v>
      </c>
      <c r="H29" s="1">
        <v>5.1000000000000004E-3</v>
      </c>
      <c r="I29" s="1" t="s">
        <v>58</v>
      </c>
      <c r="J29" s="1">
        <v>4.7999999999999996E-3</v>
      </c>
      <c r="K29" s="1">
        <v>2.9999999999999997E-4</v>
      </c>
      <c r="L29" s="1">
        <v>2.7000000000000001E-3</v>
      </c>
      <c r="M29" s="1" t="s">
        <v>58</v>
      </c>
      <c r="N29" s="1">
        <v>2.8999999999999998E-3</v>
      </c>
      <c r="O29" s="1">
        <v>2.9999999999999997E-4</v>
      </c>
      <c r="P29" s="9" t="s">
        <v>56</v>
      </c>
      <c r="Q29" s="9" t="s">
        <v>55</v>
      </c>
      <c r="R29" s="1">
        <v>0.68</v>
      </c>
      <c r="S29" s="1">
        <v>0.1</v>
      </c>
      <c r="T29" s="1">
        <v>0.76</v>
      </c>
      <c r="U29" s="1">
        <v>7.0000000000000007E-2</v>
      </c>
      <c r="V29" s="1">
        <v>7.14</v>
      </c>
      <c r="W29" s="1">
        <v>0.68</v>
      </c>
      <c r="X29" s="9" t="s">
        <v>56</v>
      </c>
      <c r="Y29" s="9" t="s">
        <v>55</v>
      </c>
      <c r="Z29" s="9" t="s">
        <v>56</v>
      </c>
      <c r="AA29" s="9" t="s">
        <v>55</v>
      </c>
      <c r="AB29" s="1">
        <v>27.7</v>
      </c>
      <c r="AC29" s="1">
        <v>5.6</v>
      </c>
      <c r="AD29" s="1">
        <v>5.67</v>
      </c>
      <c r="AE29" s="1">
        <v>1.23</v>
      </c>
      <c r="AF29" s="11">
        <f>26/E29</f>
        <v>0.25213343677269201</v>
      </c>
      <c r="AG29" s="11">
        <f>4/E29</f>
        <v>3.8789759503491075E-2</v>
      </c>
      <c r="AH29" s="11">
        <f>18/E29</f>
        <v>0.17455391776570983</v>
      </c>
      <c r="AI29" s="11">
        <f>3/E29</f>
        <v>2.9092319627618306E-2</v>
      </c>
      <c r="AJ29" s="11">
        <f>349/E29</f>
        <v>3.3844065166795962</v>
      </c>
      <c r="AK29" s="11">
        <f>58/E29</f>
        <v>0.56245151280062056</v>
      </c>
      <c r="AL29" s="1">
        <v>1.8</v>
      </c>
      <c r="AM29" s="1">
        <v>0.1</v>
      </c>
      <c r="AN29" s="11">
        <v>1.3</v>
      </c>
      <c r="AO29" s="11">
        <v>0.2</v>
      </c>
      <c r="AP29" s="11">
        <v>2.2000000000000002</v>
      </c>
      <c r="AQ29" s="11">
        <v>0.2</v>
      </c>
      <c r="AR29" s="10">
        <f>147/E29</f>
        <v>1.4255236617532971</v>
      </c>
      <c r="AS29" s="10">
        <f>17/E29</f>
        <v>0.16485647788983707</v>
      </c>
      <c r="AT29" s="11">
        <f>233/E29</f>
        <v>2.2595034910783554</v>
      </c>
      <c r="AU29" s="11">
        <f>17/E29</f>
        <v>0.16485647788983707</v>
      </c>
      <c r="AV29" s="11">
        <f>155/E29</f>
        <v>1.5031031807602793</v>
      </c>
      <c r="AW29" s="11">
        <f>16/E29</f>
        <v>0.1551590380139643</v>
      </c>
      <c r="AX29" s="11">
        <f>279/E29</f>
        <v>2.7055857253685027</v>
      </c>
      <c r="AY29" s="11">
        <f>110/E29</f>
        <v>1.0667183863460046</v>
      </c>
      <c r="AZ29" s="1">
        <v>4.5</v>
      </c>
      <c r="BA29" s="1">
        <v>0.1</v>
      </c>
      <c r="BB29" s="1" t="s">
        <v>91</v>
      </c>
      <c r="BC29" s="1" t="s">
        <v>55</v>
      </c>
      <c r="BD29" s="9" t="s">
        <v>56</v>
      </c>
      <c r="BE29" s="1" t="s">
        <v>55</v>
      </c>
      <c r="BF29" s="1" t="s">
        <v>112</v>
      </c>
      <c r="BG29" s="1" t="s">
        <v>55</v>
      </c>
      <c r="BH29" s="1">
        <v>0.02</v>
      </c>
      <c r="BI29" s="1">
        <v>0.01</v>
      </c>
      <c r="BJ29" s="1">
        <v>0.03</v>
      </c>
      <c r="BK29" s="1">
        <v>0.01</v>
      </c>
      <c r="BL29" s="1" t="s">
        <v>91</v>
      </c>
      <c r="BM29" s="1" t="s">
        <v>55</v>
      </c>
      <c r="BN29" s="1">
        <v>0.33</v>
      </c>
      <c r="BO29" s="1">
        <v>0.04</v>
      </c>
      <c r="BP29" s="1">
        <v>0.34</v>
      </c>
      <c r="BQ29" s="1">
        <v>0.03</v>
      </c>
      <c r="BR29" s="11">
        <f>221/E29</f>
        <v>2.1431342125678818</v>
      </c>
      <c r="BS29" s="11">
        <f>110/E29</f>
        <v>1.0667183863460046</v>
      </c>
      <c r="BT29" s="4">
        <v>2.2000000000000002</v>
      </c>
      <c r="BU29" s="4">
        <v>0.1</v>
      </c>
      <c r="BV29" s="1">
        <v>0.01</v>
      </c>
      <c r="BW29" s="1" t="s">
        <v>55</v>
      </c>
      <c r="BX29" s="1" t="s">
        <v>91</v>
      </c>
      <c r="BY29" s="1" t="s">
        <v>55</v>
      </c>
      <c r="BZ29" s="10">
        <f>2.7/E29</f>
        <v>2.618308766485648E-2</v>
      </c>
      <c r="CA29" s="10">
        <f>0.2/E29</f>
        <v>1.9394879751745539E-3</v>
      </c>
      <c r="CB29" s="10">
        <f>0.3/E29</f>
        <v>2.9092319627618307E-3</v>
      </c>
      <c r="CC29" s="10">
        <f>0.1/E29</f>
        <v>9.6974398758727695E-4</v>
      </c>
      <c r="CD29" s="10">
        <f>0.6/E29</f>
        <v>5.8184639255236615E-3</v>
      </c>
      <c r="CE29" s="10">
        <f>0.2/E29</f>
        <v>1.9394879751745539E-3</v>
      </c>
      <c r="CF29" s="10">
        <f>1.3/E29</f>
        <v>1.2606671838634601E-2</v>
      </c>
      <c r="CG29" s="10">
        <f>0.2/E29</f>
        <v>1.9394879751745539E-3</v>
      </c>
      <c r="CH29" s="10">
        <f>0.3/E29</f>
        <v>2.9092319627618307E-3</v>
      </c>
      <c r="CI29" s="10">
        <f>0.1/E29</f>
        <v>9.6974398758727695E-4</v>
      </c>
      <c r="CJ29" s="10">
        <f>4.5/E29</f>
        <v>4.3638479441427458E-2</v>
      </c>
      <c r="CK29" s="10">
        <f>1.4/E29</f>
        <v>1.3576415826221875E-2</v>
      </c>
      <c r="CL29" s="10" t="s">
        <v>229</v>
      </c>
      <c r="CM29" s="10" t="s">
        <v>55</v>
      </c>
      <c r="CN29" s="10">
        <f>0.2/E29</f>
        <v>1.9394879751745539E-3</v>
      </c>
      <c r="CO29" s="10">
        <f>0.1/E29</f>
        <v>9.6974398758727695E-4</v>
      </c>
      <c r="CP29" s="10">
        <f>0.2/E29</f>
        <v>1.9394879751745539E-3</v>
      </c>
      <c r="CQ29" s="10">
        <f>0.1/E29</f>
        <v>9.6974398758727695E-4</v>
      </c>
      <c r="CR29" s="10" t="s">
        <v>229</v>
      </c>
      <c r="CS29" s="10" t="s">
        <v>55</v>
      </c>
      <c r="CT29" s="10">
        <f>0.3/E29</f>
        <v>2.9092319627618307E-3</v>
      </c>
      <c r="CU29" s="10">
        <f>0.1/E29</f>
        <v>9.6974398758727695E-4</v>
      </c>
      <c r="CV29" s="10">
        <f>6.6/E29</f>
        <v>6.4003103180760273E-2</v>
      </c>
      <c r="CW29" s="10">
        <f>1.8/E29</f>
        <v>1.7455391776570985E-2</v>
      </c>
      <c r="CX29" s="10" t="s">
        <v>229</v>
      </c>
      <c r="CY29" s="10" t="s">
        <v>55</v>
      </c>
      <c r="CZ29" s="10">
        <f>1.1/E29</f>
        <v>1.0667183863460047E-2</v>
      </c>
      <c r="DA29" s="10">
        <f>0.2/E29</f>
        <v>1.9394879751745539E-3</v>
      </c>
      <c r="DB29" s="10">
        <f>1.4/E29</f>
        <v>1.3576415826221875E-2</v>
      </c>
      <c r="DC29" s="10">
        <f>0.2/E29</f>
        <v>1.9394879751745539E-3</v>
      </c>
      <c r="DD29" s="10" t="s">
        <v>56</v>
      </c>
      <c r="DE29" s="10" t="s">
        <v>55</v>
      </c>
      <c r="DF29" s="10" t="s">
        <v>56</v>
      </c>
      <c r="DG29" s="10" t="s">
        <v>55</v>
      </c>
      <c r="DH29" s="10">
        <f>113/E29</f>
        <v>1.0958107059736228</v>
      </c>
      <c r="DI29" s="10">
        <f>10/E29</f>
        <v>9.6974398758727695E-2</v>
      </c>
      <c r="DJ29" s="10">
        <f>340/E29</f>
        <v>3.2971295577967417</v>
      </c>
      <c r="DK29" s="10">
        <f>68/E29</f>
        <v>0.65942591155934827</v>
      </c>
      <c r="DL29" s="10">
        <f>376/E29</f>
        <v>3.6462373933281613</v>
      </c>
      <c r="DM29" s="10">
        <f>42/E29</f>
        <v>0.40729247478665631</v>
      </c>
      <c r="DN29" s="10" t="s">
        <v>229</v>
      </c>
      <c r="DO29" s="10" t="s">
        <v>55</v>
      </c>
      <c r="DP29" s="10">
        <f>32/E29</f>
        <v>0.3103180760279286</v>
      </c>
      <c r="DQ29" s="10">
        <f>5/E29</f>
        <v>4.8487199379363848E-2</v>
      </c>
      <c r="DR29" s="10">
        <f>7.5/E29</f>
        <v>7.2730799069045768E-2</v>
      </c>
      <c r="DS29" s="10">
        <f>3.2/E29</f>
        <v>3.1031807602792862E-2</v>
      </c>
      <c r="DT29" s="10">
        <f>3.4/E29</f>
        <v>3.2971295577967415E-2</v>
      </c>
      <c r="DU29" s="10">
        <f>0.4/E29</f>
        <v>3.8789759503491078E-3</v>
      </c>
      <c r="DV29" s="10" t="s">
        <v>152</v>
      </c>
      <c r="DW29" s="10" t="s">
        <v>55</v>
      </c>
      <c r="DX29" s="10" t="s">
        <v>229</v>
      </c>
      <c r="DY29" s="10" t="s">
        <v>55</v>
      </c>
      <c r="DZ29" s="10" t="s">
        <v>229</v>
      </c>
      <c r="EA29" s="10" t="s">
        <v>55</v>
      </c>
      <c r="EB29" s="10">
        <f>0.1/E29</f>
        <v>9.6974398758727695E-4</v>
      </c>
      <c r="EC29" s="10" t="s">
        <v>55</v>
      </c>
      <c r="ED29" s="10">
        <f>0.1/E29</f>
        <v>9.6974398758727695E-4</v>
      </c>
      <c r="EE29" s="10" t="s">
        <v>55</v>
      </c>
      <c r="EF29" s="10" t="s">
        <v>229</v>
      </c>
      <c r="EG29" s="10" t="s">
        <v>55</v>
      </c>
      <c r="EH29" s="10" t="s">
        <v>233</v>
      </c>
      <c r="EI29" s="10" t="s">
        <v>55</v>
      </c>
      <c r="EJ29" s="10" t="s">
        <v>233</v>
      </c>
      <c r="EK29" s="10" t="s">
        <v>55</v>
      </c>
      <c r="EL29" s="10" t="s">
        <v>233</v>
      </c>
      <c r="EM29" s="10" t="s">
        <v>55</v>
      </c>
      <c r="EN29" s="10" t="s">
        <v>56</v>
      </c>
      <c r="EO29" s="10" t="s">
        <v>55</v>
      </c>
      <c r="EP29" s="10" t="s">
        <v>56</v>
      </c>
      <c r="EQ29" s="10" t="s">
        <v>55</v>
      </c>
      <c r="ER29" s="10">
        <f>0.7/E29</f>
        <v>6.7882079131109377E-3</v>
      </c>
      <c r="ES29" s="10">
        <f>0.1/E29</f>
        <v>9.6974398758727695E-4</v>
      </c>
      <c r="ET29" s="10">
        <f>3.3/E29</f>
        <v>3.2001551590380137E-2</v>
      </c>
      <c r="EU29" s="10">
        <f>0.6/E29</f>
        <v>5.8184639255236615E-3</v>
      </c>
      <c r="EV29" s="10" t="s">
        <v>241</v>
      </c>
      <c r="EW29" s="10" t="s">
        <v>55</v>
      </c>
      <c r="EX29" s="10">
        <f>0.2/E29</f>
        <v>1.9394879751745539E-3</v>
      </c>
      <c r="EY29" s="10">
        <f>0.1/E29</f>
        <v>9.6974398758727695E-4</v>
      </c>
      <c r="EZ29" s="10" t="s">
        <v>500</v>
      </c>
      <c r="FA29" s="10" t="s">
        <v>55</v>
      </c>
      <c r="FB29" s="10" t="s">
        <v>498</v>
      </c>
      <c r="FC29" s="10" t="s">
        <v>55</v>
      </c>
      <c r="FD29" s="10" t="s">
        <v>498</v>
      </c>
      <c r="FE29" s="10" t="s">
        <v>55</v>
      </c>
      <c r="FF29" s="10">
        <f>1.7/E29</f>
        <v>1.6485647788983707E-2</v>
      </c>
      <c r="FG29" s="10">
        <f>0.6/E29</f>
        <v>5.8184639255236615E-3</v>
      </c>
      <c r="FH29" s="10">
        <f>4/E29</f>
        <v>3.8789759503491075E-2</v>
      </c>
      <c r="FI29" s="10">
        <f>2.9/E29</f>
        <v>2.8122575640031029E-2</v>
      </c>
      <c r="FJ29" s="10">
        <f>1.3/E29</f>
        <v>1.2606671838634601E-2</v>
      </c>
      <c r="FK29" s="10">
        <f>0.6/E29</f>
        <v>5.8184639255236615E-3</v>
      </c>
      <c r="FL29" s="10">
        <f>2.5/E29</f>
        <v>2.4243599689681924E-2</v>
      </c>
      <c r="FM29" s="10">
        <f>1/E29</f>
        <v>9.6974398758727688E-3</v>
      </c>
      <c r="FN29" s="10">
        <f>0.4/E29</f>
        <v>3.8789759503491078E-3</v>
      </c>
      <c r="FO29" s="10">
        <f>0.3/E29</f>
        <v>2.9092319627618307E-3</v>
      </c>
      <c r="FP29" s="10">
        <f>1/E29</f>
        <v>9.6974398758727688E-3</v>
      </c>
      <c r="FQ29" s="10">
        <f>0.4/E29</f>
        <v>3.8789759503491078E-3</v>
      </c>
      <c r="FR29" s="10">
        <f>0.4/E29</f>
        <v>3.8789759503491078E-3</v>
      </c>
      <c r="FS29" s="10">
        <f>0.3/E29</f>
        <v>2.9092319627618307E-3</v>
      </c>
      <c r="FT29" s="8" t="s">
        <v>157</v>
      </c>
      <c r="FU29" s="8" t="s">
        <v>55</v>
      </c>
      <c r="FV29" s="8" t="s">
        <v>157</v>
      </c>
      <c r="FW29" s="8" t="s">
        <v>55</v>
      </c>
      <c r="FX29" s="8" t="s">
        <v>157</v>
      </c>
      <c r="FY29" s="8" t="s">
        <v>55</v>
      </c>
      <c r="FZ29" s="8" t="s">
        <v>157</v>
      </c>
      <c r="GA29" s="8" t="s">
        <v>55</v>
      </c>
      <c r="GB29" s="8" t="s">
        <v>157</v>
      </c>
      <c r="GC29" s="8" t="s">
        <v>55</v>
      </c>
      <c r="GD29" s="8" t="s">
        <v>157</v>
      </c>
      <c r="GE29" s="8" t="s">
        <v>55</v>
      </c>
      <c r="GF29" s="8" t="s">
        <v>157</v>
      </c>
      <c r="GG29" s="8" t="s">
        <v>55</v>
      </c>
      <c r="GH29" s="8" t="s">
        <v>157</v>
      </c>
      <c r="GI29" s="8" t="s">
        <v>55</v>
      </c>
      <c r="GJ29" s="8" t="s">
        <v>157</v>
      </c>
      <c r="GK29" s="8" t="s">
        <v>55</v>
      </c>
      <c r="GL29" s="8" t="s">
        <v>157</v>
      </c>
      <c r="GM29" s="8" t="s">
        <v>55</v>
      </c>
      <c r="GN29" s="8" t="s">
        <v>157</v>
      </c>
      <c r="GO29" s="8" t="s">
        <v>55</v>
      </c>
      <c r="GP29" s="10">
        <v>0.16</v>
      </c>
      <c r="GQ29" s="10">
        <v>0.01</v>
      </c>
      <c r="GR29" s="10">
        <v>0.32</v>
      </c>
      <c r="GS29" s="10">
        <v>0.01</v>
      </c>
      <c r="GT29" s="10">
        <v>0.35</v>
      </c>
      <c r="GU29" s="10">
        <v>0.04</v>
      </c>
      <c r="GV29" s="10">
        <v>0.55000000000000004</v>
      </c>
      <c r="GW29" s="10">
        <v>0.08</v>
      </c>
      <c r="GX29" s="10" t="s">
        <v>615</v>
      </c>
      <c r="GY29" s="10" t="s">
        <v>55</v>
      </c>
      <c r="GZ29" s="10" t="s">
        <v>56</v>
      </c>
      <c r="HA29" s="10" t="s">
        <v>55</v>
      </c>
      <c r="HB29" s="10" t="s">
        <v>56</v>
      </c>
      <c r="HC29" s="10" t="s">
        <v>55</v>
      </c>
      <c r="HD29" s="10" t="s">
        <v>56</v>
      </c>
      <c r="HE29" s="10" t="s">
        <v>55</v>
      </c>
      <c r="HF29" s="10" t="s">
        <v>56</v>
      </c>
      <c r="HG29" s="10" t="s">
        <v>55</v>
      </c>
      <c r="HH29" s="10" t="s">
        <v>56</v>
      </c>
      <c r="HI29" s="10" t="s">
        <v>55</v>
      </c>
      <c r="HJ29" s="10" t="s">
        <v>56</v>
      </c>
      <c r="HK29" s="10" t="s">
        <v>55</v>
      </c>
      <c r="HL29" s="10" t="s">
        <v>56</v>
      </c>
      <c r="HM29" s="10" t="s">
        <v>55</v>
      </c>
      <c r="HN29" s="10" t="s">
        <v>56</v>
      </c>
      <c r="HO29" s="10" t="s">
        <v>55</v>
      </c>
      <c r="HP29" s="10" t="s">
        <v>56</v>
      </c>
      <c r="HQ29" s="10" t="s">
        <v>55</v>
      </c>
      <c r="HR29" s="10" t="s">
        <v>56</v>
      </c>
      <c r="HS29" s="10" t="s">
        <v>55</v>
      </c>
      <c r="HT29" s="10" t="s">
        <v>56</v>
      </c>
      <c r="HU29" s="10" t="s">
        <v>55</v>
      </c>
      <c r="HV29" s="10" t="s">
        <v>56</v>
      </c>
      <c r="HW29" s="10" t="s">
        <v>55</v>
      </c>
      <c r="HX29" s="10" t="s">
        <v>56</v>
      </c>
      <c r="HY29" s="10" t="s">
        <v>55</v>
      </c>
      <c r="HZ29" s="10" t="s">
        <v>56</v>
      </c>
      <c r="IA29" s="10" t="s">
        <v>55</v>
      </c>
      <c r="IB29" s="10" t="s">
        <v>56</v>
      </c>
      <c r="IC29" s="10" t="s">
        <v>55</v>
      </c>
      <c r="ID29" s="1">
        <v>1.6799999999999999E-2</v>
      </c>
      <c r="IE29" s="1">
        <v>2.0999999999999999E-3</v>
      </c>
      <c r="IF29" s="10" t="s">
        <v>57</v>
      </c>
      <c r="IG29" s="10" t="s">
        <v>55</v>
      </c>
      <c r="IH29" s="4" t="s">
        <v>56</v>
      </c>
      <c r="II29" s="4" t="s">
        <v>55</v>
      </c>
      <c r="IJ29" s="4" t="s">
        <v>56</v>
      </c>
      <c r="IK29" s="4" t="s">
        <v>55</v>
      </c>
      <c r="IL29" s="4" t="s">
        <v>56</v>
      </c>
      <c r="IM29" s="4" t="s">
        <v>55</v>
      </c>
      <c r="IN29" s="4" t="s">
        <v>56</v>
      </c>
      <c r="IO29" s="4" t="s">
        <v>55</v>
      </c>
      <c r="IP29" s="4" t="s">
        <v>56</v>
      </c>
      <c r="IQ29" s="4" t="s">
        <v>55</v>
      </c>
      <c r="IR29" s="4" t="s">
        <v>56</v>
      </c>
      <c r="IS29" s="4" t="s">
        <v>55</v>
      </c>
      <c r="IT29" s="1" t="s">
        <v>56</v>
      </c>
      <c r="IU29" s="1" t="s">
        <v>55</v>
      </c>
      <c r="IV29" s="4" t="s">
        <v>556</v>
      </c>
      <c r="IW29" s="4" t="s">
        <v>55</v>
      </c>
      <c r="IX29" s="4" t="s">
        <v>56</v>
      </c>
      <c r="IY29" s="4" t="s">
        <v>55</v>
      </c>
      <c r="IZ29" s="4" t="s">
        <v>56</v>
      </c>
      <c r="JA29" s="4" t="s">
        <v>55</v>
      </c>
      <c r="JB29" s="4" t="s">
        <v>56</v>
      </c>
      <c r="JC29" s="4" t="s">
        <v>55</v>
      </c>
      <c r="JD29" s="4" t="s">
        <v>56</v>
      </c>
      <c r="JE29" s="4" t="s">
        <v>55</v>
      </c>
      <c r="JF29" s="4" t="s">
        <v>56</v>
      </c>
      <c r="JG29" s="4" t="s">
        <v>55</v>
      </c>
      <c r="JH29" s="4" t="s">
        <v>56</v>
      </c>
      <c r="JI29" s="4" t="s">
        <v>55</v>
      </c>
      <c r="JJ29" s="4" t="s">
        <v>56</v>
      </c>
      <c r="JK29" s="4" t="s">
        <v>55</v>
      </c>
      <c r="JL29" s="4" t="s">
        <v>56</v>
      </c>
      <c r="JM29" s="4" t="s">
        <v>55</v>
      </c>
      <c r="JN29" s="4" t="s">
        <v>56</v>
      </c>
      <c r="JO29" s="4" t="s">
        <v>55</v>
      </c>
      <c r="JP29" s="4" t="s">
        <v>56</v>
      </c>
      <c r="JQ29" s="4" t="s">
        <v>55</v>
      </c>
      <c r="JR29" s="4" t="s">
        <v>56</v>
      </c>
      <c r="JS29" s="4" t="s">
        <v>55</v>
      </c>
      <c r="JT29" s="4" t="s">
        <v>56</v>
      </c>
      <c r="JU29" s="4" t="s">
        <v>55</v>
      </c>
      <c r="JV29" s="4" t="s">
        <v>56</v>
      </c>
      <c r="JW29" s="4" t="s">
        <v>55</v>
      </c>
      <c r="JX29" s="26" t="s">
        <v>56</v>
      </c>
      <c r="JY29" s="26" t="s">
        <v>55</v>
      </c>
      <c r="JZ29" s="26" t="s">
        <v>56</v>
      </c>
      <c r="KA29" s="26" t="s">
        <v>55</v>
      </c>
      <c r="KB29" s="26" t="s">
        <v>56</v>
      </c>
      <c r="KC29" s="26" t="s">
        <v>55</v>
      </c>
      <c r="KD29" s="26" t="s">
        <v>56</v>
      </c>
      <c r="KE29" s="26" t="s">
        <v>55</v>
      </c>
      <c r="KF29" s="26" t="s">
        <v>56</v>
      </c>
      <c r="KG29" s="26" t="s">
        <v>55</v>
      </c>
      <c r="KH29" s="4" t="s">
        <v>56</v>
      </c>
      <c r="KI29" s="4" t="s">
        <v>55</v>
      </c>
      <c r="KJ29" s="4" t="s">
        <v>56</v>
      </c>
      <c r="KK29" s="4" t="s">
        <v>55</v>
      </c>
      <c r="KL29" s="4" t="s">
        <v>56</v>
      </c>
      <c r="KM29" s="4" t="s">
        <v>55</v>
      </c>
      <c r="KN29" s="4" t="s">
        <v>56</v>
      </c>
      <c r="KO29" s="4" t="s">
        <v>55</v>
      </c>
      <c r="KP29" s="4" t="s">
        <v>56</v>
      </c>
      <c r="KQ29" s="4" t="s">
        <v>55</v>
      </c>
      <c r="KR29" s="17" t="s">
        <v>56</v>
      </c>
      <c r="KS29" s="17" t="s">
        <v>55</v>
      </c>
      <c r="KT29" s="17" t="s">
        <v>56</v>
      </c>
      <c r="KU29" s="17" t="s">
        <v>55</v>
      </c>
      <c r="KV29" s="4" t="s">
        <v>56</v>
      </c>
      <c r="KW29" s="4" t="s">
        <v>55</v>
      </c>
      <c r="KX29" s="4" t="s">
        <v>56</v>
      </c>
      <c r="KY29" s="4" t="s">
        <v>55</v>
      </c>
      <c r="KZ29" s="4" t="s">
        <v>56</v>
      </c>
      <c r="LA29" s="4" t="s">
        <v>55</v>
      </c>
      <c r="LB29" s="10" t="s">
        <v>56</v>
      </c>
      <c r="LC29" s="10" t="s">
        <v>55</v>
      </c>
      <c r="LD29" s="10" t="s">
        <v>56</v>
      </c>
      <c r="LE29" s="10" t="s">
        <v>55</v>
      </c>
      <c r="LF29" s="10" t="s">
        <v>56</v>
      </c>
      <c r="LG29" s="10" t="s">
        <v>55</v>
      </c>
      <c r="LH29" s="10" t="s">
        <v>56</v>
      </c>
      <c r="LI29" s="10" t="s">
        <v>55</v>
      </c>
      <c r="LJ29" s="10" t="s">
        <v>56</v>
      </c>
      <c r="LK29" s="10" t="s">
        <v>162</v>
      </c>
      <c r="LL29" s="10" t="s">
        <v>56</v>
      </c>
      <c r="LM29" s="10" t="s">
        <v>162</v>
      </c>
      <c r="LN29" s="10" t="s">
        <v>56</v>
      </c>
      <c r="LO29" s="10" t="s">
        <v>162</v>
      </c>
      <c r="LP29" s="10" t="s">
        <v>56</v>
      </c>
      <c r="LQ29" s="10" t="s">
        <v>162</v>
      </c>
      <c r="LR29" s="10" t="s">
        <v>56</v>
      </c>
      <c r="LS29" s="10" t="s">
        <v>162</v>
      </c>
      <c r="LT29" s="10" t="s">
        <v>56</v>
      </c>
      <c r="LU29" s="10" t="s">
        <v>162</v>
      </c>
      <c r="LV29" s="10" t="s">
        <v>56</v>
      </c>
      <c r="LW29" s="10" t="s">
        <v>55</v>
      </c>
      <c r="LX29" s="10" t="s">
        <v>56</v>
      </c>
      <c r="LY29" s="10" t="s">
        <v>55</v>
      </c>
      <c r="LZ29" s="10" t="s">
        <v>56</v>
      </c>
      <c r="MA29" s="10" t="s">
        <v>55</v>
      </c>
      <c r="MB29" s="10" t="s">
        <v>56</v>
      </c>
      <c r="MC29" s="10" t="s">
        <v>55</v>
      </c>
      <c r="MD29" s="17" t="s">
        <v>56</v>
      </c>
      <c r="ME29" s="4" t="s">
        <v>55</v>
      </c>
      <c r="MF29" s="17" t="s">
        <v>56</v>
      </c>
      <c r="MG29" s="4" t="s">
        <v>55</v>
      </c>
      <c r="MH29" s="17" t="s">
        <v>56</v>
      </c>
      <c r="MI29" s="4" t="s">
        <v>55</v>
      </c>
      <c r="MJ29" s="17" t="s">
        <v>56</v>
      </c>
      <c r="MK29" s="4" t="s">
        <v>55</v>
      </c>
      <c r="ML29" s="17" t="s">
        <v>56</v>
      </c>
      <c r="MM29" s="4" t="s">
        <v>55</v>
      </c>
      <c r="MN29" s="17" t="s">
        <v>56</v>
      </c>
      <c r="MO29" s="4" t="s">
        <v>55</v>
      </c>
      <c r="MP29" s="17" t="s">
        <v>56</v>
      </c>
      <c r="MQ29" s="4" t="s">
        <v>55</v>
      </c>
      <c r="MR29" s="17" t="s">
        <v>56</v>
      </c>
      <c r="MS29" s="4" t="s">
        <v>55</v>
      </c>
      <c r="MT29" s="17" t="s">
        <v>56</v>
      </c>
      <c r="MU29" s="4" t="s">
        <v>55</v>
      </c>
      <c r="MV29" s="17" t="s">
        <v>56</v>
      </c>
      <c r="MW29" s="4" t="s">
        <v>55</v>
      </c>
      <c r="MX29" s="17" t="s">
        <v>56</v>
      </c>
      <c r="MY29" s="4" t="s">
        <v>55</v>
      </c>
      <c r="MZ29" s="17" t="s">
        <v>56</v>
      </c>
      <c r="NA29" s="4" t="s">
        <v>55</v>
      </c>
      <c r="NB29" s="10" t="s">
        <v>56</v>
      </c>
      <c r="NC29" s="10" t="s">
        <v>55</v>
      </c>
      <c r="ND29" s="10" t="s">
        <v>56</v>
      </c>
      <c r="NE29" s="10" t="s">
        <v>55</v>
      </c>
      <c r="NF29" s="10" t="s">
        <v>56</v>
      </c>
      <c r="NG29" s="10" t="s">
        <v>55</v>
      </c>
      <c r="NH29" s="10" t="s">
        <v>56</v>
      </c>
      <c r="NI29" s="10" t="s">
        <v>55</v>
      </c>
      <c r="NJ29" s="10" t="s">
        <v>56</v>
      </c>
      <c r="NK29" s="10" t="s">
        <v>55</v>
      </c>
      <c r="NL29" s="10" t="s">
        <v>56</v>
      </c>
      <c r="NM29" s="4" t="s">
        <v>55</v>
      </c>
      <c r="NN29" s="10" t="s">
        <v>56</v>
      </c>
      <c r="NO29" s="4" t="s">
        <v>55</v>
      </c>
      <c r="NP29" s="10" t="s">
        <v>56</v>
      </c>
      <c r="NQ29" s="4" t="s">
        <v>55</v>
      </c>
      <c r="NR29" s="10">
        <f>(19*1000)/E29</f>
        <v>184.25135764158262</v>
      </c>
      <c r="NS29" s="10">
        <f>(1*1000)/E29</f>
        <v>9.6974398758727691</v>
      </c>
      <c r="NT29" s="10">
        <f>(45*1000)/E29</f>
        <v>436.38479441427461</v>
      </c>
      <c r="NU29" s="10">
        <f>(9*1000)/E29</f>
        <v>87.276958882854927</v>
      </c>
    </row>
    <row r="30" spans="1:385" x14ac:dyDescent="0.2">
      <c r="A30" t="s">
        <v>66</v>
      </c>
      <c r="B30" s="1" t="s">
        <v>1040</v>
      </c>
      <c r="C30" s="1" t="s">
        <v>859</v>
      </c>
      <c r="D30" s="39" cm="1">
        <f t="array" ref="D30">SUMPRODUCT((ISNUMBER(F30:NU30))*(MOD(COLUMN(F30:NU30),2)=0))</f>
        <v>65</v>
      </c>
      <c r="E30" s="1">
        <v>103.12</v>
      </c>
      <c r="F30" s="1">
        <v>1.1999999999999999E-3</v>
      </c>
      <c r="G30" s="1" t="s">
        <v>58</v>
      </c>
      <c r="H30" s="1">
        <v>5.1999999999999998E-3</v>
      </c>
      <c r="I30" s="1" t="s">
        <v>58</v>
      </c>
      <c r="J30" s="1">
        <v>4.7000000000000002E-3</v>
      </c>
      <c r="K30" s="1">
        <v>2.0000000000000001E-4</v>
      </c>
      <c r="L30" s="1">
        <v>2.7000000000000001E-3</v>
      </c>
      <c r="M30" s="1" t="s">
        <v>58</v>
      </c>
      <c r="N30" s="1">
        <v>2.8999999999999998E-3</v>
      </c>
      <c r="O30" s="1">
        <v>2.0000000000000001E-4</v>
      </c>
      <c r="P30" s="9" t="s">
        <v>56</v>
      </c>
      <c r="Q30" s="9" t="s">
        <v>55</v>
      </c>
      <c r="R30" s="1">
        <v>0.57999999999999996</v>
      </c>
      <c r="S30" s="1">
        <v>0.09</v>
      </c>
      <c r="T30" s="1">
        <v>0.75</v>
      </c>
      <c r="U30" s="1">
        <v>7.0000000000000007E-2</v>
      </c>
      <c r="V30" s="1">
        <v>5.92</v>
      </c>
      <c r="W30" s="1">
        <v>0.54</v>
      </c>
      <c r="X30" s="4" t="s">
        <v>56</v>
      </c>
      <c r="Y30" s="4" t="s">
        <v>55</v>
      </c>
      <c r="Z30" s="9" t="s">
        <v>56</v>
      </c>
      <c r="AA30" s="9" t="s">
        <v>55</v>
      </c>
      <c r="AB30" s="1">
        <v>30.6</v>
      </c>
      <c r="AC30" s="1">
        <v>8.3000000000000007</v>
      </c>
      <c r="AD30" s="1">
        <v>6.58</v>
      </c>
      <c r="AE30" s="1">
        <v>1.97</v>
      </c>
      <c r="AF30" s="11">
        <f>25/E30</f>
        <v>0.24243599689681922</v>
      </c>
      <c r="AG30" s="11">
        <f>2/E30</f>
        <v>1.9394879751745538E-2</v>
      </c>
      <c r="AH30" s="11">
        <f>18/E30</f>
        <v>0.17455391776570983</v>
      </c>
      <c r="AI30" s="11">
        <f>2/E30</f>
        <v>1.9394879751745538E-2</v>
      </c>
      <c r="AJ30" s="11">
        <f>320/E30</f>
        <v>3.1031807602792862</v>
      </c>
      <c r="AK30" s="11">
        <f>41/E30</f>
        <v>0.39759503491078352</v>
      </c>
      <c r="AL30" s="1">
        <v>1.6</v>
      </c>
      <c r="AM30" s="1">
        <v>0.1</v>
      </c>
      <c r="AN30" s="11">
        <v>1.2</v>
      </c>
      <c r="AO30" s="11">
        <v>0.2</v>
      </c>
      <c r="AP30" s="11">
        <v>9.5</v>
      </c>
      <c r="AQ30" s="11">
        <v>1.7</v>
      </c>
      <c r="AR30" s="10">
        <f>146/E30</f>
        <v>1.4158262218774242</v>
      </c>
      <c r="AS30" s="10">
        <f>31/E30</f>
        <v>0.30062063615205586</v>
      </c>
      <c r="AT30" s="11">
        <f>256/E30</f>
        <v>2.4825446082234288</v>
      </c>
      <c r="AU30" s="11">
        <f>15/E30</f>
        <v>0.14546159813809154</v>
      </c>
      <c r="AV30" s="11">
        <f>172/E30</f>
        <v>1.6679596586501162</v>
      </c>
      <c r="AW30" s="11">
        <f>40/E30</f>
        <v>0.38789759503491078</v>
      </c>
      <c r="AX30" s="11">
        <f>178/E30</f>
        <v>1.726144297905353</v>
      </c>
      <c r="AY30" s="11">
        <f>81/E30</f>
        <v>0.78549262994569435</v>
      </c>
      <c r="AZ30" s="1">
        <v>4.4000000000000004</v>
      </c>
      <c r="BA30" s="1">
        <v>0.1</v>
      </c>
      <c r="BB30" s="1" t="s">
        <v>91</v>
      </c>
      <c r="BC30" s="1" t="s">
        <v>55</v>
      </c>
      <c r="BD30" s="9" t="s">
        <v>56</v>
      </c>
      <c r="BE30" s="1" t="s">
        <v>55</v>
      </c>
      <c r="BF30" s="1" t="s">
        <v>112</v>
      </c>
      <c r="BG30" s="1" t="s">
        <v>55</v>
      </c>
      <c r="BH30" s="1">
        <v>0.02</v>
      </c>
      <c r="BI30" s="1">
        <v>0.01</v>
      </c>
      <c r="BJ30" s="1">
        <v>0.03</v>
      </c>
      <c r="BK30" s="1">
        <v>0.01</v>
      </c>
      <c r="BL30" s="1" t="s">
        <v>91</v>
      </c>
      <c r="BM30" s="1" t="s">
        <v>55</v>
      </c>
      <c r="BN30" s="1">
        <v>0.26</v>
      </c>
      <c r="BO30" s="1">
        <v>0.03</v>
      </c>
      <c r="BP30" s="1">
        <v>0.3</v>
      </c>
      <c r="BQ30" s="1">
        <v>0.2</v>
      </c>
      <c r="BR30" s="11">
        <f>181/E30</f>
        <v>1.7552366175329712</v>
      </c>
      <c r="BS30" s="11">
        <f>59/E30</f>
        <v>0.57214895267649335</v>
      </c>
      <c r="BT30" s="4">
        <v>2.1</v>
      </c>
      <c r="BU30" s="4">
        <v>0.2</v>
      </c>
      <c r="BV30" s="1">
        <v>0.01</v>
      </c>
      <c r="BW30" s="1" t="s">
        <v>55</v>
      </c>
      <c r="BX30" s="1" t="s">
        <v>91</v>
      </c>
      <c r="BY30" s="1" t="s">
        <v>55</v>
      </c>
      <c r="BZ30" s="10">
        <f>3.4/E30</f>
        <v>3.2971295577967415E-2</v>
      </c>
      <c r="CA30" s="10">
        <f>0.1/E30</f>
        <v>9.6974398758727695E-4</v>
      </c>
      <c r="CB30" s="10">
        <f>0.4/E30</f>
        <v>3.8789759503491078E-3</v>
      </c>
      <c r="CC30" s="10">
        <f>0.2/E30</f>
        <v>1.9394879751745539E-3</v>
      </c>
      <c r="CD30" s="10">
        <f>0.5/E30</f>
        <v>4.8487199379363844E-3</v>
      </c>
      <c r="CE30" s="10">
        <f>0.2/E30</f>
        <v>1.9394879751745539E-3</v>
      </c>
      <c r="CF30" s="10">
        <f>1.2/E30</f>
        <v>1.1636927851047323E-2</v>
      </c>
      <c r="CG30" s="10">
        <f>0.1/E30</f>
        <v>9.6974398758727695E-4</v>
      </c>
      <c r="CH30" s="10">
        <f>0.2/E30</f>
        <v>1.9394879751745539E-3</v>
      </c>
      <c r="CI30" s="10">
        <f>0.1/E30</f>
        <v>9.6974398758727695E-4</v>
      </c>
      <c r="CJ30" s="10">
        <f>4.7/E30</f>
        <v>4.5577967416602014E-2</v>
      </c>
      <c r="CK30" s="10">
        <f>1.3/E30</f>
        <v>1.2606671838634601E-2</v>
      </c>
      <c r="CL30" s="10">
        <f>0.3/E30</f>
        <v>2.9092319627618307E-3</v>
      </c>
      <c r="CM30" s="10">
        <f>0.2/E30</f>
        <v>1.9394879751745539E-3</v>
      </c>
      <c r="CN30" s="10" t="s">
        <v>229</v>
      </c>
      <c r="CO30" s="10" t="s">
        <v>55</v>
      </c>
      <c r="CP30" s="10" t="s">
        <v>229</v>
      </c>
      <c r="CQ30" s="10" t="s">
        <v>55</v>
      </c>
      <c r="CR30" s="10" t="s">
        <v>229</v>
      </c>
      <c r="CS30" s="10" t="s">
        <v>55</v>
      </c>
      <c r="CT30" s="10">
        <f>0.3/E30</f>
        <v>2.9092319627618307E-3</v>
      </c>
      <c r="CU30" s="10">
        <f>0.1/E30</f>
        <v>9.6974398758727695E-4</v>
      </c>
      <c r="CV30" s="10">
        <f>5.1/E30</f>
        <v>4.9456943366951119E-2</v>
      </c>
      <c r="CW30" s="10">
        <f>2/E30</f>
        <v>1.9394879751745538E-2</v>
      </c>
      <c r="CX30" s="10" t="s">
        <v>229</v>
      </c>
      <c r="CY30" s="10" t="s">
        <v>55</v>
      </c>
      <c r="CZ30" s="10">
        <f>1.4/E30</f>
        <v>1.3576415826221875E-2</v>
      </c>
      <c r="DA30" s="10">
        <f>0.5/E30</f>
        <v>4.8487199379363844E-3</v>
      </c>
      <c r="DB30" s="10">
        <f>1.8/E30</f>
        <v>1.7455391776570985E-2</v>
      </c>
      <c r="DC30" s="10">
        <f>0.2/E30</f>
        <v>1.9394879751745539E-3</v>
      </c>
      <c r="DD30" s="10" t="s">
        <v>56</v>
      </c>
      <c r="DE30" s="10" t="s">
        <v>55</v>
      </c>
      <c r="DF30" s="10" t="s">
        <v>56</v>
      </c>
      <c r="DG30" s="10" t="s">
        <v>55</v>
      </c>
      <c r="DH30" s="10">
        <f>115/E30</f>
        <v>1.1152055857253684</v>
      </c>
      <c r="DI30" s="10">
        <f>10/E30</f>
        <v>9.6974398758727695E-2</v>
      </c>
      <c r="DJ30" s="10">
        <f>377/E30</f>
        <v>3.655934833204034</v>
      </c>
      <c r="DK30" s="10">
        <f>66/E30</f>
        <v>0.64003103180760279</v>
      </c>
      <c r="DL30" s="10">
        <f>416/E30</f>
        <v>4.0341349883630722</v>
      </c>
      <c r="DM30" s="10">
        <f>45/E30</f>
        <v>0.43638479441427463</v>
      </c>
      <c r="DN30" s="10" t="s">
        <v>229</v>
      </c>
      <c r="DO30" s="10" t="s">
        <v>55</v>
      </c>
      <c r="DP30" s="10">
        <f>30/E30</f>
        <v>0.29092319627618307</v>
      </c>
      <c r="DQ30" s="10">
        <f>4/E30</f>
        <v>3.8789759503491075E-2</v>
      </c>
      <c r="DR30" s="10">
        <f>3.7/E30</f>
        <v>3.5880527540729248E-2</v>
      </c>
      <c r="DS30" s="10">
        <f>2.1/E30</f>
        <v>2.0364623739332816E-2</v>
      </c>
      <c r="DT30" s="10">
        <f>1.6/E30</f>
        <v>1.5515903801396431E-2</v>
      </c>
      <c r="DU30" s="10">
        <f>0.5/E30</f>
        <v>4.8487199379363844E-3</v>
      </c>
      <c r="DV30" s="10" t="s">
        <v>152</v>
      </c>
      <c r="DW30" s="10" t="s">
        <v>55</v>
      </c>
      <c r="DX30" s="10" t="s">
        <v>229</v>
      </c>
      <c r="DY30" s="10" t="s">
        <v>55</v>
      </c>
      <c r="DZ30" s="10" t="s">
        <v>229</v>
      </c>
      <c r="EA30" s="10" t="s">
        <v>55</v>
      </c>
      <c r="EB30" s="10">
        <f>0.1/E30</f>
        <v>9.6974398758727695E-4</v>
      </c>
      <c r="EC30" s="10" t="s">
        <v>55</v>
      </c>
      <c r="ED30" s="10">
        <f>0.1/E30</f>
        <v>9.6974398758727695E-4</v>
      </c>
      <c r="EE30" s="10" t="s">
        <v>55</v>
      </c>
      <c r="EF30" s="10" t="s">
        <v>229</v>
      </c>
      <c r="EG30" s="10" t="s">
        <v>55</v>
      </c>
      <c r="EH30" s="10" t="s">
        <v>233</v>
      </c>
      <c r="EI30" s="10" t="s">
        <v>55</v>
      </c>
      <c r="EJ30" s="10" t="s">
        <v>233</v>
      </c>
      <c r="EK30" s="10" t="s">
        <v>55</v>
      </c>
      <c r="EL30" s="10" t="s">
        <v>233</v>
      </c>
      <c r="EM30" s="10" t="s">
        <v>55</v>
      </c>
      <c r="EN30" s="10" t="s">
        <v>56</v>
      </c>
      <c r="EO30" s="10" t="s">
        <v>55</v>
      </c>
      <c r="EP30" s="10" t="s">
        <v>56</v>
      </c>
      <c r="EQ30" s="10" t="s">
        <v>55</v>
      </c>
      <c r="ER30" s="10">
        <f>0.6/E30</f>
        <v>5.8184639255236615E-3</v>
      </c>
      <c r="ES30" s="10">
        <f>0.1/E30</f>
        <v>9.6974398758727695E-4</v>
      </c>
      <c r="ET30" s="10">
        <f>3.9/E30</f>
        <v>3.7820015515903797E-2</v>
      </c>
      <c r="EU30" s="10">
        <f>0.2/E30</f>
        <v>1.9394879751745539E-3</v>
      </c>
      <c r="EV30" s="10" t="s">
        <v>241</v>
      </c>
      <c r="EW30" s="10" t="s">
        <v>55</v>
      </c>
      <c r="EX30" s="10">
        <f>0.1/E30</f>
        <v>9.6974398758727695E-4</v>
      </c>
      <c r="EY30" s="10">
        <f>0.1/E30</f>
        <v>9.6974398758727695E-4</v>
      </c>
      <c r="EZ30" s="10">
        <f>0.4/E30</f>
        <v>3.8789759503491078E-3</v>
      </c>
      <c r="FA30" s="10">
        <f>0.2/E30</f>
        <v>1.9394879751745539E-3</v>
      </c>
      <c r="FB30" s="10" t="s">
        <v>498</v>
      </c>
      <c r="FC30" s="10" t="s">
        <v>55</v>
      </c>
      <c r="FD30" s="10" t="s">
        <v>498</v>
      </c>
      <c r="FE30" s="10" t="s">
        <v>55</v>
      </c>
      <c r="FF30" s="10">
        <f>1.8/E30</f>
        <v>1.7455391776570985E-2</v>
      </c>
      <c r="FG30" s="10">
        <f>0.7/E30</f>
        <v>6.7882079131109377E-3</v>
      </c>
      <c r="FH30" s="10">
        <f>3.9/E30</f>
        <v>3.7820015515903797E-2</v>
      </c>
      <c r="FI30" s="10">
        <f>2.5/E30</f>
        <v>2.4243599689681924E-2</v>
      </c>
      <c r="FJ30" s="10">
        <f>1.3/E30</f>
        <v>1.2606671838634601E-2</v>
      </c>
      <c r="FK30" s="10">
        <f>0.7/E30</f>
        <v>6.7882079131109377E-3</v>
      </c>
      <c r="FL30" s="10">
        <f>2.9/E30</f>
        <v>2.8122575640031029E-2</v>
      </c>
      <c r="FM30" s="10">
        <f>1.2/E30</f>
        <v>1.1636927851047323E-2</v>
      </c>
      <c r="FN30" s="10">
        <f>0.5/E30</f>
        <v>4.8487199379363844E-3</v>
      </c>
      <c r="FO30" s="10">
        <f>0.3/E30</f>
        <v>2.9092319627618307E-3</v>
      </c>
      <c r="FP30" s="10">
        <f>1.1/E30</f>
        <v>1.0667183863460047E-2</v>
      </c>
      <c r="FQ30" s="10">
        <f>0.5/E30</f>
        <v>4.8487199379363844E-3</v>
      </c>
      <c r="FR30" s="10">
        <f>0.7/E30</f>
        <v>6.7882079131109377E-3</v>
      </c>
      <c r="FS30" s="10">
        <f>0.1/E30</f>
        <v>9.6974398758727695E-4</v>
      </c>
      <c r="FT30" s="8" t="s">
        <v>157</v>
      </c>
      <c r="FU30" s="8" t="s">
        <v>55</v>
      </c>
      <c r="FV30" s="8" t="s">
        <v>157</v>
      </c>
      <c r="FW30" s="8" t="s">
        <v>55</v>
      </c>
      <c r="FX30" s="8" t="s">
        <v>157</v>
      </c>
      <c r="FY30" s="8" t="s">
        <v>55</v>
      </c>
      <c r="FZ30" s="8" t="s">
        <v>157</v>
      </c>
      <c r="GA30" s="8" t="s">
        <v>55</v>
      </c>
      <c r="GB30" s="8" t="s">
        <v>157</v>
      </c>
      <c r="GC30" s="8" t="s">
        <v>55</v>
      </c>
      <c r="GD30" s="8" t="s">
        <v>157</v>
      </c>
      <c r="GE30" s="8" t="s">
        <v>55</v>
      </c>
      <c r="GF30" s="8" t="s">
        <v>157</v>
      </c>
      <c r="GG30" s="8" t="s">
        <v>55</v>
      </c>
      <c r="GH30" s="8" t="s">
        <v>157</v>
      </c>
      <c r="GI30" s="8" t="s">
        <v>55</v>
      </c>
      <c r="GJ30" s="8" t="s">
        <v>157</v>
      </c>
      <c r="GK30" s="8" t="s">
        <v>55</v>
      </c>
      <c r="GL30" s="8" t="s">
        <v>157</v>
      </c>
      <c r="GM30" s="8" t="s">
        <v>55</v>
      </c>
      <c r="GN30" s="8" t="s">
        <v>157</v>
      </c>
      <c r="GO30" s="8" t="s">
        <v>55</v>
      </c>
      <c r="GP30" s="10">
        <v>0.14000000000000001</v>
      </c>
      <c r="GQ30" s="10">
        <v>0.01</v>
      </c>
      <c r="GR30" s="10">
        <v>0.32</v>
      </c>
      <c r="GS30" s="10">
        <v>0.01</v>
      </c>
      <c r="GT30" s="10">
        <v>0.36</v>
      </c>
      <c r="GU30" s="10">
        <v>0.04</v>
      </c>
      <c r="GV30" s="10">
        <v>0.53</v>
      </c>
      <c r="GW30" s="10">
        <v>0.08</v>
      </c>
      <c r="GX30" s="10" t="s">
        <v>615</v>
      </c>
      <c r="GY30" s="10" t="s">
        <v>55</v>
      </c>
      <c r="GZ30" s="10" t="s">
        <v>56</v>
      </c>
      <c r="HA30" s="10" t="s">
        <v>55</v>
      </c>
      <c r="HB30" s="10" t="s">
        <v>56</v>
      </c>
      <c r="HC30" s="10" t="s">
        <v>55</v>
      </c>
      <c r="HD30" s="10" t="s">
        <v>56</v>
      </c>
      <c r="HE30" s="10" t="s">
        <v>55</v>
      </c>
      <c r="HF30" s="10" t="s">
        <v>56</v>
      </c>
      <c r="HG30" s="10" t="s">
        <v>55</v>
      </c>
      <c r="HH30" s="10" t="s">
        <v>56</v>
      </c>
      <c r="HI30" s="10" t="s">
        <v>55</v>
      </c>
      <c r="HJ30" s="10" t="s">
        <v>56</v>
      </c>
      <c r="HK30" s="10" t="s">
        <v>55</v>
      </c>
      <c r="HL30" s="10" t="s">
        <v>56</v>
      </c>
      <c r="HM30" s="10" t="s">
        <v>55</v>
      </c>
      <c r="HN30" s="10" t="s">
        <v>56</v>
      </c>
      <c r="HO30" s="10" t="s">
        <v>55</v>
      </c>
      <c r="HP30" s="10" t="s">
        <v>56</v>
      </c>
      <c r="HQ30" s="10" t="s">
        <v>55</v>
      </c>
      <c r="HR30" s="10" t="s">
        <v>56</v>
      </c>
      <c r="HS30" s="10" t="s">
        <v>55</v>
      </c>
      <c r="HT30" s="10" t="s">
        <v>56</v>
      </c>
      <c r="HU30" s="10" t="s">
        <v>55</v>
      </c>
      <c r="HV30" s="10" t="s">
        <v>56</v>
      </c>
      <c r="HW30" s="10" t="s">
        <v>55</v>
      </c>
      <c r="HX30" s="10" t="s">
        <v>56</v>
      </c>
      <c r="HY30" s="10" t="s">
        <v>55</v>
      </c>
      <c r="HZ30" s="10" t="s">
        <v>56</v>
      </c>
      <c r="IA30" s="10" t="s">
        <v>55</v>
      </c>
      <c r="IB30" s="10" t="s">
        <v>56</v>
      </c>
      <c r="IC30" s="10" t="s">
        <v>55</v>
      </c>
      <c r="ID30" s="1">
        <v>2.3E-2</v>
      </c>
      <c r="IE30" s="1">
        <v>3.5999999999999999E-3</v>
      </c>
      <c r="IF30" s="10" t="s">
        <v>372</v>
      </c>
      <c r="IG30" s="10" t="s">
        <v>55</v>
      </c>
      <c r="IH30" s="4" t="s">
        <v>56</v>
      </c>
      <c r="II30" s="4" t="s">
        <v>55</v>
      </c>
      <c r="IJ30" s="4" t="s">
        <v>56</v>
      </c>
      <c r="IK30" s="4" t="s">
        <v>55</v>
      </c>
      <c r="IL30" s="4" t="s">
        <v>56</v>
      </c>
      <c r="IM30" s="4" t="s">
        <v>55</v>
      </c>
      <c r="IN30" s="4" t="s">
        <v>56</v>
      </c>
      <c r="IO30" s="4" t="s">
        <v>55</v>
      </c>
      <c r="IP30" s="4" t="s">
        <v>56</v>
      </c>
      <c r="IQ30" s="4" t="s">
        <v>55</v>
      </c>
      <c r="IR30" s="4" t="s">
        <v>56</v>
      </c>
      <c r="IS30" s="4" t="s">
        <v>55</v>
      </c>
      <c r="IT30" s="1" t="s">
        <v>56</v>
      </c>
      <c r="IU30" s="1" t="s">
        <v>55</v>
      </c>
      <c r="IV30" s="4" t="s">
        <v>556</v>
      </c>
      <c r="IW30" s="4" t="s">
        <v>55</v>
      </c>
      <c r="IX30" s="4" t="s">
        <v>56</v>
      </c>
      <c r="IY30" s="4" t="s">
        <v>55</v>
      </c>
      <c r="IZ30" s="4" t="s">
        <v>56</v>
      </c>
      <c r="JA30" s="4" t="s">
        <v>55</v>
      </c>
      <c r="JB30" s="4" t="s">
        <v>56</v>
      </c>
      <c r="JC30" s="4" t="s">
        <v>55</v>
      </c>
      <c r="JD30" s="4" t="s">
        <v>56</v>
      </c>
      <c r="JE30" s="4" t="s">
        <v>55</v>
      </c>
      <c r="JF30" s="4" t="s">
        <v>56</v>
      </c>
      <c r="JG30" s="4" t="s">
        <v>55</v>
      </c>
      <c r="JH30" s="4" t="s">
        <v>56</v>
      </c>
      <c r="JI30" s="4" t="s">
        <v>55</v>
      </c>
      <c r="JJ30" s="4" t="s">
        <v>56</v>
      </c>
      <c r="JK30" s="4" t="s">
        <v>55</v>
      </c>
      <c r="JL30" s="4" t="s">
        <v>56</v>
      </c>
      <c r="JM30" s="4" t="s">
        <v>55</v>
      </c>
      <c r="JN30" s="4" t="s">
        <v>56</v>
      </c>
      <c r="JO30" s="4" t="s">
        <v>55</v>
      </c>
      <c r="JP30" s="4" t="s">
        <v>56</v>
      </c>
      <c r="JQ30" s="4" t="s">
        <v>55</v>
      </c>
      <c r="JR30" s="4" t="s">
        <v>56</v>
      </c>
      <c r="JS30" s="4" t="s">
        <v>55</v>
      </c>
      <c r="JT30" s="4" t="s">
        <v>56</v>
      </c>
      <c r="JU30" s="4" t="s">
        <v>55</v>
      </c>
      <c r="JV30" s="4" t="s">
        <v>56</v>
      </c>
      <c r="JW30" s="4" t="s">
        <v>55</v>
      </c>
      <c r="JX30" s="26" t="s">
        <v>56</v>
      </c>
      <c r="JY30" s="26" t="s">
        <v>55</v>
      </c>
      <c r="JZ30" s="26" t="s">
        <v>56</v>
      </c>
      <c r="KA30" s="26" t="s">
        <v>55</v>
      </c>
      <c r="KB30" s="26" t="s">
        <v>56</v>
      </c>
      <c r="KC30" s="26" t="s">
        <v>55</v>
      </c>
      <c r="KD30" s="26" t="s">
        <v>56</v>
      </c>
      <c r="KE30" s="26" t="s">
        <v>55</v>
      </c>
      <c r="KF30" s="26" t="s">
        <v>56</v>
      </c>
      <c r="KG30" s="26" t="s">
        <v>55</v>
      </c>
      <c r="KH30" s="4" t="s">
        <v>56</v>
      </c>
      <c r="KI30" s="4" t="s">
        <v>55</v>
      </c>
      <c r="KJ30" s="4" t="s">
        <v>56</v>
      </c>
      <c r="KK30" s="4" t="s">
        <v>55</v>
      </c>
      <c r="KL30" s="4" t="s">
        <v>56</v>
      </c>
      <c r="KM30" s="4" t="s">
        <v>55</v>
      </c>
      <c r="KN30" s="4" t="s">
        <v>56</v>
      </c>
      <c r="KO30" s="4" t="s">
        <v>55</v>
      </c>
      <c r="KP30" s="4" t="s">
        <v>56</v>
      </c>
      <c r="KQ30" s="4" t="s">
        <v>55</v>
      </c>
      <c r="KR30" s="17" t="s">
        <v>56</v>
      </c>
      <c r="KS30" s="17" t="s">
        <v>55</v>
      </c>
      <c r="KT30" s="17" t="s">
        <v>56</v>
      </c>
      <c r="KU30" s="17" t="s">
        <v>55</v>
      </c>
      <c r="KV30" s="4" t="s">
        <v>56</v>
      </c>
      <c r="KW30" s="4" t="s">
        <v>55</v>
      </c>
      <c r="KX30" s="4" t="s">
        <v>56</v>
      </c>
      <c r="KY30" s="4" t="s">
        <v>55</v>
      </c>
      <c r="KZ30" s="4" t="s">
        <v>56</v>
      </c>
      <c r="LA30" s="4" t="s">
        <v>55</v>
      </c>
      <c r="LB30" s="10" t="s">
        <v>56</v>
      </c>
      <c r="LC30" s="10" t="s">
        <v>55</v>
      </c>
      <c r="LD30" s="10" t="s">
        <v>56</v>
      </c>
      <c r="LE30" s="10" t="s">
        <v>55</v>
      </c>
      <c r="LF30" s="10" t="s">
        <v>56</v>
      </c>
      <c r="LG30" s="10" t="s">
        <v>55</v>
      </c>
      <c r="LH30" s="10" t="s">
        <v>56</v>
      </c>
      <c r="LI30" s="10" t="s">
        <v>55</v>
      </c>
      <c r="LJ30" s="10" t="s">
        <v>56</v>
      </c>
      <c r="LK30" s="10" t="s">
        <v>162</v>
      </c>
      <c r="LL30" s="10" t="s">
        <v>56</v>
      </c>
      <c r="LM30" s="10" t="s">
        <v>162</v>
      </c>
      <c r="LN30" s="10" t="s">
        <v>56</v>
      </c>
      <c r="LO30" s="10" t="s">
        <v>162</v>
      </c>
      <c r="LP30" s="10" t="s">
        <v>56</v>
      </c>
      <c r="LQ30" s="10" t="s">
        <v>162</v>
      </c>
      <c r="LR30" s="10" t="s">
        <v>56</v>
      </c>
      <c r="LS30" s="10" t="s">
        <v>162</v>
      </c>
      <c r="LT30" s="10" t="s">
        <v>56</v>
      </c>
      <c r="LU30" s="10" t="s">
        <v>162</v>
      </c>
      <c r="LV30" s="10" t="s">
        <v>56</v>
      </c>
      <c r="LW30" s="10" t="s">
        <v>55</v>
      </c>
      <c r="LX30" s="10" t="s">
        <v>56</v>
      </c>
      <c r="LY30" s="10" t="s">
        <v>55</v>
      </c>
      <c r="LZ30" s="10" t="s">
        <v>56</v>
      </c>
      <c r="MA30" s="10" t="s">
        <v>55</v>
      </c>
      <c r="MB30" s="10" t="s">
        <v>56</v>
      </c>
      <c r="MC30" s="10" t="s">
        <v>55</v>
      </c>
      <c r="MD30" s="17" t="s">
        <v>56</v>
      </c>
      <c r="ME30" s="4" t="s">
        <v>55</v>
      </c>
      <c r="MF30" s="17" t="s">
        <v>56</v>
      </c>
      <c r="MG30" s="4" t="s">
        <v>55</v>
      </c>
      <c r="MH30" s="17" t="s">
        <v>56</v>
      </c>
      <c r="MI30" s="4" t="s">
        <v>55</v>
      </c>
      <c r="MJ30" s="17" t="s">
        <v>56</v>
      </c>
      <c r="MK30" s="4" t="s">
        <v>55</v>
      </c>
      <c r="ML30" s="17" t="s">
        <v>56</v>
      </c>
      <c r="MM30" s="4" t="s">
        <v>55</v>
      </c>
      <c r="MN30" s="17" t="s">
        <v>56</v>
      </c>
      <c r="MO30" s="4" t="s">
        <v>55</v>
      </c>
      <c r="MP30" s="17" t="s">
        <v>56</v>
      </c>
      <c r="MQ30" s="4" t="s">
        <v>55</v>
      </c>
      <c r="MR30" s="17" t="s">
        <v>56</v>
      </c>
      <c r="MS30" s="4" t="s">
        <v>55</v>
      </c>
      <c r="MT30" s="17" t="s">
        <v>56</v>
      </c>
      <c r="MU30" s="4" t="s">
        <v>55</v>
      </c>
      <c r="MV30" s="17" t="s">
        <v>56</v>
      </c>
      <c r="MW30" s="4" t="s">
        <v>55</v>
      </c>
      <c r="MX30" s="17" t="s">
        <v>56</v>
      </c>
      <c r="MY30" s="4" t="s">
        <v>55</v>
      </c>
      <c r="MZ30" s="17" t="s">
        <v>56</v>
      </c>
      <c r="NA30" s="4" t="s">
        <v>55</v>
      </c>
      <c r="NB30" s="10" t="s">
        <v>56</v>
      </c>
      <c r="NC30" s="10" t="s">
        <v>55</v>
      </c>
      <c r="ND30" s="10" t="s">
        <v>56</v>
      </c>
      <c r="NE30" s="10" t="s">
        <v>55</v>
      </c>
      <c r="NF30" s="10" t="s">
        <v>56</v>
      </c>
      <c r="NG30" s="10" t="s">
        <v>55</v>
      </c>
      <c r="NH30" s="10" t="s">
        <v>56</v>
      </c>
      <c r="NI30" s="10" t="s">
        <v>55</v>
      </c>
      <c r="NJ30" s="10" t="s">
        <v>56</v>
      </c>
      <c r="NK30" s="10" t="s">
        <v>55</v>
      </c>
      <c r="NL30" s="10" t="s">
        <v>56</v>
      </c>
      <c r="NM30" s="4" t="s">
        <v>55</v>
      </c>
      <c r="NN30" s="10" t="s">
        <v>56</v>
      </c>
      <c r="NO30" s="4" t="s">
        <v>55</v>
      </c>
      <c r="NP30" s="10" t="s">
        <v>56</v>
      </c>
      <c r="NQ30" s="4" t="s">
        <v>55</v>
      </c>
      <c r="NR30" s="10">
        <f>(24*1000)/E30</f>
        <v>232.73855702094647</v>
      </c>
      <c r="NS30" s="10">
        <f>(2*1000)/E30</f>
        <v>19.394879751745538</v>
      </c>
      <c r="NT30" s="10">
        <f>(41*1000)/E30</f>
        <v>397.59503491078351</v>
      </c>
      <c r="NU30" s="10">
        <f>(4*1000)/E30</f>
        <v>38.789759503491076</v>
      </c>
    </row>
    <row r="31" spans="1:385" x14ac:dyDescent="0.2">
      <c r="A31" t="s">
        <v>1042</v>
      </c>
      <c r="B31" s="1" t="s">
        <v>1040</v>
      </c>
      <c r="C31" s="1" t="s">
        <v>843</v>
      </c>
      <c r="D31" s="39" cm="1">
        <f t="array" ref="D31">SUMPRODUCT((ISNUMBER(F31:NU31))*(MOD(COLUMN(F31:NU31),2)=0))</f>
        <v>5</v>
      </c>
      <c r="E31" s="1">
        <v>103.12</v>
      </c>
      <c r="F31" s="9" t="s">
        <v>56</v>
      </c>
      <c r="G31" s="9" t="s">
        <v>55</v>
      </c>
      <c r="H31" s="9" t="s">
        <v>56</v>
      </c>
      <c r="I31" s="9" t="s">
        <v>55</v>
      </c>
      <c r="J31" s="9" t="s">
        <v>56</v>
      </c>
      <c r="K31" s="9" t="s">
        <v>55</v>
      </c>
      <c r="L31" s="9" t="s">
        <v>56</v>
      </c>
      <c r="M31" s="9" t="s">
        <v>55</v>
      </c>
      <c r="N31" s="9" t="s">
        <v>56</v>
      </c>
      <c r="O31" s="9" t="s">
        <v>55</v>
      </c>
      <c r="P31" s="12">
        <f>49/E29</f>
        <v>0.4751745539177657</v>
      </c>
      <c r="Q31" s="12">
        <f>5/E29</f>
        <v>4.8487199379363848E-2</v>
      </c>
      <c r="R31" s="9" t="s">
        <v>56</v>
      </c>
      <c r="S31" s="9" t="s">
        <v>55</v>
      </c>
      <c r="T31" s="9" t="s">
        <v>56</v>
      </c>
      <c r="U31" s="9" t="s">
        <v>55</v>
      </c>
      <c r="V31" s="9" t="s">
        <v>56</v>
      </c>
      <c r="W31" s="9" t="s">
        <v>55</v>
      </c>
      <c r="X31" s="4">
        <v>58.1</v>
      </c>
      <c r="Y31" s="4">
        <v>0.8</v>
      </c>
      <c r="Z31" s="12">
        <f>3094/E29</f>
        <v>30.003878975950347</v>
      </c>
      <c r="AA31" s="12">
        <f>149/E29</f>
        <v>1.4449185415050425</v>
      </c>
      <c r="AB31" s="9" t="s">
        <v>56</v>
      </c>
      <c r="AC31" s="9" t="s">
        <v>55</v>
      </c>
      <c r="AD31" s="9" t="s">
        <v>56</v>
      </c>
      <c r="AE31" s="9" t="s">
        <v>55</v>
      </c>
      <c r="AF31" s="9" t="s">
        <v>56</v>
      </c>
      <c r="AG31" s="9" t="s">
        <v>55</v>
      </c>
      <c r="AH31" s="9" t="s">
        <v>56</v>
      </c>
      <c r="AI31" s="9" t="s">
        <v>55</v>
      </c>
      <c r="AJ31" s="9" t="s">
        <v>56</v>
      </c>
      <c r="AK31" s="9" t="s">
        <v>55</v>
      </c>
      <c r="AL31" s="9" t="s">
        <v>56</v>
      </c>
      <c r="AM31" s="9" t="s">
        <v>55</v>
      </c>
      <c r="AN31" s="9" t="s">
        <v>56</v>
      </c>
      <c r="AO31" s="9" t="s">
        <v>55</v>
      </c>
      <c r="AP31" s="9" t="s">
        <v>56</v>
      </c>
      <c r="AQ31" s="9" t="s">
        <v>55</v>
      </c>
      <c r="AR31" s="9" t="s">
        <v>56</v>
      </c>
      <c r="AS31" s="9" t="s">
        <v>55</v>
      </c>
      <c r="AT31" s="9" t="s">
        <v>56</v>
      </c>
      <c r="AU31" s="9" t="s">
        <v>55</v>
      </c>
      <c r="AV31" s="9" t="s">
        <v>56</v>
      </c>
      <c r="AW31" s="9" t="s">
        <v>55</v>
      </c>
      <c r="AX31" s="9" t="s">
        <v>56</v>
      </c>
      <c r="AY31" s="9" t="s">
        <v>55</v>
      </c>
      <c r="AZ31" s="9" t="s">
        <v>56</v>
      </c>
      <c r="BA31" s="9" t="s">
        <v>55</v>
      </c>
      <c r="BB31" s="9" t="s">
        <v>56</v>
      </c>
      <c r="BC31" s="9" t="s">
        <v>55</v>
      </c>
      <c r="BD31" s="4">
        <v>2.5</v>
      </c>
      <c r="BE31" s="1" t="s">
        <v>55</v>
      </c>
      <c r="BF31" s="9" t="s">
        <v>56</v>
      </c>
      <c r="BG31" s="9" t="s">
        <v>55</v>
      </c>
      <c r="BH31" s="9" t="s">
        <v>56</v>
      </c>
      <c r="BI31" s="9" t="s">
        <v>55</v>
      </c>
      <c r="BJ31" s="9" t="s">
        <v>56</v>
      </c>
      <c r="BK31" s="9" t="s">
        <v>55</v>
      </c>
      <c r="BL31" s="9" t="s">
        <v>56</v>
      </c>
      <c r="BM31" s="9" t="s">
        <v>55</v>
      </c>
      <c r="BN31" s="9" t="s">
        <v>56</v>
      </c>
      <c r="BO31" s="9" t="s">
        <v>55</v>
      </c>
      <c r="BP31" s="9" t="s">
        <v>56</v>
      </c>
      <c r="BQ31" s="9" t="s">
        <v>55</v>
      </c>
      <c r="BR31" s="9" t="s">
        <v>56</v>
      </c>
      <c r="BS31" s="9" t="s">
        <v>55</v>
      </c>
      <c r="BT31" s="9" t="s">
        <v>56</v>
      </c>
      <c r="BU31" s="9" t="s">
        <v>55</v>
      </c>
      <c r="BV31" s="9" t="s">
        <v>56</v>
      </c>
      <c r="BW31" s="9" t="s">
        <v>55</v>
      </c>
      <c r="BX31" s="9" t="s">
        <v>56</v>
      </c>
      <c r="BY31" s="9" t="s">
        <v>55</v>
      </c>
      <c r="BZ31" s="9" t="s">
        <v>56</v>
      </c>
      <c r="CA31" s="9" t="s">
        <v>55</v>
      </c>
      <c r="CB31" s="9" t="s">
        <v>56</v>
      </c>
      <c r="CC31" s="9" t="s">
        <v>55</v>
      </c>
      <c r="CD31" s="9" t="s">
        <v>56</v>
      </c>
      <c r="CE31" s="9" t="s">
        <v>55</v>
      </c>
      <c r="CF31" s="9" t="s">
        <v>56</v>
      </c>
      <c r="CG31" s="9" t="s">
        <v>55</v>
      </c>
      <c r="CH31" s="9" t="s">
        <v>56</v>
      </c>
      <c r="CI31" s="9" t="s">
        <v>55</v>
      </c>
      <c r="CJ31" s="9" t="s">
        <v>56</v>
      </c>
      <c r="CK31" s="9" t="s">
        <v>55</v>
      </c>
      <c r="CL31" s="9" t="s">
        <v>56</v>
      </c>
      <c r="CM31" s="9" t="s">
        <v>55</v>
      </c>
      <c r="CN31" s="9" t="s">
        <v>56</v>
      </c>
      <c r="CO31" s="9" t="s">
        <v>55</v>
      </c>
      <c r="CP31" s="9" t="s">
        <v>56</v>
      </c>
      <c r="CQ31" s="9" t="s">
        <v>55</v>
      </c>
      <c r="CR31" s="9" t="s">
        <v>56</v>
      </c>
      <c r="CS31" s="9" t="s">
        <v>55</v>
      </c>
      <c r="CT31" s="9" t="s">
        <v>56</v>
      </c>
      <c r="CU31" s="9" t="s">
        <v>55</v>
      </c>
      <c r="CV31" s="9" t="s">
        <v>56</v>
      </c>
      <c r="CW31" s="9" t="s">
        <v>55</v>
      </c>
      <c r="CX31" s="9" t="s">
        <v>56</v>
      </c>
      <c r="CY31" s="9" t="s">
        <v>55</v>
      </c>
      <c r="CZ31" s="9" t="s">
        <v>56</v>
      </c>
      <c r="DA31" s="9" t="s">
        <v>55</v>
      </c>
      <c r="DB31" s="9" t="s">
        <v>56</v>
      </c>
      <c r="DC31" s="9" t="s">
        <v>55</v>
      </c>
      <c r="DD31" s="9" t="s">
        <v>56</v>
      </c>
      <c r="DE31" s="9" t="s">
        <v>55</v>
      </c>
      <c r="DF31" s="9" t="s">
        <v>56</v>
      </c>
      <c r="DG31" s="9" t="s">
        <v>55</v>
      </c>
      <c r="DH31" s="9" t="s">
        <v>56</v>
      </c>
      <c r="DI31" s="9" t="s">
        <v>55</v>
      </c>
      <c r="DJ31" s="9" t="s">
        <v>56</v>
      </c>
      <c r="DK31" s="9" t="s">
        <v>55</v>
      </c>
      <c r="DL31" s="9" t="s">
        <v>56</v>
      </c>
      <c r="DM31" s="9" t="s">
        <v>55</v>
      </c>
      <c r="DN31" s="9" t="s">
        <v>56</v>
      </c>
      <c r="DO31" s="9" t="s">
        <v>55</v>
      </c>
      <c r="DP31" s="9" t="s">
        <v>56</v>
      </c>
      <c r="DQ31" s="9" t="s">
        <v>55</v>
      </c>
      <c r="DR31" s="9" t="s">
        <v>56</v>
      </c>
      <c r="DS31" s="9" t="s">
        <v>55</v>
      </c>
      <c r="DT31" s="9" t="s">
        <v>56</v>
      </c>
      <c r="DU31" s="9" t="s">
        <v>55</v>
      </c>
      <c r="DV31" s="9" t="s">
        <v>56</v>
      </c>
      <c r="DW31" s="9" t="s">
        <v>55</v>
      </c>
      <c r="DX31" s="9" t="s">
        <v>56</v>
      </c>
      <c r="DY31" s="9" t="s">
        <v>55</v>
      </c>
      <c r="DZ31" s="9" t="s">
        <v>56</v>
      </c>
      <c r="EA31" s="9" t="s">
        <v>55</v>
      </c>
      <c r="EB31" s="9" t="s">
        <v>56</v>
      </c>
      <c r="EC31" s="9" t="s">
        <v>55</v>
      </c>
      <c r="ED31" s="9" t="s">
        <v>56</v>
      </c>
      <c r="EE31" s="9" t="s">
        <v>55</v>
      </c>
      <c r="EF31" s="9" t="s">
        <v>56</v>
      </c>
      <c r="EG31" s="9" t="s">
        <v>55</v>
      </c>
      <c r="EH31" s="9" t="s">
        <v>56</v>
      </c>
      <c r="EI31" s="9" t="s">
        <v>55</v>
      </c>
      <c r="EJ31" s="9" t="s">
        <v>56</v>
      </c>
      <c r="EK31" s="9" t="s">
        <v>55</v>
      </c>
      <c r="EL31" s="9" t="s">
        <v>56</v>
      </c>
      <c r="EM31" s="9" t="s">
        <v>55</v>
      </c>
      <c r="EN31" s="9" t="s">
        <v>56</v>
      </c>
      <c r="EO31" s="9" t="s">
        <v>55</v>
      </c>
      <c r="EP31" s="9" t="s">
        <v>56</v>
      </c>
      <c r="EQ31" s="9" t="s">
        <v>55</v>
      </c>
      <c r="ER31" s="9" t="s">
        <v>56</v>
      </c>
      <c r="ES31" s="9" t="s">
        <v>55</v>
      </c>
      <c r="ET31" s="9" t="s">
        <v>56</v>
      </c>
      <c r="EU31" s="9" t="s">
        <v>55</v>
      </c>
      <c r="EV31" s="9" t="s">
        <v>56</v>
      </c>
      <c r="EW31" s="9" t="s">
        <v>55</v>
      </c>
      <c r="EX31" s="9" t="s">
        <v>56</v>
      </c>
      <c r="EY31" s="9" t="s">
        <v>55</v>
      </c>
      <c r="EZ31" s="9" t="s">
        <v>56</v>
      </c>
      <c r="FA31" s="9" t="s">
        <v>55</v>
      </c>
      <c r="FB31" s="9" t="s">
        <v>56</v>
      </c>
      <c r="FC31" s="9" t="s">
        <v>55</v>
      </c>
      <c r="FD31" s="9" t="s">
        <v>56</v>
      </c>
      <c r="FE31" s="9" t="s">
        <v>55</v>
      </c>
      <c r="FF31" s="9" t="s">
        <v>56</v>
      </c>
      <c r="FG31" s="9" t="s">
        <v>55</v>
      </c>
      <c r="FH31" s="9" t="s">
        <v>56</v>
      </c>
      <c r="FI31" s="9" t="s">
        <v>55</v>
      </c>
      <c r="FJ31" s="9" t="s">
        <v>56</v>
      </c>
      <c r="FK31" s="9" t="s">
        <v>55</v>
      </c>
      <c r="FL31" s="9" t="s">
        <v>56</v>
      </c>
      <c r="FM31" s="9" t="s">
        <v>55</v>
      </c>
      <c r="FN31" s="9" t="s">
        <v>56</v>
      </c>
      <c r="FO31" s="9" t="s">
        <v>55</v>
      </c>
      <c r="FP31" s="9" t="s">
        <v>56</v>
      </c>
      <c r="FQ31" s="9" t="s">
        <v>55</v>
      </c>
      <c r="FR31" s="9" t="s">
        <v>56</v>
      </c>
      <c r="FS31" s="9" t="s">
        <v>55</v>
      </c>
      <c r="FT31" s="9" t="s">
        <v>56</v>
      </c>
      <c r="FU31" s="9" t="s">
        <v>55</v>
      </c>
      <c r="FV31" s="9" t="s">
        <v>56</v>
      </c>
      <c r="FW31" s="9" t="s">
        <v>55</v>
      </c>
      <c r="FX31" s="9" t="s">
        <v>56</v>
      </c>
      <c r="FY31" s="9" t="s">
        <v>55</v>
      </c>
      <c r="FZ31" s="9" t="s">
        <v>56</v>
      </c>
      <c r="GA31" s="9" t="s">
        <v>55</v>
      </c>
      <c r="GB31" s="9" t="s">
        <v>56</v>
      </c>
      <c r="GC31" s="9" t="s">
        <v>55</v>
      </c>
      <c r="GD31" s="9" t="s">
        <v>56</v>
      </c>
      <c r="GE31" s="9" t="s">
        <v>55</v>
      </c>
      <c r="GF31" s="9" t="s">
        <v>56</v>
      </c>
      <c r="GG31" s="9" t="s">
        <v>55</v>
      </c>
      <c r="GH31" s="9" t="s">
        <v>56</v>
      </c>
      <c r="GI31" s="9" t="s">
        <v>55</v>
      </c>
      <c r="GJ31" s="9" t="s">
        <v>56</v>
      </c>
      <c r="GK31" s="9" t="s">
        <v>55</v>
      </c>
      <c r="GL31" s="9" t="s">
        <v>56</v>
      </c>
      <c r="GM31" s="9" t="s">
        <v>55</v>
      </c>
      <c r="GN31" s="9" t="s">
        <v>56</v>
      </c>
      <c r="GO31" s="9" t="s">
        <v>55</v>
      </c>
      <c r="GP31" s="9" t="s">
        <v>56</v>
      </c>
      <c r="GQ31" s="9" t="s">
        <v>55</v>
      </c>
      <c r="GR31" s="9" t="s">
        <v>56</v>
      </c>
      <c r="GS31" s="9" t="s">
        <v>55</v>
      </c>
      <c r="GT31" s="9" t="s">
        <v>56</v>
      </c>
      <c r="GU31" s="9" t="s">
        <v>55</v>
      </c>
      <c r="GV31" s="17" t="s">
        <v>56</v>
      </c>
      <c r="GW31" s="17" t="s">
        <v>55</v>
      </c>
      <c r="GX31" s="9" t="s">
        <v>56</v>
      </c>
      <c r="GY31" s="9" t="s">
        <v>55</v>
      </c>
      <c r="GZ31" s="10" t="s">
        <v>56</v>
      </c>
      <c r="HA31" s="10" t="s">
        <v>55</v>
      </c>
      <c r="HB31" s="10" t="s">
        <v>56</v>
      </c>
      <c r="HC31" s="10" t="s">
        <v>55</v>
      </c>
      <c r="HD31" s="10" t="s">
        <v>56</v>
      </c>
      <c r="HE31" s="10" t="s">
        <v>55</v>
      </c>
      <c r="HF31" s="10" t="s">
        <v>56</v>
      </c>
      <c r="HG31" s="10" t="s">
        <v>55</v>
      </c>
      <c r="HH31" s="10" t="s">
        <v>56</v>
      </c>
      <c r="HI31" s="10" t="s">
        <v>55</v>
      </c>
      <c r="HJ31" s="10" t="s">
        <v>56</v>
      </c>
      <c r="HK31" s="10" t="s">
        <v>55</v>
      </c>
      <c r="HL31" s="10" t="s">
        <v>56</v>
      </c>
      <c r="HM31" s="10" t="s">
        <v>55</v>
      </c>
      <c r="HN31" s="10" t="s">
        <v>56</v>
      </c>
      <c r="HO31" s="10" t="s">
        <v>55</v>
      </c>
      <c r="HP31" s="10" t="s">
        <v>56</v>
      </c>
      <c r="HQ31" s="10" t="s">
        <v>55</v>
      </c>
      <c r="HR31" s="10" t="s">
        <v>56</v>
      </c>
      <c r="HS31" s="10" t="s">
        <v>55</v>
      </c>
      <c r="HT31" s="10" t="s">
        <v>56</v>
      </c>
      <c r="HU31" s="10" t="s">
        <v>55</v>
      </c>
      <c r="HV31" s="10" t="s">
        <v>56</v>
      </c>
      <c r="HW31" s="10" t="s">
        <v>55</v>
      </c>
      <c r="HX31" s="10" t="s">
        <v>56</v>
      </c>
      <c r="HY31" s="10" t="s">
        <v>55</v>
      </c>
      <c r="HZ31" s="10" t="s">
        <v>56</v>
      </c>
      <c r="IA31" s="10" t="s">
        <v>55</v>
      </c>
      <c r="IB31" s="10" t="s">
        <v>56</v>
      </c>
      <c r="IC31" s="10" t="s">
        <v>55</v>
      </c>
      <c r="ID31" s="10" t="s">
        <v>56</v>
      </c>
      <c r="IE31" s="10" t="s">
        <v>55</v>
      </c>
      <c r="IF31" s="10" t="s">
        <v>56</v>
      </c>
      <c r="IG31" s="10" t="s">
        <v>55</v>
      </c>
      <c r="IH31" s="4" t="s">
        <v>75</v>
      </c>
      <c r="II31" s="4" t="s">
        <v>55</v>
      </c>
      <c r="IJ31" s="4" t="s">
        <v>372</v>
      </c>
      <c r="IK31" s="4" t="s">
        <v>55</v>
      </c>
      <c r="IL31" s="4" t="s">
        <v>372</v>
      </c>
      <c r="IM31" s="4" t="s">
        <v>55</v>
      </c>
      <c r="IN31" s="4">
        <v>0.1</v>
      </c>
      <c r="IO31" s="4" t="s">
        <v>55</v>
      </c>
      <c r="IP31" s="4" t="s">
        <v>372</v>
      </c>
      <c r="IQ31" s="4" t="s">
        <v>55</v>
      </c>
      <c r="IR31" s="4" t="s">
        <v>56</v>
      </c>
      <c r="IS31" s="4" t="s">
        <v>55</v>
      </c>
      <c r="IT31" s="4" t="s">
        <v>56</v>
      </c>
      <c r="IU31" s="4" t="s">
        <v>55</v>
      </c>
      <c r="IV31" s="4" t="s">
        <v>56</v>
      </c>
      <c r="IW31" s="4" t="s">
        <v>55</v>
      </c>
      <c r="IX31" s="4" t="s">
        <v>56</v>
      </c>
      <c r="IY31" s="4" t="s">
        <v>55</v>
      </c>
      <c r="IZ31" s="4" t="s">
        <v>56</v>
      </c>
      <c r="JA31" s="4" t="s">
        <v>55</v>
      </c>
      <c r="JB31" s="4" t="s">
        <v>56</v>
      </c>
      <c r="JC31" s="4" t="s">
        <v>55</v>
      </c>
      <c r="JD31" s="4" t="s">
        <v>56</v>
      </c>
      <c r="JE31" s="4" t="s">
        <v>55</v>
      </c>
      <c r="JF31" s="4" t="s">
        <v>56</v>
      </c>
      <c r="JG31" s="4" t="s">
        <v>55</v>
      </c>
      <c r="JH31" s="4" t="s">
        <v>56</v>
      </c>
      <c r="JI31" s="4" t="s">
        <v>55</v>
      </c>
      <c r="JJ31" s="4" t="s">
        <v>56</v>
      </c>
      <c r="JK31" s="4" t="s">
        <v>55</v>
      </c>
      <c r="JL31" s="4" t="s">
        <v>56</v>
      </c>
      <c r="JM31" s="4" t="s">
        <v>55</v>
      </c>
      <c r="JN31" s="4" t="s">
        <v>56</v>
      </c>
      <c r="JO31" s="4" t="s">
        <v>55</v>
      </c>
      <c r="JP31" s="4" t="s">
        <v>56</v>
      </c>
      <c r="JQ31" s="4" t="s">
        <v>55</v>
      </c>
      <c r="JR31" s="4" t="s">
        <v>56</v>
      </c>
      <c r="JS31" s="4" t="s">
        <v>55</v>
      </c>
      <c r="JT31" s="4" t="s">
        <v>56</v>
      </c>
      <c r="JU31" s="4" t="s">
        <v>55</v>
      </c>
      <c r="JV31" s="4" t="s">
        <v>56</v>
      </c>
      <c r="JW31" s="4" t="s">
        <v>55</v>
      </c>
      <c r="JX31" s="4" t="s">
        <v>56</v>
      </c>
      <c r="JY31" s="4" t="s">
        <v>55</v>
      </c>
      <c r="JZ31" s="4" t="s">
        <v>56</v>
      </c>
      <c r="KA31" s="4" t="s">
        <v>55</v>
      </c>
      <c r="KB31" s="4" t="s">
        <v>56</v>
      </c>
      <c r="KC31" s="4" t="s">
        <v>55</v>
      </c>
      <c r="KD31" s="4" t="s">
        <v>56</v>
      </c>
      <c r="KE31" s="4" t="s">
        <v>55</v>
      </c>
      <c r="KF31" s="4" t="s">
        <v>56</v>
      </c>
      <c r="KG31" s="4" t="s">
        <v>55</v>
      </c>
      <c r="KH31" s="4" t="s">
        <v>56</v>
      </c>
      <c r="KI31" s="4" t="s">
        <v>55</v>
      </c>
      <c r="KJ31" s="4" t="s">
        <v>56</v>
      </c>
      <c r="KK31" s="4" t="s">
        <v>55</v>
      </c>
      <c r="KL31" s="4" t="s">
        <v>56</v>
      </c>
      <c r="KM31" s="4" t="s">
        <v>55</v>
      </c>
      <c r="KN31" s="4" t="s">
        <v>56</v>
      </c>
      <c r="KO31" s="4" t="s">
        <v>55</v>
      </c>
      <c r="KP31" s="4" t="s">
        <v>56</v>
      </c>
      <c r="KQ31" s="4" t="s">
        <v>55</v>
      </c>
      <c r="KR31" s="4" t="s">
        <v>56</v>
      </c>
      <c r="KS31" s="4" t="s">
        <v>55</v>
      </c>
      <c r="KT31" s="4" t="s">
        <v>56</v>
      </c>
      <c r="KU31" s="4" t="s">
        <v>55</v>
      </c>
      <c r="KV31" s="4" t="s">
        <v>56</v>
      </c>
      <c r="KW31" s="4" t="s">
        <v>55</v>
      </c>
      <c r="KX31" s="4" t="s">
        <v>56</v>
      </c>
      <c r="KY31" s="4" t="s">
        <v>55</v>
      </c>
      <c r="KZ31" s="4" t="s">
        <v>56</v>
      </c>
      <c r="LA31" s="4" t="s">
        <v>55</v>
      </c>
      <c r="LB31" s="4" t="s">
        <v>56</v>
      </c>
      <c r="LC31" s="4" t="s">
        <v>55</v>
      </c>
      <c r="LD31" s="4" t="s">
        <v>56</v>
      </c>
      <c r="LE31" s="4" t="s">
        <v>55</v>
      </c>
      <c r="LF31" s="4" t="s">
        <v>56</v>
      </c>
      <c r="LG31" s="4" t="s">
        <v>55</v>
      </c>
      <c r="LH31" s="4" t="s">
        <v>56</v>
      </c>
      <c r="LI31" s="4" t="s">
        <v>55</v>
      </c>
      <c r="LJ31" s="4" t="s">
        <v>56</v>
      </c>
      <c r="LK31" s="4" t="s">
        <v>55</v>
      </c>
      <c r="LL31" s="4" t="s">
        <v>56</v>
      </c>
      <c r="LM31" s="4" t="s">
        <v>55</v>
      </c>
      <c r="LN31" s="4" t="s">
        <v>56</v>
      </c>
      <c r="LO31" s="4" t="s">
        <v>55</v>
      </c>
      <c r="LP31" s="4" t="s">
        <v>56</v>
      </c>
      <c r="LQ31" s="4" t="s">
        <v>55</v>
      </c>
      <c r="LR31" s="4" t="s">
        <v>56</v>
      </c>
      <c r="LS31" s="4" t="s">
        <v>55</v>
      </c>
      <c r="LT31" s="4" t="s">
        <v>56</v>
      </c>
      <c r="LU31" s="4" t="s">
        <v>55</v>
      </c>
      <c r="LV31" s="4" t="s">
        <v>56</v>
      </c>
      <c r="LW31" s="4" t="s">
        <v>55</v>
      </c>
      <c r="LX31" s="4" t="s">
        <v>56</v>
      </c>
      <c r="LY31" s="4" t="s">
        <v>55</v>
      </c>
      <c r="LZ31" s="4" t="s">
        <v>56</v>
      </c>
      <c r="MA31" s="4" t="s">
        <v>55</v>
      </c>
      <c r="MB31" s="4" t="s">
        <v>56</v>
      </c>
      <c r="MC31" s="4" t="s">
        <v>55</v>
      </c>
      <c r="MD31" s="4" t="s">
        <v>56</v>
      </c>
      <c r="ME31" s="4" t="s">
        <v>55</v>
      </c>
      <c r="MF31" s="4" t="s">
        <v>56</v>
      </c>
      <c r="MG31" s="4" t="s">
        <v>55</v>
      </c>
      <c r="MH31" s="4" t="s">
        <v>56</v>
      </c>
      <c r="MI31" s="4" t="s">
        <v>55</v>
      </c>
      <c r="MJ31" s="4" t="s">
        <v>56</v>
      </c>
      <c r="MK31" s="4" t="s">
        <v>55</v>
      </c>
      <c r="ML31" s="4" t="s">
        <v>56</v>
      </c>
      <c r="MM31" s="4" t="s">
        <v>55</v>
      </c>
      <c r="MN31" s="4" t="s">
        <v>56</v>
      </c>
      <c r="MO31" s="4" t="s">
        <v>55</v>
      </c>
      <c r="MP31" s="4" t="s">
        <v>56</v>
      </c>
      <c r="MQ31" s="4" t="s">
        <v>55</v>
      </c>
      <c r="MR31" s="4" t="s">
        <v>56</v>
      </c>
      <c r="MS31" s="4" t="s">
        <v>55</v>
      </c>
      <c r="MT31" s="4" t="s">
        <v>56</v>
      </c>
      <c r="MU31" s="4" t="s">
        <v>55</v>
      </c>
      <c r="MV31" s="4" t="s">
        <v>56</v>
      </c>
      <c r="MW31" s="4" t="s">
        <v>55</v>
      </c>
      <c r="MX31" s="4" t="s">
        <v>56</v>
      </c>
      <c r="MY31" s="4" t="s">
        <v>55</v>
      </c>
      <c r="MZ31" s="4" t="s">
        <v>56</v>
      </c>
      <c r="NA31" s="4" t="s">
        <v>55</v>
      </c>
      <c r="NB31" s="4" t="s">
        <v>56</v>
      </c>
      <c r="NC31" s="4" t="s">
        <v>55</v>
      </c>
      <c r="ND31" s="4" t="s">
        <v>56</v>
      </c>
      <c r="NE31" s="4" t="s">
        <v>55</v>
      </c>
      <c r="NF31" s="4" t="s">
        <v>56</v>
      </c>
      <c r="NG31" s="4" t="s">
        <v>55</v>
      </c>
      <c r="NH31" s="4" t="s">
        <v>56</v>
      </c>
      <c r="NI31" s="4" t="s">
        <v>55</v>
      </c>
      <c r="NJ31" s="4" t="s">
        <v>56</v>
      </c>
      <c r="NK31" s="4" t="s">
        <v>55</v>
      </c>
      <c r="NL31" s="4" t="s">
        <v>56</v>
      </c>
      <c r="NM31" s="4" t="s">
        <v>55</v>
      </c>
      <c r="NN31" s="4" t="s">
        <v>56</v>
      </c>
      <c r="NO31" s="4" t="s">
        <v>55</v>
      </c>
      <c r="NP31" s="4" t="s">
        <v>56</v>
      </c>
      <c r="NQ31" s="4" t="s">
        <v>55</v>
      </c>
      <c r="NR31" s="4" t="s">
        <v>56</v>
      </c>
      <c r="NS31" s="4" t="s">
        <v>55</v>
      </c>
      <c r="NT31" s="4" t="s">
        <v>56</v>
      </c>
      <c r="NU31" s="4" t="s">
        <v>55</v>
      </c>
    </row>
    <row r="32" spans="1:385" x14ac:dyDescent="0.2">
      <c r="A32" t="s">
        <v>11</v>
      </c>
      <c r="B32" s="1" t="s">
        <v>1043</v>
      </c>
      <c r="C32" s="1" t="s">
        <v>843</v>
      </c>
      <c r="D32" s="39" cm="1">
        <f t="array" ref="D32">SUMPRODUCT((ISNUMBER(F32:NU32))*(MOD(COLUMN(F32:NU32),2)=0))</f>
        <v>108</v>
      </c>
      <c r="E32" s="1">
        <v>103.12</v>
      </c>
      <c r="F32" s="1" t="s">
        <v>61</v>
      </c>
      <c r="G32" s="1" t="s">
        <v>55</v>
      </c>
      <c r="H32" s="1" t="s">
        <v>61</v>
      </c>
      <c r="I32" s="1" t="s">
        <v>55</v>
      </c>
      <c r="J32" s="1" t="s">
        <v>61</v>
      </c>
      <c r="K32" s="1" t="s">
        <v>55</v>
      </c>
      <c r="L32" s="1" t="s">
        <v>61</v>
      </c>
      <c r="M32" s="1" t="s">
        <v>55</v>
      </c>
      <c r="N32" s="1" t="s">
        <v>61</v>
      </c>
      <c r="O32" s="1" t="s">
        <v>55</v>
      </c>
      <c r="P32" s="12">
        <f>54/E32</f>
        <v>0.5236617532971295</v>
      </c>
      <c r="Q32" s="12">
        <f>6/E32</f>
        <v>5.8184639255236613E-2</v>
      </c>
      <c r="R32" s="1">
        <v>1.4</v>
      </c>
      <c r="S32" s="1">
        <v>0.1</v>
      </c>
      <c r="T32" s="1">
        <v>1.0900000000000001</v>
      </c>
      <c r="U32" s="1">
        <v>0.4</v>
      </c>
      <c r="V32" s="1">
        <v>22.1</v>
      </c>
      <c r="W32" s="1">
        <v>2.9</v>
      </c>
      <c r="X32" s="1">
        <v>27.6</v>
      </c>
      <c r="Y32" s="1">
        <v>1.4</v>
      </c>
      <c r="Z32" s="9">
        <f>1975/E32</f>
        <v>19.152443754848719</v>
      </c>
      <c r="AA32" s="9">
        <f>176/E32</f>
        <v>1.7067494181536074</v>
      </c>
      <c r="AB32" s="1">
        <v>25.4</v>
      </c>
      <c r="AC32" s="1">
        <v>9.5</v>
      </c>
      <c r="AD32" s="1">
        <v>12.8</v>
      </c>
      <c r="AE32" s="1">
        <v>1.1000000000000001</v>
      </c>
      <c r="AF32" s="11">
        <f>46/E32</f>
        <v>0.44608223429014737</v>
      </c>
      <c r="AG32" s="11">
        <f>13/E32</f>
        <v>0.12606671838634601</v>
      </c>
      <c r="AH32" s="11">
        <f>54/E32</f>
        <v>0.5236617532971295</v>
      </c>
      <c r="AI32" s="11">
        <f>12/E32</f>
        <v>0.11636927851047323</v>
      </c>
      <c r="AJ32" s="11">
        <f>979/E32</f>
        <v>9.4937936384794401</v>
      </c>
      <c r="AK32" s="11">
        <f>97/E32</f>
        <v>0.9406516679596586</v>
      </c>
      <c r="AL32" s="1" t="s">
        <v>61</v>
      </c>
      <c r="AM32" s="1" t="s">
        <v>55</v>
      </c>
      <c r="AN32" s="11">
        <v>2</v>
      </c>
      <c r="AO32" s="11">
        <v>0.2</v>
      </c>
      <c r="AP32" s="11">
        <v>9.5</v>
      </c>
      <c r="AQ32" s="11">
        <v>1.7</v>
      </c>
      <c r="AR32" s="10">
        <f>1244/E32</f>
        <v>12.063615205585725</v>
      </c>
      <c r="AS32" s="10">
        <f>242/E32</f>
        <v>2.3467804499612099</v>
      </c>
      <c r="AT32" s="11">
        <f>1460/E32</f>
        <v>14.158262218774244</v>
      </c>
      <c r="AU32" s="11">
        <f>213/E32</f>
        <v>2.0655546935608999</v>
      </c>
      <c r="AV32" s="11">
        <f>164/E32</f>
        <v>1.5903801396431341</v>
      </c>
      <c r="AW32" s="11">
        <f>21/E32</f>
        <v>0.20364623739332816</v>
      </c>
      <c r="AX32" s="11">
        <f>470/E32</f>
        <v>4.5577967416602014</v>
      </c>
      <c r="AY32" s="11">
        <f>115/E32</f>
        <v>1.1152055857253684</v>
      </c>
      <c r="AZ32" s="1" t="s">
        <v>61</v>
      </c>
      <c r="BA32" s="1" t="s">
        <v>55</v>
      </c>
      <c r="BB32" s="1" t="s">
        <v>91</v>
      </c>
      <c r="BC32" s="1" t="s">
        <v>55</v>
      </c>
      <c r="BD32" s="1">
        <v>6.8</v>
      </c>
      <c r="BE32" s="1" t="s">
        <v>55</v>
      </c>
      <c r="BF32" s="1">
        <v>0.06</v>
      </c>
      <c r="BG32" s="1">
        <v>0.03</v>
      </c>
      <c r="BH32" s="1">
        <v>0.38</v>
      </c>
      <c r="BI32" s="1">
        <v>0.3</v>
      </c>
      <c r="BJ32" s="1">
        <v>5.98</v>
      </c>
      <c r="BK32" s="1">
        <v>1.74</v>
      </c>
      <c r="BL32" s="1">
        <v>1.8</v>
      </c>
      <c r="BM32" s="1">
        <v>0.2</v>
      </c>
      <c r="BN32" s="1" t="s">
        <v>61</v>
      </c>
      <c r="BO32" s="1" t="s">
        <v>55</v>
      </c>
      <c r="BP32" s="1" t="s">
        <v>61</v>
      </c>
      <c r="BQ32" s="1" t="s">
        <v>55</v>
      </c>
      <c r="BR32" s="11">
        <f>281/E32</f>
        <v>2.7249806051202481</v>
      </c>
      <c r="BS32" s="11">
        <f>131/E32</f>
        <v>1.2703646237393327</v>
      </c>
      <c r="BT32" s="4">
        <v>3.9</v>
      </c>
      <c r="BU32" s="4">
        <v>1</v>
      </c>
      <c r="BV32" s="1">
        <v>0.04</v>
      </c>
      <c r="BW32" s="1">
        <v>0.01</v>
      </c>
      <c r="BX32" s="1">
        <v>0.15</v>
      </c>
      <c r="BY32" s="1">
        <v>0.03</v>
      </c>
      <c r="BZ32" s="10">
        <f>285/E32</f>
        <v>2.7637703646237393</v>
      </c>
      <c r="CA32" s="10">
        <f>25/E32</f>
        <v>0.24243599689681922</v>
      </c>
      <c r="CB32" s="10">
        <f>575/E32</f>
        <v>5.5760279286268419</v>
      </c>
      <c r="CC32" s="10">
        <f>53/E32</f>
        <v>0.51396431342125681</v>
      </c>
      <c r="CD32" s="10">
        <f>815/E32</f>
        <v>7.9034134988363069</v>
      </c>
      <c r="CE32" s="10">
        <f>142/E32</f>
        <v>1.3770364623739333</v>
      </c>
      <c r="CF32" s="10">
        <f>561/E32</f>
        <v>5.4402637703646235</v>
      </c>
      <c r="CG32" s="10">
        <f>68/E32</f>
        <v>0.65942591155934827</v>
      </c>
      <c r="CH32" s="10">
        <f>558/E32</f>
        <v>5.4111714507370055</v>
      </c>
      <c r="CI32" s="10">
        <f>91/E32</f>
        <v>0.88246702870442195</v>
      </c>
      <c r="CJ32" s="10">
        <f>12/E32</f>
        <v>0.11636927851047323</v>
      </c>
      <c r="CK32" s="10">
        <f>1/E32</f>
        <v>9.6974398758727688E-3</v>
      </c>
      <c r="CL32" s="10">
        <f>158/E32</f>
        <v>1.5321955003878975</v>
      </c>
      <c r="CM32" s="10">
        <f>5/E32</f>
        <v>4.8487199379363848E-2</v>
      </c>
      <c r="CN32" s="10">
        <f>979/E32</f>
        <v>9.4937936384794401</v>
      </c>
      <c r="CO32" s="10">
        <f>211/E32</f>
        <v>2.0461598138091541</v>
      </c>
      <c r="CP32" s="10">
        <f>1110/E32</f>
        <v>10.764158262218773</v>
      </c>
      <c r="CQ32" s="10">
        <f>250/E32</f>
        <v>2.4243599689681923</v>
      </c>
      <c r="CR32" s="10">
        <f>229/E32</f>
        <v>2.2207137315748642</v>
      </c>
      <c r="CS32" s="10">
        <f>72/E32</f>
        <v>0.69821567106283933</v>
      </c>
      <c r="CT32" s="10">
        <f>41/E32</f>
        <v>0.39759503491078352</v>
      </c>
      <c r="CU32" s="10">
        <f>2/E32</f>
        <v>1.9394879751745538E-2</v>
      </c>
      <c r="CV32" s="10">
        <f>104/E32</f>
        <v>1.008533747090768</v>
      </c>
      <c r="CW32" s="10">
        <f>6/E32</f>
        <v>5.8184639255236613E-2</v>
      </c>
      <c r="CX32" s="10">
        <f>781/E32</f>
        <v>7.5737005430566331</v>
      </c>
      <c r="CY32" s="10">
        <f>140/E32</f>
        <v>1.3576415826221877</v>
      </c>
      <c r="CZ32" s="10">
        <f>5/E32</f>
        <v>4.8487199379363848E-2</v>
      </c>
      <c r="DA32" s="10">
        <f>0.8/E32</f>
        <v>7.7579519006982156E-3</v>
      </c>
      <c r="DB32" s="10">
        <f>81/E32</f>
        <v>0.78549262994569435</v>
      </c>
      <c r="DC32" s="10">
        <f>15/E32</f>
        <v>0.14546159813809154</v>
      </c>
      <c r="DD32" s="10">
        <f>112.1/E32</f>
        <v>1.0870830100853375</v>
      </c>
      <c r="DE32" s="10">
        <f>3.5/E32</f>
        <v>3.3941039565554693E-2</v>
      </c>
      <c r="DF32" s="10" t="s">
        <v>57</v>
      </c>
      <c r="DG32" s="10" t="s">
        <v>55</v>
      </c>
      <c r="DH32" s="10">
        <f>1996/E32</f>
        <v>19.356089992242048</v>
      </c>
      <c r="DI32" s="10">
        <f>407/E32</f>
        <v>3.9468580294802171</v>
      </c>
      <c r="DJ32" s="10">
        <f>542/E32</f>
        <v>5.2560124127230408</v>
      </c>
      <c r="DK32" s="10">
        <f>57/E32</f>
        <v>0.55275407292474787</v>
      </c>
      <c r="DL32" s="10">
        <f>809/E32</f>
        <v>7.84522885958107</v>
      </c>
      <c r="DM32" s="10">
        <f>72/E32</f>
        <v>0.69821567106283933</v>
      </c>
      <c r="DN32" s="10">
        <f>72/E32</f>
        <v>0.69821567106283933</v>
      </c>
      <c r="DO32" s="10">
        <f>6/E32</f>
        <v>5.8184639255236613E-2</v>
      </c>
      <c r="DP32" s="10">
        <f>177/E32</f>
        <v>1.71644685802948</v>
      </c>
      <c r="DQ32" s="10">
        <f>13/E32</f>
        <v>0.12606671838634601</v>
      </c>
      <c r="DR32" s="10">
        <f>29/E32</f>
        <v>0.28122575640031028</v>
      </c>
      <c r="DS32" s="10">
        <f>3/E32</f>
        <v>2.9092319627618306E-2</v>
      </c>
      <c r="DT32" s="10">
        <f>56/E32</f>
        <v>0.54305663304887508</v>
      </c>
      <c r="DU32" s="10">
        <f>12/E32</f>
        <v>0.11636927851047323</v>
      </c>
      <c r="DV32" s="10">
        <f>12/E32</f>
        <v>0.11636927851047323</v>
      </c>
      <c r="DW32" s="10">
        <f>1/E32</f>
        <v>9.6974398758727688E-3</v>
      </c>
      <c r="DX32" s="10">
        <f>17/E32</f>
        <v>0.16485647788983707</v>
      </c>
      <c r="DY32" s="10">
        <f>2/E32</f>
        <v>1.9394879751745538E-2</v>
      </c>
      <c r="DZ32" s="10">
        <f>113/E32</f>
        <v>1.0958107059736228</v>
      </c>
      <c r="EA32" s="10">
        <f>18/E32</f>
        <v>0.17455391776570983</v>
      </c>
      <c r="EB32" s="10">
        <f>7.1/E32</f>
        <v>6.8851823118696656E-2</v>
      </c>
      <c r="EC32" s="10">
        <f>0.7/E32</f>
        <v>6.7882079131109377E-3</v>
      </c>
      <c r="ED32" s="10">
        <f>453/E32</f>
        <v>4.3929402637703641</v>
      </c>
      <c r="EE32" s="10">
        <f>137/E32</f>
        <v>1.3285492629945694</v>
      </c>
      <c r="EF32" s="10">
        <f>11/E32</f>
        <v>0.10667183863460046</v>
      </c>
      <c r="EG32" s="10">
        <f>1/E32</f>
        <v>9.6974398758727688E-3</v>
      </c>
      <c r="EH32" s="10">
        <f>9.9/1000</f>
        <v>9.9000000000000008E-3</v>
      </c>
      <c r="EI32" s="10">
        <f>0.7/1000</f>
        <v>6.9999999999999999E-4</v>
      </c>
      <c r="EJ32" s="10">
        <f>7.4/1000</f>
        <v>7.4000000000000003E-3</v>
      </c>
      <c r="EK32" s="10">
        <f>0.1/1000</f>
        <v>1E-4</v>
      </c>
      <c r="EL32" s="10">
        <f>48.7/1000</f>
        <v>4.87E-2</v>
      </c>
      <c r="EM32" s="10">
        <f>0.2/1000</f>
        <v>2.0000000000000001E-4</v>
      </c>
      <c r="EN32" s="8">
        <f>655.2/E32</f>
        <v>6.3537626066718387</v>
      </c>
      <c r="EO32" s="8">
        <f>8.6/E32</f>
        <v>8.3397982932505818E-2</v>
      </c>
      <c r="EP32" s="10" t="s">
        <v>56</v>
      </c>
      <c r="EQ32" s="10" t="s">
        <v>55</v>
      </c>
      <c r="ER32" s="10">
        <f>24/E32</f>
        <v>0.23273855702094645</v>
      </c>
      <c r="ES32" s="10">
        <f>9/E32</f>
        <v>8.7276958882854916E-2</v>
      </c>
      <c r="ET32" s="10">
        <f>16/E32</f>
        <v>0.1551590380139643</v>
      </c>
      <c r="EU32" s="10">
        <f>7/E32</f>
        <v>6.7882079131109385E-2</v>
      </c>
      <c r="EV32" s="10" t="s">
        <v>498</v>
      </c>
      <c r="EW32" s="10" t="s">
        <v>55</v>
      </c>
      <c r="EX32" s="10">
        <f>22/E32</f>
        <v>0.21334367726920092</v>
      </c>
      <c r="EY32" s="10">
        <f>4/E32</f>
        <v>3.8789759503491075E-2</v>
      </c>
      <c r="EZ32" s="10" t="s">
        <v>501</v>
      </c>
      <c r="FA32" s="10" t="s">
        <v>55</v>
      </c>
      <c r="FB32" s="10">
        <f>6/E32</f>
        <v>5.8184639255236613E-2</v>
      </c>
      <c r="FC32" s="10">
        <f>2/E32</f>
        <v>1.9394879751745538E-2</v>
      </c>
      <c r="FD32" s="10">
        <f>5.4/E32</f>
        <v>5.2366175329712959E-2</v>
      </c>
      <c r="FE32" s="10">
        <f>0.8/E32</f>
        <v>7.7579519006982156E-3</v>
      </c>
      <c r="FF32" s="10">
        <f>65/E32</f>
        <v>0.63033359193173</v>
      </c>
      <c r="FG32" s="10">
        <f>20/E32</f>
        <v>0.19394879751745539</v>
      </c>
      <c r="FH32" s="10">
        <f>107/E32</f>
        <v>1.0376260667183863</v>
      </c>
      <c r="FI32" s="10">
        <f>35/E32</f>
        <v>0.33941039565554693</v>
      </c>
      <c r="FJ32" s="10">
        <f>310/E32</f>
        <v>3.0062063615205585</v>
      </c>
      <c r="FK32" s="10">
        <f>136/E32</f>
        <v>1.3188518231186965</v>
      </c>
      <c r="FL32" s="10">
        <f>270/E32</f>
        <v>2.6183087664856477</v>
      </c>
      <c r="FM32" s="10">
        <f>50/E32</f>
        <v>0.48487199379363843</v>
      </c>
      <c r="FN32" s="10">
        <f>243/E32</f>
        <v>2.3564778898370831</v>
      </c>
      <c r="FO32" s="10">
        <f>68/E32</f>
        <v>0.65942591155934827</v>
      </c>
      <c r="FP32" s="10">
        <f>183/E32</f>
        <v>1.7746314972847168</v>
      </c>
      <c r="FQ32" s="10">
        <f>57/E32</f>
        <v>0.55275407292474787</v>
      </c>
      <c r="FR32" s="10">
        <f>276/E32</f>
        <v>2.6764934057408842</v>
      </c>
      <c r="FS32" s="10">
        <f>32/E32</f>
        <v>0.3103180760279286</v>
      </c>
      <c r="FT32" s="10">
        <f>0.87</f>
        <v>0.87</v>
      </c>
      <c r="FU32" s="10">
        <v>0.13</v>
      </c>
      <c r="FV32" s="10">
        <v>0.22</v>
      </c>
      <c r="FW32" s="10">
        <v>0.02</v>
      </c>
      <c r="FX32" s="10">
        <v>48.24</v>
      </c>
      <c r="FY32" s="10">
        <v>16.53</v>
      </c>
      <c r="FZ32" s="8" t="s">
        <v>157</v>
      </c>
      <c r="GA32" s="8" t="s">
        <v>55</v>
      </c>
      <c r="GB32" s="8" t="s">
        <v>157</v>
      </c>
      <c r="GC32" s="8" t="s">
        <v>55</v>
      </c>
      <c r="GD32" s="8" t="s">
        <v>157</v>
      </c>
      <c r="GE32" s="8" t="s">
        <v>55</v>
      </c>
      <c r="GF32" s="10">
        <v>0.62</v>
      </c>
      <c r="GG32" s="10">
        <v>0.01</v>
      </c>
      <c r="GH32" s="10">
        <v>1.05</v>
      </c>
      <c r="GI32" s="10">
        <v>0.09</v>
      </c>
      <c r="GJ32" s="10">
        <v>0.66</v>
      </c>
      <c r="GK32" s="10">
        <v>0.06</v>
      </c>
      <c r="GL32" s="10">
        <v>6.32</v>
      </c>
      <c r="GM32" s="10">
        <v>0.05</v>
      </c>
      <c r="GN32" s="10">
        <v>9.2200000000000006</v>
      </c>
      <c r="GO32" s="10">
        <v>0.12</v>
      </c>
      <c r="GP32" s="10">
        <v>1.66</v>
      </c>
      <c r="GQ32" s="10">
        <v>0.02</v>
      </c>
      <c r="GR32" s="10">
        <v>3.5</v>
      </c>
      <c r="GS32" s="10">
        <v>0.2</v>
      </c>
      <c r="GT32" s="10">
        <v>3.9</v>
      </c>
      <c r="GU32" s="10">
        <v>0.6</v>
      </c>
      <c r="GV32" s="10">
        <v>3.03</v>
      </c>
      <c r="GW32" s="10">
        <v>0.13</v>
      </c>
      <c r="GX32" s="10">
        <f>130/E32</f>
        <v>1.26066718386346</v>
      </c>
      <c r="GY32" s="10">
        <f>11/E32</f>
        <v>0.10667183863460046</v>
      </c>
      <c r="GZ32" s="10" t="s">
        <v>56</v>
      </c>
      <c r="HA32" s="10" t="s">
        <v>55</v>
      </c>
      <c r="HB32" s="10" t="s">
        <v>56</v>
      </c>
      <c r="HC32" s="10" t="s">
        <v>55</v>
      </c>
      <c r="HD32" s="10" t="s">
        <v>56</v>
      </c>
      <c r="HE32" s="10" t="s">
        <v>55</v>
      </c>
      <c r="HF32" s="10" t="s">
        <v>56</v>
      </c>
      <c r="HG32" s="10" t="s">
        <v>55</v>
      </c>
      <c r="HH32" s="10" t="s">
        <v>56</v>
      </c>
      <c r="HI32" s="10" t="s">
        <v>55</v>
      </c>
      <c r="HJ32" s="10" t="s">
        <v>56</v>
      </c>
      <c r="HK32" s="10" t="s">
        <v>55</v>
      </c>
      <c r="HL32" s="10" t="s">
        <v>56</v>
      </c>
      <c r="HM32" s="10" t="s">
        <v>55</v>
      </c>
      <c r="HN32" s="10" t="s">
        <v>56</v>
      </c>
      <c r="HO32" s="10" t="s">
        <v>55</v>
      </c>
      <c r="HP32" s="10" t="s">
        <v>56</v>
      </c>
      <c r="HQ32" s="10" t="s">
        <v>55</v>
      </c>
      <c r="HR32" s="10" t="s">
        <v>56</v>
      </c>
      <c r="HS32" s="10" t="s">
        <v>55</v>
      </c>
      <c r="HT32" s="10" t="s">
        <v>56</v>
      </c>
      <c r="HU32" s="10" t="s">
        <v>55</v>
      </c>
      <c r="HV32" s="10" t="s">
        <v>56</v>
      </c>
      <c r="HW32" s="10" t="s">
        <v>55</v>
      </c>
      <c r="HX32" s="10" t="s">
        <v>56</v>
      </c>
      <c r="HY32" s="10" t="s">
        <v>55</v>
      </c>
      <c r="HZ32" s="10" t="s">
        <v>56</v>
      </c>
      <c r="IA32" s="10" t="s">
        <v>55</v>
      </c>
      <c r="IB32" s="10" t="s">
        <v>56</v>
      </c>
      <c r="IC32" s="10" t="s">
        <v>55</v>
      </c>
      <c r="ID32" s="1">
        <v>1.0391999999999999</v>
      </c>
      <c r="IE32" s="1">
        <v>0.11940000000000001</v>
      </c>
      <c r="IF32" s="4">
        <v>4.0099999999999997E-2</v>
      </c>
      <c r="IG32" s="4">
        <v>2.23E-2</v>
      </c>
      <c r="IH32" s="4">
        <v>0.3</v>
      </c>
      <c r="II32" s="4" t="s">
        <v>55</v>
      </c>
      <c r="IJ32" s="4">
        <v>0.1</v>
      </c>
      <c r="IK32" s="4" t="s">
        <v>55</v>
      </c>
      <c r="IL32" s="4">
        <v>0.7</v>
      </c>
      <c r="IM32" s="4" t="s">
        <v>55</v>
      </c>
      <c r="IN32" s="4">
        <v>0.7</v>
      </c>
      <c r="IO32" s="4" t="s">
        <v>55</v>
      </c>
      <c r="IP32" s="4">
        <v>10</v>
      </c>
      <c r="IQ32" s="4" t="s">
        <v>55</v>
      </c>
      <c r="IR32" s="4" t="s">
        <v>56</v>
      </c>
      <c r="IS32" s="4" t="s">
        <v>55</v>
      </c>
      <c r="IT32" s="4">
        <v>0.2</v>
      </c>
      <c r="IU32" s="4">
        <v>0.2</v>
      </c>
      <c r="IV32" s="4" t="s">
        <v>556</v>
      </c>
      <c r="IW32" s="4" t="s">
        <v>55</v>
      </c>
      <c r="IX32" s="4" t="s">
        <v>56</v>
      </c>
      <c r="IY32" s="4" t="s">
        <v>55</v>
      </c>
      <c r="IZ32" s="4" t="s">
        <v>56</v>
      </c>
      <c r="JA32" s="4" t="s">
        <v>55</v>
      </c>
      <c r="JB32" s="4" t="s">
        <v>56</v>
      </c>
      <c r="JC32" s="4" t="s">
        <v>55</v>
      </c>
      <c r="JD32" s="4" t="s">
        <v>56</v>
      </c>
      <c r="JE32" s="4" t="s">
        <v>55</v>
      </c>
      <c r="JF32" s="4" t="s">
        <v>56</v>
      </c>
      <c r="JG32" s="4" t="s">
        <v>55</v>
      </c>
      <c r="JH32" s="4" t="s">
        <v>56</v>
      </c>
      <c r="JI32" s="4" t="s">
        <v>55</v>
      </c>
      <c r="JJ32" s="4" t="s">
        <v>56</v>
      </c>
      <c r="JK32" s="4" t="s">
        <v>55</v>
      </c>
      <c r="JL32" s="4" t="s">
        <v>56</v>
      </c>
      <c r="JM32" s="4" t="s">
        <v>55</v>
      </c>
      <c r="JN32" s="4" t="s">
        <v>56</v>
      </c>
      <c r="JO32" s="4" t="s">
        <v>55</v>
      </c>
      <c r="JP32" s="4" t="s">
        <v>56</v>
      </c>
      <c r="JQ32" s="4" t="s">
        <v>55</v>
      </c>
      <c r="JR32" s="4" t="s">
        <v>56</v>
      </c>
      <c r="JS32" s="4" t="s">
        <v>55</v>
      </c>
      <c r="JT32" s="4" t="s">
        <v>56</v>
      </c>
      <c r="JU32" s="4" t="s">
        <v>55</v>
      </c>
      <c r="JV32" s="4">
        <v>0.5</v>
      </c>
      <c r="JW32" s="4" t="s">
        <v>55</v>
      </c>
      <c r="JX32" s="26" t="s">
        <v>56</v>
      </c>
      <c r="JY32" s="26" t="s">
        <v>55</v>
      </c>
      <c r="JZ32" s="26" t="s">
        <v>56</v>
      </c>
      <c r="KA32" s="26" t="s">
        <v>55</v>
      </c>
      <c r="KB32" s="26" t="s">
        <v>56</v>
      </c>
      <c r="KC32" s="26" t="s">
        <v>55</v>
      </c>
      <c r="KD32" s="26" t="s">
        <v>56</v>
      </c>
      <c r="KE32" s="26" t="s">
        <v>55</v>
      </c>
      <c r="KF32" s="26" t="s">
        <v>56</v>
      </c>
      <c r="KG32" s="26" t="s">
        <v>55</v>
      </c>
      <c r="KH32" s="4" t="s">
        <v>56</v>
      </c>
      <c r="KI32" s="4" t="s">
        <v>55</v>
      </c>
      <c r="KJ32" s="4" t="s">
        <v>56</v>
      </c>
      <c r="KK32" s="4" t="s">
        <v>55</v>
      </c>
      <c r="KL32" s="4" t="s">
        <v>56</v>
      </c>
      <c r="KM32" s="4" t="s">
        <v>55</v>
      </c>
      <c r="KN32" s="4" t="s">
        <v>56</v>
      </c>
      <c r="KO32" s="4" t="s">
        <v>55</v>
      </c>
      <c r="KP32" s="4" t="s">
        <v>56</v>
      </c>
      <c r="KQ32" s="4" t="s">
        <v>55</v>
      </c>
      <c r="KR32" s="17" t="s">
        <v>56</v>
      </c>
      <c r="KS32" s="17" t="s">
        <v>55</v>
      </c>
      <c r="KT32" s="17" t="s">
        <v>56</v>
      </c>
      <c r="KU32" s="17" t="s">
        <v>55</v>
      </c>
      <c r="KV32" s="4" t="s">
        <v>56</v>
      </c>
      <c r="KW32" s="4" t="s">
        <v>55</v>
      </c>
      <c r="KX32" s="4" t="s">
        <v>56</v>
      </c>
      <c r="KY32" s="4" t="s">
        <v>55</v>
      </c>
      <c r="KZ32" s="4" t="s">
        <v>56</v>
      </c>
      <c r="LA32" s="4" t="s">
        <v>55</v>
      </c>
      <c r="LB32" s="10" t="s">
        <v>56</v>
      </c>
      <c r="LC32" s="10" t="s">
        <v>55</v>
      </c>
      <c r="LD32" s="10">
        <f>6.1*1000</f>
        <v>6100</v>
      </c>
      <c r="LE32" s="10">
        <f>1.1*1000</f>
        <v>1100</v>
      </c>
      <c r="LF32" s="10">
        <f>0.27*1000</f>
        <v>270</v>
      </c>
      <c r="LG32" s="10">
        <f>0.04*1000</f>
        <v>40</v>
      </c>
      <c r="LH32" s="10">
        <f>1.62*1000</f>
        <v>1620</v>
      </c>
      <c r="LI32" s="10">
        <f>0.11*1000</f>
        <v>110</v>
      </c>
      <c r="LJ32" s="10" t="s">
        <v>56</v>
      </c>
      <c r="LK32" s="10" t="s">
        <v>162</v>
      </c>
      <c r="LL32" s="10" t="s">
        <v>56</v>
      </c>
      <c r="LM32" s="10" t="s">
        <v>162</v>
      </c>
      <c r="LN32" s="10" t="s">
        <v>56</v>
      </c>
      <c r="LO32" s="10" t="s">
        <v>162</v>
      </c>
      <c r="LP32" s="10" t="s">
        <v>56</v>
      </c>
      <c r="LQ32" s="10" t="s">
        <v>162</v>
      </c>
      <c r="LR32" s="10" t="s">
        <v>56</v>
      </c>
      <c r="LS32" s="10" t="s">
        <v>162</v>
      </c>
      <c r="LT32" s="10" t="s">
        <v>56</v>
      </c>
      <c r="LU32" s="10" t="s">
        <v>162</v>
      </c>
      <c r="LV32" s="10" t="s">
        <v>56</v>
      </c>
      <c r="LW32" s="10" t="s">
        <v>55</v>
      </c>
      <c r="LX32" s="10" t="s">
        <v>56</v>
      </c>
      <c r="LY32" s="10" t="s">
        <v>55</v>
      </c>
      <c r="LZ32" s="10" t="s">
        <v>56</v>
      </c>
      <c r="MA32" s="10" t="s">
        <v>55</v>
      </c>
      <c r="MB32" s="10" t="s">
        <v>56</v>
      </c>
      <c r="MC32" s="10" t="s">
        <v>55</v>
      </c>
      <c r="MD32" s="17">
        <v>10023</v>
      </c>
      <c r="ME32" s="4" t="s">
        <v>55</v>
      </c>
      <c r="MF32" s="17">
        <v>7375</v>
      </c>
      <c r="MG32" s="4" t="s">
        <v>55</v>
      </c>
      <c r="MH32" s="17">
        <v>11923</v>
      </c>
      <c r="MI32" s="4" t="s">
        <v>55</v>
      </c>
      <c r="MJ32" s="17">
        <v>7240</v>
      </c>
      <c r="MK32" s="4" t="s">
        <v>55</v>
      </c>
      <c r="ML32" s="17">
        <v>6012</v>
      </c>
      <c r="MM32" s="4" t="s">
        <v>55</v>
      </c>
      <c r="MN32" s="17">
        <v>8120</v>
      </c>
      <c r="MO32" s="4" t="s">
        <v>55</v>
      </c>
      <c r="MP32" s="17">
        <v>7883</v>
      </c>
      <c r="MQ32" s="4" t="s">
        <v>55</v>
      </c>
      <c r="MR32" s="17">
        <v>7295</v>
      </c>
      <c r="MS32" s="4" t="s">
        <v>55</v>
      </c>
      <c r="MT32" s="17">
        <v>9766</v>
      </c>
      <c r="MU32" s="4" t="s">
        <v>55</v>
      </c>
      <c r="MV32" s="17">
        <v>8854</v>
      </c>
      <c r="MW32" s="4" t="s">
        <v>55</v>
      </c>
      <c r="MX32" s="17">
        <v>5223</v>
      </c>
      <c r="MY32" s="4" t="s">
        <v>55</v>
      </c>
      <c r="MZ32" s="17">
        <v>6844</v>
      </c>
      <c r="NA32" s="4" t="s">
        <v>55</v>
      </c>
      <c r="NB32" s="10" t="s">
        <v>56</v>
      </c>
      <c r="NC32" s="10" t="s">
        <v>55</v>
      </c>
      <c r="ND32" s="10" t="s">
        <v>56</v>
      </c>
      <c r="NE32" s="10" t="s">
        <v>55</v>
      </c>
      <c r="NF32" s="10" t="s">
        <v>56</v>
      </c>
      <c r="NG32" s="10" t="s">
        <v>55</v>
      </c>
      <c r="NH32" s="10" t="s">
        <v>56</v>
      </c>
      <c r="NI32" s="10" t="s">
        <v>55</v>
      </c>
      <c r="NJ32" s="10" t="s">
        <v>56</v>
      </c>
      <c r="NK32" s="10" t="s">
        <v>55</v>
      </c>
      <c r="NL32" s="10" t="s">
        <v>56</v>
      </c>
      <c r="NM32" s="4" t="s">
        <v>55</v>
      </c>
      <c r="NN32" s="10" t="s">
        <v>56</v>
      </c>
      <c r="NO32" s="4" t="s">
        <v>55</v>
      </c>
      <c r="NP32" s="10" t="s">
        <v>56</v>
      </c>
      <c r="NQ32" s="4" t="s">
        <v>55</v>
      </c>
      <c r="NR32" s="10" t="s">
        <v>57</v>
      </c>
      <c r="NS32" s="10" t="s">
        <v>55</v>
      </c>
      <c r="NT32" s="10" t="s">
        <v>620</v>
      </c>
      <c r="NU32" s="10" t="s">
        <v>55</v>
      </c>
    </row>
    <row r="33" spans="1:385" x14ac:dyDescent="0.2">
      <c r="A33" t="s">
        <v>14</v>
      </c>
      <c r="B33" s="1" t="s">
        <v>1037</v>
      </c>
      <c r="C33" s="1" t="s">
        <v>843</v>
      </c>
      <c r="D33" s="39" cm="1">
        <f t="array" ref="D33">SUMPRODUCT((ISNUMBER(F33:NU33))*(MOD(COLUMN(F33:NU33),2)=0))</f>
        <v>73</v>
      </c>
      <c r="E33" s="1">
        <v>103.12</v>
      </c>
      <c r="F33" s="1">
        <v>1.55E-2</v>
      </c>
      <c r="G33" s="1" t="s">
        <v>58</v>
      </c>
      <c r="H33" s="1">
        <v>1.35E-2</v>
      </c>
      <c r="I33" s="1" t="s">
        <v>58</v>
      </c>
      <c r="J33" s="1">
        <v>1.77E-2</v>
      </c>
      <c r="K33" s="1">
        <v>8.9999999999999998E-4</v>
      </c>
      <c r="L33" s="1">
        <v>1.5900000000000001E-2</v>
      </c>
      <c r="M33" s="1" t="s">
        <v>58</v>
      </c>
      <c r="N33" s="1">
        <v>9.1999999999999998E-3</v>
      </c>
      <c r="O33" s="1">
        <v>4.0000000000000002E-4</v>
      </c>
      <c r="P33" s="12">
        <f>48/E33</f>
        <v>0.4654771140418929</v>
      </c>
      <c r="Q33" s="12">
        <f>3/E33</f>
        <v>2.9092319627618306E-2</v>
      </c>
      <c r="R33" s="1">
        <v>1.7</v>
      </c>
      <c r="S33" s="1">
        <v>0.2</v>
      </c>
      <c r="T33" s="1">
        <v>1.26</v>
      </c>
      <c r="U33" s="1">
        <v>0.12</v>
      </c>
      <c r="V33" s="1">
        <v>238</v>
      </c>
      <c r="W33" s="1">
        <v>28</v>
      </c>
      <c r="X33" s="1">
        <v>268</v>
      </c>
      <c r="Y33" s="1">
        <v>11</v>
      </c>
      <c r="Z33" s="9">
        <f>57856/E33</f>
        <v>561.0550814584949</v>
      </c>
      <c r="AA33" s="9">
        <f>2030/E33</f>
        <v>19.68580294802172</v>
      </c>
      <c r="AB33" s="1">
        <v>551</v>
      </c>
      <c r="AC33" s="1">
        <v>151</v>
      </c>
      <c r="AD33" s="1">
        <v>138</v>
      </c>
      <c r="AE33" s="1">
        <v>32</v>
      </c>
      <c r="AF33" s="11">
        <f>37/E33</f>
        <v>0.35880527540729246</v>
      </c>
      <c r="AG33" s="11">
        <f>10/E33</f>
        <v>9.6974398758727695E-2</v>
      </c>
      <c r="AH33" s="11">
        <f>30/E33</f>
        <v>0.29092319627618307</v>
      </c>
      <c r="AI33" s="11">
        <f>9/E33</f>
        <v>8.7276958882854916E-2</v>
      </c>
      <c r="AJ33" s="11">
        <f>5124/E33</f>
        <v>49.689681923972067</v>
      </c>
      <c r="AK33" s="11">
        <f>2487/E33</f>
        <v>24.117532971295578</v>
      </c>
      <c r="AL33" s="1">
        <v>11.4</v>
      </c>
      <c r="AM33" s="1">
        <v>0.5</v>
      </c>
      <c r="AN33" s="11">
        <v>10.4</v>
      </c>
      <c r="AO33" s="11">
        <v>0.8</v>
      </c>
      <c r="AP33" s="11">
        <v>56.4</v>
      </c>
      <c r="AQ33" s="11">
        <v>2.4</v>
      </c>
      <c r="AR33" s="10">
        <f>863/E33</f>
        <v>8.3688906128782001</v>
      </c>
      <c r="AS33" s="10">
        <f>154/E33</f>
        <v>1.4934057408844064</v>
      </c>
      <c r="AT33" s="11">
        <f>3182/E33</f>
        <v>30.85725368502715</v>
      </c>
      <c r="AU33" s="11">
        <f>620/E33</f>
        <v>6.0124127230411171</v>
      </c>
      <c r="AV33" s="11">
        <f>2706/E33</f>
        <v>26.241272304111714</v>
      </c>
      <c r="AW33" s="11">
        <f>377/E33</f>
        <v>3.655934833204034</v>
      </c>
      <c r="AX33" s="11">
        <f>753/E33</f>
        <v>7.3021722265321953</v>
      </c>
      <c r="AY33" s="11">
        <f>413/E33</f>
        <v>4.0050426687354532</v>
      </c>
      <c r="AZ33" s="1">
        <v>17.899999999999999</v>
      </c>
      <c r="BA33" s="1">
        <v>0.4</v>
      </c>
      <c r="BB33" s="1">
        <v>6.0000000000000001E-3</v>
      </c>
      <c r="BC33" s="1">
        <v>1E-3</v>
      </c>
      <c r="BD33" s="1">
        <v>1.7</v>
      </c>
      <c r="BE33" s="1" t="s">
        <v>55</v>
      </c>
      <c r="BF33" s="1" t="s">
        <v>112</v>
      </c>
      <c r="BG33" s="1" t="s">
        <v>55</v>
      </c>
      <c r="BH33" s="1" t="s">
        <v>90</v>
      </c>
      <c r="BI33" s="1" t="s">
        <v>55</v>
      </c>
      <c r="BJ33" s="1" t="s">
        <v>88</v>
      </c>
      <c r="BK33" s="1" t="s">
        <v>55</v>
      </c>
      <c r="BL33" s="1">
        <v>3</v>
      </c>
      <c r="BM33" s="1">
        <v>0.1</v>
      </c>
      <c r="BN33" s="1">
        <v>4.5999999999999996</v>
      </c>
      <c r="BO33" s="1">
        <v>0.7</v>
      </c>
      <c r="BP33" s="1">
        <v>5.2</v>
      </c>
      <c r="BQ33" s="1">
        <v>0.8</v>
      </c>
      <c r="BR33" s="11">
        <f>343/E33</f>
        <v>3.3262218774243597</v>
      </c>
      <c r="BS33" s="11">
        <f>140/E33</f>
        <v>1.3576415826221877</v>
      </c>
      <c r="BT33" s="4">
        <v>2.6</v>
      </c>
      <c r="BU33" s="4">
        <v>0.3</v>
      </c>
      <c r="BV33" s="1">
        <v>0.02</v>
      </c>
      <c r="BW33" s="1">
        <v>0.01</v>
      </c>
      <c r="BX33" s="1">
        <v>0.03</v>
      </c>
      <c r="BY33" s="1">
        <v>0.01</v>
      </c>
      <c r="BZ33" s="10">
        <f>1/E33</f>
        <v>9.6974398758727688E-3</v>
      </c>
      <c r="CA33" s="10">
        <f>0.1/E33</f>
        <v>9.6974398758727695E-4</v>
      </c>
      <c r="CB33" s="10">
        <f>0.3/E33</f>
        <v>2.9092319627618307E-3</v>
      </c>
      <c r="CC33" s="10">
        <f>1/E33</f>
        <v>9.6974398758727688E-3</v>
      </c>
      <c r="CD33" s="10">
        <f>0.2/E33</f>
        <v>1.9394879751745539E-3</v>
      </c>
      <c r="CE33" s="10">
        <f>0.1/E33</f>
        <v>9.6974398758727695E-4</v>
      </c>
      <c r="CF33" s="10">
        <f>0.2/E33</f>
        <v>1.9394879751745539E-3</v>
      </c>
      <c r="CG33" s="10">
        <f>0.1/E33</f>
        <v>9.6974398758727695E-4</v>
      </c>
      <c r="CH33" s="10" t="s">
        <v>229</v>
      </c>
      <c r="CI33" s="10" t="s">
        <v>55</v>
      </c>
      <c r="CJ33" s="10">
        <f>7.1/E33</f>
        <v>6.8851823118696656E-2</v>
      </c>
      <c r="CK33" s="10">
        <f>5.8/E33</f>
        <v>5.6245151280062057E-2</v>
      </c>
      <c r="CL33" s="10">
        <f>1.7/E33</f>
        <v>1.6485647788983707E-2</v>
      </c>
      <c r="CM33" s="10">
        <f>1/E33</f>
        <v>9.6974398758727688E-3</v>
      </c>
      <c r="CN33" s="10">
        <f>0.5/E33</f>
        <v>4.8487199379363844E-3</v>
      </c>
      <c r="CO33" s="10">
        <f>0.1/E33</f>
        <v>9.6974398758727695E-4</v>
      </c>
      <c r="CP33" s="10" t="s">
        <v>229</v>
      </c>
      <c r="CQ33" s="10" t="s">
        <v>55</v>
      </c>
      <c r="CR33" s="10">
        <f>0.4/E33</f>
        <v>3.8789759503491078E-3</v>
      </c>
      <c r="CS33" s="10">
        <f>0.1/E33</f>
        <v>9.6974398758727695E-4</v>
      </c>
      <c r="CT33" s="10">
        <f>0.7/E33</f>
        <v>6.7882079131109377E-3</v>
      </c>
      <c r="CU33" s="10">
        <f>0.1/E33</f>
        <v>9.6974398758727695E-4</v>
      </c>
      <c r="CV33" s="10">
        <f>6.4/E33</f>
        <v>6.2063615205585725E-2</v>
      </c>
      <c r="CW33" s="10">
        <f>1.6/E33</f>
        <v>1.5515903801396431E-2</v>
      </c>
      <c r="CX33" s="10" t="s">
        <v>150</v>
      </c>
      <c r="CY33" s="10" t="s">
        <v>55</v>
      </c>
      <c r="CZ33" s="10">
        <f>0.5/E33</f>
        <v>4.8487199379363844E-3</v>
      </c>
      <c r="DA33" s="10">
        <f>0.1/E33</f>
        <v>9.6974398758727695E-4</v>
      </c>
      <c r="DB33" s="10">
        <f>2.3/E33</f>
        <v>2.2304111714507368E-2</v>
      </c>
      <c r="DC33" s="10">
        <f>1.1/E33</f>
        <v>1.0667183863460047E-2</v>
      </c>
      <c r="DD33" s="10">
        <f>0.6/E33</f>
        <v>5.8184639255236615E-3</v>
      </c>
      <c r="DE33" s="10">
        <f>0.1/E33</f>
        <v>9.6974398758727695E-4</v>
      </c>
      <c r="DF33" s="10" t="s">
        <v>57</v>
      </c>
      <c r="DG33" s="10" t="s">
        <v>55</v>
      </c>
      <c r="DH33" s="10">
        <f>58/E33</f>
        <v>0.56245151280062056</v>
      </c>
      <c r="DI33" s="10">
        <f>4/E33</f>
        <v>3.8789759503491075E-2</v>
      </c>
      <c r="DJ33" s="10">
        <f>139/E33</f>
        <v>1.347944142746315</v>
      </c>
      <c r="DK33" s="10">
        <f>20/E33</f>
        <v>0.19394879751745539</v>
      </c>
      <c r="DL33" s="10">
        <f>195/E33</f>
        <v>1.8910007757951899</v>
      </c>
      <c r="DM33" s="10">
        <f>26/E33</f>
        <v>0.25213343677269201</v>
      </c>
      <c r="DN33" s="10" t="s">
        <v>229</v>
      </c>
      <c r="DO33" s="10" t="s">
        <v>55</v>
      </c>
      <c r="DP33" s="10">
        <f>57/E33</f>
        <v>0.55275407292474787</v>
      </c>
      <c r="DQ33" s="10">
        <f>8/E33</f>
        <v>7.7579519006982151E-2</v>
      </c>
      <c r="DR33" s="10">
        <f>6/E33</f>
        <v>5.8184639255236613E-2</v>
      </c>
      <c r="DS33" s="10">
        <f>1/E33</f>
        <v>9.6974398758727688E-3</v>
      </c>
      <c r="DT33" s="10">
        <f>22/E33</f>
        <v>0.21334367726920092</v>
      </c>
      <c r="DU33" s="10">
        <f>6/E33</f>
        <v>5.8184639255236613E-2</v>
      </c>
      <c r="DV33" s="10" t="s">
        <v>277</v>
      </c>
      <c r="DW33" s="10" t="s">
        <v>55</v>
      </c>
      <c r="DX33" s="10" t="s">
        <v>278</v>
      </c>
      <c r="DY33" s="10" t="s">
        <v>55</v>
      </c>
      <c r="DZ33" s="10" t="s">
        <v>91</v>
      </c>
      <c r="EA33" s="10" t="s">
        <v>55</v>
      </c>
      <c r="EB33" s="10">
        <f>0.2/E33</f>
        <v>1.9394879751745539E-3</v>
      </c>
      <c r="EC33" s="10">
        <f>0.1/E33</f>
        <v>9.6974398758727695E-4</v>
      </c>
      <c r="ED33" s="10" t="s">
        <v>229</v>
      </c>
      <c r="EE33" s="10" t="s">
        <v>55</v>
      </c>
      <c r="EF33" s="10" t="s">
        <v>229</v>
      </c>
      <c r="EG33" s="10" t="s">
        <v>55</v>
      </c>
      <c r="EH33" s="10" t="s">
        <v>233</v>
      </c>
      <c r="EI33" s="10" t="s">
        <v>55</v>
      </c>
      <c r="EJ33" s="10" t="s">
        <v>233</v>
      </c>
      <c r="EK33" s="10" t="s">
        <v>55</v>
      </c>
      <c r="EL33" s="10" t="s">
        <v>233</v>
      </c>
      <c r="EM33" s="10" t="s">
        <v>55</v>
      </c>
      <c r="EN33" s="8">
        <f>1.2/E33</f>
        <v>1.1636927851047323E-2</v>
      </c>
      <c r="EO33" s="8">
        <f>0.3/E33</f>
        <v>2.9092319627618307E-3</v>
      </c>
      <c r="EP33" s="10" t="s">
        <v>56</v>
      </c>
      <c r="EQ33" s="10" t="s">
        <v>55</v>
      </c>
      <c r="ER33" s="10">
        <f>1.3/E33</f>
        <v>1.2606671838634601E-2</v>
      </c>
      <c r="ES33" s="10">
        <f>0.2/E33</f>
        <v>1.9394879751745539E-3</v>
      </c>
      <c r="ET33" s="10">
        <f>0.8/E33</f>
        <v>7.7579519006982156E-3</v>
      </c>
      <c r="EU33" s="10">
        <f>0.4/E33</f>
        <v>3.8789759503491078E-3</v>
      </c>
      <c r="EV33" s="10">
        <f>0.7/E33</f>
        <v>6.7882079131109377E-3</v>
      </c>
      <c r="EW33" s="10">
        <f>0.2/E33</f>
        <v>1.9394879751745539E-3</v>
      </c>
      <c r="EX33" s="10">
        <f>1.6/E33</f>
        <v>1.5515903801396431E-2</v>
      </c>
      <c r="EY33" s="10">
        <f>0.4/E33</f>
        <v>3.8789759503491078E-3</v>
      </c>
      <c r="EZ33" s="10">
        <f>0.8/E33</f>
        <v>7.7579519006982156E-3</v>
      </c>
      <c r="FA33" s="10">
        <f>0.2/E33</f>
        <v>1.9394879751745539E-3</v>
      </c>
      <c r="FB33" s="10" t="s">
        <v>498</v>
      </c>
      <c r="FC33" s="10" t="s">
        <v>55</v>
      </c>
      <c r="FD33" s="10" t="s">
        <v>498</v>
      </c>
      <c r="FE33" s="10" t="s">
        <v>55</v>
      </c>
      <c r="FF33" s="10">
        <f>9.2/E33</f>
        <v>8.9216446858029472E-2</v>
      </c>
      <c r="FG33" s="10">
        <f>2.9/E33</f>
        <v>2.8122575640031029E-2</v>
      </c>
      <c r="FH33" s="10">
        <f>3.8/E33</f>
        <v>3.6850271528316519E-2</v>
      </c>
      <c r="FI33" s="10">
        <f>1.3/E33</f>
        <v>1.2606671838634601E-2</v>
      </c>
      <c r="FJ33" s="10">
        <f>3.2/E33</f>
        <v>3.1031807602792862E-2</v>
      </c>
      <c r="FK33" s="10">
        <f>0.8/E33</f>
        <v>7.7579519006982156E-3</v>
      </c>
      <c r="FL33" s="10">
        <f>9.3/E33</f>
        <v>9.0186190845616757E-2</v>
      </c>
      <c r="FM33" s="10">
        <f>3.1/E33</f>
        <v>3.0062063615205584E-2</v>
      </c>
      <c r="FN33" s="10">
        <f>5.6/E33</f>
        <v>5.4305663304887501E-2</v>
      </c>
      <c r="FO33" s="10">
        <f>0.7/E33</f>
        <v>6.7882079131109377E-3</v>
      </c>
      <c r="FP33" s="10">
        <f>4.5/E33</f>
        <v>4.3638479441427458E-2</v>
      </c>
      <c r="FQ33" s="10">
        <f>1.2/E33</f>
        <v>1.1636927851047323E-2</v>
      </c>
      <c r="FR33" s="10">
        <f>5/E33</f>
        <v>4.8487199379363848E-2</v>
      </c>
      <c r="FS33" s="10">
        <f>1.3/E33</f>
        <v>1.2606671838634601E-2</v>
      </c>
      <c r="FT33" s="8" t="s">
        <v>157</v>
      </c>
      <c r="FU33" s="8" t="s">
        <v>55</v>
      </c>
      <c r="FV33" s="8" t="s">
        <v>157</v>
      </c>
      <c r="FW33" s="8" t="s">
        <v>55</v>
      </c>
      <c r="FX33" s="10">
        <v>0.44</v>
      </c>
      <c r="FY33" s="10">
        <v>0.18</v>
      </c>
      <c r="FZ33" s="8" t="s">
        <v>157</v>
      </c>
      <c r="GA33" s="8" t="s">
        <v>55</v>
      </c>
      <c r="GB33" s="8" t="s">
        <v>157</v>
      </c>
      <c r="GC33" s="8" t="s">
        <v>55</v>
      </c>
      <c r="GD33" s="8" t="s">
        <v>157</v>
      </c>
      <c r="GE33" s="8" t="s">
        <v>55</v>
      </c>
      <c r="GF33" s="8" t="s">
        <v>157</v>
      </c>
      <c r="GG33" s="8" t="s">
        <v>55</v>
      </c>
      <c r="GH33" s="8" t="s">
        <v>157</v>
      </c>
      <c r="GI33" s="8" t="s">
        <v>55</v>
      </c>
      <c r="GJ33" s="8" t="s">
        <v>157</v>
      </c>
      <c r="GK33" s="8" t="s">
        <v>55</v>
      </c>
      <c r="GL33" s="8" t="s">
        <v>157</v>
      </c>
      <c r="GM33" s="8" t="s">
        <v>55</v>
      </c>
      <c r="GN33" s="8" t="s">
        <v>157</v>
      </c>
      <c r="GO33" s="8" t="s">
        <v>55</v>
      </c>
      <c r="GP33" s="8" t="s">
        <v>157</v>
      </c>
      <c r="GQ33" s="8" t="s">
        <v>55</v>
      </c>
      <c r="GR33" s="10">
        <v>0.38</v>
      </c>
      <c r="GS33" s="10">
        <v>0.02</v>
      </c>
      <c r="GT33" s="10">
        <v>0.44</v>
      </c>
      <c r="GU33" s="10">
        <v>7.0000000000000007E-2</v>
      </c>
      <c r="GV33" s="10">
        <v>0.61</v>
      </c>
      <c r="GW33" s="10">
        <v>0.05</v>
      </c>
      <c r="GX33" s="10" t="s">
        <v>614</v>
      </c>
      <c r="GY33" s="10" t="s">
        <v>55</v>
      </c>
      <c r="GZ33" s="10" t="s">
        <v>56</v>
      </c>
      <c r="HA33" s="10" t="s">
        <v>55</v>
      </c>
      <c r="HB33" s="10" t="s">
        <v>56</v>
      </c>
      <c r="HC33" s="10" t="s">
        <v>55</v>
      </c>
      <c r="HD33" s="10" t="s">
        <v>56</v>
      </c>
      <c r="HE33" s="10" t="s">
        <v>55</v>
      </c>
      <c r="HF33" s="10" t="s">
        <v>56</v>
      </c>
      <c r="HG33" s="10" t="s">
        <v>55</v>
      </c>
      <c r="HH33" s="10" t="s">
        <v>56</v>
      </c>
      <c r="HI33" s="10" t="s">
        <v>55</v>
      </c>
      <c r="HJ33" s="10" t="s">
        <v>56</v>
      </c>
      <c r="HK33" s="10" t="s">
        <v>55</v>
      </c>
      <c r="HL33" s="10" t="s">
        <v>56</v>
      </c>
      <c r="HM33" s="10" t="s">
        <v>55</v>
      </c>
      <c r="HN33" s="10" t="s">
        <v>56</v>
      </c>
      <c r="HO33" s="10" t="s">
        <v>55</v>
      </c>
      <c r="HP33" s="10" t="s">
        <v>56</v>
      </c>
      <c r="HQ33" s="10" t="s">
        <v>55</v>
      </c>
      <c r="HR33" s="10" t="s">
        <v>56</v>
      </c>
      <c r="HS33" s="10" t="s">
        <v>55</v>
      </c>
      <c r="HT33" s="10" t="s">
        <v>56</v>
      </c>
      <c r="HU33" s="10" t="s">
        <v>55</v>
      </c>
      <c r="HV33" s="10" t="s">
        <v>56</v>
      </c>
      <c r="HW33" s="10" t="s">
        <v>55</v>
      </c>
      <c r="HX33" s="10" t="s">
        <v>56</v>
      </c>
      <c r="HY33" s="10" t="s">
        <v>55</v>
      </c>
      <c r="HZ33" s="10" t="s">
        <v>56</v>
      </c>
      <c r="IA33" s="10" t="s">
        <v>55</v>
      </c>
      <c r="IB33" s="10" t="s">
        <v>56</v>
      </c>
      <c r="IC33" s="10" t="s">
        <v>55</v>
      </c>
      <c r="ID33" s="1">
        <v>8.3299999999999999E-2</v>
      </c>
      <c r="IE33" s="1">
        <v>4.02E-2</v>
      </c>
      <c r="IF33" s="4">
        <v>1.0500000000000001E-2</v>
      </c>
      <c r="IG33" s="4">
        <v>2.4E-2</v>
      </c>
      <c r="IH33" s="4" t="s">
        <v>56</v>
      </c>
      <c r="II33" s="4" t="s">
        <v>55</v>
      </c>
      <c r="IJ33" s="4" t="s">
        <v>56</v>
      </c>
      <c r="IK33" s="4" t="s">
        <v>55</v>
      </c>
      <c r="IL33" s="4" t="s">
        <v>56</v>
      </c>
      <c r="IM33" s="4" t="s">
        <v>55</v>
      </c>
      <c r="IN33" s="4" t="s">
        <v>56</v>
      </c>
      <c r="IO33" s="4" t="s">
        <v>55</v>
      </c>
      <c r="IP33" s="4" t="s">
        <v>56</v>
      </c>
      <c r="IQ33" s="4" t="s">
        <v>55</v>
      </c>
      <c r="IR33" s="4" t="s">
        <v>56</v>
      </c>
      <c r="IS33" s="4" t="s">
        <v>55</v>
      </c>
      <c r="IT33" s="4">
        <v>33.1</v>
      </c>
      <c r="IU33" s="4">
        <v>10.6</v>
      </c>
      <c r="IV33" s="4" t="s">
        <v>556</v>
      </c>
      <c r="IW33" s="4" t="s">
        <v>55</v>
      </c>
      <c r="IX33" s="4" t="s">
        <v>56</v>
      </c>
      <c r="IY33" s="4" t="s">
        <v>55</v>
      </c>
      <c r="IZ33" s="4" t="s">
        <v>56</v>
      </c>
      <c r="JA33" s="4" t="s">
        <v>55</v>
      </c>
      <c r="JB33" s="4" t="s">
        <v>56</v>
      </c>
      <c r="JC33" s="4" t="s">
        <v>55</v>
      </c>
      <c r="JD33" s="4" t="s">
        <v>56</v>
      </c>
      <c r="JE33" s="4" t="s">
        <v>55</v>
      </c>
      <c r="JF33" s="4" t="s">
        <v>56</v>
      </c>
      <c r="JG33" s="4" t="s">
        <v>55</v>
      </c>
      <c r="JH33" s="4" t="s">
        <v>56</v>
      </c>
      <c r="JI33" s="4" t="s">
        <v>55</v>
      </c>
      <c r="JJ33" s="4" t="s">
        <v>56</v>
      </c>
      <c r="JK33" s="4" t="s">
        <v>55</v>
      </c>
      <c r="JL33" s="4" t="s">
        <v>56</v>
      </c>
      <c r="JM33" s="4" t="s">
        <v>55</v>
      </c>
      <c r="JN33" s="4" t="s">
        <v>56</v>
      </c>
      <c r="JO33" s="4" t="s">
        <v>55</v>
      </c>
      <c r="JP33" s="4" t="s">
        <v>56</v>
      </c>
      <c r="JQ33" s="4" t="s">
        <v>55</v>
      </c>
      <c r="JR33" s="4" t="s">
        <v>56</v>
      </c>
      <c r="JS33" s="4" t="s">
        <v>55</v>
      </c>
      <c r="JT33" s="4" t="s">
        <v>56</v>
      </c>
      <c r="JU33" s="4" t="s">
        <v>55</v>
      </c>
      <c r="JV33" s="4" t="s">
        <v>56</v>
      </c>
      <c r="JW33" s="4" t="s">
        <v>55</v>
      </c>
      <c r="JX33" s="26" t="s">
        <v>56</v>
      </c>
      <c r="JY33" s="26" t="s">
        <v>55</v>
      </c>
      <c r="JZ33" s="26" t="s">
        <v>56</v>
      </c>
      <c r="KA33" s="26" t="s">
        <v>55</v>
      </c>
      <c r="KB33" s="26" t="s">
        <v>56</v>
      </c>
      <c r="KC33" s="26" t="s">
        <v>55</v>
      </c>
      <c r="KD33" s="26" t="s">
        <v>56</v>
      </c>
      <c r="KE33" s="26" t="s">
        <v>55</v>
      </c>
      <c r="KF33" s="26" t="s">
        <v>56</v>
      </c>
      <c r="KG33" s="26" t="s">
        <v>55</v>
      </c>
      <c r="KH33" s="4" t="s">
        <v>56</v>
      </c>
      <c r="KI33" s="4" t="s">
        <v>55</v>
      </c>
      <c r="KJ33" s="4" t="s">
        <v>56</v>
      </c>
      <c r="KK33" s="4" t="s">
        <v>55</v>
      </c>
      <c r="KL33" s="4" t="s">
        <v>56</v>
      </c>
      <c r="KM33" s="4" t="s">
        <v>55</v>
      </c>
      <c r="KN33" s="4" t="s">
        <v>56</v>
      </c>
      <c r="KO33" s="4" t="s">
        <v>55</v>
      </c>
      <c r="KP33" s="4" t="s">
        <v>56</v>
      </c>
      <c r="KQ33" s="4" t="s">
        <v>55</v>
      </c>
      <c r="KR33" s="17" t="s">
        <v>56</v>
      </c>
      <c r="KS33" s="17" t="s">
        <v>55</v>
      </c>
      <c r="KT33" s="17" t="s">
        <v>56</v>
      </c>
      <c r="KU33" s="17" t="s">
        <v>55</v>
      </c>
      <c r="KV33" s="4" t="s">
        <v>56</v>
      </c>
      <c r="KW33" s="4" t="s">
        <v>55</v>
      </c>
      <c r="KX33" s="4" t="s">
        <v>56</v>
      </c>
      <c r="KY33" s="4" t="s">
        <v>55</v>
      </c>
      <c r="KZ33" s="4" t="s">
        <v>56</v>
      </c>
      <c r="LA33" s="4" t="s">
        <v>55</v>
      </c>
      <c r="LB33" s="10" t="s">
        <v>56</v>
      </c>
      <c r="LC33" s="10" t="s">
        <v>55</v>
      </c>
      <c r="LD33" s="10" t="s">
        <v>56</v>
      </c>
      <c r="LE33" s="10" t="s">
        <v>55</v>
      </c>
      <c r="LF33" s="10" t="s">
        <v>56</v>
      </c>
      <c r="LG33" s="10" t="s">
        <v>55</v>
      </c>
      <c r="LH33" s="10" t="s">
        <v>56</v>
      </c>
      <c r="LI33" s="10" t="s">
        <v>55</v>
      </c>
      <c r="LJ33" s="10" t="s">
        <v>56</v>
      </c>
      <c r="LK33" s="10" t="s">
        <v>162</v>
      </c>
      <c r="LL33" s="10" t="s">
        <v>56</v>
      </c>
      <c r="LM33" s="10" t="s">
        <v>162</v>
      </c>
      <c r="LN33" s="10" t="s">
        <v>56</v>
      </c>
      <c r="LO33" s="10" t="s">
        <v>162</v>
      </c>
      <c r="LP33" s="10" t="s">
        <v>56</v>
      </c>
      <c r="LQ33" s="10" t="s">
        <v>162</v>
      </c>
      <c r="LR33" s="10" t="s">
        <v>56</v>
      </c>
      <c r="LS33" s="10" t="s">
        <v>162</v>
      </c>
      <c r="LT33" s="10" t="s">
        <v>56</v>
      </c>
      <c r="LU33" s="10" t="s">
        <v>162</v>
      </c>
      <c r="LV33" s="10" t="s">
        <v>56</v>
      </c>
      <c r="LW33" s="10" t="s">
        <v>55</v>
      </c>
      <c r="LX33" s="10" t="s">
        <v>56</v>
      </c>
      <c r="LY33" s="10" t="s">
        <v>55</v>
      </c>
      <c r="LZ33" s="10" t="s">
        <v>56</v>
      </c>
      <c r="MA33" s="10" t="s">
        <v>55</v>
      </c>
      <c r="MB33" s="10" t="s">
        <v>56</v>
      </c>
      <c r="MC33" s="10" t="s">
        <v>55</v>
      </c>
      <c r="MD33" s="17" t="s">
        <v>56</v>
      </c>
      <c r="ME33" s="4" t="s">
        <v>55</v>
      </c>
      <c r="MF33" s="17" t="s">
        <v>56</v>
      </c>
      <c r="MG33" s="4" t="s">
        <v>55</v>
      </c>
      <c r="MH33" s="17" t="s">
        <v>56</v>
      </c>
      <c r="MI33" s="4" t="s">
        <v>55</v>
      </c>
      <c r="MJ33" s="17" t="s">
        <v>56</v>
      </c>
      <c r="MK33" s="4" t="s">
        <v>55</v>
      </c>
      <c r="ML33" s="17" t="s">
        <v>56</v>
      </c>
      <c r="MM33" s="4" t="s">
        <v>55</v>
      </c>
      <c r="MN33" s="17" t="s">
        <v>56</v>
      </c>
      <c r="MO33" s="4" t="s">
        <v>55</v>
      </c>
      <c r="MP33" s="17" t="s">
        <v>56</v>
      </c>
      <c r="MQ33" s="4" t="s">
        <v>55</v>
      </c>
      <c r="MR33" s="17" t="s">
        <v>56</v>
      </c>
      <c r="MS33" s="4" t="s">
        <v>55</v>
      </c>
      <c r="MT33" s="17" t="s">
        <v>56</v>
      </c>
      <c r="MU33" s="4" t="s">
        <v>55</v>
      </c>
      <c r="MV33" s="17" t="s">
        <v>56</v>
      </c>
      <c r="MW33" s="4" t="s">
        <v>55</v>
      </c>
      <c r="MX33" s="17" t="s">
        <v>56</v>
      </c>
      <c r="MY33" s="4" t="s">
        <v>55</v>
      </c>
      <c r="MZ33" s="17" t="s">
        <v>56</v>
      </c>
      <c r="NA33" s="4" t="s">
        <v>55</v>
      </c>
      <c r="NB33" s="10" t="s">
        <v>56</v>
      </c>
      <c r="NC33" s="10" t="s">
        <v>55</v>
      </c>
      <c r="ND33" s="10" t="s">
        <v>56</v>
      </c>
      <c r="NE33" s="10" t="s">
        <v>55</v>
      </c>
      <c r="NF33" s="10" t="s">
        <v>56</v>
      </c>
      <c r="NG33" s="10" t="s">
        <v>55</v>
      </c>
      <c r="NH33" s="10" t="s">
        <v>56</v>
      </c>
      <c r="NI33" s="10" t="s">
        <v>55</v>
      </c>
      <c r="NJ33" s="10" t="s">
        <v>56</v>
      </c>
      <c r="NK33" s="10" t="s">
        <v>55</v>
      </c>
      <c r="NL33" s="10" t="s">
        <v>56</v>
      </c>
      <c r="NM33" s="4" t="s">
        <v>55</v>
      </c>
      <c r="NN33" s="10" t="s">
        <v>56</v>
      </c>
      <c r="NO33" s="4" t="s">
        <v>55</v>
      </c>
      <c r="NP33" s="10" t="s">
        <v>56</v>
      </c>
      <c r="NQ33" s="4" t="s">
        <v>55</v>
      </c>
      <c r="NR33" s="10" t="s">
        <v>57</v>
      </c>
      <c r="NS33" s="10" t="s">
        <v>55</v>
      </c>
      <c r="NT33" s="10" t="s">
        <v>57</v>
      </c>
      <c r="NU33" s="10" t="s">
        <v>55</v>
      </c>
    </row>
    <row r="34" spans="1:385" x14ac:dyDescent="0.2">
      <c r="A34" t="s">
        <v>509</v>
      </c>
      <c r="B34" s="1" t="s">
        <v>1040</v>
      </c>
      <c r="C34" s="1" t="s">
        <v>858</v>
      </c>
      <c r="D34" s="39" cm="1">
        <f t="array" ref="D34">SUMPRODUCT((ISNUMBER(F34:NU34))*(MOD(COLUMN(F34:NU34),2)=0))</f>
        <v>5</v>
      </c>
      <c r="E34" s="1">
        <v>103.12</v>
      </c>
      <c r="F34" s="1" t="s">
        <v>56</v>
      </c>
      <c r="G34" s="1" t="s">
        <v>55</v>
      </c>
      <c r="H34" s="1" t="s">
        <v>56</v>
      </c>
      <c r="I34" s="1" t="s">
        <v>55</v>
      </c>
      <c r="J34" s="1" t="s">
        <v>56</v>
      </c>
      <c r="K34" s="1" t="s">
        <v>55</v>
      </c>
      <c r="L34" s="1" t="s">
        <v>56</v>
      </c>
      <c r="M34" s="1" t="s">
        <v>55</v>
      </c>
      <c r="N34" s="1" t="s">
        <v>56</v>
      </c>
      <c r="O34" s="1" t="s">
        <v>55</v>
      </c>
      <c r="P34" s="1" t="s">
        <v>56</v>
      </c>
      <c r="Q34" s="1" t="s">
        <v>55</v>
      </c>
      <c r="R34" s="1" t="s">
        <v>56</v>
      </c>
      <c r="S34" s="1" t="s">
        <v>55</v>
      </c>
      <c r="T34" s="1" t="s">
        <v>56</v>
      </c>
      <c r="U34" s="1" t="s">
        <v>55</v>
      </c>
      <c r="V34" s="1" t="s">
        <v>56</v>
      </c>
      <c r="W34" s="1" t="s">
        <v>55</v>
      </c>
      <c r="X34" s="1" t="s">
        <v>56</v>
      </c>
      <c r="Y34" s="1" t="s">
        <v>55</v>
      </c>
      <c r="Z34" s="1" t="s">
        <v>56</v>
      </c>
      <c r="AA34" s="1" t="s">
        <v>55</v>
      </c>
      <c r="AB34" s="1" t="s">
        <v>56</v>
      </c>
      <c r="AC34" s="1" t="s">
        <v>55</v>
      </c>
      <c r="AD34" s="1" t="s">
        <v>56</v>
      </c>
      <c r="AE34" s="1" t="s">
        <v>55</v>
      </c>
      <c r="AF34" s="11" t="s">
        <v>56</v>
      </c>
      <c r="AG34" s="11" t="s">
        <v>55</v>
      </c>
      <c r="AH34" s="11" t="s">
        <v>56</v>
      </c>
      <c r="AI34" s="11" t="s">
        <v>55</v>
      </c>
      <c r="AJ34" s="11" t="s">
        <v>56</v>
      </c>
      <c r="AK34" s="11" t="s">
        <v>55</v>
      </c>
      <c r="AL34" s="11" t="s">
        <v>56</v>
      </c>
      <c r="AM34" s="11" t="s">
        <v>55</v>
      </c>
      <c r="AN34" s="11" t="s">
        <v>56</v>
      </c>
      <c r="AO34" s="11" t="s">
        <v>55</v>
      </c>
      <c r="AP34" s="11" t="s">
        <v>56</v>
      </c>
      <c r="AQ34" s="11" t="s">
        <v>55</v>
      </c>
      <c r="AR34" s="10">
        <f>150/E34</f>
        <v>1.4546159813809154</v>
      </c>
      <c r="AS34" s="10">
        <f>54/E34</f>
        <v>0.5236617532971295</v>
      </c>
      <c r="AT34" s="11" t="s">
        <v>56</v>
      </c>
      <c r="AU34" s="11" t="s">
        <v>55</v>
      </c>
      <c r="AV34" s="11" t="s">
        <v>56</v>
      </c>
      <c r="AW34" s="11" t="s">
        <v>55</v>
      </c>
      <c r="AX34" s="11" t="s">
        <v>56</v>
      </c>
      <c r="AY34" s="11" t="s">
        <v>55</v>
      </c>
      <c r="AZ34" s="11" t="s">
        <v>56</v>
      </c>
      <c r="BA34" s="11" t="s">
        <v>55</v>
      </c>
      <c r="BB34" s="11" t="s">
        <v>56</v>
      </c>
      <c r="BC34" s="11" t="s">
        <v>55</v>
      </c>
      <c r="BD34" s="11" t="s">
        <v>56</v>
      </c>
      <c r="BE34" s="11" t="s">
        <v>55</v>
      </c>
      <c r="BF34" s="11" t="s">
        <v>56</v>
      </c>
      <c r="BG34" s="11" t="s">
        <v>55</v>
      </c>
      <c r="BH34" s="11" t="s">
        <v>56</v>
      </c>
      <c r="BI34" s="11" t="s">
        <v>55</v>
      </c>
      <c r="BJ34" s="11" t="s">
        <v>56</v>
      </c>
      <c r="BK34" s="11" t="s">
        <v>55</v>
      </c>
      <c r="BL34" s="11" t="s">
        <v>56</v>
      </c>
      <c r="BM34" s="11" t="s">
        <v>55</v>
      </c>
      <c r="BN34" s="11" t="s">
        <v>56</v>
      </c>
      <c r="BO34" s="11" t="s">
        <v>55</v>
      </c>
      <c r="BP34" s="11" t="s">
        <v>56</v>
      </c>
      <c r="BQ34" s="11" t="s">
        <v>55</v>
      </c>
      <c r="BR34" s="11" t="s">
        <v>56</v>
      </c>
      <c r="BS34" s="11" t="s">
        <v>162</v>
      </c>
      <c r="BT34" s="11" t="s">
        <v>56</v>
      </c>
      <c r="BU34" s="11" t="s">
        <v>162</v>
      </c>
      <c r="BV34" s="11" t="s">
        <v>56</v>
      </c>
      <c r="BW34" s="11" t="s">
        <v>162</v>
      </c>
      <c r="BX34" s="11" t="s">
        <v>56</v>
      </c>
      <c r="BY34" s="11" t="s">
        <v>162</v>
      </c>
      <c r="BZ34" s="11" t="s">
        <v>56</v>
      </c>
      <c r="CA34" s="11" t="s">
        <v>162</v>
      </c>
      <c r="CB34" s="11" t="s">
        <v>56</v>
      </c>
      <c r="CC34" s="11" t="s">
        <v>162</v>
      </c>
      <c r="CD34" s="11" t="s">
        <v>56</v>
      </c>
      <c r="CE34" s="11" t="s">
        <v>162</v>
      </c>
      <c r="CF34" s="11" t="s">
        <v>56</v>
      </c>
      <c r="CG34" s="11" t="s">
        <v>162</v>
      </c>
      <c r="CH34" s="11" t="s">
        <v>56</v>
      </c>
      <c r="CI34" s="11" t="s">
        <v>162</v>
      </c>
      <c r="CJ34" s="11" t="s">
        <v>56</v>
      </c>
      <c r="CK34" s="11" t="s">
        <v>162</v>
      </c>
      <c r="CL34" s="11" t="s">
        <v>56</v>
      </c>
      <c r="CM34" s="11" t="s">
        <v>162</v>
      </c>
      <c r="CN34" s="11" t="s">
        <v>56</v>
      </c>
      <c r="CO34" s="11" t="s">
        <v>162</v>
      </c>
      <c r="CP34" s="11" t="s">
        <v>56</v>
      </c>
      <c r="CQ34" s="11" t="s">
        <v>162</v>
      </c>
      <c r="CR34" s="11" t="s">
        <v>56</v>
      </c>
      <c r="CS34" s="11" t="s">
        <v>162</v>
      </c>
      <c r="CT34" s="11" t="s">
        <v>56</v>
      </c>
      <c r="CU34" s="11" t="s">
        <v>162</v>
      </c>
      <c r="CV34" s="11" t="s">
        <v>56</v>
      </c>
      <c r="CW34" s="11" t="s">
        <v>162</v>
      </c>
      <c r="CX34" s="11" t="s">
        <v>56</v>
      </c>
      <c r="CY34" s="11" t="s">
        <v>162</v>
      </c>
      <c r="CZ34" s="11" t="s">
        <v>56</v>
      </c>
      <c r="DA34" s="11" t="s">
        <v>162</v>
      </c>
      <c r="DB34" s="11" t="s">
        <v>56</v>
      </c>
      <c r="DC34" s="11" t="s">
        <v>162</v>
      </c>
      <c r="DD34" s="11" t="s">
        <v>56</v>
      </c>
      <c r="DE34" s="11" t="s">
        <v>162</v>
      </c>
      <c r="DF34" s="11" t="s">
        <v>56</v>
      </c>
      <c r="DG34" s="11" t="s">
        <v>162</v>
      </c>
      <c r="DH34" s="11" t="s">
        <v>56</v>
      </c>
      <c r="DI34" s="11" t="s">
        <v>162</v>
      </c>
      <c r="DJ34" s="11" t="s">
        <v>56</v>
      </c>
      <c r="DK34" s="11" t="s">
        <v>162</v>
      </c>
      <c r="DL34" s="11" t="s">
        <v>56</v>
      </c>
      <c r="DM34" s="11" t="s">
        <v>162</v>
      </c>
      <c r="DN34" s="11" t="s">
        <v>56</v>
      </c>
      <c r="DO34" s="11" t="s">
        <v>162</v>
      </c>
      <c r="DP34" s="11" t="s">
        <v>56</v>
      </c>
      <c r="DQ34" s="11" t="s">
        <v>162</v>
      </c>
      <c r="DR34" s="11" t="s">
        <v>56</v>
      </c>
      <c r="DS34" s="11" t="s">
        <v>162</v>
      </c>
      <c r="DT34" s="11" t="s">
        <v>56</v>
      </c>
      <c r="DU34" s="11" t="s">
        <v>162</v>
      </c>
      <c r="DV34" s="11" t="s">
        <v>56</v>
      </c>
      <c r="DW34" s="11" t="s">
        <v>162</v>
      </c>
      <c r="DX34" s="11" t="s">
        <v>56</v>
      </c>
      <c r="DY34" s="11" t="s">
        <v>162</v>
      </c>
      <c r="DZ34" s="11" t="s">
        <v>56</v>
      </c>
      <c r="EA34" s="11" t="s">
        <v>162</v>
      </c>
      <c r="EB34" s="11" t="s">
        <v>56</v>
      </c>
      <c r="EC34" s="11" t="s">
        <v>162</v>
      </c>
      <c r="ED34" s="11" t="s">
        <v>56</v>
      </c>
      <c r="EE34" s="11" t="s">
        <v>162</v>
      </c>
      <c r="EF34" s="11" t="s">
        <v>56</v>
      </c>
      <c r="EG34" s="11" t="s">
        <v>162</v>
      </c>
      <c r="EH34" s="11" t="s">
        <v>56</v>
      </c>
      <c r="EI34" s="11" t="s">
        <v>162</v>
      </c>
      <c r="EJ34" s="11" t="s">
        <v>56</v>
      </c>
      <c r="EK34" s="11" t="s">
        <v>162</v>
      </c>
      <c r="EL34" s="11" t="s">
        <v>56</v>
      </c>
      <c r="EM34" s="11" t="s">
        <v>162</v>
      </c>
      <c r="EN34" s="11" t="s">
        <v>56</v>
      </c>
      <c r="EO34" s="11" t="s">
        <v>162</v>
      </c>
      <c r="EP34" s="11" t="s">
        <v>56</v>
      </c>
      <c r="EQ34" s="11" t="s">
        <v>162</v>
      </c>
      <c r="ER34" s="11" t="s">
        <v>56</v>
      </c>
      <c r="ES34" s="11" t="s">
        <v>162</v>
      </c>
      <c r="ET34" s="11" t="s">
        <v>56</v>
      </c>
      <c r="EU34" s="11" t="s">
        <v>162</v>
      </c>
      <c r="EV34" s="11" t="s">
        <v>56</v>
      </c>
      <c r="EW34" s="11" t="s">
        <v>162</v>
      </c>
      <c r="EX34" s="11" t="s">
        <v>56</v>
      </c>
      <c r="EY34" s="11" t="s">
        <v>162</v>
      </c>
      <c r="EZ34" s="11" t="s">
        <v>56</v>
      </c>
      <c r="FA34" s="11" t="s">
        <v>162</v>
      </c>
      <c r="FB34" s="11" t="s">
        <v>56</v>
      </c>
      <c r="FC34" s="11" t="s">
        <v>162</v>
      </c>
      <c r="FD34" s="11" t="s">
        <v>56</v>
      </c>
      <c r="FE34" s="11" t="s">
        <v>162</v>
      </c>
      <c r="FF34" s="11" t="s">
        <v>56</v>
      </c>
      <c r="FG34" s="11" t="s">
        <v>162</v>
      </c>
      <c r="FH34" s="11" t="s">
        <v>56</v>
      </c>
      <c r="FI34" s="11" t="s">
        <v>162</v>
      </c>
      <c r="FJ34" s="11" t="s">
        <v>56</v>
      </c>
      <c r="FK34" s="11" t="s">
        <v>162</v>
      </c>
      <c r="FL34" s="11" t="s">
        <v>56</v>
      </c>
      <c r="FM34" s="11" t="s">
        <v>162</v>
      </c>
      <c r="FN34" s="11" t="s">
        <v>56</v>
      </c>
      <c r="FO34" s="11" t="s">
        <v>162</v>
      </c>
      <c r="FP34" s="11" t="s">
        <v>56</v>
      </c>
      <c r="FQ34" s="11" t="s">
        <v>162</v>
      </c>
      <c r="FR34" s="11" t="s">
        <v>56</v>
      </c>
      <c r="FS34" s="11" t="s">
        <v>162</v>
      </c>
      <c r="FT34" s="11" t="s">
        <v>56</v>
      </c>
      <c r="FU34" s="11" t="s">
        <v>162</v>
      </c>
      <c r="FV34" s="11" t="s">
        <v>56</v>
      </c>
      <c r="FW34" s="11" t="s">
        <v>162</v>
      </c>
      <c r="FX34" s="11" t="s">
        <v>56</v>
      </c>
      <c r="FY34" s="11" t="s">
        <v>162</v>
      </c>
      <c r="FZ34" s="11" t="s">
        <v>56</v>
      </c>
      <c r="GA34" s="11" t="s">
        <v>162</v>
      </c>
      <c r="GB34" s="11" t="s">
        <v>56</v>
      </c>
      <c r="GC34" s="11" t="s">
        <v>162</v>
      </c>
      <c r="GD34" s="11" t="s">
        <v>56</v>
      </c>
      <c r="GE34" s="11" t="s">
        <v>162</v>
      </c>
      <c r="GF34" s="11" t="s">
        <v>56</v>
      </c>
      <c r="GG34" s="11" t="s">
        <v>162</v>
      </c>
      <c r="GH34" s="11" t="s">
        <v>56</v>
      </c>
      <c r="GI34" s="11" t="s">
        <v>162</v>
      </c>
      <c r="GJ34" s="11" t="s">
        <v>56</v>
      </c>
      <c r="GK34" s="11" t="s">
        <v>162</v>
      </c>
      <c r="GL34" s="11" t="s">
        <v>56</v>
      </c>
      <c r="GM34" s="11" t="s">
        <v>162</v>
      </c>
      <c r="GN34" s="11" t="s">
        <v>56</v>
      </c>
      <c r="GO34" s="11" t="s">
        <v>162</v>
      </c>
      <c r="GP34" s="11" t="s">
        <v>56</v>
      </c>
      <c r="GQ34" s="11" t="s">
        <v>162</v>
      </c>
      <c r="GR34" s="10">
        <v>0.2</v>
      </c>
      <c r="GS34" s="10">
        <v>0.01</v>
      </c>
      <c r="GT34" s="10">
        <v>0.28999999999999998</v>
      </c>
      <c r="GU34" s="10">
        <v>0.02</v>
      </c>
      <c r="GV34" s="10">
        <v>0.16</v>
      </c>
      <c r="GW34" s="10">
        <v>0.01</v>
      </c>
      <c r="GX34" s="17" t="s">
        <v>56</v>
      </c>
      <c r="GY34" s="17" t="s">
        <v>55</v>
      </c>
      <c r="GZ34" s="10" t="s">
        <v>56</v>
      </c>
      <c r="HA34" s="10" t="s">
        <v>55</v>
      </c>
      <c r="HB34" s="10" t="s">
        <v>56</v>
      </c>
      <c r="HC34" s="10" t="s">
        <v>55</v>
      </c>
      <c r="HD34" s="10" t="s">
        <v>56</v>
      </c>
      <c r="HE34" s="10" t="s">
        <v>55</v>
      </c>
      <c r="HF34" s="10" t="s">
        <v>56</v>
      </c>
      <c r="HG34" s="10" t="s">
        <v>55</v>
      </c>
      <c r="HH34" s="10" t="s">
        <v>56</v>
      </c>
      <c r="HI34" s="10" t="s">
        <v>55</v>
      </c>
      <c r="HJ34" s="10" t="s">
        <v>56</v>
      </c>
      <c r="HK34" s="10" t="s">
        <v>55</v>
      </c>
      <c r="HL34" s="10" t="s">
        <v>56</v>
      </c>
      <c r="HM34" s="10" t="s">
        <v>55</v>
      </c>
      <c r="HN34" s="10" t="s">
        <v>56</v>
      </c>
      <c r="HO34" s="10" t="s">
        <v>55</v>
      </c>
      <c r="HP34" s="10" t="s">
        <v>56</v>
      </c>
      <c r="HQ34" s="10" t="s">
        <v>55</v>
      </c>
      <c r="HR34" s="10" t="s">
        <v>56</v>
      </c>
      <c r="HS34" s="10" t="s">
        <v>55</v>
      </c>
      <c r="HT34" s="10" t="s">
        <v>56</v>
      </c>
      <c r="HU34" s="10" t="s">
        <v>55</v>
      </c>
      <c r="HV34" s="10" t="s">
        <v>56</v>
      </c>
      <c r="HW34" s="10" t="s">
        <v>55</v>
      </c>
      <c r="HX34" s="10" t="s">
        <v>56</v>
      </c>
      <c r="HY34" s="10" t="s">
        <v>55</v>
      </c>
      <c r="HZ34" s="10" t="s">
        <v>56</v>
      </c>
      <c r="IA34" s="10" t="s">
        <v>55</v>
      </c>
      <c r="IB34" s="10" t="s">
        <v>56</v>
      </c>
      <c r="IC34" s="10" t="s">
        <v>55</v>
      </c>
      <c r="ID34" s="1" t="s">
        <v>56</v>
      </c>
      <c r="IE34" s="1" t="s">
        <v>55</v>
      </c>
      <c r="IF34" s="4" t="s">
        <v>56</v>
      </c>
      <c r="IG34" s="4" t="s">
        <v>55</v>
      </c>
      <c r="IH34" s="4" t="s">
        <v>56</v>
      </c>
      <c r="II34" s="4" t="s">
        <v>55</v>
      </c>
      <c r="IJ34" s="4" t="s">
        <v>56</v>
      </c>
      <c r="IK34" s="4" t="s">
        <v>55</v>
      </c>
      <c r="IL34" s="4" t="s">
        <v>56</v>
      </c>
      <c r="IM34" s="4" t="s">
        <v>55</v>
      </c>
      <c r="IN34" s="4" t="s">
        <v>56</v>
      </c>
      <c r="IO34" s="4" t="s">
        <v>55</v>
      </c>
      <c r="IP34" s="4" t="s">
        <v>56</v>
      </c>
      <c r="IQ34" s="4" t="s">
        <v>55</v>
      </c>
      <c r="IR34" s="4" t="s">
        <v>56</v>
      </c>
      <c r="IS34" s="4" t="s">
        <v>55</v>
      </c>
      <c r="IT34" s="18" t="s">
        <v>56</v>
      </c>
      <c r="IU34" s="18" t="s">
        <v>55</v>
      </c>
      <c r="IV34" s="4" t="s">
        <v>556</v>
      </c>
      <c r="IW34" s="4" t="s">
        <v>55</v>
      </c>
      <c r="IX34" s="4" t="s">
        <v>56</v>
      </c>
      <c r="IY34" s="4" t="s">
        <v>55</v>
      </c>
      <c r="IZ34" s="4" t="s">
        <v>56</v>
      </c>
      <c r="JA34" s="4" t="s">
        <v>55</v>
      </c>
      <c r="JB34" s="4" t="s">
        <v>56</v>
      </c>
      <c r="JC34" s="4" t="s">
        <v>55</v>
      </c>
      <c r="JD34" s="4" t="s">
        <v>56</v>
      </c>
      <c r="JE34" s="4" t="s">
        <v>55</v>
      </c>
      <c r="JF34" s="4" t="s">
        <v>56</v>
      </c>
      <c r="JG34" s="4" t="s">
        <v>55</v>
      </c>
      <c r="JH34" s="4" t="s">
        <v>56</v>
      </c>
      <c r="JI34" s="4" t="s">
        <v>55</v>
      </c>
      <c r="JJ34" s="4" t="s">
        <v>56</v>
      </c>
      <c r="JK34" s="4" t="s">
        <v>55</v>
      </c>
      <c r="JL34" s="4" t="s">
        <v>56</v>
      </c>
      <c r="JM34" s="4" t="s">
        <v>55</v>
      </c>
      <c r="JN34" s="4" t="s">
        <v>56</v>
      </c>
      <c r="JO34" s="4" t="s">
        <v>55</v>
      </c>
      <c r="JP34" s="4" t="s">
        <v>56</v>
      </c>
      <c r="JQ34" s="4" t="s">
        <v>55</v>
      </c>
      <c r="JR34" s="4" t="s">
        <v>56</v>
      </c>
      <c r="JS34" s="4" t="s">
        <v>55</v>
      </c>
      <c r="JT34" s="4" t="s">
        <v>56</v>
      </c>
      <c r="JU34" s="4" t="s">
        <v>55</v>
      </c>
      <c r="JV34" s="4" t="s">
        <v>56</v>
      </c>
      <c r="JW34" s="4" t="s">
        <v>55</v>
      </c>
      <c r="JX34" s="26" t="s">
        <v>56</v>
      </c>
      <c r="JY34" s="26" t="s">
        <v>55</v>
      </c>
      <c r="JZ34" s="26" t="s">
        <v>56</v>
      </c>
      <c r="KA34" s="26" t="s">
        <v>55</v>
      </c>
      <c r="KB34" s="26" t="s">
        <v>56</v>
      </c>
      <c r="KC34" s="26" t="s">
        <v>55</v>
      </c>
      <c r="KD34" s="26" t="s">
        <v>56</v>
      </c>
      <c r="KE34" s="26" t="s">
        <v>55</v>
      </c>
      <c r="KF34" s="26" t="s">
        <v>56</v>
      </c>
      <c r="KG34" s="26" t="s">
        <v>55</v>
      </c>
      <c r="KH34" s="4" t="s">
        <v>56</v>
      </c>
      <c r="KI34" s="4" t="s">
        <v>55</v>
      </c>
      <c r="KJ34" s="4" t="s">
        <v>56</v>
      </c>
      <c r="KK34" s="4" t="s">
        <v>55</v>
      </c>
      <c r="KL34" s="4" t="s">
        <v>56</v>
      </c>
      <c r="KM34" s="4" t="s">
        <v>55</v>
      </c>
      <c r="KN34" s="4" t="s">
        <v>56</v>
      </c>
      <c r="KO34" s="4" t="s">
        <v>55</v>
      </c>
      <c r="KP34" s="4" t="s">
        <v>56</v>
      </c>
      <c r="KQ34" s="4" t="s">
        <v>55</v>
      </c>
      <c r="KR34" s="17" t="s">
        <v>56</v>
      </c>
      <c r="KS34" s="17" t="s">
        <v>55</v>
      </c>
      <c r="KT34" s="17" t="s">
        <v>56</v>
      </c>
      <c r="KU34" s="17" t="s">
        <v>55</v>
      </c>
      <c r="KV34" s="4" t="s">
        <v>56</v>
      </c>
      <c r="KW34" s="4" t="s">
        <v>55</v>
      </c>
      <c r="KX34" s="4" t="s">
        <v>56</v>
      </c>
      <c r="KY34" s="4" t="s">
        <v>55</v>
      </c>
      <c r="KZ34" s="4" t="s">
        <v>56</v>
      </c>
      <c r="LA34" s="4" t="s">
        <v>55</v>
      </c>
      <c r="LB34" s="10" t="s">
        <v>56</v>
      </c>
      <c r="LC34" s="10" t="s">
        <v>55</v>
      </c>
      <c r="LD34" s="10" t="s">
        <v>56</v>
      </c>
      <c r="LE34" s="10" t="s">
        <v>55</v>
      </c>
      <c r="LF34" s="10" t="s">
        <v>56</v>
      </c>
      <c r="LG34" s="10" t="s">
        <v>55</v>
      </c>
      <c r="LH34" s="10" t="s">
        <v>56</v>
      </c>
      <c r="LI34" s="10" t="s">
        <v>55</v>
      </c>
      <c r="LJ34" s="10" t="s">
        <v>56</v>
      </c>
      <c r="LK34" s="10" t="s">
        <v>162</v>
      </c>
      <c r="LL34" s="10" t="s">
        <v>56</v>
      </c>
      <c r="LM34" s="10" t="s">
        <v>162</v>
      </c>
      <c r="LN34" s="10" t="s">
        <v>56</v>
      </c>
      <c r="LO34" s="10" t="s">
        <v>162</v>
      </c>
      <c r="LP34" s="10" t="s">
        <v>56</v>
      </c>
      <c r="LQ34" s="10" t="s">
        <v>162</v>
      </c>
      <c r="LR34" s="10" t="s">
        <v>56</v>
      </c>
      <c r="LS34" s="10" t="s">
        <v>162</v>
      </c>
      <c r="LT34" s="10" t="s">
        <v>56</v>
      </c>
      <c r="LU34" s="10" t="s">
        <v>162</v>
      </c>
      <c r="LV34" s="10" t="s">
        <v>56</v>
      </c>
      <c r="LW34" s="10" t="s">
        <v>55</v>
      </c>
      <c r="LX34" s="10" t="s">
        <v>56</v>
      </c>
      <c r="LY34" s="10" t="s">
        <v>55</v>
      </c>
      <c r="LZ34" s="10" t="s">
        <v>56</v>
      </c>
      <c r="MA34" s="10" t="s">
        <v>55</v>
      </c>
      <c r="MB34" s="10" t="s">
        <v>56</v>
      </c>
      <c r="MC34" s="10" t="s">
        <v>55</v>
      </c>
      <c r="MD34" s="10" t="s">
        <v>56</v>
      </c>
      <c r="ME34" s="10" t="s">
        <v>55</v>
      </c>
      <c r="MF34" s="10" t="s">
        <v>56</v>
      </c>
      <c r="MG34" s="10" t="s">
        <v>55</v>
      </c>
      <c r="MH34" s="10" t="s">
        <v>56</v>
      </c>
      <c r="MI34" s="10" t="s">
        <v>55</v>
      </c>
      <c r="MJ34" s="10" t="s">
        <v>56</v>
      </c>
      <c r="MK34" s="10" t="s">
        <v>55</v>
      </c>
      <c r="ML34" s="10" t="s">
        <v>56</v>
      </c>
      <c r="MM34" s="10" t="s">
        <v>55</v>
      </c>
      <c r="MN34" s="10" t="s">
        <v>56</v>
      </c>
      <c r="MO34" s="10" t="s">
        <v>55</v>
      </c>
      <c r="MP34" s="10" t="s">
        <v>56</v>
      </c>
      <c r="MQ34" s="10" t="s">
        <v>55</v>
      </c>
      <c r="MR34" s="10" t="s">
        <v>56</v>
      </c>
      <c r="MS34" s="10" t="s">
        <v>55</v>
      </c>
      <c r="MT34" s="10" t="s">
        <v>56</v>
      </c>
      <c r="MU34" s="10" t="s">
        <v>55</v>
      </c>
      <c r="MV34" s="10" t="s">
        <v>56</v>
      </c>
      <c r="MW34" s="10" t="s">
        <v>55</v>
      </c>
      <c r="MX34" s="10" t="s">
        <v>56</v>
      </c>
      <c r="MY34" s="10" t="s">
        <v>55</v>
      </c>
      <c r="MZ34" s="10" t="s">
        <v>56</v>
      </c>
      <c r="NA34" s="4" t="s">
        <v>55</v>
      </c>
      <c r="NB34" s="10" t="s">
        <v>56</v>
      </c>
      <c r="NC34" s="10" t="s">
        <v>55</v>
      </c>
      <c r="ND34" s="10" t="s">
        <v>56</v>
      </c>
      <c r="NE34" s="10" t="s">
        <v>55</v>
      </c>
      <c r="NF34" s="10" t="s">
        <v>56</v>
      </c>
      <c r="NG34" s="10" t="s">
        <v>55</v>
      </c>
      <c r="NH34" s="10" t="s">
        <v>56</v>
      </c>
      <c r="NI34" s="10" t="s">
        <v>55</v>
      </c>
      <c r="NJ34" s="10" t="s">
        <v>56</v>
      </c>
      <c r="NK34" s="10" t="s">
        <v>55</v>
      </c>
      <c r="NL34" s="10" t="s">
        <v>56</v>
      </c>
      <c r="NM34" s="4" t="s">
        <v>55</v>
      </c>
      <c r="NN34" s="10" t="s">
        <v>56</v>
      </c>
      <c r="NO34" s="4" t="s">
        <v>55</v>
      </c>
      <c r="NP34" s="10" t="s">
        <v>56</v>
      </c>
      <c r="NQ34" s="4" t="s">
        <v>55</v>
      </c>
      <c r="NR34" s="10" t="s">
        <v>57</v>
      </c>
      <c r="NS34" s="10" t="s">
        <v>55</v>
      </c>
      <c r="NT34" s="10">
        <f>(16*1000)/E34</f>
        <v>155.15903801396431</v>
      </c>
      <c r="NU34" s="10">
        <f>(2*1000)/E34</f>
        <v>19.394879751745538</v>
      </c>
    </row>
    <row r="35" spans="1:385" x14ac:dyDescent="0.2">
      <c r="A35" t="s">
        <v>510</v>
      </c>
      <c r="B35" s="1" t="s">
        <v>1040</v>
      </c>
      <c r="C35" s="1" t="s">
        <v>859</v>
      </c>
      <c r="D35" s="39" cm="1">
        <f t="array" ref="D35">SUMPRODUCT((ISNUMBER(F35:NU35))*(MOD(COLUMN(F35:NU35),2)=0))</f>
        <v>5</v>
      </c>
      <c r="E35" s="1">
        <v>103.12</v>
      </c>
      <c r="F35" s="1" t="s">
        <v>56</v>
      </c>
      <c r="G35" s="1" t="s">
        <v>55</v>
      </c>
      <c r="H35" s="1" t="s">
        <v>56</v>
      </c>
      <c r="I35" s="1" t="s">
        <v>55</v>
      </c>
      <c r="J35" s="1" t="s">
        <v>56</v>
      </c>
      <c r="K35" s="1" t="s">
        <v>55</v>
      </c>
      <c r="L35" s="1" t="s">
        <v>56</v>
      </c>
      <c r="M35" s="1" t="s">
        <v>55</v>
      </c>
      <c r="N35" s="1" t="s">
        <v>56</v>
      </c>
      <c r="O35" s="1" t="s">
        <v>55</v>
      </c>
      <c r="P35" s="1" t="s">
        <v>56</v>
      </c>
      <c r="Q35" s="1" t="s">
        <v>55</v>
      </c>
      <c r="R35" s="1" t="s">
        <v>56</v>
      </c>
      <c r="S35" s="1" t="s">
        <v>55</v>
      </c>
      <c r="T35" s="1" t="s">
        <v>56</v>
      </c>
      <c r="U35" s="1" t="s">
        <v>55</v>
      </c>
      <c r="V35" s="1" t="s">
        <v>56</v>
      </c>
      <c r="W35" s="1" t="s">
        <v>55</v>
      </c>
      <c r="X35" s="1" t="s">
        <v>56</v>
      </c>
      <c r="Y35" s="1" t="s">
        <v>55</v>
      </c>
      <c r="Z35" s="1" t="s">
        <v>56</v>
      </c>
      <c r="AA35" s="1" t="s">
        <v>55</v>
      </c>
      <c r="AB35" s="1" t="s">
        <v>56</v>
      </c>
      <c r="AC35" s="1" t="s">
        <v>55</v>
      </c>
      <c r="AD35" s="1" t="s">
        <v>56</v>
      </c>
      <c r="AE35" s="1" t="s">
        <v>55</v>
      </c>
      <c r="AF35" s="11" t="s">
        <v>56</v>
      </c>
      <c r="AG35" s="11" t="s">
        <v>55</v>
      </c>
      <c r="AH35" s="11" t="s">
        <v>56</v>
      </c>
      <c r="AI35" s="11" t="s">
        <v>55</v>
      </c>
      <c r="AJ35" s="11" t="s">
        <v>56</v>
      </c>
      <c r="AK35" s="11" t="s">
        <v>55</v>
      </c>
      <c r="AL35" s="11" t="s">
        <v>56</v>
      </c>
      <c r="AM35" s="11" t="s">
        <v>55</v>
      </c>
      <c r="AN35" s="11" t="s">
        <v>56</v>
      </c>
      <c r="AO35" s="11" t="s">
        <v>55</v>
      </c>
      <c r="AP35" s="11" t="s">
        <v>56</v>
      </c>
      <c r="AQ35" s="11" t="s">
        <v>55</v>
      </c>
      <c r="AR35" s="10">
        <f>131/E35</f>
        <v>1.2703646237393327</v>
      </c>
      <c r="AS35" s="10">
        <f>50/E35</f>
        <v>0.48487199379363843</v>
      </c>
      <c r="AT35" s="11" t="s">
        <v>56</v>
      </c>
      <c r="AU35" s="11" t="s">
        <v>55</v>
      </c>
      <c r="AV35" s="11" t="s">
        <v>56</v>
      </c>
      <c r="AW35" s="11" t="s">
        <v>55</v>
      </c>
      <c r="AX35" s="11" t="s">
        <v>56</v>
      </c>
      <c r="AY35" s="11" t="s">
        <v>55</v>
      </c>
      <c r="AZ35" s="11" t="s">
        <v>56</v>
      </c>
      <c r="BA35" s="11" t="s">
        <v>55</v>
      </c>
      <c r="BB35" s="11" t="s">
        <v>56</v>
      </c>
      <c r="BC35" s="11" t="s">
        <v>55</v>
      </c>
      <c r="BD35" s="11" t="s">
        <v>56</v>
      </c>
      <c r="BE35" s="11" t="s">
        <v>55</v>
      </c>
      <c r="BF35" s="11" t="s">
        <v>56</v>
      </c>
      <c r="BG35" s="11" t="s">
        <v>55</v>
      </c>
      <c r="BH35" s="11" t="s">
        <v>56</v>
      </c>
      <c r="BI35" s="11" t="s">
        <v>55</v>
      </c>
      <c r="BJ35" s="11" t="s">
        <v>56</v>
      </c>
      <c r="BK35" s="11" t="s">
        <v>55</v>
      </c>
      <c r="BL35" s="11" t="s">
        <v>56</v>
      </c>
      <c r="BM35" s="11" t="s">
        <v>55</v>
      </c>
      <c r="BN35" s="11" t="s">
        <v>56</v>
      </c>
      <c r="BO35" s="11" t="s">
        <v>55</v>
      </c>
      <c r="BP35" s="11" t="s">
        <v>56</v>
      </c>
      <c r="BQ35" s="11" t="s">
        <v>55</v>
      </c>
      <c r="BR35" s="11" t="s">
        <v>56</v>
      </c>
      <c r="BS35" s="11" t="s">
        <v>162</v>
      </c>
      <c r="BT35" s="11" t="s">
        <v>56</v>
      </c>
      <c r="BU35" s="11" t="s">
        <v>162</v>
      </c>
      <c r="BV35" s="11" t="s">
        <v>56</v>
      </c>
      <c r="BW35" s="11" t="s">
        <v>162</v>
      </c>
      <c r="BX35" s="11" t="s">
        <v>56</v>
      </c>
      <c r="BY35" s="11" t="s">
        <v>162</v>
      </c>
      <c r="BZ35" s="11" t="s">
        <v>56</v>
      </c>
      <c r="CA35" s="11" t="s">
        <v>162</v>
      </c>
      <c r="CB35" s="11" t="s">
        <v>56</v>
      </c>
      <c r="CC35" s="11" t="s">
        <v>162</v>
      </c>
      <c r="CD35" s="11" t="s">
        <v>56</v>
      </c>
      <c r="CE35" s="11" t="s">
        <v>162</v>
      </c>
      <c r="CF35" s="11" t="s">
        <v>56</v>
      </c>
      <c r="CG35" s="11" t="s">
        <v>162</v>
      </c>
      <c r="CH35" s="11" t="s">
        <v>56</v>
      </c>
      <c r="CI35" s="11" t="s">
        <v>162</v>
      </c>
      <c r="CJ35" s="11" t="s">
        <v>56</v>
      </c>
      <c r="CK35" s="11" t="s">
        <v>162</v>
      </c>
      <c r="CL35" s="11" t="s">
        <v>56</v>
      </c>
      <c r="CM35" s="11" t="s">
        <v>162</v>
      </c>
      <c r="CN35" s="11" t="s">
        <v>56</v>
      </c>
      <c r="CO35" s="11" t="s">
        <v>162</v>
      </c>
      <c r="CP35" s="11" t="s">
        <v>56</v>
      </c>
      <c r="CQ35" s="11" t="s">
        <v>162</v>
      </c>
      <c r="CR35" s="11" t="s">
        <v>56</v>
      </c>
      <c r="CS35" s="11" t="s">
        <v>162</v>
      </c>
      <c r="CT35" s="11" t="s">
        <v>56</v>
      </c>
      <c r="CU35" s="11" t="s">
        <v>162</v>
      </c>
      <c r="CV35" s="11" t="s">
        <v>56</v>
      </c>
      <c r="CW35" s="11" t="s">
        <v>162</v>
      </c>
      <c r="CX35" s="11" t="s">
        <v>56</v>
      </c>
      <c r="CY35" s="11" t="s">
        <v>162</v>
      </c>
      <c r="CZ35" s="11" t="s">
        <v>56</v>
      </c>
      <c r="DA35" s="11" t="s">
        <v>162</v>
      </c>
      <c r="DB35" s="11" t="s">
        <v>56</v>
      </c>
      <c r="DC35" s="11" t="s">
        <v>162</v>
      </c>
      <c r="DD35" s="11" t="s">
        <v>56</v>
      </c>
      <c r="DE35" s="11" t="s">
        <v>162</v>
      </c>
      <c r="DF35" s="11" t="s">
        <v>56</v>
      </c>
      <c r="DG35" s="11" t="s">
        <v>162</v>
      </c>
      <c r="DH35" s="11" t="s">
        <v>56</v>
      </c>
      <c r="DI35" s="11" t="s">
        <v>162</v>
      </c>
      <c r="DJ35" s="11" t="s">
        <v>56</v>
      </c>
      <c r="DK35" s="11" t="s">
        <v>162</v>
      </c>
      <c r="DL35" s="11" t="s">
        <v>56</v>
      </c>
      <c r="DM35" s="11" t="s">
        <v>162</v>
      </c>
      <c r="DN35" s="11" t="s">
        <v>56</v>
      </c>
      <c r="DO35" s="11" t="s">
        <v>162</v>
      </c>
      <c r="DP35" s="11" t="s">
        <v>56</v>
      </c>
      <c r="DQ35" s="11" t="s">
        <v>162</v>
      </c>
      <c r="DR35" s="11" t="s">
        <v>56</v>
      </c>
      <c r="DS35" s="11" t="s">
        <v>162</v>
      </c>
      <c r="DT35" s="11" t="s">
        <v>56</v>
      </c>
      <c r="DU35" s="11" t="s">
        <v>162</v>
      </c>
      <c r="DV35" s="11" t="s">
        <v>56</v>
      </c>
      <c r="DW35" s="11" t="s">
        <v>162</v>
      </c>
      <c r="DX35" s="11" t="s">
        <v>56</v>
      </c>
      <c r="DY35" s="11" t="s">
        <v>162</v>
      </c>
      <c r="DZ35" s="11" t="s">
        <v>56</v>
      </c>
      <c r="EA35" s="11" t="s">
        <v>162</v>
      </c>
      <c r="EB35" s="11" t="s">
        <v>56</v>
      </c>
      <c r="EC35" s="11" t="s">
        <v>162</v>
      </c>
      <c r="ED35" s="11" t="s">
        <v>56</v>
      </c>
      <c r="EE35" s="11" t="s">
        <v>162</v>
      </c>
      <c r="EF35" s="11" t="s">
        <v>56</v>
      </c>
      <c r="EG35" s="11" t="s">
        <v>162</v>
      </c>
      <c r="EH35" s="11" t="s">
        <v>56</v>
      </c>
      <c r="EI35" s="11" t="s">
        <v>162</v>
      </c>
      <c r="EJ35" s="11" t="s">
        <v>56</v>
      </c>
      <c r="EK35" s="11" t="s">
        <v>162</v>
      </c>
      <c r="EL35" s="11" t="s">
        <v>56</v>
      </c>
      <c r="EM35" s="11" t="s">
        <v>162</v>
      </c>
      <c r="EN35" s="11" t="s">
        <v>56</v>
      </c>
      <c r="EO35" s="11" t="s">
        <v>162</v>
      </c>
      <c r="EP35" s="11" t="s">
        <v>56</v>
      </c>
      <c r="EQ35" s="11" t="s">
        <v>162</v>
      </c>
      <c r="ER35" s="11" t="s">
        <v>56</v>
      </c>
      <c r="ES35" s="11" t="s">
        <v>162</v>
      </c>
      <c r="ET35" s="11" t="s">
        <v>56</v>
      </c>
      <c r="EU35" s="11" t="s">
        <v>162</v>
      </c>
      <c r="EV35" s="11" t="s">
        <v>56</v>
      </c>
      <c r="EW35" s="11" t="s">
        <v>162</v>
      </c>
      <c r="EX35" s="11" t="s">
        <v>56</v>
      </c>
      <c r="EY35" s="11" t="s">
        <v>162</v>
      </c>
      <c r="EZ35" s="11" t="s">
        <v>56</v>
      </c>
      <c r="FA35" s="11" t="s">
        <v>162</v>
      </c>
      <c r="FB35" s="11" t="s">
        <v>56</v>
      </c>
      <c r="FC35" s="11" t="s">
        <v>162</v>
      </c>
      <c r="FD35" s="11" t="s">
        <v>56</v>
      </c>
      <c r="FE35" s="11" t="s">
        <v>162</v>
      </c>
      <c r="FF35" s="11" t="s">
        <v>56</v>
      </c>
      <c r="FG35" s="11" t="s">
        <v>162</v>
      </c>
      <c r="FH35" s="11" t="s">
        <v>56</v>
      </c>
      <c r="FI35" s="11" t="s">
        <v>162</v>
      </c>
      <c r="FJ35" s="11" t="s">
        <v>56</v>
      </c>
      <c r="FK35" s="11" t="s">
        <v>162</v>
      </c>
      <c r="FL35" s="11" t="s">
        <v>56</v>
      </c>
      <c r="FM35" s="11" t="s">
        <v>162</v>
      </c>
      <c r="FN35" s="11" t="s">
        <v>56</v>
      </c>
      <c r="FO35" s="11" t="s">
        <v>162</v>
      </c>
      <c r="FP35" s="11" t="s">
        <v>56</v>
      </c>
      <c r="FQ35" s="11" t="s">
        <v>162</v>
      </c>
      <c r="FR35" s="11" t="s">
        <v>56</v>
      </c>
      <c r="FS35" s="11" t="s">
        <v>162</v>
      </c>
      <c r="FT35" s="11" t="s">
        <v>56</v>
      </c>
      <c r="FU35" s="11" t="s">
        <v>162</v>
      </c>
      <c r="FV35" s="11" t="s">
        <v>56</v>
      </c>
      <c r="FW35" s="11" t="s">
        <v>162</v>
      </c>
      <c r="FX35" s="11" t="s">
        <v>56</v>
      </c>
      <c r="FY35" s="11" t="s">
        <v>162</v>
      </c>
      <c r="FZ35" s="11" t="s">
        <v>56</v>
      </c>
      <c r="GA35" s="11" t="s">
        <v>162</v>
      </c>
      <c r="GB35" s="11" t="s">
        <v>56</v>
      </c>
      <c r="GC35" s="11" t="s">
        <v>162</v>
      </c>
      <c r="GD35" s="11" t="s">
        <v>56</v>
      </c>
      <c r="GE35" s="11" t="s">
        <v>162</v>
      </c>
      <c r="GF35" s="11" t="s">
        <v>56</v>
      </c>
      <c r="GG35" s="11" t="s">
        <v>162</v>
      </c>
      <c r="GH35" s="11" t="s">
        <v>56</v>
      </c>
      <c r="GI35" s="11" t="s">
        <v>162</v>
      </c>
      <c r="GJ35" s="11" t="s">
        <v>56</v>
      </c>
      <c r="GK35" s="11" t="s">
        <v>162</v>
      </c>
      <c r="GL35" s="11" t="s">
        <v>56</v>
      </c>
      <c r="GM35" s="11" t="s">
        <v>162</v>
      </c>
      <c r="GN35" s="11" t="s">
        <v>56</v>
      </c>
      <c r="GO35" s="11" t="s">
        <v>162</v>
      </c>
      <c r="GP35" s="11" t="s">
        <v>56</v>
      </c>
      <c r="GQ35" s="11" t="s">
        <v>162</v>
      </c>
      <c r="GR35" s="10">
        <v>0.17</v>
      </c>
      <c r="GS35" s="10">
        <v>0.02</v>
      </c>
      <c r="GT35" s="10">
        <v>0.2</v>
      </c>
      <c r="GU35" s="10">
        <v>0.02</v>
      </c>
      <c r="GV35" s="10">
        <v>0.16</v>
      </c>
      <c r="GW35" s="10">
        <v>0.01</v>
      </c>
      <c r="GX35" s="17" t="s">
        <v>56</v>
      </c>
      <c r="GY35" s="17" t="s">
        <v>55</v>
      </c>
      <c r="GZ35" s="10" t="s">
        <v>56</v>
      </c>
      <c r="HA35" s="10" t="s">
        <v>55</v>
      </c>
      <c r="HB35" s="10" t="s">
        <v>56</v>
      </c>
      <c r="HC35" s="10" t="s">
        <v>55</v>
      </c>
      <c r="HD35" s="10" t="s">
        <v>56</v>
      </c>
      <c r="HE35" s="10" t="s">
        <v>55</v>
      </c>
      <c r="HF35" s="10" t="s">
        <v>56</v>
      </c>
      <c r="HG35" s="10" t="s">
        <v>55</v>
      </c>
      <c r="HH35" s="10" t="s">
        <v>56</v>
      </c>
      <c r="HI35" s="10" t="s">
        <v>55</v>
      </c>
      <c r="HJ35" s="10" t="s">
        <v>56</v>
      </c>
      <c r="HK35" s="10" t="s">
        <v>55</v>
      </c>
      <c r="HL35" s="10" t="s">
        <v>56</v>
      </c>
      <c r="HM35" s="10" t="s">
        <v>55</v>
      </c>
      <c r="HN35" s="10" t="s">
        <v>56</v>
      </c>
      <c r="HO35" s="10" t="s">
        <v>55</v>
      </c>
      <c r="HP35" s="10" t="s">
        <v>56</v>
      </c>
      <c r="HQ35" s="10" t="s">
        <v>55</v>
      </c>
      <c r="HR35" s="10" t="s">
        <v>56</v>
      </c>
      <c r="HS35" s="10" t="s">
        <v>55</v>
      </c>
      <c r="HT35" s="10" t="s">
        <v>56</v>
      </c>
      <c r="HU35" s="10" t="s">
        <v>55</v>
      </c>
      <c r="HV35" s="10" t="s">
        <v>56</v>
      </c>
      <c r="HW35" s="10" t="s">
        <v>55</v>
      </c>
      <c r="HX35" s="10" t="s">
        <v>56</v>
      </c>
      <c r="HY35" s="10" t="s">
        <v>55</v>
      </c>
      <c r="HZ35" s="10" t="s">
        <v>56</v>
      </c>
      <c r="IA35" s="10" t="s">
        <v>55</v>
      </c>
      <c r="IB35" s="10" t="s">
        <v>56</v>
      </c>
      <c r="IC35" s="10" t="s">
        <v>55</v>
      </c>
      <c r="ID35" s="10" t="s">
        <v>56</v>
      </c>
      <c r="IE35" s="10" t="s">
        <v>55</v>
      </c>
      <c r="IF35" s="10" t="s">
        <v>56</v>
      </c>
      <c r="IG35" s="10" t="s">
        <v>55</v>
      </c>
      <c r="IH35" s="10" t="s">
        <v>56</v>
      </c>
      <c r="II35" s="10" t="s">
        <v>55</v>
      </c>
      <c r="IJ35" s="10" t="s">
        <v>56</v>
      </c>
      <c r="IK35" s="10" t="s">
        <v>55</v>
      </c>
      <c r="IL35" s="10" t="s">
        <v>56</v>
      </c>
      <c r="IM35" s="10" t="s">
        <v>55</v>
      </c>
      <c r="IN35" s="10" t="s">
        <v>56</v>
      </c>
      <c r="IO35" s="10" t="s">
        <v>55</v>
      </c>
      <c r="IP35" s="10" t="s">
        <v>56</v>
      </c>
      <c r="IQ35" s="10" t="s">
        <v>55</v>
      </c>
      <c r="IR35" s="10" t="s">
        <v>56</v>
      </c>
      <c r="IS35" s="10" t="s">
        <v>55</v>
      </c>
      <c r="IT35" s="10" t="s">
        <v>56</v>
      </c>
      <c r="IU35" s="10" t="s">
        <v>55</v>
      </c>
      <c r="IV35" s="10" t="s">
        <v>56</v>
      </c>
      <c r="IW35" s="10" t="s">
        <v>55</v>
      </c>
      <c r="IX35" s="10" t="s">
        <v>56</v>
      </c>
      <c r="IY35" s="10" t="s">
        <v>55</v>
      </c>
      <c r="IZ35" s="10" t="s">
        <v>56</v>
      </c>
      <c r="JA35" s="10" t="s">
        <v>55</v>
      </c>
      <c r="JB35" s="4" t="s">
        <v>56</v>
      </c>
      <c r="JC35" s="4" t="s">
        <v>55</v>
      </c>
      <c r="JD35" s="4" t="s">
        <v>56</v>
      </c>
      <c r="JE35" s="4" t="s">
        <v>55</v>
      </c>
      <c r="JF35" s="4" t="s">
        <v>56</v>
      </c>
      <c r="JG35" s="4" t="s">
        <v>55</v>
      </c>
      <c r="JH35" s="4" t="s">
        <v>56</v>
      </c>
      <c r="JI35" s="4" t="s">
        <v>55</v>
      </c>
      <c r="JJ35" s="4" t="s">
        <v>56</v>
      </c>
      <c r="JK35" s="4" t="s">
        <v>55</v>
      </c>
      <c r="JL35" s="4" t="s">
        <v>56</v>
      </c>
      <c r="JM35" s="4" t="s">
        <v>55</v>
      </c>
      <c r="JN35" s="4" t="s">
        <v>56</v>
      </c>
      <c r="JO35" s="4" t="s">
        <v>55</v>
      </c>
      <c r="JP35" s="4" t="s">
        <v>56</v>
      </c>
      <c r="JQ35" s="4" t="s">
        <v>55</v>
      </c>
      <c r="JR35" s="4" t="s">
        <v>56</v>
      </c>
      <c r="JS35" s="4" t="s">
        <v>55</v>
      </c>
      <c r="JT35" s="4" t="s">
        <v>56</v>
      </c>
      <c r="JU35" s="4" t="s">
        <v>55</v>
      </c>
      <c r="JV35" s="4" t="s">
        <v>56</v>
      </c>
      <c r="JW35" s="4" t="s">
        <v>55</v>
      </c>
      <c r="JX35" s="26" t="s">
        <v>56</v>
      </c>
      <c r="JY35" s="26" t="s">
        <v>55</v>
      </c>
      <c r="JZ35" s="26" t="s">
        <v>56</v>
      </c>
      <c r="KA35" s="26" t="s">
        <v>55</v>
      </c>
      <c r="KB35" s="26" t="s">
        <v>56</v>
      </c>
      <c r="KC35" s="26" t="s">
        <v>55</v>
      </c>
      <c r="KD35" s="26" t="s">
        <v>56</v>
      </c>
      <c r="KE35" s="26" t="s">
        <v>55</v>
      </c>
      <c r="KF35" s="26" t="s">
        <v>56</v>
      </c>
      <c r="KG35" s="26" t="s">
        <v>55</v>
      </c>
      <c r="KH35" s="4" t="s">
        <v>56</v>
      </c>
      <c r="KI35" s="4" t="s">
        <v>55</v>
      </c>
      <c r="KJ35" s="4" t="s">
        <v>56</v>
      </c>
      <c r="KK35" s="4" t="s">
        <v>55</v>
      </c>
      <c r="KL35" s="4" t="s">
        <v>56</v>
      </c>
      <c r="KM35" s="4" t="s">
        <v>55</v>
      </c>
      <c r="KN35" s="4" t="s">
        <v>56</v>
      </c>
      <c r="KO35" s="4" t="s">
        <v>55</v>
      </c>
      <c r="KP35" s="4" t="s">
        <v>56</v>
      </c>
      <c r="KQ35" s="4" t="s">
        <v>55</v>
      </c>
      <c r="KR35" s="17" t="s">
        <v>56</v>
      </c>
      <c r="KS35" s="17" t="s">
        <v>55</v>
      </c>
      <c r="KT35" s="17" t="s">
        <v>56</v>
      </c>
      <c r="KU35" s="17" t="s">
        <v>55</v>
      </c>
      <c r="KV35" s="4" t="s">
        <v>56</v>
      </c>
      <c r="KW35" s="4" t="s">
        <v>55</v>
      </c>
      <c r="KX35" s="4" t="s">
        <v>56</v>
      </c>
      <c r="KY35" s="4" t="s">
        <v>55</v>
      </c>
      <c r="KZ35" s="4" t="s">
        <v>56</v>
      </c>
      <c r="LA35" s="4" t="s">
        <v>55</v>
      </c>
      <c r="LB35" s="10" t="s">
        <v>56</v>
      </c>
      <c r="LC35" s="10" t="s">
        <v>55</v>
      </c>
      <c r="LD35" s="10" t="s">
        <v>56</v>
      </c>
      <c r="LE35" s="10" t="s">
        <v>55</v>
      </c>
      <c r="LF35" s="10" t="s">
        <v>56</v>
      </c>
      <c r="LG35" s="10" t="s">
        <v>55</v>
      </c>
      <c r="LH35" s="10" t="s">
        <v>56</v>
      </c>
      <c r="LI35" s="10" t="s">
        <v>55</v>
      </c>
      <c r="LJ35" s="10" t="s">
        <v>56</v>
      </c>
      <c r="LK35" s="10" t="s">
        <v>162</v>
      </c>
      <c r="LL35" s="10" t="s">
        <v>56</v>
      </c>
      <c r="LM35" s="10" t="s">
        <v>162</v>
      </c>
      <c r="LN35" s="10" t="s">
        <v>56</v>
      </c>
      <c r="LO35" s="10" t="s">
        <v>162</v>
      </c>
      <c r="LP35" s="10" t="s">
        <v>56</v>
      </c>
      <c r="LQ35" s="10" t="s">
        <v>162</v>
      </c>
      <c r="LR35" s="10" t="s">
        <v>56</v>
      </c>
      <c r="LS35" s="10" t="s">
        <v>162</v>
      </c>
      <c r="LT35" s="10" t="s">
        <v>56</v>
      </c>
      <c r="LU35" s="10" t="s">
        <v>162</v>
      </c>
      <c r="LV35" s="10" t="s">
        <v>56</v>
      </c>
      <c r="LW35" s="10" t="s">
        <v>55</v>
      </c>
      <c r="LX35" s="10" t="s">
        <v>56</v>
      </c>
      <c r="LY35" s="10" t="s">
        <v>55</v>
      </c>
      <c r="LZ35" s="10" t="s">
        <v>56</v>
      </c>
      <c r="MA35" s="10" t="s">
        <v>55</v>
      </c>
      <c r="MB35" s="10" t="s">
        <v>56</v>
      </c>
      <c r="MC35" s="10" t="s">
        <v>55</v>
      </c>
      <c r="MD35" s="10" t="s">
        <v>56</v>
      </c>
      <c r="ME35" s="10" t="s">
        <v>55</v>
      </c>
      <c r="MF35" s="10" t="s">
        <v>56</v>
      </c>
      <c r="MG35" s="10" t="s">
        <v>55</v>
      </c>
      <c r="MH35" s="10" t="s">
        <v>56</v>
      </c>
      <c r="MI35" s="10" t="s">
        <v>55</v>
      </c>
      <c r="MJ35" s="10" t="s">
        <v>56</v>
      </c>
      <c r="MK35" s="10" t="s">
        <v>55</v>
      </c>
      <c r="ML35" s="10" t="s">
        <v>56</v>
      </c>
      <c r="MM35" s="10" t="s">
        <v>55</v>
      </c>
      <c r="MN35" s="10" t="s">
        <v>56</v>
      </c>
      <c r="MO35" s="10" t="s">
        <v>55</v>
      </c>
      <c r="MP35" s="10" t="s">
        <v>56</v>
      </c>
      <c r="MQ35" s="10" t="s">
        <v>55</v>
      </c>
      <c r="MR35" s="10" t="s">
        <v>56</v>
      </c>
      <c r="MS35" s="10" t="s">
        <v>55</v>
      </c>
      <c r="MT35" s="10" t="s">
        <v>56</v>
      </c>
      <c r="MU35" s="10" t="s">
        <v>55</v>
      </c>
      <c r="MV35" s="10" t="s">
        <v>56</v>
      </c>
      <c r="MW35" s="10" t="s">
        <v>55</v>
      </c>
      <c r="MX35" s="10" t="s">
        <v>56</v>
      </c>
      <c r="MY35" s="10" t="s">
        <v>55</v>
      </c>
      <c r="MZ35" s="10" t="s">
        <v>56</v>
      </c>
      <c r="NA35" s="4" t="s">
        <v>55</v>
      </c>
      <c r="NB35" s="10" t="s">
        <v>56</v>
      </c>
      <c r="NC35" s="10" t="s">
        <v>55</v>
      </c>
      <c r="ND35" s="10" t="s">
        <v>56</v>
      </c>
      <c r="NE35" s="10" t="s">
        <v>55</v>
      </c>
      <c r="NF35" s="10" t="s">
        <v>56</v>
      </c>
      <c r="NG35" s="10" t="s">
        <v>55</v>
      </c>
      <c r="NH35" s="10" t="s">
        <v>56</v>
      </c>
      <c r="NI35" s="10" t="s">
        <v>55</v>
      </c>
      <c r="NJ35" s="10" t="s">
        <v>56</v>
      </c>
      <c r="NK35" s="10" t="s">
        <v>55</v>
      </c>
      <c r="NL35" s="10" t="s">
        <v>56</v>
      </c>
      <c r="NM35" s="4" t="s">
        <v>55</v>
      </c>
      <c r="NN35" s="10" t="s">
        <v>56</v>
      </c>
      <c r="NO35" s="4" t="s">
        <v>55</v>
      </c>
      <c r="NP35" s="10" t="s">
        <v>56</v>
      </c>
      <c r="NQ35" s="4" t="s">
        <v>55</v>
      </c>
      <c r="NR35" s="10" t="s">
        <v>57</v>
      </c>
      <c r="NS35" s="10" t="s">
        <v>55</v>
      </c>
      <c r="NT35" s="10">
        <f>(15*1000)/E35</f>
        <v>145.46159813809155</v>
      </c>
      <c r="NU35" s="10">
        <f>(2*1000)/E35</f>
        <v>19.394879751745538</v>
      </c>
    </row>
    <row r="36" spans="1:385" x14ac:dyDescent="0.2">
      <c r="A36" t="s">
        <v>1044</v>
      </c>
      <c r="B36" s="1" t="s">
        <v>1040</v>
      </c>
      <c r="C36" s="1" t="s">
        <v>843</v>
      </c>
      <c r="D36" s="39" cm="1">
        <f t="array" ref="D36">SUMPRODUCT((ISNUMBER(F36:NU36))*(MOD(COLUMN(F36:NU36),2)=0))</f>
        <v>26</v>
      </c>
      <c r="E36" s="1">
        <v>103.12</v>
      </c>
      <c r="F36" s="4" t="s">
        <v>61</v>
      </c>
      <c r="G36" s="4" t="s">
        <v>55</v>
      </c>
      <c r="H36" s="4" t="s">
        <v>61</v>
      </c>
      <c r="I36" s="4" t="s">
        <v>55</v>
      </c>
      <c r="J36" s="4" t="s">
        <v>61</v>
      </c>
      <c r="K36" s="4" t="s">
        <v>55</v>
      </c>
      <c r="L36" s="4" t="s">
        <v>61</v>
      </c>
      <c r="M36" s="4" t="s">
        <v>55</v>
      </c>
      <c r="N36" s="4" t="s">
        <v>61</v>
      </c>
      <c r="O36" s="4" t="s">
        <v>55</v>
      </c>
      <c r="P36" s="12">
        <f>30/E34</f>
        <v>0.29092319627618307</v>
      </c>
      <c r="Q36" s="12">
        <f>2/E34</f>
        <v>1.9394879751745538E-2</v>
      </c>
      <c r="R36" s="1" t="s">
        <v>56</v>
      </c>
      <c r="S36" s="1" t="s">
        <v>55</v>
      </c>
      <c r="T36" s="4">
        <v>2.81</v>
      </c>
      <c r="U36" s="4">
        <v>0.37</v>
      </c>
      <c r="V36" s="4">
        <v>6.67</v>
      </c>
      <c r="W36" s="4">
        <v>1.68</v>
      </c>
      <c r="X36" s="4">
        <v>16</v>
      </c>
      <c r="Y36" s="4">
        <v>0.6</v>
      </c>
      <c r="Z36" s="12">
        <f>1526/E36</f>
        <v>14.798293250581846</v>
      </c>
      <c r="AA36" s="12">
        <f>88/E36</f>
        <v>0.85337470907680368</v>
      </c>
      <c r="AB36" s="1" t="s">
        <v>56</v>
      </c>
      <c r="AC36" s="1" t="s">
        <v>55</v>
      </c>
      <c r="AD36" s="1" t="s">
        <v>56</v>
      </c>
      <c r="AE36" s="1" t="s">
        <v>55</v>
      </c>
      <c r="AF36" s="1" t="s">
        <v>56</v>
      </c>
      <c r="AG36" s="1" t="s">
        <v>55</v>
      </c>
      <c r="AH36" s="1" t="s">
        <v>56</v>
      </c>
      <c r="AI36" s="1" t="s">
        <v>55</v>
      </c>
      <c r="AJ36" s="1" t="s">
        <v>56</v>
      </c>
      <c r="AK36" s="1" t="s">
        <v>55</v>
      </c>
      <c r="AL36" s="4" t="s">
        <v>61</v>
      </c>
      <c r="AM36" s="4" t="s">
        <v>55</v>
      </c>
      <c r="AN36" s="11" t="s">
        <v>61</v>
      </c>
      <c r="AO36" s="11" t="s">
        <v>55</v>
      </c>
      <c r="AP36" s="11" t="s">
        <v>56</v>
      </c>
      <c r="AQ36" s="11" t="s">
        <v>55</v>
      </c>
      <c r="AR36" s="11" t="s">
        <v>56</v>
      </c>
      <c r="AS36" s="11" t="s">
        <v>55</v>
      </c>
      <c r="AT36" s="11" t="s">
        <v>56</v>
      </c>
      <c r="AU36" s="11" t="s">
        <v>55</v>
      </c>
      <c r="AV36" s="11" t="s">
        <v>56</v>
      </c>
      <c r="AW36" s="11" t="s">
        <v>55</v>
      </c>
      <c r="AX36" s="11" t="s">
        <v>56</v>
      </c>
      <c r="AY36" s="11" t="s">
        <v>55</v>
      </c>
      <c r="AZ36" s="4" t="s">
        <v>61</v>
      </c>
      <c r="BA36" s="4" t="s">
        <v>55</v>
      </c>
      <c r="BB36" s="4" t="s">
        <v>91</v>
      </c>
      <c r="BC36" s="4" t="s">
        <v>55</v>
      </c>
      <c r="BD36" s="4">
        <v>2.1</v>
      </c>
      <c r="BE36" s="4" t="s">
        <v>55</v>
      </c>
      <c r="BF36" s="4" t="s">
        <v>90</v>
      </c>
      <c r="BG36" s="4" t="s">
        <v>55</v>
      </c>
      <c r="BH36" s="4" t="s">
        <v>90</v>
      </c>
      <c r="BI36" s="4" t="s">
        <v>55</v>
      </c>
      <c r="BJ36" s="4" t="s">
        <v>87</v>
      </c>
      <c r="BK36" s="4" t="s">
        <v>55</v>
      </c>
      <c r="BL36" s="4" t="s">
        <v>91</v>
      </c>
      <c r="BM36" s="4" t="s">
        <v>55</v>
      </c>
      <c r="BN36" s="4" t="s">
        <v>61</v>
      </c>
      <c r="BO36" s="4" t="s">
        <v>55</v>
      </c>
      <c r="BP36" s="4" t="s">
        <v>61</v>
      </c>
      <c r="BQ36" s="4" t="s">
        <v>55</v>
      </c>
      <c r="BR36" s="11" t="s">
        <v>56</v>
      </c>
      <c r="BS36" s="11" t="s">
        <v>162</v>
      </c>
      <c r="BT36" s="4">
        <v>2.6</v>
      </c>
      <c r="BU36" s="4">
        <v>0.2</v>
      </c>
      <c r="BV36" s="4" t="s">
        <v>91</v>
      </c>
      <c r="BW36" s="4" t="s">
        <v>55</v>
      </c>
      <c r="BX36" s="4" t="s">
        <v>91</v>
      </c>
      <c r="BY36" s="4" t="s">
        <v>55</v>
      </c>
      <c r="BZ36" s="10" t="s">
        <v>229</v>
      </c>
      <c r="CA36" s="10" t="s">
        <v>55</v>
      </c>
      <c r="CB36" s="10" t="s">
        <v>229</v>
      </c>
      <c r="CC36" s="10" t="s">
        <v>55</v>
      </c>
      <c r="CD36" s="10" t="s">
        <v>229</v>
      </c>
      <c r="CE36" s="10" t="s">
        <v>55</v>
      </c>
      <c r="CF36" s="10" t="s">
        <v>229</v>
      </c>
      <c r="CG36" s="10" t="s">
        <v>55</v>
      </c>
      <c r="CH36" s="10" t="s">
        <v>229</v>
      </c>
      <c r="CI36" s="10" t="s">
        <v>55</v>
      </c>
      <c r="CJ36" s="10" t="s">
        <v>56</v>
      </c>
      <c r="CK36" s="10" t="s">
        <v>55</v>
      </c>
      <c r="CL36" s="10">
        <f>14/E36</f>
        <v>0.13576415826221877</v>
      </c>
      <c r="CM36" s="10">
        <f>1/E36</f>
        <v>9.6974398758727688E-3</v>
      </c>
      <c r="CN36" s="10" t="s">
        <v>54</v>
      </c>
      <c r="CO36" s="10" t="s">
        <v>55</v>
      </c>
      <c r="CP36" s="10" t="s">
        <v>210</v>
      </c>
      <c r="CQ36" s="10" t="s">
        <v>55</v>
      </c>
      <c r="CR36" s="10" t="s">
        <v>54</v>
      </c>
      <c r="CS36" s="10" t="s">
        <v>55</v>
      </c>
      <c r="CT36" s="10" t="s">
        <v>54</v>
      </c>
      <c r="CU36" s="10" t="s">
        <v>55</v>
      </c>
      <c r="CV36" s="19" t="s">
        <v>229</v>
      </c>
      <c r="CW36" s="10" t="s">
        <v>55</v>
      </c>
      <c r="CX36" s="10" t="s">
        <v>54</v>
      </c>
      <c r="CY36" s="10" t="s">
        <v>55</v>
      </c>
      <c r="CZ36" s="10">
        <f>23/E36</f>
        <v>0.22304111714507369</v>
      </c>
      <c r="DA36" s="10">
        <f>3/E36</f>
        <v>2.9092319627618306E-2</v>
      </c>
      <c r="DB36" s="10">
        <f>9.2/E36</f>
        <v>8.9216446858029472E-2</v>
      </c>
      <c r="DC36" s="10">
        <f>1.3/E36</f>
        <v>1.2606671838634601E-2</v>
      </c>
      <c r="DD36" s="10" t="s">
        <v>56</v>
      </c>
      <c r="DE36" s="10" t="s">
        <v>55</v>
      </c>
      <c r="DF36" s="10" t="s">
        <v>56</v>
      </c>
      <c r="DG36" s="10" t="s">
        <v>55</v>
      </c>
      <c r="DH36" s="10">
        <f>137/E36</f>
        <v>1.3285492629945694</v>
      </c>
      <c r="DI36" s="10">
        <f>28/E36</f>
        <v>0.27152831652443754</v>
      </c>
      <c r="DJ36" s="10">
        <f>467/E36</f>
        <v>4.5287044220325834</v>
      </c>
      <c r="DK36" s="10">
        <f>58/E36</f>
        <v>0.56245151280062056</v>
      </c>
      <c r="DL36" s="10">
        <f>464/E36</f>
        <v>4.4996121024049645</v>
      </c>
      <c r="DM36" s="10">
        <f>81/E36</f>
        <v>0.78549262994569435</v>
      </c>
      <c r="DN36" s="10" t="s">
        <v>229</v>
      </c>
      <c r="DO36" s="10" t="s">
        <v>55</v>
      </c>
      <c r="DP36" s="10">
        <f>21/E36</f>
        <v>0.20364623739332816</v>
      </c>
      <c r="DQ36" s="10">
        <f>9/E36</f>
        <v>8.7276958882854916E-2</v>
      </c>
      <c r="DR36" s="10">
        <f>15/E36</f>
        <v>0.14546159813809154</v>
      </c>
      <c r="DS36" s="10">
        <f>1/E36</f>
        <v>9.6974398758727688E-3</v>
      </c>
      <c r="DT36" s="10">
        <f>7/E36</f>
        <v>6.7882079131109385E-2</v>
      </c>
      <c r="DU36" s="10">
        <f>1/E36</f>
        <v>9.6974398758727688E-3</v>
      </c>
      <c r="DV36" s="10" t="s">
        <v>229</v>
      </c>
      <c r="DW36" s="10" t="s">
        <v>55</v>
      </c>
      <c r="DX36" s="10" t="s">
        <v>229</v>
      </c>
      <c r="DY36" s="10" t="s">
        <v>55</v>
      </c>
      <c r="DZ36" s="10" t="s">
        <v>229</v>
      </c>
      <c r="EA36" s="10" t="s">
        <v>55</v>
      </c>
      <c r="EB36" s="10" t="s">
        <v>229</v>
      </c>
      <c r="EC36" s="10" t="s">
        <v>55</v>
      </c>
      <c r="ED36" s="10" t="s">
        <v>229</v>
      </c>
      <c r="EE36" s="10" t="s">
        <v>55</v>
      </c>
      <c r="EF36" s="10" t="s">
        <v>229</v>
      </c>
      <c r="EG36" s="10" t="s">
        <v>55</v>
      </c>
      <c r="EH36" s="10" t="s">
        <v>56</v>
      </c>
      <c r="EI36" s="10" t="s">
        <v>55</v>
      </c>
      <c r="EJ36" s="10" t="s">
        <v>56</v>
      </c>
      <c r="EK36" s="10" t="s">
        <v>55</v>
      </c>
      <c r="EL36" s="10" t="s">
        <v>56</v>
      </c>
      <c r="EM36" s="10" t="s">
        <v>55</v>
      </c>
      <c r="EN36" s="10" t="s">
        <v>56</v>
      </c>
      <c r="EO36" s="10" t="s">
        <v>55</v>
      </c>
      <c r="EP36" s="10" t="s">
        <v>56</v>
      </c>
      <c r="EQ36" s="10" t="s">
        <v>55</v>
      </c>
      <c r="ER36" s="10" t="s">
        <v>56</v>
      </c>
      <c r="ES36" s="10" t="s">
        <v>55</v>
      </c>
      <c r="ET36" s="10" t="s">
        <v>56</v>
      </c>
      <c r="EU36" s="10" t="s">
        <v>55</v>
      </c>
      <c r="EV36" s="10" t="s">
        <v>56</v>
      </c>
      <c r="EW36" s="10" t="s">
        <v>55</v>
      </c>
      <c r="EX36" s="10" t="s">
        <v>56</v>
      </c>
      <c r="EY36" s="10" t="s">
        <v>55</v>
      </c>
      <c r="EZ36" s="10" t="s">
        <v>56</v>
      </c>
      <c r="FA36" s="10" t="s">
        <v>55</v>
      </c>
      <c r="FB36" s="10" t="s">
        <v>56</v>
      </c>
      <c r="FC36" s="10" t="s">
        <v>55</v>
      </c>
      <c r="FD36" s="10" t="s">
        <v>56</v>
      </c>
      <c r="FE36" s="10" t="s">
        <v>55</v>
      </c>
      <c r="FF36" s="10" t="s">
        <v>56</v>
      </c>
      <c r="FG36" s="10" t="s">
        <v>55</v>
      </c>
      <c r="FH36" s="10" t="s">
        <v>56</v>
      </c>
      <c r="FI36" s="10" t="s">
        <v>55</v>
      </c>
      <c r="FJ36" s="10" t="s">
        <v>56</v>
      </c>
      <c r="FK36" s="10" t="s">
        <v>55</v>
      </c>
      <c r="FL36" s="10" t="s">
        <v>56</v>
      </c>
      <c r="FM36" s="10" t="s">
        <v>55</v>
      </c>
      <c r="FN36" s="10" t="s">
        <v>56</v>
      </c>
      <c r="FO36" s="10" t="s">
        <v>55</v>
      </c>
      <c r="FP36" s="10" t="s">
        <v>56</v>
      </c>
      <c r="FQ36" s="10" t="s">
        <v>55</v>
      </c>
      <c r="FR36" s="10" t="s">
        <v>56</v>
      </c>
      <c r="FS36" s="10" t="s">
        <v>55</v>
      </c>
      <c r="FT36" s="10" t="s">
        <v>56</v>
      </c>
      <c r="FU36" s="10" t="s">
        <v>55</v>
      </c>
      <c r="FV36" s="10" t="s">
        <v>56</v>
      </c>
      <c r="FW36" s="10" t="s">
        <v>55</v>
      </c>
      <c r="FX36" s="10" t="s">
        <v>56</v>
      </c>
      <c r="FY36" s="10" t="s">
        <v>55</v>
      </c>
      <c r="FZ36" s="10" t="s">
        <v>56</v>
      </c>
      <c r="GA36" s="10" t="s">
        <v>55</v>
      </c>
      <c r="GB36" s="10" t="s">
        <v>56</v>
      </c>
      <c r="GC36" s="10" t="s">
        <v>55</v>
      </c>
      <c r="GD36" s="10" t="s">
        <v>56</v>
      </c>
      <c r="GE36" s="10" t="s">
        <v>55</v>
      </c>
      <c r="GF36" s="10" t="s">
        <v>56</v>
      </c>
      <c r="GG36" s="10" t="s">
        <v>55</v>
      </c>
      <c r="GH36" s="10" t="s">
        <v>56</v>
      </c>
      <c r="GI36" s="10" t="s">
        <v>55</v>
      </c>
      <c r="GJ36" s="10" t="s">
        <v>56</v>
      </c>
      <c r="GK36" s="10" t="s">
        <v>55</v>
      </c>
      <c r="GL36" s="10" t="s">
        <v>56</v>
      </c>
      <c r="GM36" s="10" t="s">
        <v>55</v>
      </c>
      <c r="GN36" s="10" t="s">
        <v>56</v>
      </c>
      <c r="GO36" s="10" t="s">
        <v>55</v>
      </c>
      <c r="GP36" s="10" t="s">
        <v>56</v>
      </c>
      <c r="GQ36" s="10" t="s">
        <v>55</v>
      </c>
      <c r="GR36" s="10">
        <v>0.2</v>
      </c>
      <c r="GS36" s="10">
        <v>0.01</v>
      </c>
      <c r="GT36" s="10">
        <v>0.28999999999999998</v>
      </c>
      <c r="GU36" s="10">
        <v>0.02</v>
      </c>
      <c r="GV36" s="17" t="s">
        <v>56</v>
      </c>
      <c r="GW36" s="17" t="s">
        <v>55</v>
      </c>
      <c r="GX36" s="10" t="s">
        <v>614</v>
      </c>
      <c r="GY36" s="10" t="s">
        <v>55</v>
      </c>
      <c r="GZ36" s="10" t="s">
        <v>56</v>
      </c>
      <c r="HA36" s="10" t="s">
        <v>55</v>
      </c>
      <c r="HB36" s="10" t="s">
        <v>56</v>
      </c>
      <c r="HC36" s="10" t="s">
        <v>55</v>
      </c>
      <c r="HD36" s="10" t="s">
        <v>56</v>
      </c>
      <c r="HE36" s="10" t="s">
        <v>55</v>
      </c>
      <c r="HF36" s="10" t="s">
        <v>56</v>
      </c>
      <c r="HG36" s="10" t="s">
        <v>55</v>
      </c>
      <c r="HH36" s="10" t="s">
        <v>56</v>
      </c>
      <c r="HI36" s="10" t="s">
        <v>55</v>
      </c>
      <c r="HJ36" s="10" t="s">
        <v>56</v>
      </c>
      <c r="HK36" s="10" t="s">
        <v>55</v>
      </c>
      <c r="HL36" s="10" t="s">
        <v>56</v>
      </c>
      <c r="HM36" s="10" t="s">
        <v>55</v>
      </c>
      <c r="HN36" s="10" t="s">
        <v>56</v>
      </c>
      <c r="HO36" s="10" t="s">
        <v>55</v>
      </c>
      <c r="HP36" s="10" t="s">
        <v>56</v>
      </c>
      <c r="HQ36" s="10" t="s">
        <v>55</v>
      </c>
      <c r="HR36" s="10" t="s">
        <v>56</v>
      </c>
      <c r="HS36" s="10" t="s">
        <v>55</v>
      </c>
      <c r="HT36" s="10" t="s">
        <v>56</v>
      </c>
      <c r="HU36" s="10" t="s">
        <v>55</v>
      </c>
      <c r="HV36" s="10" t="s">
        <v>56</v>
      </c>
      <c r="HW36" s="10" t="s">
        <v>55</v>
      </c>
      <c r="HX36" s="10" t="s">
        <v>56</v>
      </c>
      <c r="HY36" s="10" t="s">
        <v>55</v>
      </c>
      <c r="HZ36" s="10" t="s">
        <v>56</v>
      </c>
      <c r="IA36" s="10" t="s">
        <v>55</v>
      </c>
      <c r="IB36" s="10" t="s">
        <v>56</v>
      </c>
      <c r="IC36" s="10" t="s">
        <v>55</v>
      </c>
      <c r="ID36" s="10" t="s">
        <v>56</v>
      </c>
      <c r="IE36" s="10" t="s">
        <v>55</v>
      </c>
      <c r="IF36" s="10" t="s">
        <v>56</v>
      </c>
      <c r="IG36" s="10" t="s">
        <v>55</v>
      </c>
      <c r="IH36" s="10" t="s">
        <v>56</v>
      </c>
      <c r="II36" s="10" t="s">
        <v>55</v>
      </c>
      <c r="IJ36" s="10" t="s">
        <v>56</v>
      </c>
      <c r="IK36" s="10" t="s">
        <v>55</v>
      </c>
      <c r="IL36" s="10" t="s">
        <v>56</v>
      </c>
      <c r="IM36" s="10" t="s">
        <v>55</v>
      </c>
      <c r="IN36" s="10" t="s">
        <v>56</v>
      </c>
      <c r="IO36" s="10" t="s">
        <v>55</v>
      </c>
      <c r="IP36" s="10" t="s">
        <v>56</v>
      </c>
      <c r="IQ36" s="10" t="s">
        <v>55</v>
      </c>
      <c r="IR36" s="10" t="s">
        <v>56</v>
      </c>
      <c r="IS36" s="10" t="s">
        <v>55</v>
      </c>
      <c r="IT36" s="10" t="s">
        <v>56</v>
      </c>
      <c r="IU36" s="10" t="s">
        <v>55</v>
      </c>
      <c r="IV36" s="10" t="s">
        <v>56</v>
      </c>
      <c r="IW36" s="10" t="s">
        <v>55</v>
      </c>
      <c r="IX36" s="10" t="s">
        <v>56</v>
      </c>
      <c r="IY36" s="10" t="s">
        <v>55</v>
      </c>
      <c r="IZ36" s="10" t="s">
        <v>56</v>
      </c>
      <c r="JA36" s="10" t="s">
        <v>55</v>
      </c>
      <c r="JB36" s="10" t="s">
        <v>56</v>
      </c>
      <c r="JC36" s="10" t="s">
        <v>55</v>
      </c>
      <c r="JD36" s="10" t="s">
        <v>56</v>
      </c>
      <c r="JE36" s="10" t="s">
        <v>55</v>
      </c>
      <c r="JF36" s="10" t="s">
        <v>56</v>
      </c>
      <c r="JG36" s="10" t="s">
        <v>55</v>
      </c>
      <c r="JH36" s="10" t="s">
        <v>56</v>
      </c>
      <c r="JI36" s="10" t="s">
        <v>55</v>
      </c>
      <c r="JJ36" s="10" t="s">
        <v>56</v>
      </c>
      <c r="JK36" s="10" t="s">
        <v>55</v>
      </c>
      <c r="JL36" s="10" t="s">
        <v>56</v>
      </c>
      <c r="JM36" s="10" t="s">
        <v>55</v>
      </c>
      <c r="JN36" s="10" t="s">
        <v>56</v>
      </c>
      <c r="JO36" s="10" t="s">
        <v>55</v>
      </c>
      <c r="JP36" s="10" t="s">
        <v>56</v>
      </c>
      <c r="JQ36" s="10" t="s">
        <v>55</v>
      </c>
      <c r="JR36" s="10" t="s">
        <v>56</v>
      </c>
      <c r="JS36" s="10" t="s">
        <v>55</v>
      </c>
      <c r="JT36" s="10" t="s">
        <v>56</v>
      </c>
      <c r="JU36" s="10" t="s">
        <v>55</v>
      </c>
      <c r="JV36" s="10" t="s">
        <v>56</v>
      </c>
      <c r="JW36" s="10" t="s">
        <v>55</v>
      </c>
      <c r="JX36" s="10" t="s">
        <v>56</v>
      </c>
      <c r="JY36" s="10" t="s">
        <v>55</v>
      </c>
      <c r="JZ36" s="10" t="s">
        <v>56</v>
      </c>
      <c r="KA36" s="10" t="s">
        <v>55</v>
      </c>
      <c r="KB36" s="10" t="s">
        <v>56</v>
      </c>
      <c r="KC36" s="10" t="s">
        <v>55</v>
      </c>
      <c r="KD36" s="10" t="s">
        <v>56</v>
      </c>
      <c r="KE36" s="10" t="s">
        <v>55</v>
      </c>
      <c r="KF36" s="10" t="s">
        <v>56</v>
      </c>
      <c r="KG36" s="10" t="s">
        <v>55</v>
      </c>
      <c r="KH36" s="10" t="s">
        <v>56</v>
      </c>
      <c r="KI36" s="10" t="s">
        <v>55</v>
      </c>
      <c r="KJ36" s="10" t="s">
        <v>56</v>
      </c>
      <c r="KK36" s="10" t="s">
        <v>55</v>
      </c>
      <c r="KL36" s="10" t="s">
        <v>56</v>
      </c>
      <c r="KM36" s="10" t="s">
        <v>55</v>
      </c>
      <c r="KN36" s="10" t="s">
        <v>56</v>
      </c>
      <c r="KO36" s="10" t="s">
        <v>55</v>
      </c>
      <c r="KP36" s="10" t="s">
        <v>56</v>
      </c>
      <c r="KQ36" s="10" t="s">
        <v>55</v>
      </c>
      <c r="KR36" s="10" t="s">
        <v>56</v>
      </c>
      <c r="KS36" s="10" t="s">
        <v>55</v>
      </c>
      <c r="KT36" s="10" t="s">
        <v>56</v>
      </c>
      <c r="KU36" s="10" t="s">
        <v>55</v>
      </c>
      <c r="KV36" s="10" t="s">
        <v>56</v>
      </c>
      <c r="KW36" s="10" t="s">
        <v>55</v>
      </c>
      <c r="KX36" s="10" t="s">
        <v>56</v>
      </c>
      <c r="KY36" s="10" t="s">
        <v>55</v>
      </c>
      <c r="KZ36" s="10" t="s">
        <v>56</v>
      </c>
      <c r="LA36" s="10" t="s">
        <v>55</v>
      </c>
      <c r="LB36" s="10" t="s">
        <v>56</v>
      </c>
      <c r="LC36" s="10" t="s">
        <v>55</v>
      </c>
      <c r="LD36" s="10" t="s">
        <v>56</v>
      </c>
      <c r="LE36" s="10" t="s">
        <v>55</v>
      </c>
      <c r="LF36" s="10" t="s">
        <v>56</v>
      </c>
      <c r="LG36" s="10" t="s">
        <v>55</v>
      </c>
      <c r="LH36" s="10" t="s">
        <v>56</v>
      </c>
      <c r="LI36" s="10" t="s">
        <v>55</v>
      </c>
      <c r="LJ36" s="10" t="s">
        <v>56</v>
      </c>
      <c r="LK36" s="10" t="s">
        <v>55</v>
      </c>
      <c r="LL36" s="10" t="s">
        <v>56</v>
      </c>
      <c r="LM36" s="10" t="s">
        <v>55</v>
      </c>
      <c r="LN36" s="10" t="s">
        <v>56</v>
      </c>
      <c r="LO36" s="10" t="s">
        <v>55</v>
      </c>
      <c r="LP36" s="10" t="s">
        <v>56</v>
      </c>
      <c r="LQ36" s="10" t="s">
        <v>55</v>
      </c>
      <c r="LR36" s="10" t="s">
        <v>56</v>
      </c>
      <c r="LS36" s="10" t="s">
        <v>55</v>
      </c>
      <c r="LT36" s="10" t="s">
        <v>56</v>
      </c>
      <c r="LU36" s="10" t="s">
        <v>55</v>
      </c>
      <c r="LV36" s="10" t="s">
        <v>56</v>
      </c>
      <c r="LW36" s="10" t="s">
        <v>55</v>
      </c>
      <c r="LX36" s="10" t="s">
        <v>56</v>
      </c>
      <c r="LY36" s="10" t="s">
        <v>55</v>
      </c>
      <c r="LZ36" s="10" t="s">
        <v>56</v>
      </c>
      <c r="MA36" s="10" t="s">
        <v>55</v>
      </c>
      <c r="MB36" s="10" t="s">
        <v>56</v>
      </c>
      <c r="MC36" s="10" t="s">
        <v>55</v>
      </c>
      <c r="MD36" s="4">
        <v>93</v>
      </c>
      <c r="ME36" s="4" t="s">
        <v>55</v>
      </c>
      <c r="MF36" s="4" t="s">
        <v>319</v>
      </c>
      <c r="MG36" s="4" t="s">
        <v>55</v>
      </c>
      <c r="MH36" s="4">
        <v>170</v>
      </c>
      <c r="MI36" s="4" t="s">
        <v>55</v>
      </c>
      <c r="MJ36" s="4">
        <v>216</v>
      </c>
      <c r="MK36" s="4" t="s">
        <v>55</v>
      </c>
      <c r="ML36" s="4" t="s">
        <v>319</v>
      </c>
      <c r="MM36" s="4" t="s">
        <v>55</v>
      </c>
      <c r="MN36" s="4" t="s">
        <v>319</v>
      </c>
      <c r="MO36" s="4" t="s">
        <v>55</v>
      </c>
      <c r="MP36" s="4" t="s">
        <v>319</v>
      </c>
      <c r="MQ36" s="4" t="s">
        <v>55</v>
      </c>
      <c r="MR36" s="4">
        <v>221</v>
      </c>
      <c r="MS36" s="4" t="s">
        <v>55</v>
      </c>
      <c r="MT36" s="4">
        <v>207</v>
      </c>
      <c r="MU36" s="4" t="s">
        <v>55</v>
      </c>
      <c r="MV36" s="4">
        <v>155</v>
      </c>
      <c r="MW36" s="4" t="s">
        <v>55</v>
      </c>
      <c r="MX36" s="4">
        <v>91</v>
      </c>
      <c r="MY36" s="4" t="s">
        <v>55</v>
      </c>
      <c r="MZ36" s="4">
        <v>127</v>
      </c>
      <c r="NA36" s="4" t="s">
        <v>55</v>
      </c>
      <c r="NB36" s="10" t="s">
        <v>56</v>
      </c>
      <c r="NC36" s="4" t="s">
        <v>55</v>
      </c>
      <c r="ND36" s="10" t="s">
        <v>56</v>
      </c>
      <c r="NE36" s="4" t="s">
        <v>55</v>
      </c>
      <c r="NF36" s="10" t="s">
        <v>56</v>
      </c>
      <c r="NG36" s="4" t="s">
        <v>55</v>
      </c>
      <c r="NH36" s="10" t="s">
        <v>56</v>
      </c>
      <c r="NI36" s="4" t="s">
        <v>55</v>
      </c>
      <c r="NJ36" s="10" t="s">
        <v>56</v>
      </c>
      <c r="NK36" s="4" t="s">
        <v>55</v>
      </c>
      <c r="NL36" s="10" t="s">
        <v>56</v>
      </c>
      <c r="NM36" s="4" t="s">
        <v>55</v>
      </c>
      <c r="NN36" s="10" t="s">
        <v>56</v>
      </c>
      <c r="NO36" s="4" t="s">
        <v>55</v>
      </c>
      <c r="NP36" s="10" t="s">
        <v>56</v>
      </c>
      <c r="NQ36" s="4" t="s">
        <v>55</v>
      </c>
      <c r="NR36" s="10" t="s">
        <v>56</v>
      </c>
      <c r="NS36" s="4" t="s">
        <v>55</v>
      </c>
      <c r="NT36" s="10" t="s">
        <v>56</v>
      </c>
      <c r="NU36" s="4" t="s">
        <v>55</v>
      </c>
    </row>
    <row r="37" spans="1:385" x14ac:dyDescent="0.2">
      <c r="A37" t="s">
        <v>595</v>
      </c>
      <c r="B37" s="1" t="s">
        <v>1037</v>
      </c>
      <c r="C37" s="1" t="s">
        <v>1035</v>
      </c>
      <c r="D37" s="39" cm="1">
        <f t="array" ref="D37">SUMPRODUCT((ISNUMBER(F37:NU37))*(MOD(COLUMN(F37:NU37),2)=0))</f>
        <v>12</v>
      </c>
      <c r="E37" s="1">
        <v>101.1</v>
      </c>
      <c r="F37" s="17" t="s">
        <v>56</v>
      </c>
      <c r="G37" s="17" t="s">
        <v>55</v>
      </c>
      <c r="H37" s="17" t="s">
        <v>56</v>
      </c>
      <c r="I37" s="17" t="s">
        <v>55</v>
      </c>
      <c r="J37" s="17" t="s">
        <v>56</v>
      </c>
      <c r="K37" s="17" t="s">
        <v>55</v>
      </c>
      <c r="L37" s="17" t="s">
        <v>56</v>
      </c>
      <c r="M37" s="17" t="s">
        <v>55</v>
      </c>
      <c r="N37" s="17" t="s">
        <v>56</v>
      </c>
      <c r="O37" s="17" t="s">
        <v>55</v>
      </c>
      <c r="P37" s="17" t="s">
        <v>56</v>
      </c>
      <c r="Q37" s="17" t="s">
        <v>55</v>
      </c>
      <c r="R37" s="17" t="s">
        <v>56</v>
      </c>
      <c r="S37" s="17" t="s">
        <v>55</v>
      </c>
      <c r="T37" s="17" t="s">
        <v>56</v>
      </c>
      <c r="U37" s="17" t="s">
        <v>55</v>
      </c>
      <c r="V37" s="17" t="s">
        <v>56</v>
      </c>
      <c r="W37" s="17" t="s">
        <v>55</v>
      </c>
      <c r="X37" s="17" t="s">
        <v>56</v>
      </c>
      <c r="Y37" s="17" t="s">
        <v>55</v>
      </c>
      <c r="Z37" s="17" t="s">
        <v>56</v>
      </c>
      <c r="AA37" s="17" t="s">
        <v>55</v>
      </c>
      <c r="AB37" s="17" t="s">
        <v>56</v>
      </c>
      <c r="AC37" s="17" t="s">
        <v>55</v>
      </c>
      <c r="AD37" s="17" t="s">
        <v>56</v>
      </c>
      <c r="AE37" s="17" t="s">
        <v>55</v>
      </c>
      <c r="AF37" s="17" t="s">
        <v>56</v>
      </c>
      <c r="AG37" s="17" t="s">
        <v>55</v>
      </c>
      <c r="AH37" s="17" t="s">
        <v>56</v>
      </c>
      <c r="AI37" s="17" t="s">
        <v>55</v>
      </c>
      <c r="AJ37" s="17" t="s">
        <v>56</v>
      </c>
      <c r="AK37" s="17" t="s">
        <v>55</v>
      </c>
      <c r="AL37" s="17" t="s">
        <v>56</v>
      </c>
      <c r="AM37" s="17" t="s">
        <v>55</v>
      </c>
      <c r="AN37" s="17" t="s">
        <v>56</v>
      </c>
      <c r="AO37" s="17" t="s">
        <v>55</v>
      </c>
      <c r="AP37" s="17" t="s">
        <v>56</v>
      </c>
      <c r="AQ37" s="17" t="s">
        <v>55</v>
      </c>
      <c r="AR37" s="19" t="s">
        <v>56</v>
      </c>
      <c r="AS37" s="19" t="s">
        <v>55</v>
      </c>
      <c r="AT37" s="17" t="s">
        <v>56</v>
      </c>
      <c r="AU37" s="17" t="s">
        <v>55</v>
      </c>
      <c r="AV37" s="17" t="s">
        <v>56</v>
      </c>
      <c r="AW37" s="17" t="s">
        <v>55</v>
      </c>
      <c r="AX37" s="17" t="s">
        <v>56</v>
      </c>
      <c r="AY37" s="17" t="s">
        <v>55</v>
      </c>
      <c r="AZ37" s="17" t="s">
        <v>56</v>
      </c>
      <c r="BA37" s="17" t="s">
        <v>55</v>
      </c>
      <c r="BB37" s="17" t="s">
        <v>56</v>
      </c>
      <c r="BC37" s="17" t="s">
        <v>55</v>
      </c>
      <c r="BD37" s="17" t="s">
        <v>56</v>
      </c>
      <c r="BE37" s="17" t="s">
        <v>55</v>
      </c>
      <c r="BF37" s="17" t="s">
        <v>56</v>
      </c>
      <c r="BG37" s="17" t="s">
        <v>55</v>
      </c>
      <c r="BH37" s="17" t="s">
        <v>56</v>
      </c>
      <c r="BI37" s="17" t="s">
        <v>55</v>
      </c>
      <c r="BJ37" s="17" t="s">
        <v>56</v>
      </c>
      <c r="BK37" s="17" t="s">
        <v>55</v>
      </c>
      <c r="BL37" s="17" t="s">
        <v>56</v>
      </c>
      <c r="BM37" s="17" t="s">
        <v>55</v>
      </c>
      <c r="BN37" s="17" t="s">
        <v>56</v>
      </c>
      <c r="BO37" s="17" t="s">
        <v>55</v>
      </c>
      <c r="BP37" s="17" t="s">
        <v>56</v>
      </c>
      <c r="BQ37" s="17" t="s">
        <v>55</v>
      </c>
      <c r="BR37" s="17" t="s">
        <v>56</v>
      </c>
      <c r="BS37" s="17" t="s">
        <v>55</v>
      </c>
      <c r="BT37" s="17" t="s">
        <v>56</v>
      </c>
      <c r="BU37" s="17" t="s">
        <v>55</v>
      </c>
      <c r="BV37" s="17" t="s">
        <v>56</v>
      </c>
      <c r="BW37" s="17" t="s">
        <v>55</v>
      </c>
      <c r="BX37" s="17" t="s">
        <v>56</v>
      </c>
      <c r="BY37" s="17" t="s">
        <v>55</v>
      </c>
      <c r="BZ37" s="17" t="s">
        <v>56</v>
      </c>
      <c r="CA37" s="17" t="s">
        <v>55</v>
      </c>
      <c r="CB37" s="17" t="s">
        <v>56</v>
      </c>
      <c r="CC37" s="17" t="s">
        <v>55</v>
      </c>
      <c r="CD37" s="17" t="s">
        <v>56</v>
      </c>
      <c r="CE37" s="17" t="s">
        <v>55</v>
      </c>
      <c r="CF37" s="17" t="s">
        <v>56</v>
      </c>
      <c r="CG37" s="17" t="s">
        <v>55</v>
      </c>
      <c r="CH37" s="17" t="s">
        <v>56</v>
      </c>
      <c r="CI37" s="17" t="s">
        <v>55</v>
      </c>
      <c r="CJ37" s="17" t="s">
        <v>56</v>
      </c>
      <c r="CK37" s="17" t="s">
        <v>55</v>
      </c>
      <c r="CL37" s="17" t="s">
        <v>56</v>
      </c>
      <c r="CM37" s="17" t="s">
        <v>55</v>
      </c>
      <c r="CN37" s="17" t="s">
        <v>56</v>
      </c>
      <c r="CO37" s="17" t="s">
        <v>55</v>
      </c>
      <c r="CP37" s="17" t="s">
        <v>56</v>
      </c>
      <c r="CQ37" s="17" t="s">
        <v>55</v>
      </c>
      <c r="CR37" s="17" t="s">
        <v>56</v>
      </c>
      <c r="CS37" s="17" t="s">
        <v>55</v>
      </c>
      <c r="CT37" s="17" t="s">
        <v>56</v>
      </c>
      <c r="CU37" s="17" t="s">
        <v>55</v>
      </c>
      <c r="CV37" s="17" t="s">
        <v>56</v>
      </c>
      <c r="CW37" s="17" t="s">
        <v>55</v>
      </c>
      <c r="CX37" s="17" t="s">
        <v>56</v>
      </c>
      <c r="CY37" s="17" t="s">
        <v>55</v>
      </c>
      <c r="CZ37" s="17" t="s">
        <v>56</v>
      </c>
      <c r="DA37" s="17" t="s">
        <v>55</v>
      </c>
      <c r="DB37" s="17" t="s">
        <v>56</v>
      </c>
      <c r="DC37" s="17" t="s">
        <v>55</v>
      </c>
      <c r="DD37" s="17" t="s">
        <v>56</v>
      </c>
      <c r="DE37" s="17" t="s">
        <v>55</v>
      </c>
      <c r="DF37" s="17" t="s">
        <v>56</v>
      </c>
      <c r="DG37" s="17" t="s">
        <v>55</v>
      </c>
      <c r="DH37" s="17" t="s">
        <v>56</v>
      </c>
      <c r="DI37" s="17" t="s">
        <v>55</v>
      </c>
      <c r="DJ37" s="17" t="s">
        <v>56</v>
      </c>
      <c r="DK37" s="17" t="s">
        <v>55</v>
      </c>
      <c r="DL37" s="17" t="s">
        <v>56</v>
      </c>
      <c r="DM37" s="17" t="s">
        <v>55</v>
      </c>
      <c r="DN37" s="17" t="s">
        <v>56</v>
      </c>
      <c r="DO37" s="17" t="s">
        <v>55</v>
      </c>
      <c r="DP37" s="17" t="s">
        <v>56</v>
      </c>
      <c r="DQ37" s="17" t="s">
        <v>55</v>
      </c>
      <c r="DR37" s="17" t="s">
        <v>56</v>
      </c>
      <c r="DS37" s="17" t="s">
        <v>55</v>
      </c>
      <c r="DT37" s="17" t="s">
        <v>56</v>
      </c>
      <c r="DU37" s="17" t="s">
        <v>55</v>
      </c>
      <c r="DV37" s="17" t="s">
        <v>56</v>
      </c>
      <c r="DW37" s="17" t="s">
        <v>55</v>
      </c>
      <c r="DX37" s="17" t="s">
        <v>56</v>
      </c>
      <c r="DY37" s="17" t="s">
        <v>55</v>
      </c>
      <c r="DZ37" s="17" t="s">
        <v>56</v>
      </c>
      <c r="EA37" s="17" t="s">
        <v>55</v>
      </c>
      <c r="EB37" s="17" t="s">
        <v>56</v>
      </c>
      <c r="EC37" s="17" t="s">
        <v>55</v>
      </c>
      <c r="ED37" s="17" t="s">
        <v>56</v>
      </c>
      <c r="EE37" s="17" t="s">
        <v>55</v>
      </c>
      <c r="EF37" s="17" t="s">
        <v>56</v>
      </c>
      <c r="EG37" s="17" t="s">
        <v>55</v>
      </c>
      <c r="EH37" s="17" t="s">
        <v>56</v>
      </c>
      <c r="EI37" s="17" t="s">
        <v>55</v>
      </c>
      <c r="EJ37" s="17" t="s">
        <v>56</v>
      </c>
      <c r="EK37" s="17" t="s">
        <v>55</v>
      </c>
      <c r="EL37" s="17" t="s">
        <v>56</v>
      </c>
      <c r="EM37" s="17" t="s">
        <v>55</v>
      </c>
      <c r="EN37" s="17" t="s">
        <v>56</v>
      </c>
      <c r="EO37" s="17" t="s">
        <v>55</v>
      </c>
      <c r="EP37" s="17" t="s">
        <v>56</v>
      </c>
      <c r="EQ37" s="17" t="s">
        <v>55</v>
      </c>
      <c r="ER37" s="17" t="s">
        <v>56</v>
      </c>
      <c r="ES37" s="17" t="s">
        <v>55</v>
      </c>
      <c r="ET37" s="17" t="s">
        <v>56</v>
      </c>
      <c r="EU37" s="17" t="s">
        <v>55</v>
      </c>
      <c r="EV37" s="17" t="s">
        <v>56</v>
      </c>
      <c r="EW37" s="17" t="s">
        <v>55</v>
      </c>
      <c r="EX37" s="17" t="s">
        <v>56</v>
      </c>
      <c r="EY37" s="17" t="s">
        <v>55</v>
      </c>
      <c r="EZ37" s="17" t="s">
        <v>56</v>
      </c>
      <c r="FA37" s="17" t="s">
        <v>55</v>
      </c>
      <c r="FB37" s="17" t="s">
        <v>56</v>
      </c>
      <c r="FC37" s="17" t="s">
        <v>55</v>
      </c>
      <c r="FD37" s="17" t="s">
        <v>56</v>
      </c>
      <c r="FE37" s="17" t="s">
        <v>55</v>
      </c>
      <c r="FF37" s="17" t="s">
        <v>56</v>
      </c>
      <c r="FG37" s="17" t="s">
        <v>55</v>
      </c>
      <c r="FH37" s="17" t="s">
        <v>56</v>
      </c>
      <c r="FI37" s="17" t="s">
        <v>55</v>
      </c>
      <c r="FJ37" s="17" t="s">
        <v>56</v>
      </c>
      <c r="FK37" s="17" t="s">
        <v>55</v>
      </c>
      <c r="FL37" s="17" t="s">
        <v>56</v>
      </c>
      <c r="FM37" s="17" t="s">
        <v>55</v>
      </c>
      <c r="FN37" s="17" t="s">
        <v>56</v>
      </c>
      <c r="FO37" s="17" t="s">
        <v>55</v>
      </c>
      <c r="FP37" s="17" t="s">
        <v>56</v>
      </c>
      <c r="FQ37" s="17" t="s">
        <v>55</v>
      </c>
      <c r="FR37" s="17" t="s">
        <v>56</v>
      </c>
      <c r="FS37" s="17" t="s">
        <v>55</v>
      </c>
      <c r="FT37" s="17" t="s">
        <v>56</v>
      </c>
      <c r="FU37" s="17" t="s">
        <v>55</v>
      </c>
      <c r="FV37" s="17" t="s">
        <v>56</v>
      </c>
      <c r="FW37" s="17" t="s">
        <v>55</v>
      </c>
      <c r="FX37" s="17" t="s">
        <v>56</v>
      </c>
      <c r="FY37" s="17" t="s">
        <v>55</v>
      </c>
      <c r="FZ37" s="17" t="s">
        <v>56</v>
      </c>
      <c r="GA37" s="17" t="s">
        <v>55</v>
      </c>
      <c r="GB37" s="17" t="s">
        <v>56</v>
      </c>
      <c r="GC37" s="17" t="s">
        <v>55</v>
      </c>
      <c r="GD37" s="17" t="s">
        <v>56</v>
      </c>
      <c r="GE37" s="17" t="s">
        <v>55</v>
      </c>
      <c r="GF37" s="17" t="s">
        <v>56</v>
      </c>
      <c r="GG37" s="17" t="s">
        <v>55</v>
      </c>
      <c r="GH37" s="17" t="s">
        <v>56</v>
      </c>
      <c r="GI37" s="17" t="s">
        <v>55</v>
      </c>
      <c r="GJ37" s="17" t="s">
        <v>56</v>
      </c>
      <c r="GK37" s="17" t="s">
        <v>55</v>
      </c>
      <c r="GL37" s="17" t="s">
        <v>56</v>
      </c>
      <c r="GM37" s="17" t="s">
        <v>55</v>
      </c>
      <c r="GN37" s="17" t="s">
        <v>56</v>
      </c>
      <c r="GO37" s="17" t="s">
        <v>55</v>
      </c>
      <c r="GP37" s="17" t="s">
        <v>56</v>
      </c>
      <c r="GQ37" s="17" t="s">
        <v>55</v>
      </c>
      <c r="GR37" s="17" t="s">
        <v>56</v>
      </c>
      <c r="GS37" s="17" t="s">
        <v>55</v>
      </c>
      <c r="GT37" s="17" t="s">
        <v>56</v>
      </c>
      <c r="GU37" s="17" t="s">
        <v>55</v>
      </c>
      <c r="GV37" s="17" t="s">
        <v>56</v>
      </c>
      <c r="GW37" s="17" t="s">
        <v>55</v>
      </c>
      <c r="GX37" s="17" t="s">
        <v>56</v>
      </c>
      <c r="GY37" s="17" t="s">
        <v>55</v>
      </c>
      <c r="GZ37" s="17" t="s">
        <v>56</v>
      </c>
      <c r="HA37" s="17" t="s">
        <v>55</v>
      </c>
      <c r="HB37" s="17" t="s">
        <v>56</v>
      </c>
      <c r="HC37" s="17" t="s">
        <v>55</v>
      </c>
      <c r="HD37" s="17" t="s">
        <v>56</v>
      </c>
      <c r="HE37" s="17" t="s">
        <v>55</v>
      </c>
      <c r="HF37" s="17" t="s">
        <v>56</v>
      </c>
      <c r="HG37" s="17" t="s">
        <v>55</v>
      </c>
      <c r="HH37" s="17" t="s">
        <v>56</v>
      </c>
      <c r="HI37" s="17" t="s">
        <v>55</v>
      </c>
      <c r="HJ37" s="17" t="s">
        <v>56</v>
      </c>
      <c r="HK37" s="17" t="s">
        <v>55</v>
      </c>
      <c r="HL37" s="17" t="s">
        <v>56</v>
      </c>
      <c r="HM37" s="17" t="s">
        <v>55</v>
      </c>
      <c r="HN37" s="17" t="s">
        <v>56</v>
      </c>
      <c r="HO37" s="17" t="s">
        <v>55</v>
      </c>
      <c r="HP37" s="17" t="s">
        <v>56</v>
      </c>
      <c r="HQ37" s="17" t="s">
        <v>55</v>
      </c>
      <c r="HR37" s="17" t="s">
        <v>56</v>
      </c>
      <c r="HS37" s="17" t="s">
        <v>55</v>
      </c>
      <c r="HT37" s="17" t="s">
        <v>56</v>
      </c>
      <c r="HU37" s="17" t="s">
        <v>55</v>
      </c>
      <c r="HV37" s="17" t="s">
        <v>56</v>
      </c>
      <c r="HW37" s="17" t="s">
        <v>55</v>
      </c>
      <c r="HX37" s="17" t="s">
        <v>56</v>
      </c>
      <c r="HY37" s="17" t="s">
        <v>55</v>
      </c>
      <c r="HZ37" s="17" t="s">
        <v>56</v>
      </c>
      <c r="IA37" s="17" t="s">
        <v>55</v>
      </c>
      <c r="IB37" s="17" t="s">
        <v>56</v>
      </c>
      <c r="IC37" s="17" t="s">
        <v>55</v>
      </c>
      <c r="ID37" s="17" t="s">
        <v>56</v>
      </c>
      <c r="IE37" s="17" t="s">
        <v>55</v>
      </c>
      <c r="IF37" s="17" t="s">
        <v>56</v>
      </c>
      <c r="IG37" s="17" t="s">
        <v>55</v>
      </c>
      <c r="IH37" s="17" t="s">
        <v>56</v>
      </c>
      <c r="II37" s="17" t="s">
        <v>55</v>
      </c>
      <c r="IJ37" s="17" t="s">
        <v>56</v>
      </c>
      <c r="IK37" s="17" t="s">
        <v>55</v>
      </c>
      <c r="IL37" s="17" t="s">
        <v>56</v>
      </c>
      <c r="IM37" s="17" t="s">
        <v>55</v>
      </c>
      <c r="IN37" s="17" t="s">
        <v>56</v>
      </c>
      <c r="IO37" s="17" t="s">
        <v>55</v>
      </c>
      <c r="IP37" s="17" t="s">
        <v>56</v>
      </c>
      <c r="IQ37" s="17" t="s">
        <v>55</v>
      </c>
      <c r="IR37" s="17" t="s">
        <v>56</v>
      </c>
      <c r="IS37" s="17" t="s">
        <v>55</v>
      </c>
      <c r="IT37" s="17" t="s">
        <v>56</v>
      </c>
      <c r="IU37" s="17" t="s">
        <v>55</v>
      </c>
      <c r="IV37" s="17" t="s">
        <v>56</v>
      </c>
      <c r="IW37" s="17" t="s">
        <v>55</v>
      </c>
      <c r="IX37" s="17" t="s">
        <v>56</v>
      </c>
      <c r="IY37" s="17" t="s">
        <v>55</v>
      </c>
      <c r="IZ37" s="17" t="s">
        <v>56</v>
      </c>
      <c r="JA37" s="17" t="s">
        <v>55</v>
      </c>
      <c r="JB37" s="17" t="s">
        <v>56</v>
      </c>
      <c r="JC37" s="17" t="s">
        <v>55</v>
      </c>
      <c r="JD37" s="17" t="s">
        <v>56</v>
      </c>
      <c r="JE37" s="17" t="s">
        <v>55</v>
      </c>
      <c r="JF37" s="17" t="s">
        <v>56</v>
      </c>
      <c r="JG37" s="17" t="s">
        <v>55</v>
      </c>
      <c r="JH37" s="17" t="s">
        <v>56</v>
      </c>
      <c r="JI37" s="17" t="s">
        <v>55</v>
      </c>
      <c r="JJ37" s="17" t="s">
        <v>56</v>
      </c>
      <c r="JK37" s="17" t="s">
        <v>55</v>
      </c>
      <c r="JL37" s="17" t="s">
        <v>56</v>
      </c>
      <c r="JM37" s="17" t="s">
        <v>55</v>
      </c>
      <c r="JN37" s="17" t="s">
        <v>56</v>
      </c>
      <c r="JO37" s="17" t="s">
        <v>55</v>
      </c>
      <c r="JP37" s="17" t="s">
        <v>56</v>
      </c>
      <c r="JQ37" s="17" t="s">
        <v>55</v>
      </c>
      <c r="JR37" s="17" t="s">
        <v>56</v>
      </c>
      <c r="JS37" s="17" t="s">
        <v>55</v>
      </c>
      <c r="JT37" s="17" t="s">
        <v>56</v>
      </c>
      <c r="JU37" s="17" t="s">
        <v>55</v>
      </c>
      <c r="JV37" s="4" t="s">
        <v>56</v>
      </c>
      <c r="JW37" s="17" t="s">
        <v>55</v>
      </c>
      <c r="JX37" s="17" t="s">
        <v>56</v>
      </c>
      <c r="JY37" s="17" t="s">
        <v>55</v>
      </c>
      <c r="JZ37" s="17" t="s">
        <v>56</v>
      </c>
      <c r="KA37" s="17" t="s">
        <v>55</v>
      </c>
      <c r="KB37" s="17" t="s">
        <v>56</v>
      </c>
      <c r="KC37" s="17" t="s">
        <v>55</v>
      </c>
      <c r="KD37" s="17" t="s">
        <v>56</v>
      </c>
      <c r="KE37" s="17" t="s">
        <v>55</v>
      </c>
      <c r="KF37" s="17" t="s">
        <v>56</v>
      </c>
      <c r="KG37" s="17" t="s">
        <v>55</v>
      </c>
      <c r="KH37" s="17" t="s">
        <v>56</v>
      </c>
      <c r="KI37" s="17" t="s">
        <v>55</v>
      </c>
      <c r="KJ37" s="17" t="s">
        <v>56</v>
      </c>
      <c r="KK37" s="17" t="s">
        <v>55</v>
      </c>
      <c r="KL37" s="17" t="s">
        <v>56</v>
      </c>
      <c r="KM37" s="17" t="s">
        <v>55</v>
      </c>
      <c r="KN37" s="17" t="s">
        <v>56</v>
      </c>
      <c r="KO37" s="17" t="s">
        <v>55</v>
      </c>
      <c r="KP37" s="17" t="s">
        <v>56</v>
      </c>
      <c r="KQ37" s="17" t="s">
        <v>55</v>
      </c>
      <c r="KR37" s="17" t="s">
        <v>56</v>
      </c>
      <c r="KS37" s="17" t="s">
        <v>55</v>
      </c>
      <c r="KT37" s="17" t="s">
        <v>56</v>
      </c>
      <c r="KU37" s="17" t="s">
        <v>55</v>
      </c>
      <c r="KV37" s="4" t="s">
        <v>56</v>
      </c>
      <c r="KW37" s="4" t="s">
        <v>55</v>
      </c>
      <c r="KX37" s="4" t="s">
        <v>56</v>
      </c>
      <c r="KY37" s="4" t="s">
        <v>55</v>
      </c>
      <c r="KZ37" s="4" t="s">
        <v>56</v>
      </c>
      <c r="LA37" s="4" t="s">
        <v>55</v>
      </c>
      <c r="LB37" s="10" t="s">
        <v>56</v>
      </c>
      <c r="LC37" s="10" t="s">
        <v>55</v>
      </c>
      <c r="LD37" s="10" t="s">
        <v>56</v>
      </c>
      <c r="LE37" s="10" t="s">
        <v>55</v>
      </c>
      <c r="LF37" s="10" t="s">
        <v>56</v>
      </c>
      <c r="LG37" s="10" t="s">
        <v>55</v>
      </c>
      <c r="LH37" s="10" t="s">
        <v>56</v>
      </c>
      <c r="LI37" s="10" t="s">
        <v>55</v>
      </c>
      <c r="LJ37" s="10" t="s">
        <v>56</v>
      </c>
      <c r="LK37" s="10" t="s">
        <v>162</v>
      </c>
      <c r="LL37" s="10" t="s">
        <v>56</v>
      </c>
      <c r="LM37" s="10" t="s">
        <v>162</v>
      </c>
      <c r="LN37" s="10" t="s">
        <v>56</v>
      </c>
      <c r="LO37" s="10" t="s">
        <v>162</v>
      </c>
      <c r="LP37" s="10" t="s">
        <v>56</v>
      </c>
      <c r="LQ37" s="10" t="s">
        <v>162</v>
      </c>
      <c r="LR37" s="10" t="s">
        <v>56</v>
      </c>
      <c r="LS37" s="10" t="s">
        <v>162</v>
      </c>
      <c r="LT37" s="10" t="s">
        <v>56</v>
      </c>
      <c r="LU37" s="10" t="s">
        <v>162</v>
      </c>
      <c r="LV37" s="10" t="s">
        <v>56</v>
      </c>
      <c r="LW37" s="10" t="s">
        <v>55</v>
      </c>
      <c r="LX37" s="10" t="s">
        <v>56</v>
      </c>
      <c r="LY37" s="10" t="s">
        <v>55</v>
      </c>
      <c r="LZ37" s="10" t="s">
        <v>56</v>
      </c>
      <c r="MA37" s="10" t="s">
        <v>55</v>
      </c>
      <c r="MB37" s="10" t="s">
        <v>56</v>
      </c>
      <c r="MC37" s="10" t="s">
        <v>55</v>
      </c>
      <c r="MD37" s="4">
        <v>14375</v>
      </c>
      <c r="ME37" s="4" t="s">
        <v>55</v>
      </c>
      <c r="MF37" s="4">
        <v>13238</v>
      </c>
      <c r="MG37" s="4" t="s">
        <v>55</v>
      </c>
      <c r="MH37" s="4">
        <v>23638</v>
      </c>
      <c r="MI37" s="4" t="s">
        <v>55</v>
      </c>
      <c r="MJ37" s="4">
        <v>21953</v>
      </c>
      <c r="MK37" s="4" t="s">
        <v>55</v>
      </c>
      <c r="ML37" s="4">
        <v>25804</v>
      </c>
      <c r="MM37" s="4" t="s">
        <v>55</v>
      </c>
      <c r="MN37" s="4">
        <v>25288</v>
      </c>
      <c r="MO37" s="4" t="s">
        <v>55</v>
      </c>
      <c r="MP37" s="4">
        <v>25712</v>
      </c>
      <c r="MQ37" s="4" t="s">
        <v>55</v>
      </c>
      <c r="MR37" s="4">
        <v>24315</v>
      </c>
      <c r="MS37" s="4" t="s">
        <v>55</v>
      </c>
      <c r="MT37" s="4">
        <v>23788</v>
      </c>
      <c r="MU37" s="4" t="s">
        <v>55</v>
      </c>
      <c r="MV37" s="4">
        <v>16981</v>
      </c>
      <c r="MW37" s="4" t="s">
        <v>55</v>
      </c>
      <c r="MX37" s="4">
        <v>15104</v>
      </c>
      <c r="MY37" s="4" t="s">
        <v>55</v>
      </c>
      <c r="MZ37" s="4">
        <v>20129</v>
      </c>
      <c r="NA37" s="4" t="s">
        <v>55</v>
      </c>
      <c r="NB37" s="10" t="s">
        <v>56</v>
      </c>
      <c r="NC37" s="10" t="s">
        <v>55</v>
      </c>
      <c r="ND37" s="10" t="s">
        <v>56</v>
      </c>
      <c r="NE37" s="10" t="s">
        <v>55</v>
      </c>
      <c r="NF37" s="10" t="s">
        <v>56</v>
      </c>
      <c r="NG37" s="10" t="s">
        <v>55</v>
      </c>
      <c r="NH37" s="10" t="s">
        <v>56</v>
      </c>
      <c r="NI37" s="10" t="s">
        <v>55</v>
      </c>
      <c r="NJ37" s="10" t="s">
        <v>56</v>
      </c>
      <c r="NK37" s="10" t="s">
        <v>55</v>
      </c>
      <c r="NL37" s="10" t="s">
        <v>56</v>
      </c>
      <c r="NM37" s="4" t="s">
        <v>55</v>
      </c>
      <c r="NN37" s="10" t="s">
        <v>56</v>
      </c>
      <c r="NO37" s="4" t="s">
        <v>55</v>
      </c>
      <c r="NP37" s="10" t="s">
        <v>56</v>
      </c>
      <c r="NQ37" s="4" t="s">
        <v>55</v>
      </c>
      <c r="NR37" s="10" t="s">
        <v>56</v>
      </c>
      <c r="NS37" s="10" t="s">
        <v>55</v>
      </c>
      <c r="NT37" s="10" t="s">
        <v>56</v>
      </c>
      <c r="NU37" s="10" t="s">
        <v>55</v>
      </c>
    </row>
    <row r="38" spans="1:385" x14ac:dyDescent="0.2">
      <c r="A38" t="s">
        <v>1045</v>
      </c>
      <c r="B38" s="1" t="s">
        <v>1043</v>
      </c>
      <c r="C38" s="1" t="s">
        <v>843</v>
      </c>
      <c r="D38" s="39" cm="1">
        <f t="array" ref="D38">SUMPRODUCT((ISNUMBER(F38:NU38))*(MOD(COLUMN(F38:NU38),2)=0))</f>
        <v>3</v>
      </c>
      <c r="E38" s="1">
        <v>119.12</v>
      </c>
      <c r="F38" s="17" t="s">
        <v>56</v>
      </c>
      <c r="G38" s="17" t="s">
        <v>55</v>
      </c>
      <c r="H38" s="17" t="s">
        <v>56</v>
      </c>
      <c r="I38" s="17" t="s">
        <v>55</v>
      </c>
      <c r="J38" s="17" t="s">
        <v>56</v>
      </c>
      <c r="K38" s="17" t="s">
        <v>55</v>
      </c>
      <c r="L38" s="17" t="s">
        <v>56</v>
      </c>
      <c r="M38" s="17" t="s">
        <v>55</v>
      </c>
      <c r="N38" s="17" t="s">
        <v>56</v>
      </c>
      <c r="O38" s="17" t="s">
        <v>55</v>
      </c>
      <c r="P38" s="17" t="s">
        <v>56</v>
      </c>
      <c r="Q38" s="17" t="s">
        <v>55</v>
      </c>
      <c r="R38" s="17" t="s">
        <v>56</v>
      </c>
      <c r="S38" s="17" t="s">
        <v>55</v>
      </c>
      <c r="T38" s="17" t="s">
        <v>56</v>
      </c>
      <c r="U38" s="17" t="s">
        <v>55</v>
      </c>
      <c r="V38" s="17" t="s">
        <v>56</v>
      </c>
      <c r="W38" s="17" t="s">
        <v>55</v>
      </c>
      <c r="X38" s="17" t="s">
        <v>56</v>
      </c>
      <c r="Y38" s="17" t="s">
        <v>55</v>
      </c>
      <c r="Z38" s="17" t="s">
        <v>56</v>
      </c>
      <c r="AA38" s="17" t="s">
        <v>55</v>
      </c>
      <c r="AB38" s="17" t="s">
        <v>56</v>
      </c>
      <c r="AC38" s="17" t="s">
        <v>55</v>
      </c>
      <c r="AD38" s="17" t="s">
        <v>56</v>
      </c>
      <c r="AE38" s="17" t="s">
        <v>55</v>
      </c>
      <c r="AF38" s="17" t="s">
        <v>56</v>
      </c>
      <c r="AG38" s="17" t="s">
        <v>55</v>
      </c>
      <c r="AH38" s="17" t="s">
        <v>56</v>
      </c>
      <c r="AI38" s="17" t="s">
        <v>55</v>
      </c>
      <c r="AJ38" s="17" t="s">
        <v>56</v>
      </c>
      <c r="AK38" s="17" t="s">
        <v>55</v>
      </c>
      <c r="AL38" s="17" t="s">
        <v>56</v>
      </c>
      <c r="AM38" s="17" t="s">
        <v>55</v>
      </c>
      <c r="AN38" s="17" t="s">
        <v>56</v>
      </c>
      <c r="AO38" s="17" t="s">
        <v>55</v>
      </c>
      <c r="AP38" s="17" t="s">
        <v>56</v>
      </c>
      <c r="AQ38" s="17" t="s">
        <v>55</v>
      </c>
      <c r="AR38" s="19">
        <f>28/E38</f>
        <v>0.23505708529214236</v>
      </c>
      <c r="AS38" s="19">
        <f>1/E38</f>
        <v>8.3948959032907992E-3</v>
      </c>
      <c r="AT38" s="17" t="s">
        <v>56</v>
      </c>
      <c r="AU38" s="17" t="s">
        <v>55</v>
      </c>
      <c r="AV38" s="17" t="s">
        <v>56</v>
      </c>
      <c r="AW38" s="17" t="s">
        <v>55</v>
      </c>
      <c r="AX38" s="17" t="s">
        <v>56</v>
      </c>
      <c r="AY38" s="17" t="s">
        <v>55</v>
      </c>
      <c r="AZ38" s="17" t="s">
        <v>56</v>
      </c>
      <c r="BA38" s="17" t="s">
        <v>55</v>
      </c>
      <c r="BB38" s="17" t="s">
        <v>56</v>
      </c>
      <c r="BC38" s="17" t="s">
        <v>55</v>
      </c>
      <c r="BD38" s="17" t="s">
        <v>56</v>
      </c>
      <c r="BE38" s="17" t="s">
        <v>55</v>
      </c>
      <c r="BF38" s="17" t="s">
        <v>56</v>
      </c>
      <c r="BG38" s="17" t="s">
        <v>55</v>
      </c>
      <c r="BH38" s="17" t="s">
        <v>56</v>
      </c>
      <c r="BI38" s="17" t="s">
        <v>55</v>
      </c>
      <c r="BJ38" s="17" t="s">
        <v>56</v>
      </c>
      <c r="BK38" s="17" t="s">
        <v>55</v>
      </c>
      <c r="BL38" s="17" t="s">
        <v>56</v>
      </c>
      <c r="BM38" s="17" t="s">
        <v>55</v>
      </c>
      <c r="BN38" s="17" t="s">
        <v>56</v>
      </c>
      <c r="BO38" s="17" t="s">
        <v>55</v>
      </c>
      <c r="BP38" s="17" t="s">
        <v>56</v>
      </c>
      <c r="BQ38" s="17" t="s">
        <v>55</v>
      </c>
      <c r="BR38" s="17" t="s">
        <v>56</v>
      </c>
      <c r="BS38" s="17" t="s">
        <v>55</v>
      </c>
      <c r="BT38" s="17" t="s">
        <v>56</v>
      </c>
      <c r="BU38" s="17" t="s">
        <v>55</v>
      </c>
      <c r="BV38" s="17" t="s">
        <v>56</v>
      </c>
      <c r="BW38" s="17" t="s">
        <v>55</v>
      </c>
      <c r="BX38" s="17" t="s">
        <v>56</v>
      </c>
      <c r="BY38" s="17" t="s">
        <v>55</v>
      </c>
      <c r="BZ38" s="17" t="s">
        <v>56</v>
      </c>
      <c r="CA38" s="17" t="s">
        <v>55</v>
      </c>
      <c r="CB38" s="17" t="s">
        <v>56</v>
      </c>
      <c r="CC38" s="17" t="s">
        <v>55</v>
      </c>
      <c r="CD38" s="17" t="s">
        <v>56</v>
      </c>
      <c r="CE38" s="17" t="s">
        <v>55</v>
      </c>
      <c r="CF38" s="17" t="s">
        <v>56</v>
      </c>
      <c r="CG38" s="17" t="s">
        <v>55</v>
      </c>
      <c r="CH38" s="17" t="s">
        <v>56</v>
      </c>
      <c r="CI38" s="17" t="s">
        <v>55</v>
      </c>
      <c r="CJ38" s="17" t="s">
        <v>56</v>
      </c>
      <c r="CK38" s="17" t="s">
        <v>55</v>
      </c>
      <c r="CL38" s="17" t="s">
        <v>56</v>
      </c>
      <c r="CM38" s="17" t="s">
        <v>55</v>
      </c>
      <c r="CN38" s="17" t="s">
        <v>56</v>
      </c>
      <c r="CO38" s="17" t="s">
        <v>55</v>
      </c>
      <c r="CP38" s="17" t="s">
        <v>56</v>
      </c>
      <c r="CQ38" s="17" t="s">
        <v>55</v>
      </c>
      <c r="CR38" s="17" t="s">
        <v>56</v>
      </c>
      <c r="CS38" s="17" t="s">
        <v>55</v>
      </c>
      <c r="CT38" s="17" t="s">
        <v>56</v>
      </c>
      <c r="CU38" s="17" t="s">
        <v>55</v>
      </c>
      <c r="CV38" s="17" t="s">
        <v>56</v>
      </c>
      <c r="CW38" s="17" t="s">
        <v>55</v>
      </c>
      <c r="CX38" s="17" t="s">
        <v>56</v>
      </c>
      <c r="CY38" s="17" t="s">
        <v>55</v>
      </c>
      <c r="CZ38" s="17" t="s">
        <v>56</v>
      </c>
      <c r="DA38" s="17" t="s">
        <v>55</v>
      </c>
      <c r="DB38" s="17" t="s">
        <v>56</v>
      </c>
      <c r="DC38" s="17" t="s">
        <v>55</v>
      </c>
      <c r="DD38" s="17" t="s">
        <v>56</v>
      </c>
      <c r="DE38" s="17" t="s">
        <v>55</v>
      </c>
      <c r="DF38" s="17" t="s">
        <v>56</v>
      </c>
      <c r="DG38" s="17" t="s">
        <v>55</v>
      </c>
      <c r="DH38" s="17" t="s">
        <v>56</v>
      </c>
      <c r="DI38" s="17" t="s">
        <v>55</v>
      </c>
      <c r="DJ38" s="17" t="s">
        <v>56</v>
      </c>
      <c r="DK38" s="17" t="s">
        <v>55</v>
      </c>
      <c r="DL38" s="17" t="s">
        <v>56</v>
      </c>
      <c r="DM38" s="17" t="s">
        <v>55</v>
      </c>
      <c r="DN38" s="17" t="s">
        <v>56</v>
      </c>
      <c r="DO38" s="17" t="s">
        <v>55</v>
      </c>
      <c r="DP38" s="17" t="s">
        <v>56</v>
      </c>
      <c r="DQ38" s="17" t="s">
        <v>55</v>
      </c>
      <c r="DR38" s="17" t="s">
        <v>56</v>
      </c>
      <c r="DS38" s="17" t="s">
        <v>55</v>
      </c>
      <c r="DT38" s="17" t="s">
        <v>56</v>
      </c>
      <c r="DU38" s="17" t="s">
        <v>55</v>
      </c>
      <c r="DV38" s="17" t="s">
        <v>56</v>
      </c>
      <c r="DW38" s="17" t="s">
        <v>55</v>
      </c>
      <c r="DX38" s="17" t="s">
        <v>56</v>
      </c>
      <c r="DY38" s="17" t="s">
        <v>55</v>
      </c>
      <c r="DZ38" s="17" t="s">
        <v>56</v>
      </c>
      <c r="EA38" s="17" t="s">
        <v>55</v>
      </c>
      <c r="EB38" s="17" t="s">
        <v>56</v>
      </c>
      <c r="EC38" s="17" t="s">
        <v>55</v>
      </c>
      <c r="ED38" s="17" t="s">
        <v>56</v>
      </c>
      <c r="EE38" s="17" t="s">
        <v>55</v>
      </c>
      <c r="EF38" s="17" t="s">
        <v>56</v>
      </c>
      <c r="EG38" s="17" t="s">
        <v>55</v>
      </c>
      <c r="EH38" s="17" t="s">
        <v>56</v>
      </c>
      <c r="EI38" s="17" t="s">
        <v>55</v>
      </c>
      <c r="EJ38" s="17" t="s">
        <v>56</v>
      </c>
      <c r="EK38" s="17" t="s">
        <v>55</v>
      </c>
      <c r="EL38" s="17" t="s">
        <v>56</v>
      </c>
      <c r="EM38" s="17" t="s">
        <v>55</v>
      </c>
      <c r="EN38" s="17" t="s">
        <v>56</v>
      </c>
      <c r="EO38" s="17" t="s">
        <v>55</v>
      </c>
      <c r="EP38" s="17" t="s">
        <v>56</v>
      </c>
      <c r="EQ38" s="17" t="s">
        <v>55</v>
      </c>
      <c r="ER38" s="17" t="s">
        <v>56</v>
      </c>
      <c r="ES38" s="17" t="s">
        <v>55</v>
      </c>
      <c r="ET38" s="17" t="s">
        <v>56</v>
      </c>
      <c r="EU38" s="17" t="s">
        <v>55</v>
      </c>
      <c r="EV38" s="17" t="s">
        <v>56</v>
      </c>
      <c r="EW38" s="17" t="s">
        <v>55</v>
      </c>
      <c r="EX38" s="17" t="s">
        <v>56</v>
      </c>
      <c r="EY38" s="17" t="s">
        <v>55</v>
      </c>
      <c r="EZ38" s="17" t="s">
        <v>56</v>
      </c>
      <c r="FA38" s="17" t="s">
        <v>55</v>
      </c>
      <c r="FB38" s="17" t="s">
        <v>56</v>
      </c>
      <c r="FC38" s="17" t="s">
        <v>55</v>
      </c>
      <c r="FD38" s="17" t="s">
        <v>56</v>
      </c>
      <c r="FE38" s="17" t="s">
        <v>55</v>
      </c>
      <c r="FF38" s="17" t="s">
        <v>56</v>
      </c>
      <c r="FG38" s="17" t="s">
        <v>55</v>
      </c>
      <c r="FH38" s="17" t="s">
        <v>56</v>
      </c>
      <c r="FI38" s="17" t="s">
        <v>55</v>
      </c>
      <c r="FJ38" s="17" t="s">
        <v>56</v>
      </c>
      <c r="FK38" s="17" t="s">
        <v>55</v>
      </c>
      <c r="FL38" s="17" t="s">
        <v>56</v>
      </c>
      <c r="FM38" s="17" t="s">
        <v>55</v>
      </c>
      <c r="FN38" s="17" t="s">
        <v>56</v>
      </c>
      <c r="FO38" s="17" t="s">
        <v>55</v>
      </c>
      <c r="FP38" s="17" t="s">
        <v>56</v>
      </c>
      <c r="FQ38" s="17" t="s">
        <v>55</v>
      </c>
      <c r="FR38" s="17" t="s">
        <v>56</v>
      </c>
      <c r="FS38" s="17" t="s">
        <v>55</v>
      </c>
      <c r="FT38" s="17" t="s">
        <v>56</v>
      </c>
      <c r="FU38" s="17" t="s">
        <v>55</v>
      </c>
      <c r="FV38" s="17" t="s">
        <v>56</v>
      </c>
      <c r="FW38" s="17" t="s">
        <v>55</v>
      </c>
      <c r="FX38" s="17" t="s">
        <v>56</v>
      </c>
      <c r="FY38" s="17" t="s">
        <v>55</v>
      </c>
      <c r="FZ38" s="17" t="s">
        <v>56</v>
      </c>
      <c r="GA38" s="17" t="s">
        <v>55</v>
      </c>
      <c r="GB38" s="17" t="s">
        <v>56</v>
      </c>
      <c r="GC38" s="17" t="s">
        <v>55</v>
      </c>
      <c r="GD38" s="17" t="s">
        <v>56</v>
      </c>
      <c r="GE38" s="17" t="s">
        <v>55</v>
      </c>
      <c r="GF38" s="17" t="s">
        <v>56</v>
      </c>
      <c r="GG38" s="17" t="s">
        <v>55</v>
      </c>
      <c r="GH38" s="17" t="s">
        <v>56</v>
      </c>
      <c r="GI38" s="17" t="s">
        <v>55</v>
      </c>
      <c r="GJ38" s="17" t="s">
        <v>56</v>
      </c>
      <c r="GK38" s="17" t="s">
        <v>55</v>
      </c>
      <c r="GL38" s="17" t="s">
        <v>56</v>
      </c>
      <c r="GM38" s="17" t="s">
        <v>55</v>
      </c>
      <c r="GN38" s="17" t="s">
        <v>56</v>
      </c>
      <c r="GO38" s="17" t="s">
        <v>55</v>
      </c>
      <c r="GP38" s="17" t="s">
        <v>56</v>
      </c>
      <c r="GQ38" s="17" t="s">
        <v>55</v>
      </c>
      <c r="GR38" s="17" t="s">
        <v>56</v>
      </c>
      <c r="GS38" s="17" t="s">
        <v>55</v>
      </c>
      <c r="GT38" s="17" t="s">
        <v>56</v>
      </c>
      <c r="GU38" s="17" t="s">
        <v>55</v>
      </c>
      <c r="GV38" s="17" t="s">
        <v>56</v>
      </c>
      <c r="GW38" s="17" t="s">
        <v>55</v>
      </c>
      <c r="GX38" s="17" t="s">
        <v>56</v>
      </c>
      <c r="GY38" s="17" t="s">
        <v>55</v>
      </c>
      <c r="GZ38" s="17" t="s">
        <v>56</v>
      </c>
      <c r="HA38" s="17" t="s">
        <v>55</v>
      </c>
      <c r="HB38" s="17" t="s">
        <v>56</v>
      </c>
      <c r="HC38" s="17" t="s">
        <v>55</v>
      </c>
      <c r="HD38" s="17" t="s">
        <v>56</v>
      </c>
      <c r="HE38" s="17" t="s">
        <v>55</v>
      </c>
      <c r="HF38" s="17" t="s">
        <v>56</v>
      </c>
      <c r="HG38" s="17" t="s">
        <v>55</v>
      </c>
      <c r="HH38" s="17" t="s">
        <v>56</v>
      </c>
      <c r="HI38" s="17" t="s">
        <v>55</v>
      </c>
      <c r="HJ38" s="17" t="s">
        <v>56</v>
      </c>
      <c r="HK38" s="17" t="s">
        <v>55</v>
      </c>
      <c r="HL38" s="17" t="s">
        <v>56</v>
      </c>
      <c r="HM38" s="17" t="s">
        <v>55</v>
      </c>
      <c r="HN38" s="17" t="s">
        <v>56</v>
      </c>
      <c r="HO38" s="17" t="s">
        <v>55</v>
      </c>
      <c r="HP38" s="17" t="s">
        <v>56</v>
      </c>
      <c r="HQ38" s="17" t="s">
        <v>55</v>
      </c>
      <c r="HR38" s="17" t="s">
        <v>56</v>
      </c>
      <c r="HS38" s="17" t="s">
        <v>55</v>
      </c>
      <c r="HT38" s="17" t="s">
        <v>56</v>
      </c>
      <c r="HU38" s="17" t="s">
        <v>55</v>
      </c>
      <c r="HV38" s="17" t="s">
        <v>56</v>
      </c>
      <c r="HW38" s="17" t="s">
        <v>55</v>
      </c>
      <c r="HX38" s="17" t="s">
        <v>56</v>
      </c>
      <c r="HY38" s="17" t="s">
        <v>55</v>
      </c>
      <c r="HZ38" s="17" t="s">
        <v>56</v>
      </c>
      <c r="IA38" s="17" t="s">
        <v>55</v>
      </c>
      <c r="IB38" s="17" t="s">
        <v>56</v>
      </c>
      <c r="IC38" s="17" t="s">
        <v>55</v>
      </c>
      <c r="ID38" s="17" t="s">
        <v>56</v>
      </c>
      <c r="IE38" s="17" t="s">
        <v>55</v>
      </c>
      <c r="IF38" s="17" t="s">
        <v>56</v>
      </c>
      <c r="IG38" s="17" t="s">
        <v>55</v>
      </c>
      <c r="IH38" s="17" t="s">
        <v>56</v>
      </c>
      <c r="II38" s="17" t="s">
        <v>55</v>
      </c>
      <c r="IJ38" s="17" t="s">
        <v>56</v>
      </c>
      <c r="IK38" s="17" t="s">
        <v>55</v>
      </c>
      <c r="IL38" s="17" t="s">
        <v>56</v>
      </c>
      <c r="IM38" s="17" t="s">
        <v>55</v>
      </c>
      <c r="IN38" s="17" t="s">
        <v>56</v>
      </c>
      <c r="IO38" s="17" t="s">
        <v>55</v>
      </c>
      <c r="IP38" s="17" t="s">
        <v>56</v>
      </c>
      <c r="IQ38" s="17" t="s">
        <v>55</v>
      </c>
      <c r="IR38" s="17" t="s">
        <v>56</v>
      </c>
      <c r="IS38" s="17" t="s">
        <v>55</v>
      </c>
      <c r="IT38" s="17" t="s">
        <v>56</v>
      </c>
      <c r="IU38" s="17" t="s">
        <v>55</v>
      </c>
      <c r="IV38" s="17" t="s">
        <v>56</v>
      </c>
      <c r="IW38" s="17" t="s">
        <v>55</v>
      </c>
      <c r="IX38" s="17" t="s">
        <v>56</v>
      </c>
      <c r="IY38" s="17" t="s">
        <v>55</v>
      </c>
      <c r="IZ38" s="17" t="s">
        <v>56</v>
      </c>
      <c r="JA38" s="17" t="s">
        <v>55</v>
      </c>
      <c r="JB38" s="17" t="s">
        <v>56</v>
      </c>
      <c r="JC38" s="17" t="s">
        <v>55</v>
      </c>
      <c r="JD38" s="17" t="s">
        <v>56</v>
      </c>
      <c r="JE38" s="17" t="s">
        <v>55</v>
      </c>
      <c r="JF38" s="17" t="s">
        <v>56</v>
      </c>
      <c r="JG38" s="17" t="s">
        <v>55</v>
      </c>
      <c r="JH38" s="17" t="s">
        <v>56</v>
      </c>
      <c r="JI38" s="17" t="s">
        <v>55</v>
      </c>
      <c r="JJ38" s="17" t="s">
        <v>56</v>
      </c>
      <c r="JK38" s="17" t="s">
        <v>55</v>
      </c>
      <c r="JL38" s="17" t="s">
        <v>56</v>
      </c>
      <c r="JM38" s="17" t="s">
        <v>55</v>
      </c>
      <c r="JN38" s="17" t="s">
        <v>56</v>
      </c>
      <c r="JO38" s="17" t="s">
        <v>55</v>
      </c>
      <c r="JP38" s="17" t="s">
        <v>56</v>
      </c>
      <c r="JQ38" s="17" t="s">
        <v>55</v>
      </c>
      <c r="JR38" s="17" t="s">
        <v>56</v>
      </c>
      <c r="JS38" s="17" t="s">
        <v>55</v>
      </c>
      <c r="JT38" s="17" t="s">
        <v>56</v>
      </c>
      <c r="JU38" s="17" t="s">
        <v>55</v>
      </c>
      <c r="JV38" s="17" t="s">
        <v>56</v>
      </c>
      <c r="JW38" s="17" t="s">
        <v>55</v>
      </c>
      <c r="JX38" s="17" t="s">
        <v>56</v>
      </c>
      <c r="JY38" s="17" t="s">
        <v>55</v>
      </c>
      <c r="JZ38" s="17" t="s">
        <v>56</v>
      </c>
      <c r="KA38" s="17" t="s">
        <v>55</v>
      </c>
      <c r="KB38" s="17" t="s">
        <v>56</v>
      </c>
      <c r="KC38" s="17" t="s">
        <v>55</v>
      </c>
      <c r="KD38" s="17" t="s">
        <v>56</v>
      </c>
      <c r="KE38" s="17" t="s">
        <v>55</v>
      </c>
      <c r="KF38" s="17" t="s">
        <v>56</v>
      </c>
      <c r="KG38" s="17" t="s">
        <v>55</v>
      </c>
      <c r="KH38" s="17" t="s">
        <v>56</v>
      </c>
      <c r="KI38" s="17" t="s">
        <v>55</v>
      </c>
      <c r="KJ38" s="17" t="s">
        <v>56</v>
      </c>
      <c r="KK38" s="17" t="s">
        <v>55</v>
      </c>
      <c r="KL38" s="17" t="s">
        <v>56</v>
      </c>
      <c r="KM38" s="17" t="s">
        <v>55</v>
      </c>
      <c r="KN38" s="17" t="s">
        <v>56</v>
      </c>
      <c r="KO38" s="17" t="s">
        <v>55</v>
      </c>
      <c r="KP38" s="17" t="s">
        <v>56</v>
      </c>
      <c r="KQ38" s="17" t="s">
        <v>55</v>
      </c>
      <c r="KR38" s="17" t="s">
        <v>56</v>
      </c>
      <c r="KS38" s="17" t="s">
        <v>55</v>
      </c>
      <c r="KT38" s="17" t="s">
        <v>56</v>
      </c>
      <c r="KU38" s="17" t="s">
        <v>55</v>
      </c>
      <c r="KV38" s="17" t="s">
        <v>56</v>
      </c>
      <c r="KW38" s="17" t="s">
        <v>55</v>
      </c>
      <c r="KX38" s="17" t="s">
        <v>56</v>
      </c>
      <c r="KY38" s="17" t="s">
        <v>55</v>
      </c>
      <c r="KZ38" s="17" t="s">
        <v>56</v>
      </c>
      <c r="LA38" s="17" t="s">
        <v>55</v>
      </c>
      <c r="LB38" s="10" t="s">
        <v>56</v>
      </c>
      <c r="LC38" s="10" t="s">
        <v>55</v>
      </c>
      <c r="LD38" s="10" t="s">
        <v>56</v>
      </c>
      <c r="LE38" s="10" t="s">
        <v>55</v>
      </c>
      <c r="LF38" s="10" t="s">
        <v>56</v>
      </c>
      <c r="LG38" s="10" t="s">
        <v>55</v>
      </c>
      <c r="LH38" s="10" t="s">
        <v>56</v>
      </c>
      <c r="LI38" s="10" t="s">
        <v>55</v>
      </c>
      <c r="LJ38" s="10" t="s">
        <v>56</v>
      </c>
      <c r="LK38" s="10" t="s">
        <v>162</v>
      </c>
      <c r="LL38" s="10" t="s">
        <v>56</v>
      </c>
      <c r="LM38" s="10" t="s">
        <v>162</v>
      </c>
      <c r="LN38" s="10" t="s">
        <v>56</v>
      </c>
      <c r="LO38" s="10" t="s">
        <v>162</v>
      </c>
      <c r="LP38" s="10" t="s">
        <v>56</v>
      </c>
      <c r="LQ38" s="10" t="s">
        <v>162</v>
      </c>
      <c r="LR38" s="10" t="s">
        <v>56</v>
      </c>
      <c r="LS38" s="10" t="s">
        <v>162</v>
      </c>
      <c r="LT38" s="10" t="s">
        <v>56</v>
      </c>
      <c r="LU38" s="10" t="s">
        <v>162</v>
      </c>
      <c r="LV38" s="10" t="s">
        <v>56</v>
      </c>
      <c r="LW38" s="10" t="s">
        <v>55</v>
      </c>
      <c r="LX38" s="10" t="s">
        <v>56</v>
      </c>
      <c r="LY38" s="10" t="s">
        <v>55</v>
      </c>
      <c r="LZ38" s="10" t="s">
        <v>56</v>
      </c>
      <c r="MA38" s="10" t="s">
        <v>55</v>
      </c>
      <c r="MB38" s="10" t="s">
        <v>56</v>
      </c>
      <c r="MC38" s="10" t="s">
        <v>55</v>
      </c>
      <c r="MD38" s="17" t="s">
        <v>56</v>
      </c>
      <c r="ME38" s="17" t="s">
        <v>55</v>
      </c>
      <c r="MF38" s="17" t="s">
        <v>56</v>
      </c>
      <c r="MG38" s="17" t="s">
        <v>55</v>
      </c>
      <c r="MH38" s="17" t="s">
        <v>56</v>
      </c>
      <c r="MI38" s="17" t="s">
        <v>55</v>
      </c>
      <c r="MJ38" s="17" t="s">
        <v>56</v>
      </c>
      <c r="MK38" s="17" t="s">
        <v>55</v>
      </c>
      <c r="ML38" s="17" t="s">
        <v>56</v>
      </c>
      <c r="MM38" s="17" t="s">
        <v>55</v>
      </c>
      <c r="MN38" s="17" t="s">
        <v>56</v>
      </c>
      <c r="MO38" s="17" t="s">
        <v>55</v>
      </c>
      <c r="MP38" s="17" t="s">
        <v>56</v>
      </c>
      <c r="MQ38" s="17" t="s">
        <v>55</v>
      </c>
      <c r="MR38" s="17" t="s">
        <v>56</v>
      </c>
      <c r="MS38" s="17" t="s">
        <v>55</v>
      </c>
      <c r="MT38" s="17" t="s">
        <v>56</v>
      </c>
      <c r="MU38" s="17" t="s">
        <v>55</v>
      </c>
      <c r="MV38" s="17" t="s">
        <v>56</v>
      </c>
      <c r="MW38" s="17" t="s">
        <v>55</v>
      </c>
      <c r="MX38" s="17" t="s">
        <v>56</v>
      </c>
      <c r="MY38" s="17" t="s">
        <v>55</v>
      </c>
      <c r="MZ38" s="17" t="s">
        <v>56</v>
      </c>
      <c r="NA38" s="17" t="s">
        <v>55</v>
      </c>
      <c r="NB38" s="10" t="s">
        <v>56</v>
      </c>
      <c r="NC38" s="10" t="s">
        <v>55</v>
      </c>
      <c r="ND38" s="10" t="s">
        <v>56</v>
      </c>
      <c r="NE38" s="10" t="s">
        <v>55</v>
      </c>
      <c r="NF38" s="10" t="s">
        <v>56</v>
      </c>
      <c r="NG38" s="10" t="s">
        <v>55</v>
      </c>
      <c r="NH38" s="10" t="s">
        <v>56</v>
      </c>
      <c r="NI38" s="10" t="s">
        <v>55</v>
      </c>
      <c r="NJ38" s="10" t="s">
        <v>56</v>
      </c>
      <c r="NK38" s="10" t="s">
        <v>55</v>
      </c>
      <c r="NL38" s="10" t="s">
        <v>56</v>
      </c>
      <c r="NM38" s="4" t="s">
        <v>55</v>
      </c>
      <c r="NN38" s="10" t="s">
        <v>56</v>
      </c>
      <c r="NO38" s="4" t="s">
        <v>55</v>
      </c>
      <c r="NP38" s="10" t="s">
        <v>56</v>
      </c>
      <c r="NQ38" s="4" t="s">
        <v>55</v>
      </c>
      <c r="NR38" s="10">
        <f>(2.8*1000)/E38</f>
        <v>23.505708529214235</v>
      </c>
      <c r="NS38" s="10">
        <f>(0.7*1000)/E38</f>
        <v>5.8764271323035588</v>
      </c>
      <c r="NT38" s="10">
        <f>(21*1000)/E38</f>
        <v>176.29281396910679</v>
      </c>
      <c r="NU38" s="10">
        <f>(4*1000)/E38</f>
        <v>33.579583613163194</v>
      </c>
    </row>
    <row r="39" spans="1:385" x14ac:dyDescent="0.2">
      <c r="A39" t="s">
        <v>625</v>
      </c>
      <c r="B39" s="1" t="s">
        <v>1043</v>
      </c>
      <c r="C39" s="1" t="s">
        <v>858</v>
      </c>
      <c r="D39" s="39" cm="1">
        <f t="array" ref="D39">SUMPRODUCT((ISNUMBER(F39:NU39))*(MOD(COLUMN(F39:NU39),2)=0))</f>
        <v>1</v>
      </c>
      <c r="E39" s="1">
        <v>119.12</v>
      </c>
      <c r="F39" s="17" t="s">
        <v>56</v>
      </c>
      <c r="G39" s="17" t="s">
        <v>55</v>
      </c>
      <c r="H39" s="17" t="s">
        <v>56</v>
      </c>
      <c r="I39" s="17" t="s">
        <v>55</v>
      </c>
      <c r="J39" s="17" t="s">
        <v>56</v>
      </c>
      <c r="K39" s="17" t="s">
        <v>55</v>
      </c>
      <c r="L39" s="17" t="s">
        <v>56</v>
      </c>
      <c r="M39" s="17" t="s">
        <v>55</v>
      </c>
      <c r="N39" s="17" t="s">
        <v>56</v>
      </c>
      <c r="O39" s="17" t="s">
        <v>55</v>
      </c>
      <c r="P39" s="17" t="s">
        <v>56</v>
      </c>
      <c r="Q39" s="17" t="s">
        <v>55</v>
      </c>
      <c r="R39" s="17" t="s">
        <v>56</v>
      </c>
      <c r="S39" s="17" t="s">
        <v>55</v>
      </c>
      <c r="T39" s="17" t="s">
        <v>56</v>
      </c>
      <c r="U39" s="17" t="s">
        <v>55</v>
      </c>
      <c r="V39" s="17" t="s">
        <v>56</v>
      </c>
      <c r="W39" s="17" t="s">
        <v>55</v>
      </c>
      <c r="X39" s="17" t="s">
        <v>56</v>
      </c>
      <c r="Y39" s="17" t="s">
        <v>55</v>
      </c>
      <c r="Z39" s="17" t="s">
        <v>56</v>
      </c>
      <c r="AA39" s="17" t="s">
        <v>55</v>
      </c>
      <c r="AB39" s="17" t="s">
        <v>56</v>
      </c>
      <c r="AC39" s="17" t="s">
        <v>55</v>
      </c>
      <c r="AD39" s="17" t="s">
        <v>56</v>
      </c>
      <c r="AE39" s="17" t="s">
        <v>55</v>
      </c>
      <c r="AF39" s="17" t="s">
        <v>56</v>
      </c>
      <c r="AG39" s="17" t="s">
        <v>55</v>
      </c>
      <c r="AH39" s="17" t="s">
        <v>56</v>
      </c>
      <c r="AI39" s="17" t="s">
        <v>55</v>
      </c>
      <c r="AJ39" s="17" t="s">
        <v>56</v>
      </c>
      <c r="AK39" s="17" t="s">
        <v>55</v>
      </c>
      <c r="AL39" s="17" t="s">
        <v>56</v>
      </c>
      <c r="AM39" s="17" t="s">
        <v>55</v>
      </c>
      <c r="AN39" s="17" t="s">
        <v>56</v>
      </c>
      <c r="AO39" s="17" t="s">
        <v>55</v>
      </c>
      <c r="AP39" s="17" t="s">
        <v>56</v>
      </c>
      <c r="AQ39" s="17" t="s">
        <v>55</v>
      </c>
      <c r="AR39" s="19">
        <f>21/E39</f>
        <v>0.17629281396910679</v>
      </c>
      <c r="AS39" s="19">
        <f>11/E39</f>
        <v>9.2343854936198788E-2</v>
      </c>
      <c r="AT39" s="17" t="s">
        <v>56</v>
      </c>
      <c r="AU39" s="17" t="s">
        <v>55</v>
      </c>
      <c r="AV39" s="17" t="s">
        <v>56</v>
      </c>
      <c r="AW39" s="17" t="s">
        <v>55</v>
      </c>
      <c r="AX39" s="17" t="s">
        <v>56</v>
      </c>
      <c r="AY39" s="17" t="s">
        <v>55</v>
      </c>
      <c r="AZ39" s="17" t="s">
        <v>56</v>
      </c>
      <c r="BA39" s="17" t="s">
        <v>55</v>
      </c>
      <c r="BB39" s="17" t="s">
        <v>56</v>
      </c>
      <c r="BC39" s="17" t="s">
        <v>55</v>
      </c>
      <c r="BD39" s="17" t="s">
        <v>56</v>
      </c>
      <c r="BE39" s="17" t="s">
        <v>55</v>
      </c>
      <c r="BF39" s="17" t="s">
        <v>56</v>
      </c>
      <c r="BG39" s="17" t="s">
        <v>55</v>
      </c>
      <c r="BH39" s="17" t="s">
        <v>56</v>
      </c>
      <c r="BI39" s="17" t="s">
        <v>55</v>
      </c>
      <c r="BJ39" s="17" t="s">
        <v>56</v>
      </c>
      <c r="BK39" s="17" t="s">
        <v>55</v>
      </c>
      <c r="BL39" s="17" t="s">
        <v>56</v>
      </c>
      <c r="BM39" s="17" t="s">
        <v>55</v>
      </c>
      <c r="BN39" s="17" t="s">
        <v>56</v>
      </c>
      <c r="BO39" s="17" t="s">
        <v>55</v>
      </c>
      <c r="BP39" s="17" t="s">
        <v>56</v>
      </c>
      <c r="BQ39" s="17" t="s">
        <v>55</v>
      </c>
      <c r="BR39" s="17" t="s">
        <v>56</v>
      </c>
      <c r="BS39" s="17" t="s">
        <v>55</v>
      </c>
      <c r="BT39" s="17" t="s">
        <v>56</v>
      </c>
      <c r="BU39" s="17" t="s">
        <v>55</v>
      </c>
      <c r="BV39" s="17" t="s">
        <v>56</v>
      </c>
      <c r="BW39" s="17" t="s">
        <v>55</v>
      </c>
      <c r="BX39" s="17" t="s">
        <v>56</v>
      </c>
      <c r="BY39" s="17" t="s">
        <v>55</v>
      </c>
      <c r="BZ39" s="17" t="s">
        <v>56</v>
      </c>
      <c r="CA39" s="17" t="s">
        <v>55</v>
      </c>
      <c r="CB39" s="17" t="s">
        <v>56</v>
      </c>
      <c r="CC39" s="17" t="s">
        <v>55</v>
      </c>
      <c r="CD39" s="17" t="s">
        <v>56</v>
      </c>
      <c r="CE39" s="17" t="s">
        <v>55</v>
      </c>
      <c r="CF39" s="17" t="s">
        <v>56</v>
      </c>
      <c r="CG39" s="17" t="s">
        <v>55</v>
      </c>
      <c r="CH39" s="17" t="s">
        <v>56</v>
      </c>
      <c r="CI39" s="17" t="s">
        <v>55</v>
      </c>
      <c r="CJ39" s="17" t="s">
        <v>56</v>
      </c>
      <c r="CK39" s="17" t="s">
        <v>55</v>
      </c>
      <c r="CL39" s="17" t="s">
        <v>56</v>
      </c>
      <c r="CM39" s="17" t="s">
        <v>55</v>
      </c>
      <c r="CN39" s="17" t="s">
        <v>56</v>
      </c>
      <c r="CO39" s="17" t="s">
        <v>55</v>
      </c>
      <c r="CP39" s="17" t="s">
        <v>56</v>
      </c>
      <c r="CQ39" s="17" t="s">
        <v>55</v>
      </c>
      <c r="CR39" s="17" t="s">
        <v>56</v>
      </c>
      <c r="CS39" s="17" t="s">
        <v>55</v>
      </c>
      <c r="CT39" s="17" t="s">
        <v>56</v>
      </c>
      <c r="CU39" s="17" t="s">
        <v>55</v>
      </c>
      <c r="CV39" s="17" t="s">
        <v>56</v>
      </c>
      <c r="CW39" s="17" t="s">
        <v>55</v>
      </c>
      <c r="CX39" s="17" t="s">
        <v>56</v>
      </c>
      <c r="CY39" s="17" t="s">
        <v>55</v>
      </c>
      <c r="CZ39" s="17" t="s">
        <v>56</v>
      </c>
      <c r="DA39" s="17" t="s">
        <v>55</v>
      </c>
      <c r="DB39" s="17" t="s">
        <v>56</v>
      </c>
      <c r="DC39" s="17" t="s">
        <v>55</v>
      </c>
      <c r="DD39" s="17" t="s">
        <v>56</v>
      </c>
      <c r="DE39" s="17" t="s">
        <v>55</v>
      </c>
      <c r="DF39" s="17" t="s">
        <v>56</v>
      </c>
      <c r="DG39" s="17" t="s">
        <v>55</v>
      </c>
      <c r="DH39" s="17" t="s">
        <v>56</v>
      </c>
      <c r="DI39" s="17" t="s">
        <v>55</v>
      </c>
      <c r="DJ39" s="17" t="s">
        <v>56</v>
      </c>
      <c r="DK39" s="17" t="s">
        <v>55</v>
      </c>
      <c r="DL39" s="17" t="s">
        <v>56</v>
      </c>
      <c r="DM39" s="17" t="s">
        <v>55</v>
      </c>
      <c r="DN39" s="17" t="s">
        <v>56</v>
      </c>
      <c r="DO39" s="17" t="s">
        <v>55</v>
      </c>
      <c r="DP39" s="17" t="s">
        <v>56</v>
      </c>
      <c r="DQ39" s="17" t="s">
        <v>55</v>
      </c>
      <c r="DR39" s="17" t="s">
        <v>56</v>
      </c>
      <c r="DS39" s="17" t="s">
        <v>55</v>
      </c>
      <c r="DT39" s="17" t="s">
        <v>56</v>
      </c>
      <c r="DU39" s="17" t="s">
        <v>55</v>
      </c>
      <c r="DV39" s="17" t="s">
        <v>56</v>
      </c>
      <c r="DW39" s="17" t="s">
        <v>55</v>
      </c>
      <c r="DX39" s="17" t="s">
        <v>56</v>
      </c>
      <c r="DY39" s="17" t="s">
        <v>55</v>
      </c>
      <c r="DZ39" s="17" t="s">
        <v>56</v>
      </c>
      <c r="EA39" s="17" t="s">
        <v>55</v>
      </c>
      <c r="EB39" s="17" t="s">
        <v>56</v>
      </c>
      <c r="EC39" s="17" t="s">
        <v>55</v>
      </c>
      <c r="ED39" s="17" t="s">
        <v>56</v>
      </c>
      <c r="EE39" s="17" t="s">
        <v>55</v>
      </c>
      <c r="EF39" s="17" t="s">
        <v>56</v>
      </c>
      <c r="EG39" s="17" t="s">
        <v>55</v>
      </c>
      <c r="EH39" s="17" t="s">
        <v>56</v>
      </c>
      <c r="EI39" s="17" t="s">
        <v>55</v>
      </c>
      <c r="EJ39" s="17" t="s">
        <v>56</v>
      </c>
      <c r="EK39" s="17" t="s">
        <v>55</v>
      </c>
      <c r="EL39" s="17" t="s">
        <v>56</v>
      </c>
      <c r="EM39" s="17" t="s">
        <v>55</v>
      </c>
      <c r="EN39" s="17" t="s">
        <v>56</v>
      </c>
      <c r="EO39" s="17" t="s">
        <v>55</v>
      </c>
      <c r="EP39" s="17" t="s">
        <v>56</v>
      </c>
      <c r="EQ39" s="17" t="s">
        <v>55</v>
      </c>
      <c r="ER39" s="17" t="s">
        <v>56</v>
      </c>
      <c r="ES39" s="17" t="s">
        <v>55</v>
      </c>
      <c r="ET39" s="17" t="s">
        <v>56</v>
      </c>
      <c r="EU39" s="17" t="s">
        <v>55</v>
      </c>
      <c r="EV39" s="17" t="s">
        <v>56</v>
      </c>
      <c r="EW39" s="17" t="s">
        <v>55</v>
      </c>
      <c r="EX39" s="17" t="s">
        <v>56</v>
      </c>
      <c r="EY39" s="17" t="s">
        <v>55</v>
      </c>
      <c r="EZ39" s="17" t="s">
        <v>56</v>
      </c>
      <c r="FA39" s="17" t="s">
        <v>55</v>
      </c>
      <c r="FB39" s="17" t="s">
        <v>56</v>
      </c>
      <c r="FC39" s="17" t="s">
        <v>55</v>
      </c>
      <c r="FD39" s="17" t="s">
        <v>56</v>
      </c>
      <c r="FE39" s="17" t="s">
        <v>55</v>
      </c>
      <c r="FF39" s="17" t="s">
        <v>56</v>
      </c>
      <c r="FG39" s="17" t="s">
        <v>55</v>
      </c>
      <c r="FH39" s="17" t="s">
        <v>56</v>
      </c>
      <c r="FI39" s="17" t="s">
        <v>55</v>
      </c>
      <c r="FJ39" s="17" t="s">
        <v>56</v>
      </c>
      <c r="FK39" s="17" t="s">
        <v>55</v>
      </c>
      <c r="FL39" s="17" t="s">
        <v>56</v>
      </c>
      <c r="FM39" s="17" t="s">
        <v>55</v>
      </c>
      <c r="FN39" s="17" t="s">
        <v>56</v>
      </c>
      <c r="FO39" s="17" t="s">
        <v>55</v>
      </c>
      <c r="FP39" s="17" t="s">
        <v>56</v>
      </c>
      <c r="FQ39" s="17" t="s">
        <v>55</v>
      </c>
      <c r="FR39" s="17" t="s">
        <v>56</v>
      </c>
      <c r="FS39" s="17" t="s">
        <v>55</v>
      </c>
      <c r="FT39" s="17" t="s">
        <v>56</v>
      </c>
      <c r="FU39" s="17" t="s">
        <v>55</v>
      </c>
      <c r="FV39" s="17" t="s">
        <v>56</v>
      </c>
      <c r="FW39" s="17" t="s">
        <v>55</v>
      </c>
      <c r="FX39" s="17" t="s">
        <v>56</v>
      </c>
      <c r="FY39" s="17" t="s">
        <v>55</v>
      </c>
      <c r="FZ39" s="17" t="s">
        <v>56</v>
      </c>
      <c r="GA39" s="17" t="s">
        <v>55</v>
      </c>
      <c r="GB39" s="17" t="s">
        <v>56</v>
      </c>
      <c r="GC39" s="17" t="s">
        <v>55</v>
      </c>
      <c r="GD39" s="17" t="s">
        <v>56</v>
      </c>
      <c r="GE39" s="17" t="s">
        <v>55</v>
      </c>
      <c r="GF39" s="17" t="s">
        <v>56</v>
      </c>
      <c r="GG39" s="17" t="s">
        <v>55</v>
      </c>
      <c r="GH39" s="17" t="s">
        <v>56</v>
      </c>
      <c r="GI39" s="17" t="s">
        <v>55</v>
      </c>
      <c r="GJ39" s="17" t="s">
        <v>56</v>
      </c>
      <c r="GK39" s="17" t="s">
        <v>55</v>
      </c>
      <c r="GL39" s="17" t="s">
        <v>56</v>
      </c>
      <c r="GM39" s="17" t="s">
        <v>55</v>
      </c>
      <c r="GN39" s="17" t="s">
        <v>56</v>
      </c>
      <c r="GO39" s="17" t="s">
        <v>55</v>
      </c>
      <c r="GP39" s="17" t="s">
        <v>56</v>
      </c>
      <c r="GQ39" s="17" t="s">
        <v>55</v>
      </c>
      <c r="GR39" s="17" t="s">
        <v>56</v>
      </c>
      <c r="GS39" s="17" t="s">
        <v>55</v>
      </c>
      <c r="GT39" s="17" t="s">
        <v>56</v>
      </c>
      <c r="GU39" s="17" t="s">
        <v>55</v>
      </c>
      <c r="GV39" s="17" t="s">
        <v>56</v>
      </c>
      <c r="GW39" s="17" t="s">
        <v>55</v>
      </c>
      <c r="GX39" s="17" t="s">
        <v>56</v>
      </c>
      <c r="GY39" s="17" t="s">
        <v>55</v>
      </c>
      <c r="GZ39" s="17" t="s">
        <v>56</v>
      </c>
      <c r="HA39" s="17" t="s">
        <v>55</v>
      </c>
      <c r="HB39" s="17" t="s">
        <v>56</v>
      </c>
      <c r="HC39" s="17" t="s">
        <v>55</v>
      </c>
      <c r="HD39" s="17" t="s">
        <v>56</v>
      </c>
      <c r="HE39" s="17" t="s">
        <v>55</v>
      </c>
      <c r="HF39" s="17" t="s">
        <v>56</v>
      </c>
      <c r="HG39" s="17" t="s">
        <v>55</v>
      </c>
      <c r="HH39" s="17" t="s">
        <v>56</v>
      </c>
      <c r="HI39" s="17" t="s">
        <v>55</v>
      </c>
      <c r="HJ39" s="17" t="s">
        <v>56</v>
      </c>
      <c r="HK39" s="17" t="s">
        <v>55</v>
      </c>
      <c r="HL39" s="17" t="s">
        <v>56</v>
      </c>
      <c r="HM39" s="17" t="s">
        <v>55</v>
      </c>
      <c r="HN39" s="17" t="s">
        <v>56</v>
      </c>
      <c r="HO39" s="17" t="s">
        <v>55</v>
      </c>
      <c r="HP39" s="17" t="s">
        <v>56</v>
      </c>
      <c r="HQ39" s="17" t="s">
        <v>55</v>
      </c>
      <c r="HR39" s="17" t="s">
        <v>56</v>
      </c>
      <c r="HS39" s="17" t="s">
        <v>55</v>
      </c>
      <c r="HT39" s="17" t="s">
        <v>56</v>
      </c>
      <c r="HU39" s="17" t="s">
        <v>55</v>
      </c>
      <c r="HV39" s="17" t="s">
        <v>56</v>
      </c>
      <c r="HW39" s="17" t="s">
        <v>55</v>
      </c>
      <c r="HX39" s="17" t="s">
        <v>56</v>
      </c>
      <c r="HY39" s="17" t="s">
        <v>55</v>
      </c>
      <c r="HZ39" s="17" t="s">
        <v>56</v>
      </c>
      <c r="IA39" s="17" t="s">
        <v>55</v>
      </c>
      <c r="IB39" s="17" t="s">
        <v>56</v>
      </c>
      <c r="IC39" s="17" t="s">
        <v>55</v>
      </c>
      <c r="ID39" s="17" t="s">
        <v>56</v>
      </c>
      <c r="IE39" s="17" t="s">
        <v>55</v>
      </c>
      <c r="IF39" s="17" t="s">
        <v>56</v>
      </c>
      <c r="IG39" s="17" t="s">
        <v>55</v>
      </c>
      <c r="IH39" s="17" t="s">
        <v>56</v>
      </c>
      <c r="II39" s="17" t="s">
        <v>55</v>
      </c>
      <c r="IJ39" s="17" t="s">
        <v>56</v>
      </c>
      <c r="IK39" s="17" t="s">
        <v>55</v>
      </c>
      <c r="IL39" s="17" t="s">
        <v>56</v>
      </c>
      <c r="IM39" s="17" t="s">
        <v>55</v>
      </c>
      <c r="IN39" s="17" t="s">
        <v>56</v>
      </c>
      <c r="IO39" s="17" t="s">
        <v>55</v>
      </c>
      <c r="IP39" s="17" t="s">
        <v>56</v>
      </c>
      <c r="IQ39" s="17" t="s">
        <v>55</v>
      </c>
      <c r="IR39" s="17" t="s">
        <v>56</v>
      </c>
      <c r="IS39" s="17" t="s">
        <v>55</v>
      </c>
      <c r="IT39" s="17" t="s">
        <v>56</v>
      </c>
      <c r="IU39" s="17" t="s">
        <v>55</v>
      </c>
      <c r="IV39" s="17" t="s">
        <v>56</v>
      </c>
      <c r="IW39" s="17" t="s">
        <v>55</v>
      </c>
      <c r="IX39" s="17" t="s">
        <v>56</v>
      </c>
      <c r="IY39" s="17" t="s">
        <v>55</v>
      </c>
      <c r="IZ39" s="17" t="s">
        <v>56</v>
      </c>
      <c r="JA39" s="17" t="s">
        <v>55</v>
      </c>
      <c r="JB39" s="17" t="s">
        <v>56</v>
      </c>
      <c r="JC39" s="17" t="s">
        <v>55</v>
      </c>
      <c r="JD39" s="17" t="s">
        <v>56</v>
      </c>
      <c r="JE39" s="17" t="s">
        <v>55</v>
      </c>
      <c r="JF39" s="17" t="s">
        <v>56</v>
      </c>
      <c r="JG39" s="17" t="s">
        <v>55</v>
      </c>
      <c r="JH39" s="17" t="s">
        <v>56</v>
      </c>
      <c r="JI39" s="17" t="s">
        <v>55</v>
      </c>
      <c r="JJ39" s="17" t="s">
        <v>56</v>
      </c>
      <c r="JK39" s="17" t="s">
        <v>55</v>
      </c>
      <c r="JL39" s="17" t="s">
        <v>56</v>
      </c>
      <c r="JM39" s="17" t="s">
        <v>55</v>
      </c>
      <c r="JN39" s="17" t="s">
        <v>56</v>
      </c>
      <c r="JO39" s="17" t="s">
        <v>55</v>
      </c>
      <c r="JP39" s="17" t="s">
        <v>56</v>
      </c>
      <c r="JQ39" s="17" t="s">
        <v>55</v>
      </c>
      <c r="JR39" s="17" t="s">
        <v>56</v>
      </c>
      <c r="JS39" s="17" t="s">
        <v>55</v>
      </c>
      <c r="JT39" s="17" t="s">
        <v>56</v>
      </c>
      <c r="JU39" s="17" t="s">
        <v>55</v>
      </c>
      <c r="JV39" s="17" t="s">
        <v>56</v>
      </c>
      <c r="JW39" s="17" t="s">
        <v>55</v>
      </c>
      <c r="JX39" s="17" t="s">
        <v>56</v>
      </c>
      <c r="JY39" s="17" t="s">
        <v>55</v>
      </c>
      <c r="JZ39" s="17" t="s">
        <v>56</v>
      </c>
      <c r="KA39" s="17" t="s">
        <v>55</v>
      </c>
      <c r="KB39" s="17" t="s">
        <v>56</v>
      </c>
      <c r="KC39" s="17" t="s">
        <v>55</v>
      </c>
      <c r="KD39" s="17" t="s">
        <v>56</v>
      </c>
      <c r="KE39" s="17" t="s">
        <v>55</v>
      </c>
      <c r="KF39" s="17" t="s">
        <v>56</v>
      </c>
      <c r="KG39" s="17" t="s">
        <v>55</v>
      </c>
      <c r="KH39" s="17" t="s">
        <v>56</v>
      </c>
      <c r="KI39" s="17" t="s">
        <v>55</v>
      </c>
      <c r="KJ39" s="17" t="s">
        <v>56</v>
      </c>
      <c r="KK39" s="17" t="s">
        <v>55</v>
      </c>
      <c r="KL39" s="17" t="s">
        <v>56</v>
      </c>
      <c r="KM39" s="17" t="s">
        <v>55</v>
      </c>
      <c r="KN39" s="17" t="s">
        <v>56</v>
      </c>
      <c r="KO39" s="17" t="s">
        <v>55</v>
      </c>
      <c r="KP39" s="17" t="s">
        <v>56</v>
      </c>
      <c r="KQ39" s="17" t="s">
        <v>55</v>
      </c>
      <c r="KR39" s="17" t="s">
        <v>56</v>
      </c>
      <c r="KS39" s="17" t="s">
        <v>55</v>
      </c>
      <c r="KT39" s="17" t="s">
        <v>56</v>
      </c>
      <c r="KU39" s="17" t="s">
        <v>55</v>
      </c>
      <c r="KV39" s="17" t="s">
        <v>56</v>
      </c>
      <c r="KW39" s="17" t="s">
        <v>55</v>
      </c>
      <c r="KX39" s="17" t="s">
        <v>56</v>
      </c>
      <c r="KY39" s="17" t="s">
        <v>55</v>
      </c>
      <c r="KZ39" s="17" t="s">
        <v>56</v>
      </c>
      <c r="LA39" s="17" t="s">
        <v>55</v>
      </c>
      <c r="LB39" s="10" t="s">
        <v>56</v>
      </c>
      <c r="LC39" s="10" t="s">
        <v>55</v>
      </c>
      <c r="LD39" s="10" t="s">
        <v>56</v>
      </c>
      <c r="LE39" s="10" t="s">
        <v>55</v>
      </c>
      <c r="LF39" s="10" t="s">
        <v>56</v>
      </c>
      <c r="LG39" s="10" t="s">
        <v>55</v>
      </c>
      <c r="LH39" s="10" t="s">
        <v>56</v>
      </c>
      <c r="LI39" s="10" t="s">
        <v>55</v>
      </c>
      <c r="LJ39" s="10" t="s">
        <v>56</v>
      </c>
      <c r="LK39" s="10" t="s">
        <v>162</v>
      </c>
      <c r="LL39" s="10" t="s">
        <v>56</v>
      </c>
      <c r="LM39" s="10" t="s">
        <v>162</v>
      </c>
      <c r="LN39" s="10" t="s">
        <v>56</v>
      </c>
      <c r="LO39" s="10" t="s">
        <v>162</v>
      </c>
      <c r="LP39" s="10" t="s">
        <v>56</v>
      </c>
      <c r="LQ39" s="10" t="s">
        <v>162</v>
      </c>
      <c r="LR39" s="10" t="s">
        <v>56</v>
      </c>
      <c r="LS39" s="10" t="s">
        <v>162</v>
      </c>
      <c r="LT39" s="10" t="s">
        <v>56</v>
      </c>
      <c r="LU39" s="10" t="s">
        <v>162</v>
      </c>
      <c r="LV39" s="10" t="s">
        <v>56</v>
      </c>
      <c r="LW39" s="10" t="s">
        <v>55</v>
      </c>
      <c r="LX39" s="10" t="s">
        <v>56</v>
      </c>
      <c r="LY39" s="10" t="s">
        <v>55</v>
      </c>
      <c r="LZ39" s="10" t="s">
        <v>56</v>
      </c>
      <c r="MA39" s="10" t="s">
        <v>55</v>
      </c>
      <c r="MB39" s="10" t="s">
        <v>56</v>
      </c>
      <c r="MC39" s="10" t="s">
        <v>55</v>
      </c>
      <c r="MD39" s="17" t="s">
        <v>56</v>
      </c>
      <c r="ME39" s="17" t="s">
        <v>55</v>
      </c>
      <c r="MF39" s="17" t="s">
        <v>56</v>
      </c>
      <c r="MG39" s="17" t="s">
        <v>55</v>
      </c>
      <c r="MH39" s="17" t="s">
        <v>56</v>
      </c>
      <c r="MI39" s="17" t="s">
        <v>55</v>
      </c>
      <c r="MJ39" s="17" t="s">
        <v>56</v>
      </c>
      <c r="MK39" s="17" t="s">
        <v>55</v>
      </c>
      <c r="ML39" s="17" t="s">
        <v>56</v>
      </c>
      <c r="MM39" s="17" t="s">
        <v>55</v>
      </c>
      <c r="MN39" s="17" t="s">
        <v>56</v>
      </c>
      <c r="MO39" s="17" t="s">
        <v>55</v>
      </c>
      <c r="MP39" s="17" t="s">
        <v>56</v>
      </c>
      <c r="MQ39" s="17" t="s">
        <v>55</v>
      </c>
      <c r="MR39" s="17" t="s">
        <v>56</v>
      </c>
      <c r="MS39" s="17" t="s">
        <v>55</v>
      </c>
      <c r="MT39" s="17" t="s">
        <v>56</v>
      </c>
      <c r="MU39" s="17" t="s">
        <v>55</v>
      </c>
      <c r="MV39" s="17" t="s">
        <v>56</v>
      </c>
      <c r="MW39" s="17" t="s">
        <v>55</v>
      </c>
      <c r="MX39" s="17" t="s">
        <v>56</v>
      </c>
      <c r="MY39" s="17" t="s">
        <v>55</v>
      </c>
      <c r="MZ39" s="17" t="s">
        <v>56</v>
      </c>
      <c r="NA39" s="17" t="s">
        <v>55</v>
      </c>
      <c r="NB39" s="10" t="s">
        <v>56</v>
      </c>
      <c r="NC39" s="10" t="s">
        <v>55</v>
      </c>
      <c r="ND39" s="10" t="s">
        <v>56</v>
      </c>
      <c r="NE39" s="10" t="s">
        <v>55</v>
      </c>
      <c r="NF39" s="10" t="s">
        <v>56</v>
      </c>
      <c r="NG39" s="10" t="s">
        <v>55</v>
      </c>
      <c r="NH39" s="10" t="s">
        <v>56</v>
      </c>
      <c r="NI39" s="10" t="s">
        <v>55</v>
      </c>
      <c r="NJ39" s="10" t="s">
        <v>56</v>
      </c>
      <c r="NK39" s="10" t="s">
        <v>55</v>
      </c>
      <c r="NL39" s="10" t="s">
        <v>56</v>
      </c>
      <c r="NM39" s="4" t="s">
        <v>55</v>
      </c>
      <c r="NN39" s="10" t="s">
        <v>56</v>
      </c>
      <c r="NO39" s="4" t="s">
        <v>55</v>
      </c>
      <c r="NP39" s="10" t="s">
        <v>56</v>
      </c>
      <c r="NQ39" s="4" t="s">
        <v>55</v>
      </c>
      <c r="NR39" s="10" t="s">
        <v>57</v>
      </c>
      <c r="NS39" s="10" t="s">
        <v>55</v>
      </c>
      <c r="NT39" s="10" t="s">
        <v>57</v>
      </c>
      <c r="NU39" s="10" t="s">
        <v>55</v>
      </c>
    </row>
    <row r="40" spans="1:385" x14ac:dyDescent="0.2">
      <c r="A40" t="s">
        <v>626</v>
      </c>
      <c r="B40" s="1" t="s">
        <v>1043</v>
      </c>
      <c r="C40" s="1" t="s">
        <v>859</v>
      </c>
      <c r="D40" s="39" cm="1">
        <f t="array" ref="D40">SUMPRODUCT((ISNUMBER(F40:NU40))*(MOD(COLUMN(F40:NU40),2)=0))</f>
        <v>1</v>
      </c>
      <c r="E40" s="1">
        <v>119.12</v>
      </c>
      <c r="F40" s="17" t="s">
        <v>56</v>
      </c>
      <c r="G40" s="17" t="s">
        <v>55</v>
      </c>
      <c r="H40" s="17" t="s">
        <v>56</v>
      </c>
      <c r="I40" s="17" t="s">
        <v>55</v>
      </c>
      <c r="J40" s="17" t="s">
        <v>56</v>
      </c>
      <c r="K40" s="17" t="s">
        <v>55</v>
      </c>
      <c r="L40" s="17" t="s">
        <v>56</v>
      </c>
      <c r="M40" s="17" t="s">
        <v>55</v>
      </c>
      <c r="N40" s="17" t="s">
        <v>56</v>
      </c>
      <c r="O40" s="17" t="s">
        <v>55</v>
      </c>
      <c r="P40" s="17" t="s">
        <v>56</v>
      </c>
      <c r="Q40" s="17" t="s">
        <v>55</v>
      </c>
      <c r="R40" s="17" t="s">
        <v>56</v>
      </c>
      <c r="S40" s="17" t="s">
        <v>55</v>
      </c>
      <c r="T40" s="17" t="s">
        <v>56</v>
      </c>
      <c r="U40" s="17" t="s">
        <v>55</v>
      </c>
      <c r="V40" s="17" t="s">
        <v>56</v>
      </c>
      <c r="W40" s="17" t="s">
        <v>55</v>
      </c>
      <c r="X40" s="17" t="s">
        <v>56</v>
      </c>
      <c r="Y40" s="17" t="s">
        <v>55</v>
      </c>
      <c r="Z40" s="17" t="s">
        <v>56</v>
      </c>
      <c r="AA40" s="17" t="s">
        <v>55</v>
      </c>
      <c r="AB40" s="17" t="s">
        <v>56</v>
      </c>
      <c r="AC40" s="17" t="s">
        <v>55</v>
      </c>
      <c r="AD40" s="17" t="s">
        <v>56</v>
      </c>
      <c r="AE40" s="17" t="s">
        <v>55</v>
      </c>
      <c r="AF40" s="17" t="s">
        <v>56</v>
      </c>
      <c r="AG40" s="17" t="s">
        <v>55</v>
      </c>
      <c r="AH40" s="17" t="s">
        <v>56</v>
      </c>
      <c r="AI40" s="17" t="s">
        <v>55</v>
      </c>
      <c r="AJ40" s="17" t="s">
        <v>56</v>
      </c>
      <c r="AK40" s="17" t="s">
        <v>55</v>
      </c>
      <c r="AL40" s="17" t="s">
        <v>56</v>
      </c>
      <c r="AM40" s="17" t="s">
        <v>55</v>
      </c>
      <c r="AN40" s="17" t="s">
        <v>56</v>
      </c>
      <c r="AO40" s="17" t="s">
        <v>55</v>
      </c>
      <c r="AP40" s="17" t="s">
        <v>56</v>
      </c>
      <c r="AQ40" s="17" t="s">
        <v>55</v>
      </c>
      <c r="AR40" s="19">
        <f>12/E40</f>
        <v>0.10073875083948959</v>
      </c>
      <c r="AS40" s="19">
        <f>4/E40</f>
        <v>3.3579583613163197E-2</v>
      </c>
      <c r="AT40" s="17" t="s">
        <v>56</v>
      </c>
      <c r="AU40" s="17" t="s">
        <v>55</v>
      </c>
      <c r="AV40" s="17" t="s">
        <v>56</v>
      </c>
      <c r="AW40" s="17" t="s">
        <v>55</v>
      </c>
      <c r="AX40" s="17" t="s">
        <v>56</v>
      </c>
      <c r="AY40" s="17" t="s">
        <v>55</v>
      </c>
      <c r="AZ40" s="17" t="s">
        <v>56</v>
      </c>
      <c r="BA40" s="17" t="s">
        <v>55</v>
      </c>
      <c r="BB40" s="17" t="s">
        <v>56</v>
      </c>
      <c r="BC40" s="17" t="s">
        <v>55</v>
      </c>
      <c r="BD40" s="17" t="s">
        <v>56</v>
      </c>
      <c r="BE40" s="17" t="s">
        <v>55</v>
      </c>
      <c r="BF40" s="17" t="s">
        <v>56</v>
      </c>
      <c r="BG40" s="17" t="s">
        <v>55</v>
      </c>
      <c r="BH40" s="17" t="s">
        <v>56</v>
      </c>
      <c r="BI40" s="17" t="s">
        <v>55</v>
      </c>
      <c r="BJ40" s="17" t="s">
        <v>56</v>
      </c>
      <c r="BK40" s="17" t="s">
        <v>55</v>
      </c>
      <c r="BL40" s="17" t="s">
        <v>56</v>
      </c>
      <c r="BM40" s="17" t="s">
        <v>55</v>
      </c>
      <c r="BN40" s="17" t="s">
        <v>56</v>
      </c>
      <c r="BO40" s="17" t="s">
        <v>55</v>
      </c>
      <c r="BP40" s="17" t="s">
        <v>56</v>
      </c>
      <c r="BQ40" s="17" t="s">
        <v>55</v>
      </c>
      <c r="BR40" s="17" t="s">
        <v>56</v>
      </c>
      <c r="BS40" s="17" t="s">
        <v>55</v>
      </c>
      <c r="BT40" s="17" t="s">
        <v>56</v>
      </c>
      <c r="BU40" s="17" t="s">
        <v>55</v>
      </c>
      <c r="BV40" s="17" t="s">
        <v>56</v>
      </c>
      <c r="BW40" s="17" t="s">
        <v>55</v>
      </c>
      <c r="BX40" s="17" t="s">
        <v>56</v>
      </c>
      <c r="BY40" s="17" t="s">
        <v>55</v>
      </c>
      <c r="BZ40" s="17" t="s">
        <v>56</v>
      </c>
      <c r="CA40" s="17" t="s">
        <v>55</v>
      </c>
      <c r="CB40" s="17" t="s">
        <v>56</v>
      </c>
      <c r="CC40" s="17" t="s">
        <v>55</v>
      </c>
      <c r="CD40" s="17" t="s">
        <v>56</v>
      </c>
      <c r="CE40" s="17" t="s">
        <v>55</v>
      </c>
      <c r="CF40" s="17" t="s">
        <v>56</v>
      </c>
      <c r="CG40" s="17" t="s">
        <v>55</v>
      </c>
      <c r="CH40" s="17" t="s">
        <v>56</v>
      </c>
      <c r="CI40" s="17" t="s">
        <v>55</v>
      </c>
      <c r="CJ40" s="17" t="s">
        <v>56</v>
      </c>
      <c r="CK40" s="17" t="s">
        <v>55</v>
      </c>
      <c r="CL40" s="17" t="s">
        <v>56</v>
      </c>
      <c r="CM40" s="17" t="s">
        <v>55</v>
      </c>
      <c r="CN40" s="17" t="s">
        <v>56</v>
      </c>
      <c r="CO40" s="17" t="s">
        <v>55</v>
      </c>
      <c r="CP40" s="17" t="s">
        <v>56</v>
      </c>
      <c r="CQ40" s="17" t="s">
        <v>55</v>
      </c>
      <c r="CR40" s="17" t="s">
        <v>56</v>
      </c>
      <c r="CS40" s="17" t="s">
        <v>55</v>
      </c>
      <c r="CT40" s="17" t="s">
        <v>56</v>
      </c>
      <c r="CU40" s="17" t="s">
        <v>55</v>
      </c>
      <c r="CV40" s="17" t="s">
        <v>56</v>
      </c>
      <c r="CW40" s="17" t="s">
        <v>55</v>
      </c>
      <c r="CX40" s="17" t="s">
        <v>56</v>
      </c>
      <c r="CY40" s="17" t="s">
        <v>55</v>
      </c>
      <c r="CZ40" s="17" t="s">
        <v>56</v>
      </c>
      <c r="DA40" s="17" t="s">
        <v>55</v>
      </c>
      <c r="DB40" s="17" t="s">
        <v>56</v>
      </c>
      <c r="DC40" s="17" t="s">
        <v>55</v>
      </c>
      <c r="DD40" s="17" t="s">
        <v>56</v>
      </c>
      <c r="DE40" s="17" t="s">
        <v>55</v>
      </c>
      <c r="DF40" s="17" t="s">
        <v>56</v>
      </c>
      <c r="DG40" s="17" t="s">
        <v>55</v>
      </c>
      <c r="DH40" s="17" t="s">
        <v>56</v>
      </c>
      <c r="DI40" s="17" t="s">
        <v>55</v>
      </c>
      <c r="DJ40" s="17" t="s">
        <v>56</v>
      </c>
      <c r="DK40" s="17" t="s">
        <v>55</v>
      </c>
      <c r="DL40" s="17" t="s">
        <v>56</v>
      </c>
      <c r="DM40" s="17" t="s">
        <v>55</v>
      </c>
      <c r="DN40" s="17" t="s">
        <v>56</v>
      </c>
      <c r="DO40" s="17" t="s">
        <v>55</v>
      </c>
      <c r="DP40" s="17" t="s">
        <v>56</v>
      </c>
      <c r="DQ40" s="17" t="s">
        <v>55</v>
      </c>
      <c r="DR40" s="17" t="s">
        <v>56</v>
      </c>
      <c r="DS40" s="17" t="s">
        <v>55</v>
      </c>
      <c r="DT40" s="17" t="s">
        <v>56</v>
      </c>
      <c r="DU40" s="17" t="s">
        <v>55</v>
      </c>
      <c r="DV40" s="17" t="s">
        <v>56</v>
      </c>
      <c r="DW40" s="17" t="s">
        <v>55</v>
      </c>
      <c r="DX40" s="17" t="s">
        <v>56</v>
      </c>
      <c r="DY40" s="17" t="s">
        <v>55</v>
      </c>
      <c r="DZ40" s="17" t="s">
        <v>56</v>
      </c>
      <c r="EA40" s="17" t="s">
        <v>55</v>
      </c>
      <c r="EB40" s="17" t="s">
        <v>56</v>
      </c>
      <c r="EC40" s="17" t="s">
        <v>55</v>
      </c>
      <c r="ED40" s="17" t="s">
        <v>56</v>
      </c>
      <c r="EE40" s="17" t="s">
        <v>55</v>
      </c>
      <c r="EF40" s="17" t="s">
        <v>56</v>
      </c>
      <c r="EG40" s="17" t="s">
        <v>55</v>
      </c>
      <c r="EH40" s="17" t="s">
        <v>56</v>
      </c>
      <c r="EI40" s="17" t="s">
        <v>55</v>
      </c>
      <c r="EJ40" s="17" t="s">
        <v>56</v>
      </c>
      <c r="EK40" s="17" t="s">
        <v>55</v>
      </c>
      <c r="EL40" s="17" t="s">
        <v>56</v>
      </c>
      <c r="EM40" s="17" t="s">
        <v>55</v>
      </c>
      <c r="EN40" s="17" t="s">
        <v>56</v>
      </c>
      <c r="EO40" s="17" t="s">
        <v>55</v>
      </c>
      <c r="EP40" s="17" t="s">
        <v>56</v>
      </c>
      <c r="EQ40" s="17" t="s">
        <v>55</v>
      </c>
      <c r="ER40" s="17" t="s">
        <v>56</v>
      </c>
      <c r="ES40" s="17" t="s">
        <v>55</v>
      </c>
      <c r="ET40" s="17" t="s">
        <v>56</v>
      </c>
      <c r="EU40" s="17" t="s">
        <v>55</v>
      </c>
      <c r="EV40" s="17" t="s">
        <v>56</v>
      </c>
      <c r="EW40" s="17" t="s">
        <v>55</v>
      </c>
      <c r="EX40" s="17" t="s">
        <v>56</v>
      </c>
      <c r="EY40" s="17" t="s">
        <v>55</v>
      </c>
      <c r="EZ40" s="17" t="s">
        <v>56</v>
      </c>
      <c r="FA40" s="17" t="s">
        <v>55</v>
      </c>
      <c r="FB40" s="17" t="s">
        <v>56</v>
      </c>
      <c r="FC40" s="17" t="s">
        <v>55</v>
      </c>
      <c r="FD40" s="17" t="s">
        <v>56</v>
      </c>
      <c r="FE40" s="17" t="s">
        <v>55</v>
      </c>
      <c r="FF40" s="17" t="s">
        <v>56</v>
      </c>
      <c r="FG40" s="17" t="s">
        <v>55</v>
      </c>
      <c r="FH40" s="17" t="s">
        <v>56</v>
      </c>
      <c r="FI40" s="17" t="s">
        <v>55</v>
      </c>
      <c r="FJ40" s="17" t="s">
        <v>56</v>
      </c>
      <c r="FK40" s="17" t="s">
        <v>55</v>
      </c>
      <c r="FL40" s="17" t="s">
        <v>56</v>
      </c>
      <c r="FM40" s="17" t="s">
        <v>55</v>
      </c>
      <c r="FN40" s="17" t="s">
        <v>56</v>
      </c>
      <c r="FO40" s="17" t="s">
        <v>55</v>
      </c>
      <c r="FP40" s="17" t="s">
        <v>56</v>
      </c>
      <c r="FQ40" s="17" t="s">
        <v>55</v>
      </c>
      <c r="FR40" s="17" t="s">
        <v>56</v>
      </c>
      <c r="FS40" s="17" t="s">
        <v>55</v>
      </c>
      <c r="FT40" s="17" t="s">
        <v>56</v>
      </c>
      <c r="FU40" s="17" t="s">
        <v>55</v>
      </c>
      <c r="FV40" s="17" t="s">
        <v>56</v>
      </c>
      <c r="FW40" s="17" t="s">
        <v>55</v>
      </c>
      <c r="FX40" s="17" t="s">
        <v>56</v>
      </c>
      <c r="FY40" s="17" t="s">
        <v>55</v>
      </c>
      <c r="FZ40" s="17" t="s">
        <v>56</v>
      </c>
      <c r="GA40" s="17" t="s">
        <v>55</v>
      </c>
      <c r="GB40" s="17" t="s">
        <v>56</v>
      </c>
      <c r="GC40" s="17" t="s">
        <v>55</v>
      </c>
      <c r="GD40" s="17" t="s">
        <v>56</v>
      </c>
      <c r="GE40" s="17" t="s">
        <v>55</v>
      </c>
      <c r="GF40" s="17" t="s">
        <v>56</v>
      </c>
      <c r="GG40" s="17" t="s">
        <v>55</v>
      </c>
      <c r="GH40" s="17" t="s">
        <v>56</v>
      </c>
      <c r="GI40" s="17" t="s">
        <v>55</v>
      </c>
      <c r="GJ40" s="17" t="s">
        <v>56</v>
      </c>
      <c r="GK40" s="17" t="s">
        <v>55</v>
      </c>
      <c r="GL40" s="17" t="s">
        <v>56</v>
      </c>
      <c r="GM40" s="17" t="s">
        <v>55</v>
      </c>
      <c r="GN40" s="17" t="s">
        <v>56</v>
      </c>
      <c r="GO40" s="17" t="s">
        <v>55</v>
      </c>
      <c r="GP40" s="17" t="s">
        <v>56</v>
      </c>
      <c r="GQ40" s="17" t="s">
        <v>55</v>
      </c>
      <c r="GR40" s="17" t="s">
        <v>56</v>
      </c>
      <c r="GS40" s="17" t="s">
        <v>55</v>
      </c>
      <c r="GT40" s="17" t="s">
        <v>56</v>
      </c>
      <c r="GU40" s="17" t="s">
        <v>55</v>
      </c>
      <c r="GV40" s="17" t="s">
        <v>56</v>
      </c>
      <c r="GW40" s="17" t="s">
        <v>55</v>
      </c>
      <c r="GX40" s="17" t="s">
        <v>56</v>
      </c>
      <c r="GY40" s="17" t="s">
        <v>55</v>
      </c>
      <c r="GZ40" s="17" t="s">
        <v>56</v>
      </c>
      <c r="HA40" s="17" t="s">
        <v>55</v>
      </c>
      <c r="HB40" s="17" t="s">
        <v>56</v>
      </c>
      <c r="HC40" s="17" t="s">
        <v>55</v>
      </c>
      <c r="HD40" s="17" t="s">
        <v>56</v>
      </c>
      <c r="HE40" s="17" t="s">
        <v>55</v>
      </c>
      <c r="HF40" s="17" t="s">
        <v>56</v>
      </c>
      <c r="HG40" s="17" t="s">
        <v>55</v>
      </c>
      <c r="HH40" s="17" t="s">
        <v>56</v>
      </c>
      <c r="HI40" s="17" t="s">
        <v>55</v>
      </c>
      <c r="HJ40" s="17" t="s">
        <v>56</v>
      </c>
      <c r="HK40" s="17" t="s">
        <v>55</v>
      </c>
      <c r="HL40" s="17" t="s">
        <v>56</v>
      </c>
      <c r="HM40" s="17" t="s">
        <v>55</v>
      </c>
      <c r="HN40" s="17" t="s">
        <v>56</v>
      </c>
      <c r="HO40" s="17" t="s">
        <v>55</v>
      </c>
      <c r="HP40" s="17" t="s">
        <v>56</v>
      </c>
      <c r="HQ40" s="17" t="s">
        <v>55</v>
      </c>
      <c r="HR40" s="17" t="s">
        <v>56</v>
      </c>
      <c r="HS40" s="17" t="s">
        <v>55</v>
      </c>
      <c r="HT40" s="17" t="s">
        <v>56</v>
      </c>
      <c r="HU40" s="17" t="s">
        <v>55</v>
      </c>
      <c r="HV40" s="17" t="s">
        <v>56</v>
      </c>
      <c r="HW40" s="17" t="s">
        <v>55</v>
      </c>
      <c r="HX40" s="17" t="s">
        <v>56</v>
      </c>
      <c r="HY40" s="17" t="s">
        <v>55</v>
      </c>
      <c r="HZ40" s="17" t="s">
        <v>56</v>
      </c>
      <c r="IA40" s="17" t="s">
        <v>55</v>
      </c>
      <c r="IB40" s="17" t="s">
        <v>56</v>
      </c>
      <c r="IC40" s="17" t="s">
        <v>55</v>
      </c>
      <c r="ID40" s="17" t="s">
        <v>56</v>
      </c>
      <c r="IE40" s="17" t="s">
        <v>55</v>
      </c>
      <c r="IF40" s="17" t="s">
        <v>56</v>
      </c>
      <c r="IG40" s="17" t="s">
        <v>55</v>
      </c>
      <c r="IH40" s="17" t="s">
        <v>56</v>
      </c>
      <c r="II40" s="17" t="s">
        <v>55</v>
      </c>
      <c r="IJ40" s="17" t="s">
        <v>56</v>
      </c>
      <c r="IK40" s="17" t="s">
        <v>55</v>
      </c>
      <c r="IL40" s="17" t="s">
        <v>56</v>
      </c>
      <c r="IM40" s="17" t="s">
        <v>55</v>
      </c>
      <c r="IN40" s="17" t="s">
        <v>56</v>
      </c>
      <c r="IO40" s="17" t="s">
        <v>55</v>
      </c>
      <c r="IP40" s="17" t="s">
        <v>56</v>
      </c>
      <c r="IQ40" s="17" t="s">
        <v>55</v>
      </c>
      <c r="IR40" s="17" t="s">
        <v>56</v>
      </c>
      <c r="IS40" s="17" t="s">
        <v>55</v>
      </c>
      <c r="IT40" s="17" t="s">
        <v>56</v>
      </c>
      <c r="IU40" s="17" t="s">
        <v>55</v>
      </c>
      <c r="IV40" s="17" t="s">
        <v>56</v>
      </c>
      <c r="IW40" s="17" t="s">
        <v>55</v>
      </c>
      <c r="IX40" s="17" t="s">
        <v>56</v>
      </c>
      <c r="IY40" s="17" t="s">
        <v>55</v>
      </c>
      <c r="IZ40" s="17" t="s">
        <v>56</v>
      </c>
      <c r="JA40" s="17" t="s">
        <v>55</v>
      </c>
      <c r="JB40" s="17" t="s">
        <v>56</v>
      </c>
      <c r="JC40" s="17" t="s">
        <v>55</v>
      </c>
      <c r="JD40" s="17" t="s">
        <v>56</v>
      </c>
      <c r="JE40" s="17" t="s">
        <v>55</v>
      </c>
      <c r="JF40" s="17" t="s">
        <v>56</v>
      </c>
      <c r="JG40" s="17" t="s">
        <v>55</v>
      </c>
      <c r="JH40" s="17" t="s">
        <v>56</v>
      </c>
      <c r="JI40" s="17" t="s">
        <v>55</v>
      </c>
      <c r="JJ40" s="17" t="s">
        <v>56</v>
      </c>
      <c r="JK40" s="17" t="s">
        <v>55</v>
      </c>
      <c r="JL40" s="17" t="s">
        <v>56</v>
      </c>
      <c r="JM40" s="17" t="s">
        <v>55</v>
      </c>
      <c r="JN40" s="17" t="s">
        <v>56</v>
      </c>
      <c r="JO40" s="17" t="s">
        <v>55</v>
      </c>
      <c r="JP40" s="17" t="s">
        <v>56</v>
      </c>
      <c r="JQ40" s="17" t="s">
        <v>55</v>
      </c>
      <c r="JR40" s="17" t="s">
        <v>56</v>
      </c>
      <c r="JS40" s="17" t="s">
        <v>55</v>
      </c>
      <c r="JT40" s="17" t="s">
        <v>56</v>
      </c>
      <c r="JU40" s="17" t="s">
        <v>55</v>
      </c>
      <c r="JV40" s="17" t="s">
        <v>56</v>
      </c>
      <c r="JW40" s="17" t="s">
        <v>55</v>
      </c>
      <c r="JX40" s="17" t="s">
        <v>56</v>
      </c>
      <c r="JY40" s="17" t="s">
        <v>55</v>
      </c>
      <c r="JZ40" s="17" t="s">
        <v>56</v>
      </c>
      <c r="KA40" s="17" t="s">
        <v>55</v>
      </c>
      <c r="KB40" s="17" t="s">
        <v>56</v>
      </c>
      <c r="KC40" s="17" t="s">
        <v>55</v>
      </c>
      <c r="KD40" s="17" t="s">
        <v>56</v>
      </c>
      <c r="KE40" s="17" t="s">
        <v>55</v>
      </c>
      <c r="KF40" s="17" t="s">
        <v>56</v>
      </c>
      <c r="KG40" s="17" t="s">
        <v>55</v>
      </c>
      <c r="KH40" s="17" t="s">
        <v>56</v>
      </c>
      <c r="KI40" s="17" t="s">
        <v>55</v>
      </c>
      <c r="KJ40" s="17" t="s">
        <v>56</v>
      </c>
      <c r="KK40" s="17" t="s">
        <v>55</v>
      </c>
      <c r="KL40" s="17" t="s">
        <v>56</v>
      </c>
      <c r="KM40" s="17" t="s">
        <v>55</v>
      </c>
      <c r="KN40" s="17" t="s">
        <v>56</v>
      </c>
      <c r="KO40" s="17" t="s">
        <v>55</v>
      </c>
      <c r="KP40" s="17" t="s">
        <v>56</v>
      </c>
      <c r="KQ40" s="17" t="s">
        <v>55</v>
      </c>
      <c r="KR40" s="17" t="s">
        <v>56</v>
      </c>
      <c r="KS40" s="17" t="s">
        <v>55</v>
      </c>
      <c r="KT40" s="17" t="s">
        <v>56</v>
      </c>
      <c r="KU40" s="17" t="s">
        <v>55</v>
      </c>
      <c r="KV40" s="17" t="s">
        <v>56</v>
      </c>
      <c r="KW40" s="17" t="s">
        <v>55</v>
      </c>
      <c r="KX40" s="17" t="s">
        <v>56</v>
      </c>
      <c r="KY40" s="17" t="s">
        <v>55</v>
      </c>
      <c r="KZ40" s="17" t="s">
        <v>56</v>
      </c>
      <c r="LA40" s="17" t="s">
        <v>55</v>
      </c>
      <c r="LB40" s="10" t="s">
        <v>56</v>
      </c>
      <c r="LC40" s="10" t="s">
        <v>55</v>
      </c>
      <c r="LD40" s="10" t="s">
        <v>56</v>
      </c>
      <c r="LE40" s="10" t="s">
        <v>55</v>
      </c>
      <c r="LF40" s="10" t="s">
        <v>56</v>
      </c>
      <c r="LG40" s="10" t="s">
        <v>55</v>
      </c>
      <c r="LH40" s="10" t="s">
        <v>56</v>
      </c>
      <c r="LI40" s="10" t="s">
        <v>55</v>
      </c>
      <c r="LJ40" s="10" t="s">
        <v>56</v>
      </c>
      <c r="LK40" s="10" t="s">
        <v>162</v>
      </c>
      <c r="LL40" s="10" t="s">
        <v>56</v>
      </c>
      <c r="LM40" s="10" t="s">
        <v>162</v>
      </c>
      <c r="LN40" s="10" t="s">
        <v>56</v>
      </c>
      <c r="LO40" s="10" t="s">
        <v>162</v>
      </c>
      <c r="LP40" s="10" t="s">
        <v>56</v>
      </c>
      <c r="LQ40" s="10" t="s">
        <v>162</v>
      </c>
      <c r="LR40" s="10" t="s">
        <v>56</v>
      </c>
      <c r="LS40" s="10" t="s">
        <v>162</v>
      </c>
      <c r="LT40" s="10" t="s">
        <v>56</v>
      </c>
      <c r="LU40" s="10" t="s">
        <v>162</v>
      </c>
      <c r="LV40" s="10" t="s">
        <v>56</v>
      </c>
      <c r="LW40" s="10" t="s">
        <v>55</v>
      </c>
      <c r="LX40" s="10" t="s">
        <v>56</v>
      </c>
      <c r="LY40" s="10" t="s">
        <v>55</v>
      </c>
      <c r="LZ40" s="10" t="s">
        <v>56</v>
      </c>
      <c r="MA40" s="10" t="s">
        <v>55</v>
      </c>
      <c r="MB40" s="10" t="s">
        <v>56</v>
      </c>
      <c r="MC40" s="10" t="s">
        <v>55</v>
      </c>
      <c r="MD40" s="17" t="s">
        <v>56</v>
      </c>
      <c r="ME40" s="17" t="s">
        <v>55</v>
      </c>
      <c r="MF40" s="17" t="s">
        <v>56</v>
      </c>
      <c r="MG40" s="17" t="s">
        <v>55</v>
      </c>
      <c r="MH40" s="17" t="s">
        <v>56</v>
      </c>
      <c r="MI40" s="17" t="s">
        <v>55</v>
      </c>
      <c r="MJ40" s="17" t="s">
        <v>56</v>
      </c>
      <c r="MK40" s="17" t="s">
        <v>55</v>
      </c>
      <c r="ML40" s="17" t="s">
        <v>56</v>
      </c>
      <c r="MM40" s="17" t="s">
        <v>55</v>
      </c>
      <c r="MN40" s="17" t="s">
        <v>56</v>
      </c>
      <c r="MO40" s="17" t="s">
        <v>55</v>
      </c>
      <c r="MP40" s="17" t="s">
        <v>56</v>
      </c>
      <c r="MQ40" s="17" t="s">
        <v>55</v>
      </c>
      <c r="MR40" s="17" t="s">
        <v>56</v>
      </c>
      <c r="MS40" s="17" t="s">
        <v>55</v>
      </c>
      <c r="MT40" s="17" t="s">
        <v>56</v>
      </c>
      <c r="MU40" s="17" t="s">
        <v>55</v>
      </c>
      <c r="MV40" s="17" t="s">
        <v>56</v>
      </c>
      <c r="MW40" s="17" t="s">
        <v>55</v>
      </c>
      <c r="MX40" s="17" t="s">
        <v>56</v>
      </c>
      <c r="MY40" s="17" t="s">
        <v>55</v>
      </c>
      <c r="MZ40" s="17" t="s">
        <v>56</v>
      </c>
      <c r="NA40" s="17" t="s">
        <v>55</v>
      </c>
      <c r="NB40" s="10" t="s">
        <v>56</v>
      </c>
      <c r="NC40" s="10" t="s">
        <v>55</v>
      </c>
      <c r="ND40" s="10" t="s">
        <v>56</v>
      </c>
      <c r="NE40" s="10" t="s">
        <v>55</v>
      </c>
      <c r="NF40" s="10" t="s">
        <v>56</v>
      </c>
      <c r="NG40" s="10" t="s">
        <v>55</v>
      </c>
      <c r="NH40" s="10" t="s">
        <v>56</v>
      </c>
      <c r="NI40" s="10" t="s">
        <v>55</v>
      </c>
      <c r="NJ40" s="10" t="s">
        <v>56</v>
      </c>
      <c r="NK40" s="10" t="s">
        <v>55</v>
      </c>
      <c r="NL40" s="10" t="s">
        <v>56</v>
      </c>
      <c r="NM40" s="4" t="s">
        <v>55</v>
      </c>
      <c r="NN40" s="10" t="s">
        <v>56</v>
      </c>
      <c r="NO40" s="4" t="s">
        <v>55</v>
      </c>
      <c r="NP40" s="10" t="s">
        <v>56</v>
      </c>
      <c r="NQ40" s="4" t="s">
        <v>55</v>
      </c>
      <c r="NR40" s="10" t="s">
        <v>57</v>
      </c>
      <c r="NS40" s="10" t="s">
        <v>55</v>
      </c>
      <c r="NT40" s="10" t="s">
        <v>57</v>
      </c>
      <c r="NU40" s="10" t="s">
        <v>55</v>
      </c>
    </row>
    <row r="41" spans="1:385" x14ac:dyDescent="0.2">
      <c r="A41" t="s">
        <v>893</v>
      </c>
      <c r="B41" s="1" t="s">
        <v>1037</v>
      </c>
      <c r="C41" s="1" t="s">
        <v>843</v>
      </c>
      <c r="D41" s="39" cm="1">
        <f t="array" ref="D41">SUMPRODUCT((ISNUMBER(F41:NU41))*(MOD(COLUMN(F41:NU41),2)=0))</f>
        <v>2</v>
      </c>
      <c r="E41" s="1">
        <v>119.12</v>
      </c>
      <c r="F41" s="17" t="s">
        <v>56</v>
      </c>
      <c r="G41" s="17" t="s">
        <v>55</v>
      </c>
      <c r="H41" s="17" t="s">
        <v>56</v>
      </c>
      <c r="I41" s="17" t="s">
        <v>55</v>
      </c>
      <c r="J41" s="17" t="s">
        <v>56</v>
      </c>
      <c r="K41" s="17" t="s">
        <v>55</v>
      </c>
      <c r="L41" s="17" t="s">
        <v>56</v>
      </c>
      <c r="M41" s="17" t="s">
        <v>55</v>
      </c>
      <c r="N41" s="17" t="s">
        <v>56</v>
      </c>
      <c r="O41" s="17" t="s">
        <v>55</v>
      </c>
      <c r="P41" s="17" t="s">
        <v>56</v>
      </c>
      <c r="Q41" s="17" t="s">
        <v>55</v>
      </c>
      <c r="R41" s="17" t="s">
        <v>56</v>
      </c>
      <c r="S41" s="17" t="s">
        <v>55</v>
      </c>
      <c r="T41" s="17" t="s">
        <v>56</v>
      </c>
      <c r="U41" s="17" t="s">
        <v>55</v>
      </c>
      <c r="V41" s="17" t="s">
        <v>56</v>
      </c>
      <c r="W41" s="17" t="s">
        <v>55</v>
      </c>
      <c r="X41" s="17" t="s">
        <v>56</v>
      </c>
      <c r="Y41" s="17" t="s">
        <v>55</v>
      </c>
      <c r="Z41" s="17" t="s">
        <v>56</v>
      </c>
      <c r="AA41" s="17" t="s">
        <v>55</v>
      </c>
      <c r="AB41" s="17" t="s">
        <v>56</v>
      </c>
      <c r="AC41" s="17" t="s">
        <v>55</v>
      </c>
      <c r="AD41" s="17" t="s">
        <v>56</v>
      </c>
      <c r="AE41" s="17" t="s">
        <v>55</v>
      </c>
      <c r="AF41" s="17" t="s">
        <v>56</v>
      </c>
      <c r="AG41" s="17" t="s">
        <v>55</v>
      </c>
      <c r="AH41" s="17" t="s">
        <v>56</v>
      </c>
      <c r="AI41" s="17" t="s">
        <v>55</v>
      </c>
      <c r="AJ41" s="17" t="s">
        <v>56</v>
      </c>
      <c r="AK41" s="17" t="s">
        <v>55</v>
      </c>
      <c r="AL41" s="17" t="s">
        <v>56</v>
      </c>
      <c r="AM41" s="17" t="s">
        <v>55</v>
      </c>
      <c r="AN41" s="17" t="s">
        <v>56</v>
      </c>
      <c r="AO41" s="17" t="s">
        <v>55</v>
      </c>
      <c r="AP41" s="17" t="s">
        <v>56</v>
      </c>
      <c r="AQ41" s="17" t="s">
        <v>55</v>
      </c>
      <c r="AR41" s="19">
        <f>79/E41</f>
        <v>0.66319677635997309</v>
      </c>
      <c r="AS41" s="19">
        <f>6/E41</f>
        <v>5.0369375419744795E-2</v>
      </c>
      <c r="AT41" s="17" t="s">
        <v>56</v>
      </c>
      <c r="AU41" s="17" t="s">
        <v>55</v>
      </c>
      <c r="AV41" s="17" t="s">
        <v>56</v>
      </c>
      <c r="AW41" s="17" t="s">
        <v>55</v>
      </c>
      <c r="AX41" s="17" t="s">
        <v>56</v>
      </c>
      <c r="AY41" s="17" t="s">
        <v>55</v>
      </c>
      <c r="AZ41" s="17" t="s">
        <v>56</v>
      </c>
      <c r="BA41" s="17" t="s">
        <v>55</v>
      </c>
      <c r="BB41" s="17" t="s">
        <v>56</v>
      </c>
      <c r="BC41" s="17" t="s">
        <v>55</v>
      </c>
      <c r="BD41" s="17" t="s">
        <v>56</v>
      </c>
      <c r="BE41" s="17" t="s">
        <v>55</v>
      </c>
      <c r="BF41" s="17" t="s">
        <v>56</v>
      </c>
      <c r="BG41" s="17" t="s">
        <v>55</v>
      </c>
      <c r="BH41" s="17" t="s">
        <v>56</v>
      </c>
      <c r="BI41" s="17" t="s">
        <v>55</v>
      </c>
      <c r="BJ41" s="17" t="s">
        <v>56</v>
      </c>
      <c r="BK41" s="17" t="s">
        <v>55</v>
      </c>
      <c r="BL41" s="17" t="s">
        <v>56</v>
      </c>
      <c r="BM41" s="17" t="s">
        <v>55</v>
      </c>
      <c r="BN41" s="17" t="s">
        <v>56</v>
      </c>
      <c r="BO41" s="17" t="s">
        <v>55</v>
      </c>
      <c r="BP41" s="17" t="s">
        <v>56</v>
      </c>
      <c r="BQ41" s="17" t="s">
        <v>55</v>
      </c>
      <c r="BR41" s="17" t="s">
        <v>56</v>
      </c>
      <c r="BS41" s="17" t="s">
        <v>55</v>
      </c>
      <c r="BT41" s="17" t="s">
        <v>56</v>
      </c>
      <c r="BU41" s="17" t="s">
        <v>55</v>
      </c>
      <c r="BV41" s="17" t="s">
        <v>56</v>
      </c>
      <c r="BW41" s="17" t="s">
        <v>55</v>
      </c>
      <c r="BX41" s="17" t="s">
        <v>56</v>
      </c>
      <c r="BY41" s="17" t="s">
        <v>55</v>
      </c>
      <c r="BZ41" s="17" t="s">
        <v>56</v>
      </c>
      <c r="CA41" s="17" t="s">
        <v>55</v>
      </c>
      <c r="CB41" s="17" t="s">
        <v>56</v>
      </c>
      <c r="CC41" s="17" t="s">
        <v>55</v>
      </c>
      <c r="CD41" s="17" t="s">
        <v>56</v>
      </c>
      <c r="CE41" s="17" t="s">
        <v>55</v>
      </c>
      <c r="CF41" s="17" t="s">
        <v>56</v>
      </c>
      <c r="CG41" s="17" t="s">
        <v>55</v>
      </c>
      <c r="CH41" s="17" t="s">
        <v>56</v>
      </c>
      <c r="CI41" s="17" t="s">
        <v>55</v>
      </c>
      <c r="CJ41" s="17" t="s">
        <v>56</v>
      </c>
      <c r="CK41" s="17" t="s">
        <v>55</v>
      </c>
      <c r="CL41" s="17" t="s">
        <v>56</v>
      </c>
      <c r="CM41" s="17" t="s">
        <v>55</v>
      </c>
      <c r="CN41" s="17" t="s">
        <v>56</v>
      </c>
      <c r="CO41" s="17" t="s">
        <v>55</v>
      </c>
      <c r="CP41" s="17" t="s">
        <v>56</v>
      </c>
      <c r="CQ41" s="17" t="s">
        <v>55</v>
      </c>
      <c r="CR41" s="17" t="s">
        <v>56</v>
      </c>
      <c r="CS41" s="17" t="s">
        <v>55</v>
      </c>
      <c r="CT41" s="17" t="s">
        <v>56</v>
      </c>
      <c r="CU41" s="17" t="s">
        <v>55</v>
      </c>
      <c r="CV41" s="17" t="s">
        <v>56</v>
      </c>
      <c r="CW41" s="17" t="s">
        <v>55</v>
      </c>
      <c r="CX41" s="17" t="s">
        <v>56</v>
      </c>
      <c r="CY41" s="17" t="s">
        <v>55</v>
      </c>
      <c r="CZ41" s="17" t="s">
        <v>56</v>
      </c>
      <c r="DA41" s="17" t="s">
        <v>55</v>
      </c>
      <c r="DB41" s="17" t="s">
        <v>56</v>
      </c>
      <c r="DC41" s="17" t="s">
        <v>55</v>
      </c>
      <c r="DD41" s="17" t="s">
        <v>56</v>
      </c>
      <c r="DE41" s="17" t="s">
        <v>55</v>
      </c>
      <c r="DF41" s="17" t="s">
        <v>56</v>
      </c>
      <c r="DG41" s="17" t="s">
        <v>55</v>
      </c>
      <c r="DH41" s="17" t="s">
        <v>56</v>
      </c>
      <c r="DI41" s="17" t="s">
        <v>55</v>
      </c>
      <c r="DJ41" s="17" t="s">
        <v>56</v>
      </c>
      <c r="DK41" s="17" t="s">
        <v>55</v>
      </c>
      <c r="DL41" s="17" t="s">
        <v>56</v>
      </c>
      <c r="DM41" s="17" t="s">
        <v>55</v>
      </c>
      <c r="DN41" s="17" t="s">
        <v>56</v>
      </c>
      <c r="DO41" s="17" t="s">
        <v>55</v>
      </c>
      <c r="DP41" s="17" t="s">
        <v>56</v>
      </c>
      <c r="DQ41" s="17" t="s">
        <v>55</v>
      </c>
      <c r="DR41" s="17" t="s">
        <v>56</v>
      </c>
      <c r="DS41" s="17" t="s">
        <v>55</v>
      </c>
      <c r="DT41" s="17" t="s">
        <v>56</v>
      </c>
      <c r="DU41" s="17" t="s">
        <v>55</v>
      </c>
      <c r="DV41" s="17" t="s">
        <v>56</v>
      </c>
      <c r="DW41" s="17" t="s">
        <v>55</v>
      </c>
      <c r="DX41" s="17" t="s">
        <v>56</v>
      </c>
      <c r="DY41" s="17" t="s">
        <v>55</v>
      </c>
      <c r="DZ41" s="17" t="s">
        <v>56</v>
      </c>
      <c r="EA41" s="17" t="s">
        <v>55</v>
      </c>
      <c r="EB41" s="17" t="s">
        <v>56</v>
      </c>
      <c r="EC41" s="17" t="s">
        <v>55</v>
      </c>
      <c r="ED41" s="17" t="s">
        <v>56</v>
      </c>
      <c r="EE41" s="17" t="s">
        <v>55</v>
      </c>
      <c r="EF41" s="17" t="s">
        <v>56</v>
      </c>
      <c r="EG41" s="17" t="s">
        <v>55</v>
      </c>
      <c r="EH41" s="17" t="s">
        <v>56</v>
      </c>
      <c r="EI41" s="17" t="s">
        <v>55</v>
      </c>
      <c r="EJ41" s="17" t="s">
        <v>56</v>
      </c>
      <c r="EK41" s="17" t="s">
        <v>55</v>
      </c>
      <c r="EL41" s="17" t="s">
        <v>56</v>
      </c>
      <c r="EM41" s="17" t="s">
        <v>55</v>
      </c>
      <c r="EN41" s="17" t="s">
        <v>56</v>
      </c>
      <c r="EO41" s="17" t="s">
        <v>55</v>
      </c>
      <c r="EP41" s="17" t="s">
        <v>56</v>
      </c>
      <c r="EQ41" s="17" t="s">
        <v>55</v>
      </c>
      <c r="ER41" s="17" t="s">
        <v>56</v>
      </c>
      <c r="ES41" s="17" t="s">
        <v>55</v>
      </c>
      <c r="ET41" s="17" t="s">
        <v>56</v>
      </c>
      <c r="EU41" s="17" t="s">
        <v>55</v>
      </c>
      <c r="EV41" s="17" t="s">
        <v>56</v>
      </c>
      <c r="EW41" s="17" t="s">
        <v>55</v>
      </c>
      <c r="EX41" s="17" t="s">
        <v>56</v>
      </c>
      <c r="EY41" s="17" t="s">
        <v>55</v>
      </c>
      <c r="EZ41" s="17" t="s">
        <v>56</v>
      </c>
      <c r="FA41" s="17" t="s">
        <v>55</v>
      </c>
      <c r="FB41" s="17" t="s">
        <v>56</v>
      </c>
      <c r="FC41" s="17" t="s">
        <v>55</v>
      </c>
      <c r="FD41" s="17" t="s">
        <v>56</v>
      </c>
      <c r="FE41" s="17" t="s">
        <v>55</v>
      </c>
      <c r="FF41" s="17" t="s">
        <v>56</v>
      </c>
      <c r="FG41" s="17" t="s">
        <v>55</v>
      </c>
      <c r="FH41" s="17" t="s">
        <v>56</v>
      </c>
      <c r="FI41" s="17" t="s">
        <v>55</v>
      </c>
      <c r="FJ41" s="17" t="s">
        <v>56</v>
      </c>
      <c r="FK41" s="17" t="s">
        <v>55</v>
      </c>
      <c r="FL41" s="17" t="s">
        <v>56</v>
      </c>
      <c r="FM41" s="17" t="s">
        <v>55</v>
      </c>
      <c r="FN41" s="17" t="s">
        <v>56</v>
      </c>
      <c r="FO41" s="17" t="s">
        <v>55</v>
      </c>
      <c r="FP41" s="17" t="s">
        <v>56</v>
      </c>
      <c r="FQ41" s="17" t="s">
        <v>55</v>
      </c>
      <c r="FR41" s="17" t="s">
        <v>56</v>
      </c>
      <c r="FS41" s="17" t="s">
        <v>55</v>
      </c>
      <c r="FT41" s="17" t="s">
        <v>56</v>
      </c>
      <c r="FU41" s="17" t="s">
        <v>55</v>
      </c>
      <c r="FV41" s="17" t="s">
        <v>56</v>
      </c>
      <c r="FW41" s="17" t="s">
        <v>55</v>
      </c>
      <c r="FX41" s="17" t="s">
        <v>56</v>
      </c>
      <c r="FY41" s="17" t="s">
        <v>55</v>
      </c>
      <c r="FZ41" s="17" t="s">
        <v>56</v>
      </c>
      <c r="GA41" s="17" t="s">
        <v>55</v>
      </c>
      <c r="GB41" s="17" t="s">
        <v>56</v>
      </c>
      <c r="GC41" s="17" t="s">
        <v>55</v>
      </c>
      <c r="GD41" s="17" t="s">
        <v>56</v>
      </c>
      <c r="GE41" s="17" t="s">
        <v>55</v>
      </c>
      <c r="GF41" s="17" t="s">
        <v>56</v>
      </c>
      <c r="GG41" s="17" t="s">
        <v>55</v>
      </c>
      <c r="GH41" s="17" t="s">
        <v>56</v>
      </c>
      <c r="GI41" s="17" t="s">
        <v>55</v>
      </c>
      <c r="GJ41" s="17" t="s">
        <v>56</v>
      </c>
      <c r="GK41" s="17" t="s">
        <v>55</v>
      </c>
      <c r="GL41" s="17" t="s">
        <v>56</v>
      </c>
      <c r="GM41" s="17" t="s">
        <v>55</v>
      </c>
      <c r="GN41" s="17" t="s">
        <v>56</v>
      </c>
      <c r="GO41" s="17" t="s">
        <v>55</v>
      </c>
      <c r="GP41" s="17" t="s">
        <v>56</v>
      </c>
      <c r="GQ41" s="17" t="s">
        <v>55</v>
      </c>
      <c r="GR41" s="17" t="s">
        <v>56</v>
      </c>
      <c r="GS41" s="17" t="s">
        <v>55</v>
      </c>
      <c r="GT41" s="17" t="s">
        <v>56</v>
      </c>
      <c r="GU41" s="17" t="s">
        <v>55</v>
      </c>
      <c r="GV41" s="17" t="s">
        <v>56</v>
      </c>
      <c r="GW41" s="17" t="s">
        <v>55</v>
      </c>
      <c r="GX41" s="17" t="s">
        <v>56</v>
      </c>
      <c r="GY41" s="17" t="s">
        <v>55</v>
      </c>
      <c r="GZ41" s="17" t="s">
        <v>56</v>
      </c>
      <c r="HA41" s="17" t="s">
        <v>55</v>
      </c>
      <c r="HB41" s="17" t="s">
        <v>56</v>
      </c>
      <c r="HC41" s="17" t="s">
        <v>55</v>
      </c>
      <c r="HD41" s="17" t="s">
        <v>56</v>
      </c>
      <c r="HE41" s="17" t="s">
        <v>55</v>
      </c>
      <c r="HF41" s="17" t="s">
        <v>56</v>
      </c>
      <c r="HG41" s="17" t="s">
        <v>55</v>
      </c>
      <c r="HH41" s="17" t="s">
        <v>56</v>
      </c>
      <c r="HI41" s="17" t="s">
        <v>55</v>
      </c>
      <c r="HJ41" s="17" t="s">
        <v>56</v>
      </c>
      <c r="HK41" s="17" t="s">
        <v>55</v>
      </c>
      <c r="HL41" s="17" t="s">
        <v>56</v>
      </c>
      <c r="HM41" s="17" t="s">
        <v>55</v>
      </c>
      <c r="HN41" s="17" t="s">
        <v>56</v>
      </c>
      <c r="HO41" s="17" t="s">
        <v>55</v>
      </c>
      <c r="HP41" s="17" t="s">
        <v>56</v>
      </c>
      <c r="HQ41" s="17" t="s">
        <v>55</v>
      </c>
      <c r="HR41" s="17" t="s">
        <v>56</v>
      </c>
      <c r="HS41" s="17" t="s">
        <v>55</v>
      </c>
      <c r="HT41" s="17" t="s">
        <v>56</v>
      </c>
      <c r="HU41" s="17" t="s">
        <v>55</v>
      </c>
      <c r="HV41" s="17" t="s">
        <v>56</v>
      </c>
      <c r="HW41" s="17" t="s">
        <v>55</v>
      </c>
      <c r="HX41" s="17" t="s">
        <v>56</v>
      </c>
      <c r="HY41" s="17" t="s">
        <v>55</v>
      </c>
      <c r="HZ41" s="17" t="s">
        <v>56</v>
      </c>
      <c r="IA41" s="17" t="s">
        <v>55</v>
      </c>
      <c r="IB41" s="17" t="s">
        <v>56</v>
      </c>
      <c r="IC41" s="17" t="s">
        <v>55</v>
      </c>
      <c r="ID41" s="17" t="s">
        <v>56</v>
      </c>
      <c r="IE41" s="17" t="s">
        <v>55</v>
      </c>
      <c r="IF41" s="17" t="s">
        <v>56</v>
      </c>
      <c r="IG41" s="17" t="s">
        <v>55</v>
      </c>
      <c r="IH41" s="17" t="s">
        <v>56</v>
      </c>
      <c r="II41" s="17" t="s">
        <v>55</v>
      </c>
      <c r="IJ41" s="17" t="s">
        <v>56</v>
      </c>
      <c r="IK41" s="17" t="s">
        <v>55</v>
      </c>
      <c r="IL41" s="17" t="s">
        <v>56</v>
      </c>
      <c r="IM41" s="17" t="s">
        <v>55</v>
      </c>
      <c r="IN41" s="17" t="s">
        <v>56</v>
      </c>
      <c r="IO41" s="17" t="s">
        <v>55</v>
      </c>
      <c r="IP41" s="17" t="s">
        <v>56</v>
      </c>
      <c r="IQ41" s="17" t="s">
        <v>55</v>
      </c>
      <c r="IR41" s="17" t="s">
        <v>56</v>
      </c>
      <c r="IS41" s="17" t="s">
        <v>55</v>
      </c>
      <c r="IT41" s="17" t="s">
        <v>56</v>
      </c>
      <c r="IU41" s="17" t="s">
        <v>55</v>
      </c>
      <c r="IV41" s="17" t="s">
        <v>56</v>
      </c>
      <c r="IW41" s="17" t="s">
        <v>55</v>
      </c>
      <c r="IX41" s="17" t="s">
        <v>56</v>
      </c>
      <c r="IY41" s="17" t="s">
        <v>55</v>
      </c>
      <c r="IZ41" s="17" t="s">
        <v>56</v>
      </c>
      <c r="JA41" s="17" t="s">
        <v>55</v>
      </c>
      <c r="JB41" s="17" t="s">
        <v>56</v>
      </c>
      <c r="JC41" s="17" t="s">
        <v>55</v>
      </c>
      <c r="JD41" s="17" t="s">
        <v>56</v>
      </c>
      <c r="JE41" s="17" t="s">
        <v>55</v>
      </c>
      <c r="JF41" s="17" t="s">
        <v>56</v>
      </c>
      <c r="JG41" s="17" t="s">
        <v>55</v>
      </c>
      <c r="JH41" s="17" t="s">
        <v>56</v>
      </c>
      <c r="JI41" s="17" t="s">
        <v>55</v>
      </c>
      <c r="JJ41" s="17" t="s">
        <v>56</v>
      </c>
      <c r="JK41" s="17" t="s">
        <v>55</v>
      </c>
      <c r="JL41" s="17" t="s">
        <v>56</v>
      </c>
      <c r="JM41" s="17" t="s">
        <v>55</v>
      </c>
      <c r="JN41" s="17" t="s">
        <v>56</v>
      </c>
      <c r="JO41" s="17" t="s">
        <v>55</v>
      </c>
      <c r="JP41" s="17" t="s">
        <v>56</v>
      </c>
      <c r="JQ41" s="17" t="s">
        <v>55</v>
      </c>
      <c r="JR41" s="17" t="s">
        <v>56</v>
      </c>
      <c r="JS41" s="17" t="s">
        <v>55</v>
      </c>
      <c r="JT41" s="17" t="s">
        <v>56</v>
      </c>
      <c r="JU41" s="17" t="s">
        <v>55</v>
      </c>
      <c r="JV41" s="17" t="s">
        <v>56</v>
      </c>
      <c r="JW41" s="17" t="s">
        <v>55</v>
      </c>
      <c r="JX41" s="17" t="s">
        <v>56</v>
      </c>
      <c r="JY41" s="17" t="s">
        <v>55</v>
      </c>
      <c r="JZ41" s="17" t="s">
        <v>56</v>
      </c>
      <c r="KA41" s="17" t="s">
        <v>55</v>
      </c>
      <c r="KB41" s="17" t="s">
        <v>56</v>
      </c>
      <c r="KC41" s="17" t="s">
        <v>55</v>
      </c>
      <c r="KD41" s="17" t="s">
        <v>56</v>
      </c>
      <c r="KE41" s="17" t="s">
        <v>55</v>
      </c>
      <c r="KF41" s="17" t="s">
        <v>56</v>
      </c>
      <c r="KG41" s="17" t="s">
        <v>55</v>
      </c>
      <c r="KH41" s="17" t="s">
        <v>56</v>
      </c>
      <c r="KI41" s="17" t="s">
        <v>55</v>
      </c>
      <c r="KJ41" s="17" t="s">
        <v>56</v>
      </c>
      <c r="KK41" s="17" t="s">
        <v>55</v>
      </c>
      <c r="KL41" s="17" t="s">
        <v>56</v>
      </c>
      <c r="KM41" s="17" t="s">
        <v>55</v>
      </c>
      <c r="KN41" s="17" t="s">
        <v>56</v>
      </c>
      <c r="KO41" s="17" t="s">
        <v>55</v>
      </c>
      <c r="KP41" s="17" t="s">
        <v>56</v>
      </c>
      <c r="KQ41" s="17" t="s">
        <v>55</v>
      </c>
      <c r="KR41" s="17" t="s">
        <v>56</v>
      </c>
      <c r="KS41" s="17" t="s">
        <v>55</v>
      </c>
      <c r="KT41" s="17" t="s">
        <v>56</v>
      </c>
      <c r="KU41" s="17" t="s">
        <v>55</v>
      </c>
      <c r="KV41" s="17" t="s">
        <v>56</v>
      </c>
      <c r="KW41" s="17" t="s">
        <v>55</v>
      </c>
      <c r="KX41" s="17" t="s">
        <v>56</v>
      </c>
      <c r="KY41" s="17" t="s">
        <v>55</v>
      </c>
      <c r="KZ41" s="17" t="s">
        <v>56</v>
      </c>
      <c r="LA41" s="17" t="s">
        <v>55</v>
      </c>
      <c r="LB41" s="10" t="s">
        <v>56</v>
      </c>
      <c r="LC41" s="10" t="s">
        <v>55</v>
      </c>
      <c r="LD41" s="10" t="s">
        <v>56</v>
      </c>
      <c r="LE41" s="10" t="s">
        <v>55</v>
      </c>
      <c r="LF41" s="10" t="s">
        <v>56</v>
      </c>
      <c r="LG41" s="10" t="s">
        <v>55</v>
      </c>
      <c r="LH41" s="10" t="s">
        <v>56</v>
      </c>
      <c r="LI41" s="10" t="s">
        <v>55</v>
      </c>
      <c r="LJ41" s="10" t="s">
        <v>56</v>
      </c>
      <c r="LK41" s="10" t="s">
        <v>162</v>
      </c>
      <c r="LL41" s="10" t="s">
        <v>56</v>
      </c>
      <c r="LM41" s="10" t="s">
        <v>162</v>
      </c>
      <c r="LN41" s="10" t="s">
        <v>56</v>
      </c>
      <c r="LO41" s="10" t="s">
        <v>162</v>
      </c>
      <c r="LP41" s="10" t="s">
        <v>56</v>
      </c>
      <c r="LQ41" s="10" t="s">
        <v>162</v>
      </c>
      <c r="LR41" s="10" t="s">
        <v>56</v>
      </c>
      <c r="LS41" s="10" t="s">
        <v>162</v>
      </c>
      <c r="LT41" s="10" t="s">
        <v>56</v>
      </c>
      <c r="LU41" s="10" t="s">
        <v>162</v>
      </c>
      <c r="LV41" s="10" t="s">
        <v>56</v>
      </c>
      <c r="LW41" s="10" t="s">
        <v>55</v>
      </c>
      <c r="LX41" s="10" t="s">
        <v>56</v>
      </c>
      <c r="LY41" s="10" t="s">
        <v>55</v>
      </c>
      <c r="LZ41" s="10" t="s">
        <v>56</v>
      </c>
      <c r="MA41" s="10" t="s">
        <v>55</v>
      </c>
      <c r="MB41" s="10" t="s">
        <v>56</v>
      </c>
      <c r="MC41" s="10" t="s">
        <v>55</v>
      </c>
      <c r="MD41" s="17" t="s">
        <v>56</v>
      </c>
      <c r="ME41" s="17" t="s">
        <v>55</v>
      </c>
      <c r="MF41" s="17" t="s">
        <v>56</v>
      </c>
      <c r="MG41" s="17" t="s">
        <v>55</v>
      </c>
      <c r="MH41" s="17" t="s">
        <v>56</v>
      </c>
      <c r="MI41" s="17" t="s">
        <v>55</v>
      </c>
      <c r="MJ41" s="17" t="s">
        <v>56</v>
      </c>
      <c r="MK41" s="17" t="s">
        <v>55</v>
      </c>
      <c r="ML41" s="17" t="s">
        <v>56</v>
      </c>
      <c r="MM41" s="17" t="s">
        <v>55</v>
      </c>
      <c r="MN41" s="17" t="s">
        <v>56</v>
      </c>
      <c r="MO41" s="17" t="s">
        <v>55</v>
      </c>
      <c r="MP41" s="17" t="s">
        <v>56</v>
      </c>
      <c r="MQ41" s="17" t="s">
        <v>55</v>
      </c>
      <c r="MR41" s="17" t="s">
        <v>56</v>
      </c>
      <c r="MS41" s="17" t="s">
        <v>55</v>
      </c>
      <c r="MT41" s="17" t="s">
        <v>56</v>
      </c>
      <c r="MU41" s="17" t="s">
        <v>55</v>
      </c>
      <c r="MV41" s="17" t="s">
        <v>56</v>
      </c>
      <c r="MW41" s="17" t="s">
        <v>55</v>
      </c>
      <c r="MX41" s="17" t="s">
        <v>56</v>
      </c>
      <c r="MY41" s="17" t="s">
        <v>55</v>
      </c>
      <c r="MZ41" s="17" t="s">
        <v>56</v>
      </c>
      <c r="NA41" s="17" t="s">
        <v>55</v>
      </c>
      <c r="NB41" s="10" t="s">
        <v>56</v>
      </c>
      <c r="NC41" s="10" t="s">
        <v>55</v>
      </c>
      <c r="ND41" s="10" t="s">
        <v>56</v>
      </c>
      <c r="NE41" s="10" t="s">
        <v>55</v>
      </c>
      <c r="NF41" s="10" t="s">
        <v>56</v>
      </c>
      <c r="NG41" s="10" t="s">
        <v>55</v>
      </c>
      <c r="NH41" s="10" t="s">
        <v>56</v>
      </c>
      <c r="NI41" s="10" t="s">
        <v>55</v>
      </c>
      <c r="NJ41" s="10" t="s">
        <v>56</v>
      </c>
      <c r="NK41" s="10" t="s">
        <v>55</v>
      </c>
      <c r="NL41" s="10" t="s">
        <v>56</v>
      </c>
      <c r="NM41" s="4" t="s">
        <v>55</v>
      </c>
      <c r="NN41" s="10" t="s">
        <v>56</v>
      </c>
      <c r="NO41" s="4" t="s">
        <v>55</v>
      </c>
      <c r="NP41" s="10" t="s">
        <v>56</v>
      </c>
      <c r="NQ41" s="4" t="s">
        <v>55</v>
      </c>
      <c r="NR41" s="10" t="s">
        <v>57</v>
      </c>
      <c r="NS41" s="10" t="s">
        <v>55</v>
      </c>
      <c r="NT41" s="10">
        <f>(74*1000)/E41</f>
        <v>621.22229684351908</v>
      </c>
      <c r="NU41" s="10">
        <f>(13*1000)/E41</f>
        <v>109.13364674278039</v>
      </c>
    </row>
    <row r="42" spans="1:385" x14ac:dyDescent="0.2">
      <c r="A42" t="s">
        <v>621</v>
      </c>
      <c r="B42" s="1" t="s">
        <v>1037</v>
      </c>
      <c r="C42" s="1" t="s">
        <v>858</v>
      </c>
      <c r="D42" s="39" cm="1">
        <f t="array" ref="D42">SUMPRODUCT((ISNUMBER(F42:NU42))*(MOD(COLUMN(F42:NU42),2)=0))</f>
        <v>2</v>
      </c>
      <c r="E42" s="1">
        <v>119.12</v>
      </c>
      <c r="F42" s="17" t="s">
        <v>56</v>
      </c>
      <c r="G42" s="17" t="s">
        <v>55</v>
      </c>
      <c r="H42" s="17" t="s">
        <v>56</v>
      </c>
      <c r="I42" s="17" t="s">
        <v>55</v>
      </c>
      <c r="J42" s="17" t="s">
        <v>56</v>
      </c>
      <c r="K42" s="17" t="s">
        <v>55</v>
      </c>
      <c r="L42" s="17" t="s">
        <v>56</v>
      </c>
      <c r="M42" s="17" t="s">
        <v>55</v>
      </c>
      <c r="N42" s="17" t="s">
        <v>56</v>
      </c>
      <c r="O42" s="17" t="s">
        <v>55</v>
      </c>
      <c r="P42" s="17" t="s">
        <v>56</v>
      </c>
      <c r="Q42" s="17" t="s">
        <v>55</v>
      </c>
      <c r="R42" s="17" t="s">
        <v>56</v>
      </c>
      <c r="S42" s="17" t="s">
        <v>55</v>
      </c>
      <c r="T42" s="17" t="s">
        <v>56</v>
      </c>
      <c r="U42" s="17" t="s">
        <v>55</v>
      </c>
      <c r="V42" s="17" t="s">
        <v>56</v>
      </c>
      <c r="W42" s="17" t="s">
        <v>55</v>
      </c>
      <c r="X42" s="17" t="s">
        <v>56</v>
      </c>
      <c r="Y42" s="17" t="s">
        <v>55</v>
      </c>
      <c r="Z42" s="17" t="s">
        <v>56</v>
      </c>
      <c r="AA42" s="17" t="s">
        <v>55</v>
      </c>
      <c r="AB42" s="17" t="s">
        <v>56</v>
      </c>
      <c r="AC42" s="17" t="s">
        <v>55</v>
      </c>
      <c r="AD42" s="17" t="s">
        <v>56</v>
      </c>
      <c r="AE42" s="17" t="s">
        <v>55</v>
      </c>
      <c r="AF42" s="17" t="s">
        <v>56</v>
      </c>
      <c r="AG42" s="17" t="s">
        <v>55</v>
      </c>
      <c r="AH42" s="17" t="s">
        <v>56</v>
      </c>
      <c r="AI42" s="17" t="s">
        <v>55</v>
      </c>
      <c r="AJ42" s="17" t="s">
        <v>56</v>
      </c>
      <c r="AK42" s="17" t="s">
        <v>55</v>
      </c>
      <c r="AL42" s="17" t="s">
        <v>56</v>
      </c>
      <c r="AM42" s="17" t="s">
        <v>55</v>
      </c>
      <c r="AN42" s="17" t="s">
        <v>56</v>
      </c>
      <c r="AO42" s="17" t="s">
        <v>55</v>
      </c>
      <c r="AP42" s="17" t="s">
        <v>56</v>
      </c>
      <c r="AQ42" s="17" t="s">
        <v>55</v>
      </c>
      <c r="AR42" s="19">
        <f>7.9/E42</f>
        <v>6.6319677635997318E-2</v>
      </c>
      <c r="AS42" s="19">
        <f>1/E42</f>
        <v>8.3948959032907992E-3</v>
      </c>
      <c r="AT42" s="17" t="s">
        <v>56</v>
      </c>
      <c r="AU42" s="17" t="s">
        <v>55</v>
      </c>
      <c r="AV42" s="17" t="s">
        <v>56</v>
      </c>
      <c r="AW42" s="17" t="s">
        <v>55</v>
      </c>
      <c r="AX42" s="17" t="s">
        <v>56</v>
      </c>
      <c r="AY42" s="17" t="s">
        <v>55</v>
      </c>
      <c r="AZ42" s="17" t="s">
        <v>56</v>
      </c>
      <c r="BA42" s="17" t="s">
        <v>55</v>
      </c>
      <c r="BB42" s="17" t="s">
        <v>56</v>
      </c>
      <c r="BC42" s="17" t="s">
        <v>55</v>
      </c>
      <c r="BD42" s="17" t="s">
        <v>56</v>
      </c>
      <c r="BE42" s="17" t="s">
        <v>55</v>
      </c>
      <c r="BF42" s="17" t="s">
        <v>56</v>
      </c>
      <c r="BG42" s="17" t="s">
        <v>55</v>
      </c>
      <c r="BH42" s="17" t="s">
        <v>56</v>
      </c>
      <c r="BI42" s="17" t="s">
        <v>55</v>
      </c>
      <c r="BJ42" s="17" t="s">
        <v>56</v>
      </c>
      <c r="BK42" s="17" t="s">
        <v>55</v>
      </c>
      <c r="BL42" s="17" t="s">
        <v>56</v>
      </c>
      <c r="BM42" s="17" t="s">
        <v>55</v>
      </c>
      <c r="BN42" s="17" t="s">
        <v>56</v>
      </c>
      <c r="BO42" s="17" t="s">
        <v>55</v>
      </c>
      <c r="BP42" s="17" t="s">
        <v>56</v>
      </c>
      <c r="BQ42" s="17" t="s">
        <v>55</v>
      </c>
      <c r="BR42" s="17" t="s">
        <v>56</v>
      </c>
      <c r="BS42" s="17" t="s">
        <v>55</v>
      </c>
      <c r="BT42" s="17" t="s">
        <v>56</v>
      </c>
      <c r="BU42" s="17" t="s">
        <v>55</v>
      </c>
      <c r="BV42" s="17" t="s">
        <v>56</v>
      </c>
      <c r="BW42" s="17" t="s">
        <v>55</v>
      </c>
      <c r="BX42" s="17" t="s">
        <v>56</v>
      </c>
      <c r="BY42" s="17" t="s">
        <v>55</v>
      </c>
      <c r="BZ42" s="17" t="s">
        <v>56</v>
      </c>
      <c r="CA42" s="17" t="s">
        <v>55</v>
      </c>
      <c r="CB42" s="17" t="s">
        <v>56</v>
      </c>
      <c r="CC42" s="17" t="s">
        <v>55</v>
      </c>
      <c r="CD42" s="17" t="s">
        <v>56</v>
      </c>
      <c r="CE42" s="17" t="s">
        <v>55</v>
      </c>
      <c r="CF42" s="17" t="s">
        <v>56</v>
      </c>
      <c r="CG42" s="17" t="s">
        <v>55</v>
      </c>
      <c r="CH42" s="17" t="s">
        <v>56</v>
      </c>
      <c r="CI42" s="17" t="s">
        <v>55</v>
      </c>
      <c r="CJ42" s="17" t="s">
        <v>56</v>
      </c>
      <c r="CK42" s="17" t="s">
        <v>55</v>
      </c>
      <c r="CL42" s="17" t="s">
        <v>56</v>
      </c>
      <c r="CM42" s="17" t="s">
        <v>55</v>
      </c>
      <c r="CN42" s="17" t="s">
        <v>56</v>
      </c>
      <c r="CO42" s="17" t="s">
        <v>55</v>
      </c>
      <c r="CP42" s="17" t="s">
        <v>56</v>
      </c>
      <c r="CQ42" s="17" t="s">
        <v>55</v>
      </c>
      <c r="CR42" s="17" t="s">
        <v>56</v>
      </c>
      <c r="CS42" s="17" t="s">
        <v>55</v>
      </c>
      <c r="CT42" s="17" t="s">
        <v>56</v>
      </c>
      <c r="CU42" s="17" t="s">
        <v>55</v>
      </c>
      <c r="CV42" s="17" t="s">
        <v>56</v>
      </c>
      <c r="CW42" s="17" t="s">
        <v>55</v>
      </c>
      <c r="CX42" s="17" t="s">
        <v>56</v>
      </c>
      <c r="CY42" s="17" t="s">
        <v>55</v>
      </c>
      <c r="CZ42" s="17" t="s">
        <v>56</v>
      </c>
      <c r="DA42" s="17" t="s">
        <v>55</v>
      </c>
      <c r="DB42" s="17" t="s">
        <v>56</v>
      </c>
      <c r="DC42" s="17" t="s">
        <v>55</v>
      </c>
      <c r="DD42" s="17" t="s">
        <v>56</v>
      </c>
      <c r="DE42" s="17" t="s">
        <v>55</v>
      </c>
      <c r="DF42" s="17" t="s">
        <v>56</v>
      </c>
      <c r="DG42" s="17" t="s">
        <v>55</v>
      </c>
      <c r="DH42" s="17" t="s">
        <v>56</v>
      </c>
      <c r="DI42" s="17" t="s">
        <v>55</v>
      </c>
      <c r="DJ42" s="17" t="s">
        <v>56</v>
      </c>
      <c r="DK42" s="17" t="s">
        <v>55</v>
      </c>
      <c r="DL42" s="17" t="s">
        <v>56</v>
      </c>
      <c r="DM42" s="17" t="s">
        <v>55</v>
      </c>
      <c r="DN42" s="17" t="s">
        <v>56</v>
      </c>
      <c r="DO42" s="17" t="s">
        <v>55</v>
      </c>
      <c r="DP42" s="17" t="s">
        <v>56</v>
      </c>
      <c r="DQ42" s="17" t="s">
        <v>55</v>
      </c>
      <c r="DR42" s="17" t="s">
        <v>56</v>
      </c>
      <c r="DS42" s="17" t="s">
        <v>55</v>
      </c>
      <c r="DT42" s="17" t="s">
        <v>56</v>
      </c>
      <c r="DU42" s="17" t="s">
        <v>55</v>
      </c>
      <c r="DV42" s="17" t="s">
        <v>56</v>
      </c>
      <c r="DW42" s="17" t="s">
        <v>55</v>
      </c>
      <c r="DX42" s="17" t="s">
        <v>56</v>
      </c>
      <c r="DY42" s="17" t="s">
        <v>55</v>
      </c>
      <c r="DZ42" s="17" t="s">
        <v>56</v>
      </c>
      <c r="EA42" s="17" t="s">
        <v>55</v>
      </c>
      <c r="EB42" s="17" t="s">
        <v>56</v>
      </c>
      <c r="EC42" s="17" t="s">
        <v>55</v>
      </c>
      <c r="ED42" s="17" t="s">
        <v>56</v>
      </c>
      <c r="EE42" s="17" t="s">
        <v>55</v>
      </c>
      <c r="EF42" s="17" t="s">
        <v>56</v>
      </c>
      <c r="EG42" s="17" t="s">
        <v>55</v>
      </c>
      <c r="EH42" s="17" t="s">
        <v>56</v>
      </c>
      <c r="EI42" s="17" t="s">
        <v>55</v>
      </c>
      <c r="EJ42" s="17" t="s">
        <v>56</v>
      </c>
      <c r="EK42" s="17" t="s">
        <v>55</v>
      </c>
      <c r="EL42" s="17" t="s">
        <v>56</v>
      </c>
      <c r="EM42" s="17" t="s">
        <v>55</v>
      </c>
      <c r="EN42" s="17" t="s">
        <v>56</v>
      </c>
      <c r="EO42" s="17" t="s">
        <v>55</v>
      </c>
      <c r="EP42" s="17" t="s">
        <v>56</v>
      </c>
      <c r="EQ42" s="17" t="s">
        <v>55</v>
      </c>
      <c r="ER42" s="17" t="s">
        <v>56</v>
      </c>
      <c r="ES42" s="17" t="s">
        <v>55</v>
      </c>
      <c r="ET42" s="17" t="s">
        <v>56</v>
      </c>
      <c r="EU42" s="17" t="s">
        <v>55</v>
      </c>
      <c r="EV42" s="17" t="s">
        <v>56</v>
      </c>
      <c r="EW42" s="17" t="s">
        <v>55</v>
      </c>
      <c r="EX42" s="17" t="s">
        <v>56</v>
      </c>
      <c r="EY42" s="17" t="s">
        <v>55</v>
      </c>
      <c r="EZ42" s="17" t="s">
        <v>56</v>
      </c>
      <c r="FA42" s="17" t="s">
        <v>55</v>
      </c>
      <c r="FB42" s="17" t="s">
        <v>56</v>
      </c>
      <c r="FC42" s="17" t="s">
        <v>55</v>
      </c>
      <c r="FD42" s="17" t="s">
        <v>56</v>
      </c>
      <c r="FE42" s="17" t="s">
        <v>55</v>
      </c>
      <c r="FF42" s="17" t="s">
        <v>56</v>
      </c>
      <c r="FG42" s="17" t="s">
        <v>55</v>
      </c>
      <c r="FH42" s="17" t="s">
        <v>56</v>
      </c>
      <c r="FI42" s="17" t="s">
        <v>55</v>
      </c>
      <c r="FJ42" s="17" t="s">
        <v>56</v>
      </c>
      <c r="FK42" s="17" t="s">
        <v>55</v>
      </c>
      <c r="FL42" s="17" t="s">
        <v>56</v>
      </c>
      <c r="FM42" s="17" t="s">
        <v>55</v>
      </c>
      <c r="FN42" s="17" t="s">
        <v>56</v>
      </c>
      <c r="FO42" s="17" t="s">
        <v>55</v>
      </c>
      <c r="FP42" s="17" t="s">
        <v>56</v>
      </c>
      <c r="FQ42" s="17" t="s">
        <v>55</v>
      </c>
      <c r="FR42" s="17" t="s">
        <v>56</v>
      </c>
      <c r="FS42" s="17" t="s">
        <v>55</v>
      </c>
      <c r="FT42" s="17" t="s">
        <v>56</v>
      </c>
      <c r="FU42" s="17" t="s">
        <v>55</v>
      </c>
      <c r="FV42" s="17" t="s">
        <v>56</v>
      </c>
      <c r="FW42" s="17" t="s">
        <v>55</v>
      </c>
      <c r="FX42" s="17" t="s">
        <v>56</v>
      </c>
      <c r="FY42" s="17" t="s">
        <v>55</v>
      </c>
      <c r="FZ42" s="17" t="s">
        <v>56</v>
      </c>
      <c r="GA42" s="17" t="s">
        <v>55</v>
      </c>
      <c r="GB42" s="17" t="s">
        <v>56</v>
      </c>
      <c r="GC42" s="17" t="s">
        <v>55</v>
      </c>
      <c r="GD42" s="17" t="s">
        <v>56</v>
      </c>
      <c r="GE42" s="17" t="s">
        <v>55</v>
      </c>
      <c r="GF42" s="17" t="s">
        <v>56</v>
      </c>
      <c r="GG42" s="17" t="s">
        <v>55</v>
      </c>
      <c r="GH42" s="17" t="s">
        <v>56</v>
      </c>
      <c r="GI42" s="17" t="s">
        <v>55</v>
      </c>
      <c r="GJ42" s="17" t="s">
        <v>56</v>
      </c>
      <c r="GK42" s="17" t="s">
        <v>55</v>
      </c>
      <c r="GL42" s="17" t="s">
        <v>56</v>
      </c>
      <c r="GM42" s="17" t="s">
        <v>55</v>
      </c>
      <c r="GN42" s="17" t="s">
        <v>56</v>
      </c>
      <c r="GO42" s="17" t="s">
        <v>55</v>
      </c>
      <c r="GP42" s="17" t="s">
        <v>56</v>
      </c>
      <c r="GQ42" s="17" t="s">
        <v>55</v>
      </c>
      <c r="GR42" s="17" t="s">
        <v>56</v>
      </c>
      <c r="GS42" s="17" t="s">
        <v>55</v>
      </c>
      <c r="GT42" s="17" t="s">
        <v>56</v>
      </c>
      <c r="GU42" s="17" t="s">
        <v>55</v>
      </c>
      <c r="GV42" s="17" t="s">
        <v>56</v>
      </c>
      <c r="GW42" s="17" t="s">
        <v>55</v>
      </c>
      <c r="GX42" s="17" t="s">
        <v>56</v>
      </c>
      <c r="GY42" s="17" t="s">
        <v>55</v>
      </c>
      <c r="GZ42" s="17" t="s">
        <v>56</v>
      </c>
      <c r="HA42" s="17" t="s">
        <v>55</v>
      </c>
      <c r="HB42" s="17" t="s">
        <v>56</v>
      </c>
      <c r="HC42" s="17" t="s">
        <v>55</v>
      </c>
      <c r="HD42" s="17" t="s">
        <v>56</v>
      </c>
      <c r="HE42" s="17" t="s">
        <v>55</v>
      </c>
      <c r="HF42" s="17" t="s">
        <v>56</v>
      </c>
      <c r="HG42" s="17" t="s">
        <v>55</v>
      </c>
      <c r="HH42" s="17" t="s">
        <v>56</v>
      </c>
      <c r="HI42" s="17" t="s">
        <v>55</v>
      </c>
      <c r="HJ42" s="17" t="s">
        <v>56</v>
      </c>
      <c r="HK42" s="17" t="s">
        <v>55</v>
      </c>
      <c r="HL42" s="17" t="s">
        <v>56</v>
      </c>
      <c r="HM42" s="17" t="s">
        <v>55</v>
      </c>
      <c r="HN42" s="17" t="s">
        <v>56</v>
      </c>
      <c r="HO42" s="17" t="s">
        <v>55</v>
      </c>
      <c r="HP42" s="17" t="s">
        <v>56</v>
      </c>
      <c r="HQ42" s="17" t="s">
        <v>55</v>
      </c>
      <c r="HR42" s="17" t="s">
        <v>56</v>
      </c>
      <c r="HS42" s="17" t="s">
        <v>55</v>
      </c>
      <c r="HT42" s="17" t="s">
        <v>56</v>
      </c>
      <c r="HU42" s="17" t="s">
        <v>55</v>
      </c>
      <c r="HV42" s="17" t="s">
        <v>56</v>
      </c>
      <c r="HW42" s="17" t="s">
        <v>55</v>
      </c>
      <c r="HX42" s="17" t="s">
        <v>56</v>
      </c>
      <c r="HY42" s="17" t="s">
        <v>55</v>
      </c>
      <c r="HZ42" s="17" t="s">
        <v>56</v>
      </c>
      <c r="IA42" s="17" t="s">
        <v>55</v>
      </c>
      <c r="IB42" s="17" t="s">
        <v>56</v>
      </c>
      <c r="IC42" s="17" t="s">
        <v>55</v>
      </c>
      <c r="ID42" s="17" t="s">
        <v>56</v>
      </c>
      <c r="IE42" s="17" t="s">
        <v>55</v>
      </c>
      <c r="IF42" s="17" t="s">
        <v>56</v>
      </c>
      <c r="IG42" s="17" t="s">
        <v>55</v>
      </c>
      <c r="IH42" s="17" t="s">
        <v>56</v>
      </c>
      <c r="II42" s="17" t="s">
        <v>55</v>
      </c>
      <c r="IJ42" s="17" t="s">
        <v>56</v>
      </c>
      <c r="IK42" s="17" t="s">
        <v>55</v>
      </c>
      <c r="IL42" s="17" t="s">
        <v>56</v>
      </c>
      <c r="IM42" s="17" t="s">
        <v>55</v>
      </c>
      <c r="IN42" s="17" t="s">
        <v>56</v>
      </c>
      <c r="IO42" s="17" t="s">
        <v>55</v>
      </c>
      <c r="IP42" s="17" t="s">
        <v>56</v>
      </c>
      <c r="IQ42" s="17" t="s">
        <v>55</v>
      </c>
      <c r="IR42" s="17" t="s">
        <v>56</v>
      </c>
      <c r="IS42" s="17" t="s">
        <v>55</v>
      </c>
      <c r="IT42" s="17" t="s">
        <v>56</v>
      </c>
      <c r="IU42" s="17" t="s">
        <v>55</v>
      </c>
      <c r="IV42" s="17" t="s">
        <v>56</v>
      </c>
      <c r="IW42" s="17" t="s">
        <v>55</v>
      </c>
      <c r="IX42" s="17" t="s">
        <v>56</v>
      </c>
      <c r="IY42" s="17" t="s">
        <v>55</v>
      </c>
      <c r="IZ42" s="17" t="s">
        <v>56</v>
      </c>
      <c r="JA42" s="17" t="s">
        <v>55</v>
      </c>
      <c r="JB42" s="17" t="s">
        <v>56</v>
      </c>
      <c r="JC42" s="17" t="s">
        <v>55</v>
      </c>
      <c r="JD42" s="17" t="s">
        <v>56</v>
      </c>
      <c r="JE42" s="17" t="s">
        <v>55</v>
      </c>
      <c r="JF42" s="17" t="s">
        <v>56</v>
      </c>
      <c r="JG42" s="17" t="s">
        <v>55</v>
      </c>
      <c r="JH42" s="17" t="s">
        <v>56</v>
      </c>
      <c r="JI42" s="17" t="s">
        <v>55</v>
      </c>
      <c r="JJ42" s="17" t="s">
        <v>56</v>
      </c>
      <c r="JK42" s="17" t="s">
        <v>55</v>
      </c>
      <c r="JL42" s="17" t="s">
        <v>56</v>
      </c>
      <c r="JM42" s="17" t="s">
        <v>55</v>
      </c>
      <c r="JN42" s="17" t="s">
        <v>56</v>
      </c>
      <c r="JO42" s="17" t="s">
        <v>55</v>
      </c>
      <c r="JP42" s="17" t="s">
        <v>56</v>
      </c>
      <c r="JQ42" s="17" t="s">
        <v>55</v>
      </c>
      <c r="JR42" s="17" t="s">
        <v>56</v>
      </c>
      <c r="JS42" s="17" t="s">
        <v>55</v>
      </c>
      <c r="JT42" s="17" t="s">
        <v>56</v>
      </c>
      <c r="JU42" s="17" t="s">
        <v>55</v>
      </c>
      <c r="JV42" s="17" t="s">
        <v>56</v>
      </c>
      <c r="JW42" s="17" t="s">
        <v>55</v>
      </c>
      <c r="JX42" s="17" t="s">
        <v>56</v>
      </c>
      <c r="JY42" s="17" t="s">
        <v>55</v>
      </c>
      <c r="JZ42" s="17" t="s">
        <v>56</v>
      </c>
      <c r="KA42" s="17" t="s">
        <v>55</v>
      </c>
      <c r="KB42" s="17" t="s">
        <v>56</v>
      </c>
      <c r="KC42" s="17" t="s">
        <v>55</v>
      </c>
      <c r="KD42" s="17" t="s">
        <v>56</v>
      </c>
      <c r="KE42" s="17" t="s">
        <v>55</v>
      </c>
      <c r="KF42" s="17" t="s">
        <v>56</v>
      </c>
      <c r="KG42" s="17" t="s">
        <v>55</v>
      </c>
      <c r="KH42" s="17" t="s">
        <v>56</v>
      </c>
      <c r="KI42" s="17" t="s">
        <v>55</v>
      </c>
      <c r="KJ42" s="17" t="s">
        <v>56</v>
      </c>
      <c r="KK42" s="17" t="s">
        <v>55</v>
      </c>
      <c r="KL42" s="17" t="s">
        <v>56</v>
      </c>
      <c r="KM42" s="17" t="s">
        <v>55</v>
      </c>
      <c r="KN42" s="17" t="s">
        <v>56</v>
      </c>
      <c r="KO42" s="17" t="s">
        <v>55</v>
      </c>
      <c r="KP42" s="17" t="s">
        <v>56</v>
      </c>
      <c r="KQ42" s="17" t="s">
        <v>55</v>
      </c>
      <c r="KR42" s="17" t="s">
        <v>56</v>
      </c>
      <c r="KS42" s="17" t="s">
        <v>55</v>
      </c>
      <c r="KT42" s="17" t="s">
        <v>56</v>
      </c>
      <c r="KU42" s="17" t="s">
        <v>55</v>
      </c>
      <c r="KV42" s="17" t="s">
        <v>56</v>
      </c>
      <c r="KW42" s="17" t="s">
        <v>55</v>
      </c>
      <c r="KX42" s="17" t="s">
        <v>56</v>
      </c>
      <c r="KY42" s="17" t="s">
        <v>55</v>
      </c>
      <c r="KZ42" s="17" t="s">
        <v>56</v>
      </c>
      <c r="LA42" s="17" t="s">
        <v>55</v>
      </c>
      <c r="LB42" s="10" t="s">
        <v>56</v>
      </c>
      <c r="LC42" s="10" t="s">
        <v>55</v>
      </c>
      <c r="LD42" s="10" t="s">
        <v>56</v>
      </c>
      <c r="LE42" s="10" t="s">
        <v>55</v>
      </c>
      <c r="LF42" s="10" t="s">
        <v>56</v>
      </c>
      <c r="LG42" s="10" t="s">
        <v>55</v>
      </c>
      <c r="LH42" s="10" t="s">
        <v>56</v>
      </c>
      <c r="LI42" s="10" t="s">
        <v>55</v>
      </c>
      <c r="LJ42" s="10" t="s">
        <v>56</v>
      </c>
      <c r="LK42" s="10" t="s">
        <v>162</v>
      </c>
      <c r="LL42" s="10" t="s">
        <v>56</v>
      </c>
      <c r="LM42" s="10" t="s">
        <v>162</v>
      </c>
      <c r="LN42" s="10" t="s">
        <v>56</v>
      </c>
      <c r="LO42" s="10" t="s">
        <v>162</v>
      </c>
      <c r="LP42" s="10" t="s">
        <v>56</v>
      </c>
      <c r="LQ42" s="10" t="s">
        <v>162</v>
      </c>
      <c r="LR42" s="10" t="s">
        <v>56</v>
      </c>
      <c r="LS42" s="10" t="s">
        <v>162</v>
      </c>
      <c r="LT42" s="10" t="s">
        <v>56</v>
      </c>
      <c r="LU42" s="10" t="s">
        <v>162</v>
      </c>
      <c r="LV42" s="10" t="s">
        <v>56</v>
      </c>
      <c r="LW42" s="10" t="s">
        <v>55</v>
      </c>
      <c r="LX42" s="10" t="s">
        <v>56</v>
      </c>
      <c r="LY42" s="10" t="s">
        <v>55</v>
      </c>
      <c r="LZ42" s="10" t="s">
        <v>56</v>
      </c>
      <c r="MA42" s="10" t="s">
        <v>55</v>
      </c>
      <c r="MB42" s="10" t="s">
        <v>56</v>
      </c>
      <c r="MC42" s="10" t="s">
        <v>55</v>
      </c>
      <c r="MD42" s="17" t="s">
        <v>56</v>
      </c>
      <c r="ME42" s="17" t="s">
        <v>55</v>
      </c>
      <c r="MF42" s="17" t="s">
        <v>56</v>
      </c>
      <c r="MG42" s="17" t="s">
        <v>55</v>
      </c>
      <c r="MH42" s="17" t="s">
        <v>56</v>
      </c>
      <c r="MI42" s="17" t="s">
        <v>55</v>
      </c>
      <c r="MJ42" s="17" t="s">
        <v>56</v>
      </c>
      <c r="MK42" s="17" t="s">
        <v>55</v>
      </c>
      <c r="ML42" s="17" t="s">
        <v>56</v>
      </c>
      <c r="MM42" s="17" t="s">
        <v>55</v>
      </c>
      <c r="MN42" s="17" t="s">
        <v>56</v>
      </c>
      <c r="MO42" s="17" t="s">
        <v>55</v>
      </c>
      <c r="MP42" s="17" t="s">
        <v>56</v>
      </c>
      <c r="MQ42" s="17" t="s">
        <v>55</v>
      </c>
      <c r="MR42" s="17" t="s">
        <v>56</v>
      </c>
      <c r="MS42" s="17" t="s">
        <v>55</v>
      </c>
      <c r="MT42" s="17" t="s">
        <v>56</v>
      </c>
      <c r="MU42" s="17" t="s">
        <v>55</v>
      </c>
      <c r="MV42" s="17" t="s">
        <v>56</v>
      </c>
      <c r="MW42" s="17" t="s">
        <v>55</v>
      </c>
      <c r="MX42" s="17" t="s">
        <v>56</v>
      </c>
      <c r="MY42" s="17" t="s">
        <v>55</v>
      </c>
      <c r="MZ42" s="17" t="s">
        <v>56</v>
      </c>
      <c r="NA42" s="17" t="s">
        <v>55</v>
      </c>
      <c r="NB42" s="10" t="s">
        <v>56</v>
      </c>
      <c r="NC42" s="10" t="s">
        <v>55</v>
      </c>
      <c r="ND42" s="10" t="s">
        <v>56</v>
      </c>
      <c r="NE42" s="10" t="s">
        <v>55</v>
      </c>
      <c r="NF42" s="10" t="s">
        <v>56</v>
      </c>
      <c r="NG42" s="10" t="s">
        <v>55</v>
      </c>
      <c r="NH42" s="10" t="s">
        <v>56</v>
      </c>
      <c r="NI42" s="10" t="s">
        <v>55</v>
      </c>
      <c r="NJ42" s="10" t="s">
        <v>56</v>
      </c>
      <c r="NK42" s="10" t="s">
        <v>55</v>
      </c>
      <c r="NL42" s="10" t="s">
        <v>56</v>
      </c>
      <c r="NM42" s="4" t="s">
        <v>55</v>
      </c>
      <c r="NN42" s="10" t="s">
        <v>56</v>
      </c>
      <c r="NO42" s="4" t="s">
        <v>55</v>
      </c>
      <c r="NP42" s="10" t="s">
        <v>56</v>
      </c>
      <c r="NQ42" s="4" t="s">
        <v>55</v>
      </c>
      <c r="NR42" s="10" t="s">
        <v>57</v>
      </c>
      <c r="NS42" s="10" t="s">
        <v>55</v>
      </c>
      <c r="NT42" s="10">
        <f>(9*1000)/E42</f>
        <v>75.554063129617191</v>
      </c>
      <c r="NU42" s="10">
        <f>(1.6*1000)/E42</f>
        <v>13.431833445265278</v>
      </c>
    </row>
    <row r="43" spans="1:385" x14ac:dyDescent="0.2">
      <c r="A43" t="s">
        <v>622</v>
      </c>
      <c r="B43" s="1" t="s">
        <v>1037</v>
      </c>
      <c r="C43" s="1" t="s">
        <v>859</v>
      </c>
      <c r="D43" s="39" cm="1">
        <f t="array" ref="D43">SUMPRODUCT((ISNUMBER(F43:NU43))*(MOD(COLUMN(F43:NU43),2)=0))</f>
        <v>2</v>
      </c>
      <c r="E43" s="1">
        <v>119.12</v>
      </c>
      <c r="F43" s="17" t="s">
        <v>56</v>
      </c>
      <c r="G43" s="17" t="s">
        <v>55</v>
      </c>
      <c r="H43" s="17" t="s">
        <v>56</v>
      </c>
      <c r="I43" s="17" t="s">
        <v>55</v>
      </c>
      <c r="J43" s="17" t="s">
        <v>56</v>
      </c>
      <c r="K43" s="17" t="s">
        <v>55</v>
      </c>
      <c r="L43" s="17" t="s">
        <v>56</v>
      </c>
      <c r="M43" s="17" t="s">
        <v>55</v>
      </c>
      <c r="N43" s="17" t="s">
        <v>56</v>
      </c>
      <c r="O43" s="17" t="s">
        <v>55</v>
      </c>
      <c r="P43" s="17" t="s">
        <v>56</v>
      </c>
      <c r="Q43" s="17" t="s">
        <v>55</v>
      </c>
      <c r="R43" s="17" t="s">
        <v>56</v>
      </c>
      <c r="S43" s="17" t="s">
        <v>55</v>
      </c>
      <c r="T43" s="17" t="s">
        <v>56</v>
      </c>
      <c r="U43" s="17" t="s">
        <v>55</v>
      </c>
      <c r="V43" s="17" t="s">
        <v>56</v>
      </c>
      <c r="W43" s="17" t="s">
        <v>55</v>
      </c>
      <c r="X43" s="17" t="s">
        <v>56</v>
      </c>
      <c r="Y43" s="17" t="s">
        <v>55</v>
      </c>
      <c r="Z43" s="17" t="s">
        <v>56</v>
      </c>
      <c r="AA43" s="17" t="s">
        <v>55</v>
      </c>
      <c r="AB43" s="17" t="s">
        <v>56</v>
      </c>
      <c r="AC43" s="17" t="s">
        <v>55</v>
      </c>
      <c r="AD43" s="17" t="s">
        <v>56</v>
      </c>
      <c r="AE43" s="17" t="s">
        <v>55</v>
      </c>
      <c r="AF43" s="17" t="s">
        <v>56</v>
      </c>
      <c r="AG43" s="17" t="s">
        <v>55</v>
      </c>
      <c r="AH43" s="17" t="s">
        <v>56</v>
      </c>
      <c r="AI43" s="17" t="s">
        <v>55</v>
      </c>
      <c r="AJ43" s="17" t="s">
        <v>56</v>
      </c>
      <c r="AK43" s="17" t="s">
        <v>55</v>
      </c>
      <c r="AL43" s="17" t="s">
        <v>56</v>
      </c>
      <c r="AM43" s="17" t="s">
        <v>55</v>
      </c>
      <c r="AN43" s="17" t="s">
        <v>56</v>
      </c>
      <c r="AO43" s="17" t="s">
        <v>55</v>
      </c>
      <c r="AP43" s="17" t="s">
        <v>56</v>
      </c>
      <c r="AQ43" s="17" t="s">
        <v>55</v>
      </c>
      <c r="AR43" s="19">
        <f>13/E43</f>
        <v>0.10913364674278038</v>
      </c>
      <c r="AS43" s="19">
        <f>3/E43</f>
        <v>2.5184687709872398E-2</v>
      </c>
      <c r="AT43" s="17" t="s">
        <v>56</v>
      </c>
      <c r="AU43" s="17" t="s">
        <v>55</v>
      </c>
      <c r="AV43" s="17" t="s">
        <v>56</v>
      </c>
      <c r="AW43" s="17" t="s">
        <v>55</v>
      </c>
      <c r="AX43" s="17" t="s">
        <v>56</v>
      </c>
      <c r="AY43" s="17" t="s">
        <v>55</v>
      </c>
      <c r="AZ43" s="17" t="s">
        <v>56</v>
      </c>
      <c r="BA43" s="17" t="s">
        <v>55</v>
      </c>
      <c r="BB43" s="17" t="s">
        <v>56</v>
      </c>
      <c r="BC43" s="17" t="s">
        <v>55</v>
      </c>
      <c r="BD43" s="17" t="s">
        <v>56</v>
      </c>
      <c r="BE43" s="17" t="s">
        <v>55</v>
      </c>
      <c r="BF43" s="17" t="s">
        <v>56</v>
      </c>
      <c r="BG43" s="17" t="s">
        <v>55</v>
      </c>
      <c r="BH43" s="17" t="s">
        <v>56</v>
      </c>
      <c r="BI43" s="17" t="s">
        <v>55</v>
      </c>
      <c r="BJ43" s="17" t="s">
        <v>56</v>
      </c>
      <c r="BK43" s="17" t="s">
        <v>55</v>
      </c>
      <c r="BL43" s="17" t="s">
        <v>56</v>
      </c>
      <c r="BM43" s="17" t="s">
        <v>55</v>
      </c>
      <c r="BN43" s="17" t="s">
        <v>56</v>
      </c>
      <c r="BO43" s="17" t="s">
        <v>55</v>
      </c>
      <c r="BP43" s="17" t="s">
        <v>56</v>
      </c>
      <c r="BQ43" s="17" t="s">
        <v>55</v>
      </c>
      <c r="BR43" s="17" t="s">
        <v>56</v>
      </c>
      <c r="BS43" s="17" t="s">
        <v>55</v>
      </c>
      <c r="BT43" s="17" t="s">
        <v>56</v>
      </c>
      <c r="BU43" s="17" t="s">
        <v>55</v>
      </c>
      <c r="BV43" s="17" t="s">
        <v>56</v>
      </c>
      <c r="BW43" s="17" t="s">
        <v>55</v>
      </c>
      <c r="BX43" s="17" t="s">
        <v>56</v>
      </c>
      <c r="BY43" s="17" t="s">
        <v>55</v>
      </c>
      <c r="BZ43" s="17" t="s">
        <v>56</v>
      </c>
      <c r="CA43" s="17" t="s">
        <v>55</v>
      </c>
      <c r="CB43" s="17" t="s">
        <v>56</v>
      </c>
      <c r="CC43" s="17" t="s">
        <v>55</v>
      </c>
      <c r="CD43" s="17" t="s">
        <v>56</v>
      </c>
      <c r="CE43" s="17" t="s">
        <v>55</v>
      </c>
      <c r="CF43" s="17" t="s">
        <v>56</v>
      </c>
      <c r="CG43" s="17" t="s">
        <v>55</v>
      </c>
      <c r="CH43" s="17" t="s">
        <v>56</v>
      </c>
      <c r="CI43" s="17" t="s">
        <v>55</v>
      </c>
      <c r="CJ43" s="17" t="s">
        <v>56</v>
      </c>
      <c r="CK43" s="17" t="s">
        <v>55</v>
      </c>
      <c r="CL43" s="17" t="s">
        <v>56</v>
      </c>
      <c r="CM43" s="17" t="s">
        <v>55</v>
      </c>
      <c r="CN43" s="17" t="s">
        <v>56</v>
      </c>
      <c r="CO43" s="17" t="s">
        <v>55</v>
      </c>
      <c r="CP43" s="17" t="s">
        <v>56</v>
      </c>
      <c r="CQ43" s="17" t="s">
        <v>55</v>
      </c>
      <c r="CR43" s="17" t="s">
        <v>56</v>
      </c>
      <c r="CS43" s="17" t="s">
        <v>55</v>
      </c>
      <c r="CT43" s="17" t="s">
        <v>56</v>
      </c>
      <c r="CU43" s="17" t="s">
        <v>55</v>
      </c>
      <c r="CV43" s="17" t="s">
        <v>56</v>
      </c>
      <c r="CW43" s="17" t="s">
        <v>55</v>
      </c>
      <c r="CX43" s="17" t="s">
        <v>56</v>
      </c>
      <c r="CY43" s="17" t="s">
        <v>55</v>
      </c>
      <c r="CZ43" s="17" t="s">
        <v>56</v>
      </c>
      <c r="DA43" s="17" t="s">
        <v>55</v>
      </c>
      <c r="DB43" s="17" t="s">
        <v>56</v>
      </c>
      <c r="DC43" s="17" t="s">
        <v>55</v>
      </c>
      <c r="DD43" s="17" t="s">
        <v>56</v>
      </c>
      <c r="DE43" s="17" t="s">
        <v>55</v>
      </c>
      <c r="DF43" s="17" t="s">
        <v>56</v>
      </c>
      <c r="DG43" s="17" t="s">
        <v>55</v>
      </c>
      <c r="DH43" s="17" t="s">
        <v>56</v>
      </c>
      <c r="DI43" s="17" t="s">
        <v>55</v>
      </c>
      <c r="DJ43" s="17" t="s">
        <v>56</v>
      </c>
      <c r="DK43" s="17" t="s">
        <v>55</v>
      </c>
      <c r="DL43" s="17" t="s">
        <v>56</v>
      </c>
      <c r="DM43" s="17" t="s">
        <v>55</v>
      </c>
      <c r="DN43" s="17" t="s">
        <v>56</v>
      </c>
      <c r="DO43" s="17" t="s">
        <v>55</v>
      </c>
      <c r="DP43" s="17" t="s">
        <v>56</v>
      </c>
      <c r="DQ43" s="17" t="s">
        <v>55</v>
      </c>
      <c r="DR43" s="17" t="s">
        <v>56</v>
      </c>
      <c r="DS43" s="17" t="s">
        <v>55</v>
      </c>
      <c r="DT43" s="17" t="s">
        <v>56</v>
      </c>
      <c r="DU43" s="17" t="s">
        <v>55</v>
      </c>
      <c r="DV43" s="17" t="s">
        <v>56</v>
      </c>
      <c r="DW43" s="17" t="s">
        <v>55</v>
      </c>
      <c r="DX43" s="17" t="s">
        <v>56</v>
      </c>
      <c r="DY43" s="17" t="s">
        <v>55</v>
      </c>
      <c r="DZ43" s="17" t="s">
        <v>56</v>
      </c>
      <c r="EA43" s="17" t="s">
        <v>55</v>
      </c>
      <c r="EB43" s="17" t="s">
        <v>56</v>
      </c>
      <c r="EC43" s="17" t="s">
        <v>55</v>
      </c>
      <c r="ED43" s="17" t="s">
        <v>56</v>
      </c>
      <c r="EE43" s="17" t="s">
        <v>55</v>
      </c>
      <c r="EF43" s="17" t="s">
        <v>56</v>
      </c>
      <c r="EG43" s="17" t="s">
        <v>55</v>
      </c>
      <c r="EH43" s="17" t="s">
        <v>56</v>
      </c>
      <c r="EI43" s="17" t="s">
        <v>55</v>
      </c>
      <c r="EJ43" s="17" t="s">
        <v>56</v>
      </c>
      <c r="EK43" s="17" t="s">
        <v>55</v>
      </c>
      <c r="EL43" s="17" t="s">
        <v>56</v>
      </c>
      <c r="EM43" s="17" t="s">
        <v>55</v>
      </c>
      <c r="EN43" s="17" t="s">
        <v>56</v>
      </c>
      <c r="EO43" s="17" t="s">
        <v>55</v>
      </c>
      <c r="EP43" s="17" t="s">
        <v>56</v>
      </c>
      <c r="EQ43" s="17" t="s">
        <v>55</v>
      </c>
      <c r="ER43" s="17" t="s">
        <v>56</v>
      </c>
      <c r="ES43" s="17" t="s">
        <v>55</v>
      </c>
      <c r="ET43" s="17" t="s">
        <v>56</v>
      </c>
      <c r="EU43" s="17" t="s">
        <v>55</v>
      </c>
      <c r="EV43" s="17" t="s">
        <v>56</v>
      </c>
      <c r="EW43" s="17" t="s">
        <v>55</v>
      </c>
      <c r="EX43" s="17" t="s">
        <v>56</v>
      </c>
      <c r="EY43" s="17" t="s">
        <v>55</v>
      </c>
      <c r="EZ43" s="17" t="s">
        <v>56</v>
      </c>
      <c r="FA43" s="17" t="s">
        <v>55</v>
      </c>
      <c r="FB43" s="17" t="s">
        <v>56</v>
      </c>
      <c r="FC43" s="17" t="s">
        <v>55</v>
      </c>
      <c r="FD43" s="17" t="s">
        <v>56</v>
      </c>
      <c r="FE43" s="17" t="s">
        <v>55</v>
      </c>
      <c r="FF43" s="17" t="s">
        <v>56</v>
      </c>
      <c r="FG43" s="17" t="s">
        <v>55</v>
      </c>
      <c r="FH43" s="17" t="s">
        <v>56</v>
      </c>
      <c r="FI43" s="17" t="s">
        <v>55</v>
      </c>
      <c r="FJ43" s="17" t="s">
        <v>56</v>
      </c>
      <c r="FK43" s="17" t="s">
        <v>55</v>
      </c>
      <c r="FL43" s="17" t="s">
        <v>56</v>
      </c>
      <c r="FM43" s="17" t="s">
        <v>55</v>
      </c>
      <c r="FN43" s="17" t="s">
        <v>56</v>
      </c>
      <c r="FO43" s="17" t="s">
        <v>55</v>
      </c>
      <c r="FP43" s="17" t="s">
        <v>56</v>
      </c>
      <c r="FQ43" s="17" t="s">
        <v>55</v>
      </c>
      <c r="FR43" s="17" t="s">
        <v>56</v>
      </c>
      <c r="FS43" s="17" t="s">
        <v>55</v>
      </c>
      <c r="FT43" s="17" t="s">
        <v>56</v>
      </c>
      <c r="FU43" s="17" t="s">
        <v>55</v>
      </c>
      <c r="FV43" s="17" t="s">
        <v>56</v>
      </c>
      <c r="FW43" s="17" t="s">
        <v>55</v>
      </c>
      <c r="FX43" s="17" t="s">
        <v>56</v>
      </c>
      <c r="FY43" s="17" t="s">
        <v>55</v>
      </c>
      <c r="FZ43" s="17" t="s">
        <v>56</v>
      </c>
      <c r="GA43" s="17" t="s">
        <v>55</v>
      </c>
      <c r="GB43" s="17" t="s">
        <v>56</v>
      </c>
      <c r="GC43" s="17" t="s">
        <v>55</v>
      </c>
      <c r="GD43" s="17" t="s">
        <v>56</v>
      </c>
      <c r="GE43" s="17" t="s">
        <v>55</v>
      </c>
      <c r="GF43" s="17" t="s">
        <v>56</v>
      </c>
      <c r="GG43" s="17" t="s">
        <v>55</v>
      </c>
      <c r="GH43" s="17" t="s">
        <v>56</v>
      </c>
      <c r="GI43" s="17" t="s">
        <v>55</v>
      </c>
      <c r="GJ43" s="17" t="s">
        <v>56</v>
      </c>
      <c r="GK43" s="17" t="s">
        <v>55</v>
      </c>
      <c r="GL43" s="17" t="s">
        <v>56</v>
      </c>
      <c r="GM43" s="17" t="s">
        <v>55</v>
      </c>
      <c r="GN43" s="17" t="s">
        <v>56</v>
      </c>
      <c r="GO43" s="17" t="s">
        <v>55</v>
      </c>
      <c r="GP43" s="17" t="s">
        <v>56</v>
      </c>
      <c r="GQ43" s="17" t="s">
        <v>55</v>
      </c>
      <c r="GR43" s="17" t="s">
        <v>56</v>
      </c>
      <c r="GS43" s="17" t="s">
        <v>55</v>
      </c>
      <c r="GT43" s="17" t="s">
        <v>56</v>
      </c>
      <c r="GU43" s="17" t="s">
        <v>55</v>
      </c>
      <c r="GV43" s="17" t="s">
        <v>56</v>
      </c>
      <c r="GW43" s="17" t="s">
        <v>55</v>
      </c>
      <c r="GX43" s="17" t="s">
        <v>56</v>
      </c>
      <c r="GY43" s="17" t="s">
        <v>55</v>
      </c>
      <c r="GZ43" s="17" t="s">
        <v>56</v>
      </c>
      <c r="HA43" s="17" t="s">
        <v>55</v>
      </c>
      <c r="HB43" s="17" t="s">
        <v>56</v>
      </c>
      <c r="HC43" s="17" t="s">
        <v>55</v>
      </c>
      <c r="HD43" s="17" t="s">
        <v>56</v>
      </c>
      <c r="HE43" s="17" t="s">
        <v>55</v>
      </c>
      <c r="HF43" s="17" t="s">
        <v>56</v>
      </c>
      <c r="HG43" s="17" t="s">
        <v>55</v>
      </c>
      <c r="HH43" s="17" t="s">
        <v>56</v>
      </c>
      <c r="HI43" s="17" t="s">
        <v>55</v>
      </c>
      <c r="HJ43" s="17" t="s">
        <v>56</v>
      </c>
      <c r="HK43" s="17" t="s">
        <v>55</v>
      </c>
      <c r="HL43" s="17" t="s">
        <v>56</v>
      </c>
      <c r="HM43" s="17" t="s">
        <v>55</v>
      </c>
      <c r="HN43" s="17" t="s">
        <v>56</v>
      </c>
      <c r="HO43" s="17" t="s">
        <v>55</v>
      </c>
      <c r="HP43" s="17" t="s">
        <v>56</v>
      </c>
      <c r="HQ43" s="17" t="s">
        <v>55</v>
      </c>
      <c r="HR43" s="17" t="s">
        <v>56</v>
      </c>
      <c r="HS43" s="17" t="s">
        <v>55</v>
      </c>
      <c r="HT43" s="17" t="s">
        <v>56</v>
      </c>
      <c r="HU43" s="17" t="s">
        <v>55</v>
      </c>
      <c r="HV43" s="17" t="s">
        <v>56</v>
      </c>
      <c r="HW43" s="17" t="s">
        <v>55</v>
      </c>
      <c r="HX43" s="17" t="s">
        <v>56</v>
      </c>
      <c r="HY43" s="17" t="s">
        <v>55</v>
      </c>
      <c r="HZ43" s="17" t="s">
        <v>56</v>
      </c>
      <c r="IA43" s="17" t="s">
        <v>55</v>
      </c>
      <c r="IB43" s="17" t="s">
        <v>56</v>
      </c>
      <c r="IC43" s="17" t="s">
        <v>55</v>
      </c>
      <c r="ID43" s="17" t="s">
        <v>56</v>
      </c>
      <c r="IE43" s="17" t="s">
        <v>55</v>
      </c>
      <c r="IF43" s="17" t="s">
        <v>56</v>
      </c>
      <c r="IG43" s="17" t="s">
        <v>55</v>
      </c>
      <c r="IH43" s="17" t="s">
        <v>56</v>
      </c>
      <c r="II43" s="17" t="s">
        <v>55</v>
      </c>
      <c r="IJ43" s="17" t="s">
        <v>56</v>
      </c>
      <c r="IK43" s="17" t="s">
        <v>55</v>
      </c>
      <c r="IL43" s="17" t="s">
        <v>56</v>
      </c>
      <c r="IM43" s="17" t="s">
        <v>55</v>
      </c>
      <c r="IN43" s="17" t="s">
        <v>56</v>
      </c>
      <c r="IO43" s="17" t="s">
        <v>55</v>
      </c>
      <c r="IP43" s="17" t="s">
        <v>56</v>
      </c>
      <c r="IQ43" s="17" t="s">
        <v>55</v>
      </c>
      <c r="IR43" s="17" t="s">
        <v>56</v>
      </c>
      <c r="IS43" s="17" t="s">
        <v>55</v>
      </c>
      <c r="IT43" s="17" t="s">
        <v>56</v>
      </c>
      <c r="IU43" s="17" t="s">
        <v>55</v>
      </c>
      <c r="IV43" s="17" t="s">
        <v>56</v>
      </c>
      <c r="IW43" s="17" t="s">
        <v>55</v>
      </c>
      <c r="IX43" s="17" t="s">
        <v>56</v>
      </c>
      <c r="IY43" s="17" t="s">
        <v>55</v>
      </c>
      <c r="IZ43" s="17" t="s">
        <v>56</v>
      </c>
      <c r="JA43" s="17" t="s">
        <v>55</v>
      </c>
      <c r="JB43" s="17" t="s">
        <v>56</v>
      </c>
      <c r="JC43" s="17" t="s">
        <v>55</v>
      </c>
      <c r="JD43" s="17" t="s">
        <v>56</v>
      </c>
      <c r="JE43" s="17" t="s">
        <v>55</v>
      </c>
      <c r="JF43" s="17" t="s">
        <v>56</v>
      </c>
      <c r="JG43" s="17" t="s">
        <v>55</v>
      </c>
      <c r="JH43" s="17" t="s">
        <v>56</v>
      </c>
      <c r="JI43" s="17" t="s">
        <v>55</v>
      </c>
      <c r="JJ43" s="17" t="s">
        <v>56</v>
      </c>
      <c r="JK43" s="17" t="s">
        <v>55</v>
      </c>
      <c r="JL43" s="17" t="s">
        <v>56</v>
      </c>
      <c r="JM43" s="17" t="s">
        <v>55</v>
      </c>
      <c r="JN43" s="17" t="s">
        <v>56</v>
      </c>
      <c r="JO43" s="17" t="s">
        <v>55</v>
      </c>
      <c r="JP43" s="17" t="s">
        <v>56</v>
      </c>
      <c r="JQ43" s="17" t="s">
        <v>55</v>
      </c>
      <c r="JR43" s="17" t="s">
        <v>56</v>
      </c>
      <c r="JS43" s="17" t="s">
        <v>55</v>
      </c>
      <c r="JT43" s="17" t="s">
        <v>56</v>
      </c>
      <c r="JU43" s="17" t="s">
        <v>55</v>
      </c>
      <c r="JV43" s="17" t="s">
        <v>56</v>
      </c>
      <c r="JW43" s="17" t="s">
        <v>55</v>
      </c>
      <c r="JX43" s="17" t="s">
        <v>56</v>
      </c>
      <c r="JY43" s="17" t="s">
        <v>55</v>
      </c>
      <c r="JZ43" s="17" t="s">
        <v>56</v>
      </c>
      <c r="KA43" s="17" t="s">
        <v>55</v>
      </c>
      <c r="KB43" s="17" t="s">
        <v>56</v>
      </c>
      <c r="KC43" s="17" t="s">
        <v>55</v>
      </c>
      <c r="KD43" s="17" t="s">
        <v>56</v>
      </c>
      <c r="KE43" s="17" t="s">
        <v>55</v>
      </c>
      <c r="KF43" s="17" t="s">
        <v>56</v>
      </c>
      <c r="KG43" s="17" t="s">
        <v>55</v>
      </c>
      <c r="KH43" s="17" t="s">
        <v>56</v>
      </c>
      <c r="KI43" s="17" t="s">
        <v>55</v>
      </c>
      <c r="KJ43" s="17" t="s">
        <v>56</v>
      </c>
      <c r="KK43" s="17" t="s">
        <v>55</v>
      </c>
      <c r="KL43" s="17" t="s">
        <v>56</v>
      </c>
      <c r="KM43" s="17" t="s">
        <v>55</v>
      </c>
      <c r="KN43" s="17" t="s">
        <v>56</v>
      </c>
      <c r="KO43" s="17" t="s">
        <v>55</v>
      </c>
      <c r="KP43" s="17" t="s">
        <v>56</v>
      </c>
      <c r="KQ43" s="17" t="s">
        <v>55</v>
      </c>
      <c r="KR43" s="17" t="s">
        <v>56</v>
      </c>
      <c r="KS43" s="17" t="s">
        <v>55</v>
      </c>
      <c r="KT43" s="17" t="s">
        <v>56</v>
      </c>
      <c r="KU43" s="17" t="s">
        <v>55</v>
      </c>
      <c r="KV43" s="17" t="s">
        <v>56</v>
      </c>
      <c r="KW43" s="17" t="s">
        <v>55</v>
      </c>
      <c r="KX43" s="17" t="s">
        <v>56</v>
      </c>
      <c r="KY43" s="17" t="s">
        <v>55</v>
      </c>
      <c r="KZ43" s="17" t="s">
        <v>56</v>
      </c>
      <c r="LA43" s="17" t="s">
        <v>55</v>
      </c>
      <c r="LB43" s="10" t="s">
        <v>56</v>
      </c>
      <c r="LC43" s="10" t="s">
        <v>55</v>
      </c>
      <c r="LD43" s="10" t="s">
        <v>56</v>
      </c>
      <c r="LE43" s="10" t="s">
        <v>55</v>
      </c>
      <c r="LF43" s="10" t="s">
        <v>56</v>
      </c>
      <c r="LG43" s="10" t="s">
        <v>55</v>
      </c>
      <c r="LH43" s="10" t="s">
        <v>56</v>
      </c>
      <c r="LI43" s="10" t="s">
        <v>55</v>
      </c>
      <c r="LJ43" s="10" t="s">
        <v>56</v>
      </c>
      <c r="LK43" s="10" t="s">
        <v>162</v>
      </c>
      <c r="LL43" s="10" t="s">
        <v>56</v>
      </c>
      <c r="LM43" s="10" t="s">
        <v>162</v>
      </c>
      <c r="LN43" s="10" t="s">
        <v>56</v>
      </c>
      <c r="LO43" s="10" t="s">
        <v>162</v>
      </c>
      <c r="LP43" s="10" t="s">
        <v>56</v>
      </c>
      <c r="LQ43" s="10" t="s">
        <v>162</v>
      </c>
      <c r="LR43" s="10" t="s">
        <v>56</v>
      </c>
      <c r="LS43" s="10" t="s">
        <v>162</v>
      </c>
      <c r="LT43" s="10" t="s">
        <v>56</v>
      </c>
      <c r="LU43" s="10" t="s">
        <v>162</v>
      </c>
      <c r="LV43" s="10" t="s">
        <v>56</v>
      </c>
      <c r="LW43" s="10" t="s">
        <v>55</v>
      </c>
      <c r="LX43" s="10" t="s">
        <v>56</v>
      </c>
      <c r="LY43" s="10" t="s">
        <v>55</v>
      </c>
      <c r="LZ43" s="10" t="s">
        <v>56</v>
      </c>
      <c r="MA43" s="10" t="s">
        <v>55</v>
      </c>
      <c r="MB43" s="10" t="s">
        <v>56</v>
      </c>
      <c r="MC43" s="10" t="s">
        <v>55</v>
      </c>
      <c r="MD43" s="17" t="s">
        <v>56</v>
      </c>
      <c r="ME43" s="17" t="s">
        <v>55</v>
      </c>
      <c r="MF43" s="17" t="s">
        <v>56</v>
      </c>
      <c r="MG43" s="17" t="s">
        <v>55</v>
      </c>
      <c r="MH43" s="17" t="s">
        <v>56</v>
      </c>
      <c r="MI43" s="17" t="s">
        <v>55</v>
      </c>
      <c r="MJ43" s="17" t="s">
        <v>56</v>
      </c>
      <c r="MK43" s="17" t="s">
        <v>55</v>
      </c>
      <c r="ML43" s="17" t="s">
        <v>56</v>
      </c>
      <c r="MM43" s="17" t="s">
        <v>55</v>
      </c>
      <c r="MN43" s="17" t="s">
        <v>56</v>
      </c>
      <c r="MO43" s="17" t="s">
        <v>55</v>
      </c>
      <c r="MP43" s="17" t="s">
        <v>56</v>
      </c>
      <c r="MQ43" s="17" t="s">
        <v>55</v>
      </c>
      <c r="MR43" s="17" t="s">
        <v>56</v>
      </c>
      <c r="MS43" s="17" t="s">
        <v>55</v>
      </c>
      <c r="MT43" s="17" t="s">
        <v>56</v>
      </c>
      <c r="MU43" s="17" t="s">
        <v>55</v>
      </c>
      <c r="MV43" s="17" t="s">
        <v>56</v>
      </c>
      <c r="MW43" s="17" t="s">
        <v>55</v>
      </c>
      <c r="MX43" s="17" t="s">
        <v>56</v>
      </c>
      <c r="MY43" s="17" t="s">
        <v>55</v>
      </c>
      <c r="MZ43" s="17" t="s">
        <v>56</v>
      </c>
      <c r="NA43" s="17" t="s">
        <v>55</v>
      </c>
      <c r="NB43" s="10" t="s">
        <v>56</v>
      </c>
      <c r="NC43" s="10" t="s">
        <v>55</v>
      </c>
      <c r="ND43" s="10" t="s">
        <v>56</v>
      </c>
      <c r="NE43" s="10" t="s">
        <v>55</v>
      </c>
      <c r="NF43" s="10" t="s">
        <v>56</v>
      </c>
      <c r="NG43" s="10" t="s">
        <v>55</v>
      </c>
      <c r="NH43" s="10" t="s">
        <v>56</v>
      </c>
      <c r="NI43" s="10" t="s">
        <v>55</v>
      </c>
      <c r="NJ43" s="10" t="s">
        <v>56</v>
      </c>
      <c r="NK43" s="10" t="s">
        <v>55</v>
      </c>
      <c r="NL43" s="10" t="s">
        <v>56</v>
      </c>
      <c r="NM43" s="4" t="s">
        <v>55</v>
      </c>
      <c r="NN43" s="10" t="s">
        <v>56</v>
      </c>
      <c r="NO43" s="4" t="s">
        <v>55</v>
      </c>
      <c r="NP43" s="10" t="s">
        <v>56</v>
      </c>
      <c r="NQ43" s="4" t="s">
        <v>55</v>
      </c>
      <c r="NR43" s="10" t="s">
        <v>57</v>
      </c>
      <c r="NS43" s="10" t="s">
        <v>55</v>
      </c>
      <c r="NT43" s="10">
        <f>(10*1000)/E43</f>
        <v>83.948959032907993</v>
      </c>
      <c r="NU43" s="10">
        <f>(2*1000)/E43</f>
        <v>16.789791806581597</v>
      </c>
    </row>
    <row r="44" spans="1:385" x14ac:dyDescent="0.2">
      <c r="A44" t="s">
        <v>1046</v>
      </c>
      <c r="B44" s="1" t="s">
        <v>1040</v>
      </c>
      <c r="C44" s="1" t="s">
        <v>843</v>
      </c>
      <c r="D44" s="39" cm="1">
        <f t="array" ref="D44">SUMPRODUCT((ISNUMBER(F44:NU44))*(MOD(COLUMN(F44:NU44),2)=0))</f>
        <v>2</v>
      </c>
      <c r="E44" s="1">
        <v>119.12</v>
      </c>
      <c r="F44" s="17" t="s">
        <v>56</v>
      </c>
      <c r="G44" s="17" t="s">
        <v>55</v>
      </c>
      <c r="H44" s="17" t="s">
        <v>56</v>
      </c>
      <c r="I44" s="17" t="s">
        <v>55</v>
      </c>
      <c r="J44" s="17" t="s">
        <v>56</v>
      </c>
      <c r="K44" s="17" t="s">
        <v>55</v>
      </c>
      <c r="L44" s="17" t="s">
        <v>56</v>
      </c>
      <c r="M44" s="17" t="s">
        <v>55</v>
      </c>
      <c r="N44" s="17" t="s">
        <v>56</v>
      </c>
      <c r="O44" s="17" t="s">
        <v>55</v>
      </c>
      <c r="P44" s="17" t="s">
        <v>56</v>
      </c>
      <c r="Q44" s="17" t="s">
        <v>55</v>
      </c>
      <c r="R44" s="17" t="s">
        <v>56</v>
      </c>
      <c r="S44" s="17" t="s">
        <v>55</v>
      </c>
      <c r="T44" s="17" t="s">
        <v>56</v>
      </c>
      <c r="U44" s="17" t="s">
        <v>55</v>
      </c>
      <c r="V44" s="17" t="s">
        <v>56</v>
      </c>
      <c r="W44" s="17" t="s">
        <v>55</v>
      </c>
      <c r="X44" s="17" t="s">
        <v>56</v>
      </c>
      <c r="Y44" s="17" t="s">
        <v>55</v>
      </c>
      <c r="Z44" s="17" t="s">
        <v>56</v>
      </c>
      <c r="AA44" s="17" t="s">
        <v>55</v>
      </c>
      <c r="AB44" s="17" t="s">
        <v>56</v>
      </c>
      <c r="AC44" s="17" t="s">
        <v>55</v>
      </c>
      <c r="AD44" s="17" t="s">
        <v>56</v>
      </c>
      <c r="AE44" s="17" t="s">
        <v>55</v>
      </c>
      <c r="AF44" s="17" t="s">
        <v>56</v>
      </c>
      <c r="AG44" s="17" t="s">
        <v>55</v>
      </c>
      <c r="AH44" s="17" t="s">
        <v>56</v>
      </c>
      <c r="AI44" s="17" t="s">
        <v>55</v>
      </c>
      <c r="AJ44" s="17" t="s">
        <v>56</v>
      </c>
      <c r="AK44" s="17" t="s">
        <v>55</v>
      </c>
      <c r="AL44" s="17" t="s">
        <v>56</v>
      </c>
      <c r="AM44" s="17" t="s">
        <v>55</v>
      </c>
      <c r="AN44" s="17" t="s">
        <v>56</v>
      </c>
      <c r="AO44" s="17" t="s">
        <v>55</v>
      </c>
      <c r="AP44" s="17" t="s">
        <v>56</v>
      </c>
      <c r="AQ44" s="17" t="s">
        <v>55</v>
      </c>
      <c r="AR44" s="19">
        <f>12/E44</f>
        <v>0.10073875083948959</v>
      </c>
      <c r="AS44" s="19">
        <f>2/E44</f>
        <v>1.6789791806581598E-2</v>
      </c>
      <c r="AT44" s="17" t="s">
        <v>56</v>
      </c>
      <c r="AU44" s="17" t="s">
        <v>55</v>
      </c>
      <c r="AV44" s="17" t="s">
        <v>56</v>
      </c>
      <c r="AW44" s="17" t="s">
        <v>55</v>
      </c>
      <c r="AX44" s="17" t="s">
        <v>56</v>
      </c>
      <c r="AY44" s="17" t="s">
        <v>55</v>
      </c>
      <c r="AZ44" s="17" t="s">
        <v>56</v>
      </c>
      <c r="BA44" s="17" t="s">
        <v>55</v>
      </c>
      <c r="BB44" s="17" t="s">
        <v>56</v>
      </c>
      <c r="BC44" s="17" t="s">
        <v>55</v>
      </c>
      <c r="BD44" s="17" t="s">
        <v>56</v>
      </c>
      <c r="BE44" s="17" t="s">
        <v>55</v>
      </c>
      <c r="BF44" s="17" t="s">
        <v>56</v>
      </c>
      <c r="BG44" s="17" t="s">
        <v>55</v>
      </c>
      <c r="BH44" s="17" t="s">
        <v>56</v>
      </c>
      <c r="BI44" s="17" t="s">
        <v>55</v>
      </c>
      <c r="BJ44" s="17" t="s">
        <v>56</v>
      </c>
      <c r="BK44" s="17" t="s">
        <v>55</v>
      </c>
      <c r="BL44" s="17" t="s">
        <v>56</v>
      </c>
      <c r="BM44" s="17" t="s">
        <v>55</v>
      </c>
      <c r="BN44" s="17" t="s">
        <v>56</v>
      </c>
      <c r="BO44" s="17" t="s">
        <v>55</v>
      </c>
      <c r="BP44" s="17" t="s">
        <v>56</v>
      </c>
      <c r="BQ44" s="17" t="s">
        <v>55</v>
      </c>
      <c r="BR44" s="17" t="s">
        <v>56</v>
      </c>
      <c r="BS44" s="17" t="s">
        <v>55</v>
      </c>
      <c r="BT44" s="17" t="s">
        <v>56</v>
      </c>
      <c r="BU44" s="17" t="s">
        <v>55</v>
      </c>
      <c r="BV44" s="17" t="s">
        <v>56</v>
      </c>
      <c r="BW44" s="17" t="s">
        <v>55</v>
      </c>
      <c r="BX44" s="17" t="s">
        <v>56</v>
      </c>
      <c r="BY44" s="17" t="s">
        <v>55</v>
      </c>
      <c r="BZ44" s="17" t="s">
        <v>56</v>
      </c>
      <c r="CA44" s="17" t="s">
        <v>55</v>
      </c>
      <c r="CB44" s="17" t="s">
        <v>56</v>
      </c>
      <c r="CC44" s="17" t="s">
        <v>55</v>
      </c>
      <c r="CD44" s="17" t="s">
        <v>56</v>
      </c>
      <c r="CE44" s="17" t="s">
        <v>55</v>
      </c>
      <c r="CF44" s="17" t="s">
        <v>56</v>
      </c>
      <c r="CG44" s="17" t="s">
        <v>55</v>
      </c>
      <c r="CH44" s="17" t="s">
        <v>56</v>
      </c>
      <c r="CI44" s="17" t="s">
        <v>55</v>
      </c>
      <c r="CJ44" s="17" t="s">
        <v>56</v>
      </c>
      <c r="CK44" s="17" t="s">
        <v>55</v>
      </c>
      <c r="CL44" s="17" t="s">
        <v>56</v>
      </c>
      <c r="CM44" s="17" t="s">
        <v>55</v>
      </c>
      <c r="CN44" s="17" t="s">
        <v>56</v>
      </c>
      <c r="CO44" s="17" t="s">
        <v>55</v>
      </c>
      <c r="CP44" s="17" t="s">
        <v>56</v>
      </c>
      <c r="CQ44" s="17" t="s">
        <v>55</v>
      </c>
      <c r="CR44" s="17" t="s">
        <v>56</v>
      </c>
      <c r="CS44" s="17" t="s">
        <v>55</v>
      </c>
      <c r="CT44" s="17" t="s">
        <v>56</v>
      </c>
      <c r="CU44" s="17" t="s">
        <v>55</v>
      </c>
      <c r="CV44" s="17" t="s">
        <v>56</v>
      </c>
      <c r="CW44" s="17" t="s">
        <v>55</v>
      </c>
      <c r="CX44" s="17" t="s">
        <v>56</v>
      </c>
      <c r="CY44" s="17" t="s">
        <v>55</v>
      </c>
      <c r="CZ44" s="17" t="s">
        <v>56</v>
      </c>
      <c r="DA44" s="17" t="s">
        <v>55</v>
      </c>
      <c r="DB44" s="17" t="s">
        <v>56</v>
      </c>
      <c r="DC44" s="17" t="s">
        <v>55</v>
      </c>
      <c r="DD44" s="17" t="s">
        <v>56</v>
      </c>
      <c r="DE44" s="17" t="s">
        <v>55</v>
      </c>
      <c r="DF44" s="17" t="s">
        <v>56</v>
      </c>
      <c r="DG44" s="17" t="s">
        <v>55</v>
      </c>
      <c r="DH44" s="17" t="s">
        <v>56</v>
      </c>
      <c r="DI44" s="17" t="s">
        <v>55</v>
      </c>
      <c r="DJ44" s="17" t="s">
        <v>56</v>
      </c>
      <c r="DK44" s="17" t="s">
        <v>55</v>
      </c>
      <c r="DL44" s="17" t="s">
        <v>56</v>
      </c>
      <c r="DM44" s="17" t="s">
        <v>55</v>
      </c>
      <c r="DN44" s="17" t="s">
        <v>56</v>
      </c>
      <c r="DO44" s="17" t="s">
        <v>55</v>
      </c>
      <c r="DP44" s="17" t="s">
        <v>56</v>
      </c>
      <c r="DQ44" s="17" t="s">
        <v>55</v>
      </c>
      <c r="DR44" s="17" t="s">
        <v>56</v>
      </c>
      <c r="DS44" s="17" t="s">
        <v>55</v>
      </c>
      <c r="DT44" s="17" t="s">
        <v>56</v>
      </c>
      <c r="DU44" s="17" t="s">
        <v>55</v>
      </c>
      <c r="DV44" s="17" t="s">
        <v>56</v>
      </c>
      <c r="DW44" s="17" t="s">
        <v>55</v>
      </c>
      <c r="DX44" s="17" t="s">
        <v>56</v>
      </c>
      <c r="DY44" s="17" t="s">
        <v>55</v>
      </c>
      <c r="DZ44" s="17" t="s">
        <v>56</v>
      </c>
      <c r="EA44" s="17" t="s">
        <v>55</v>
      </c>
      <c r="EB44" s="17" t="s">
        <v>56</v>
      </c>
      <c r="EC44" s="17" t="s">
        <v>55</v>
      </c>
      <c r="ED44" s="17" t="s">
        <v>56</v>
      </c>
      <c r="EE44" s="17" t="s">
        <v>55</v>
      </c>
      <c r="EF44" s="17" t="s">
        <v>56</v>
      </c>
      <c r="EG44" s="17" t="s">
        <v>55</v>
      </c>
      <c r="EH44" s="17" t="s">
        <v>56</v>
      </c>
      <c r="EI44" s="17" t="s">
        <v>55</v>
      </c>
      <c r="EJ44" s="17" t="s">
        <v>56</v>
      </c>
      <c r="EK44" s="17" t="s">
        <v>55</v>
      </c>
      <c r="EL44" s="17" t="s">
        <v>56</v>
      </c>
      <c r="EM44" s="17" t="s">
        <v>55</v>
      </c>
      <c r="EN44" s="17" t="s">
        <v>56</v>
      </c>
      <c r="EO44" s="17" t="s">
        <v>55</v>
      </c>
      <c r="EP44" s="17" t="s">
        <v>56</v>
      </c>
      <c r="EQ44" s="17" t="s">
        <v>55</v>
      </c>
      <c r="ER44" s="17" t="s">
        <v>56</v>
      </c>
      <c r="ES44" s="17" t="s">
        <v>55</v>
      </c>
      <c r="ET44" s="17" t="s">
        <v>56</v>
      </c>
      <c r="EU44" s="17" t="s">
        <v>55</v>
      </c>
      <c r="EV44" s="17" t="s">
        <v>56</v>
      </c>
      <c r="EW44" s="17" t="s">
        <v>55</v>
      </c>
      <c r="EX44" s="17" t="s">
        <v>56</v>
      </c>
      <c r="EY44" s="17" t="s">
        <v>55</v>
      </c>
      <c r="EZ44" s="17" t="s">
        <v>56</v>
      </c>
      <c r="FA44" s="17" t="s">
        <v>55</v>
      </c>
      <c r="FB44" s="17" t="s">
        <v>56</v>
      </c>
      <c r="FC44" s="17" t="s">
        <v>55</v>
      </c>
      <c r="FD44" s="17" t="s">
        <v>56</v>
      </c>
      <c r="FE44" s="17" t="s">
        <v>55</v>
      </c>
      <c r="FF44" s="17" t="s">
        <v>56</v>
      </c>
      <c r="FG44" s="17" t="s">
        <v>55</v>
      </c>
      <c r="FH44" s="17" t="s">
        <v>56</v>
      </c>
      <c r="FI44" s="17" t="s">
        <v>55</v>
      </c>
      <c r="FJ44" s="17" t="s">
        <v>56</v>
      </c>
      <c r="FK44" s="17" t="s">
        <v>55</v>
      </c>
      <c r="FL44" s="17" t="s">
        <v>56</v>
      </c>
      <c r="FM44" s="17" t="s">
        <v>55</v>
      </c>
      <c r="FN44" s="17" t="s">
        <v>56</v>
      </c>
      <c r="FO44" s="17" t="s">
        <v>55</v>
      </c>
      <c r="FP44" s="17" t="s">
        <v>56</v>
      </c>
      <c r="FQ44" s="17" t="s">
        <v>55</v>
      </c>
      <c r="FR44" s="17" t="s">
        <v>56</v>
      </c>
      <c r="FS44" s="17" t="s">
        <v>55</v>
      </c>
      <c r="FT44" s="17" t="s">
        <v>56</v>
      </c>
      <c r="FU44" s="17" t="s">
        <v>55</v>
      </c>
      <c r="FV44" s="17" t="s">
        <v>56</v>
      </c>
      <c r="FW44" s="17" t="s">
        <v>55</v>
      </c>
      <c r="FX44" s="17" t="s">
        <v>56</v>
      </c>
      <c r="FY44" s="17" t="s">
        <v>55</v>
      </c>
      <c r="FZ44" s="17" t="s">
        <v>56</v>
      </c>
      <c r="GA44" s="17" t="s">
        <v>55</v>
      </c>
      <c r="GB44" s="17" t="s">
        <v>56</v>
      </c>
      <c r="GC44" s="17" t="s">
        <v>55</v>
      </c>
      <c r="GD44" s="17" t="s">
        <v>56</v>
      </c>
      <c r="GE44" s="17" t="s">
        <v>55</v>
      </c>
      <c r="GF44" s="17" t="s">
        <v>56</v>
      </c>
      <c r="GG44" s="17" t="s">
        <v>55</v>
      </c>
      <c r="GH44" s="17" t="s">
        <v>56</v>
      </c>
      <c r="GI44" s="17" t="s">
        <v>55</v>
      </c>
      <c r="GJ44" s="17" t="s">
        <v>56</v>
      </c>
      <c r="GK44" s="17" t="s">
        <v>55</v>
      </c>
      <c r="GL44" s="17" t="s">
        <v>56</v>
      </c>
      <c r="GM44" s="17" t="s">
        <v>55</v>
      </c>
      <c r="GN44" s="17" t="s">
        <v>56</v>
      </c>
      <c r="GO44" s="17" t="s">
        <v>55</v>
      </c>
      <c r="GP44" s="17" t="s">
        <v>56</v>
      </c>
      <c r="GQ44" s="17" t="s">
        <v>55</v>
      </c>
      <c r="GR44" s="17" t="s">
        <v>56</v>
      </c>
      <c r="GS44" s="17" t="s">
        <v>55</v>
      </c>
      <c r="GT44" s="17" t="s">
        <v>56</v>
      </c>
      <c r="GU44" s="17" t="s">
        <v>55</v>
      </c>
      <c r="GV44" s="17" t="s">
        <v>56</v>
      </c>
      <c r="GW44" s="17" t="s">
        <v>55</v>
      </c>
      <c r="GX44" s="17" t="s">
        <v>56</v>
      </c>
      <c r="GY44" s="17" t="s">
        <v>55</v>
      </c>
      <c r="GZ44" s="17" t="s">
        <v>56</v>
      </c>
      <c r="HA44" s="17" t="s">
        <v>55</v>
      </c>
      <c r="HB44" s="17" t="s">
        <v>56</v>
      </c>
      <c r="HC44" s="17" t="s">
        <v>55</v>
      </c>
      <c r="HD44" s="17" t="s">
        <v>56</v>
      </c>
      <c r="HE44" s="17" t="s">
        <v>55</v>
      </c>
      <c r="HF44" s="17" t="s">
        <v>56</v>
      </c>
      <c r="HG44" s="17" t="s">
        <v>55</v>
      </c>
      <c r="HH44" s="17" t="s">
        <v>56</v>
      </c>
      <c r="HI44" s="17" t="s">
        <v>55</v>
      </c>
      <c r="HJ44" s="17" t="s">
        <v>56</v>
      </c>
      <c r="HK44" s="17" t="s">
        <v>55</v>
      </c>
      <c r="HL44" s="17" t="s">
        <v>56</v>
      </c>
      <c r="HM44" s="17" t="s">
        <v>55</v>
      </c>
      <c r="HN44" s="17" t="s">
        <v>56</v>
      </c>
      <c r="HO44" s="17" t="s">
        <v>55</v>
      </c>
      <c r="HP44" s="17" t="s">
        <v>56</v>
      </c>
      <c r="HQ44" s="17" t="s">
        <v>55</v>
      </c>
      <c r="HR44" s="17" t="s">
        <v>56</v>
      </c>
      <c r="HS44" s="17" t="s">
        <v>55</v>
      </c>
      <c r="HT44" s="17" t="s">
        <v>56</v>
      </c>
      <c r="HU44" s="17" t="s">
        <v>55</v>
      </c>
      <c r="HV44" s="17" t="s">
        <v>56</v>
      </c>
      <c r="HW44" s="17" t="s">
        <v>55</v>
      </c>
      <c r="HX44" s="17" t="s">
        <v>56</v>
      </c>
      <c r="HY44" s="17" t="s">
        <v>55</v>
      </c>
      <c r="HZ44" s="17" t="s">
        <v>56</v>
      </c>
      <c r="IA44" s="17" t="s">
        <v>55</v>
      </c>
      <c r="IB44" s="17" t="s">
        <v>56</v>
      </c>
      <c r="IC44" s="17" t="s">
        <v>55</v>
      </c>
      <c r="ID44" s="17" t="s">
        <v>56</v>
      </c>
      <c r="IE44" s="17" t="s">
        <v>55</v>
      </c>
      <c r="IF44" s="17" t="s">
        <v>56</v>
      </c>
      <c r="IG44" s="17" t="s">
        <v>55</v>
      </c>
      <c r="IH44" s="17" t="s">
        <v>56</v>
      </c>
      <c r="II44" s="17" t="s">
        <v>55</v>
      </c>
      <c r="IJ44" s="17" t="s">
        <v>56</v>
      </c>
      <c r="IK44" s="17" t="s">
        <v>55</v>
      </c>
      <c r="IL44" s="17" t="s">
        <v>56</v>
      </c>
      <c r="IM44" s="17" t="s">
        <v>55</v>
      </c>
      <c r="IN44" s="17" t="s">
        <v>56</v>
      </c>
      <c r="IO44" s="17" t="s">
        <v>55</v>
      </c>
      <c r="IP44" s="17" t="s">
        <v>56</v>
      </c>
      <c r="IQ44" s="17" t="s">
        <v>55</v>
      </c>
      <c r="IR44" s="17" t="s">
        <v>56</v>
      </c>
      <c r="IS44" s="17" t="s">
        <v>55</v>
      </c>
      <c r="IT44" s="17" t="s">
        <v>56</v>
      </c>
      <c r="IU44" s="17" t="s">
        <v>55</v>
      </c>
      <c r="IV44" s="17" t="s">
        <v>56</v>
      </c>
      <c r="IW44" s="17" t="s">
        <v>55</v>
      </c>
      <c r="IX44" s="17" t="s">
        <v>56</v>
      </c>
      <c r="IY44" s="17" t="s">
        <v>55</v>
      </c>
      <c r="IZ44" s="17" t="s">
        <v>56</v>
      </c>
      <c r="JA44" s="17" t="s">
        <v>55</v>
      </c>
      <c r="JB44" s="17" t="s">
        <v>56</v>
      </c>
      <c r="JC44" s="17" t="s">
        <v>55</v>
      </c>
      <c r="JD44" s="17" t="s">
        <v>56</v>
      </c>
      <c r="JE44" s="17" t="s">
        <v>55</v>
      </c>
      <c r="JF44" s="17" t="s">
        <v>56</v>
      </c>
      <c r="JG44" s="17" t="s">
        <v>55</v>
      </c>
      <c r="JH44" s="17" t="s">
        <v>56</v>
      </c>
      <c r="JI44" s="17" t="s">
        <v>55</v>
      </c>
      <c r="JJ44" s="17" t="s">
        <v>56</v>
      </c>
      <c r="JK44" s="17" t="s">
        <v>55</v>
      </c>
      <c r="JL44" s="17" t="s">
        <v>56</v>
      </c>
      <c r="JM44" s="17" t="s">
        <v>55</v>
      </c>
      <c r="JN44" s="17" t="s">
        <v>56</v>
      </c>
      <c r="JO44" s="17" t="s">
        <v>55</v>
      </c>
      <c r="JP44" s="17" t="s">
        <v>56</v>
      </c>
      <c r="JQ44" s="17" t="s">
        <v>55</v>
      </c>
      <c r="JR44" s="17" t="s">
        <v>56</v>
      </c>
      <c r="JS44" s="17" t="s">
        <v>55</v>
      </c>
      <c r="JT44" s="17" t="s">
        <v>56</v>
      </c>
      <c r="JU44" s="17" t="s">
        <v>55</v>
      </c>
      <c r="JV44" s="17" t="s">
        <v>56</v>
      </c>
      <c r="JW44" s="17" t="s">
        <v>55</v>
      </c>
      <c r="JX44" s="17" t="s">
        <v>56</v>
      </c>
      <c r="JY44" s="17" t="s">
        <v>55</v>
      </c>
      <c r="JZ44" s="17" t="s">
        <v>56</v>
      </c>
      <c r="KA44" s="17" t="s">
        <v>55</v>
      </c>
      <c r="KB44" s="17" t="s">
        <v>56</v>
      </c>
      <c r="KC44" s="17" t="s">
        <v>55</v>
      </c>
      <c r="KD44" s="17" t="s">
        <v>56</v>
      </c>
      <c r="KE44" s="17" t="s">
        <v>55</v>
      </c>
      <c r="KF44" s="17" t="s">
        <v>56</v>
      </c>
      <c r="KG44" s="17" t="s">
        <v>55</v>
      </c>
      <c r="KH44" s="17" t="s">
        <v>56</v>
      </c>
      <c r="KI44" s="17" t="s">
        <v>55</v>
      </c>
      <c r="KJ44" s="17" t="s">
        <v>56</v>
      </c>
      <c r="KK44" s="17" t="s">
        <v>55</v>
      </c>
      <c r="KL44" s="17" t="s">
        <v>56</v>
      </c>
      <c r="KM44" s="17" t="s">
        <v>55</v>
      </c>
      <c r="KN44" s="17" t="s">
        <v>56</v>
      </c>
      <c r="KO44" s="17" t="s">
        <v>55</v>
      </c>
      <c r="KP44" s="17" t="s">
        <v>56</v>
      </c>
      <c r="KQ44" s="17" t="s">
        <v>55</v>
      </c>
      <c r="KR44" s="17" t="s">
        <v>56</v>
      </c>
      <c r="KS44" s="17" t="s">
        <v>55</v>
      </c>
      <c r="KT44" s="17" t="s">
        <v>56</v>
      </c>
      <c r="KU44" s="17" t="s">
        <v>55</v>
      </c>
      <c r="KV44" s="17" t="s">
        <v>56</v>
      </c>
      <c r="KW44" s="17" t="s">
        <v>55</v>
      </c>
      <c r="KX44" s="17" t="s">
        <v>56</v>
      </c>
      <c r="KY44" s="17" t="s">
        <v>55</v>
      </c>
      <c r="KZ44" s="17" t="s">
        <v>56</v>
      </c>
      <c r="LA44" s="17" t="s">
        <v>55</v>
      </c>
      <c r="LB44" s="10" t="s">
        <v>56</v>
      </c>
      <c r="LC44" s="10" t="s">
        <v>55</v>
      </c>
      <c r="LD44" s="10" t="s">
        <v>56</v>
      </c>
      <c r="LE44" s="10" t="s">
        <v>55</v>
      </c>
      <c r="LF44" s="10" t="s">
        <v>56</v>
      </c>
      <c r="LG44" s="10" t="s">
        <v>55</v>
      </c>
      <c r="LH44" s="10" t="s">
        <v>56</v>
      </c>
      <c r="LI44" s="10" t="s">
        <v>55</v>
      </c>
      <c r="LJ44" s="10" t="s">
        <v>56</v>
      </c>
      <c r="LK44" s="10" t="s">
        <v>162</v>
      </c>
      <c r="LL44" s="10" t="s">
        <v>56</v>
      </c>
      <c r="LM44" s="10" t="s">
        <v>162</v>
      </c>
      <c r="LN44" s="10" t="s">
        <v>56</v>
      </c>
      <c r="LO44" s="10" t="s">
        <v>162</v>
      </c>
      <c r="LP44" s="10" t="s">
        <v>56</v>
      </c>
      <c r="LQ44" s="10" t="s">
        <v>162</v>
      </c>
      <c r="LR44" s="10" t="s">
        <v>56</v>
      </c>
      <c r="LS44" s="10" t="s">
        <v>162</v>
      </c>
      <c r="LT44" s="10" t="s">
        <v>56</v>
      </c>
      <c r="LU44" s="10" t="s">
        <v>162</v>
      </c>
      <c r="LV44" s="10" t="s">
        <v>56</v>
      </c>
      <c r="LW44" s="10" t="s">
        <v>55</v>
      </c>
      <c r="LX44" s="10" t="s">
        <v>56</v>
      </c>
      <c r="LY44" s="10" t="s">
        <v>55</v>
      </c>
      <c r="LZ44" s="10" t="s">
        <v>56</v>
      </c>
      <c r="MA44" s="10" t="s">
        <v>55</v>
      </c>
      <c r="MB44" s="10" t="s">
        <v>56</v>
      </c>
      <c r="MC44" s="10" t="s">
        <v>55</v>
      </c>
      <c r="MD44" s="17" t="s">
        <v>56</v>
      </c>
      <c r="ME44" s="17" t="s">
        <v>55</v>
      </c>
      <c r="MF44" s="17" t="s">
        <v>56</v>
      </c>
      <c r="MG44" s="17" t="s">
        <v>55</v>
      </c>
      <c r="MH44" s="17" t="s">
        <v>56</v>
      </c>
      <c r="MI44" s="17" t="s">
        <v>55</v>
      </c>
      <c r="MJ44" s="17" t="s">
        <v>56</v>
      </c>
      <c r="MK44" s="17" t="s">
        <v>55</v>
      </c>
      <c r="ML44" s="17" t="s">
        <v>56</v>
      </c>
      <c r="MM44" s="17" t="s">
        <v>55</v>
      </c>
      <c r="MN44" s="17" t="s">
        <v>56</v>
      </c>
      <c r="MO44" s="17" t="s">
        <v>55</v>
      </c>
      <c r="MP44" s="17" t="s">
        <v>56</v>
      </c>
      <c r="MQ44" s="17" t="s">
        <v>55</v>
      </c>
      <c r="MR44" s="17" t="s">
        <v>56</v>
      </c>
      <c r="MS44" s="17" t="s">
        <v>55</v>
      </c>
      <c r="MT44" s="17" t="s">
        <v>56</v>
      </c>
      <c r="MU44" s="17" t="s">
        <v>55</v>
      </c>
      <c r="MV44" s="17" t="s">
        <v>56</v>
      </c>
      <c r="MW44" s="17" t="s">
        <v>55</v>
      </c>
      <c r="MX44" s="17" t="s">
        <v>56</v>
      </c>
      <c r="MY44" s="17" t="s">
        <v>55</v>
      </c>
      <c r="MZ44" s="17" t="s">
        <v>56</v>
      </c>
      <c r="NA44" s="17" t="s">
        <v>55</v>
      </c>
      <c r="NB44" s="10" t="s">
        <v>56</v>
      </c>
      <c r="NC44" s="10" t="s">
        <v>55</v>
      </c>
      <c r="ND44" s="10" t="s">
        <v>56</v>
      </c>
      <c r="NE44" s="10" t="s">
        <v>55</v>
      </c>
      <c r="NF44" s="10" t="s">
        <v>56</v>
      </c>
      <c r="NG44" s="10" t="s">
        <v>55</v>
      </c>
      <c r="NH44" s="10" t="s">
        <v>56</v>
      </c>
      <c r="NI44" s="10" t="s">
        <v>55</v>
      </c>
      <c r="NJ44" s="10" t="s">
        <v>56</v>
      </c>
      <c r="NK44" s="10" t="s">
        <v>55</v>
      </c>
      <c r="NL44" s="10" t="s">
        <v>56</v>
      </c>
      <c r="NM44" s="4" t="s">
        <v>55</v>
      </c>
      <c r="NN44" s="10" t="s">
        <v>56</v>
      </c>
      <c r="NO44" s="4" t="s">
        <v>55</v>
      </c>
      <c r="NP44" s="10" t="s">
        <v>56</v>
      </c>
      <c r="NQ44" s="4" t="s">
        <v>55</v>
      </c>
      <c r="NR44" s="10" t="s">
        <v>57</v>
      </c>
      <c r="NS44" s="10" t="s">
        <v>55</v>
      </c>
      <c r="NT44" s="10">
        <f>(20*1000)/E44</f>
        <v>167.89791806581599</v>
      </c>
      <c r="NU44" s="10">
        <f>(4*1000)/E44</f>
        <v>33.579583613163194</v>
      </c>
    </row>
    <row r="45" spans="1:385" x14ac:dyDescent="0.2">
      <c r="A45" t="s">
        <v>1047</v>
      </c>
      <c r="B45" s="1" t="s">
        <v>1040</v>
      </c>
      <c r="C45" s="1" t="s">
        <v>843</v>
      </c>
      <c r="D45" s="39" cm="1">
        <f t="array" ref="D45">SUMPRODUCT((ISNUMBER(F45:NU45))*(MOD(COLUMN(F45:NU45),2)=0))</f>
        <v>3</v>
      </c>
      <c r="E45" s="1">
        <v>119.12</v>
      </c>
      <c r="F45" s="17" t="s">
        <v>56</v>
      </c>
      <c r="G45" s="17" t="s">
        <v>55</v>
      </c>
      <c r="H45" s="17" t="s">
        <v>56</v>
      </c>
      <c r="I45" s="17" t="s">
        <v>55</v>
      </c>
      <c r="J45" s="17" t="s">
        <v>56</v>
      </c>
      <c r="K45" s="17" t="s">
        <v>55</v>
      </c>
      <c r="L45" s="17" t="s">
        <v>56</v>
      </c>
      <c r="M45" s="17" t="s">
        <v>55</v>
      </c>
      <c r="N45" s="17" t="s">
        <v>56</v>
      </c>
      <c r="O45" s="17" t="s">
        <v>55</v>
      </c>
      <c r="P45" s="17" t="s">
        <v>56</v>
      </c>
      <c r="Q45" s="17" t="s">
        <v>55</v>
      </c>
      <c r="R45" s="17" t="s">
        <v>56</v>
      </c>
      <c r="S45" s="17" t="s">
        <v>55</v>
      </c>
      <c r="T45" s="17" t="s">
        <v>56</v>
      </c>
      <c r="U45" s="17" t="s">
        <v>55</v>
      </c>
      <c r="V45" s="17" t="s">
        <v>56</v>
      </c>
      <c r="W45" s="17" t="s">
        <v>55</v>
      </c>
      <c r="X45" s="17" t="s">
        <v>56</v>
      </c>
      <c r="Y45" s="17" t="s">
        <v>55</v>
      </c>
      <c r="Z45" s="17" t="s">
        <v>56</v>
      </c>
      <c r="AA45" s="17" t="s">
        <v>55</v>
      </c>
      <c r="AB45" s="17" t="s">
        <v>56</v>
      </c>
      <c r="AC45" s="17" t="s">
        <v>55</v>
      </c>
      <c r="AD45" s="17" t="s">
        <v>56</v>
      </c>
      <c r="AE45" s="17" t="s">
        <v>55</v>
      </c>
      <c r="AF45" s="17" t="s">
        <v>56</v>
      </c>
      <c r="AG45" s="17" t="s">
        <v>55</v>
      </c>
      <c r="AH45" s="17" t="s">
        <v>56</v>
      </c>
      <c r="AI45" s="17" t="s">
        <v>55</v>
      </c>
      <c r="AJ45" s="17" t="s">
        <v>56</v>
      </c>
      <c r="AK45" s="17" t="s">
        <v>55</v>
      </c>
      <c r="AL45" s="17" t="s">
        <v>56</v>
      </c>
      <c r="AM45" s="17" t="s">
        <v>55</v>
      </c>
      <c r="AN45" s="17" t="s">
        <v>56</v>
      </c>
      <c r="AO45" s="17" t="s">
        <v>55</v>
      </c>
      <c r="AP45" s="17" t="s">
        <v>56</v>
      </c>
      <c r="AQ45" s="17" t="s">
        <v>55</v>
      </c>
      <c r="AR45" s="19">
        <f>33/E45</f>
        <v>0.27703156480859636</v>
      </c>
      <c r="AS45" s="19">
        <f>10/E45</f>
        <v>8.3948959032907985E-2</v>
      </c>
      <c r="AT45" s="17" t="s">
        <v>56</v>
      </c>
      <c r="AU45" s="17" t="s">
        <v>55</v>
      </c>
      <c r="AV45" s="17" t="s">
        <v>56</v>
      </c>
      <c r="AW45" s="17" t="s">
        <v>55</v>
      </c>
      <c r="AX45" s="17" t="s">
        <v>56</v>
      </c>
      <c r="AY45" s="17" t="s">
        <v>55</v>
      </c>
      <c r="AZ45" s="17" t="s">
        <v>56</v>
      </c>
      <c r="BA45" s="17" t="s">
        <v>55</v>
      </c>
      <c r="BB45" s="17" t="s">
        <v>56</v>
      </c>
      <c r="BC45" s="17" t="s">
        <v>55</v>
      </c>
      <c r="BD45" s="17" t="s">
        <v>56</v>
      </c>
      <c r="BE45" s="17" t="s">
        <v>55</v>
      </c>
      <c r="BF45" s="17" t="s">
        <v>56</v>
      </c>
      <c r="BG45" s="17" t="s">
        <v>55</v>
      </c>
      <c r="BH45" s="17" t="s">
        <v>56</v>
      </c>
      <c r="BI45" s="17" t="s">
        <v>55</v>
      </c>
      <c r="BJ45" s="17" t="s">
        <v>56</v>
      </c>
      <c r="BK45" s="17" t="s">
        <v>55</v>
      </c>
      <c r="BL45" s="17" t="s">
        <v>56</v>
      </c>
      <c r="BM45" s="17" t="s">
        <v>55</v>
      </c>
      <c r="BN45" s="17" t="s">
        <v>56</v>
      </c>
      <c r="BO45" s="17" t="s">
        <v>55</v>
      </c>
      <c r="BP45" s="17" t="s">
        <v>56</v>
      </c>
      <c r="BQ45" s="17" t="s">
        <v>55</v>
      </c>
      <c r="BR45" s="17" t="s">
        <v>56</v>
      </c>
      <c r="BS45" s="17" t="s">
        <v>55</v>
      </c>
      <c r="BT45" s="17" t="s">
        <v>56</v>
      </c>
      <c r="BU45" s="17" t="s">
        <v>55</v>
      </c>
      <c r="BV45" s="17" t="s">
        <v>56</v>
      </c>
      <c r="BW45" s="17" t="s">
        <v>55</v>
      </c>
      <c r="BX45" s="17" t="s">
        <v>56</v>
      </c>
      <c r="BY45" s="17" t="s">
        <v>55</v>
      </c>
      <c r="BZ45" s="17" t="s">
        <v>56</v>
      </c>
      <c r="CA45" s="17" t="s">
        <v>55</v>
      </c>
      <c r="CB45" s="17" t="s">
        <v>56</v>
      </c>
      <c r="CC45" s="17" t="s">
        <v>55</v>
      </c>
      <c r="CD45" s="17" t="s">
        <v>56</v>
      </c>
      <c r="CE45" s="17" t="s">
        <v>55</v>
      </c>
      <c r="CF45" s="17" t="s">
        <v>56</v>
      </c>
      <c r="CG45" s="17" t="s">
        <v>55</v>
      </c>
      <c r="CH45" s="17" t="s">
        <v>56</v>
      </c>
      <c r="CI45" s="17" t="s">
        <v>55</v>
      </c>
      <c r="CJ45" s="17" t="s">
        <v>56</v>
      </c>
      <c r="CK45" s="17" t="s">
        <v>55</v>
      </c>
      <c r="CL45" s="17" t="s">
        <v>56</v>
      </c>
      <c r="CM45" s="17" t="s">
        <v>55</v>
      </c>
      <c r="CN45" s="17" t="s">
        <v>56</v>
      </c>
      <c r="CO45" s="17" t="s">
        <v>55</v>
      </c>
      <c r="CP45" s="17" t="s">
        <v>56</v>
      </c>
      <c r="CQ45" s="17" t="s">
        <v>55</v>
      </c>
      <c r="CR45" s="17" t="s">
        <v>56</v>
      </c>
      <c r="CS45" s="17" t="s">
        <v>55</v>
      </c>
      <c r="CT45" s="17" t="s">
        <v>56</v>
      </c>
      <c r="CU45" s="17" t="s">
        <v>55</v>
      </c>
      <c r="CV45" s="17" t="s">
        <v>56</v>
      </c>
      <c r="CW45" s="17" t="s">
        <v>55</v>
      </c>
      <c r="CX45" s="17" t="s">
        <v>56</v>
      </c>
      <c r="CY45" s="17" t="s">
        <v>55</v>
      </c>
      <c r="CZ45" s="17" t="s">
        <v>56</v>
      </c>
      <c r="DA45" s="17" t="s">
        <v>55</v>
      </c>
      <c r="DB45" s="17" t="s">
        <v>56</v>
      </c>
      <c r="DC45" s="17" t="s">
        <v>55</v>
      </c>
      <c r="DD45" s="17" t="s">
        <v>56</v>
      </c>
      <c r="DE45" s="17" t="s">
        <v>55</v>
      </c>
      <c r="DF45" s="17" t="s">
        <v>56</v>
      </c>
      <c r="DG45" s="17" t="s">
        <v>55</v>
      </c>
      <c r="DH45" s="17" t="s">
        <v>56</v>
      </c>
      <c r="DI45" s="17" t="s">
        <v>55</v>
      </c>
      <c r="DJ45" s="17" t="s">
        <v>56</v>
      </c>
      <c r="DK45" s="17" t="s">
        <v>55</v>
      </c>
      <c r="DL45" s="17" t="s">
        <v>56</v>
      </c>
      <c r="DM45" s="17" t="s">
        <v>55</v>
      </c>
      <c r="DN45" s="17" t="s">
        <v>56</v>
      </c>
      <c r="DO45" s="17" t="s">
        <v>55</v>
      </c>
      <c r="DP45" s="17" t="s">
        <v>56</v>
      </c>
      <c r="DQ45" s="17" t="s">
        <v>55</v>
      </c>
      <c r="DR45" s="17" t="s">
        <v>56</v>
      </c>
      <c r="DS45" s="17" t="s">
        <v>55</v>
      </c>
      <c r="DT45" s="17" t="s">
        <v>56</v>
      </c>
      <c r="DU45" s="17" t="s">
        <v>55</v>
      </c>
      <c r="DV45" s="17" t="s">
        <v>56</v>
      </c>
      <c r="DW45" s="17" t="s">
        <v>55</v>
      </c>
      <c r="DX45" s="17" t="s">
        <v>56</v>
      </c>
      <c r="DY45" s="17" t="s">
        <v>55</v>
      </c>
      <c r="DZ45" s="17" t="s">
        <v>56</v>
      </c>
      <c r="EA45" s="17" t="s">
        <v>55</v>
      </c>
      <c r="EB45" s="17" t="s">
        <v>56</v>
      </c>
      <c r="EC45" s="17" t="s">
        <v>55</v>
      </c>
      <c r="ED45" s="17" t="s">
        <v>56</v>
      </c>
      <c r="EE45" s="17" t="s">
        <v>55</v>
      </c>
      <c r="EF45" s="17" t="s">
        <v>56</v>
      </c>
      <c r="EG45" s="17" t="s">
        <v>55</v>
      </c>
      <c r="EH45" s="17" t="s">
        <v>56</v>
      </c>
      <c r="EI45" s="17" t="s">
        <v>55</v>
      </c>
      <c r="EJ45" s="17" t="s">
        <v>56</v>
      </c>
      <c r="EK45" s="17" t="s">
        <v>55</v>
      </c>
      <c r="EL45" s="17" t="s">
        <v>56</v>
      </c>
      <c r="EM45" s="17" t="s">
        <v>55</v>
      </c>
      <c r="EN45" s="17" t="s">
        <v>56</v>
      </c>
      <c r="EO45" s="17" t="s">
        <v>55</v>
      </c>
      <c r="EP45" s="17" t="s">
        <v>56</v>
      </c>
      <c r="EQ45" s="17" t="s">
        <v>55</v>
      </c>
      <c r="ER45" s="17" t="s">
        <v>56</v>
      </c>
      <c r="ES45" s="17" t="s">
        <v>55</v>
      </c>
      <c r="ET45" s="17" t="s">
        <v>56</v>
      </c>
      <c r="EU45" s="17" t="s">
        <v>55</v>
      </c>
      <c r="EV45" s="17" t="s">
        <v>56</v>
      </c>
      <c r="EW45" s="17" t="s">
        <v>55</v>
      </c>
      <c r="EX45" s="17" t="s">
        <v>56</v>
      </c>
      <c r="EY45" s="17" t="s">
        <v>55</v>
      </c>
      <c r="EZ45" s="17" t="s">
        <v>56</v>
      </c>
      <c r="FA45" s="17" t="s">
        <v>55</v>
      </c>
      <c r="FB45" s="17" t="s">
        <v>56</v>
      </c>
      <c r="FC45" s="17" t="s">
        <v>55</v>
      </c>
      <c r="FD45" s="17" t="s">
        <v>56</v>
      </c>
      <c r="FE45" s="17" t="s">
        <v>55</v>
      </c>
      <c r="FF45" s="17" t="s">
        <v>56</v>
      </c>
      <c r="FG45" s="17" t="s">
        <v>55</v>
      </c>
      <c r="FH45" s="17" t="s">
        <v>56</v>
      </c>
      <c r="FI45" s="17" t="s">
        <v>55</v>
      </c>
      <c r="FJ45" s="17" t="s">
        <v>56</v>
      </c>
      <c r="FK45" s="17" t="s">
        <v>55</v>
      </c>
      <c r="FL45" s="17" t="s">
        <v>56</v>
      </c>
      <c r="FM45" s="17" t="s">
        <v>55</v>
      </c>
      <c r="FN45" s="17" t="s">
        <v>56</v>
      </c>
      <c r="FO45" s="17" t="s">
        <v>55</v>
      </c>
      <c r="FP45" s="17" t="s">
        <v>56</v>
      </c>
      <c r="FQ45" s="17" t="s">
        <v>55</v>
      </c>
      <c r="FR45" s="17" t="s">
        <v>56</v>
      </c>
      <c r="FS45" s="17" t="s">
        <v>55</v>
      </c>
      <c r="FT45" s="17" t="s">
        <v>56</v>
      </c>
      <c r="FU45" s="17" t="s">
        <v>55</v>
      </c>
      <c r="FV45" s="17" t="s">
        <v>56</v>
      </c>
      <c r="FW45" s="17" t="s">
        <v>55</v>
      </c>
      <c r="FX45" s="17" t="s">
        <v>56</v>
      </c>
      <c r="FY45" s="17" t="s">
        <v>55</v>
      </c>
      <c r="FZ45" s="17" t="s">
        <v>56</v>
      </c>
      <c r="GA45" s="17" t="s">
        <v>55</v>
      </c>
      <c r="GB45" s="17" t="s">
        <v>56</v>
      </c>
      <c r="GC45" s="17" t="s">
        <v>55</v>
      </c>
      <c r="GD45" s="17" t="s">
        <v>56</v>
      </c>
      <c r="GE45" s="17" t="s">
        <v>55</v>
      </c>
      <c r="GF45" s="17" t="s">
        <v>56</v>
      </c>
      <c r="GG45" s="17" t="s">
        <v>55</v>
      </c>
      <c r="GH45" s="17" t="s">
        <v>56</v>
      </c>
      <c r="GI45" s="17" t="s">
        <v>55</v>
      </c>
      <c r="GJ45" s="17" t="s">
        <v>56</v>
      </c>
      <c r="GK45" s="17" t="s">
        <v>55</v>
      </c>
      <c r="GL45" s="17" t="s">
        <v>56</v>
      </c>
      <c r="GM45" s="17" t="s">
        <v>55</v>
      </c>
      <c r="GN45" s="17" t="s">
        <v>56</v>
      </c>
      <c r="GO45" s="17" t="s">
        <v>55</v>
      </c>
      <c r="GP45" s="17" t="s">
        <v>56</v>
      </c>
      <c r="GQ45" s="17" t="s">
        <v>55</v>
      </c>
      <c r="GR45" s="17" t="s">
        <v>56</v>
      </c>
      <c r="GS45" s="17" t="s">
        <v>55</v>
      </c>
      <c r="GT45" s="17" t="s">
        <v>56</v>
      </c>
      <c r="GU45" s="17" t="s">
        <v>55</v>
      </c>
      <c r="GV45" s="17" t="s">
        <v>56</v>
      </c>
      <c r="GW45" s="17" t="s">
        <v>55</v>
      </c>
      <c r="GX45" s="17" t="s">
        <v>56</v>
      </c>
      <c r="GY45" s="17" t="s">
        <v>55</v>
      </c>
      <c r="GZ45" s="17" t="s">
        <v>56</v>
      </c>
      <c r="HA45" s="17" t="s">
        <v>55</v>
      </c>
      <c r="HB45" s="17" t="s">
        <v>56</v>
      </c>
      <c r="HC45" s="17" t="s">
        <v>55</v>
      </c>
      <c r="HD45" s="17" t="s">
        <v>56</v>
      </c>
      <c r="HE45" s="17" t="s">
        <v>55</v>
      </c>
      <c r="HF45" s="17" t="s">
        <v>56</v>
      </c>
      <c r="HG45" s="17" t="s">
        <v>55</v>
      </c>
      <c r="HH45" s="17" t="s">
        <v>56</v>
      </c>
      <c r="HI45" s="17" t="s">
        <v>55</v>
      </c>
      <c r="HJ45" s="17" t="s">
        <v>56</v>
      </c>
      <c r="HK45" s="17" t="s">
        <v>55</v>
      </c>
      <c r="HL45" s="17" t="s">
        <v>56</v>
      </c>
      <c r="HM45" s="17" t="s">
        <v>55</v>
      </c>
      <c r="HN45" s="17" t="s">
        <v>56</v>
      </c>
      <c r="HO45" s="17" t="s">
        <v>55</v>
      </c>
      <c r="HP45" s="17" t="s">
        <v>56</v>
      </c>
      <c r="HQ45" s="17" t="s">
        <v>55</v>
      </c>
      <c r="HR45" s="17" t="s">
        <v>56</v>
      </c>
      <c r="HS45" s="17" t="s">
        <v>55</v>
      </c>
      <c r="HT45" s="17" t="s">
        <v>56</v>
      </c>
      <c r="HU45" s="17" t="s">
        <v>55</v>
      </c>
      <c r="HV45" s="17" t="s">
        <v>56</v>
      </c>
      <c r="HW45" s="17" t="s">
        <v>55</v>
      </c>
      <c r="HX45" s="17" t="s">
        <v>56</v>
      </c>
      <c r="HY45" s="17" t="s">
        <v>55</v>
      </c>
      <c r="HZ45" s="17" t="s">
        <v>56</v>
      </c>
      <c r="IA45" s="17" t="s">
        <v>55</v>
      </c>
      <c r="IB45" s="17" t="s">
        <v>56</v>
      </c>
      <c r="IC45" s="17" t="s">
        <v>55</v>
      </c>
      <c r="ID45" s="17" t="s">
        <v>56</v>
      </c>
      <c r="IE45" s="17" t="s">
        <v>55</v>
      </c>
      <c r="IF45" s="17" t="s">
        <v>56</v>
      </c>
      <c r="IG45" s="17" t="s">
        <v>55</v>
      </c>
      <c r="IH45" s="17" t="s">
        <v>56</v>
      </c>
      <c r="II45" s="17" t="s">
        <v>55</v>
      </c>
      <c r="IJ45" s="17" t="s">
        <v>56</v>
      </c>
      <c r="IK45" s="17" t="s">
        <v>55</v>
      </c>
      <c r="IL45" s="17" t="s">
        <v>56</v>
      </c>
      <c r="IM45" s="17" t="s">
        <v>55</v>
      </c>
      <c r="IN45" s="17" t="s">
        <v>56</v>
      </c>
      <c r="IO45" s="17" t="s">
        <v>55</v>
      </c>
      <c r="IP45" s="17" t="s">
        <v>56</v>
      </c>
      <c r="IQ45" s="17" t="s">
        <v>55</v>
      </c>
      <c r="IR45" s="17" t="s">
        <v>56</v>
      </c>
      <c r="IS45" s="17" t="s">
        <v>55</v>
      </c>
      <c r="IT45" s="17" t="s">
        <v>56</v>
      </c>
      <c r="IU45" s="17" t="s">
        <v>55</v>
      </c>
      <c r="IV45" s="17" t="s">
        <v>56</v>
      </c>
      <c r="IW45" s="17" t="s">
        <v>55</v>
      </c>
      <c r="IX45" s="17" t="s">
        <v>56</v>
      </c>
      <c r="IY45" s="17" t="s">
        <v>55</v>
      </c>
      <c r="IZ45" s="17" t="s">
        <v>56</v>
      </c>
      <c r="JA45" s="17" t="s">
        <v>55</v>
      </c>
      <c r="JB45" s="17" t="s">
        <v>56</v>
      </c>
      <c r="JC45" s="17" t="s">
        <v>55</v>
      </c>
      <c r="JD45" s="17" t="s">
        <v>56</v>
      </c>
      <c r="JE45" s="17" t="s">
        <v>55</v>
      </c>
      <c r="JF45" s="17" t="s">
        <v>56</v>
      </c>
      <c r="JG45" s="17" t="s">
        <v>55</v>
      </c>
      <c r="JH45" s="17" t="s">
        <v>56</v>
      </c>
      <c r="JI45" s="17" t="s">
        <v>55</v>
      </c>
      <c r="JJ45" s="17" t="s">
        <v>56</v>
      </c>
      <c r="JK45" s="17" t="s">
        <v>55</v>
      </c>
      <c r="JL45" s="17" t="s">
        <v>56</v>
      </c>
      <c r="JM45" s="17" t="s">
        <v>55</v>
      </c>
      <c r="JN45" s="17" t="s">
        <v>56</v>
      </c>
      <c r="JO45" s="17" t="s">
        <v>55</v>
      </c>
      <c r="JP45" s="17" t="s">
        <v>56</v>
      </c>
      <c r="JQ45" s="17" t="s">
        <v>55</v>
      </c>
      <c r="JR45" s="17" t="s">
        <v>56</v>
      </c>
      <c r="JS45" s="17" t="s">
        <v>55</v>
      </c>
      <c r="JT45" s="17" t="s">
        <v>56</v>
      </c>
      <c r="JU45" s="17" t="s">
        <v>55</v>
      </c>
      <c r="JV45" s="17" t="s">
        <v>56</v>
      </c>
      <c r="JW45" s="17" t="s">
        <v>55</v>
      </c>
      <c r="JX45" s="17" t="s">
        <v>56</v>
      </c>
      <c r="JY45" s="17" t="s">
        <v>55</v>
      </c>
      <c r="JZ45" s="17" t="s">
        <v>56</v>
      </c>
      <c r="KA45" s="17" t="s">
        <v>55</v>
      </c>
      <c r="KB45" s="17" t="s">
        <v>56</v>
      </c>
      <c r="KC45" s="17" t="s">
        <v>55</v>
      </c>
      <c r="KD45" s="17" t="s">
        <v>56</v>
      </c>
      <c r="KE45" s="17" t="s">
        <v>55</v>
      </c>
      <c r="KF45" s="17" t="s">
        <v>56</v>
      </c>
      <c r="KG45" s="17" t="s">
        <v>55</v>
      </c>
      <c r="KH45" s="17" t="s">
        <v>56</v>
      </c>
      <c r="KI45" s="17" t="s">
        <v>55</v>
      </c>
      <c r="KJ45" s="17" t="s">
        <v>56</v>
      </c>
      <c r="KK45" s="17" t="s">
        <v>55</v>
      </c>
      <c r="KL45" s="17" t="s">
        <v>56</v>
      </c>
      <c r="KM45" s="17" t="s">
        <v>55</v>
      </c>
      <c r="KN45" s="17" t="s">
        <v>56</v>
      </c>
      <c r="KO45" s="17" t="s">
        <v>55</v>
      </c>
      <c r="KP45" s="17" t="s">
        <v>56</v>
      </c>
      <c r="KQ45" s="17" t="s">
        <v>55</v>
      </c>
      <c r="KR45" s="17" t="s">
        <v>56</v>
      </c>
      <c r="KS45" s="17" t="s">
        <v>55</v>
      </c>
      <c r="KT45" s="17" t="s">
        <v>56</v>
      </c>
      <c r="KU45" s="17" t="s">
        <v>55</v>
      </c>
      <c r="KV45" s="17" t="s">
        <v>56</v>
      </c>
      <c r="KW45" s="17" t="s">
        <v>55</v>
      </c>
      <c r="KX45" s="17" t="s">
        <v>56</v>
      </c>
      <c r="KY45" s="17" t="s">
        <v>55</v>
      </c>
      <c r="KZ45" s="17" t="s">
        <v>56</v>
      </c>
      <c r="LA45" s="17" t="s">
        <v>55</v>
      </c>
      <c r="LB45" s="10" t="s">
        <v>56</v>
      </c>
      <c r="LC45" s="10" t="s">
        <v>55</v>
      </c>
      <c r="LD45" s="10" t="s">
        <v>56</v>
      </c>
      <c r="LE45" s="10" t="s">
        <v>55</v>
      </c>
      <c r="LF45" s="10" t="s">
        <v>56</v>
      </c>
      <c r="LG45" s="10" t="s">
        <v>55</v>
      </c>
      <c r="LH45" s="10" t="s">
        <v>56</v>
      </c>
      <c r="LI45" s="10" t="s">
        <v>55</v>
      </c>
      <c r="LJ45" s="10" t="s">
        <v>56</v>
      </c>
      <c r="LK45" s="10" t="s">
        <v>162</v>
      </c>
      <c r="LL45" s="10" t="s">
        <v>56</v>
      </c>
      <c r="LM45" s="10" t="s">
        <v>162</v>
      </c>
      <c r="LN45" s="10" t="s">
        <v>56</v>
      </c>
      <c r="LO45" s="10" t="s">
        <v>162</v>
      </c>
      <c r="LP45" s="10" t="s">
        <v>56</v>
      </c>
      <c r="LQ45" s="10" t="s">
        <v>162</v>
      </c>
      <c r="LR45" s="10" t="s">
        <v>56</v>
      </c>
      <c r="LS45" s="10" t="s">
        <v>162</v>
      </c>
      <c r="LT45" s="10" t="s">
        <v>56</v>
      </c>
      <c r="LU45" s="10" t="s">
        <v>162</v>
      </c>
      <c r="LV45" s="10" t="s">
        <v>56</v>
      </c>
      <c r="LW45" s="10" t="s">
        <v>55</v>
      </c>
      <c r="LX45" s="10" t="s">
        <v>56</v>
      </c>
      <c r="LY45" s="10" t="s">
        <v>55</v>
      </c>
      <c r="LZ45" s="10" t="s">
        <v>56</v>
      </c>
      <c r="MA45" s="10" t="s">
        <v>55</v>
      </c>
      <c r="MB45" s="10" t="s">
        <v>56</v>
      </c>
      <c r="MC45" s="10" t="s">
        <v>55</v>
      </c>
      <c r="MD45" s="17" t="s">
        <v>56</v>
      </c>
      <c r="ME45" s="17" t="s">
        <v>55</v>
      </c>
      <c r="MF45" s="17" t="s">
        <v>56</v>
      </c>
      <c r="MG45" s="17" t="s">
        <v>55</v>
      </c>
      <c r="MH45" s="17" t="s">
        <v>56</v>
      </c>
      <c r="MI45" s="17" t="s">
        <v>55</v>
      </c>
      <c r="MJ45" s="17" t="s">
        <v>56</v>
      </c>
      <c r="MK45" s="17" t="s">
        <v>55</v>
      </c>
      <c r="ML45" s="17" t="s">
        <v>56</v>
      </c>
      <c r="MM45" s="17" t="s">
        <v>55</v>
      </c>
      <c r="MN45" s="17" t="s">
        <v>56</v>
      </c>
      <c r="MO45" s="17" t="s">
        <v>55</v>
      </c>
      <c r="MP45" s="17" t="s">
        <v>56</v>
      </c>
      <c r="MQ45" s="17" t="s">
        <v>55</v>
      </c>
      <c r="MR45" s="17" t="s">
        <v>56</v>
      </c>
      <c r="MS45" s="17" t="s">
        <v>55</v>
      </c>
      <c r="MT45" s="17" t="s">
        <v>56</v>
      </c>
      <c r="MU45" s="17" t="s">
        <v>55</v>
      </c>
      <c r="MV45" s="17" t="s">
        <v>56</v>
      </c>
      <c r="MW45" s="17" t="s">
        <v>55</v>
      </c>
      <c r="MX45" s="17" t="s">
        <v>56</v>
      </c>
      <c r="MY45" s="17" t="s">
        <v>55</v>
      </c>
      <c r="MZ45" s="17" t="s">
        <v>56</v>
      </c>
      <c r="NA45" s="17" t="s">
        <v>55</v>
      </c>
      <c r="NB45" s="10" t="s">
        <v>56</v>
      </c>
      <c r="NC45" s="10" t="s">
        <v>55</v>
      </c>
      <c r="ND45" s="10" t="s">
        <v>56</v>
      </c>
      <c r="NE45" s="10" t="s">
        <v>55</v>
      </c>
      <c r="NF45" s="10" t="s">
        <v>56</v>
      </c>
      <c r="NG45" s="10" t="s">
        <v>55</v>
      </c>
      <c r="NH45" s="10" t="s">
        <v>56</v>
      </c>
      <c r="NI45" s="10" t="s">
        <v>55</v>
      </c>
      <c r="NJ45" s="10" t="s">
        <v>56</v>
      </c>
      <c r="NK45" s="10" t="s">
        <v>55</v>
      </c>
      <c r="NL45" s="10" t="s">
        <v>56</v>
      </c>
      <c r="NM45" s="4" t="s">
        <v>55</v>
      </c>
      <c r="NN45" s="10" t="s">
        <v>56</v>
      </c>
      <c r="NO45" s="4" t="s">
        <v>55</v>
      </c>
      <c r="NP45" s="10" t="s">
        <v>56</v>
      </c>
      <c r="NQ45" s="4" t="s">
        <v>55</v>
      </c>
      <c r="NR45" s="10">
        <f>(9.2*1000)/E45</f>
        <v>77.233042310275351</v>
      </c>
      <c r="NS45" s="10">
        <f>(1.8*1000)/E45</f>
        <v>15.110812625923439</v>
      </c>
      <c r="NT45" s="10">
        <f>(114*1000)/E45</f>
        <v>957.01813297515105</v>
      </c>
      <c r="NU45" s="10">
        <f>(28*1000)/E45</f>
        <v>235.05708529214238</v>
      </c>
    </row>
    <row r="46" spans="1:385" x14ac:dyDescent="0.2">
      <c r="A46" t="s">
        <v>568</v>
      </c>
      <c r="B46" s="1" t="s">
        <v>1037</v>
      </c>
      <c r="C46" s="1" t="s">
        <v>859</v>
      </c>
      <c r="D46" s="39" cm="1">
        <f t="array" ref="D46">SUMPRODUCT((ISNUMBER(F46:NU46))*(MOD(COLUMN(F46:NU46),2)=0))</f>
        <v>3</v>
      </c>
      <c r="E46" s="1">
        <v>132.12</v>
      </c>
      <c r="F46" s="10" t="s">
        <v>56</v>
      </c>
      <c r="G46" s="10" t="s">
        <v>55</v>
      </c>
      <c r="H46" s="10" t="s">
        <v>56</v>
      </c>
      <c r="I46" s="10" t="s">
        <v>55</v>
      </c>
      <c r="J46" s="10" t="s">
        <v>56</v>
      </c>
      <c r="K46" s="10" t="s">
        <v>55</v>
      </c>
      <c r="L46" s="10" t="s">
        <v>56</v>
      </c>
      <c r="M46" s="10" t="s">
        <v>55</v>
      </c>
      <c r="N46" s="10" t="s">
        <v>56</v>
      </c>
      <c r="O46" s="10" t="s">
        <v>55</v>
      </c>
      <c r="P46" s="10" t="s">
        <v>56</v>
      </c>
      <c r="Q46" s="10" t="s">
        <v>55</v>
      </c>
      <c r="R46" s="10" t="s">
        <v>56</v>
      </c>
      <c r="S46" s="10" t="s">
        <v>55</v>
      </c>
      <c r="T46" s="10" t="s">
        <v>56</v>
      </c>
      <c r="U46" s="10" t="s">
        <v>55</v>
      </c>
      <c r="V46" s="10" t="s">
        <v>56</v>
      </c>
      <c r="W46" s="10" t="s">
        <v>55</v>
      </c>
      <c r="X46" s="10" t="s">
        <v>56</v>
      </c>
      <c r="Y46" s="10" t="s">
        <v>55</v>
      </c>
      <c r="Z46" s="10" t="s">
        <v>56</v>
      </c>
      <c r="AA46" s="10" t="s">
        <v>55</v>
      </c>
      <c r="AB46" s="10" t="s">
        <v>56</v>
      </c>
      <c r="AC46" s="10" t="s">
        <v>55</v>
      </c>
      <c r="AD46" s="10" t="s">
        <v>56</v>
      </c>
      <c r="AE46" s="10" t="s">
        <v>55</v>
      </c>
      <c r="AF46" s="10" t="s">
        <v>56</v>
      </c>
      <c r="AG46" s="10" t="s">
        <v>55</v>
      </c>
      <c r="AH46" s="10" t="s">
        <v>56</v>
      </c>
      <c r="AI46" s="10" t="s">
        <v>55</v>
      </c>
      <c r="AJ46" s="10" t="s">
        <v>56</v>
      </c>
      <c r="AK46" s="10" t="s">
        <v>55</v>
      </c>
      <c r="AL46" s="10" t="s">
        <v>56</v>
      </c>
      <c r="AM46" s="10" t="s">
        <v>55</v>
      </c>
      <c r="AN46" s="10" t="s">
        <v>56</v>
      </c>
      <c r="AO46" s="10" t="s">
        <v>55</v>
      </c>
      <c r="AP46" s="10" t="s">
        <v>56</v>
      </c>
      <c r="AQ46" s="10" t="s">
        <v>55</v>
      </c>
      <c r="AR46" s="10" t="s">
        <v>56</v>
      </c>
      <c r="AS46" s="10" t="s">
        <v>55</v>
      </c>
      <c r="AT46" s="10" t="s">
        <v>56</v>
      </c>
      <c r="AU46" s="10" t="s">
        <v>55</v>
      </c>
      <c r="AV46" s="10" t="s">
        <v>56</v>
      </c>
      <c r="AW46" s="10" t="s">
        <v>55</v>
      </c>
      <c r="AX46" s="10" t="s">
        <v>56</v>
      </c>
      <c r="AY46" s="10" t="s">
        <v>55</v>
      </c>
      <c r="AZ46" s="10" t="s">
        <v>56</v>
      </c>
      <c r="BA46" s="10" t="s">
        <v>55</v>
      </c>
      <c r="BB46" s="10" t="s">
        <v>56</v>
      </c>
      <c r="BC46" s="10" t="s">
        <v>55</v>
      </c>
      <c r="BD46" s="10" t="s">
        <v>56</v>
      </c>
      <c r="BE46" s="10" t="s">
        <v>55</v>
      </c>
      <c r="BF46" s="10" t="s">
        <v>56</v>
      </c>
      <c r="BG46" s="10" t="s">
        <v>55</v>
      </c>
      <c r="BH46" s="10" t="s">
        <v>56</v>
      </c>
      <c r="BI46" s="10" t="s">
        <v>55</v>
      </c>
      <c r="BJ46" s="10" t="s">
        <v>56</v>
      </c>
      <c r="BK46" s="10" t="s">
        <v>55</v>
      </c>
      <c r="BL46" s="10" t="s">
        <v>56</v>
      </c>
      <c r="BM46" s="10" t="s">
        <v>55</v>
      </c>
      <c r="BN46" s="10" t="s">
        <v>56</v>
      </c>
      <c r="BO46" s="10" t="s">
        <v>55</v>
      </c>
      <c r="BP46" s="10" t="s">
        <v>56</v>
      </c>
      <c r="BQ46" s="10" t="s">
        <v>55</v>
      </c>
      <c r="BR46" s="10" t="s">
        <v>56</v>
      </c>
      <c r="BS46" s="10" t="s">
        <v>55</v>
      </c>
      <c r="BT46" s="10" t="s">
        <v>56</v>
      </c>
      <c r="BU46" s="10" t="s">
        <v>55</v>
      </c>
      <c r="BV46" s="10" t="s">
        <v>56</v>
      </c>
      <c r="BW46" s="10" t="s">
        <v>55</v>
      </c>
      <c r="BX46" s="10" t="s">
        <v>56</v>
      </c>
      <c r="BY46" s="10" t="s">
        <v>55</v>
      </c>
      <c r="BZ46" s="10" t="s">
        <v>56</v>
      </c>
      <c r="CA46" s="10" t="s">
        <v>55</v>
      </c>
      <c r="CB46" s="10" t="s">
        <v>56</v>
      </c>
      <c r="CC46" s="10" t="s">
        <v>55</v>
      </c>
      <c r="CD46" s="10" t="s">
        <v>56</v>
      </c>
      <c r="CE46" s="10" t="s">
        <v>55</v>
      </c>
      <c r="CF46" s="10" t="s">
        <v>56</v>
      </c>
      <c r="CG46" s="10" t="s">
        <v>55</v>
      </c>
      <c r="CH46" s="10" t="s">
        <v>56</v>
      </c>
      <c r="CI46" s="10" t="s">
        <v>55</v>
      </c>
      <c r="CJ46" s="10" t="s">
        <v>56</v>
      </c>
      <c r="CK46" s="10" t="s">
        <v>55</v>
      </c>
      <c r="CL46" s="10" t="s">
        <v>56</v>
      </c>
      <c r="CM46" s="10" t="s">
        <v>55</v>
      </c>
      <c r="CN46" s="10" t="s">
        <v>56</v>
      </c>
      <c r="CO46" s="10" t="s">
        <v>55</v>
      </c>
      <c r="CP46" s="10" t="s">
        <v>56</v>
      </c>
      <c r="CQ46" s="10" t="s">
        <v>55</v>
      </c>
      <c r="CR46" s="10" t="s">
        <v>56</v>
      </c>
      <c r="CS46" s="10" t="s">
        <v>55</v>
      </c>
      <c r="CT46" s="10" t="s">
        <v>56</v>
      </c>
      <c r="CU46" s="10" t="s">
        <v>55</v>
      </c>
      <c r="CV46" s="10" t="s">
        <v>56</v>
      </c>
      <c r="CW46" s="10" t="s">
        <v>55</v>
      </c>
      <c r="CX46" s="10" t="s">
        <v>56</v>
      </c>
      <c r="CY46" s="10" t="s">
        <v>55</v>
      </c>
      <c r="CZ46" s="10" t="s">
        <v>56</v>
      </c>
      <c r="DA46" s="10" t="s">
        <v>55</v>
      </c>
      <c r="DB46" s="10" t="s">
        <v>56</v>
      </c>
      <c r="DC46" s="10" t="s">
        <v>55</v>
      </c>
      <c r="DD46" s="10" t="s">
        <v>56</v>
      </c>
      <c r="DE46" s="10" t="s">
        <v>55</v>
      </c>
      <c r="DF46" s="10" t="s">
        <v>56</v>
      </c>
      <c r="DG46" s="10" t="s">
        <v>55</v>
      </c>
      <c r="DH46" s="10" t="s">
        <v>56</v>
      </c>
      <c r="DI46" s="10" t="s">
        <v>55</v>
      </c>
      <c r="DJ46" s="10" t="s">
        <v>56</v>
      </c>
      <c r="DK46" s="10" t="s">
        <v>55</v>
      </c>
      <c r="DL46" s="10" t="s">
        <v>56</v>
      </c>
      <c r="DM46" s="10" t="s">
        <v>55</v>
      </c>
      <c r="DN46" s="10" t="s">
        <v>56</v>
      </c>
      <c r="DO46" s="10" t="s">
        <v>55</v>
      </c>
      <c r="DP46" s="10" t="s">
        <v>56</v>
      </c>
      <c r="DQ46" s="10" t="s">
        <v>55</v>
      </c>
      <c r="DR46" s="10" t="s">
        <v>56</v>
      </c>
      <c r="DS46" s="10" t="s">
        <v>55</v>
      </c>
      <c r="DT46" s="10" t="s">
        <v>56</v>
      </c>
      <c r="DU46" s="10" t="s">
        <v>55</v>
      </c>
      <c r="DV46" s="10" t="s">
        <v>56</v>
      </c>
      <c r="DW46" s="10" t="s">
        <v>55</v>
      </c>
      <c r="DX46" s="10" t="s">
        <v>56</v>
      </c>
      <c r="DY46" s="10" t="s">
        <v>55</v>
      </c>
      <c r="DZ46" s="10" t="s">
        <v>56</v>
      </c>
      <c r="EA46" s="10" t="s">
        <v>55</v>
      </c>
      <c r="EB46" s="10" t="s">
        <v>56</v>
      </c>
      <c r="EC46" s="10" t="s">
        <v>55</v>
      </c>
      <c r="ED46" s="10" t="s">
        <v>56</v>
      </c>
      <c r="EE46" s="10" t="s">
        <v>55</v>
      </c>
      <c r="EF46" s="10" t="s">
        <v>56</v>
      </c>
      <c r="EG46" s="10" t="s">
        <v>55</v>
      </c>
      <c r="EH46" s="10" t="s">
        <v>56</v>
      </c>
      <c r="EI46" s="10" t="s">
        <v>55</v>
      </c>
      <c r="EJ46" s="10" t="s">
        <v>56</v>
      </c>
      <c r="EK46" s="10" t="s">
        <v>55</v>
      </c>
      <c r="EL46" s="10" t="s">
        <v>56</v>
      </c>
      <c r="EM46" s="10" t="s">
        <v>55</v>
      </c>
      <c r="EN46" s="10" t="s">
        <v>56</v>
      </c>
      <c r="EO46" s="10" t="s">
        <v>55</v>
      </c>
      <c r="EP46" s="10" t="s">
        <v>56</v>
      </c>
      <c r="EQ46" s="10" t="s">
        <v>55</v>
      </c>
      <c r="ER46" s="10" t="s">
        <v>56</v>
      </c>
      <c r="ES46" s="10" t="s">
        <v>55</v>
      </c>
      <c r="ET46" s="10" t="s">
        <v>56</v>
      </c>
      <c r="EU46" s="10" t="s">
        <v>55</v>
      </c>
      <c r="EV46" s="10" t="s">
        <v>56</v>
      </c>
      <c r="EW46" s="10" t="s">
        <v>55</v>
      </c>
      <c r="EX46" s="10" t="s">
        <v>56</v>
      </c>
      <c r="EY46" s="10" t="s">
        <v>55</v>
      </c>
      <c r="EZ46" s="10" t="s">
        <v>56</v>
      </c>
      <c r="FA46" s="10" t="s">
        <v>55</v>
      </c>
      <c r="FB46" s="10" t="s">
        <v>56</v>
      </c>
      <c r="FC46" s="10" t="s">
        <v>55</v>
      </c>
      <c r="FD46" s="10" t="s">
        <v>56</v>
      </c>
      <c r="FE46" s="10" t="s">
        <v>55</v>
      </c>
      <c r="FF46" s="10" t="s">
        <v>56</v>
      </c>
      <c r="FG46" s="10" t="s">
        <v>55</v>
      </c>
      <c r="FH46" s="10" t="s">
        <v>56</v>
      </c>
      <c r="FI46" s="10" t="s">
        <v>55</v>
      </c>
      <c r="FJ46" s="10" t="s">
        <v>56</v>
      </c>
      <c r="FK46" s="10" t="s">
        <v>55</v>
      </c>
      <c r="FL46" s="10" t="s">
        <v>56</v>
      </c>
      <c r="FM46" s="10" t="s">
        <v>55</v>
      </c>
      <c r="FN46" s="10" t="s">
        <v>56</v>
      </c>
      <c r="FO46" s="10" t="s">
        <v>55</v>
      </c>
      <c r="FP46" s="10" t="s">
        <v>56</v>
      </c>
      <c r="FQ46" s="10" t="s">
        <v>55</v>
      </c>
      <c r="FR46" s="10" t="s">
        <v>56</v>
      </c>
      <c r="FS46" s="10" t="s">
        <v>55</v>
      </c>
      <c r="FT46" s="10" t="s">
        <v>56</v>
      </c>
      <c r="FU46" s="10" t="s">
        <v>55</v>
      </c>
      <c r="FV46" s="10" t="s">
        <v>56</v>
      </c>
      <c r="FW46" s="10" t="s">
        <v>55</v>
      </c>
      <c r="FX46" s="10" t="s">
        <v>56</v>
      </c>
      <c r="FY46" s="10" t="s">
        <v>55</v>
      </c>
      <c r="FZ46" s="10" t="s">
        <v>56</v>
      </c>
      <c r="GA46" s="10" t="s">
        <v>55</v>
      </c>
      <c r="GB46" s="10" t="s">
        <v>56</v>
      </c>
      <c r="GC46" s="10" t="s">
        <v>55</v>
      </c>
      <c r="GD46" s="10" t="s">
        <v>56</v>
      </c>
      <c r="GE46" s="10" t="s">
        <v>55</v>
      </c>
      <c r="GF46" s="10" t="s">
        <v>56</v>
      </c>
      <c r="GG46" s="10" t="s">
        <v>55</v>
      </c>
      <c r="GH46" s="10" t="s">
        <v>56</v>
      </c>
      <c r="GI46" s="10" t="s">
        <v>55</v>
      </c>
      <c r="GJ46" s="10" t="s">
        <v>56</v>
      </c>
      <c r="GK46" s="10" t="s">
        <v>55</v>
      </c>
      <c r="GL46" s="10" t="s">
        <v>56</v>
      </c>
      <c r="GM46" s="10" t="s">
        <v>55</v>
      </c>
      <c r="GN46" s="10" t="s">
        <v>56</v>
      </c>
      <c r="GO46" s="10" t="s">
        <v>55</v>
      </c>
      <c r="GP46" s="10" t="s">
        <v>56</v>
      </c>
      <c r="GQ46" s="10" t="s">
        <v>55</v>
      </c>
      <c r="GR46" s="10" t="s">
        <v>56</v>
      </c>
      <c r="GS46" s="10" t="s">
        <v>55</v>
      </c>
      <c r="GT46" s="10" t="s">
        <v>56</v>
      </c>
      <c r="GU46" s="10" t="s">
        <v>55</v>
      </c>
      <c r="GV46" s="17" t="s">
        <v>56</v>
      </c>
      <c r="GW46" s="17" t="s">
        <v>55</v>
      </c>
      <c r="GX46" s="10" t="s">
        <v>56</v>
      </c>
      <c r="GY46" s="10" t="s">
        <v>55</v>
      </c>
      <c r="GZ46" s="10" t="s">
        <v>56</v>
      </c>
      <c r="HA46" s="10" t="s">
        <v>55</v>
      </c>
      <c r="HB46" s="10" t="s">
        <v>56</v>
      </c>
      <c r="HC46" s="10" t="s">
        <v>55</v>
      </c>
      <c r="HD46" s="10" t="s">
        <v>56</v>
      </c>
      <c r="HE46" s="10" t="s">
        <v>55</v>
      </c>
      <c r="HF46" s="10" t="s">
        <v>56</v>
      </c>
      <c r="HG46" s="10" t="s">
        <v>55</v>
      </c>
      <c r="HH46" s="10" t="s">
        <v>56</v>
      </c>
      <c r="HI46" s="10" t="s">
        <v>55</v>
      </c>
      <c r="HJ46" s="10" t="s">
        <v>56</v>
      </c>
      <c r="HK46" s="10" t="s">
        <v>55</v>
      </c>
      <c r="HL46" s="10" t="s">
        <v>56</v>
      </c>
      <c r="HM46" s="10" t="s">
        <v>55</v>
      </c>
      <c r="HN46" s="10" t="s">
        <v>56</v>
      </c>
      <c r="HO46" s="10" t="s">
        <v>55</v>
      </c>
      <c r="HP46" s="10" t="s">
        <v>56</v>
      </c>
      <c r="HQ46" s="10" t="s">
        <v>55</v>
      </c>
      <c r="HR46" s="10" t="s">
        <v>56</v>
      </c>
      <c r="HS46" s="10" t="s">
        <v>55</v>
      </c>
      <c r="HT46" s="10" t="s">
        <v>56</v>
      </c>
      <c r="HU46" s="10" t="s">
        <v>55</v>
      </c>
      <c r="HV46" s="10" t="s">
        <v>56</v>
      </c>
      <c r="HW46" s="10" t="s">
        <v>55</v>
      </c>
      <c r="HX46" s="10" t="s">
        <v>56</v>
      </c>
      <c r="HY46" s="10" t="s">
        <v>55</v>
      </c>
      <c r="HZ46" s="10" t="s">
        <v>56</v>
      </c>
      <c r="IA46" s="10" t="s">
        <v>55</v>
      </c>
      <c r="IB46" s="10" t="s">
        <v>56</v>
      </c>
      <c r="IC46" s="10" t="s">
        <v>55</v>
      </c>
      <c r="ID46" s="10" t="s">
        <v>56</v>
      </c>
      <c r="IE46" s="10" t="s">
        <v>55</v>
      </c>
      <c r="IF46" s="10" t="s">
        <v>56</v>
      </c>
      <c r="IG46" s="10" t="s">
        <v>55</v>
      </c>
      <c r="IH46" s="10" t="s">
        <v>56</v>
      </c>
      <c r="II46" s="10" t="s">
        <v>55</v>
      </c>
      <c r="IJ46" s="10" t="s">
        <v>56</v>
      </c>
      <c r="IK46" s="10" t="s">
        <v>55</v>
      </c>
      <c r="IL46" s="10" t="s">
        <v>56</v>
      </c>
      <c r="IM46" s="10" t="s">
        <v>55</v>
      </c>
      <c r="IN46" s="10" t="s">
        <v>56</v>
      </c>
      <c r="IO46" s="10" t="s">
        <v>55</v>
      </c>
      <c r="IP46" s="10" t="s">
        <v>56</v>
      </c>
      <c r="IQ46" s="10" t="s">
        <v>55</v>
      </c>
      <c r="IR46" s="10" t="s">
        <v>56</v>
      </c>
      <c r="IS46" s="10" t="s">
        <v>55</v>
      </c>
      <c r="IT46" s="10" t="s">
        <v>56</v>
      </c>
      <c r="IU46" s="10" t="s">
        <v>55</v>
      </c>
      <c r="IV46" s="10" t="s">
        <v>56</v>
      </c>
      <c r="IW46" s="10" t="s">
        <v>55</v>
      </c>
      <c r="IX46" s="10" t="s">
        <v>56</v>
      </c>
      <c r="IY46" s="10" t="s">
        <v>55</v>
      </c>
      <c r="IZ46" s="10" t="s">
        <v>56</v>
      </c>
      <c r="JA46" s="10" t="s">
        <v>55</v>
      </c>
      <c r="JB46" s="10" t="s">
        <v>56</v>
      </c>
      <c r="JC46" s="10" t="s">
        <v>55</v>
      </c>
      <c r="JD46" s="10" t="s">
        <v>56</v>
      </c>
      <c r="JE46" s="10" t="s">
        <v>55</v>
      </c>
      <c r="JF46" s="10" t="s">
        <v>56</v>
      </c>
      <c r="JG46" s="10" t="s">
        <v>55</v>
      </c>
      <c r="JH46" s="10" t="s">
        <v>56</v>
      </c>
      <c r="JI46" s="10" t="s">
        <v>55</v>
      </c>
      <c r="JJ46" s="10" t="s">
        <v>56</v>
      </c>
      <c r="JK46" s="10" t="s">
        <v>55</v>
      </c>
      <c r="JL46" s="10" t="s">
        <v>56</v>
      </c>
      <c r="JM46" s="10" t="s">
        <v>55</v>
      </c>
      <c r="JN46" s="10" t="s">
        <v>56</v>
      </c>
      <c r="JO46" s="10" t="s">
        <v>55</v>
      </c>
      <c r="JP46" s="10" t="s">
        <v>56</v>
      </c>
      <c r="JQ46" s="10" t="s">
        <v>55</v>
      </c>
      <c r="JR46" s="10" t="s">
        <v>56</v>
      </c>
      <c r="JS46" s="10" t="s">
        <v>55</v>
      </c>
      <c r="JT46" s="10" t="s">
        <v>56</v>
      </c>
      <c r="JU46" s="10" t="s">
        <v>55</v>
      </c>
      <c r="JV46" s="10" t="s">
        <v>56</v>
      </c>
      <c r="JW46" s="10" t="s">
        <v>55</v>
      </c>
      <c r="JX46" s="10" t="s">
        <v>56</v>
      </c>
      <c r="JY46" s="10" t="s">
        <v>55</v>
      </c>
      <c r="JZ46" s="10" t="s">
        <v>56</v>
      </c>
      <c r="KA46" s="10" t="s">
        <v>55</v>
      </c>
      <c r="KB46" s="10" t="s">
        <v>56</v>
      </c>
      <c r="KC46" s="10" t="s">
        <v>55</v>
      </c>
      <c r="KD46" s="10" t="s">
        <v>56</v>
      </c>
      <c r="KE46" s="10" t="s">
        <v>55</v>
      </c>
      <c r="KF46" s="10" t="s">
        <v>56</v>
      </c>
      <c r="KG46" s="10" t="s">
        <v>55</v>
      </c>
      <c r="KH46" s="10" t="s">
        <v>56</v>
      </c>
      <c r="KI46" s="10" t="s">
        <v>55</v>
      </c>
      <c r="KJ46" s="10" t="s">
        <v>56</v>
      </c>
      <c r="KK46" s="10" t="s">
        <v>55</v>
      </c>
      <c r="KL46" s="10" t="s">
        <v>56</v>
      </c>
      <c r="KM46" s="10" t="s">
        <v>55</v>
      </c>
      <c r="KN46" s="10" t="s">
        <v>56</v>
      </c>
      <c r="KO46" s="10" t="s">
        <v>55</v>
      </c>
      <c r="KP46" s="10" t="s">
        <v>56</v>
      </c>
      <c r="KQ46" s="10" t="s">
        <v>55</v>
      </c>
      <c r="KR46" s="10" t="s">
        <v>56</v>
      </c>
      <c r="KS46" s="10" t="s">
        <v>55</v>
      </c>
      <c r="KT46" s="10" t="s">
        <v>56</v>
      </c>
      <c r="KU46" s="10" t="s">
        <v>55</v>
      </c>
      <c r="KV46" s="10" t="s">
        <v>56</v>
      </c>
      <c r="KW46" s="10" t="s">
        <v>55</v>
      </c>
      <c r="KX46" s="10" t="s">
        <v>56</v>
      </c>
      <c r="KY46" s="10" t="s">
        <v>55</v>
      </c>
      <c r="KZ46" s="10" t="s">
        <v>56</v>
      </c>
      <c r="LA46" s="10" t="s">
        <v>55</v>
      </c>
      <c r="LB46" s="10" t="s">
        <v>56</v>
      </c>
      <c r="LC46" s="10" t="s">
        <v>55</v>
      </c>
      <c r="LD46" s="10">
        <f>0.92*1000</f>
        <v>920</v>
      </c>
      <c r="LE46" s="10">
        <f>0.2*1000</f>
        <v>200</v>
      </c>
      <c r="LF46" s="10">
        <f>0.2*1000</f>
        <v>200</v>
      </c>
      <c r="LG46" s="10">
        <f>0.03*1000</f>
        <v>30</v>
      </c>
      <c r="LH46" s="10">
        <f>0.18*1000</f>
        <v>180</v>
      </c>
      <c r="LI46" s="10">
        <f>0.02*1000</f>
        <v>20</v>
      </c>
      <c r="LJ46" s="10" t="s">
        <v>56</v>
      </c>
      <c r="LK46" s="10" t="s">
        <v>55</v>
      </c>
      <c r="LL46" s="10" t="s">
        <v>56</v>
      </c>
      <c r="LM46" s="10" t="s">
        <v>55</v>
      </c>
      <c r="LN46" s="10" t="s">
        <v>56</v>
      </c>
      <c r="LO46" s="10" t="s">
        <v>55</v>
      </c>
      <c r="LP46" s="10" t="s">
        <v>56</v>
      </c>
      <c r="LQ46" s="10" t="s">
        <v>55</v>
      </c>
      <c r="LR46" s="10" t="s">
        <v>56</v>
      </c>
      <c r="LS46" s="10" t="s">
        <v>55</v>
      </c>
      <c r="LT46" s="10" t="s">
        <v>56</v>
      </c>
      <c r="LU46" s="10" t="s">
        <v>55</v>
      </c>
      <c r="LV46" s="10" t="s">
        <v>56</v>
      </c>
      <c r="LW46" s="10" t="s">
        <v>55</v>
      </c>
      <c r="LX46" s="10" t="s">
        <v>56</v>
      </c>
      <c r="LY46" s="10" t="s">
        <v>55</v>
      </c>
      <c r="LZ46" s="10" t="s">
        <v>56</v>
      </c>
      <c r="MA46" s="10" t="s">
        <v>55</v>
      </c>
      <c r="MB46" s="10" t="s">
        <v>56</v>
      </c>
      <c r="MC46" s="10" t="s">
        <v>55</v>
      </c>
      <c r="MD46" s="10" t="s">
        <v>56</v>
      </c>
      <c r="ME46" s="10" t="s">
        <v>55</v>
      </c>
      <c r="MF46" s="10" t="s">
        <v>56</v>
      </c>
      <c r="MG46" s="10" t="s">
        <v>55</v>
      </c>
      <c r="MH46" s="10" t="s">
        <v>56</v>
      </c>
      <c r="MI46" s="10" t="s">
        <v>55</v>
      </c>
      <c r="MJ46" s="10" t="s">
        <v>56</v>
      </c>
      <c r="MK46" s="10" t="s">
        <v>55</v>
      </c>
      <c r="ML46" s="10" t="s">
        <v>56</v>
      </c>
      <c r="MM46" s="10" t="s">
        <v>55</v>
      </c>
      <c r="MN46" s="10" t="s">
        <v>56</v>
      </c>
      <c r="MO46" s="10" t="s">
        <v>55</v>
      </c>
      <c r="MP46" s="10" t="s">
        <v>56</v>
      </c>
      <c r="MQ46" s="10" t="s">
        <v>55</v>
      </c>
      <c r="MR46" s="10" t="s">
        <v>56</v>
      </c>
      <c r="MS46" s="10" t="s">
        <v>55</v>
      </c>
      <c r="MT46" s="10" t="s">
        <v>56</v>
      </c>
      <c r="MU46" s="10" t="s">
        <v>55</v>
      </c>
      <c r="MV46" s="10" t="s">
        <v>56</v>
      </c>
      <c r="MW46" s="10" t="s">
        <v>55</v>
      </c>
      <c r="MX46" s="10" t="s">
        <v>56</v>
      </c>
      <c r="MY46" s="10" t="s">
        <v>55</v>
      </c>
      <c r="MZ46" s="10" t="s">
        <v>56</v>
      </c>
      <c r="NA46" s="10" t="s">
        <v>55</v>
      </c>
      <c r="NB46" s="10" t="s">
        <v>56</v>
      </c>
      <c r="NC46" s="10" t="s">
        <v>55</v>
      </c>
      <c r="ND46" s="10" t="s">
        <v>56</v>
      </c>
      <c r="NE46" s="10" t="s">
        <v>55</v>
      </c>
      <c r="NF46" s="10" t="s">
        <v>56</v>
      </c>
      <c r="NG46" s="10" t="s">
        <v>55</v>
      </c>
      <c r="NH46" s="10" t="s">
        <v>56</v>
      </c>
      <c r="NI46" s="10" t="s">
        <v>55</v>
      </c>
      <c r="NJ46" s="10" t="s">
        <v>56</v>
      </c>
      <c r="NK46" s="10" t="s">
        <v>55</v>
      </c>
      <c r="NL46" s="10" t="s">
        <v>56</v>
      </c>
      <c r="NM46" s="10" t="s">
        <v>55</v>
      </c>
      <c r="NN46" s="10" t="s">
        <v>56</v>
      </c>
      <c r="NO46" s="10" t="s">
        <v>55</v>
      </c>
      <c r="NP46" s="10" t="s">
        <v>56</v>
      </c>
      <c r="NQ46" s="10" t="s">
        <v>55</v>
      </c>
      <c r="NR46" s="10" t="s">
        <v>56</v>
      </c>
      <c r="NS46" s="10" t="s">
        <v>55</v>
      </c>
      <c r="NT46" s="10" t="s">
        <v>56</v>
      </c>
      <c r="NU46" s="10" t="s">
        <v>55</v>
      </c>
    </row>
    <row r="47" spans="1:385" x14ac:dyDescent="0.2">
      <c r="A47" t="s">
        <v>868</v>
      </c>
      <c r="B47" s="1" t="s">
        <v>1037</v>
      </c>
      <c r="C47" s="1" t="s">
        <v>843</v>
      </c>
      <c r="D47" s="39" cm="1">
        <f t="array" ref="D47">SUMPRODUCT((ISNUMBER(F47:NU47))*(MOD(COLUMN(F47:NU47),2)=0))</f>
        <v>7</v>
      </c>
      <c r="E47" s="1">
        <v>132.12</v>
      </c>
      <c r="F47" s="10" t="s">
        <v>56</v>
      </c>
      <c r="G47" s="10" t="s">
        <v>55</v>
      </c>
      <c r="H47" s="10" t="s">
        <v>56</v>
      </c>
      <c r="I47" s="10" t="s">
        <v>55</v>
      </c>
      <c r="J47" s="10" t="s">
        <v>56</v>
      </c>
      <c r="K47" s="10" t="s">
        <v>55</v>
      </c>
      <c r="L47" s="10" t="s">
        <v>56</v>
      </c>
      <c r="M47" s="10" t="s">
        <v>55</v>
      </c>
      <c r="N47" s="10" t="s">
        <v>56</v>
      </c>
      <c r="O47" s="10" t="s">
        <v>55</v>
      </c>
      <c r="P47" s="10" t="s">
        <v>56</v>
      </c>
      <c r="Q47" s="10" t="s">
        <v>55</v>
      </c>
      <c r="R47" s="10" t="s">
        <v>56</v>
      </c>
      <c r="S47" s="10" t="s">
        <v>55</v>
      </c>
      <c r="T47" s="10" t="s">
        <v>56</v>
      </c>
      <c r="U47" s="10" t="s">
        <v>55</v>
      </c>
      <c r="V47" s="10" t="s">
        <v>56</v>
      </c>
      <c r="W47" s="10" t="s">
        <v>55</v>
      </c>
      <c r="X47" s="10" t="s">
        <v>56</v>
      </c>
      <c r="Y47" s="10" t="s">
        <v>55</v>
      </c>
      <c r="Z47" s="10" t="s">
        <v>56</v>
      </c>
      <c r="AA47" s="10" t="s">
        <v>55</v>
      </c>
      <c r="AB47" s="10" t="s">
        <v>56</v>
      </c>
      <c r="AC47" s="10" t="s">
        <v>55</v>
      </c>
      <c r="AD47" s="10" t="s">
        <v>56</v>
      </c>
      <c r="AE47" s="10" t="s">
        <v>55</v>
      </c>
      <c r="AF47" s="10" t="s">
        <v>56</v>
      </c>
      <c r="AG47" s="10" t="s">
        <v>55</v>
      </c>
      <c r="AH47" s="10" t="s">
        <v>56</v>
      </c>
      <c r="AI47" s="10" t="s">
        <v>55</v>
      </c>
      <c r="AJ47" s="10" t="s">
        <v>56</v>
      </c>
      <c r="AK47" s="10" t="s">
        <v>55</v>
      </c>
      <c r="AL47" s="10" t="s">
        <v>56</v>
      </c>
      <c r="AM47" s="10" t="s">
        <v>55</v>
      </c>
      <c r="AN47" s="10" t="s">
        <v>56</v>
      </c>
      <c r="AO47" s="10" t="s">
        <v>55</v>
      </c>
      <c r="AP47" s="10" t="s">
        <v>56</v>
      </c>
      <c r="AQ47" s="10" t="s">
        <v>55</v>
      </c>
      <c r="AR47" s="10" t="s">
        <v>56</v>
      </c>
      <c r="AS47" s="10" t="s">
        <v>55</v>
      </c>
      <c r="AT47" s="10" t="s">
        <v>56</v>
      </c>
      <c r="AU47" s="10" t="s">
        <v>55</v>
      </c>
      <c r="AV47" s="10" t="s">
        <v>56</v>
      </c>
      <c r="AW47" s="10" t="s">
        <v>55</v>
      </c>
      <c r="AX47" s="10" t="s">
        <v>56</v>
      </c>
      <c r="AY47" s="10" t="s">
        <v>55</v>
      </c>
      <c r="AZ47" s="10" t="s">
        <v>56</v>
      </c>
      <c r="BA47" s="10" t="s">
        <v>55</v>
      </c>
      <c r="BB47" s="10" t="s">
        <v>56</v>
      </c>
      <c r="BC47" s="10" t="s">
        <v>55</v>
      </c>
      <c r="BD47" s="10" t="s">
        <v>56</v>
      </c>
      <c r="BE47" s="10" t="s">
        <v>55</v>
      </c>
      <c r="BF47" s="10" t="s">
        <v>56</v>
      </c>
      <c r="BG47" s="10" t="s">
        <v>55</v>
      </c>
      <c r="BH47" s="10" t="s">
        <v>56</v>
      </c>
      <c r="BI47" s="10" t="s">
        <v>55</v>
      </c>
      <c r="BJ47" s="10" t="s">
        <v>56</v>
      </c>
      <c r="BK47" s="10" t="s">
        <v>55</v>
      </c>
      <c r="BL47" s="10" t="s">
        <v>56</v>
      </c>
      <c r="BM47" s="10" t="s">
        <v>55</v>
      </c>
      <c r="BN47" s="10" t="s">
        <v>56</v>
      </c>
      <c r="BO47" s="10" t="s">
        <v>55</v>
      </c>
      <c r="BP47" s="10" t="s">
        <v>56</v>
      </c>
      <c r="BQ47" s="10" t="s">
        <v>55</v>
      </c>
      <c r="BR47" s="10" t="s">
        <v>56</v>
      </c>
      <c r="BS47" s="10" t="s">
        <v>55</v>
      </c>
      <c r="BT47" s="10" t="s">
        <v>56</v>
      </c>
      <c r="BU47" s="10" t="s">
        <v>55</v>
      </c>
      <c r="BV47" s="10" t="s">
        <v>56</v>
      </c>
      <c r="BW47" s="10" t="s">
        <v>55</v>
      </c>
      <c r="BX47" s="10" t="s">
        <v>56</v>
      </c>
      <c r="BY47" s="10" t="s">
        <v>55</v>
      </c>
      <c r="BZ47" s="10" t="s">
        <v>56</v>
      </c>
      <c r="CA47" s="10" t="s">
        <v>55</v>
      </c>
      <c r="CB47" s="10" t="s">
        <v>56</v>
      </c>
      <c r="CC47" s="10" t="s">
        <v>55</v>
      </c>
      <c r="CD47" s="10" t="s">
        <v>56</v>
      </c>
      <c r="CE47" s="10" t="s">
        <v>55</v>
      </c>
      <c r="CF47" s="10" t="s">
        <v>56</v>
      </c>
      <c r="CG47" s="10" t="s">
        <v>55</v>
      </c>
      <c r="CH47" s="10" t="s">
        <v>56</v>
      </c>
      <c r="CI47" s="10" t="s">
        <v>55</v>
      </c>
      <c r="CJ47" s="10" t="s">
        <v>56</v>
      </c>
      <c r="CK47" s="10" t="s">
        <v>55</v>
      </c>
      <c r="CL47" s="10" t="s">
        <v>56</v>
      </c>
      <c r="CM47" s="10" t="s">
        <v>55</v>
      </c>
      <c r="CN47" s="10" t="s">
        <v>56</v>
      </c>
      <c r="CO47" s="10" t="s">
        <v>55</v>
      </c>
      <c r="CP47" s="10" t="s">
        <v>56</v>
      </c>
      <c r="CQ47" s="10" t="s">
        <v>55</v>
      </c>
      <c r="CR47" s="10" t="s">
        <v>56</v>
      </c>
      <c r="CS47" s="10" t="s">
        <v>55</v>
      </c>
      <c r="CT47" s="10" t="s">
        <v>56</v>
      </c>
      <c r="CU47" s="10" t="s">
        <v>55</v>
      </c>
      <c r="CV47" s="10" t="s">
        <v>56</v>
      </c>
      <c r="CW47" s="10" t="s">
        <v>55</v>
      </c>
      <c r="CX47" s="10" t="s">
        <v>56</v>
      </c>
      <c r="CY47" s="10" t="s">
        <v>55</v>
      </c>
      <c r="CZ47" s="10" t="s">
        <v>56</v>
      </c>
      <c r="DA47" s="10" t="s">
        <v>55</v>
      </c>
      <c r="DB47" s="10" t="s">
        <v>56</v>
      </c>
      <c r="DC47" s="10" t="s">
        <v>55</v>
      </c>
      <c r="DD47" s="10" t="s">
        <v>56</v>
      </c>
      <c r="DE47" s="10" t="s">
        <v>55</v>
      </c>
      <c r="DF47" s="10" t="s">
        <v>56</v>
      </c>
      <c r="DG47" s="10" t="s">
        <v>55</v>
      </c>
      <c r="DH47" s="10" t="s">
        <v>56</v>
      </c>
      <c r="DI47" s="10" t="s">
        <v>55</v>
      </c>
      <c r="DJ47" s="10" t="s">
        <v>56</v>
      </c>
      <c r="DK47" s="10" t="s">
        <v>55</v>
      </c>
      <c r="DL47" s="10" t="s">
        <v>56</v>
      </c>
      <c r="DM47" s="10" t="s">
        <v>55</v>
      </c>
      <c r="DN47" s="10" t="s">
        <v>56</v>
      </c>
      <c r="DO47" s="10" t="s">
        <v>55</v>
      </c>
      <c r="DP47" s="10" t="s">
        <v>56</v>
      </c>
      <c r="DQ47" s="10" t="s">
        <v>55</v>
      </c>
      <c r="DR47" s="10" t="s">
        <v>56</v>
      </c>
      <c r="DS47" s="10" t="s">
        <v>55</v>
      </c>
      <c r="DT47" s="10" t="s">
        <v>56</v>
      </c>
      <c r="DU47" s="10" t="s">
        <v>55</v>
      </c>
      <c r="DV47" s="10" t="s">
        <v>56</v>
      </c>
      <c r="DW47" s="10" t="s">
        <v>55</v>
      </c>
      <c r="DX47" s="10" t="s">
        <v>56</v>
      </c>
      <c r="DY47" s="10" t="s">
        <v>55</v>
      </c>
      <c r="DZ47" s="10" t="s">
        <v>56</v>
      </c>
      <c r="EA47" s="10" t="s">
        <v>55</v>
      </c>
      <c r="EB47" s="10" t="s">
        <v>56</v>
      </c>
      <c r="EC47" s="10" t="s">
        <v>55</v>
      </c>
      <c r="ED47" s="10" t="s">
        <v>56</v>
      </c>
      <c r="EE47" s="10" t="s">
        <v>55</v>
      </c>
      <c r="EF47" s="10" t="s">
        <v>56</v>
      </c>
      <c r="EG47" s="10" t="s">
        <v>55</v>
      </c>
      <c r="EH47" s="10" t="s">
        <v>56</v>
      </c>
      <c r="EI47" s="10" t="s">
        <v>55</v>
      </c>
      <c r="EJ47" s="10" t="s">
        <v>56</v>
      </c>
      <c r="EK47" s="10" t="s">
        <v>55</v>
      </c>
      <c r="EL47" s="10" t="s">
        <v>56</v>
      </c>
      <c r="EM47" s="10" t="s">
        <v>55</v>
      </c>
      <c r="EN47" s="10" t="s">
        <v>56</v>
      </c>
      <c r="EO47" s="10" t="s">
        <v>55</v>
      </c>
      <c r="EP47" s="10" t="s">
        <v>56</v>
      </c>
      <c r="EQ47" s="10" t="s">
        <v>55</v>
      </c>
      <c r="ER47" s="10" t="s">
        <v>56</v>
      </c>
      <c r="ES47" s="10" t="s">
        <v>55</v>
      </c>
      <c r="ET47" s="10" t="s">
        <v>56</v>
      </c>
      <c r="EU47" s="10" t="s">
        <v>55</v>
      </c>
      <c r="EV47" s="10" t="s">
        <v>56</v>
      </c>
      <c r="EW47" s="10" t="s">
        <v>55</v>
      </c>
      <c r="EX47" s="10" t="s">
        <v>56</v>
      </c>
      <c r="EY47" s="10" t="s">
        <v>55</v>
      </c>
      <c r="EZ47" s="10" t="s">
        <v>56</v>
      </c>
      <c r="FA47" s="10" t="s">
        <v>55</v>
      </c>
      <c r="FB47" s="10" t="s">
        <v>56</v>
      </c>
      <c r="FC47" s="10" t="s">
        <v>55</v>
      </c>
      <c r="FD47" s="10" t="s">
        <v>56</v>
      </c>
      <c r="FE47" s="10" t="s">
        <v>55</v>
      </c>
      <c r="FF47" s="10" t="s">
        <v>56</v>
      </c>
      <c r="FG47" s="10" t="s">
        <v>55</v>
      </c>
      <c r="FH47" s="10" t="s">
        <v>56</v>
      </c>
      <c r="FI47" s="10" t="s">
        <v>55</v>
      </c>
      <c r="FJ47" s="10" t="s">
        <v>56</v>
      </c>
      <c r="FK47" s="10" t="s">
        <v>55</v>
      </c>
      <c r="FL47" s="10" t="s">
        <v>56</v>
      </c>
      <c r="FM47" s="10" t="s">
        <v>55</v>
      </c>
      <c r="FN47" s="10" t="s">
        <v>56</v>
      </c>
      <c r="FO47" s="10" t="s">
        <v>55</v>
      </c>
      <c r="FP47" s="10" t="s">
        <v>56</v>
      </c>
      <c r="FQ47" s="10" t="s">
        <v>55</v>
      </c>
      <c r="FR47" s="10" t="s">
        <v>56</v>
      </c>
      <c r="FS47" s="10" t="s">
        <v>55</v>
      </c>
      <c r="FT47" s="10" t="s">
        <v>56</v>
      </c>
      <c r="FU47" s="10" t="s">
        <v>55</v>
      </c>
      <c r="FV47" s="10" t="s">
        <v>56</v>
      </c>
      <c r="FW47" s="10" t="s">
        <v>55</v>
      </c>
      <c r="FX47" s="10" t="s">
        <v>56</v>
      </c>
      <c r="FY47" s="10" t="s">
        <v>55</v>
      </c>
      <c r="FZ47" s="10" t="s">
        <v>56</v>
      </c>
      <c r="GA47" s="10" t="s">
        <v>55</v>
      </c>
      <c r="GB47" s="10" t="s">
        <v>56</v>
      </c>
      <c r="GC47" s="10" t="s">
        <v>55</v>
      </c>
      <c r="GD47" s="10" t="s">
        <v>56</v>
      </c>
      <c r="GE47" s="10" t="s">
        <v>55</v>
      </c>
      <c r="GF47" s="10" t="s">
        <v>56</v>
      </c>
      <c r="GG47" s="10" t="s">
        <v>55</v>
      </c>
      <c r="GH47" s="10" t="s">
        <v>56</v>
      </c>
      <c r="GI47" s="10" t="s">
        <v>55</v>
      </c>
      <c r="GJ47" s="10" t="s">
        <v>56</v>
      </c>
      <c r="GK47" s="10" t="s">
        <v>55</v>
      </c>
      <c r="GL47" s="10" t="s">
        <v>56</v>
      </c>
      <c r="GM47" s="10" t="s">
        <v>55</v>
      </c>
      <c r="GN47" s="10" t="s">
        <v>56</v>
      </c>
      <c r="GO47" s="10" t="s">
        <v>55</v>
      </c>
      <c r="GP47" s="10" t="s">
        <v>56</v>
      </c>
      <c r="GQ47" s="10" t="s">
        <v>55</v>
      </c>
      <c r="GR47" s="10" t="s">
        <v>56</v>
      </c>
      <c r="GS47" s="10" t="s">
        <v>55</v>
      </c>
      <c r="GT47" s="10" t="s">
        <v>56</v>
      </c>
      <c r="GU47" s="10" t="s">
        <v>55</v>
      </c>
      <c r="GV47" s="17" t="s">
        <v>56</v>
      </c>
      <c r="GW47" s="17" t="s">
        <v>55</v>
      </c>
      <c r="GX47" s="10" t="s">
        <v>56</v>
      </c>
      <c r="GY47" s="10" t="s">
        <v>55</v>
      </c>
      <c r="GZ47" s="10" t="s">
        <v>56</v>
      </c>
      <c r="HA47" s="10" t="s">
        <v>55</v>
      </c>
      <c r="HB47" s="10" t="s">
        <v>56</v>
      </c>
      <c r="HC47" s="10" t="s">
        <v>55</v>
      </c>
      <c r="HD47" s="10" t="s">
        <v>56</v>
      </c>
      <c r="HE47" s="10" t="s">
        <v>55</v>
      </c>
      <c r="HF47" s="10" t="s">
        <v>56</v>
      </c>
      <c r="HG47" s="10" t="s">
        <v>55</v>
      </c>
      <c r="HH47" s="10" t="s">
        <v>56</v>
      </c>
      <c r="HI47" s="10" t="s">
        <v>55</v>
      </c>
      <c r="HJ47" s="10" t="s">
        <v>56</v>
      </c>
      <c r="HK47" s="10" t="s">
        <v>55</v>
      </c>
      <c r="HL47" s="10" t="s">
        <v>56</v>
      </c>
      <c r="HM47" s="10" t="s">
        <v>55</v>
      </c>
      <c r="HN47" s="10" t="s">
        <v>56</v>
      </c>
      <c r="HO47" s="10" t="s">
        <v>55</v>
      </c>
      <c r="HP47" s="10" t="s">
        <v>56</v>
      </c>
      <c r="HQ47" s="10" t="s">
        <v>55</v>
      </c>
      <c r="HR47" s="10" t="s">
        <v>56</v>
      </c>
      <c r="HS47" s="10" t="s">
        <v>55</v>
      </c>
      <c r="HT47" s="10" t="s">
        <v>56</v>
      </c>
      <c r="HU47" s="10" t="s">
        <v>55</v>
      </c>
      <c r="HV47" s="10" t="s">
        <v>56</v>
      </c>
      <c r="HW47" s="10" t="s">
        <v>55</v>
      </c>
      <c r="HX47" s="10" t="s">
        <v>56</v>
      </c>
      <c r="HY47" s="10" t="s">
        <v>55</v>
      </c>
      <c r="HZ47" s="10" t="s">
        <v>56</v>
      </c>
      <c r="IA47" s="10" t="s">
        <v>55</v>
      </c>
      <c r="IB47" s="10" t="s">
        <v>56</v>
      </c>
      <c r="IC47" s="10" t="s">
        <v>55</v>
      </c>
      <c r="ID47" s="10" t="s">
        <v>56</v>
      </c>
      <c r="IE47" s="10" t="s">
        <v>55</v>
      </c>
      <c r="IF47" s="10" t="s">
        <v>56</v>
      </c>
      <c r="IG47" s="10" t="s">
        <v>55</v>
      </c>
      <c r="IH47" s="10" t="s">
        <v>56</v>
      </c>
      <c r="II47" s="10" t="s">
        <v>55</v>
      </c>
      <c r="IJ47" s="10" t="s">
        <v>56</v>
      </c>
      <c r="IK47" s="10" t="s">
        <v>55</v>
      </c>
      <c r="IL47" s="10" t="s">
        <v>56</v>
      </c>
      <c r="IM47" s="10" t="s">
        <v>55</v>
      </c>
      <c r="IN47" s="10" t="s">
        <v>56</v>
      </c>
      <c r="IO47" s="10" t="s">
        <v>55</v>
      </c>
      <c r="IP47" s="10" t="s">
        <v>56</v>
      </c>
      <c r="IQ47" s="10" t="s">
        <v>55</v>
      </c>
      <c r="IR47" s="10" t="s">
        <v>56</v>
      </c>
      <c r="IS47" s="10" t="s">
        <v>55</v>
      </c>
      <c r="IT47" s="10" t="s">
        <v>56</v>
      </c>
      <c r="IU47" s="10" t="s">
        <v>55</v>
      </c>
      <c r="IV47" s="10" t="s">
        <v>56</v>
      </c>
      <c r="IW47" s="10" t="s">
        <v>55</v>
      </c>
      <c r="IX47" s="10" t="s">
        <v>56</v>
      </c>
      <c r="IY47" s="10" t="s">
        <v>55</v>
      </c>
      <c r="IZ47" s="10" t="s">
        <v>56</v>
      </c>
      <c r="JA47" s="10" t="s">
        <v>55</v>
      </c>
      <c r="JB47" s="10" t="s">
        <v>56</v>
      </c>
      <c r="JC47" s="10" t="s">
        <v>55</v>
      </c>
      <c r="JD47" s="10" t="s">
        <v>56</v>
      </c>
      <c r="JE47" s="10" t="s">
        <v>55</v>
      </c>
      <c r="JF47" s="10" t="s">
        <v>56</v>
      </c>
      <c r="JG47" s="10" t="s">
        <v>55</v>
      </c>
      <c r="JH47" s="10" t="s">
        <v>56</v>
      </c>
      <c r="JI47" s="10" t="s">
        <v>55</v>
      </c>
      <c r="JJ47" s="10" t="s">
        <v>56</v>
      </c>
      <c r="JK47" s="10" t="s">
        <v>55</v>
      </c>
      <c r="JL47" s="10" t="s">
        <v>56</v>
      </c>
      <c r="JM47" s="10" t="s">
        <v>55</v>
      </c>
      <c r="JN47" s="10" t="s">
        <v>56</v>
      </c>
      <c r="JO47" s="10" t="s">
        <v>55</v>
      </c>
      <c r="JP47" s="10" t="s">
        <v>56</v>
      </c>
      <c r="JQ47" s="10" t="s">
        <v>55</v>
      </c>
      <c r="JR47" s="10" t="s">
        <v>56</v>
      </c>
      <c r="JS47" s="10" t="s">
        <v>55</v>
      </c>
      <c r="JT47" s="10" t="s">
        <v>56</v>
      </c>
      <c r="JU47" s="10" t="s">
        <v>55</v>
      </c>
      <c r="JV47" s="10" t="s">
        <v>56</v>
      </c>
      <c r="JW47" s="10" t="s">
        <v>55</v>
      </c>
      <c r="JX47" s="10" t="s">
        <v>56</v>
      </c>
      <c r="JY47" s="10" t="s">
        <v>55</v>
      </c>
      <c r="JZ47" s="10" t="s">
        <v>56</v>
      </c>
      <c r="KA47" s="10" t="s">
        <v>55</v>
      </c>
      <c r="KB47" s="10" t="s">
        <v>56</v>
      </c>
      <c r="KC47" s="10" t="s">
        <v>55</v>
      </c>
      <c r="KD47" s="10" t="s">
        <v>56</v>
      </c>
      <c r="KE47" s="10" t="s">
        <v>55</v>
      </c>
      <c r="KF47" s="10" t="s">
        <v>56</v>
      </c>
      <c r="KG47" s="10" t="s">
        <v>55</v>
      </c>
      <c r="KH47" s="10" t="s">
        <v>56</v>
      </c>
      <c r="KI47" s="10" t="s">
        <v>55</v>
      </c>
      <c r="KJ47" s="10" t="s">
        <v>56</v>
      </c>
      <c r="KK47" s="10" t="s">
        <v>55</v>
      </c>
      <c r="KL47" s="10" t="s">
        <v>56</v>
      </c>
      <c r="KM47" s="10" t="s">
        <v>55</v>
      </c>
      <c r="KN47" s="10" t="s">
        <v>56</v>
      </c>
      <c r="KO47" s="10" t="s">
        <v>55</v>
      </c>
      <c r="KP47" s="10" t="s">
        <v>56</v>
      </c>
      <c r="KQ47" s="10" t="s">
        <v>55</v>
      </c>
      <c r="KR47" s="10" t="s">
        <v>56</v>
      </c>
      <c r="KS47" s="10" t="s">
        <v>55</v>
      </c>
      <c r="KT47" s="10" t="s">
        <v>56</v>
      </c>
      <c r="KU47" s="10" t="s">
        <v>55</v>
      </c>
      <c r="KV47" s="10" t="s">
        <v>56</v>
      </c>
      <c r="KW47" s="10" t="s">
        <v>55</v>
      </c>
      <c r="KX47" s="10" t="s">
        <v>56</v>
      </c>
      <c r="KY47" s="10" t="s">
        <v>55</v>
      </c>
      <c r="KZ47" s="10" t="s">
        <v>56</v>
      </c>
      <c r="LA47" s="10" t="s">
        <v>55</v>
      </c>
      <c r="LB47" s="10" t="s">
        <v>61</v>
      </c>
      <c r="LC47" s="10" t="s">
        <v>55</v>
      </c>
      <c r="LD47" s="10" t="s">
        <v>56</v>
      </c>
      <c r="LE47" s="10" t="s">
        <v>55</v>
      </c>
      <c r="LF47" s="10" t="s">
        <v>56</v>
      </c>
      <c r="LG47" s="10" t="s">
        <v>55</v>
      </c>
      <c r="LH47" s="10" t="s">
        <v>56</v>
      </c>
      <c r="LI47" s="10" t="s">
        <v>55</v>
      </c>
      <c r="LJ47" s="10" t="s">
        <v>61</v>
      </c>
      <c r="LK47" s="10" t="s">
        <v>162</v>
      </c>
      <c r="LL47" s="10" t="s">
        <v>61</v>
      </c>
      <c r="LM47" s="10" t="s">
        <v>55</v>
      </c>
      <c r="LN47" s="10" t="s">
        <v>61</v>
      </c>
      <c r="LO47" s="10" t="s">
        <v>162</v>
      </c>
      <c r="LP47" s="10" t="s">
        <v>61</v>
      </c>
      <c r="LQ47" s="10" t="s">
        <v>55</v>
      </c>
      <c r="LR47" s="10" t="s">
        <v>61</v>
      </c>
      <c r="LS47" s="10" t="s">
        <v>55</v>
      </c>
      <c r="LT47" s="10" t="s">
        <v>61</v>
      </c>
      <c r="LU47" s="10" t="s">
        <v>55</v>
      </c>
      <c r="LV47" s="10" t="s">
        <v>56</v>
      </c>
      <c r="LW47" s="10" t="s">
        <v>55</v>
      </c>
      <c r="LX47" s="10" t="s">
        <v>56</v>
      </c>
      <c r="LY47" s="10" t="s">
        <v>55</v>
      </c>
      <c r="LZ47" s="10" t="s">
        <v>56</v>
      </c>
      <c r="MA47" s="10" t="s">
        <v>55</v>
      </c>
      <c r="MB47" s="10" t="s">
        <v>56</v>
      </c>
      <c r="MC47" s="10" t="s">
        <v>55</v>
      </c>
      <c r="MD47" s="10" t="s">
        <v>56</v>
      </c>
      <c r="ME47" s="10" t="s">
        <v>55</v>
      </c>
      <c r="MF47" s="10" t="s">
        <v>56</v>
      </c>
      <c r="MG47" s="10" t="s">
        <v>55</v>
      </c>
      <c r="MH47" s="10" t="s">
        <v>56</v>
      </c>
      <c r="MI47" s="10" t="s">
        <v>55</v>
      </c>
      <c r="MJ47" s="10" t="s">
        <v>56</v>
      </c>
      <c r="MK47" s="10" t="s">
        <v>55</v>
      </c>
      <c r="ML47" s="10" t="s">
        <v>56</v>
      </c>
      <c r="MM47" s="10" t="s">
        <v>55</v>
      </c>
      <c r="MN47" s="10" t="s">
        <v>56</v>
      </c>
      <c r="MO47" s="10" t="s">
        <v>55</v>
      </c>
      <c r="MP47" s="10" t="s">
        <v>56</v>
      </c>
      <c r="MQ47" s="10" t="s">
        <v>55</v>
      </c>
      <c r="MR47" s="10" t="s">
        <v>56</v>
      </c>
      <c r="MS47" s="10" t="s">
        <v>55</v>
      </c>
      <c r="MT47" s="10" t="s">
        <v>56</v>
      </c>
      <c r="MU47" s="10" t="s">
        <v>55</v>
      </c>
      <c r="MV47" s="10" t="s">
        <v>56</v>
      </c>
      <c r="MW47" s="10" t="s">
        <v>55</v>
      </c>
      <c r="MX47" s="10" t="s">
        <v>56</v>
      </c>
      <c r="MY47" s="10" t="s">
        <v>55</v>
      </c>
      <c r="MZ47" s="10" t="s">
        <v>56</v>
      </c>
      <c r="NA47" s="10" t="s">
        <v>55</v>
      </c>
      <c r="NB47" s="10">
        <f>(0.417*1000000)/E47</f>
        <v>3156.2216167120796</v>
      </c>
      <c r="NC47" s="10" t="s">
        <v>55</v>
      </c>
      <c r="ND47" s="10">
        <f>(0.47*1000000)/E47</f>
        <v>3557.3720859824402</v>
      </c>
      <c r="NE47" s="10" t="s">
        <v>55</v>
      </c>
      <c r="NF47" s="10">
        <f>(0.652*1000000)/E47</f>
        <v>4934.9076597032999</v>
      </c>
      <c r="NG47" s="10" t="s">
        <v>55</v>
      </c>
      <c r="NH47" s="10">
        <f>(0.675*1000000)/E47</f>
        <v>5108.9918256130786</v>
      </c>
      <c r="NI47" s="10" t="s">
        <v>55</v>
      </c>
      <c r="NJ47" s="10">
        <f>(3.49*1000000)/E47</f>
        <v>26415.379957614288</v>
      </c>
      <c r="NK47" s="10" t="s">
        <v>55</v>
      </c>
      <c r="NL47" s="10">
        <f>(2.75*1000000)/E47</f>
        <v>20814.411141386616</v>
      </c>
      <c r="NM47" s="4" t="s">
        <v>55</v>
      </c>
      <c r="NN47" s="10" t="s">
        <v>56</v>
      </c>
      <c r="NO47" s="4" t="s">
        <v>55</v>
      </c>
      <c r="NP47" s="4">
        <f>(5.7*1000000)/E47</f>
        <v>43142.597638510444</v>
      </c>
      <c r="NQ47" s="4">
        <f>(0.45*1000000)/E47</f>
        <v>3405.9945504087191</v>
      </c>
      <c r="NR47" s="10" t="s">
        <v>56</v>
      </c>
      <c r="NS47" s="10" t="s">
        <v>55</v>
      </c>
      <c r="NT47" s="10" t="s">
        <v>56</v>
      </c>
      <c r="NU47" s="10" t="s">
        <v>55</v>
      </c>
    </row>
    <row r="48" spans="1:385" x14ac:dyDescent="0.2">
      <c r="A48" t="s">
        <v>15</v>
      </c>
      <c r="B48" s="1" t="s">
        <v>1037</v>
      </c>
      <c r="C48" s="1" t="s">
        <v>858</v>
      </c>
      <c r="D48" s="39" cm="1">
        <f t="array" ref="D48">SUMPRODUCT((ISNUMBER(F48:NU48))*(MOD(COLUMN(F48:NU48),2)=0))</f>
        <v>60</v>
      </c>
      <c r="E48" s="1">
        <v>117.15</v>
      </c>
      <c r="F48" s="1" t="s">
        <v>75</v>
      </c>
      <c r="G48" s="1" t="s">
        <v>55</v>
      </c>
      <c r="H48" s="1" t="s">
        <v>75</v>
      </c>
      <c r="I48" s="1" t="s">
        <v>55</v>
      </c>
      <c r="J48" s="1" t="s">
        <v>54</v>
      </c>
      <c r="K48" s="1" t="s">
        <v>55</v>
      </c>
      <c r="L48" s="1" t="s">
        <v>75</v>
      </c>
      <c r="M48" s="1" t="s">
        <v>55</v>
      </c>
      <c r="N48" s="1" t="s">
        <v>54</v>
      </c>
      <c r="O48" s="1" t="s">
        <v>55</v>
      </c>
      <c r="P48" s="12">
        <f>8/E48</f>
        <v>6.8288518992744338E-2</v>
      </c>
      <c r="Q48" s="12">
        <f>3/E48</f>
        <v>2.5608194622279128E-2</v>
      </c>
      <c r="R48" s="1">
        <v>0.05</v>
      </c>
      <c r="S48" s="1">
        <v>0.01</v>
      </c>
      <c r="T48" s="1">
        <v>0.06</v>
      </c>
      <c r="U48" s="1">
        <v>0.01</v>
      </c>
      <c r="V48" s="1">
        <v>13.6</v>
      </c>
      <c r="W48" s="1">
        <v>3.3</v>
      </c>
      <c r="X48" s="1">
        <v>49</v>
      </c>
      <c r="Y48" s="1">
        <v>1.8</v>
      </c>
      <c r="Z48" s="9">
        <f>3665/E48</f>
        <v>31.284677763551002</v>
      </c>
      <c r="AA48" s="9">
        <f>60/E48</f>
        <v>0.51216389244558258</v>
      </c>
      <c r="AB48" s="1">
        <v>61.6</v>
      </c>
      <c r="AC48" s="1">
        <v>3.6</v>
      </c>
      <c r="AD48" s="1">
        <v>29.4</v>
      </c>
      <c r="AE48" s="1">
        <v>1.8</v>
      </c>
      <c r="AF48" s="11" t="s">
        <v>150</v>
      </c>
      <c r="AG48" s="11" t="s">
        <v>55</v>
      </c>
      <c r="AH48" s="11">
        <f>2.6/E48</f>
        <v>2.219376867264191E-2</v>
      </c>
      <c r="AI48" s="11">
        <f>1.1/E48</f>
        <v>9.3896713615023476E-3</v>
      </c>
      <c r="AJ48" s="11">
        <f>160/E48</f>
        <v>1.3657703798548868</v>
      </c>
      <c r="AK48" s="11">
        <f>5/E48</f>
        <v>4.2680324370465213E-2</v>
      </c>
      <c r="AL48" s="1">
        <v>0.55000000000000004</v>
      </c>
      <c r="AM48" s="1">
        <v>0.02</v>
      </c>
      <c r="AN48" s="11">
        <v>0.62</v>
      </c>
      <c r="AO48" s="11">
        <v>0.01</v>
      </c>
      <c r="AP48" s="11">
        <v>2</v>
      </c>
      <c r="AQ48" s="11">
        <v>0.6</v>
      </c>
      <c r="AR48" s="10">
        <f>58/E48</f>
        <v>0.49509176269739646</v>
      </c>
      <c r="AS48" s="10">
        <f>1/E48</f>
        <v>8.5360648740930422E-3</v>
      </c>
      <c r="AT48" s="11">
        <f>105/E48</f>
        <v>0.89628681177976943</v>
      </c>
      <c r="AU48" s="11">
        <f>15/E48</f>
        <v>0.12804097311139565</v>
      </c>
      <c r="AV48" s="11">
        <f>48/E48</f>
        <v>0.40973111395646605</v>
      </c>
      <c r="AW48" s="11">
        <f>6/E48</f>
        <v>5.1216389244558257E-2</v>
      </c>
      <c r="AX48" s="11">
        <f>357/E48</f>
        <v>3.0473751600512164</v>
      </c>
      <c r="AY48" s="11">
        <f>20/E48</f>
        <v>0.17072129748186085</v>
      </c>
      <c r="AZ48" s="1">
        <v>5.6</v>
      </c>
      <c r="BA48" s="1">
        <v>0.9</v>
      </c>
      <c r="BB48" s="1" t="s">
        <v>91</v>
      </c>
      <c r="BC48" s="1" t="s">
        <v>55</v>
      </c>
      <c r="BD48" s="10" t="s">
        <v>56</v>
      </c>
      <c r="BE48" s="10" t="s">
        <v>55</v>
      </c>
      <c r="BF48" s="1" t="s">
        <v>157</v>
      </c>
      <c r="BG48" s="1" t="s">
        <v>55</v>
      </c>
      <c r="BH48" s="1">
        <v>0.14000000000000001</v>
      </c>
      <c r="BI48" s="1">
        <v>0.08</v>
      </c>
      <c r="BJ48" s="1">
        <v>0.38</v>
      </c>
      <c r="BK48" s="1">
        <v>0.08</v>
      </c>
      <c r="BL48" s="1">
        <v>4.9000000000000004</v>
      </c>
      <c r="BM48" s="1">
        <v>0.1</v>
      </c>
      <c r="BN48" s="1">
        <v>0.92</v>
      </c>
      <c r="BO48" s="1">
        <v>0.03</v>
      </c>
      <c r="BP48" s="1">
        <v>0.92</v>
      </c>
      <c r="BQ48" s="1">
        <v>0.03</v>
      </c>
      <c r="BR48" s="11">
        <f>22/E48</f>
        <v>0.18779342723004694</v>
      </c>
      <c r="BS48" s="11">
        <f>6/E48</f>
        <v>5.1216389244558257E-2</v>
      </c>
      <c r="BT48" s="4">
        <v>0.05</v>
      </c>
      <c r="BU48" s="4">
        <v>0.01</v>
      </c>
      <c r="BV48" s="1" t="s">
        <v>91</v>
      </c>
      <c r="BW48" s="1" t="s">
        <v>55</v>
      </c>
      <c r="BX48" s="1" t="s">
        <v>91</v>
      </c>
      <c r="BY48" s="1" t="s">
        <v>55</v>
      </c>
      <c r="BZ48" s="10">
        <f>2.7/E48</f>
        <v>2.3047375160051217E-2</v>
      </c>
      <c r="CA48" s="10">
        <f>1.6/E48</f>
        <v>1.365770379854887E-2</v>
      </c>
      <c r="CB48" s="10" t="s">
        <v>240</v>
      </c>
      <c r="CC48" s="10" t="s">
        <v>55</v>
      </c>
      <c r="CD48" s="10" t="s">
        <v>240</v>
      </c>
      <c r="CE48" s="10" t="s">
        <v>55</v>
      </c>
      <c r="CF48" s="10" t="s">
        <v>240</v>
      </c>
      <c r="CG48" s="10" t="s">
        <v>55</v>
      </c>
      <c r="CH48" s="10" t="s">
        <v>240</v>
      </c>
      <c r="CI48" s="10" t="s">
        <v>55</v>
      </c>
      <c r="CJ48" s="10">
        <f>0.5/E48</f>
        <v>4.2680324370465211E-3</v>
      </c>
      <c r="CK48" s="10">
        <f>0.1/E48</f>
        <v>8.5360648740930435E-4</v>
      </c>
      <c r="CL48" s="10">
        <f>0.2/E48</f>
        <v>1.7072129748186087E-3</v>
      </c>
      <c r="CM48" s="10">
        <f>0.1/E48</f>
        <v>8.5360648740930435E-4</v>
      </c>
      <c r="CN48" s="10">
        <f>0.9/E48</f>
        <v>7.6824583866837385E-3</v>
      </c>
      <c r="CO48" s="10">
        <f>0.3/E48</f>
        <v>2.5608194622279128E-3</v>
      </c>
      <c r="CP48" s="10">
        <f>1.8/E48</f>
        <v>1.5364916773367477E-2</v>
      </c>
      <c r="CQ48" s="10">
        <f>1.2/E48</f>
        <v>1.0243277848911651E-2</v>
      </c>
      <c r="CR48" s="19" t="s">
        <v>240</v>
      </c>
      <c r="CS48" s="10" t="s">
        <v>55</v>
      </c>
      <c r="CT48" s="10">
        <f>3.1/E48</f>
        <v>2.6461801109688432E-2</v>
      </c>
      <c r="CU48" s="10">
        <f>0.9/E48</f>
        <v>7.6824583866837385E-3</v>
      </c>
      <c r="CV48" s="10">
        <f>30/E48</f>
        <v>0.25608194622279129</v>
      </c>
      <c r="CW48" s="10">
        <f>7/E48</f>
        <v>5.9752454118651301E-2</v>
      </c>
      <c r="CX48" s="10">
        <f>0.6/E48</f>
        <v>5.1216389244558257E-3</v>
      </c>
      <c r="CY48" s="10">
        <f>0.4/E48</f>
        <v>3.4144259496372174E-3</v>
      </c>
      <c r="CZ48" s="10">
        <f>0.2/E48</f>
        <v>1.7072129748186087E-3</v>
      </c>
      <c r="DA48" s="10">
        <f>0.1/E48</f>
        <v>8.5360648740930435E-4</v>
      </c>
      <c r="DB48" s="10">
        <f>0.4/E48</f>
        <v>3.4144259496372174E-3</v>
      </c>
      <c r="DC48" s="10">
        <f>0.2/E48</f>
        <v>1.7072129748186087E-3</v>
      </c>
      <c r="DD48" s="10">
        <f>3/E48</f>
        <v>2.5608194622279128E-2</v>
      </c>
      <c r="DE48" s="10">
        <f>3/E48</f>
        <v>2.5608194622279128E-2</v>
      </c>
      <c r="DF48" s="10">
        <f>32.3/E48</f>
        <v>0.27571489543320526</v>
      </c>
      <c r="DG48" s="10">
        <f>0.6/E48</f>
        <v>5.1216389244558257E-3</v>
      </c>
      <c r="DH48" s="10">
        <f>144/E48</f>
        <v>1.2291933418693981</v>
      </c>
      <c r="DI48" s="10">
        <f>7/E48</f>
        <v>5.9752454118651301E-2</v>
      </c>
      <c r="DJ48" s="10">
        <f>39/E48</f>
        <v>0.33290653008962867</v>
      </c>
      <c r="DK48" s="10">
        <f>7/E48</f>
        <v>5.9752454118651301E-2</v>
      </c>
      <c r="DL48" s="10">
        <f>31/E48</f>
        <v>0.26461801109688432</v>
      </c>
      <c r="DM48" s="10">
        <f>6/E48</f>
        <v>5.1216389244558257E-2</v>
      </c>
      <c r="DN48" s="10">
        <f>0.5/E48</f>
        <v>4.2680324370465211E-3</v>
      </c>
      <c r="DO48" s="10">
        <f>0.1/E48</f>
        <v>8.5360648740930435E-4</v>
      </c>
      <c r="DP48" s="10">
        <f>1.5/E48</f>
        <v>1.2804097311139564E-2</v>
      </c>
      <c r="DQ48" s="10">
        <f>0.6/E48</f>
        <v>5.1216389244558257E-3</v>
      </c>
      <c r="DR48" s="10">
        <f>2.9/E48</f>
        <v>2.4754588134869825E-2</v>
      </c>
      <c r="DS48" s="10">
        <f>0.2/E48</f>
        <v>1.7072129748186087E-3</v>
      </c>
      <c r="DT48" s="10">
        <f>2.2/E48</f>
        <v>1.8779342723004695E-2</v>
      </c>
      <c r="DU48" s="10">
        <f>0.8/E48</f>
        <v>6.8288518992744348E-3</v>
      </c>
      <c r="DV48" s="10" t="s">
        <v>240</v>
      </c>
      <c r="DW48" s="10" t="s">
        <v>55</v>
      </c>
      <c r="DX48" s="10" t="s">
        <v>240</v>
      </c>
      <c r="DY48" s="10" t="s">
        <v>55</v>
      </c>
      <c r="DZ48" s="10" t="s">
        <v>229</v>
      </c>
      <c r="EA48" s="10" t="s">
        <v>55</v>
      </c>
      <c r="EB48" s="10" t="s">
        <v>229</v>
      </c>
      <c r="EC48" s="10" t="s">
        <v>55</v>
      </c>
      <c r="ED48" s="10" t="s">
        <v>229</v>
      </c>
      <c r="EE48" s="10" t="s">
        <v>55</v>
      </c>
      <c r="EF48" s="10" t="s">
        <v>229</v>
      </c>
      <c r="EG48" s="10" t="s">
        <v>55</v>
      </c>
      <c r="EH48" s="10" t="s">
        <v>233</v>
      </c>
      <c r="EI48" s="10" t="s">
        <v>55</v>
      </c>
      <c r="EJ48" s="10" t="s">
        <v>233</v>
      </c>
      <c r="EK48" s="10" t="s">
        <v>55</v>
      </c>
      <c r="EL48" s="10" t="s">
        <v>233</v>
      </c>
      <c r="EM48" s="10" t="s">
        <v>55</v>
      </c>
      <c r="EN48" s="8">
        <f>53.4/E48</f>
        <v>0.45582586427656846</v>
      </c>
      <c r="EO48" s="8">
        <f>0.5/E48</f>
        <v>4.2680324370465211E-3</v>
      </c>
      <c r="EP48" s="8">
        <f>76.4/E48</f>
        <v>0.65215535638070854</v>
      </c>
      <c r="EQ48" s="8">
        <f>0.3/E48</f>
        <v>2.5608194622279128E-3</v>
      </c>
      <c r="ER48" s="8" t="s">
        <v>497</v>
      </c>
      <c r="ES48" s="8" t="s">
        <v>55</v>
      </c>
      <c r="ET48" s="8" t="s">
        <v>485</v>
      </c>
      <c r="EU48" s="8" t="s">
        <v>55</v>
      </c>
      <c r="EV48" s="8" t="s">
        <v>497</v>
      </c>
      <c r="EW48" s="8" t="s">
        <v>55</v>
      </c>
      <c r="EX48" s="8" t="s">
        <v>497</v>
      </c>
      <c r="EY48" s="8" t="s">
        <v>55</v>
      </c>
      <c r="EZ48" s="8" t="s">
        <v>240</v>
      </c>
      <c r="FA48" s="8" t="s">
        <v>55</v>
      </c>
      <c r="FB48" s="8" t="s">
        <v>497</v>
      </c>
      <c r="FC48" s="8" t="s">
        <v>55</v>
      </c>
      <c r="FD48" s="8" t="s">
        <v>497</v>
      </c>
      <c r="FE48" s="8" t="s">
        <v>55</v>
      </c>
      <c r="FF48" s="10" t="s">
        <v>497</v>
      </c>
      <c r="FG48" s="10" t="s">
        <v>55</v>
      </c>
      <c r="FH48" s="10" t="s">
        <v>497</v>
      </c>
      <c r="FI48" s="10" t="s">
        <v>55</v>
      </c>
      <c r="FJ48" s="10" t="s">
        <v>497</v>
      </c>
      <c r="FK48" s="10" t="s">
        <v>55</v>
      </c>
      <c r="FL48" s="10" t="s">
        <v>497</v>
      </c>
      <c r="FM48" s="10" t="s">
        <v>55</v>
      </c>
      <c r="FN48" s="10" t="s">
        <v>497</v>
      </c>
      <c r="FO48" s="10" t="s">
        <v>55</v>
      </c>
      <c r="FP48" s="10" t="s">
        <v>497</v>
      </c>
      <c r="FQ48" s="10" t="s">
        <v>55</v>
      </c>
      <c r="FR48" s="10" t="s">
        <v>278</v>
      </c>
      <c r="FS48" s="10" t="s">
        <v>55</v>
      </c>
      <c r="FT48" s="8" t="s">
        <v>157</v>
      </c>
      <c r="FU48" s="8" t="s">
        <v>55</v>
      </c>
      <c r="FV48" s="8" t="s">
        <v>157</v>
      </c>
      <c r="FW48" s="8" t="s">
        <v>55</v>
      </c>
      <c r="FX48" s="8">
        <v>0.86</v>
      </c>
      <c r="FY48" s="8">
        <v>-0.66</v>
      </c>
      <c r="FZ48" s="8" t="s">
        <v>157</v>
      </c>
      <c r="GA48" s="8" t="s">
        <v>55</v>
      </c>
      <c r="GB48" s="8" t="s">
        <v>157</v>
      </c>
      <c r="GC48" s="8" t="s">
        <v>55</v>
      </c>
      <c r="GD48" s="8" t="s">
        <v>157</v>
      </c>
      <c r="GE48" s="8" t="s">
        <v>55</v>
      </c>
      <c r="GF48" s="8" t="s">
        <v>157</v>
      </c>
      <c r="GG48" s="8" t="s">
        <v>55</v>
      </c>
      <c r="GH48" s="8" t="s">
        <v>157</v>
      </c>
      <c r="GI48" s="8" t="s">
        <v>55</v>
      </c>
      <c r="GJ48" s="8" t="s">
        <v>157</v>
      </c>
      <c r="GK48" s="8" t="s">
        <v>55</v>
      </c>
      <c r="GL48" s="8" t="s">
        <v>157</v>
      </c>
      <c r="GM48" s="8" t="s">
        <v>55</v>
      </c>
      <c r="GN48" s="8" t="s">
        <v>157</v>
      </c>
      <c r="GO48" s="8" t="s">
        <v>55</v>
      </c>
      <c r="GP48" s="10" t="s">
        <v>157</v>
      </c>
      <c r="GQ48" s="10" t="s">
        <v>55</v>
      </c>
      <c r="GR48" s="8" t="s">
        <v>283</v>
      </c>
      <c r="GS48" s="8" t="s">
        <v>55</v>
      </c>
      <c r="GT48" s="8" t="s">
        <v>283</v>
      </c>
      <c r="GU48" s="8" t="s">
        <v>55</v>
      </c>
      <c r="GV48" s="8">
        <v>0.16</v>
      </c>
      <c r="GW48" s="8">
        <v>0.01</v>
      </c>
      <c r="GX48" s="8" t="s">
        <v>497</v>
      </c>
      <c r="GY48" s="8" t="s">
        <v>55</v>
      </c>
      <c r="GZ48" s="10" t="s">
        <v>56</v>
      </c>
      <c r="HA48" s="10" t="s">
        <v>55</v>
      </c>
      <c r="HB48" s="10" t="s">
        <v>56</v>
      </c>
      <c r="HC48" s="10" t="s">
        <v>55</v>
      </c>
      <c r="HD48" s="10" t="s">
        <v>56</v>
      </c>
      <c r="HE48" s="10" t="s">
        <v>55</v>
      </c>
      <c r="HF48" s="10" t="s">
        <v>56</v>
      </c>
      <c r="HG48" s="10" t="s">
        <v>55</v>
      </c>
      <c r="HH48" s="10" t="s">
        <v>56</v>
      </c>
      <c r="HI48" s="10" t="s">
        <v>55</v>
      </c>
      <c r="HJ48" s="10" t="s">
        <v>56</v>
      </c>
      <c r="HK48" s="10" t="s">
        <v>55</v>
      </c>
      <c r="HL48" s="10" t="s">
        <v>56</v>
      </c>
      <c r="HM48" s="10" t="s">
        <v>55</v>
      </c>
      <c r="HN48" s="10" t="s">
        <v>56</v>
      </c>
      <c r="HO48" s="10" t="s">
        <v>55</v>
      </c>
      <c r="HP48" s="10">
        <v>8.1999999999999993</v>
      </c>
      <c r="HQ48" s="10">
        <v>0.4</v>
      </c>
      <c r="HR48" s="10">
        <v>8</v>
      </c>
      <c r="HS48" s="10">
        <v>0.5</v>
      </c>
      <c r="HT48" s="10">
        <v>1.47</v>
      </c>
      <c r="HU48" s="10">
        <v>0.13</v>
      </c>
      <c r="HV48" s="10">
        <v>0.75</v>
      </c>
      <c r="HW48" s="10">
        <v>7.0000000000000007E-2</v>
      </c>
      <c r="HX48" s="10" t="s">
        <v>317</v>
      </c>
      <c r="HY48" s="10" t="s">
        <v>55</v>
      </c>
      <c r="HZ48" s="10">
        <v>3.23</v>
      </c>
      <c r="IA48" s="10">
        <v>0.05</v>
      </c>
      <c r="IB48" s="10">
        <v>0.97</v>
      </c>
      <c r="IC48" s="10">
        <v>0.04</v>
      </c>
      <c r="ID48" s="1">
        <v>3.9600000000000003E-2</v>
      </c>
      <c r="IE48" s="1">
        <v>3.9600000000000003E-2</v>
      </c>
      <c r="IF48" s="4" t="s">
        <v>372</v>
      </c>
      <c r="IG48" s="4" t="s">
        <v>55</v>
      </c>
      <c r="IH48" s="10" t="s">
        <v>56</v>
      </c>
      <c r="II48" s="10" t="s">
        <v>55</v>
      </c>
      <c r="IJ48" s="10" t="s">
        <v>56</v>
      </c>
      <c r="IK48" s="10" t="s">
        <v>55</v>
      </c>
      <c r="IL48" s="10" t="s">
        <v>56</v>
      </c>
      <c r="IM48" s="10" t="s">
        <v>55</v>
      </c>
      <c r="IN48" s="10" t="s">
        <v>56</v>
      </c>
      <c r="IO48" s="10" t="s">
        <v>55</v>
      </c>
      <c r="IP48" s="10" t="s">
        <v>56</v>
      </c>
      <c r="IQ48" s="10" t="s">
        <v>55</v>
      </c>
      <c r="IR48" s="10" t="s">
        <v>56</v>
      </c>
      <c r="IS48" s="10" t="s">
        <v>55</v>
      </c>
      <c r="IT48" s="4" t="s">
        <v>157</v>
      </c>
      <c r="IU48" s="4" t="s">
        <v>55</v>
      </c>
      <c r="IV48" s="10" t="s">
        <v>56</v>
      </c>
      <c r="IW48" s="10" t="s">
        <v>55</v>
      </c>
      <c r="IX48" s="10" t="s">
        <v>56</v>
      </c>
      <c r="IY48" s="10" t="s">
        <v>55</v>
      </c>
      <c r="IZ48" s="10" t="s">
        <v>56</v>
      </c>
      <c r="JA48" s="10" t="s">
        <v>55</v>
      </c>
      <c r="JB48" s="10" t="s">
        <v>56</v>
      </c>
      <c r="JC48" s="10" t="s">
        <v>55</v>
      </c>
      <c r="JD48" s="10" t="s">
        <v>56</v>
      </c>
      <c r="JE48" s="10" t="s">
        <v>55</v>
      </c>
      <c r="JF48" s="10" t="s">
        <v>56</v>
      </c>
      <c r="JG48" s="10" t="s">
        <v>55</v>
      </c>
      <c r="JH48" s="10" t="s">
        <v>56</v>
      </c>
      <c r="JI48" s="10" t="s">
        <v>55</v>
      </c>
      <c r="JJ48" s="10" t="s">
        <v>56</v>
      </c>
      <c r="JK48" s="10" t="s">
        <v>55</v>
      </c>
      <c r="JL48" s="10" t="s">
        <v>56</v>
      </c>
      <c r="JM48" s="10" t="s">
        <v>55</v>
      </c>
      <c r="JN48" s="10" t="s">
        <v>56</v>
      </c>
      <c r="JO48" s="10" t="s">
        <v>55</v>
      </c>
      <c r="JP48" s="10" t="s">
        <v>56</v>
      </c>
      <c r="JQ48" s="10" t="s">
        <v>55</v>
      </c>
      <c r="JR48" s="10" t="s">
        <v>56</v>
      </c>
      <c r="JS48" s="10" t="s">
        <v>55</v>
      </c>
      <c r="JT48" s="10" t="s">
        <v>56</v>
      </c>
      <c r="JU48" s="10" t="s">
        <v>55</v>
      </c>
      <c r="JV48" s="10" t="s">
        <v>56</v>
      </c>
      <c r="JW48" s="10" t="s">
        <v>55</v>
      </c>
      <c r="JX48" s="26">
        <v>7.9209243572251955</v>
      </c>
      <c r="JY48" s="26">
        <v>8.2841088801852134</v>
      </c>
      <c r="JZ48" s="26">
        <v>21.004136666761436</v>
      </c>
      <c r="KA48" s="26">
        <v>18.659846351491439</v>
      </c>
      <c r="KB48" s="26">
        <v>23.344651759861723</v>
      </c>
      <c r="KC48" s="26">
        <v>8.4698049358429639</v>
      </c>
      <c r="KD48" s="26">
        <v>69.916647626091574</v>
      </c>
      <c r="KE48" s="26">
        <v>5.5146092577869217</v>
      </c>
      <c r="KF48" s="26">
        <v>13.945751649549495</v>
      </c>
      <c r="KG48" s="26">
        <v>6.4987267037457377</v>
      </c>
      <c r="KH48" s="10" t="s">
        <v>56</v>
      </c>
      <c r="KI48" s="10" t="s">
        <v>55</v>
      </c>
      <c r="KJ48" s="10" t="s">
        <v>56</v>
      </c>
      <c r="KK48" s="10" t="s">
        <v>55</v>
      </c>
      <c r="KL48" s="10" t="s">
        <v>56</v>
      </c>
      <c r="KM48" s="10" t="s">
        <v>55</v>
      </c>
      <c r="KN48" s="10" t="s">
        <v>56</v>
      </c>
      <c r="KO48" s="10" t="s">
        <v>55</v>
      </c>
      <c r="KP48" s="10" t="s">
        <v>56</v>
      </c>
      <c r="KQ48" s="10" t="s">
        <v>55</v>
      </c>
      <c r="KR48" s="17" t="s">
        <v>56</v>
      </c>
      <c r="KS48" s="17" t="s">
        <v>55</v>
      </c>
      <c r="KT48" s="17" t="s">
        <v>56</v>
      </c>
      <c r="KU48" s="17" t="s">
        <v>55</v>
      </c>
      <c r="KV48" s="4" t="s">
        <v>57</v>
      </c>
      <c r="KW48" s="4" t="s">
        <v>55</v>
      </c>
      <c r="KX48" s="4" t="s">
        <v>57</v>
      </c>
      <c r="KY48" s="4" t="s">
        <v>55</v>
      </c>
      <c r="KZ48" s="4" t="s">
        <v>57</v>
      </c>
      <c r="LA48" s="4" t="s">
        <v>55</v>
      </c>
      <c r="LB48" s="10" t="s">
        <v>56</v>
      </c>
      <c r="LC48" s="10" t="s">
        <v>55</v>
      </c>
      <c r="LD48" s="10" t="s">
        <v>56</v>
      </c>
      <c r="LE48" s="10" t="s">
        <v>55</v>
      </c>
      <c r="LF48" s="10" t="s">
        <v>56</v>
      </c>
      <c r="LG48" s="10" t="s">
        <v>55</v>
      </c>
      <c r="LH48" s="10" t="s">
        <v>56</v>
      </c>
      <c r="LI48" s="10" t="s">
        <v>55</v>
      </c>
      <c r="LJ48" s="10" t="s">
        <v>56</v>
      </c>
      <c r="LK48" s="10" t="s">
        <v>55</v>
      </c>
      <c r="LL48" s="10" t="s">
        <v>56</v>
      </c>
      <c r="LM48" s="10" t="s">
        <v>55</v>
      </c>
      <c r="LN48" s="10" t="s">
        <v>56</v>
      </c>
      <c r="LO48" s="10" t="s">
        <v>55</v>
      </c>
      <c r="LP48" s="10" t="s">
        <v>56</v>
      </c>
      <c r="LQ48" s="10" t="s">
        <v>55</v>
      </c>
      <c r="LR48" s="10" t="s">
        <v>56</v>
      </c>
      <c r="LS48" s="10" t="s">
        <v>55</v>
      </c>
      <c r="LT48" s="10" t="s">
        <v>56</v>
      </c>
      <c r="LU48" s="10" t="s">
        <v>55</v>
      </c>
      <c r="LV48" s="10" t="s">
        <v>56</v>
      </c>
      <c r="LW48" s="10" t="s">
        <v>55</v>
      </c>
      <c r="LX48" s="10" t="s">
        <v>56</v>
      </c>
      <c r="LY48" s="10" t="s">
        <v>55</v>
      </c>
      <c r="LZ48" s="10" t="s">
        <v>56</v>
      </c>
      <c r="MA48" s="10" t="s">
        <v>55</v>
      </c>
      <c r="MB48" s="10" t="s">
        <v>56</v>
      </c>
      <c r="MC48" s="10" t="s">
        <v>55</v>
      </c>
      <c r="MD48" s="10" t="s">
        <v>56</v>
      </c>
      <c r="ME48" s="10" t="s">
        <v>55</v>
      </c>
      <c r="MF48" s="10" t="s">
        <v>56</v>
      </c>
      <c r="MG48" s="10" t="s">
        <v>55</v>
      </c>
      <c r="MH48" s="10" t="s">
        <v>56</v>
      </c>
      <c r="MI48" s="10" t="s">
        <v>55</v>
      </c>
      <c r="MJ48" s="10" t="s">
        <v>56</v>
      </c>
      <c r="MK48" s="10" t="s">
        <v>55</v>
      </c>
      <c r="ML48" s="10" t="s">
        <v>56</v>
      </c>
      <c r="MM48" s="10" t="s">
        <v>55</v>
      </c>
      <c r="MN48" s="10" t="s">
        <v>56</v>
      </c>
      <c r="MO48" s="10" t="s">
        <v>55</v>
      </c>
      <c r="MP48" s="10" t="s">
        <v>56</v>
      </c>
      <c r="MQ48" s="10" t="s">
        <v>55</v>
      </c>
      <c r="MR48" s="10" t="s">
        <v>56</v>
      </c>
      <c r="MS48" s="10" t="s">
        <v>55</v>
      </c>
      <c r="MT48" s="10" t="s">
        <v>56</v>
      </c>
      <c r="MU48" s="10" t="s">
        <v>55</v>
      </c>
      <c r="MV48" s="10" t="s">
        <v>56</v>
      </c>
      <c r="MW48" s="10" t="s">
        <v>55</v>
      </c>
      <c r="MX48" s="10" t="s">
        <v>56</v>
      </c>
      <c r="MY48" s="10" t="s">
        <v>55</v>
      </c>
      <c r="MZ48" s="10" t="s">
        <v>56</v>
      </c>
      <c r="NA48" s="10" t="s">
        <v>55</v>
      </c>
      <c r="NB48" s="10" t="s">
        <v>56</v>
      </c>
      <c r="NC48" s="10" t="s">
        <v>55</v>
      </c>
      <c r="ND48" s="10" t="s">
        <v>56</v>
      </c>
      <c r="NE48" s="10" t="s">
        <v>55</v>
      </c>
      <c r="NF48" s="10" t="s">
        <v>56</v>
      </c>
      <c r="NG48" s="10" t="s">
        <v>55</v>
      </c>
      <c r="NH48" s="10" t="s">
        <v>56</v>
      </c>
      <c r="NI48" s="10" t="s">
        <v>55</v>
      </c>
      <c r="NJ48" s="10" t="s">
        <v>56</v>
      </c>
      <c r="NK48" s="10" t="s">
        <v>55</v>
      </c>
      <c r="NL48" s="10" t="s">
        <v>56</v>
      </c>
      <c r="NM48" s="10" t="s">
        <v>55</v>
      </c>
      <c r="NN48" s="10" t="s">
        <v>56</v>
      </c>
      <c r="NO48" s="10" t="s">
        <v>55</v>
      </c>
      <c r="NP48" s="10" t="s">
        <v>56</v>
      </c>
      <c r="NQ48" s="10" t="s">
        <v>55</v>
      </c>
      <c r="NR48" s="10" t="s">
        <v>57</v>
      </c>
      <c r="NS48" s="10" t="s">
        <v>55</v>
      </c>
      <c r="NT48" s="10" t="s">
        <v>57</v>
      </c>
      <c r="NU48" s="10" t="s">
        <v>55</v>
      </c>
    </row>
    <row r="49" spans="1:385" x14ac:dyDescent="0.2">
      <c r="A49" t="s">
        <v>16</v>
      </c>
      <c r="B49" s="1" t="s">
        <v>1037</v>
      </c>
      <c r="C49" s="1" t="s">
        <v>859</v>
      </c>
      <c r="D49" s="39" cm="1">
        <f t="array" ref="D49">SUMPRODUCT((ISNUMBER(F49:NU49))*(MOD(COLUMN(F49:NU49),2)=0))</f>
        <v>102</v>
      </c>
      <c r="E49" s="1">
        <v>117.15</v>
      </c>
      <c r="F49" s="1" t="s">
        <v>54</v>
      </c>
      <c r="G49" s="1" t="s">
        <v>55</v>
      </c>
      <c r="H49" s="1">
        <v>5.1999999999999998E-3</v>
      </c>
      <c r="I49" s="1" t="s">
        <v>58</v>
      </c>
      <c r="J49" s="1">
        <v>1.61E-2</v>
      </c>
      <c r="K49" s="1">
        <v>1E-4</v>
      </c>
      <c r="L49" s="1" t="s">
        <v>54</v>
      </c>
      <c r="M49" s="1" t="s">
        <v>55</v>
      </c>
      <c r="N49" s="1" t="s">
        <v>54</v>
      </c>
      <c r="O49" s="1" t="s">
        <v>55</v>
      </c>
      <c r="P49" s="12">
        <f>13/E49</f>
        <v>0.11096884336320956</v>
      </c>
      <c r="Q49" s="12">
        <f>4/E49</f>
        <v>3.4144259496372169E-2</v>
      </c>
      <c r="R49" s="1">
        <v>0.1</v>
      </c>
      <c r="S49" s="1">
        <v>0.01</v>
      </c>
      <c r="T49" s="1">
        <v>0.14000000000000001</v>
      </c>
      <c r="U49" s="1">
        <v>0.02</v>
      </c>
      <c r="V49" s="1">
        <v>17.899999999999999</v>
      </c>
      <c r="W49" s="1">
        <v>1.4</v>
      </c>
      <c r="X49" s="1">
        <v>51.7</v>
      </c>
      <c r="Y49" s="1">
        <v>1.3</v>
      </c>
      <c r="Z49" s="9">
        <f>3632/E49</f>
        <v>31.00298762270593</v>
      </c>
      <c r="AA49" s="9">
        <f>92/E49</f>
        <v>0.78531796841655988</v>
      </c>
      <c r="AB49" s="1">
        <v>65.3</v>
      </c>
      <c r="AC49" s="1">
        <v>4.3</v>
      </c>
      <c r="AD49" s="1">
        <v>33</v>
      </c>
      <c r="AE49" s="1">
        <v>1.2</v>
      </c>
      <c r="AF49" s="11" t="s">
        <v>61</v>
      </c>
      <c r="AG49" s="11" t="s">
        <v>55</v>
      </c>
      <c r="AH49" s="11" t="s">
        <v>61</v>
      </c>
      <c r="AI49" s="11" t="s">
        <v>55</v>
      </c>
      <c r="AJ49" s="11" t="s">
        <v>61</v>
      </c>
      <c r="AK49" s="11" t="s">
        <v>55</v>
      </c>
      <c r="AL49" s="1">
        <v>2.8</v>
      </c>
      <c r="AM49" s="1">
        <v>0.1</v>
      </c>
      <c r="AN49" s="11">
        <v>0.93</v>
      </c>
      <c r="AO49" s="11">
        <v>0.04</v>
      </c>
      <c r="AP49" s="11">
        <v>3.9</v>
      </c>
      <c r="AQ49" s="11">
        <v>0.7</v>
      </c>
      <c r="AR49" s="10">
        <f>129/E49</f>
        <v>1.1011523687580025</v>
      </c>
      <c r="AS49" s="10">
        <f>15/E49</f>
        <v>0.12804097311139565</v>
      </c>
      <c r="AT49" s="11">
        <f>111/E49</f>
        <v>0.94750320102432772</v>
      </c>
      <c r="AU49" s="11">
        <f>28/E49</f>
        <v>0.2390098164746052</v>
      </c>
      <c r="AV49" s="11">
        <f>55/E49</f>
        <v>0.46948356807511737</v>
      </c>
      <c r="AW49" s="11">
        <f>8/E49</f>
        <v>6.8288518992744338E-2</v>
      </c>
      <c r="AX49" s="11">
        <f>480/E49</f>
        <v>4.0973111395646606</v>
      </c>
      <c r="AY49" s="11">
        <f>21/E49</f>
        <v>0.17925736235595391</v>
      </c>
      <c r="AZ49" s="1">
        <v>6.8</v>
      </c>
      <c r="BA49" s="1">
        <v>0.4</v>
      </c>
      <c r="BB49" s="1" t="s">
        <v>91</v>
      </c>
      <c r="BC49" s="1" t="s">
        <v>55</v>
      </c>
      <c r="BD49" s="10" t="s">
        <v>56</v>
      </c>
      <c r="BE49" s="10" t="s">
        <v>55</v>
      </c>
      <c r="BF49" s="1">
        <v>0.32</v>
      </c>
      <c r="BG49" s="1">
        <v>0.09</v>
      </c>
      <c r="BH49" s="1">
        <v>0.9</v>
      </c>
      <c r="BI49" s="1">
        <v>0.05</v>
      </c>
      <c r="BJ49" s="1">
        <v>7.1</v>
      </c>
      <c r="BK49" s="1">
        <v>1.43</v>
      </c>
      <c r="BL49" s="1">
        <v>5.2</v>
      </c>
      <c r="BM49" s="1">
        <v>0.2</v>
      </c>
      <c r="BN49" s="1">
        <v>20.100000000000001</v>
      </c>
      <c r="BO49" s="1">
        <v>0.5</v>
      </c>
      <c r="BP49" s="1">
        <v>27</v>
      </c>
      <c r="BQ49" s="1">
        <v>11</v>
      </c>
      <c r="BR49" s="11">
        <f>56/E49</f>
        <v>0.4780196329492104</v>
      </c>
      <c r="BS49" s="11">
        <f>2/E49</f>
        <v>1.7072129748186084E-2</v>
      </c>
      <c r="BT49" s="4">
        <v>0.06</v>
      </c>
      <c r="BU49" s="4">
        <v>0.01</v>
      </c>
      <c r="BV49" s="1">
        <v>0.14000000000000001</v>
      </c>
      <c r="BW49" s="1">
        <v>0.03</v>
      </c>
      <c r="BX49" s="1">
        <v>0.02</v>
      </c>
      <c r="BY49" s="1">
        <v>0.01</v>
      </c>
      <c r="BZ49" s="10">
        <f>29/E49</f>
        <v>0.24754588134869823</v>
      </c>
      <c r="CA49" s="10">
        <f>1/E49</f>
        <v>8.5360648740930422E-3</v>
      </c>
      <c r="CB49" s="10">
        <f>91/E49</f>
        <v>0.7767819035424669</v>
      </c>
      <c r="CC49" s="10">
        <f>1/E49</f>
        <v>8.5360648740930422E-3</v>
      </c>
      <c r="CD49" s="10">
        <f>0.6/E49</f>
        <v>5.1216389244558257E-3</v>
      </c>
      <c r="CE49" s="10">
        <f>0.1/E49</f>
        <v>8.5360648740930435E-4</v>
      </c>
      <c r="CF49" s="10" t="s">
        <v>240</v>
      </c>
      <c r="CG49" s="10" t="s">
        <v>55</v>
      </c>
      <c r="CH49" s="10">
        <f>3.3/E49</f>
        <v>2.8169014084507039E-2</v>
      </c>
      <c r="CI49" s="10">
        <f>1.5/E49</f>
        <v>1.2804097311139564E-2</v>
      </c>
      <c r="CJ49" s="10">
        <f>1.3/E49</f>
        <v>1.1096884336320955E-2</v>
      </c>
      <c r="CK49" s="10">
        <f>0.5/E49</f>
        <v>4.2680324370465211E-3</v>
      </c>
      <c r="CL49" s="10">
        <f>2/E49</f>
        <v>1.7072129748186084E-2</v>
      </c>
      <c r="CM49" s="10">
        <f>1.1/E49</f>
        <v>9.3896713615023476E-3</v>
      </c>
      <c r="CN49" s="10">
        <f>2.4/E49</f>
        <v>2.0486555697823303E-2</v>
      </c>
      <c r="CO49" s="10">
        <f>0.7/E49</f>
        <v>5.9752454118651294E-3</v>
      </c>
      <c r="CP49" s="10">
        <f>5.2/E49</f>
        <v>4.438753734528382E-2</v>
      </c>
      <c r="CQ49" s="10">
        <f>1.1/E49</f>
        <v>9.3896713615023476E-3</v>
      </c>
      <c r="CR49" s="10">
        <f>2.1/E49</f>
        <v>1.7925736235595392E-2</v>
      </c>
      <c r="CS49" s="10">
        <f>0.5/E49</f>
        <v>4.2680324370465211E-3</v>
      </c>
      <c r="CT49" s="10">
        <f>5.8/E49</f>
        <v>4.9509176269739649E-2</v>
      </c>
      <c r="CU49" s="10">
        <f>0.4/E49</f>
        <v>3.4144259496372174E-3</v>
      </c>
      <c r="CV49" s="10">
        <f>370/E49</f>
        <v>3.1583440034144257</v>
      </c>
      <c r="CW49" s="10">
        <f>15/E49</f>
        <v>0.12804097311139565</v>
      </c>
      <c r="CX49" s="10">
        <f>6/E49</f>
        <v>5.1216389244558257E-2</v>
      </c>
      <c r="CY49" s="10">
        <f>1.1/E49</f>
        <v>9.3896713615023476E-3</v>
      </c>
      <c r="CZ49" s="10">
        <f>4.6/E49</f>
        <v>3.9265898420827991E-2</v>
      </c>
      <c r="DA49" s="10">
        <v>0.8</v>
      </c>
      <c r="DB49" s="10">
        <f>2.1/E49</f>
        <v>1.7925736235595392E-2</v>
      </c>
      <c r="DC49" s="10">
        <f>0.5/E49</f>
        <v>4.2680324370465211E-3</v>
      </c>
      <c r="DD49" s="10">
        <f>23.6/E49</f>
        <v>0.20145113102859583</v>
      </c>
      <c r="DE49" s="10">
        <f>0.7/E49</f>
        <v>5.9752454118651294E-3</v>
      </c>
      <c r="DF49" s="10">
        <f>86.6/E49</f>
        <v>0.73922321809645741</v>
      </c>
      <c r="DG49" s="10">
        <f>2.2/E49</f>
        <v>1.8779342723004695E-2</v>
      </c>
      <c r="DH49" s="10">
        <f>334/E49</f>
        <v>2.8510456679470764</v>
      </c>
      <c r="DI49" s="10">
        <f>48/E49</f>
        <v>0.40973111395646605</v>
      </c>
      <c r="DJ49" s="10">
        <f>120/E49</f>
        <v>1.0243277848911652</v>
      </c>
      <c r="DK49" s="10">
        <f>49/E49</f>
        <v>0.41826717883055908</v>
      </c>
      <c r="DL49" s="10">
        <f>91/E49</f>
        <v>0.7767819035424669</v>
      </c>
      <c r="DM49" s="10">
        <f>7/E49</f>
        <v>5.9752454118651301E-2</v>
      </c>
      <c r="DN49" s="10">
        <f>9/E49</f>
        <v>7.6824583866837381E-2</v>
      </c>
      <c r="DO49" s="10">
        <f>1.3/E49</f>
        <v>1.1096884336320955E-2</v>
      </c>
      <c r="DP49" s="10">
        <f>23/E49</f>
        <v>0.19632949210413997</v>
      </c>
      <c r="DQ49" s="10">
        <f>2/E49</f>
        <v>1.7072129748186084E-2</v>
      </c>
      <c r="DR49" s="10">
        <f>7.2/E49</f>
        <v>6.1459667093469908E-2</v>
      </c>
      <c r="DS49" s="10">
        <f>0.5/E49</f>
        <v>4.2680324370465211E-3</v>
      </c>
      <c r="DT49" s="10">
        <f>57/E49</f>
        <v>0.48655569782330343</v>
      </c>
      <c r="DU49" s="10">
        <f>10/E49</f>
        <v>8.5360648740930425E-2</v>
      </c>
      <c r="DV49" s="10" t="s">
        <v>279</v>
      </c>
      <c r="DW49" s="10" t="s">
        <v>55</v>
      </c>
      <c r="DX49" s="10" t="s">
        <v>280</v>
      </c>
      <c r="DY49" s="10" t="s">
        <v>55</v>
      </c>
      <c r="DZ49" s="10" t="s">
        <v>283</v>
      </c>
      <c r="EA49" s="10" t="s">
        <v>55</v>
      </c>
      <c r="EB49" s="10">
        <f>2.7/E49</f>
        <v>2.3047375160051217E-2</v>
      </c>
      <c r="EC49" s="10">
        <f>0.5/E49</f>
        <v>4.2680324370465211E-3</v>
      </c>
      <c r="ED49" s="10">
        <f>1/E49</f>
        <v>8.5360648740930422E-3</v>
      </c>
      <c r="EE49" s="10">
        <f>0.3/E49</f>
        <v>2.5608194622279128E-3</v>
      </c>
      <c r="EF49" s="10">
        <f>2.3/E49</f>
        <v>1.9632949210413995E-2</v>
      </c>
      <c r="EG49" s="10">
        <f>0.4/E49</f>
        <v>3.4144259496372174E-3</v>
      </c>
      <c r="EH49" s="10" t="s">
        <v>233</v>
      </c>
      <c r="EI49" s="10" t="s">
        <v>55</v>
      </c>
      <c r="EJ49" s="10" t="s">
        <v>233</v>
      </c>
      <c r="EK49" s="10" t="s">
        <v>55</v>
      </c>
      <c r="EL49" s="10" t="s">
        <v>233</v>
      </c>
      <c r="EM49" s="10" t="s">
        <v>55</v>
      </c>
      <c r="EN49" s="8">
        <f>154.4/E49</f>
        <v>1.3179684165599659</v>
      </c>
      <c r="EO49" s="8">
        <f>2.5/E49</f>
        <v>2.1340162185232606E-2</v>
      </c>
      <c r="EP49" s="8">
        <f>116.5/E49</f>
        <v>0.99445155783183947</v>
      </c>
      <c r="EQ49" s="8">
        <f>1.4/E49</f>
        <v>1.1950490823730259E-2</v>
      </c>
      <c r="ER49" s="8" t="s">
        <v>502</v>
      </c>
      <c r="ES49" s="8" t="s">
        <v>55</v>
      </c>
      <c r="ET49" s="8" t="s">
        <v>485</v>
      </c>
      <c r="EU49" s="8" t="s">
        <v>55</v>
      </c>
      <c r="EV49" s="8">
        <f>35/E49</f>
        <v>0.2987622705932565</v>
      </c>
      <c r="EW49" s="8">
        <f>22/E49</f>
        <v>0.18779342723004694</v>
      </c>
      <c r="EX49" s="8">
        <f>27/E49</f>
        <v>0.23047375160051214</v>
      </c>
      <c r="EY49" s="8">
        <f>6/E49</f>
        <v>5.1216389244558257E-2</v>
      </c>
      <c r="EZ49" s="8">
        <f>16/E49</f>
        <v>0.13657703798548868</v>
      </c>
      <c r="FA49" s="8">
        <f>6/E49</f>
        <v>5.1216389244558257E-2</v>
      </c>
      <c r="FB49" s="8">
        <f>2/E49</f>
        <v>1.7072129748186084E-2</v>
      </c>
      <c r="FC49" s="8">
        <f>0.1/E49</f>
        <v>8.5360648740930435E-4</v>
      </c>
      <c r="FD49" s="8" t="s">
        <v>497</v>
      </c>
      <c r="FE49" s="8" t="s">
        <v>55</v>
      </c>
      <c r="FF49" s="10">
        <f>31/E49</f>
        <v>0.26461801109688432</v>
      </c>
      <c r="FG49" s="10">
        <f>21/E49</f>
        <v>0.17925736235595391</v>
      </c>
      <c r="FH49" s="10">
        <f>21/E49</f>
        <v>0.17925736235595391</v>
      </c>
      <c r="FI49" s="10">
        <f>8/E49</f>
        <v>6.8288518992744338E-2</v>
      </c>
      <c r="FJ49" s="10">
        <f>14/E49</f>
        <v>0.1195049082373026</v>
      </c>
      <c r="FK49" s="10">
        <f>9/E49</f>
        <v>7.6824583866837381E-2</v>
      </c>
      <c r="FL49" s="10">
        <f>28/E49</f>
        <v>0.2390098164746052</v>
      </c>
      <c r="FM49" s="10">
        <f>4/E49</f>
        <v>3.4144259496372169E-2</v>
      </c>
      <c r="FN49" s="10">
        <f>36/E49</f>
        <v>0.30729833546734953</v>
      </c>
      <c r="FO49" s="10">
        <f>10/E49</f>
        <v>8.5360648740930425E-2</v>
      </c>
      <c r="FP49" s="10">
        <f>23/E49</f>
        <v>0.19632949210413997</v>
      </c>
      <c r="FQ49" s="10">
        <f>5/E49</f>
        <v>4.2680324370465213E-2</v>
      </c>
      <c r="FR49" s="10">
        <f>17/E49</f>
        <v>0.14511310285958173</v>
      </c>
      <c r="FS49" s="10">
        <f>2/E49</f>
        <v>1.7072129748186084E-2</v>
      </c>
      <c r="FT49" s="8">
        <v>1.33</v>
      </c>
      <c r="FU49" s="8">
        <v>0.01</v>
      </c>
      <c r="FV49" s="8">
        <v>0.12</v>
      </c>
      <c r="FW49" s="8">
        <v>0.01</v>
      </c>
      <c r="FX49" s="8">
        <v>0.61</v>
      </c>
      <c r="FY49" s="8">
        <v>0.15</v>
      </c>
      <c r="FZ49" s="8">
        <v>0.31</v>
      </c>
      <c r="GA49" s="8">
        <v>0.01</v>
      </c>
      <c r="GB49" s="8" t="s">
        <v>157</v>
      </c>
      <c r="GC49" s="8" t="s">
        <v>55</v>
      </c>
      <c r="GD49" s="8" t="s">
        <v>157</v>
      </c>
      <c r="GE49" s="8" t="s">
        <v>55</v>
      </c>
      <c r="GF49" s="8" t="s">
        <v>157</v>
      </c>
      <c r="GG49" s="8" t="s">
        <v>55</v>
      </c>
      <c r="GH49" s="8" t="s">
        <v>157</v>
      </c>
      <c r="GI49" s="8" t="s">
        <v>55</v>
      </c>
      <c r="GJ49" s="8">
        <v>2.76</v>
      </c>
      <c r="GK49" s="8">
        <v>0.64</v>
      </c>
      <c r="GL49" s="8" t="s">
        <v>157</v>
      </c>
      <c r="GM49" s="8" t="s">
        <v>55</v>
      </c>
      <c r="GN49" s="8" t="s">
        <v>157</v>
      </c>
      <c r="GO49" s="8" t="s">
        <v>55</v>
      </c>
      <c r="GP49" s="10">
        <v>0.73</v>
      </c>
      <c r="GQ49" s="10">
        <v>0.01</v>
      </c>
      <c r="GR49" s="8" t="s">
        <v>89</v>
      </c>
      <c r="GS49" s="8" t="s">
        <v>55</v>
      </c>
      <c r="GT49" s="8" t="s">
        <v>89</v>
      </c>
      <c r="GU49" s="8" t="s">
        <v>55</v>
      </c>
      <c r="GV49" s="8">
        <v>0.32</v>
      </c>
      <c r="GW49" s="8">
        <v>0.06</v>
      </c>
      <c r="GX49" s="8" t="s">
        <v>497</v>
      </c>
      <c r="GY49" s="8" t="s">
        <v>55</v>
      </c>
      <c r="GZ49" s="10">
        <v>3.5567000000000002</v>
      </c>
      <c r="HA49" s="10" t="s">
        <v>55</v>
      </c>
      <c r="HB49" s="10">
        <v>25.334299999999999</v>
      </c>
      <c r="HC49" s="10" t="s">
        <v>55</v>
      </c>
      <c r="HD49" s="10">
        <v>28.0825</v>
      </c>
      <c r="HE49" s="10" t="s">
        <v>55</v>
      </c>
      <c r="HF49" s="10">
        <v>12.5779</v>
      </c>
      <c r="HG49" s="10" t="s">
        <v>55</v>
      </c>
      <c r="HH49" s="10">
        <v>21.574200000000001</v>
      </c>
      <c r="HI49" s="10" t="s">
        <v>55</v>
      </c>
      <c r="HJ49" s="10">
        <v>54.862299999999998</v>
      </c>
      <c r="HK49" s="10" t="s">
        <v>55</v>
      </c>
      <c r="HL49" s="10">
        <v>1.9426000000000001</v>
      </c>
      <c r="HM49" s="10" t="s">
        <v>55</v>
      </c>
      <c r="HN49" s="10">
        <v>27.549299999999999</v>
      </c>
      <c r="HO49" s="10" t="s">
        <v>55</v>
      </c>
      <c r="HP49" s="10">
        <v>310</v>
      </c>
      <c r="HQ49" s="10">
        <v>20</v>
      </c>
      <c r="HR49" s="10">
        <v>290</v>
      </c>
      <c r="HS49" s="10">
        <v>20</v>
      </c>
      <c r="HT49" s="10">
        <v>51</v>
      </c>
      <c r="HU49" s="10">
        <v>5</v>
      </c>
      <c r="HV49" s="10">
        <v>30.7</v>
      </c>
      <c r="HW49" s="10">
        <v>1.2</v>
      </c>
      <c r="HX49" s="10">
        <v>5.65</v>
      </c>
      <c r="HY49" s="10">
        <v>0.84</v>
      </c>
      <c r="HZ49" s="10">
        <v>179</v>
      </c>
      <c r="IA49" s="10">
        <v>17</v>
      </c>
      <c r="IB49" s="10">
        <v>39</v>
      </c>
      <c r="IC49" s="10">
        <v>4</v>
      </c>
      <c r="ID49" s="1">
        <v>2.9622000000000002</v>
      </c>
      <c r="IE49" s="1">
        <v>1.2125999999999999</v>
      </c>
      <c r="IF49" s="4" t="s">
        <v>75</v>
      </c>
      <c r="IG49" s="4" t="s">
        <v>55</v>
      </c>
      <c r="IH49" s="10" t="s">
        <v>56</v>
      </c>
      <c r="II49" s="10" t="s">
        <v>55</v>
      </c>
      <c r="IJ49" s="10" t="s">
        <v>56</v>
      </c>
      <c r="IK49" s="10" t="s">
        <v>55</v>
      </c>
      <c r="IL49" s="10" t="s">
        <v>56</v>
      </c>
      <c r="IM49" s="10" t="s">
        <v>55</v>
      </c>
      <c r="IN49" s="10" t="s">
        <v>56</v>
      </c>
      <c r="IO49" s="10" t="s">
        <v>55</v>
      </c>
      <c r="IP49" s="10" t="s">
        <v>56</v>
      </c>
      <c r="IQ49" s="10" t="s">
        <v>55</v>
      </c>
      <c r="IR49" s="10" t="s">
        <v>56</v>
      </c>
      <c r="IS49" s="10" t="s">
        <v>55</v>
      </c>
      <c r="IT49" s="4">
        <v>1.5</v>
      </c>
      <c r="IU49" s="4">
        <v>1.8</v>
      </c>
      <c r="IV49" s="10" t="s">
        <v>56</v>
      </c>
      <c r="IW49" s="10" t="s">
        <v>55</v>
      </c>
      <c r="IX49" s="10" t="s">
        <v>56</v>
      </c>
      <c r="IY49" s="10" t="s">
        <v>55</v>
      </c>
      <c r="IZ49" s="10" t="s">
        <v>56</v>
      </c>
      <c r="JA49" s="10" t="s">
        <v>55</v>
      </c>
      <c r="JB49" s="10" t="s">
        <v>56</v>
      </c>
      <c r="JC49" s="10" t="s">
        <v>55</v>
      </c>
      <c r="JD49" s="10" t="s">
        <v>56</v>
      </c>
      <c r="JE49" s="10" t="s">
        <v>55</v>
      </c>
      <c r="JF49" s="10" t="s">
        <v>56</v>
      </c>
      <c r="JG49" s="10" t="s">
        <v>55</v>
      </c>
      <c r="JH49" s="10" t="s">
        <v>56</v>
      </c>
      <c r="JI49" s="10" t="s">
        <v>55</v>
      </c>
      <c r="JJ49" s="10" t="s">
        <v>56</v>
      </c>
      <c r="JK49" s="10" t="s">
        <v>55</v>
      </c>
      <c r="JL49" s="10" t="s">
        <v>56</v>
      </c>
      <c r="JM49" s="10" t="s">
        <v>55</v>
      </c>
      <c r="JN49" s="10" t="s">
        <v>56</v>
      </c>
      <c r="JO49" s="10" t="s">
        <v>55</v>
      </c>
      <c r="JP49" s="10" t="s">
        <v>56</v>
      </c>
      <c r="JQ49" s="10" t="s">
        <v>55</v>
      </c>
      <c r="JR49" s="10" t="s">
        <v>56</v>
      </c>
      <c r="JS49" s="10" t="s">
        <v>55</v>
      </c>
      <c r="JT49" s="10" t="s">
        <v>56</v>
      </c>
      <c r="JU49" s="10" t="s">
        <v>55</v>
      </c>
      <c r="JV49" s="10" t="s">
        <v>56</v>
      </c>
      <c r="JW49" s="10" t="s">
        <v>55</v>
      </c>
      <c r="JX49" s="26">
        <v>8026.693811216056</v>
      </c>
      <c r="JY49" s="26">
        <v>170.22762892277564</v>
      </c>
      <c r="JZ49" s="26">
        <v>8522.7221390025916</v>
      </c>
      <c r="KA49" s="26">
        <v>1613.14368816724</v>
      </c>
      <c r="KB49" s="26">
        <v>6248.5863651053869</v>
      </c>
      <c r="KC49" s="26">
        <v>1311.5830900685282</v>
      </c>
      <c r="KD49" s="26">
        <v>7339.5810000848551</v>
      </c>
      <c r="KE49" s="26">
        <v>1827.2723193941206</v>
      </c>
      <c r="KF49" s="26">
        <v>7552.8697796569868</v>
      </c>
      <c r="KG49" s="26">
        <v>1696.5976259051572</v>
      </c>
      <c r="KH49" s="10" t="s">
        <v>56</v>
      </c>
      <c r="KI49" s="10" t="s">
        <v>55</v>
      </c>
      <c r="KJ49" s="10" t="s">
        <v>56</v>
      </c>
      <c r="KK49" s="10" t="s">
        <v>55</v>
      </c>
      <c r="KL49" s="10" t="s">
        <v>56</v>
      </c>
      <c r="KM49" s="10" t="s">
        <v>55</v>
      </c>
      <c r="KN49" s="10" t="s">
        <v>56</v>
      </c>
      <c r="KO49" s="10" t="s">
        <v>55</v>
      </c>
      <c r="KP49" s="10" t="s">
        <v>56</v>
      </c>
      <c r="KQ49" s="10" t="s">
        <v>55</v>
      </c>
      <c r="KR49" s="17" t="s">
        <v>56</v>
      </c>
      <c r="KS49" s="17" t="s">
        <v>55</v>
      </c>
      <c r="KT49" s="17" t="s">
        <v>56</v>
      </c>
      <c r="KU49" s="17" t="s">
        <v>55</v>
      </c>
      <c r="KV49" s="17">
        <v>906</v>
      </c>
      <c r="KW49" s="17">
        <v>180.7</v>
      </c>
      <c r="KX49" s="17">
        <v>1845.6</v>
      </c>
      <c r="KY49" s="17">
        <v>316.5</v>
      </c>
      <c r="KZ49" s="17">
        <v>1644</v>
      </c>
      <c r="LA49" s="17">
        <v>206.6</v>
      </c>
      <c r="LB49" s="10" t="s">
        <v>61</v>
      </c>
      <c r="LC49" s="10" t="s">
        <v>55</v>
      </c>
      <c r="LD49" s="10">
        <f>1*1000</f>
        <v>1000</v>
      </c>
      <c r="LE49" s="10">
        <f>0.3*1000</f>
        <v>300</v>
      </c>
      <c r="LF49" s="10">
        <f>0.11*1000</f>
        <v>110</v>
      </c>
      <c r="LG49" s="10">
        <f>0.03*1000</f>
        <v>30</v>
      </c>
      <c r="LH49" s="10">
        <f>0.4*1000</f>
        <v>400</v>
      </c>
      <c r="LI49" s="10">
        <f>0.06*1000</f>
        <v>60</v>
      </c>
      <c r="LJ49" s="10" t="s">
        <v>61</v>
      </c>
      <c r="LK49" s="10" t="s">
        <v>55</v>
      </c>
      <c r="LL49" s="10" t="s">
        <v>61</v>
      </c>
      <c r="LM49" s="10" t="s">
        <v>55</v>
      </c>
      <c r="LN49" s="10" t="s">
        <v>61</v>
      </c>
      <c r="LO49" s="10" t="s">
        <v>55</v>
      </c>
      <c r="LP49" s="10" t="s">
        <v>61</v>
      </c>
      <c r="LQ49" s="10" t="s">
        <v>55</v>
      </c>
      <c r="LR49" s="10" t="s">
        <v>61</v>
      </c>
      <c r="LS49" s="10" t="s">
        <v>55</v>
      </c>
      <c r="LT49" s="10" t="s">
        <v>61</v>
      </c>
      <c r="LU49" s="10" t="s">
        <v>55</v>
      </c>
      <c r="LV49" s="10" t="s">
        <v>61</v>
      </c>
      <c r="LW49" s="10" t="s">
        <v>55</v>
      </c>
      <c r="LX49" s="10" t="s">
        <v>61</v>
      </c>
      <c r="LY49" s="10" t="s">
        <v>55</v>
      </c>
      <c r="LZ49" s="10" t="s">
        <v>61</v>
      </c>
      <c r="MA49" s="10" t="s">
        <v>55</v>
      </c>
      <c r="MB49" s="10" t="s">
        <v>61</v>
      </c>
      <c r="MC49" s="10" t="s">
        <v>55</v>
      </c>
      <c r="MD49" s="10" t="s">
        <v>61</v>
      </c>
      <c r="ME49" s="10" t="s">
        <v>55</v>
      </c>
      <c r="MF49" s="10" t="s">
        <v>61</v>
      </c>
      <c r="MG49" s="10" t="s">
        <v>55</v>
      </c>
      <c r="MH49" s="10" t="s">
        <v>61</v>
      </c>
      <c r="MI49" s="10" t="s">
        <v>55</v>
      </c>
      <c r="MJ49" s="10" t="s">
        <v>61</v>
      </c>
      <c r="MK49" s="10" t="s">
        <v>55</v>
      </c>
      <c r="ML49" s="10" t="s">
        <v>61</v>
      </c>
      <c r="MM49" s="10" t="s">
        <v>55</v>
      </c>
      <c r="MN49" s="10" t="s">
        <v>61</v>
      </c>
      <c r="MO49" s="10" t="s">
        <v>55</v>
      </c>
      <c r="MP49" s="10" t="s">
        <v>61</v>
      </c>
      <c r="MQ49" s="10" t="s">
        <v>55</v>
      </c>
      <c r="MR49" s="10" t="s">
        <v>61</v>
      </c>
      <c r="MS49" s="10" t="s">
        <v>55</v>
      </c>
      <c r="MT49" s="10" t="s">
        <v>61</v>
      </c>
      <c r="MU49" s="10" t="s">
        <v>55</v>
      </c>
      <c r="MV49" s="10" t="s">
        <v>61</v>
      </c>
      <c r="MW49" s="10" t="s">
        <v>55</v>
      </c>
      <c r="MX49" s="10" t="s">
        <v>61</v>
      </c>
      <c r="MY49" s="10" t="s">
        <v>55</v>
      </c>
      <c r="MZ49" s="10" t="s">
        <v>61</v>
      </c>
      <c r="NA49" s="10" t="s">
        <v>55</v>
      </c>
      <c r="NB49" s="10" t="s">
        <v>61</v>
      </c>
      <c r="NC49" s="10" t="s">
        <v>55</v>
      </c>
      <c r="ND49" s="10" t="s">
        <v>61</v>
      </c>
      <c r="NE49" s="10" t="s">
        <v>55</v>
      </c>
      <c r="NF49" s="10" t="s">
        <v>61</v>
      </c>
      <c r="NG49" s="10" t="s">
        <v>55</v>
      </c>
      <c r="NH49" s="10" t="s">
        <v>61</v>
      </c>
      <c r="NI49" s="10" t="s">
        <v>55</v>
      </c>
      <c r="NJ49" s="10" t="s">
        <v>61</v>
      </c>
      <c r="NK49" s="10" t="s">
        <v>55</v>
      </c>
      <c r="NL49" s="10" t="s">
        <v>61</v>
      </c>
      <c r="NM49" s="10" t="s">
        <v>55</v>
      </c>
      <c r="NN49" s="10" t="s">
        <v>61</v>
      </c>
      <c r="NO49" s="10" t="s">
        <v>55</v>
      </c>
      <c r="NP49" s="10" t="s">
        <v>61</v>
      </c>
      <c r="NQ49" s="10" t="s">
        <v>55</v>
      </c>
      <c r="NR49" s="10" t="s">
        <v>57</v>
      </c>
      <c r="NS49" s="10" t="s">
        <v>55</v>
      </c>
      <c r="NT49" s="10" t="s">
        <v>57</v>
      </c>
      <c r="NU49" s="10" t="s">
        <v>55</v>
      </c>
    </row>
    <row r="50" spans="1:385" x14ac:dyDescent="0.2">
      <c r="A50" t="s">
        <v>869</v>
      </c>
      <c r="B50" s="1" t="s">
        <v>1037</v>
      </c>
      <c r="C50" s="1" t="s">
        <v>843</v>
      </c>
      <c r="D50" s="39" cm="1">
        <f t="array" ref="D50">SUMPRODUCT((ISNUMBER(F50:NU50))*(MOD(COLUMN(F50:NU50),2)=0))</f>
        <v>62</v>
      </c>
      <c r="E50" s="1">
        <v>117.15</v>
      </c>
      <c r="F50" s="10" t="s">
        <v>56</v>
      </c>
      <c r="G50" s="10" t="s">
        <v>55</v>
      </c>
      <c r="H50" s="10" t="s">
        <v>56</v>
      </c>
      <c r="I50" s="10" t="s">
        <v>55</v>
      </c>
      <c r="J50" s="10" t="s">
        <v>56</v>
      </c>
      <c r="K50" s="10" t="s">
        <v>55</v>
      </c>
      <c r="L50" s="10" t="s">
        <v>56</v>
      </c>
      <c r="M50" s="10" t="s">
        <v>55</v>
      </c>
      <c r="N50" s="10" t="s">
        <v>56</v>
      </c>
      <c r="O50" s="10" t="s">
        <v>55</v>
      </c>
      <c r="P50" s="10" t="s">
        <v>56</v>
      </c>
      <c r="Q50" s="10" t="s">
        <v>55</v>
      </c>
      <c r="R50" s="10" t="s">
        <v>56</v>
      </c>
      <c r="S50" s="10" t="s">
        <v>55</v>
      </c>
      <c r="T50" s="10" t="s">
        <v>56</v>
      </c>
      <c r="U50" s="10" t="s">
        <v>55</v>
      </c>
      <c r="V50" s="10" t="s">
        <v>56</v>
      </c>
      <c r="W50" s="10" t="s">
        <v>55</v>
      </c>
      <c r="X50" s="10" t="s">
        <v>56</v>
      </c>
      <c r="Y50" s="10" t="s">
        <v>55</v>
      </c>
      <c r="Z50" s="10" t="s">
        <v>56</v>
      </c>
      <c r="AA50" s="10" t="s">
        <v>55</v>
      </c>
      <c r="AB50" s="10" t="s">
        <v>56</v>
      </c>
      <c r="AC50" s="10" t="s">
        <v>55</v>
      </c>
      <c r="AD50" s="10" t="s">
        <v>56</v>
      </c>
      <c r="AE50" s="10" t="s">
        <v>55</v>
      </c>
      <c r="AF50" s="10" t="s">
        <v>56</v>
      </c>
      <c r="AG50" s="10" t="s">
        <v>55</v>
      </c>
      <c r="AH50" s="10" t="s">
        <v>56</v>
      </c>
      <c r="AI50" s="10" t="s">
        <v>55</v>
      </c>
      <c r="AJ50" s="10" t="s">
        <v>56</v>
      </c>
      <c r="AK50" s="10" t="s">
        <v>55</v>
      </c>
      <c r="AL50" s="10" t="s">
        <v>56</v>
      </c>
      <c r="AM50" s="10" t="s">
        <v>55</v>
      </c>
      <c r="AN50" s="10" t="s">
        <v>56</v>
      </c>
      <c r="AO50" s="10" t="s">
        <v>55</v>
      </c>
      <c r="AP50" s="10" t="s">
        <v>56</v>
      </c>
      <c r="AQ50" s="10" t="s">
        <v>55</v>
      </c>
      <c r="AR50" s="10" t="s">
        <v>56</v>
      </c>
      <c r="AS50" s="10" t="s">
        <v>55</v>
      </c>
      <c r="AT50" s="10" t="s">
        <v>56</v>
      </c>
      <c r="AU50" s="10" t="s">
        <v>55</v>
      </c>
      <c r="AV50" s="10" t="s">
        <v>56</v>
      </c>
      <c r="AW50" s="10" t="s">
        <v>55</v>
      </c>
      <c r="AX50" s="10" t="s">
        <v>56</v>
      </c>
      <c r="AY50" s="10" t="s">
        <v>55</v>
      </c>
      <c r="AZ50" s="10" t="s">
        <v>56</v>
      </c>
      <c r="BA50" s="10" t="s">
        <v>55</v>
      </c>
      <c r="BB50" s="10" t="s">
        <v>56</v>
      </c>
      <c r="BC50" s="10" t="s">
        <v>55</v>
      </c>
      <c r="BD50" s="4">
        <v>2.5</v>
      </c>
      <c r="BE50" s="10" t="s">
        <v>55</v>
      </c>
      <c r="BF50" s="10" t="s">
        <v>56</v>
      </c>
      <c r="BG50" s="10" t="s">
        <v>55</v>
      </c>
      <c r="BH50" s="10" t="s">
        <v>56</v>
      </c>
      <c r="BI50" s="10" t="s">
        <v>55</v>
      </c>
      <c r="BJ50" s="10" t="s">
        <v>56</v>
      </c>
      <c r="BK50" s="10" t="s">
        <v>55</v>
      </c>
      <c r="BL50" s="10" t="s">
        <v>56</v>
      </c>
      <c r="BM50" s="10" t="s">
        <v>55</v>
      </c>
      <c r="BN50" s="10" t="s">
        <v>56</v>
      </c>
      <c r="BO50" s="10" t="s">
        <v>55</v>
      </c>
      <c r="BP50" s="10" t="s">
        <v>56</v>
      </c>
      <c r="BQ50" s="10" t="s">
        <v>55</v>
      </c>
      <c r="BR50" s="10" t="s">
        <v>56</v>
      </c>
      <c r="BS50" s="10" t="s">
        <v>55</v>
      </c>
      <c r="BT50" s="10" t="s">
        <v>56</v>
      </c>
      <c r="BU50" s="10" t="s">
        <v>55</v>
      </c>
      <c r="BV50" s="10" t="s">
        <v>56</v>
      </c>
      <c r="BW50" s="10" t="s">
        <v>55</v>
      </c>
      <c r="BX50" s="10" t="s">
        <v>56</v>
      </c>
      <c r="BY50" s="10" t="s">
        <v>55</v>
      </c>
      <c r="BZ50" s="10" t="s">
        <v>56</v>
      </c>
      <c r="CA50" s="10" t="s">
        <v>55</v>
      </c>
      <c r="CB50" s="10" t="s">
        <v>56</v>
      </c>
      <c r="CC50" s="10" t="s">
        <v>55</v>
      </c>
      <c r="CD50" s="10" t="s">
        <v>56</v>
      </c>
      <c r="CE50" s="10" t="s">
        <v>55</v>
      </c>
      <c r="CF50" s="10" t="s">
        <v>56</v>
      </c>
      <c r="CG50" s="10" t="s">
        <v>55</v>
      </c>
      <c r="CH50" s="10" t="s">
        <v>56</v>
      </c>
      <c r="CI50" s="10" t="s">
        <v>55</v>
      </c>
      <c r="CJ50" s="10" t="s">
        <v>56</v>
      </c>
      <c r="CK50" s="10" t="s">
        <v>55</v>
      </c>
      <c r="CL50" s="10" t="s">
        <v>56</v>
      </c>
      <c r="CM50" s="10" t="s">
        <v>55</v>
      </c>
      <c r="CN50" s="10" t="s">
        <v>56</v>
      </c>
      <c r="CO50" s="10" t="s">
        <v>55</v>
      </c>
      <c r="CP50" s="10" t="s">
        <v>56</v>
      </c>
      <c r="CQ50" s="10" t="s">
        <v>55</v>
      </c>
      <c r="CR50" s="10" t="s">
        <v>56</v>
      </c>
      <c r="CS50" s="10" t="s">
        <v>55</v>
      </c>
      <c r="CT50" s="10" t="s">
        <v>56</v>
      </c>
      <c r="CU50" s="10" t="s">
        <v>55</v>
      </c>
      <c r="CV50" s="10" t="s">
        <v>56</v>
      </c>
      <c r="CW50" s="10" t="s">
        <v>55</v>
      </c>
      <c r="CX50" s="10" t="s">
        <v>56</v>
      </c>
      <c r="CY50" s="10" t="s">
        <v>55</v>
      </c>
      <c r="CZ50" s="10" t="s">
        <v>56</v>
      </c>
      <c r="DA50" s="10" t="s">
        <v>55</v>
      </c>
      <c r="DB50" s="10" t="s">
        <v>56</v>
      </c>
      <c r="DC50" s="10" t="s">
        <v>55</v>
      </c>
      <c r="DD50" s="10" t="s">
        <v>56</v>
      </c>
      <c r="DE50" s="10" t="s">
        <v>55</v>
      </c>
      <c r="DF50" s="10" t="s">
        <v>56</v>
      </c>
      <c r="DG50" s="10" t="s">
        <v>55</v>
      </c>
      <c r="DH50" s="10" t="s">
        <v>56</v>
      </c>
      <c r="DI50" s="10" t="s">
        <v>55</v>
      </c>
      <c r="DJ50" s="10" t="s">
        <v>56</v>
      </c>
      <c r="DK50" s="10" t="s">
        <v>55</v>
      </c>
      <c r="DL50" s="10" t="s">
        <v>56</v>
      </c>
      <c r="DM50" s="10" t="s">
        <v>55</v>
      </c>
      <c r="DN50" s="10" t="s">
        <v>56</v>
      </c>
      <c r="DO50" s="10" t="s">
        <v>55</v>
      </c>
      <c r="DP50" s="10" t="s">
        <v>56</v>
      </c>
      <c r="DQ50" s="10" t="s">
        <v>55</v>
      </c>
      <c r="DR50" s="10" t="s">
        <v>56</v>
      </c>
      <c r="DS50" s="10" t="s">
        <v>55</v>
      </c>
      <c r="DT50" s="10" t="s">
        <v>56</v>
      </c>
      <c r="DU50" s="10" t="s">
        <v>55</v>
      </c>
      <c r="DV50" s="10" t="s">
        <v>56</v>
      </c>
      <c r="DW50" s="10" t="s">
        <v>55</v>
      </c>
      <c r="DX50" s="10" t="s">
        <v>56</v>
      </c>
      <c r="DY50" s="10" t="s">
        <v>55</v>
      </c>
      <c r="DZ50" s="10" t="s">
        <v>56</v>
      </c>
      <c r="EA50" s="10" t="s">
        <v>55</v>
      </c>
      <c r="EB50" s="10" t="s">
        <v>56</v>
      </c>
      <c r="EC50" s="10" t="s">
        <v>55</v>
      </c>
      <c r="ED50" s="10" t="s">
        <v>56</v>
      </c>
      <c r="EE50" s="10" t="s">
        <v>55</v>
      </c>
      <c r="EF50" s="10" t="s">
        <v>56</v>
      </c>
      <c r="EG50" s="10" t="s">
        <v>55</v>
      </c>
      <c r="EH50" s="10" t="s">
        <v>56</v>
      </c>
      <c r="EI50" s="10" t="s">
        <v>55</v>
      </c>
      <c r="EJ50" s="10" t="s">
        <v>56</v>
      </c>
      <c r="EK50" s="10" t="s">
        <v>55</v>
      </c>
      <c r="EL50" s="10" t="s">
        <v>56</v>
      </c>
      <c r="EM50" s="10" t="s">
        <v>55</v>
      </c>
      <c r="EN50" s="10" t="s">
        <v>56</v>
      </c>
      <c r="EO50" s="10" t="s">
        <v>55</v>
      </c>
      <c r="EP50" s="10" t="s">
        <v>56</v>
      </c>
      <c r="EQ50" s="10" t="s">
        <v>55</v>
      </c>
      <c r="ER50" s="10" t="s">
        <v>56</v>
      </c>
      <c r="ES50" s="10" t="s">
        <v>55</v>
      </c>
      <c r="ET50" s="10" t="s">
        <v>56</v>
      </c>
      <c r="EU50" s="10" t="s">
        <v>55</v>
      </c>
      <c r="EV50" s="10" t="s">
        <v>56</v>
      </c>
      <c r="EW50" s="10" t="s">
        <v>55</v>
      </c>
      <c r="EX50" s="10" t="s">
        <v>56</v>
      </c>
      <c r="EY50" s="10" t="s">
        <v>55</v>
      </c>
      <c r="EZ50" s="10" t="s">
        <v>56</v>
      </c>
      <c r="FA50" s="10" t="s">
        <v>55</v>
      </c>
      <c r="FB50" s="10" t="s">
        <v>56</v>
      </c>
      <c r="FC50" s="10" t="s">
        <v>55</v>
      </c>
      <c r="FD50" s="10" t="s">
        <v>56</v>
      </c>
      <c r="FE50" s="10" t="s">
        <v>55</v>
      </c>
      <c r="FF50" s="10" t="s">
        <v>56</v>
      </c>
      <c r="FG50" s="10" t="s">
        <v>55</v>
      </c>
      <c r="FH50" s="10" t="s">
        <v>56</v>
      </c>
      <c r="FI50" s="10" t="s">
        <v>55</v>
      </c>
      <c r="FJ50" s="10" t="s">
        <v>56</v>
      </c>
      <c r="FK50" s="10" t="s">
        <v>55</v>
      </c>
      <c r="FL50" s="10" t="s">
        <v>56</v>
      </c>
      <c r="FM50" s="10" t="s">
        <v>55</v>
      </c>
      <c r="FN50" s="10" t="s">
        <v>56</v>
      </c>
      <c r="FO50" s="10" t="s">
        <v>55</v>
      </c>
      <c r="FP50" s="10" t="s">
        <v>56</v>
      </c>
      <c r="FQ50" s="10" t="s">
        <v>55</v>
      </c>
      <c r="FR50" s="10" t="s">
        <v>56</v>
      </c>
      <c r="FS50" s="10" t="s">
        <v>55</v>
      </c>
      <c r="FT50" s="10" t="s">
        <v>56</v>
      </c>
      <c r="FU50" s="10" t="s">
        <v>55</v>
      </c>
      <c r="FV50" s="10" t="s">
        <v>56</v>
      </c>
      <c r="FW50" s="10" t="s">
        <v>55</v>
      </c>
      <c r="FX50" s="10" t="s">
        <v>56</v>
      </c>
      <c r="FY50" s="10" t="s">
        <v>55</v>
      </c>
      <c r="FZ50" s="10" t="s">
        <v>56</v>
      </c>
      <c r="GA50" s="10" t="s">
        <v>55</v>
      </c>
      <c r="GB50" s="10" t="s">
        <v>56</v>
      </c>
      <c r="GC50" s="10" t="s">
        <v>55</v>
      </c>
      <c r="GD50" s="10" t="s">
        <v>56</v>
      </c>
      <c r="GE50" s="10" t="s">
        <v>55</v>
      </c>
      <c r="GF50" s="10" t="s">
        <v>56</v>
      </c>
      <c r="GG50" s="10" t="s">
        <v>55</v>
      </c>
      <c r="GH50" s="10" t="s">
        <v>56</v>
      </c>
      <c r="GI50" s="10" t="s">
        <v>55</v>
      </c>
      <c r="GJ50" s="10" t="s">
        <v>56</v>
      </c>
      <c r="GK50" s="10" t="s">
        <v>55</v>
      </c>
      <c r="GL50" s="10" t="s">
        <v>56</v>
      </c>
      <c r="GM50" s="10" t="s">
        <v>55</v>
      </c>
      <c r="GN50" s="10" t="s">
        <v>56</v>
      </c>
      <c r="GO50" s="10" t="s">
        <v>55</v>
      </c>
      <c r="GP50" s="10" t="s">
        <v>56</v>
      </c>
      <c r="GQ50" s="10" t="s">
        <v>55</v>
      </c>
      <c r="GR50" s="10" t="s">
        <v>56</v>
      </c>
      <c r="GS50" s="10" t="s">
        <v>55</v>
      </c>
      <c r="GT50" s="10" t="s">
        <v>56</v>
      </c>
      <c r="GU50" s="10" t="s">
        <v>55</v>
      </c>
      <c r="GV50" s="17" t="s">
        <v>56</v>
      </c>
      <c r="GW50" s="17" t="s">
        <v>55</v>
      </c>
      <c r="GX50" s="10" t="s">
        <v>56</v>
      </c>
      <c r="GY50" s="10" t="s">
        <v>55</v>
      </c>
      <c r="GZ50" s="10" t="s">
        <v>56</v>
      </c>
      <c r="HA50" s="10" t="s">
        <v>55</v>
      </c>
      <c r="HB50" s="10" t="s">
        <v>56</v>
      </c>
      <c r="HC50" s="10" t="s">
        <v>55</v>
      </c>
      <c r="HD50" s="10" t="s">
        <v>56</v>
      </c>
      <c r="HE50" s="10" t="s">
        <v>55</v>
      </c>
      <c r="HF50" s="10" t="s">
        <v>56</v>
      </c>
      <c r="HG50" s="10" t="s">
        <v>55</v>
      </c>
      <c r="HH50" s="10" t="s">
        <v>56</v>
      </c>
      <c r="HI50" s="10" t="s">
        <v>55</v>
      </c>
      <c r="HJ50" s="10" t="s">
        <v>56</v>
      </c>
      <c r="HK50" s="10" t="s">
        <v>55</v>
      </c>
      <c r="HL50" s="10" t="s">
        <v>56</v>
      </c>
      <c r="HM50" s="10" t="s">
        <v>55</v>
      </c>
      <c r="HN50" s="10" t="s">
        <v>56</v>
      </c>
      <c r="HO50" s="10" t="s">
        <v>55</v>
      </c>
      <c r="HP50" s="10" t="s">
        <v>56</v>
      </c>
      <c r="HQ50" s="10" t="s">
        <v>55</v>
      </c>
      <c r="HR50" s="10" t="s">
        <v>56</v>
      </c>
      <c r="HS50" s="10" t="s">
        <v>55</v>
      </c>
      <c r="HT50" s="10" t="s">
        <v>56</v>
      </c>
      <c r="HU50" s="10" t="s">
        <v>55</v>
      </c>
      <c r="HV50" s="10" t="s">
        <v>56</v>
      </c>
      <c r="HW50" s="10" t="s">
        <v>55</v>
      </c>
      <c r="HX50" s="10" t="s">
        <v>56</v>
      </c>
      <c r="HY50" s="10" t="s">
        <v>55</v>
      </c>
      <c r="HZ50" s="10" t="s">
        <v>56</v>
      </c>
      <c r="IA50" s="10" t="s">
        <v>55</v>
      </c>
      <c r="IB50" s="10" t="s">
        <v>56</v>
      </c>
      <c r="IC50" s="10" t="s">
        <v>55</v>
      </c>
      <c r="ID50" s="10" t="s">
        <v>56</v>
      </c>
      <c r="IE50" s="10" t="s">
        <v>55</v>
      </c>
      <c r="IF50" s="10" t="s">
        <v>56</v>
      </c>
      <c r="IG50" s="10" t="s">
        <v>55</v>
      </c>
      <c r="IH50" s="4">
        <v>4.0999999999999996</v>
      </c>
      <c r="II50" s="4" t="s">
        <v>55</v>
      </c>
      <c r="IJ50" s="4">
        <v>3.8</v>
      </c>
      <c r="IK50" s="4" t="s">
        <v>55</v>
      </c>
      <c r="IL50" s="4">
        <v>2</v>
      </c>
      <c r="IM50" s="4" t="s">
        <v>55</v>
      </c>
      <c r="IN50" s="4">
        <v>3.8</v>
      </c>
      <c r="IO50" s="4" t="s">
        <v>55</v>
      </c>
      <c r="IP50" s="4">
        <v>143</v>
      </c>
      <c r="IQ50" s="4" t="s">
        <v>55</v>
      </c>
      <c r="IR50" s="4">
        <v>3.65</v>
      </c>
      <c r="IS50" s="4">
        <v>0.28999999999999998</v>
      </c>
      <c r="IT50" s="4" t="s">
        <v>157</v>
      </c>
      <c r="IU50" s="4" t="s">
        <v>55</v>
      </c>
      <c r="IV50" s="4">
        <v>10.75</v>
      </c>
      <c r="IW50" s="4" t="s">
        <v>55</v>
      </c>
      <c r="IX50" s="4">
        <f>1.77*1000</f>
        <v>1770</v>
      </c>
      <c r="IY50" s="4" t="s">
        <v>55</v>
      </c>
      <c r="IZ50" s="4">
        <f>0.37*1000</f>
        <v>370</v>
      </c>
      <c r="JA50" s="4" t="s">
        <v>55</v>
      </c>
      <c r="JB50" s="4">
        <f>0.88*1000</f>
        <v>880</v>
      </c>
      <c r="JC50" s="4" t="s">
        <v>55</v>
      </c>
      <c r="JD50" s="4">
        <f>0.28*1000</f>
        <v>280</v>
      </c>
      <c r="JE50" s="4" t="s">
        <v>55</v>
      </c>
      <c r="JF50" s="4">
        <v>0.125</v>
      </c>
      <c r="JG50" s="4" t="s">
        <v>55</v>
      </c>
      <c r="JH50" s="4">
        <v>0.11700000000000001</v>
      </c>
      <c r="JI50" s="4" t="s">
        <v>55</v>
      </c>
      <c r="JJ50" s="4">
        <v>0.16800000000000001</v>
      </c>
      <c r="JK50" s="4" t="s">
        <v>55</v>
      </c>
      <c r="JL50" s="4">
        <v>0.59499999999999997</v>
      </c>
      <c r="JM50" s="4" t="s">
        <v>55</v>
      </c>
      <c r="JN50" s="4">
        <v>0.443</v>
      </c>
      <c r="JO50" s="4" t="s">
        <v>55</v>
      </c>
      <c r="JP50" s="4">
        <v>0.35599999999999998</v>
      </c>
      <c r="JQ50" s="4" t="s">
        <v>55</v>
      </c>
      <c r="JR50" s="4">
        <v>0.51500000000000001</v>
      </c>
      <c r="JS50" s="4" t="s">
        <v>55</v>
      </c>
      <c r="JT50" s="4">
        <v>0.42699999999999999</v>
      </c>
      <c r="JU50" s="4" t="s">
        <v>55</v>
      </c>
      <c r="JV50" s="4">
        <v>31.24</v>
      </c>
      <c r="JW50" s="4" t="s">
        <v>55</v>
      </c>
      <c r="JX50" s="26">
        <v>7.9209243572251955</v>
      </c>
      <c r="JY50" s="26">
        <v>8.2841088801852134</v>
      </c>
      <c r="JZ50" s="26">
        <v>21.004136666761436</v>
      </c>
      <c r="KA50" s="26">
        <v>18.659846351491439</v>
      </c>
      <c r="KB50" s="26">
        <v>23.344651759861723</v>
      </c>
      <c r="KC50" s="26">
        <v>8.4698049358429639</v>
      </c>
      <c r="KD50" s="26">
        <v>69.916647626091574</v>
      </c>
      <c r="KE50" s="26">
        <v>5.5146092577869217</v>
      </c>
      <c r="KF50" s="26">
        <v>13.945751649549495</v>
      </c>
      <c r="KG50" s="26">
        <v>6.4987267037457377</v>
      </c>
      <c r="KH50" s="4">
        <f>91.9*1000</f>
        <v>91900</v>
      </c>
      <c r="KI50" s="4">
        <f>12.1*1000</f>
        <v>12100</v>
      </c>
      <c r="KJ50" s="4">
        <f>720.7*1000</f>
        <v>720700</v>
      </c>
      <c r="KK50" s="4">
        <f>41.8*1000</f>
        <v>41800</v>
      </c>
      <c r="KL50" s="4">
        <f>64.5*1000</f>
        <v>64500</v>
      </c>
      <c r="KM50" s="4">
        <f>6.1*1000</f>
        <v>6100</v>
      </c>
      <c r="KN50" s="4">
        <f>157.8*1000</f>
        <v>157800</v>
      </c>
      <c r="KO50" s="4">
        <f>15.1*1000</f>
        <v>15100</v>
      </c>
      <c r="KP50" s="4">
        <f>392.7*1000</f>
        <v>392700</v>
      </c>
      <c r="KQ50" s="4">
        <f>29.8*1000</f>
        <v>29800</v>
      </c>
      <c r="KR50" s="17" t="s">
        <v>56</v>
      </c>
      <c r="KS50" s="17" t="s">
        <v>55</v>
      </c>
      <c r="KT50" s="17" t="s">
        <v>56</v>
      </c>
      <c r="KU50" s="17" t="s">
        <v>55</v>
      </c>
      <c r="KV50" s="4" t="s">
        <v>57</v>
      </c>
      <c r="KW50" s="4" t="s">
        <v>55</v>
      </c>
      <c r="KX50" s="4" t="s">
        <v>57</v>
      </c>
      <c r="KY50" s="4" t="s">
        <v>55</v>
      </c>
      <c r="KZ50" s="4" t="s">
        <v>57</v>
      </c>
      <c r="LA50" s="4" t="s">
        <v>55</v>
      </c>
      <c r="LB50" s="10">
        <f>((2.4/100)*1000000000)/E50</f>
        <v>204865.55697823301</v>
      </c>
      <c r="LC50" s="10">
        <f>((0.1/100)*1000000000)/E50</f>
        <v>8536.0648740930428</v>
      </c>
      <c r="LD50" s="10" t="s">
        <v>56</v>
      </c>
      <c r="LE50" s="10" t="s">
        <v>55</v>
      </c>
      <c r="LF50" s="10" t="s">
        <v>56</v>
      </c>
      <c r="LG50" s="10" t="s">
        <v>55</v>
      </c>
      <c r="LH50" s="10" t="s">
        <v>56</v>
      </c>
      <c r="LI50" s="10" t="s">
        <v>55</v>
      </c>
      <c r="LJ50" s="10">
        <f>((4.34/100)*1000000000)/E50</f>
        <v>370465.21553563804</v>
      </c>
      <c r="LK50" s="10" t="s">
        <v>162</v>
      </c>
      <c r="LL50" s="10">
        <f>(31.9*1000000)/E50</f>
        <v>272300.46948356804</v>
      </c>
      <c r="LM50" s="10">
        <f>(0.56*1000000)/E50</f>
        <v>4780.1963294921043</v>
      </c>
      <c r="LN50" s="10">
        <f>((0.56/100)*1000000000)/E50</f>
        <v>47801.96329492105</v>
      </c>
      <c r="LO50" s="10" t="s">
        <v>162</v>
      </c>
      <c r="LP50" s="10">
        <f>((2.26/100)*1000000000)/E50</f>
        <v>192915.06615450277</v>
      </c>
      <c r="LQ50" s="10" t="s">
        <v>55</v>
      </c>
      <c r="LR50" s="10">
        <f>((8.63/100)*1000000000)/E50</f>
        <v>736662.39863422955</v>
      </c>
      <c r="LS50" s="10" t="s">
        <v>55</v>
      </c>
      <c r="LT50" s="10">
        <f>((6.95/100)*1000000000)/E50</f>
        <v>593256.50874946651</v>
      </c>
      <c r="LU50" s="10" t="s">
        <v>55</v>
      </c>
      <c r="LV50" s="10">
        <f>((112/100)*1000000)/E50</f>
        <v>9560.3926589842085</v>
      </c>
      <c r="LW50" s="10" t="s">
        <v>55</v>
      </c>
      <c r="LX50" s="10">
        <f>((120/100)*1000000)/E50</f>
        <v>10243.277848911652</v>
      </c>
      <c r="LY50" s="10" t="s">
        <v>55</v>
      </c>
      <c r="LZ50" s="10">
        <f>((121/100)*1000000)/E50</f>
        <v>10328.638497652582</v>
      </c>
      <c r="MA50" s="10" t="s">
        <v>55</v>
      </c>
      <c r="MB50" s="10">
        <f>((124/100)*1000000)/E50</f>
        <v>10584.720443875372</v>
      </c>
      <c r="MC50" s="10" t="s">
        <v>55</v>
      </c>
      <c r="MD50" s="4">
        <v>7966</v>
      </c>
      <c r="ME50" s="4" t="s">
        <v>55</v>
      </c>
      <c r="MF50" s="4">
        <v>6989</v>
      </c>
      <c r="MG50" s="4" t="s">
        <v>55</v>
      </c>
      <c r="MH50" s="4">
        <v>6191</v>
      </c>
      <c r="MI50" s="4" t="s">
        <v>55</v>
      </c>
      <c r="MJ50" s="4">
        <v>5641</v>
      </c>
      <c r="MK50" s="4" t="s">
        <v>55</v>
      </c>
      <c r="ML50" s="4">
        <v>7546</v>
      </c>
      <c r="MM50" s="4" t="s">
        <v>55</v>
      </c>
      <c r="MN50" s="4">
        <v>7414</v>
      </c>
      <c r="MO50" s="4" t="s">
        <v>55</v>
      </c>
      <c r="MP50" s="4">
        <v>8146</v>
      </c>
      <c r="MQ50" s="4" t="s">
        <v>55</v>
      </c>
      <c r="MR50" s="4">
        <v>7678</v>
      </c>
      <c r="MS50" s="4" t="s">
        <v>55</v>
      </c>
      <c r="MT50" s="4">
        <v>7842</v>
      </c>
      <c r="MU50" s="4" t="s">
        <v>55</v>
      </c>
      <c r="MV50" s="4">
        <v>6837</v>
      </c>
      <c r="MW50" s="4" t="s">
        <v>55</v>
      </c>
      <c r="MX50" s="4">
        <v>6647</v>
      </c>
      <c r="MY50" s="4" t="s">
        <v>55</v>
      </c>
      <c r="MZ50" s="4">
        <v>7268</v>
      </c>
      <c r="NA50" s="4" t="s">
        <v>55</v>
      </c>
      <c r="NB50" s="10">
        <f>(0.116*1000000)/E50</f>
        <v>990.18352539479292</v>
      </c>
      <c r="NC50" s="10" t="s">
        <v>55</v>
      </c>
      <c r="ND50" s="10">
        <f>(0.38*1000000)/E50</f>
        <v>3243.7046521553561</v>
      </c>
      <c r="NE50" s="10" t="s">
        <v>55</v>
      </c>
      <c r="NF50" s="10">
        <f>(0.25*1000000)/E50</f>
        <v>2134.0162185232607</v>
      </c>
      <c r="NG50" s="10" t="s">
        <v>55</v>
      </c>
      <c r="NH50" s="10">
        <f>(0.89*1000000)/E50</f>
        <v>7597.0977379428077</v>
      </c>
      <c r="NI50" s="10" t="s">
        <v>55</v>
      </c>
      <c r="NJ50" s="10">
        <f>(10*1000000)/E50</f>
        <v>85360.648740930425</v>
      </c>
      <c r="NK50" s="10" t="s">
        <v>55</v>
      </c>
      <c r="NL50" s="10">
        <f>(0.104*1000000)/E50</f>
        <v>887.75074690567646</v>
      </c>
      <c r="NM50" s="4" t="s">
        <v>55</v>
      </c>
      <c r="NN50" s="4">
        <f>((0.8/100)*1000000)/E50</f>
        <v>68.288518992744343</v>
      </c>
      <c r="NO50" s="4" t="s">
        <v>55</v>
      </c>
      <c r="NP50" s="4">
        <f>(40.7*1000000)/E50</f>
        <v>347417.84037558682</v>
      </c>
      <c r="NQ50" s="4">
        <f>(0.52*1000000)/E50</f>
        <v>4438.7537345283818</v>
      </c>
      <c r="NR50" s="10" t="s">
        <v>56</v>
      </c>
      <c r="NS50" s="10" t="s">
        <v>55</v>
      </c>
      <c r="NT50" s="10" t="s">
        <v>56</v>
      </c>
      <c r="NU50" s="10" t="s">
        <v>55</v>
      </c>
    </row>
    <row r="51" spans="1:385" x14ac:dyDescent="0.2">
      <c r="A51" t="s">
        <v>23</v>
      </c>
      <c r="B51" s="1" t="s">
        <v>1037</v>
      </c>
      <c r="C51" s="1" t="s">
        <v>858</v>
      </c>
      <c r="D51" s="39" cm="1">
        <f t="array" ref="D51">SUMPRODUCT((ISNUMBER(F51:NU51))*(MOD(COLUMN(F51:NU51),2)=0))</f>
        <v>29</v>
      </c>
      <c r="E51" s="1">
        <v>117.15</v>
      </c>
      <c r="F51" s="1" t="s">
        <v>75</v>
      </c>
      <c r="G51" s="1" t="s">
        <v>55</v>
      </c>
      <c r="H51" s="1" t="s">
        <v>54</v>
      </c>
      <c r="I51" s="1" t="s">
        <v>55</v>
      </c>
      <c r="J51" s="1" t="s">
        <v>57</v>
      </c>
      <c r="K51" s="1" t="s">
        <v>55</v>
      </c>
      <c r="L51" s="1" t="s">
        <v>75</v>
      </c>
      <c r="M51" s="1" t="s">
        <v>55</v>
      </c>
      <c r="N51" s="1" t="s">
        <v>75</v>
      </c>
      <c r="O51" s="1" t="s">
        <v>55</v>
      </c>
      <c r="P51" s="10" t="s">
        <v>56</v>
      </c>
      <c r="Q51" s="10" t="s">
        <v>55</v>
      </c>
      <c r="R51" s="1">
        <v>0.12</v>
      </c>
      <c r="S51" s="1">
        <v>0.1</v>
      </c>
      <c r="T51" s="1">
        <v>0.36</v>
      </c>
      <c r="U51" s="1">
        <v>0.05</v>
      </c>
      <c r="V51" s="1">
        <v>9.6300000000000008</v>
      </c>
      <c r="W51" s="1">
        <v>0.41</v>
      </c>
      <c r="X51" s="10" t="s">
        <v>56</v>
      </c>
      <c r="Y51" s="10" t="s">
        <v>55</v>
      </c>
      <c r="Z51" s="10" t="s">
        <v>56</v>
      </c>
      <c r="AA51" s="10" t="s">
        <v>55</v>
      </c>
      <c r="AB51" s="1">
        <v>123</v>
      </c>
      <c r="AC51" s="1">
        <v>5</v>
      </c>
      <c r="AD51" s="1">
        <v>47.2</v>
      </c>
      <c r="AE51" s="1">
        <v>1.8</v>
      </c>
      <c r="AF51" s="11" t="s">
        <v>150</v>
      </c>
      <c r="AG51" s="11" t="s">
        <v>55</v>
      </c>
      <c r="AH51" s="11">
        <f>3.3/E51</f>
        <v>2.8169014084507039E-2</v>
      </c>
      <c r="AI51" s="11">
        <f>0.4/E51</f>
        <v>3.4144259496372174E-3</v>
      </c>
      <c r="AJ51" s="11">
        <f>1263/E51</f>
        <v>10.781049935979514</v>
      </c>
      <c r="AK51" s="11">
        <f>125/E51</f>
        <v>1.0670081092616304</v>
      </c>
      <c r="AL51" s="1">
        <v>10</v>
      </c>
      <c r="AM51" s="1">
        <v>0.5</v>
      </c>
      <c r="AN51" s="11">
        <v>9.5</v>
      </c>
      <c r="AO51" s="11">
        <v>0.1</v>
      </c>
      <c r="AP51" s="11">
        <v>30.8</v>
      </c>
      <c r="AQ51" s="11">
        <v>4.0999999999999996</v>
      </c>
      <c r="AR51" s="10" t="s">
        <v>56</v>
      </c>
      <c r="AS51" s="10" t="s">
        <v>55</v>
      </c>
      <c r="AT51" s="11">
        <f>993/E51</f>
        <v>8.4763124199743913</v>
      </c>
      <c r="AU51" s="11">
        <f>43/E51</f>
        <v>0.36705078958600085</v>
      </c>
      <c r="AV51" s="11">
        <f>652/E51</f>
        <v>5.5655142979086643</v>
      </c>
      <c r="AW51" s="11">
        <f>15/E51</f>
        <v>0.12804097311139565</v>
      </c>
      <c r="AX51" s="11">
        <f>332/E51</f>
        <v>2.8339735381988902</v>
      </c>
      <c r="AY51" s="11">
        <f>19/E51</f>
        <v>0.16218523260776782</v>
      </c>
      <c r="AZ51" s="1">
        <v>4.2</v>
      </c>
      <c r="BA51" s="1">
        <v>0.3</v>
      </c>
      <c r="BB51" s="1" t="s">
        <v>91</v>
      </c>
      <c r="BC51" s="1" t="s">
        <v>55</v>
      </c>
      <c r="BD51" s="10" t="s">
        <v>56</v>
      </c>
      <c r="BE51" s="10" t="s">
        <v>55</v>
      </c>
      <c r="BF51" s="1" t="s">
        <v>283</v>
      </c>
      <c r="BG51" s="1" t="s">
        <v>55</v>
      </c>
      <c r="BH51" s="1" t="s">
        <v>88</v>
      </c>
      <c r="BI51" s="1" t="s">
        <v>55</v>
      </c>
      <c r="BJ51" s="1" t="s">
        <v>88</v>
      </c>
      <c r="BK51" s="1" t="s">
        <v>55</v>
      </c>
      <c r="BL51" s="1">
        <v>1.9</v>
      </c>
      <c r="BM51" s="1">
        <v>0.1</v>
      </c>
      <c r="BN51" s="1">
        <v>4</v>
      </c>
      <c r="BO51" s="1">
        <v>0.2</v>
      </c>
      <c r="BP51" s="1">
        <v>2.9</v>
      </c>
      <c r="BQ51" s="1">
        <v>0.4</v>
      </c>
      <c r="BR51" s="11">
        <f>36/E51</f>
        <v>0.30729833546734953</v>
      </c>
      <c r="BS51" s="11">
        <f>3/E51</f>
        <v>2.5608194622279128E-2</v>
      </c>
      <c r="BT51" s="4">
        <v>0.19</v>
      </c>
      <c r="BU51" s="4">
        <v>0.02</v>
      </c>
      <c r="BV51" s="1" t="s">
        <v>91</v>
      </c>
      <c r="BW51" s="1" t="s">
        <v>55</v>
      </c>
      <c r="BX51" s="1" t="s">
        <v>91</v>
      </c>
      <c r="BY51" s="1" t="s">
        <v>55</v>
      </c>
      <c r="BZ51" s="10" t="s">
        <v>242</v>
      </c>
      <c r="CA51" s="10" t="s">
        <v>55</v>
      </c>
      <c r="CB51" s="10" t="s">
        <v>240</v>
      </c>
      <c r="CC51" s="10" t="s">
        <v>55</v>
      </c>
      <c r="CD51" s="10">
        <f>0.3/E51</f>
        <v>2.5608194622279128E-3</v>
      </c>
      <c r="CE51" s="10">
        <f>0.2/E51</f>
        <v>1.7072129748186087E-3</v>
      </c>
      <c r="CF51" s="10" t="s">
        <v>240</v>
      </c>
      <c r="CG51" s="10" t="s">
        <v>55</v>
      </c>
      <c r="CH51" s="10" t="s">
        <v>240</v>
      </c>
      <c r="CI51" s="10" t="s">
        <v>55</v>
      </c>
      <c r="CJ51" s="10">
        <f>1.3/E51</f>
        <v>1.1096884336320955E-2</v>
      </c>
      <c r="CK51" s="10">
        <f>0.1/E51</f>
        <v>8.5360648740930435E-4</v>
      </c>
      <c r="CL51" s="10" t="s">
        <v>240</v>
      </c>
      <c r="CM51" s="10" t="s">
        <v>55</v>
      </c>
      <c r="CN51" s="10" t="s">
        <v>240</v>
      </c>
      <c r="CO51" s="10" t="s">
        <v>55</v>
      </c>
      <c r="CP51" s="10" t="s">
        <v>240</v>
      </c>
      <c r="CQ51" s="10" t="s">
        <v>55</v>
      </c>
      <c r="CR51" s="19" t="s">
        <v>240</v>
      </c>
      <c r="CS51" s="10" t="s">
        <v>55</v>
      </c>
      <c r="CT51" s="19" t="s">
        <v>240</v>
      </c>
      <c r="CU51" s="10" t="s">
        <v>55</v>
      </c>
      <c r="CV51" s="19" t="s">
        <v>240</v>
      </c>
      <c r="CW51" s="10" t="s">
        <v>55</v>
      </c>
      <c r="CX51" s="19" t="s">
        <v>240</v>
      </c>
      <c r="CY51" s="10" t="s">
        <v>55</v>
      </c>
      <c r="CZ51" s="19" t="s">
        <v>240</v>
      </c>
      <c r="DA51" s="10" t="s">
        <v>55</v>
      </c>
      <c r="DB51" s="10">
        <f>1.5/E51</f>
        <v>1.2804097311139564E-2</v>
      </c>
      <c r="DC51" s="10">
        <f>1.3/E51</f>
        <v>1.1096884336320955E-2</v>
      </c>
      <c r="DD51" s="10" t="s">
        <v>56</v>
      </c>
      <c r="DE51" s="10" t="s">
        <v>55</v>
      </c>
      <c r="DF51" s="10" t="s">
        <v>56</v>
      </c>
      <c r="DG51" s="10" t="s">
        <v>55</v>
      </c>
      <c r="DH51" s="10">
        <f>25/E51</f>
        <v>0.21340162185232606</v>
      </c>
      <c r="DI51" s="10">
        <f>7/E51</f>
        <v>5.9752454118651301E-2</v>
      </c>
      <c r="DJ51" s="10">
        <f>40/E51</f>
        <v>0.3414425949637217</v>
      </c>
      <c r="DK51" s="10">
        <f>6/E51</f>
        <v>5.1216389244558257E-2</v>
      </c>
      <c r="DL51" s="10">
        <f>48/E51</f>
        <v>0.40973111395646605</v>
      </c>
      <c r="DM51" s="10">
        <f>9/E51</f>
        <v>7.6824583866837381E-2</v>
      </c>
      <c r="DN51" s="10" t="s">
        <v>240</v>
      </c>
      <c r="DO51" s="10" t="s">
        <v>55</v>
      </c>
      <c r="DP51" s="10">
        <f>17/E51</f>
        <v>0.14511310285958173</v>
      </c>
      <c r="DQ51" s="10">
        <f>1/E51</f>
        <v>8.5360648740930422E-3</v>
      </c>
      <c r="DR51" s="10">
        <f>2.1/E51</f>
        <v>1.7925736235595392E-2</v>
      </c>
      <c r="DS51" s="10">
        <f>0.2/E51</f>
        <v>1.7072129748186087E-3</v>
      </c>
      <c r="DT51" s="10" t="s">
        <v>240</v>
      </c>
      <c r="DU51" s="10" t="s">
        <v>55</v>
      </c>
      <c r="DV51" s="10" t="s">
        <v>240</v>
      </c>
      <c r="DW51" s="10" t="s">
        <v>55</v>
      </c>
      <c r="DX51" s="10" t="s">
        <v>240</v>
      </c>
      <c r="DY51" s="10" t="s">
        <v>55</v>
      </c>
      <c r="DZ51" s="10" t="s">
        <v>229</v>
      </c>
      <c r="EA51" s="10" t="s">
        <v>55</v>
      </c>
      <c r="EB51" s="10" t="s">
        <v>229</v>
      </c>
      <c r="EC51" s="10" t="s">
        <v>55</v>
      </c>
      <c r="ED51" s="10" t="s">
        <v>229</v>
      </c>
      <c r="EE51" s="10" t="s">
        <v>55</v>
      </c>
      <c r="EF51" s="10" t="s">
        <v>229</v>
      </c>
      <c r="EG51" s="10" t="s">
        <v>55</v>
      </c>
      <c r="EH51" s="10" t="s">
        <v>233</v>
      </c>
      <c r="EI51" s="10" t="s">
        <v>55</v>
      </c>
      <c r="EJ51" s="10" t="s">
        <v>233</v>
      </c>
      <c r="EK51" s="10" t="s">
        <v>55</v>
      </c>
      <c r="EL51" s="10" t="s">
        <v>233</v>
      </c>
      <c r="EM51" s="10" t="s">
        <v>55</v>
      </c>
      <c r="EN51" s="10" t="s">
        <v>56</v>
      </c>
      <c r="EO51" s="10" t="s">
        <v>55</v>
      </c>
      <c r="EP51" s="10" t="s">
        <v>56</v>
      </c>
      <c r="EQ51" s="10" t="s">
        <v>55</v>
      </c>
      <c r="ER51" s="10" t="s">
        <v>56</v>
      </c>
      <c r="ES51" s="10" t="s">
        <v>55</v>
      </c>
      <c r="ET51" s="10" t="s">
        <v>56</v>
      </c>
      <c r="EU51" s="10" t="s">
        <v>55</v>
      </c>
      <c r="EV51" s="10" t="s">
        <v>56</v>
      </c>
      <c r="EW51" s="10" t="s">
        <v>55</v>
      </c>
      <c r="EX51" s="10" t="s">
        <v>56</v>
      </c>
      <c r="EY51" s="10" t="s">
        <v>55</v>
      </c>
      <c r="EZ51" s="10" t="s">
        <v>56</v>
      </c>
      <c r="FA51" s="10" t="s">
        <v>55</v>
      </c>
      <c r="FB51" s="10" t="s">
        <v>56</v>
      </c>
      <c r="FC51" s="10" t="s">
        <v>55</v>
      </c>
      <c r="FD51" s="10" t="s">
        <v>56</v>
      </c>
      <c r="FE51" s="10" t="s">
        <v>55</v>
      </c>
      <c r="FF51" s="10" t="s">
        <v>56</v>
      </c>
      <c r="FG51" s="10" t="s">
        <v>55</v>
      </c>
      <c r="FH51" s="10" t="s">
        <v>56</v>
      </c>
      <c r="FI51" s="10" t="s">
        <v>55</v>
      </c>
      <c r="FJ51" s="10" t="s">
        <v>56</v>
      </c>
      <c r="FK51" s="10" t="s">
        <v>55</v>
      </c>
      <c r="FL51" s="10" t="s">
        <v>56</v>
      </c>
      <c r="FM51" s="10" t="s">
        <v>55</v>
      </c>
      <c r="FN51" s="10" t="s">
        <v>56</v>
      </c>
      <c r="FO51" s="10" t="s">
        <v>55</v>
      </c>
      <c r="FP51" s="10" t="s">
        <v>56</v>
      </c>
      <c r="FQ51" s="10" t="s">
        <v>55</v>
      </c>
      <c r="FR51" s="10" t="s">
        <v>56</v>
      </c>
      <c r="FS51" s="10" t="s">
        <v>55</v>
      </c>
      <c r="FT51" s="8" t="s">
        <v>157</v>
      </c>
      <c r="FU51" s="8" t="s">
        <v>55</v>
      </c>
      <c r="FV51" s="8" t="s">
        <v>157</v>
      </c>
      <c r="FW51" s="8" t="s">
        <v>55</v>
      </c>
      <c r="FX51" s="8" t="s">
        <v>157</v>
      </c>
      <c r="FY51" s="8" t="s">
        <v>55</v>
      </c>
      <c r="FZ51" s="8" t="s">
        <v>157</v>
      </c>
      <c r="GA51" s="8" t="s">
        <v>55</v>
      </c>
      <c r="GB51" s="8" t="s">
        <v>157</v>
      </c>
      <c r="GC51" s="8" t="s">
        <v>55</v>
      </c>
      <c r="GD51" s="8" t="s">
        <v>157</v>
      </c>
      <c r="GE51" s="8" t="s">
        <v>55</v>
      </c>
      <c r="GF51" s="8" t="s">
        <v>157</v>
      </c>
      <c r="GG51" s="8" t="s">
        <v>55</v>
      </c>
      <c r="GH51" s="8" t="s">
        <v>157</v>
      </c>
      <c r="GI51" s="8" t="s">
        <v>55</v>
      </c>
      <c r="GJ51" s="8" t="s">
        <v>157</v>
      </c>
      <c r="GK51" s="8" t="s">
        <v>55</v>
      </c>
      <c r="GL51" s="8" t="s">
        <v>157</v>
      </c>
      <c r="GM51" s="8" t="s">
        <v>55</v>
      </c>
      <c r="GN51" s="8" t="s">
        <v>157</v>
      </c>
      <c r="GO51" s="8" t="s">
        <v>55</v>
      </c>
      <c r="GP51" s="10" t="s">
        <v>157</v>
      </c>
      <c r="GQ51" s="10" t="s">
        <v>55</v>
      </c>
      <c r="GR51" s="10" t="s">
        <v>112</v>
      </c>
      <c r="GS51" s="10" t="s">
        <v>55</v>
      </c>
      <c r="GT51" s="10" t="s">
        <v>112</v>
      </c>
      <c r="GU51" s="10" t="s">
        <v>55</v>
      </c>
      <c r="GV51" s="10">
        <v>0.08</v>
      </c>
      <c r="GW51" s="10">
        <v>7.0000000000000001E-3</v>
      </c>
      <c r="GX51" s="10" t="s">
        <v>56</v>
      </c>
      <c r="GY51" s="10" t="s">
        <v>55</v>
      </c>
      <c r="GZ51" s="10" t="s">
        <v>56</v>
      </c>
      <c r="HA51" s="10" t="s">
        <v>55</v>
      </c>
      <c r="HB51" s="10" t="s">
        <v>56</v>
      </c>
      <c r="HC51" s="10" t="s">
        <v>55</v>
      </c>
      <c r="HD51" s="10" t="s">
        <v>56</v>
      </c>
      <c r="HE51" s="10" t="s">
        <v>55</v>
      </c>
      <c r="HF51" s="10" t="s">
        <v>56</v>
      </c>
      <c r="HG51" s="10" t="s">
        <v>55</v>
      </c>
      <c r="HH51" s="10" t="s">
        <v>56</v>
      </c>
      <c r="HI51" s="10" t="s">
        <v>55</v>
      </c>
      <c r="HJ51" s="10" t="s">
        <v>56</v>
      </c>
      <c r="HK51" s="10" t="s">
        <v>55</v>
      </c>
      <c r="HL51" s="10" t="s">
        <v>56</v>
      </c>
      <c r="HM51" s="10" t="s">
        <v>55</v>
      </c>
      <c r="HN51" s="10" t="s">
        <v>56</v>
      </c>
      <c r="HO51" s="10" t="s">
        <v>55</v>
      </c>
      <c r="HP51" s="10" t="s">
        <v>56</v>
      </c>
      <c r="HQ51" s="10" t="s">
        <v>55</v>
      </c>
      <c r="HR51" s="10" t="s">
        <v>56</v>
      </c>
      <c r="HS51" s="10" t="s">
        <v>55</v>
      </c>
      <c r="HT51" s="10" t="s">
        <v>56</v>
      </c>
      <c r="HU51" s="10" t="s">
        <v>55</v>
      </c>
      <c r="HV51" s="10" t="s">
        <v>56</v>
      </c>
      <c r="HW51" s="10" t="s">
        <v>55</v>
      </c>
      <c r="HX51" s="10" t="s">
        <v>56</v>
      </c>
      <c r="HY51" s="10" t="s">
        <v>55</v>
      </c>
      <c r="HZ51" s="10" t="s">
        <v>56</v>
      </c>
      <c r="IA51" s="10" t="s">
        <v>55</v>
      </c>
      <c r="IB51" s="10" t="s">
        <v>56</v>
      </c>
      <c r="IC51" s="10" t="s">
        <v>55</v>
      </c>
      <c r="ID51" s="1">
        <v>1.8100000000000002E-2</v>
      </c>
      <c r="IE51" s="1">
        <v>6.4999999999999997E-3</v>
      </c>
      <c r="IF51" s="10" t="s">
        <v>372</v>
      </c>
      <c r="IG51" s="10" t="s">
        <v>55</v>
      </c>
      <c r="IH51" s="4" t="s">
        <v>56</v>
      </c>
      <c r="II51" s="4" t="s">
        <v>55</v>
      </c>
      <c r="IJ51" s="4" t="s">
        <v>56</v>
      </c>
      <c r="IK51" s="4" t="s">
        <v>55</v>
      </c>
      <c r="IL51" s="4" t="s">
        <v>56</v>
      </c>
      <c r="IM51" s="4" t="s">
        <v>55</v>
      </c>
      <c r="IN51" s="4" t="s">
        <v>56</v>
      </c>
      <c r="IO51" s="4" t="s">
        <v>55</v>
      </c>
      <c r="IP51" s="4" t="s">
        <v>56</v>
      </c>
      <c r="IQ51" s="4" t="s">
        <v>55</v>
      </c>
      <c r="IR51" s="4" t="s">
        <v>56</v>
      </c>
      <c r="IS51" s="4" t="s">
        <v>55</v>
      </c>
      <c r="IT51" s="4" t="s">
        <v>199</v>
      </c>
      <c r="IU51" s="4" t="s">
        <v>55</v>
      </c>
      <c r="IV51" s="4" t="s">
        <v>556</v>
      </c>
      <c r="IW51" s="4" t="s">
        <v>55</v>
      </c>
      <c r="IX51" s="4" t="s">
        <v>56</v>
      </c>
      <c r="IY51" s="4" t="s">
        <v>55</v>
      </c>
      <c r="IZ51" s="4" t="s">
        <v>56</v>
      </c>
      <c r="JA51" s="4" t="s">
        <v>55</v>
      </c>
      <c r="JB51" s="4" t="s">
        <v>56</v>
      </c>
      <c r="JC51" s="4" t="s">
        <v>55</v>
      </c>
      <c r="JD51" s="4" t="s">
        <v>56</v>
      </c>
      <c r="JE51" s="4" t="s">
        <v>55</v>
      </c>
      <c r="JF51" s="4" t="s">
        <v>56</v>
      </c>
      <c r="JG51" s="4" t="s">
        <v>55</v>
      </c>
      <c r="JH51" s="4" t="s">
        <v>56</v>
      </c>
      <c r="JI51" s="4" t="s">
        <v>55</v>
      </c>
      <c r="JJ51" s="4" t="s">
        <v>56</v>
      </c>
      <c r="JK51" s="4" t="s">
        <v>55</v>
      </c>
      <c r="JL51" s="4" t="s">
        <v>56</v>
      </c>
      <c r="JM51" s="4" t="s">
        <v>55</v>
      </c>
      <c r="JN51" s="4" t="s">
        <v>56</v>
      </c>
      <c r="JO51" s="4" t="s">
        <v>55</v>
      </c>
      <c r="JP51" s="4" t="s">
        <v>56</v>
      </c>
      <c r="JQ51" s="4" t="s">
        <v>55</v>
      </c>
      <c r="JR51" s="4" t="s">
        <v>56</v>
      </c>
      <c r="JS51" s="4" t="s">
        <v>55</v>
      </c>
      <c r="JT51" s="4" t="s">
        <v>56</v>
      </c>
      <c r="JU51" s="4" t="s">
        <v>55</v>
      </c>
      <c r="JV51" s="4" t="s">
        <v>56</v>
      </c>
      <c r="JW51" s="4" t="s">
        <v>55</v>
      </c>
      <c r="JX51" s="26" t="s">
        <v>56</v>
      </c>
      <c r="JY51" s="26" t="s">
        <v>55</v>
      </c>
      <c r="JZ51" s="26" t="s">
        <v>56</v>
      </c>
      <c r="KA51" s="26" t="s">
        <v>55</v>
      </c>
      <c r="KB51" s="26" t="s">
        <v>56</v>
      </c>
      <c r="KC51" s="26" t="s">
        <v>55</v>
      </c>
      <c r="KD51" s="26" t="s">
        <v>56</v>
      </c>
      <c r="KE51" s="26" t="s">
        <v>55</v>
      </c>
      <c r="KF51" s="26" t="s">
        <v>56</v>
      </c>
      <c r="KG51" s="26" t="s">
        <v>55</v>
      </c>
      <c r="KH51" s="4" t="s">
        <v>56</v>
      </c>
      <c r="KI51" s="4" t="s">
        <v>55</v>
      </c>
      <c r="KJ51" s="4" t="s">
        <v>56</v>
      </c>
      <c r="KK51" s="4" t="s">
        <v>55</v>
      </c>
      <c r="KL51" s="4" t="s">
        <v>56</v>
      </c>
      <c r="KM51" s="4" t="s">
        <v>55</v>
      </c>
      <c r="KN51" s="4" t="s">
        <v>56</v>
      </c>
      <c r="KO51" s="4" t="s">
        <v>55</v>
      </c>
      <c r="KP51" s="4" t="s">
        <v>56</v>
      </c>
      <c r="KQ51" s="4" t="s">
        <v>55</v>
      </c>
      <c r="KR51" s="17" t="s">
        <v>56</v>
      </c>
      <c r="KS51" s="17" t="s">
        <v>55</v>
      </c>
      <c r="KT51" s="17" t="s">
        <v>56</v>
      </c>
      <c r="KU51" s="17" t="s">
        <v>55</v>
      </c>
      <c r="KV51" s="4" t="s">
        <v>56</v>
      </c>
      <c r="KW51" s="4" t="s">
        <v>55</v>
      </c>
      <c r="KX51" s="4" t="s">
        <v>56</v>
      </c>
      <c r="KY51" s="4" t="s">
        <v>55</v>
      </c>
      <c r="KZ51" s="4" t="s">
        <v>56</v>
      </c>
      <c r="LA51" s="4" t="s">
        <v>55</v>
      </c>
      <c r="LB51" s="10" t="s">
        <v>56</v>
      </c>
      <c r="LC51" s="10" t="s">
        <v>55</v>
      </c>
      <c r="LD51" s="10" t="s">
        <v>56</v>
      </c>
      <c r="LE51" s="10" t="s">
        <v>55</v>
      </c>
      <c r="LF51" s="10" t="s">
        <v>56</v>
      </c>
      <c r="LG51" s="10" t="s">
        <v>55</v>
      </c>
      <c r="LH51" s="10" t="s">
        <v>56</v>
      </c>
      <c r="LI51" s="10" t="s">
        <v>55</v>
      </c>
      <c r="LJ51" s="10" t="s">
        <v>56</v>
      </c>
      <c r="LK51" s="10" t="s">
        <v>162</v>
      </c>
      <c r="LL51" s="10" t="s">
        <v>56</v>
      </c>
      <c r="LM51" s="10" t="s">
        <v>162</v>
      </c>
      <c r="LN51" s="10" t="s">
        <v>56</v>
      </c>
      <c r="LO51" s="10" t="s">
        <v>162</v>
      </c>
      <c r="LP51" s="10" t="s">
        <v>56</v>
      </c>
      <c r="LQ51" s="10" t="s">
        <v>162</v>
      </c>
      <c r="LR51" s="10" t="s">
        <v>56</v>
      </c>
      <c r="LS51" s="10" t="s">
        <v>162</v>
      </c>
      <c r="LT51" s="10" t="s">
        <v>56</v>
      </c>
      <c r="LU51" s="10" t="s">
        <v>162</v>
      </c>
      <c r="LV51" s="10" t="s">
        <v>56</v>
      </c>
      <c r="LW51" s="10" t="s">
        <v>55</v>
      </c>
      <c r="LX51" s="10" t="s">
        <v>56</v>
      </c>
      <c r="LY51" s="10" t="s">
        <v>55</v>
      </c>
      <c r="LZ51" s="10" t="s">
        <v>56</v>
      </c>
      <c r="MA51" s="10" t="s">
        <v>55</v>
      </c>
      <c r="MB51" s="10" t="s">
        <v>56</v>
      </c>
      <c r="MC51" s="10" t="s">
        <v>55</v>
      </c>
      <c r="MD51" s="17" t="s">
        <v>56</v>
      </c>
      <c r="ME51" s="4" t="s">
        <v>55</v>
      </c>
      <c r="MF51" s="17" t="s">
        <v>56</v>
      </c>
      <c r="MG51" s="4" t="s">
        <v>55</v>
      </c>
      <c r="MH51" s="17" t="s">
        <v>56</v>
      </c>
      <c r="MI51" s="4" t="s">
        <v>55</v>
      </c>
      <c r="MJ51" s="17" t="s">
        <v>56</v>
      </c>
      <c r="MK51" s="4" t="s">
        <v>55</v>
      </c>
      <c r="ML51" s="17" t="s">
        <v>56</v>
      </c>
      <c r="MM51" s="4" t="s">
        <v>55</v>
      </c>
      <c r="MN51" s="17" t="s">
        <v>56</v>
      </c>
      <c r="MO51" s="4" t="s">
        <v>55</v>
      </c>
      <c r="MP51" s="17" t="s">
        <v>56</v>
      </c>
      <c r="MQ51" s="4" t="s">
        <v>55</v>
      </c>
      <c r="MR51" s="17" t="s">
        <v>56</v>
      </c>
      <c r="MS51" s="4" t="s">
        <v>55</v>
      </c>
      <c r="MT51" s="17" t="s">
        <v>56</v>
      </c>
      <c r="MU51" s="4" t="s">
        <v>55</v>
      </c>
      <c r="MV51" s="17" t="s">
        <v>56</v>
      </c>
      <c r="MW51" s="4" t="s">
        <v>55</v>
      </c>
      <c r="MX51" s="17" t="s">
        <v>56</v>
      </c>
      <c r="MY51" s="4" t="s">
        <v>55</v>
      </c>
      <c r="MZ51" s="17" t="s">
        <v>56</v>
      </c>
      <c r="NA51" s="4" t="s">
        <v>55</v>
      </c>
      <c r="NB51" s="10" t="s">
        <v>56</v>
      </c>
      <c r="NC51" s="10" t="s">
        <v>55</v>
      </c>
      <c r="ND51" s="10" t="s">
        <v>56</v>
      </c>
      <c r="NE51" s="10" t="s">
        <v>55</v>
      </c>
      <c r="NF51" s="10" t="s">
        <v>56</v>
      </c>
      <c r="NG51" s="10" t="s">
        <v>55</v>
      </c>
      <c r="NH51" s="10" t="s">
        <v>56</v>
      </c>
      <c r="NI51" s="10" t="s">
        <v>55</v>
      </c>
      <c r="NJ51" s="10" t="s">
        <v>56</v>
      </c>
      <c r="NK51" s="10" t="s">
        <v>55</v>
      </c>
      <c r="NL51" s="10" t="s">
        <v>56</v>
      </c>
      <c r="NM51" s="4" t="s">
        <v>55</v>
      </c>
      <c r="NN51" s="10" t="s">
        <v>56</v>
      </c>
      <c r="NO51" s="4" t="s">
        <v>55</v>
      </c>
      <c r="NP51" s="10" t="s">
        <v>56</v>
      </c>
      <c r="NQ51" s="4" t="s">
        <v>55</v>
      </c>
      <c r="NR51" s="10" t="s">
        <v>57</v>
      </c>
      <c r="NS51" s="10" t="s">
        <v>55</v>
      </c>
      <c r="NT51" s="10" t="s">
        <v>57</v>
      </c>
      <c r="NU51" s="10" t="s">
        <v>55</v>
      </c>
    </row>
    <row r="52" spans="1:385" x14ac:dyDescent="0.2">
      <c r="A52" t="s">
        <v>24</v>
      </c>
      <c r="B52" s="1" t="s">
        <v>1037</v>
      </c>
      <c r="C52" s="1" t="s">
        <v>859</v>
      </c>
      <c r="D52" s="39" cm="1">
        <f t="array" ref="D52">SUMPRODUCT((ISNUMBER(F52:NU52))*(MOD(COLUMN(F52:NU52),2)=0))</f>
        <v>26</v>
      </c>
      <c r="E52" s="1">
        <v>117.15</v>
      </c>
      <c r="F52" s="1" t="s">
        <v>75</v>
      </c>
      <c r="G52" s="1" t="s">
        <v>55</v>
      </c>
      <c r="H52" s="1" t="s">
        <v>75</v>
      </c>
      <c r="I52" s="1" t="s">
        <v>55</v>
      </c>
      <c r="J52" s="1" t="s">
        <v>54</v>
      </c>
      <c r="K52" s="1" t="s">
        <v>55</v>
      </c>
      <c r="L52" s="1" t="s">
        <v>75</v>
      </c>
      <c r="M52" s="1" t="s">
        <v>55</v>
      </c>
      <c r="N52" s="5" t="s">
        <v>54</v>
      </c>
      <c r="O52" s="5" t="s">
        <v>55</v>
      </c>
      <c r="P52" s="10" t="s">
        <v>56</v>
      </c>
      <c r="Q52" s="10" t="s">
        <v>55</v>
      </c>
      <c r="R52" s="1">
        <v>0.16</v>
      </c>
      <c r="S52" s="1">
        <v>0.02</v>
      </c>
      <c r="T52" s="1">
        <v>0.44</v>
      </c>
      <c r="U52" s="1">
        <v>0.08</v>
      </c>
      <c r="V52" s="1" t="s">
        <v>61</v>
      </c>
      <c r="W52" s="1" t="s">
        <v>55</v>
      </c>
      <c r="X52" s="10" t="s">
        <v>56</v>
      </c>
      <c r="Y52" s="10" t="s">
        <v>55</v>
      </c>
      <c r="Z52" s="10" t="s">
        <v>56</v>
      </c>
      <c r="AA52" s="10" t="s">
        <v>55</v>
      </c>
      <c r="AB52" s="1">
        <v>121</v>
      </c>
      <c r="AC52" s="1">
        <v>9</v>
      </c>
      <c r="AD52" s="1">
        <v>47.5</v>
      </c>
      <c r="AE52" s="1">
        <v>0.8</v>
      </c>
      <c r="AF52" s="11" t="s">
        <v>151</v>
      </c>
      <c r="AG52" s="11" t="s">
        <v>55</v>
      </c>
      <c r="AH52" s="11">
        <f>4.6/E52</f>
        <v>3.9265898420827991E-2</v>
      </c>
      <c r="AI52" s="11">
        <f>0.5/E52</f>
        <v>4.2680324370465211E-3</v>
      </c>
      <c r="AJ52" s="11">
        <f>2058/E52</f>
        <v>17.567221510883481</v>
      </c>
      <c r="AK52" s="11">
        <f>220/E52</f>
        <v>1.8779342723004695</v>
      </c>
      <c r="AL52" s="1">
        <v>11.8</v>
      </c>
      <c r="AM52" s="1">
        <v>0.7</v>
      </c>
      <c r="AN52" s="11">
        <v>11.5</v>
      </c>
      <c r="AO52" s="11">
        <v>0.1</v>
      </c>
      <c r="AP52" s="11">
        <v>35.6</v>
      </c>
      <c r="AQ52" s="11">
        <v>5.3</v>
      </c>
      <c r="AR52" s="10" t="s">
        <v>56</v>
      </c>
      <c r="AS52" s="10" t="s">
        <v>55</v>
      </c>
      <c r="AT52" s="11">
        <f>1444/E52</f>
        <v>12.326077678190353</v>
      </c>
      <c r="AU52" s="11">
        <f>66/E52</f>
        <v>0.56338028169014087</v>
      </c>
      <c r="AV52" s="11">
        <f>696/E52</f>
        <v>5.9411011523687574</v>
      </c>
      <c r="AW52" s="11">
        <f>20/E52</f>
        <v>0.17072129748186085</v>
      </c>
      <c r="AX52" s="11">
        <f>348/E52</f>
        <v>2.9705505761843787</v>
      </c>
      <c r="AY52" s="11">
        <f>21/E52</f>
        <v>0.17925736235595391</v>
      </c>
      <c r="AZ52" s="1">
        <v>4</v>
      </c>
      <c r="BA52" s="1">
        <v>0.2</v>
      </c>
      <c r="BB52" s="1" t="s">
        <v>91</v>
      </c>
      <c r="BC52" s="1" t="s">
        <v>55</v>
      </c>
      <c r="BD52" s="10" t="s">
        <v>56</v>
      </c>
      <c r="BE52" s="10" t="s">
        <v>55</v>
      </c>
      <c r="BF52" s="1" t="s">
        <v>112</v>
      </c>
      <c r="BG52" s="1" t="s">
        <v>55</v>
      </c>
      <c r="BH52" s="1" t="s">
        <v>88</v>
      </c>
      <c r="BI52" s="1" t="s">
        <v>55</v>
      </c>
      <c r="BJ52" s="1" t="s">
        <v>87</v>
      </c>
      <c r="BK52" s="1" t="s">
        <v>55</v>
      </c>
      <c r="BL52" s="1">
        <v>1.9</v>
      </c>
      <c r="BM52" s="1">
        <v>0.1</v>
      </c>
      <c r="BN52" s="1">
        <v>5</v>
      </c>
      <c r="BO52" s="1">
        <v>0.2</v>
      </c>
      <c r="BP52" s="1">
        <v>3.9</v>
      </c>
      <c r="BQ52" s="1">
        <v>0.4</v>
      </c>
      <c r="BR52" s="11">
        <f>49/E52</f>
        <v>0.41826717883055908</v>
      </c>
      <c r="BS52" s="11">
        <f>2/E52</f>
        <v>1.7072129748186084E-2</v>
      </c>
      <c r="BT52" s="4">
        <v>0.22</v>
      </c>
      <c r="BU52" s="4">
        <v>0.04</v>
      </c>
      <c r="BV52" s="1" t="s">
        <v>91</v>
      </c>
      <c r="BW52" s="1" t="s">
        <v>55</v>
      </c>
      <c r="BX52" s="1" t="s">
        <v>91</v>
      </c>
      <c r="BY52" s="1" t="s">
        <v>55</v>
      </c>
      <c r="BZ52" s="10" t="s">
        <v>243</v>
      </c>
      <c r="CA52" s="10" t="s">
        <v>55</v>
      </c>
      <c r="CB52" s="10" t="s">
        <v>240</v>
      </c>
      <c r="CC52" s="10" t="s">
        <v>55</v>
      </c>
      <c r="CD52" s="10" t="s">
        <v>240</v>
      </c>
      <c r="CE52" s="10" t="s">
        <v>55</v>
      </c>
      <c r="CF52" s="10" t="s">
        <v>240</v>
      </c>
      <c r="CG52" s="10" t="s">
        <v>55</v>
      </c>
      <c r="CH52" s="10" t="s">
        <v>240</v>
      </c>
      <c r="CI52" s="10" t="s">
        <v>55</v>
      </c>
      <c r="CJ52" s="10">
        <f>1.4/E52</f>
        <v>1.1950490823730259E-2</v>
      </c>
      <c r="CK52" s="10">
        <f>0.1/E52</f>
        <v>8.5360648740930435E-4</v>
      </c>
      <c r="CL52" s="10" t="s">
        <v>240</v>
      </c>
      <c r="CM52" s="19" t="s">
        <v>55</v>
      </c>
      <c r="CN52" s="10" t="s">
        <v>240</v>
      </c>
      <c r="CO52" s="19" t="s">
        <v>55</v>
      </c>
      <c r="CP52" s="10" t="s">
        <v>240</v>
      </c>
      <c r="CQ52" s="19" t="s">
        <v>55</v>
      </c>
      <c r="CR52" s="19" t="s">
        <v>240</v>
      </c>
      <c r="CS52" s="19" t="s">
        <v>55</v>
      </c>
      <c r="CT52" s="19" t="s">
        <v>240</v>
      </c>
      <c r="CU52" s="19" t="s">
        <v>55</v>
      </c>
      <c r="CV52" s="19" t="s">
        <v>240</v>
      </c>
      <c r="CW52" s="19" t="s">
        <v>55</v>
      </c>
      <c r="CX52" s="19" t="s">
        <v>240</v>
      </c>
      <c r="CY52" s="10" t="s">
        <v>55</v>
      </c>
      <c r="CZ52" s="19" t="s">
        <v>240</v>
      </c>
      <c r="DA52" s="10" t="s">
        <v>55</v>
      </c>
      <c r="DB52" s="10">
        <f>0.5/E52</f>
        <v>4.2680324370465211E-3</v>
      </c>
      <c r="DC52" s="10">
        <f>0.3/E52</f>
        <v>2.5608194622279128E-3</v>
      </c>
      <c r="DD52" s="10" t="s">
        <v>56</v>
      </c>
      <c r="DE52" s="10" t="s">
        <v>55</v>
      </c>
      <c r="DF52" s="10" t="s">
        <v>56</v>
      </c>
      <c r="DG52" s="10" t="s">
        <v>55</v>
      </c>
      <c r="DH52" s="10">
        <f>53/E52</f>
        <v>0.45241143832693126</v>
      </c>
      <c r="DI52" s="10">
        <f>2/E52</f>
        <v>1.7072129748186084E-2</v>
      </c>
      <c r="DJ52" s="10">
        <f>52/E52</f>
        <v>0.44387537345283823</v>
      </c>
      <c r="DK52" s="10">
        <f>5/E52</f>
        <v>4.2680324370465213E-2</v>
      </c>
      <c r="DL52" s="10">
        <f>53/E52</f>
        <v>0.45241143832693126</v>
      </c>
      <c r="DM52" s="10">
        <f>11/E52</f>
        <v>9.3896713615023469E-2</v>
      </c>
      <c r="DN52" s="10" t="s">
        <v>240</v>
      </c>
      <c r="DO52" s="10" t="s">
        <v>55</v>
      </c>
      <c r="DP52" s="10">
        <f>20/E52</f>
        <v>0.17072129748186085</v>
      </c>
      <c r="DQ52" s="10">
        <f>1/E52</f>
        <v>8.5360648740930422E-3</v>
      </c>
      <c r="DR52" s="10">
        <f>3/E52</f>
        <v>2.5608194622279128E-2</v>
      </c>
      <c r="DS52" s="10">
        <f>0.3/E52</f>
        <v>2.5608194622279128E-3</v>
      </c>
      <c r="DT52" s="10" t="s">
        <v>240</v>
      </c>
      <c r="DU52" s="10" t="s">
        <v>55</v>
      </c>
      <c r="DV52" s="10" t="s">
        <v>240</v>
      </c>
      <c r="DW52" s="10" t="s">
        <v>55</v>
      </c>
      <c r="DX52" s="10" t="s">
        <v>240</v>
      </c>
      <c r="DY52" s="10" t="s">
        <v>55</v>
      </c>
      <c r="DZ52" s="10" t="s">
        <v>229</v>
      </c>
      <c r="EA52" s="10" t="s">
        <v>55</v>
      </c>
      <c r="EB52" s="10" t="s">
        <v>229</v>
      </c>
      <c r="EC52" s="10" t="s">
        <v>55</v>
      </c>
      <c r="ED52" s="10" t="s">
        <v>229</v>
      </c>
      <c r="EE52" s="10" t="s">
        <v>55</v>
      </c>
      <c r="EF52" s="10" t="s">
        <v>229</v>
      </c>
      <c r="EG52" s="10" t="s">
        <v>55</v>
      </c>
      <c r="EH52" s="10" t="s">
        <v>233</v>
      </c>
      <c r="EI52" s="10" t="s">
        <v>55</v>
      </c>
      <c r="EJ52" s="10" t="s">
        <v>233</v>
      </c>
      <c r="EK52" s="10" t="s">
        <v>55</v>
      </c>
      <c r="EL52" s="10" t="s">
        <v>233</v>
      </c>
      <c r="EM52" s="10" t="s">
        <v>55</v>
      </c>
      <c r="EN52" s="10" t="s">
        <v>56</v>
      </c>
      <c r="EO52" s="10" t="s">
        <v>55</v>
      </c>
      <c r="EP52" s="10" t="s">
        <v>56</v>
      </c>
      <c r="EQ52" s="10" t="s">
        <v>55</v>
      </c>
      <c r="ER52" s="10" t="s">
        <v>56</v>
      </c>
      <c r="ES52" s="10" t="s">
        <v>55</v>
      </c>
      <c r="ET52" s="10" t="s">
        <v>56</v>
      </c>
      <c r="EU52" s="10" t="s">
        <v>55</v>
      </c>
      <c r="EV52" s="10" t="s">
        <v>56</v>
      </c>
      <c r="EW52" s="10" t="s">
        <v>55</v>
      </c>
      <c r="EX52" s="10" t="s">
        <v>56</v>
      </c>
      <c r="EY52" s="10" t="s">
        <v>55</v>
      </c>
      <c r="EZ52" s="10" t="s">
        <v>56</v>
      </c>
      <c r="FA52" s="10" t="s">
        <v>55</v>
      </c>
      <c r="FB52" s="10" t="s">
        <v>56</v>
      </c>
      <c r="FC52" s="10" t="s">
        <v>55</v>
      </c>
      <c r="FD52" s="10" t="s">
        <v>56</v>
      </c>
      <c r="FE52" s="10" t="s">
        <v>55</v>
      </c>
      <c r="FF52" s="10" t="s">
        <v>56</v>
      </c>
      <c r="FG52" s="10" t="s">
        <v>55</v>
      </c>
      <c r="FH52" s="10" t="s">
        <v>56</v>
      </c>
      <c r="FI52" s="10" t="s">
        <v>55</v>
      </c>
      <c r="FJ52" s="10" t="s">
        <v>56</v>
      </c>
      <c r="FK52" s="10" t="s">
        <v>55</v>
      </c>
      <c r="FL52" s="10" t="s">
        <v>56</v>
      </c>
      <c r="FM52" s="10" t="s">
        <v>55</v>
      </c>
      <c r="FN52" s="10" t="s">
        <v>56</v>
      </c>
      <c r="FO52" s="10" t="s">
        <v>55</v>
      </c>
      <c r="FP52" s="10" t="s">
        <v>56</v>
      </c>
      <c r="FQ52" s="10" t="s">
        <v>55</v>
      </c>
      <c r="FR52" s="10" t="s">
        <v>56</v>
      </c>
      <c r="FS52" s="10" t="s">
        <v>55</v>
      </c>
      <c r="FT52" s="8" t="s">
        <v>157</v>
      </c>
      <c r="FU52" s="8" t="s">
        <v>55</v>
      </c>
      <c r="FV52" s="8" t="s">
        <v>157</v>
      </c>
      <c r="FW52" s="8" t="s">
        <v>55</v>
      </c>
      <c r="FX52" s="8" t="s">
        <v>157</v>
      </c>
      <c r="FY52" s="8" t="s">
        <v>55</v>
      </c>
      <c r="FZ52" s="8" t="s">
        <v>157</v>
      </c>
      <c r="GA52" s="8" t="s">
        <v>55</v>
      </c>
      <c r="GB52" s="8" t="s">
        <v>157</v>
      </c>
      <c r="GC52" s="8" t="s">
        <v>55</v>
      </c>
      <c r="GD52" s="8" t="s">
        <v>157</v>
      </c>
      <c r="GE52" s="8" t="s">
        <v>55</v>
      </c>
      <c r="GF52" s="8" t="s">
        <v>157</v>
      </c>
      <c r="GG52" s="8" t="s">
        <v>55</v>
      </c>
      <c r="GH52" s="8" t="s">
        <v>157</v>
      </c>
      <c r="GI52" s="8" t="s">
        <v>55</v>
      </c>
      <c r="GJ52" s="8" t="s">
        <v>157</v>
      </c>
      <c r="GK52" s="8" t="s">
        <v>55</v>
      </c>
      <c r="GL52" s="8" t="s">
        <v>157</v>
      </c>
      <c r="GM52" s="8" t="s">
        <v>55</v>
      </c>
      <c r="GN52" s="8" t="s">
        <v>157</v>
      </c>
      <c r="GO52" s="8" t="s">
        <v>55</v>
      </c>
      <c r="GP52" s="10" t="s">
        <v>157</v>
      </c>
      <c r="GQ52" s="10" t="s">
        <v>55</v>
      </c>
      <c r="GR52" s="10" t="s">
        <v>112</v>
      </c>
      <c r="GS52" s="10" t="s">
        <v>55</v>
      </c>
      <c r="GT52" s="10" t="s">
        <v>112</v>
      </c>
      <c r="GU52" s="10" t="s">
        <v>55</v>
      </c>
      <c r="GV52" s="10">
        <v>7.3999999999999996E-2</v>
      </c>
      <c r="GW52" s="10">
        <v>6.0000000000000001E-3</v>
      </c>
      <c r="GX52" s="10" t="s">
        <v>56</v>
      </c>
      <c r="GY52" s="10" t="s">
        <v>55</v>
      </c>
      <c r="GZ52" s="10" t="s">
        <v>56</v>
      </c>
      <c r="HA52" s="10" t="s">
        <v>55</v>
      </c>
      <c r="HB52" s="10" t="s">
        <v>56</v>
      </c>
      <c r="HC52" s="10" t="s">
        <v>55</v>
      </c>
      <c r="HD52" s="10" t="s">
        <v>56</v>
      </c>
      <c r="HE52" s="10" t="s">
        <v>55</v>
      </c>
      <c r="HF52" s="10" t="s">
        <v>56</v>
      </c>
      <c r="HG52" s="10" t="s">
        <v>55</v>
      </c>
      <c r="HH52" s="10" t="s">
        <v>56</v>
      </c>
      <c r="HI52" s="10" t="s">
        <v>55</v>
      </c>
      <c r="HJ52" s="10" t="s">
        <v>56</v>
      </c>
      <c r="HK52" s="10" t="s">
        <v>55</v>
      </c>
      <c r="HL52" s="10" t="s">
        <v>56</v>
      </c>
      <c r="HM52" s="10" t="s">
        <v>55</v>
      </c>
      <c r="HN52" s="10" t="s">
        <v>56</v>
      </c>
      <c r="HO52" s="10" t="s">
        <v>55</v>
      </c>
      <c r="HP52" s="10" t="s">
        <v>56</v>
      </c>
      <c r="HQ52" s="10" t="s">
        <v>55</v>
      </c>
      <c r="HR52" s="10" t="s">
        <v>56</v>
      </c>
      <c r="HS52" s="10" t="s">
        <v>55</v>
      </c>
      <c r="HT52" s="10" t="s">
        <v>56</v>
      </c>
      <c r="HU52" s="10" t="s">
        <v>55</v>
      </c>
      <c r="HV52" s="10" t="s">
        <v>56</v>
      </c>
      <c r="HW52" s="10" t="s">
        <v>55</v>
      </c>
      <c r="HX52" s="10" t="s">
        <v>56</v>
      </c>
      <c r="HY52" s="10" t="s">
        <v>55</v>
      </c>
      <c r="HZ52" s="10" t="s">
        <v>56</v>
      </c>
      <c r="IA52" s="10" t="s">
        <v>55</v>
      </c>
      <c r="IB52" s="10" t="s">
        <v>56</v>
      </c>
      <c r="IC52" s="10" t="s">
        <v>55</v>
      </c>
      <c r="ID52" s="1" t="s">
        <v>75</v>
      </c>
      <c r="IE52" s="1" t="s">
        <v>55</v>
      </c>
      <c r="IF52" s="10" t="s">
        <v>372</v>
      </c>
      <c r="IG52" s="10" t="s">
        <v>55</v>
      </c>
      <c r="IH52" s="4" t="s">
        <v>56</v>
      </c>
      <c r="II52" s="4" t="s">
        <v>55</v>
      </c>
      <c r="IJ52" s="4" t="s">
        <v>56</v>
      </c>
      <c r="IK52" s="4" t="s">
        <v>55</v>
      </c>
      <c r="IL52" s="4" t="s">
        <v>56</v>
      </c>
      <c r="IM52" s="4" t="s">
        <v>55</v>
      </c>
      <c r="IN52" s="4" t="s">
        <v>56</v>
      </c>
      <c r="IO52" s="4" t="s">
        <v>55</v>
      </c>
      <c r="IP52" s="4" t="s">
        <v>56</v>
      </c>
      <c r="IQ52" s="4" t="s">
        <v>55</v>
      </c>
      <c r="IR52" s="4" t="s">
        <v>56</v>
      </c>
      <c r="IS52" s="4" t="s">
        <v>55</v>
      </c>
      <c r="IT52" s="4" t="s">
        <v>203</v>
      </c>
      <c r="IU52" s="4" t="s">
        <v>55</v>
      </c>
      <c r="IV52" s="4" t="s">
        <v>556</v>
      </c>
      <c r="IW52" s="4" t="s">
        <v>55</v>
      </c>
      <c r="IX52" s="4" t="s">
        <v>56</v>
      </c>
      <c r="IY52" s="4" t="s">
        <v>55</v>
      </c>
      <c r="IZ52" s="4" t="s">
        <v>56</v>
      </c>
      <c r="JA52" s="4" t="s">
        <v>55</v>
      </c>
      <c r="JB52" s="4" t="s">
        <v>56</v>
      </c>
      <c r="JC52" s="4" t="s">
        <v>55</v>
      </c>
      <c r="JD52" s="4" t="s">
        <v>56</v>
      </c>
      <c r="JE52" s="4" t="s">
        <v>55</v>
      </c>
      <c r="JF52" s="4" t="s">
        <v>56</v>
      </c>
      <c r="JG52" s="4" t="s">
        <v>55</v>
      </c>
      <c r="JH52" s="4" t="s">
        <v>56</v>
      </c>
      <c r="JI52" s="4" t="s">
        <v>55</v>
      </c>
      <c r="JJ52" s="4" t="s">
        <v>56</v>
      </c>
      <c r="JK52" s="4" t="s">
        <v>55</v>
      </c>
      <c r="JL52" s="4" t="s">
        <v>56</v>
      </c>
      <c r="JM52" s="4" t="s">
        <v>55</v>
      </c>
      <c r="JN52" s="4" t="s">
        <v>56</v>
      </c>
      <c r="JO52" s="4" t="s">
        <v>55</v>
      </c>
      <c r="JP52" s="4" t="s">
        <v>56</v>
      </c>
      <c r="JQ52" s="4" t="s">
        <v>55</v>
      </c>
      <c r="JR52" s="4" t="s">
        <v>56</v>
      </c>
      <c r="JS52" s="4" t="s">
        <v>55</v>
      </c>
      <c r="JT52" s="4" t="s">
        <v>56</v>
      </c>
      <c r="JU52" s="4" t="s">
        <v>55</v>
      </c>
      <c r="JV52" s="4" t="s">
        <v>56</v>
      </c>
      <c r="JW52" s="4" t="s">
        <v>55</v>
      </c>
      <c r="JX52" s="26" t="s">
        <v>56</v>
      </c>
      <c r="JY52" s="26" t="s">
        <v>55</v>
      </c>
      <c r="JZ52" s="26" t="s">
        <v>56</v>
      </c>
      <c r="KA52" s="26" t="s">
        <v>55</v>
      </c>
      <c r="KB52" s="26" t="s">
        <v>56</v>
      </c>
      <c r="KC52" s="26" t="s">
        <v>55</v>
      </c>
      <c r="KD52" s="26" t="s">
        <v>56</v>
      </c>
      <c r="KE52" s="26" t="s">
        <v>55</v>
      </c>
      <c r="KF52" s="26" t="s">
        <v>56</v>
      </c>
      <c r="KG52" s="26" t="s">
        <v>55</v>
      </c>
      <c r="KH52" s="4" t="s">
        <v>56</v>
      </c>
      <c r="KI52" s="4" t="s">
        <v>55</v>
      </c>
      <c r="KJ52" s="4" t="s">
        <v>56</v>
      </c>
      <c r="KK52" s="4" t="s">
        <v>55</v>
      </c>
      <c r="KL52" s="4" t="s">
        <v>56</v>
      </c>
      <c r="KM52" s="4" t="s">
        <v>55</v>
      </c>
      <c r="KN52" s="4" t="s">
        <v>56</v>
      </c>
      <c r="KO52" s="4" t="s">
        <v>55</v>
      </c>
      <c r="KP52" s="4" t="s">
        <v>56</v>
      </c>
      <c r="KQ52" s="4" t="s">
        <v>55</v>
      </c>
      <c r="KR52" s="17" t="s">
        <v>56</v>
      </c>
      <c r="KS52" s="17" t="s">
        <v>55</v>
      </c>
      <c r="KT52" s="17" t="s">
        <v>56</v>
      </c>
      <c r="KU52" s="17" t="s">
        <v>55</v>
      </c>
      <c r="KV52" s="4" t="s">
        <v>56</v>
      </c>
      <c r="KW52" s="4" t="s">
        <v>55</v>
      </c>
      <c r="KX52" s="4" t="s">
        <v>56</v>
      </c>
      <c r="KY52" s="4" t="s">
        <v>55</v>
      </c>
      <c r="KZ52" s="4" t="s">
        <v>56</v>
      </c>
      <c r="LA52" s="4" t="s">
        <v>55</v>
      </c>
      <c r="LB52" s="10" t="s">
        <v>56</v>
      </c>
      <c r="LC52" s="10" t="s">
        <v>55</v>
      </c>
      <c r="LD52" s="10" t="s">
        <v>56</v>
      </c>
      <c r="LE52" s="10" t="s">
        <v>55</v>
      </c>
      <c r="LF52" s="10" t="s">
        <v>56</v>
      </c>
      <c r="LG52" s="10" t="s">
        <v>55</v>
      </c>
      <c r="LH52" s="10" t="s">
        <v>56</v>
      </c>
      <c r="LI52" s="10" t="s">
        <v>55</v>
      </c>
      <c r="LJ52" s="10" t="s">
        <v>56</v>
      </c>
      <c r="LK52" s="10" t="s">
        <v>162</v>
      </c>
      <c r="LL52" s="10" t="s">
        <v>56</v>
      </c>
      <c r="LM52" s="10" t="s">
        <v>162</v>
      </c>
      <c r="LN52" s="10" t="s">
        <v>56</v>
      </c>
      <c r="LO52" s="10" t="s">
        <v>162</v>
      </c>
      <c r="LP52" s="10" t="s">
        <v>56</v>
      </c>
      <c r="LQ52" s="10" t="s">
        <v>162</v>
      </c>
      <c r="LR52" s="10" t="s">
        <v>56</v>
      </c>
      <c r="LS52" s="10" t="s">
        <v>162</v>
      </c>
      <c r="LT52" s="10" t="s">
        <v>56</v>
      </c>
      <c r="LU52" s="10" t="s">
        <v>162</v>
      </c>
      <c r="LV52" s="10" t="s">
        <v>56</v>
      </c>
      <c r="LW52" s="10" t="s">
        <v>55</v>
      </c>
      <c r="LX52" s="10" t="s">
        <v>56</v>
      </c>
      <c r="LY52" s="10" t="s">
        <v>55</v>
      </c>
      <c r="LZ52" s="10" t="s">
        <v>56</v>
      </c>
      <c r="MA52" s="10" t="s">
        <v>55</v>
      </c>
      <c r="MB52" s="10" t="s">
        <v>56</v>
      </c>
      <c r="MC52" s="10" t="s">
        <v>55</v>
      </c>
      <c r="MD52" s="17" t="s">
        <v>56</v>
      </c>
      <c r="ME52" s="4" t="s">
        <v>55</v>
      </c>
      <c r="MF52" s="17" t="s">
        <v>56</v>
      </c>
      <c r="MG52" s="4" t="s">
        <v>55</v>
      </c>
      <c r="MH52" s="17" t="s">
        <v>56</v>
      </c>
      <c r="MI52" s="4" t="s">
        <v>55</v>
      </c>
      <c r="MJ52" s="17" t="s">
        <v>56</v>
      </c>
      <c r="MK52" s="4" t="s">
        <v>55</v>
      </c>
      <c r="ML52" s="17" t="s">
        <v>56</v>
      </c>
      <c r="MM52" s="4" t="s">
        <v>55</v>
      </c>
      <c r="MN52" s="17" t="s">
        <v>56</v>
      </c>
      <c r="MO52" s="4" t="s">
        <v>55</v>
      </c>
      <c r="MP52" s="17" t="s">
        <v>56</v>
      </c>
      <c r="MQ52" s="4" t="s">
        <v>55</v>
      </c>
      <c r="MR52" s="17" t="s">
        <v>56</v>
      </c>
      <c r="MS52" s="4" t="s">
        <v>55</v>
      </c>
      <c r="MT52" s="17" t="s">
        <v>56</v>
      </c>
      <c r="MU52" s="4" t="s">
        <v>55</v>
      </c>
      <c r="MV52" s="17" t="s">
        <v>56</v>
      </c>
      <c r="MW52" s="4" t="s">
        <v>55</v>
      </c>
      <c r="MX52" s="17" t="s">
        <v>56</v>
      </c>
      <c r="MY52" s="4" t="s">
        <v>55</v>
      </c>
      <c r="MZ52" s="17" t="s">
        <v>56</v>
      </c>
      <c r="NA52" s="4" t="s">
        <v>55</v>
      </c>
      <c r="NB52" s="10" t="s">
        <v>56</v>
      </c>
      <c r="NC52" s="10" t="s">
        <v>55</v>
      </c>
      <c r="ND52" s="10" t="s">
        <v>56</v>
      </c>
      <c r="NE52" s="10" t="s">
        <v>55</v>
      </c>
      <c r="NF52" s="10" t="s">
        <v>56</v>
      </c>
      <c r="NG52" s="10" t="s">
        <v>55</v>
      </c>
      <c r="NH52" s="10" t="s">
        <v>56</v>
      </c>
      <c r="NI52" s="10" t="s">
        <v>55</v>
      </c>
      <c r="NJ52" s="10" t="s">
        <v>56</v>
      </c>
      <c r="NK52" s="10" t="s">
        <v>55</v>
      </c>
      <c r="NL52" s="10" t="s">
        <v>56</v>
      </c>
      <c r="NM52" s="4" t="s">
        <v>55</v>
      </c>
      <c r="NN52" s="10" t="s">
        <v>56</v>
      </c>
      <c r="NO52" s="4" t="s">
        <v>55</v>
      </c>
      <c r="NP52" s="10" t="s">
        <v>56</v>
      </c>
      <c r="NQ52" s="4" t="s">
        <v>55</v>
      </c>
      <c r="NR52" s="10" t="s">
        <v>57</v>
      </c>
      <c r="NS52" s="10" t="s">
        <v>55</v>
      </c>
      <c r="NT52" s="10" t="s">
        <v>57</v>
      </c>
      <c r="NU52" s="10" t="s">
        <v>55</v>
      </c>
    </row>
    <row r="53" spans="1:385" x14ac:dyDescent="0.2">
      <c r="A53" t="s">
        <v>870</v>
      </c>
      <c r="B53" s="1" t="s">
        <v>1037</v>
      </c>
      <c r="C53" s="1" t="s">
        <v>843</v>
      </c>
      <c r="D53" s="39" cm="1">
        <f t="array" ref="D53">SUMPRODUCT((ISNUMBER(F53:NU53))*(MOD(COLUMN(F53:NU53),2)=0))</f>
        <v>2</v>
      </c>
      <c r="E53" s="1">
        <v>117.15</v>
      </c>
      <c r="F53" s="10" t="s">
        <v>56</v>
      </c>
      <c r="G53" s="10" t="s">
        <v>55</v>
      </c>
      <c r="H53" s="10" t="s">
        <v>56</v>
      </c>
      <c r="I53" s="10" t="s">
        <v>55</v>
      </c>
      <c r="J53" s="10" t="s">
        <v>56</v>
      </c>
      <c r="K53" s="10" t="s">
        <v>55</v>
      </c>
      <c r="L53" s="10" t="s">
        <v>56</v>
      </c>
      <c r="M53" s="10" t="s">
        <v>55</v>
      </c>
      <c r="N53" s="10" t="s">
        <v>56</v>
      </c>
      <c r="O53" s="10" t="s">
        <v>55</v>
      </c>
      <c r="P53" s="4" t="s">
        <v>61</v>
      </c>
      <c r="Q53" s="4" t="s">
        <v>55</v>
      </c>
      <c r="R53" s="10" t="s">
        <v>56</v>
      </c>
      <c r="S53" s="10" t="s">
        <v>55</v>
      </c>
      <c r="T53" s="10" t="s">
        <v>56</v>
      </c>
      <c r="U53" s="10" t="s">
        <v>55</v>
      </c>
      <c r="V53" s="10" t="s">
        <v>56</v>
      </c>
      <c r="W53" s="10" t="s">
        <v>55</v>
      </c>
      <c r="X53" s="4" t="s">
        <v>61</v>
      </c>
      <c r="Y53" s="4" t="s">
        <v>55</v>
      </c>
      <c r="Z53" s="12" t="s">
        <v>61</v>
      </c>
      <c r="AA53" s="12" t="s">
        <v>55</v>
      </c>
      <c r="AB53" s="10" t="s">
        <v>56</v>
      </c>
      <c r="AC53" s="10" t="s">
        <v>55</v>
      </c>
      <c r="AD53" s="10" t="s">
        <v>56</v>
      </c>
      <c r="AE53" s="10" t="s">
        <v>55</v>
      </c>
      <c r="AF53" s="10" t="s">
        <v>56</v>
      </c>
      <c r="AG53" s="10" t="s">
        <v>55</v>
      </c>
      <c r="AH53" s="10" t="s">
        <v>56</v>
      </c>
      <c r="AI53" s="10" t="s">
        <v>55</v>
      </c>
      <c r="AJ53" s="10" t="s">
        <v>56</v>
      </c>
      <c r="AK53" s="10" t="s">
        <v>55</v>
      </c>
      <c r="AL53" s="10" t="s">
        <v>56</v>
      </c>
      <c r="AM53" s="10" t="s">
        <v>55</v>
      </c>
      <c r="AN53" s="10" t="s">
        <v>56</v>
      </c>
      <c r="AO53" s="10" t="s">
        <v>55</v>
      </c>
      <c r="AP53" s="10" t="s">
        <v>56</v>
      </c>
      <c r="AQ53" s="10" t="s">
        <v>55</v>
      </c>
      <c r="AR53" s="10">
        <f>1418/E53</f>
        <v>12.104139991463935</v>
      </c>
      <c r="AS53" s="10">
        <f>247/E53</f>
        <v>2.1084080239009815</v>
      </c>
      <c r="AT53" s="10" t="s">
        <v>56</v>
      </c>
      <c r="AU53" s="10" t="s">
        <v>55</v>
      </c>
      <c r="AV53" s="10" t="s">
        <v>56</v>
      </c>
      <c r="AW53" s="10" t="s">
        <v>55</v>
      </c>
      <c r="AX53" s="10" t="s">
        <v>56</v>
      </c>
      <c r="AY53" s="10" t="s">
        <v>55</v>
      </c>
      <c r="AZ53" s="10" t="s">
        <v>56</v>
      </c>
      <c r="BA53" s="10" t="s">
        <v>55</v>
      </c>
      <c r="BB53" s="10" t="s">
        <v>56</v>
      </c>
      <c r="BC53" s="10" t="s">
        <v>55</v>
      </c>
      <c r="BD53" s="4">
        <v>0.6</v>
      </c>
      <c r="BE53" s="1" t="s">
        <v>55</v>
      </c>
      <c r="BF53" s="10" t="s">
        <v>56</v>
      </c>
      <c r="BG53" s="10" t="s">
        <v>55</v>
      </c>
      <c r="BH53" s="10" t="s">
        <v>56</v>
      </c>
      <c r="BI53" s="10" t="s">
        <v>55</v>
      </c>
      <c r="BJ53" s="10" t="s">
        <v>56</v>
      </c>
      <c r="BK53" s="10" t="s">
        <v>55</v>
      </c>
      <c r="BL53" s="10" t="s">
        <v>56</v>
      </c>
      <c r="BM53" s="10" t="s">
        <v>55</v>
      </c>
      <c r="BN53" s="10" t="s">
        <v>56</v>
      </c>
      <c r="BO53" s="10" t="s">
        <v>55</v>
      </c>
      <c r="BP53" s="10" t="s">
        <v>56</v>
      </c>
      <c r="BQ53" s="10" t="s">
        <v>55</v>
      </c>
      <c r="BR53" s="10" t="s">
        <v>56</v>
      </c>
      <c r="BS53" s="10" t="s">
        <v>55</v>
      </c>
      <c r="BT53" s="10" t="s">
        <v>56</v>
      </c>
      <c r="BU53" s="10" t="s">
        <v>55</v>
      </c>
      <c r="BV53" s="10" t="s">
        <v>56</v>
      </c>
      <c r="BW53" s="10" t="s">
        <v>55</v>
      </c>
      <c r="BX53" s="10" t="s">
        <v>56</v>
      </c>
      <c r="BY53" s="10" t="s">
        <v>55</v>
      </c>
      <c r="BZ53" s="10" t="s">
        <v>56</v>
      </c>
      <c r="CA53" s="10" t="s">
        <v>55</v>
      </c>
      <c r="CB53" s="10" t="s">
        <v>56</v>
      </c>
      <c r="CC53" s="10" t="s">
        <v>55</v>
      </c>
      <c r="CD53" s="10" t="s">
        <v>56</v>
      </c>
      <c r="CE53" s="10" t="s">
        <v>55</v>
      </c>
      <c r="CF53" s="10" t="s">
        <v>56</v>
      </c>
      <c r="CG53" s="10" t="s">
        <v>55</v>
      </c>
      <c r="CH53" s="10" t="s">
        <v>56</v>
      </c>
      <c r="CI53" s="10" t="s">
        <v>55</v>
      </c>
      <c r="CJ53" s="10" t="s">
        <v>56</v>
      </c>
      <c r="CK53" s="10" t="s">
        <v>55</v>
      </c>
      <c r="CL53" s="10" t="s">
        <v>56</v>
      </c>
      <c r="CM53" s="10" t="s">
        <v>55</v>
      </c>
      <c r="CN53" s="10" t="s">
        <v>56</v>
      </c>
      <c r="CO53" s="10" t="s">
        <v>55</v>
      </c>
      <c r="CP53" s="10" t="s">
        <v>56</v>
      </c>
      <c r="CQ53" s="10" t="s">
        <v>55</v>
      </c>
      <c r="CR53" s="10" t="s">
        <v>56</v>
      </c>
      <c r="CS53" s="10" t="s">
        <v>55</v>
      </c>
      <c r="CT53" s="10" t="s">
        <v>56</v>
      </c>
      <c r="CU53" s="10" t="s">
        <v>55</v>
      </c>
      <c r="CV53" s="10" t="s">
        <v>56</v>
      </c>
      <c r="CW53" s="10" t="s">
        <v>55</v>
      </c>
      <c r="CX53" s="10" t="s">
        <v>56</v>
      </c>
      <c r="CY53" s="10" t="s">
        <v>55</v>
      </c>
      <c r="CZ53" s="10" t="s">
        <v>56</v>
      </c>
      <c r="DA53" s="10" t="s">
        <v>55</v>
      </c>
      <c r="DB53" s="10" t="s">
        <v>56</v>
      </c>
      <c r="DC53" s="10" t="s">
        <v>55</v>
      </c>
      <c r="DD53" s="10" t="s">
        <v>56</v>
      </c>
      <c r="DE53" s="10" t="s">
        <v>55</v>
      </c>
      <c r="DF53" s="10" t="s">
        <v>56</v>
      </c>
      <c r="DG53" s="10" t="s">
        <v>55</v>
      </c>
      <c r="DH53" s="10" t="s">
        <v>56</v>
      </c>
      <c r="DI53" s="10" t="s">
        <v>55</v>
      </c>
      <c r="DJ53" s="10" t="s">
        <v>56</v>
      </c>
      <c r="DK53" s="10" t="s">
        <v>55</v>
      </c>
      <c r="DL53" s="10" t="s">
        <v>56</v>
      </c>
      <c r="DM53" s="10" t="s">
        <v>55</v>
      </c>
      <c r="DN53" s="10" t="s">
        <v>56</v>
      </c>
      <c r="DO53" s="10" t="s">
        <v>55</v>
      </c>
      <c r="DP53" s="10" t="s">
        <v>56</v>
      </c>
      <c r="DQ53" s="10" t="s">
        <v>55</v>
      </c>
      <c r="DR53" s="10" t="s">
        <v>56</v>
      </c>
      <c r="DS53" s="10" t="s">
        <v>55</v>
      </c>
      <c r="DT53" s="10" t="s">
        <v>56</v>
      </c>
      <c r="DU53" s="10" t="s">
        <v>55</v>
      </c>
      <c r="DV53" s="10" t="s">
        <v>56</v>
      </c>
      <c r="DW53" s="10" t="s">
        <v>55</v>
      </c>
      <c r="DX53" s="10" t="s">
        <v>56</v>
      </c>
      <c r="DY53" s="10" t="s">
        <v>55</v>
      </c>
      <c r="DZ53" s="10" t="s">
        <v>56</v>
      </c>
      <c r="EA53" s="10" t="s">
        <v>55</v>
      </c>
      <c r="EB53" s="10" t="s">
        <v>56</v>
      </c>
      <c r="EC53" s="10" t="s">
        <v>55</v>
      </c>
      <c r="ED53" s="10" t="s">
        <v>56</v>
      </c>
      <c r="EE53" s="10" t="s">
        <v>55</v>
      </c>
      <c r="EF53" s="10" t="s">
        <v>56</v>
      </c>
      <c r="EG53" s="10" t="s">
        <v>55</v>
      </c>
      <c r="EH53" s="10" t="s">
        <v>56</v>
      </c>
      <c r="EI53" s="10" t="s">
        <v>55</v>
      </c>
      <c r="EJ53" s="10" t="s">
        <v>56</v>
      </c>
      <c r="EK53" s="10" t="s">
        <v>55</v>
      </c>
      <c r="EL53" s="10" t="s">
        <v>56</v>
      </c>
      <c r="EM53" s="10" t="s">
        <v>55</v>
      </c>
      <c r="EN53" s="10" t="s">
        <v>56</v>
      </c>
      <c r="EO53" s="10" t="s">
        <v>55</v>
      </c>
      <c r="EP53" s="10" t="s">
        <v>56</v>
      </c>
      <c r="EQ53" s="10" t="s">
        <v>55</v>
      </c>
      <c r="ER53" s="10" t="s">
        <v>485</v>
      </c>
      <c r="ES53" s="10" t="s">
        <v>55</v>
      </c>
      <c r="ET53" s="10" t="s">
        <v>485</v>
      </c>
      <c r="EU53" s="10" t="s">
        <v>55</v>
      </c>
      <c r="EV53" s="10" t="s">
        <v>485</v>
      </c>
      <c r="EW53" s="10" t="s">
        <v>55</v>
      </c>
      <c r="EX53" s="10" t="s">
        <v>485</v>
      </c>
      <c r="EY53" s="10" t="s">
        <v>55</v>
      </c>
      <c r="EZ53" s="10" t="s">
        <v>485</v>
      </c>
      <c r="FA53" s="10" t="s">
        <v>55</v>
      </c>
      <c r="FB53" s="10" t="s">
        <v>497</v>
      </c>
      <c r="FC53" s="10" t="s">
        <v>55</v>
      </c>
      <c r="FD53" s="10" t="s">
        <v>497</v>
      </c>
      <c r="FE53" s="10" t="s">
        <v>55</v>
      </c>
      <c r="FF53" s="10" t="s">
        <v>497</v>
      </c>
      <c r="FG53" s="10" t="s">
        <v>55</v>
      </c>
      <c r="FH53" s="10" t="s">
        <v>497</v>
      </c>
      <c r="FI53" s="10" t="s">
        <v>55</v>
      </c>
      <c r="FJ53" s="10" t="s">
        <v>497</v>
      </c>
      <c r="FK53" s="10" t="s">
        <v>55</v>
      </c>
      <c r="FL53" s="10" t="s">
        <v>497</v>
      </c>
      <c r="FM53" s="10" t="s">
        <v>55</v>
      </c>
      <c r="FN53" s="10" t="s">
        <v>497</v>
      </c>
      <c r="FO53" s="10" t="s">
        <v>55</v>
      </c>
      <c r="FP53" s="10" t="s">
        <v>497</v>
      </c>
      <c r="FQ53" s="10" t="s">
        <v>55</v>
      </c>
      <c r="FR53" s="10" t="s">
        <v>497</v>
      </c>
      <c r="FS53" s="10" t="s">
        <v>55</v>
      </c>
      <c r="FT53" s="10" t="s">
        <v>56</v>
      </c>
      <c r="FU53" s="10" t="s">
        <v>55</v>
      </c>
      <c r="FV53" s="10" t="s">
        <v>56</v>
      </c>
      <c r="FW53" s="10" t="s">
        <v>55</v>
      </c>
      <c r="FX53" s="10" t="s">
        <v>56</v>
      </c>
      <c r="FY53" s="10" t="s">
        <v>55</v>
      </c>
      <c r="FZ53" s="10" t="s">
        <v>56</v>
      </c>
      <c r="GA53" s="10" t="s">
        <v>55</v>
      </c>
      <c r="GB53" s="10" t="s">
        <v>56</v>
      </c>
      <c r="GC53" s="10" t="s">
        <v>55</v>
      </c>
      <c r="GD53" s="10" t="s">
        <v>56</v>
      </c>
      <c r="GE53" s="10" t="s">
        <v>55</v>
      </c>
      <c r="GF53" s="10" t="s">
        <v>56</v>
      </c>
      <c r="GG53" s="10" t="s">
        <v>55</v>
      </c>
      <c r="GH53" s="10" t="s">
        <v>56</v>
      </c>
      <c r="GI53" s="10" t="s">
        <v>55</v>
      </c>
      <c r="GJ53" s="10" t="s">
        <v>56</v>
      </c>
      <c r="GK53" s="10" t="s">
        <v>55</v>
      </c>
      <c r="GL53" s="10" t="s">
        <v>56</v>
      </c>
      <c r="GM53" s="10" t="s">
        <v>55</v>
      </c>
      <c r="GN53" s="10" t="s">
        <v>56</v>
      </c>
      <c r="GO53" s="10" t="s">
        <v>55</v>
      </c>
      <c r="GP53" s="10" t="s">
        <v>56</v>
      </c>
      <c r="GQ53" s="10" t="s">
        <v>55</v>
      </c>
      <c r="GR53" s="10" t="s">
        <v>56</v>
      </c>
      <c r="GS53" s="10" t="s">
        <v>55</v>
      </c>
      <c r="GT53" s="10" t="s">
        <v>56</v>
      </c>
      <c r="GU53" s="10" t="s">
        <v>55</v>
      </c>
      <c r="GV53" s="17" t="s">
        <v>56</v>
      </c>
      <c r="GW53" s="17" t="s">
        <v>55</v>
      </c>
      <c r="GX53" s="10" t="s">
        <v>616</v>
      </c>
      <c r="GY53" s="10" t="s">
        <v>55</v>
      </c>
      <c r="GZ53" s="10" t="s">
        <v>56</v>
      </c>
      <c r="HA53" s="10" t="s">
        <v>55</v>
      </c>
      <c r="HB53" s="10" t="s">
        <v>56</v>
      </c>
      <c r="HC53" s="10" t="s">
        <v>55</v>
      </c>
      <c r="HD53" s="10" t="s">
        <v>56</v>
      </c>
      <c r="HE53" s="10" t="s">
        <v>55</v>
      </c>
      <c r="HF53" s="10" t="s">
        <v>56</v>
      </c>
      <c r="HG53" s="10" t="s">
        <v>55</v>
      </c>
      <c r="HH53" s="10" t="s">
        <v>56</v>
      </c>
      <c r="HI53" s="10" t="s">
        <v>55</v>
      </c>
      <c r="HJ53" s="10" t="s">
        <v>56</v>
      </c>
      <c r="HK53" s="10" t="s">
        <v>55</v>
      </c>
      <c r="HL53" s="10" t="s">
        <v>56</v>
      </c>
      <c r="HM53" s="10" t="s">
        <v>55</v>
      </c>
      <c r="HN53" s="10" t="s">
        <v>56</v>
      </c>
      <c r="HO53" s="10" t="s">
        <v>55</v>
      </c>
      <c r="HP53" s="10" t="s">
        <v>56</v>
      </c>
      <c r="HQ53" s="10" t="s">
        <v>55</v>
      </c>
      <c r="HR53" s="10" t="s">
        <v>56</v>
      </c>
      <c r="HS53" s="10" t="s">
        <v>55</v>
      </c>
      <c r="HT53" s="10" t="s">
        <v>56</v>
      </c>
      <c r="HU53" s="10" t="s">
        <v>55</v>
      </c>
      <c r="HV53" s="10" t="s">
        <v>56</v>
      </c>
      <c r="HW53" s="10" t="s">
        <v>55</v>
      </c>
      <c r="HX53" s="10" t="s">
        <v>56</v>
      </c>
      <c r="HY53" s="10" t="s">
        <v>55</v>
      </c>
      <c r="HZ53" s="10" t="s">
        <v>56</v>
      </c>
      <c r="IA53" s="10" t="s">
        <v>55</v>
      </c>
      <c r="IB53" s="10" t="s">
        <v>56</v>
      </c>
      <c r="IC53" s="10" t="s">
        <v>55</v>
      </c>
      <c r="ID53" s="10" t="s">
        <v>56</v>
      </c>
      <c r="IE53" s="10" t="s">
        <v>55</v>
      </c>
      <c r="IF53" s="10" t="s">
        <v>56</v>
      </c>
      <c r="IG53" s="10" t="s">
        <v>55</v>
      </c>
      <c r="IH53" s="10" t="s">
        <v>56</v>
      </c>
      <c r="II53" s="10" t="s">
        <v>55</v>
      </c>
      <c r="IJ53" s="10" t="s">
        <v>56</v>
      </c>
      <c r="IK53" s="10" t="s">
        <v>55</v>
      </c>
      <c r="IL53" s="10" t="s">
        <v>56</v>
      </c>
      <c r="IM53" s="10" t="s">
        <v>55</v>
      </c>
      <c r="IN53" s="10" t="s">
        <v>56</v>
      </c>
      <c r="IO53" s="10" t="s">
        <v>55</v>
      </c>
      <c r="IP53" s="10" t="s">
        <v>56</v>
      </c>
      <c r="IQ53" s="10" t="s">
        <v>55</v>
      </c>
      <c r="IR53" s="10" t="s">
        <v>56</v>
      </c>
      <c r="IS53" s="10" t="s">
        <v>55</v>
      </c>
      <c r="IT53" s="10" t="s">
        <v>56</v>
      </c>
      <c r="IU53" s="10" t="s">
        <v>55</v>
      </c>
      <c r="IV53" s="10" t="s">
        <v>56</v>
      </c>
      <c r="IW53" s="10" t="s">
        <v>55</v>
      </c>
      <c r="IX53" s="10" t="s">
        <v>56</v>
      </c>
      <c r="IY53" s="10" t="s">
        <v>55</v>
      </c>
      <c r="IZ53" s="10" t="s">
        <v>56</v>
      </c>
      <c r="JA53" s="10" t="s">
        <v>55</v>
      </c>
      <c r="JB53" s="10" t="s">
        <v>56</v>
      </c>
      <c r="JC53" s="10" t="s">
        <v>55</v>
      </c>
      <c r="JD53" s="10" t="s">
        <v>56</v>
      </c>
      <c r="JE53" s="10" t="s">
        <v>55</v>
      </c>
      <c r="JF53" s="10" t="s">
        <v>56</v>
      </c>
      <c r="JG53" s="10" t="s">
        <v>55</v>
      </c>
      <c r="JH53" s="10" t="s">
        <v>56</v>
      </c>
      <c r="JI53" s="10" t="s">
        <v>55</v>
      </c>
      <c r="JJ53" s="10" t="s">
        <v>56</v>
      </c>
      <c r="JK53" s="10" t="s">
        <v>55</v>
      </c>
      <c r="JL53" s="10" t="s">
        <v>56</v>
      </c>
      <c r="JM53" s="10" t="s">
        <v>55</v>
      </c>
      <c r="JN53" s="10" t="s">
        <v>56</v>
      </c>
      <c r="JO53" s="10" t="s">
        <v>55</v>
      </c>
      <c r="JP53" s="10" t="s">
        <v>56</v>
      </c>
      <c r="JQ53" s="10" t="s">
        <v>55</v>
      </c>
      <c r="JR53" s="10" t="s">
        <v>56</v>
      </c>
      <c r="JS53" s="10" t="s">
        <v>55</v>
      </c>
      <c r="JT53" s="10" t="s">
        <v>56</v>
      </c>
      <c r="JU53" s="10" t="s">
        <v>55</v>
      </c>
      <c r="JV53" s="10" t="s">
        <v>56</v>
      </c>
      <c r="JW53" s="10" t="s">
        <v>55</v>
      </c>
      <c r="JX53" s="10" t="s">
        <v>56</v>
      </c>
      <c r="JY53" s="10" t="s">
        <v>55</v>
      </c>
      <c r="JZ53" s="10" t="s">
        <v>56</v>
      </c>
      <c r="KA53" s="10" t="s">
        <v>55</v>
      </c>
      <c r="KB53" s="10" t="s">
        <v>56</v>
      </c>
      <c r="KC53" s="10" t="s">
        <v>55</v>
      </c>
      <c r="KD53" s="10" t="s">
        <v>56</v>
      </c>
      <c r="KE53" s="10" t="s">
        <v>55</v>
      </c>
      <c r="KF53" s="10" t="s">
        <v>56</v>
      </c>
      <c r="KG53" s="10" t="s">
        <v>55</v>
      </c>
      <c r="KH53" s="10" t="s">
        <v>56</v>
      </c>
      <c r="KI53" s="10" t="s">
        <v>55</v>
      </c>
      <c r="KJ53" s="10" t="s">
        <v>56</v>
      </c>
      <c r="KK53" s="10" t="s">
        <v>55</v>
      </c>
      <c r="KL53" s="10" t="s">
        <v>56</v>
      </c>
      <c r="KM53" s="10" t="s">
        <v>55</v>
      </c>
      <c r="KN53" s="10" t="s">
        <v>56</v>
      </c>
      <c r="KO53" s="10" t="s">
        <v>55</v>
      </c>
      <c r="KP53" s="10" t="s">
        <v>56</v>
      </c>
      <c r="KQ53" s="10" t="s">
        <v>55</v>
      </c>
      <c r="KR53" s="10" t="s">
        <v>56</v>
      </c>
      <c r="KS53" s="10" t="s">
        <v>55</v>
      </c>
      <c r="KT53" s="10" t="s">
        <v>56</v>
      </c>
      <c r="KU53" s="10" t="s">
        <v>55</v>
      </c>
      <c r="KV53" s="10" t="s">
        <v>56</v>
      </c>
      <c r="KW53" s="10" t="s">
        <v>55</v>
      </c>
      <c r="KX53" s="10" t="s">
        <v>56</v>
      </c>
      <c r="KY53" s="10" t="s">
        <v>55</v>
      </c>
      <c r="KZ53" s="10" t="s">
        <v>56</v>
      </c>
      <c r="LA53" s="10" t="s">
        <v>55</v>
      </c>
      <c r="LB53" s="10" t="s">
        <v>56</v>
      </c>
      <c r="LC53" s="10" t="s">
        <v>55</v>
      </c>
      <c r="LD53" s="10" t="s">
        <v>56</v>
      </c>
      <c r="LE53" s="10" t="s">
        <v>55</v>
      </c>
      <c r="LF53" s="10" t="s">
        <v>56</v>
      </c>
      <c r="LG53" s="10" t="s">
        <v>55</v>
      </c>
      <c r="LH53" s="10" t="s">
        <v>56</v>
      </c>
      <c r="LI53" s="10" t="s">
        <v>55</v>
      </c>
      <c r="LJ53" s="10" t="s">
        <v>56</v>
      </c>
      <c r="LK53" s="10" t="s">
        <v>55</v>
      </c>
      <c r="LL53" s="10" t="s">
        <v>56</v>
      </c>
      <c r="LM53" s="10" t="s">
        <v>55</v>
      </c>
      <c r="LN53" s="10" t="s">
        <v>56</v>
      </c>
      <c r="LO53" s="10" t="s">
        <v>55</v>
      </c>
      <c r="LP53" s="10" t="s">
        <v>56</v>
      </c>
      <c r="LQ53" s="10" t="s">
        <v>55</v>
      </c>
      <c r="LR53" s="10" t="s">
        <v>56</v>
      </c>
      <c r="LS53" s="10" t="s">
        <v>55</v>
      </c>
      <c r="LT53" s="10" t="s">
        <v>56</v>
      </c>
      <c r="LU53" s="10" t="s">
        <v>55</v>
      </c>
      <c r="LV53" s="10" t="s">
        <v>56</v>
      </c>
      <c r="LW53" s="10" t="s">
        <v>55</v>
      </c>
      <c r="LX53" s="10" t="s">
        <v>56</v>
      </c>
      <c r="LY53" s="10" t="s">
        <v>55</v>
      </c>
      <c r="LZ53" s="10" t="s">
        <v>56</v>
      </c>
      <c r="MA53" s="10" t="s">
        <v>55</v>
      </c>
      <c r="MB53" s="10" t="s">
        <v>56</v>
      </c>
      <c r="MC53" s="10" t="s">
        <v>55</v>
      </c>
      <c r="MD53" s="10" t="s">
        <v>56</v>
      </c>
      <c r="ME53" s="10" t="s">
        <v>55</v>
      </c>
      <c r="MF53" s="10" t="s">
        <v>56</v>
      </c>
      <c r="MG53" s="10" t="s">
        <v>55</v>
      </c>
      <c r="MH53" s="10" t="s">
        <v>56</v>
      </c>
      <c r="MI53" s="10" t="s">
        <v>55</v>
      </c>
      <c r="MJ53" s="10" t="s">
        <v>56</v>
      </c>
      <c r="MK53" s="10" t="s">
        <v>55</v>
      </c>
      <c r="ML53" s="10" t="s">
        <v>56</v>
      </c>
      <c r="MM53" s="10" t="s">
        <v>55</v>
      </c>
      <c r="MN53" s="10" t="s">
        <v>56</v>
      </c>
      <c r="MO53" s="10" t="s">
        <v>55</v>
      </c>
      <c r="MP53" s="10" t="s">
        <v>56</v>
      </c>
      <c r="MQ53" s="10" t="s">
        <v>55</v>
      </c>
      <c r="MR53" s="10" t="s">
        <v>56</v>
      </c>
      <c r="MS53" s="10" t="s">
        <v>55</v>
      </c>
      <c r="MT53" s="10" t="s">
        <v>56</v>
      </c>
      <c r="MU53" s="10" t="s">
        <v>55</v>
      </c>
      <c r="MV53" s="10" t="s">
        <v>56</v>
      </c>
      <c r="MW53" s="10" t="s">
        <v>55</v>
      </c>
      <c r="MX53" s="10" t="s">
        <v>56</v>
      </c>
      <c r="MY53" s="10" t="s">
        <v>55</v>
      </c>
      <c r="MZ53" s="10" t="s">
        <v>56</v>
      </c>
      <c r="NA53" s="10" t="s">
        <v>55</v>
      </c>
      <c r="NB53" s="10" t="s">
        <v>56</v>
      </c>
      <c r="NC53" s="10" t="s">
        <v>55</v>
      </c>
      <c r="ND53" s="10" t="s">
        <v>56</v>
      </c>
      <c r="NE53" s="10" t="s">
        <v>55</v>
      </c>
      <c r="NF53" s="10" t="s">
        <v>56</v>
      </c>
      <c r="NG53" s="10" t="s">
        <v>55</v>
      </c>
      <c r="NH53" s="10" t="s">
        <v>56</v>
      </c>
      <c r="NI53" s="10" t="s">
        <v>55</v>
      </c>
      <c r="NJ53" s="10" t="s">
        <v>56</v>
      </c>
      <c r="NK53" s="10" t="s">
        <v>55</v>
      </c>
      <c r="NL53" s="10" t="s">
        <v>56</v>
      </c>
      <c r="NM53" s="10" t="s">
        <v>55</v>
      </c>
      <c r="NN53" s="10" t="s">
        <v>56</v>
      </c>
      <c r="NO53" s="10" t="s">
        <v>55</v>
      </c>
      <c r="NP53" s="10" t="s">
        <v>56</v>
      </c>
      <c r="NQ53" s="10" t="s">
        <v>55</v>
      </c>
      <c r="NR53" s="10" t="s">
        <v>56</v>
      </c>
      <c r="NS53" s="10" t="s">
        <v>55</v>
      </c>
      <c r="NT53" s="10" t="s">
        <v>56</v>
      </c>
      <c r="NU53" s="10" t="s">
        <v>55</v>
      </c>
    </row>
    <row r="54" spans="1:385" x14ac:dyDescent="0.2">
      <c r="A54" t="s">
        <v>25</v>
      </c>
      <c r="B54" s="1" t="s">
        <v>1037</v>
      </c>
      <c r="C54" s="1" t="s">
        <v>858</v>
      </c>
      <c r="D54" s="39" cm="1">
        <f t="array" ref="D54">SUMPRODUCT((ISNUMBER(F54:NU54))*(MOD(COLUMN(F54:NU54),2)=0))</f>
        <v>19</v>
      </c>
      <c r="E54" s="1">
        <v>117.15</v>
      </c>
      <c r="F54" s="1" t="s">
        <v>54</v>
      </c>
      <c r="G54" s="1" t="s">
        <v>55</v>
      </c>
      <c r="H54" s="1" t="s">
        <v>54</v>
      </c>
      <c r="I54" s="1" t="s">
        <v>55</v>
      </c>
      <c r="J54" s="1" t="s">
        <v>54</v>
      </c>
      <c r="K54" s="1" t="s">
        <v>55</v>
      </c>
      <c r="L54" s="1" t="s">
        <v>54</v>
      </c>
      <c r="M54" s="1" t="s">
        <v>55</v>
      </c>
      <c r="N54" s="1">
        <v>2.5000000000000001E-3</v>
      </c>
      <c r="O54" s="1">
        <v>2.0000000000000001E-4</v>
      </c>
      <c r="P54" s="1" t="s">
        <v>56</v>
      </c>
      <c r="Q54" s="1" t="s">
        <v>55</v>
      </c>
      <c r="R54" s="1">
        <v>1.8700000000000001E-2</v>
      </c>
      <c r="S54" s="1">
        <v>8.0000000000000004E-4</v>
      </c>
      <c r="T54" s="10" t="s">
        <v>56</v>
      </c>
      <c r="U54" s="10" t="s">
        <v>55</v>
      </c>
      <c r="V54" s="10" t="s">
        <v>56</v>
      </c>
      <c r="W54" s="10" t="s">
        <v>55</v>
      </c>
      <c r="X54" s="1" t="s">
        <v>56</v>
      </c>
      <c r="Y54" s="1" t="s">
        <v>55</v>
      </c>
      <c r="Z54" s="1" t="s">
        <v>56</v>
      </c>
      <c r="AA54" s="1" t="s">
        <v>55</v>
      </c>
      <c r="AB54" s="1">
        <v>27.96</v>
      </c>
      <c r="AC54" s="1">
        <v>3.34</v>
      </c>
      <c r="AD54" s="1">
        <v>8.19</v>
      </c>
      <c r="AE54" s="1">
        <v>0.51</v>
      </c>
      <c r="AF54" s="11" t="s">
        <v>152</v>
      </c>
      <c r="AG54" s="11" t="s">
        <v>55</v>
      </c>
      <c r="AH54" s="11">
        <f>0.6/E54</f>
        <v>5.1216389244558257E-3</v>
      </c>
      <c r="AI54" s="11">
        <f>0.2/E54</f>
        <v>1.7072129748186087E-3</v>
      </c>
      <c r="AJ54" s="11">
        <f>59/E54</f>
        <v>0.50362782757148949</v>
      </c>
      <c r="AK54" s="11">
        <f>4/E54</f>
        <v>3.4144259496372169E-2</v>
      </c>
      <c r="AL54" s="1">
        <v>0.1</v>
      </c>
      <c r="AM54" s="1">
        <v>0.1</v>
      </c>
      <c r="AN54" s="11">
        <v>0.25</v>
      </c>
      <c r="AO54" s="11">
        <v>0.01</v>
      </c>
      <c r="AP54" s="11" t="s">
        <v>56</v>
      </c>
      <c r="AQ54" s="11" t="s">
        <v>55</v>
      </c>
      <c r="AR54" s="10">
        <f>75/E54</f>
        <v>0.6402048655569782</v>
      </c>
      <c r="AS54" s="10">
        <f>19/E54</f>
        <v>0.16218523260776782</v>
      </c>
      <c r="AT54" s="11">
        <f>18/E54</f>
        <v>0.15364916773367476</v>
      </c>
      <c r="AU54" s="11">
        <f>2/E54</f>
        <v>1.7072129748186084E-2</v>
      </c>
      <c r="AV54" s="11">
        <f>9/E54</f>
        <v>7.6824583866837381E-2</v>
      </c>
      <c r="AW54" s="11">
        <f>1/E54</f>
        <v>8.5360648740930422E-3</v>
      </c>
      <c r="AX54" s="11">
        <f>259/E54</f>
        <v>2.2108408023900981</v>
      </c>
      <c r="AY54" s="11">
        <f>20/E54</f>
        <v>0.17072129748186085</v>
      </c>
      <c r="AZ54" s="1">
        <v>2.7</v>
      </c>
      <c r="BA54" s="1">
        <v>0.2</v>
      </c>
      <c r="BB54" s="1" t="s">
        <v>91</v>
      </c>
      <c r="BC54" s="1" t="s">
        <v>55</v>
      </c>
      <c r="BD54" s="10" t="s">
        <v>56</v>
      </c>
      <c r="BE54" s="10" t="s">
        <v>55</v>
      </c>
      <c r="BF54" s="1" t="s">
        <v>56</v>
      </c>
      <c r="BG54" s="1" t="s">
        <v>55</v>
      </c>
      <c r="BH54" s="1" t="s">
        <v>56</v>
      </c>
      <c r="BI54" s="1" t="s">
        <v>55</v>
      </c>
      <c r="BJ54" s="1" t="s">
        <v>56</v>
      </c>
      <c r="BK54" s="1" t="s">
        <v>55</v>
      </c>
      <c r="BL54" s="1">
        <v>1.32</v>
      </c>
      <c r="BM54" s="1">
        <v>0.03</v>
      </c>
      <c r="BN54" s="1">
        <v>0.45</v>
      </c>
      <c r="BO54" s="1">
        <v>0.03</v>
      </c>
      <c r="BP54" s="1">
        <v>0.15</v>
      </c>
      <c r="BQ54" s="1">
        <v>0.2</v>
      </c>
      <c r="BR54" s="11">
        <f>13/E54</f>
        <v>0.11096884336320956</v>
      </c>
      <c r="BS54" s="11">
        <f>1/E54</f>
        <v>8.5360648740930422E-3</v>
      </c>
      <c r="BT54" s="10" t="s">
        <v>56</v>
      </c>
      <c r="BU54" s="10" t="s">
        <v>55</v>
      </c>
      <c r="BV54" s="10" t="s">
        <v>56</v>
      </c>
      <c r="BW54" s="1" t="s">
        <v>55</v>
      </c>
      <c r="BX54" s="1" t="s">
        <v>91</v>
      </c>
      <c r="BY54" s="1" t="s">
        <v>55</v>
      </c>
      <c r="BZ54" s="10" t="s">
        <v>240</v>
      </c>
      <c r="CA54" s="10" t="s">
        <v>55</v>
      </c>
      <c r="CB54" s="10" t="s">
        <v>240</v>
      </c>
      <c r="CC54" s="10" t="s">
        <v>55</v>
      </c>
      <c r="CD54" s="10" t="s">
        <v>240</v>
      </c>
      <c r="CE54" s="10" t="s">
        <v>55</v>
      </c>
      <c r="CF54" s="10" t="s">
        <v>240</v>
      </c>
      <c r="CG54" s="10" t="s">
        <v>55</v>
      </c>
      <c r="CH54" s="10" t="s">
        <v>240</v>
      </c>
      <c r="CI54" s="10" t="s">
        <v>55</v>
      </c>
      <c r="CJ54" s="10">
        <f>0.7/E54</f>
        <v>5.9752454118651294E-3</v>
      </c>
      <c r="CK54" s="10">
        <f>0.1/E54</f>
        <v>8.5360648740930435E-4</v>
      </c>
      <c r="CL54" s="10" t="s">
        <v>240</v>
      </c>
      <c r="CM54" s="19" t="s">
        <v>55</v>
      </c>
      <c r="CN54" s="10" t="s">
        <v>240</v>
      </c>
      <c r="CO54" s="19" t="s">
        <v>55</v>
      </c>
      <c r="CP54" s="10" t="s">
        <v>240</v>
      </c>
      <c r="CQ54" s="19" t="s">
        <v>55</v>
      </c>
      <c r="CR54" s="19" t="s">
        <v>240</v>
      </c>
      <c r="CS54" s="19" t="s">
        <v>55</v>
      </c>
      <c r="CT54" s="19" t="s">
        <v>240</v>
      </c>
      <c r="CU54" s="19" t="s">
        <v>55</v>
      </c>
      <c r="CV54" s="19" t="s">
        <v>240</v>
      </c>
      <c r="CW54" s="19" t="s">
        <v>55</v>
      </c>
      <c r="CX54" s="19" t="s">
        <v>240</v>
      </c>
      <c r="CY54" s="10" t="s">
        <v>55</v>
      </c>
      <c r="CZ54" s="19" t="s">
        <v>240</v>
      </c>
      <c r="DA54" s="10" t="s">
        <v>55</v>
      </c>
      <c r="DB54" s="19" t="s">
        <v>240</v>
      </c>
      <c r="DC54" s="10" t="s">
        <v>55</v>
      </c>
      <c r="DD54" s="10" t="s">
        <v>56</v>
      </c>
      <c r="DE54" s="10" t="s">
        <v>55</v>
      </c>
      <c r="DF54" s="10" t="s">
        <v>56</v>
      </c>
      <c r="DG54" s="10" t="s">
        <v>55</v>
      </c>
      <c r="DH54" s="10" t="s">
        <v>56</v>
      </c>
      <c r="DI54" s="10" t="s">
        <v>55</v>
      </c>
      <c r="DJ54" s="10" t="s">
        <v>56</v>
      </c>
      <c r="DK54" s="10" t="s">
        <v>55</v>
      </c>
      <c r="DL54" s="10" t="s">
        <v>56</v>
      </c>
      <c r="DM54" s="10" t="s">
        <v>55</v>
      </c>
      <c r="DN54" s="10" t="s">
        <v>56</v>
      </c>
      <c r="DO54" s="10" t="s">
        <v>55</v>
      </c>
      <c r="DP54" s="10" t="s">
        <v>56</v>
      </c>
      <c r="DQ54" s="10" t="s">
        <v>55</v>
      </c>
      <c r="DR54" s="10" t="s">
        <v>56</v>
      </c>
      <c r="DS54" s="10" t="s">
        <v>55</v>
      </c>
      <c r="DT54" s="10" t="s">
        <v>56</v>
      </c>
      <c r="DU54" s="10" t="s">
        <v>55</v>
      </c>
      <c r="DV54" s="10" t="s">
        <v>56</v>
      </c>
      <c r="DW54" s="10" t="s">
        <v>55</v>
      </c>
      <c r="DX54" s="10" t="s">
        <v>56</v>
      </c>
      <c r="DY54" s="10" t="s">
        <v>55</v>
      </c>
      <c r="DZ54" s="10" t="s">
        <v>56</v>
      </c>
      <c r="EA54" s="10" t="s">
        <v>55</v>
      </c>
      <c r="EB54" s="10" t="s">
        <v>56</v>
      </c>
      <c r="EC54" s="10" t="s">
        <v>55</v>
      </c>
      <c r="ED54" s="10" t="s">
        <v>56</v>
      </c>
      <c r="EE54" s="10" t="s">
        <v>55</v>
      </c>
      <c r="EF54" s="10" t="s">
        <v>56</v>
      </c>
      <c r="EG54" s="10" t="s">
        <v>55</v>
      </c>
      <c r="EH54" s="10" t="s">
        <v>233</v>
      </c>
      <c r="EI54" s="10" t="s">
        <v>55</v>
      </c>
      <c r="EJ54" s="10" t="s">
        <v>233</v>
      </c>
      <c r="EK54" s="10" t="s">
        <v>55</v>
      </c>
      <c r="EL54" s="10" t="s">
        <v>233</v>
      </c>
      <c r="EM54" s="10" t="s">
        <v>55</v>
      </c>
      <c r="EN54" s="10" t="s">
        <v>56</v>
      </c>
      <c r="EO54" s="10" t="s">
        <v>55</v>
      </c>
      <c r="EP54" s="10" t="s">
        <v>56</v>
      </c>
      <c r="EQ54" s="10" t="s">
        <v>55</v>
      </c>
      <c r="ER54" s="10" t="s">
        <v>56</v>
      </c>
      <c r="ES54" s="10" t="s">
        <v>55</v>
      </c>
      <c r="ET54" s="10" t="s">
        <v>56</v>
      </c>
      <c r="EU54" s="10" t="s">
        <v>55</v>
      </c>
      <c r="EV54" s="10" t="s">
        <v>56</v>
      </c>
      <c r="EW54" s="10" t="s">
        <v>55</v>
      </c>
      <c r="EX54" s="10" t="s">
        <v>56</v>
      </c>
      <c r="EY54" s="10" t="s">
        <v>55</v>
      </c>
      <c r="EZ54" s="10" t="s">
        <v>56</v>
      </c>
      <c r="FA54" s="10" t="s">
        <v>55</v>
      </c>
      <c r="FB54" s="10" t="s">
        <v>56</v>
      </c>
      <c r="FC54" s="10" t="s">
        <v>55</v>
      </c>
      <c r="FD54" s="10" t="s">
        <v>56</v>
      </c>
      <c r="FE54" s="10" t="s">
        <v>55</v>
      </c>
      <c r="FF54" s="10" t="s">
        <v>56</v>
      </c>
      <c r="FG54" s="10" t="s">
        <v>55</v>
      </c>
      <c r="FH54" s="10" t="s">
        <v>56</v>
      </c>
      <c r="FI54" s="10" t="s">
        <v>55</v>
      </c>
      <c r="FJ54" s="10" t="s">
        <v>56</v>
      </c>
      <c r="FK54" s="10" t="s">
        <v>55</v>
      </c>
      <c r="FL54" s="10" t="s">
        <v>56</v>
      </c>
      <c r="FM54" s="10" t="s">
        <v>55</v>
      </c>
      <c r="FN54" s="10" t="s">
        <v>56</v>
      </c>
      <c r="FO54" s="10" t="s">
        <v>55</v>
      </c>
      <c r="FP54" s="10" t="s">
        <v>56</v>
      </c>
      <c r="FQ54" s="10" t="s">
        <v>55</v>
      </c>
      <c r="FR54" s="10" t="s">
        <v>56</v>
      </c>
      <c r="FS54" s="10" t="s">
        <v>55</v>
      </c>
      <c r="FT54" s="8" t="s">
        <v>157</v>
      </c>
      <c r="FU54" s="8" t="s">
        <v>55</v>
      </c>
      <c r="FV54" s="8" t="s">
        <v>157</v>
      </c>
      <c r="FW54" s="8" t="s">
        <v>55</v>
      </c>
      <c r="FX54" s="8" t="s">
        <v>157</v>
      </c>
      <c r="FY54" s="8" t="s">
        <v>55</v>
      </c>
      <c r="FZ54" s="8" t="s">
        <v>157</v>
      </c>
      <c r="GA54" s="8" t="s">
        <v>55</v>
      </c>
      <c r="GB54" s="8" t="s">
        <v>157</v>
      </c>
      <c r="GC54" s="8" t="s">
        <v>55</v>
      </c>
      <c r="GD54" s="8" t="s">
        <v>157</v>
      </c>
      <c r="GE54" s="8" t="s">
        <v>55</v>
      </c>
      <c r="GF54" s="8" t="s">
        <v>157</v>
      </c>
      <c r="GG54" s="8" t="s">
        <v>55</v>
      </c>
      <c r="GH54" s="8" t="s">
        <v>157</v>
      </c>
      <c r="GI54" s="8" t="s">
        <v>55</v>
      </c>
      <c r="GJ54" s="8" t="s">
        <v>157</v>
      </c>
      <c r="GK54" s="8" t="s">
        <v>55</v>
      </c>
      <c r="GL54" s="8" t="s">
        <v>157</v>
      </c>
      <c r="GM54" s="8" t="s">
        <v>55</v>
      </c>
      <c r="GN54" s="8" t="s">
        <v>157</v>
      </c>
      <c r="GO54" s="8" t="s">
        <v>55</v>
      </c>
      <c r="GP54" s="10" t="s">
        <v>157</v>
      </c>
      <c r="GQ54" s="10" t="s">
        <v>55</v>
      </c>
      <c r="GR54" s="10" t="s">
        <v>87</v>
      </c>
      <c r="GS54" s="10" t="s">
        <v>55</v>
      </c>
      <c r="GT54" s="10" t="s">
        <v>87</v>
      </c>
      <c r="GU54" s="10" t="s">
        <v>55</v>
      </c>
      <c r="GV54" s="10">
        <v>5.1999999999999998E-2</v>
      </c>
      <c r="GW54" s="10">
        <v>5.0000000000000001E-3</v>
      </c>
      <c r="GX54" s="10" t="s">
        <v>56</v>
      </c>
      <c r="GY54" s="10" t="s">
        <v>55</v>
      </c>
      <c r="GZ54" s="10" t="s">
        <v>56</v>
      </c>
      <c r="HA54" s="10" t="s">
        <v>55</v>
      </c>
      <c r="HB54" s="10" t="s">
        <v>56</v>
      </c>
      <c r="HC54" s="10" t="s">
        <v>55</v>
      </c>
      <c r="HD54" s="10" t="s">
        <v>56</v>
      </c>
      <c r="HE54" s="10" t="s">
        <v>55</v>
      </c>
      <c r="HF54" s="10" t="s">
        <v>56</v>
      </c>
      <c r="HG54" s="10" t="s">
        <v>55</v>
      </c>
      <c r="HH54" s="10" t="s">
        <v>56</v>
      </c>
      <c r="HI54" s="10" t="s">
        <v>55</v>
      </c>
      <c r="HJ54" s="10" t="s">
        <v>56</v>
      </c>
      <c r="HK54" s="10" t="s">
        <v>55</v>
      </c>
      <c r="HL54" s="10" t="s">
        <v>56</v>
      </c>
      <c r="HM54" s="10" t="s">
        <v>55</v>
      </c>
      <c r="HN54" s="10" t="s">
        <v>56</v>
      </c>
      <c r="HO54" s="10" t="s">
        <v>55</v>
      </c>
      <c r="HP54" s="10" t="s">
        <v>56</v>
      </c>
      <c r="HQ54" s="10" t="s">
        <v>55</v>
      </c>
      <c r="HR54" s="10" t="s">
        <v>56</v>
      </c>
      <c r="HS54" s="10" t="s">
        <v>55</v>
      </c>
      <c r="HT54" s="10" t="s">
        <v>56</v>
      </c>
      <c r="HU54" s="10" t="s">
        <v>55</v>
      </c>
      <c r="HV54" s="10" t="s">
        <v>56</v>
      </c>
      <c r="HW54" s="10" t="s">
        <v>55</v>
      </c>
      <c r="HX54" s="10" t="s">
        <v>56</v>
      </c>
      <c r="HY54" s="10" t="s">
        <v>55</v>
      </c>
      <c r="HZ54" s="10" t="s">
        <v>56</v>
      </c>
      <c r="IA54" s="10" t="s">
        <v>55</v>
      </c>
      <c r="IB54" s="10" t="s">
        <v>56</v>
      </c>
      <c r="IC54" s="10" t="s">
        <v>55</v>
      </c>
      <c r="ID54" s="1" t="s">
        <v>372</v>
      </c>
      <c r="IE54" s="1" t="s">
        <v>55</v>
      </c>
      <c r="IF54" s="10" t="s">
        <v>372</v>
      </c>
      <c r="IG54" s="10" t="s">
        <v>55</v>
      </c>
      <c r="IH54" s="4" t="s">
        <v>56</v>
      </c>
      <c r="II54" s="4" t="s">
        <v>55</v>
      </c>
      <c r="IJ54" s="4" t="s">
        <v>56</v>
      </c>
      <c r="IK54" s="4" t="s">
        <v>55</v>
      </c>
      <c r="IL54" s="4" t="s">
        <v>56</v>
      </c>
      <c r="IM54" s="4" t="s">
        <v>55</v>
      </c>
      <c r="IN54" s="4" t="s">
        <v>56</v>
      </c>
      <c r="IO54" s="4" t="s">
        <v>55</v>
      </c>
      <c r="IP54" s="4" t="s">
        <v>56</v>
      </c>
      <c r="IQ54" s="4" t="s">
        <v>55</v>
      </c>
      <c r="IR54" s="4" t="s">
        <v>56</v>
      </c>
      <c r="IS54" s="4" t="s">
        <v>55</v>
      </c>
      <c r="IT54" s="18" t="s">
        <v>56</v>
      </c>
      <c r="IU54" s="18" t="s">
        <v>55</v>
      </c>
      <c r="IV54" s="4" t="s">
        <v>556</v>
      </c>
      <c r="IW54" s="4" t="s">
        <v>55</v>
      </c>
      <c r="IX54" s="4" t="s">
        <v>56</v>
      </c>
      <c r="IY54" s="4" t="s">
        <v>55</v>
      </c>
      <c r="IZ54" s="4" t="s">
        <v>56</v>
      </c>
      <c r="JA54" s="4" t="s">
        <v>55</v>
      </c>
      <c r="JB54" s="4" t="s">
        <v>56</v>
      </c>
      <c r="JC54" s="4" t="s">
        <v>55</v>
      </c>
      <c r="JD54" s="4" t="s">
        <v>56</v>
      </c>
      <c r="JE54" s="4" t="s">
        <v>55</v>
      </c>
      <c r="JF54" s="4" t="s">
        <v>56</v>
      </c>
      <c r="JG54" s="4" t="s">
        <v>55</v>
      </c>
      <c r="JH54" s="4" t="s">
        <v>56</v>
      </c>
      <c r="JI54" s="4" t="s">
        <v>55</v>
      </c>
      <c r="JJ54" s="4" t="s">
        <v>56</v>
      </c>
      <c r="JK54" s="4" t="s">
        <v>55</v>
      </c>
      <c r="JL54" s="4" t="s">
        <v>56</v>
      </c>
      <c r="JM54" s="4" t="s">
        <v>55</v>
      </c>
      <c r="JN54" s="4" t="s">
        <v>56</v>
      </c>
      <c r="JO54" s="4" t="s">
        <v>55</v>
      </c>
      <c r="JP54" s="4" t="s">
        <v>56</v>
      </c>
      <c r="JQ54" s="4" t="s">
        <v>55</v>
      </c>
      <c r="JR54" s="4" t="s">
        <v>56</v>
      </c>
      <c r="JS54" s="4" t="s">
        <v>55</v>
      </c>
      <c r="JT54" s="4" t="s">
        <v>56</v>
      </c>
      <c r="JU54" s="4" t="s">
        <v>55</v>
      </c>
      <c r="JV54" s="4" t="s">
        <v>56</v>
      </c>
      <c r="JW54" s="4" t="s">
        <v>55</v>
      </c>
      <c r="JX54" s="26" t="s">
        <v>56</v>
      </c>
      <c r="JY54" s="26" t="s">
        <v>55</v>
      </c>
      <c r="JZ54" s="26" t="s">
        <v>56</v>
      </c>
      <c r="KA54" s="26" t="s">
        <v>55</v>
      </c>
      <c r="KB54" s="26" t="s">
        <v>56</v>
      </c>
      <c r="KC54" s="26" t="s">
        <v>55</v>
      </c>
      <c r="KD54" s="26" t="s">
        <v>56</v>
      </c>
      <c r="KE54" s="26" t="s">
        <v>55</v>
      </c>
      <c r="KF54" s="26" t="s">
        <v>56</v>
      </c>
      <c r="KG54" s="26" t="s">
        <v>55</v>
      </c>
      <c r="KH54" s="4" t="s">
        <v>56</v>
      </c>
      <c r="KI54" s="4" t="s">
        <v>55</v>
      </c>
      <c r="KJ54" s="4" t="s">
        <v>56</v>
      </c>
      <c r="KK54" s="4" t="s">
        <v>55</v>
      </c>
      <c r="KL54" s="4" t="s">
        <v>56</v>
      </c>
      <c r="KM54" s="4" t="s">
        <v>55</v>
      </c>
      <c r="KN54" s="4" t="s">
        <v>56</v>
      </c>
      <c r="KO54" s="4" t="s">
        <v>55</v>
      </c>
      <c r="KP54" s="4" t="s">
        <v>56</v>
      </c>
      <c r="KQ54" s="4" t="s">
        <v>55</v>
      </c>
      <c r="KR54" s="17" t="s">
        <v>56</v>
      </c>
      <c r="KS54" s="17" t="s">
        <v>55</v>
      </c>
      <c r="KT54" s="17" t="s">
        <v>56</v>
      </c>
      <c r="KU54" s="17" t="s">
        <v>55</v>
      </c>
      <c r="KV54" s="4" t="s">
        <v>56</v>
      </c>
      <c r="KW54" s="4" t="s">
        <v>55</v>
      </c>
      <c r="KX54" s="4" t="s">
        <v>56</v>
      </c>
      <c r="KY54" s="4" t="s">
        <v>55</v>
      </c>
      <c r="KZ54" s="4" t="s">
        <v>56</v>
      </c>
      <c r="LA54" s="4" t="s">
        <v>55</v>
      </c>
      <c r="LB54" s="10" t="s">
        <v>56</v>
      </c>
      <c r="LC54" s="10" t="s">
        <v>55</v>
      </c>
      <c r="LD54" s="10" t="s">
        <v>56</v>
      </c>
      <c r="LE54" s="10" t="s">
        <v>55</v>
      </c>
      <c r="LF54" s="10" t="s">
        <v>56</v>
      </c>
      <c r="LG54" s="10" t="s">
        <v>55</v>
      </c>
      <c r="LH54" s="10" t="s">
        <v>56</v>
      </c>
      <c r="LI54" s="10" t="s">
        <v>55</v>
      </c>
      <c r="LJ54" s="10" t="s">
        <v>56</v>
      </c>
      <c r="LK54" s="10" t="s">
        <v>162</v>
      </c>
      <c r="LL54" s="10" t="s">
        <v>56</v>
      </c>
      <c r="LM54" s="10" t="s">
        <v>162</v>
      </c>
      <c r="LN54" s="10" t="s">
        <v>56</v>
      </c>
      <c r="LO54" s="10" t="s">
        <v>162</v>
      </c>
      <c r="LP54" s="10" t="s">
        <v>56</v>
      </c>
      <c r="LQ54" s="10" t="s">
        <v>162</v>
      </c>
      <c r="LR54" s="10" t="s">
        <v>56</v>
      </c>
      <c r="LS54" s="10" t="s">
        <v>162</v>
      </c>
      <c r="LT54" s="10" t="s">
        <v>56</v>
      </c>
      <c r="LU54" s="10" t="s">
        <v>162</v>
      </c>
      <c r="LV54" s="10" t="s">
        <v>56</v>
      </c>
      <c r="LW54" s="10" t="s">
        <v>55</v>
      </c>
      <c r="LX54" s="10" t="s">
        <v>56</v>
      </c>
      <c r="LY54" s="10" t="s">
        <v>55</v>
      </c>
      <c r="LZ54" s="10" t="s">
        <v>56</v>
      </c>
      <c r="MA54" s="10" t="s">
        <v>55</v>
      </c>
      <c r="MB54" s="10" t="s">
        <v>56</v>
      </c>
      <c r="MC54" s="10" t="s">
        <v>55</v>
      </c>
      <c r="MD54" s="17" t="s">
        <v>56</v>
      </c>
      <c r="ME54" s="4" t="s">
        <v>55</v>
      </c>
      <c r="MF54" s="17" t="s">
        <v>56</v>
      </c>
      <c r="MG54" s="4" t="s">
        <v>55</v>
      </c>
      <c r="MH54" s="17" t="s">
        <v>56</v>
      </c>
      <c r="MI54" s="4" t="s">
        <v>55</v>
      </c>
      <c r="MJ54" s="17" t="s">
        <v>56</v>
      </c>
      <c r="MK54" s="4" t="s">
        <v>55</v>
      </c>
      <c r="ML54" s="17" t="s">
        <v>56</v>
      </c>
      <c r="MM54" s="4" t="s">
        <v>55</v>
      </c>
      <c r="MN54" s="17" t="s">
        <v>56</v>
      </c>
      <c r="MO54" s="4" t="s">
        <v>55</v>
      </c>
      <c r="MP54" s="17" t="s">
        <v>56</v>
      </c>
      <c r="MQ54" s="4" t="s">
        <v>55</v>
      </c>
      <c r="MR54" s="17" t="s">
        <v>56</v>
      </c>
      <c r="MS54" s="4" t="s">
        <v>55</v>
      </c>
      <c r="MT54" s="17" t="s">
        <v>56</v>
      </c>
      <c r="MU54" s="4" t="s">
        <v>55</v>
      </c>
      <c r="MV54" s="17" t="s">
        <v>56</v>
      </c>
      <c r="MW54" s="4" t="s">
        <v>55</v>
      </c>
      <c r="MX54" s="17" t="s">
        <v>56</v>
      </c>
      <c r="MY54" s="4" t="s">
        <v>55</v>
      </c>
      <c r="MZ54" s="17" t="s">
        <v>56</v>
      </c>
      <c r="NA54" s="4" t="s">
        <v>55</v>
      </c>
      <c r="NB54" s="10" t="s">
        <v>56</v>
      </c>
      <c r="NC54" s="10" t="s">
        <v>55</v>
      </c>
      <c r="ND54" s="10" t="s">
        <v>56</v>
      </c>
      <c r="NE54" s="10" t="s">
        <v>55</v>
      </c>
      <c r="NF54" s="10" t="s">
        <v>56</v>
      </c>
      <c r="NG54" s="10" t="s">
        <v>55</v>
      </c>
      <c r="NH54" s="10" t="s">
        <v>56</v>
      </c>
      <c r="NI54" s="10" t="s">
        <v>55</v>
      </c>
      <c r="NJ54" s="10" t="s">
        <v>56</v>
      </c>
      <c r="NK54" s="10" t="s">
        <v>55</v>
      </c>
      <c r="NL54" s="10" t="s">
        <v>56</v>
      </c>
      <c r="NM54" s="4" t="s">
        <v>55</v>
      </c>
      <c r="NN54" s="10" t="s">
        <v>56</v>
      </c>
      <c r="NO54" s="4" t="s">
        <v>55</v>
      </c>
      <c r="NP54" s="10" t="s">
        <v>56</v>
      </c>
      <c r="NQ54" s="4" t="s">
        <v>55</v>
      </c>
      <c r="NR54" s="10" t="s">
        <v>57</v>
      </c>
      <c r="NS54" s="10" t="s">
        <v>55</v>
      </c>
      <c r="NT54" s="10" t="s">
        <v>57</v>
      </c>
      <c r="NU54" s="10" t="s">
        <v>55</v>
      </c>
    </row>
    <row r="55" spans="1:385" x14ac:dyDescent="0.2">
      <c r="A55" t="s">
        <v>26</v>
      </c>
      <c r="B55" s="1" t="s">
        <v>1037</v>
      </c>
      <c r="C55" s="1" t="s">
        <v>859</v>
      </c>
      <c r="D55" s="39" cm="1">
        <f t="array" ref="D55">SUMPRODUCT((ISNUMBER(F55:NU55))*(MOD(COLUMN(F55:NU55),2)=0))</f>
        <v>21</v>
      </c>
      <c r="E55" s="1">
        <v>117.15</v>
      </c>
      <c r="F55" s="1" t="s">
        <v>54</v>
      </c>
      <c r="G55" s="1" t="s">
        <v>55</v>
      </c>
      <c r="H55" s="1" t="s">
        <v>54</v>
      </c>
      <c r="I55" s="1" t="s">
        <v>55</v>
      </c>
      <c r="J55" s="1" t="s">
        <v>54</v>
      </c>
      <c r="K55" s="1" t="s">
        <v>55</v>
      </c>
      <c r="L55" s="1" t="s">
        <v>54</v>
      </c>
      <c r="M55" s="1" t="s">
        <v>55</v>
      </c>
      <c r="N55" s="1">
        <v>2.5999999999999999E-3</v>
      </c>
      <c r="O55" s="1">
        <v>2.0000000000000001E-4</v>
      </c>
      <c r="P55" s="1" t="s">
        <v>56</v>
      </c>
      <c r="Q55" s="1" t="s">
        <v>55</v>
      </c>
      <c r="R55" s="1">
        <v>1.54E-2</v>
      </c>
      <c r="S55" s="1">
        <v>1.6999999999999999E-3</v>
      </c>
      <c r="T55" s="10" t="s">
        <v>56</v>
      </c>
      <c r="U55" s="10" t="s">
        <v>55</v>
      </c>
      <c r="V55" s="10" t="s">
        <v>56</v>
      </c>
      <c r="W55" s="10" t="s">
        <v>55</v>
      </c>
      <c r="X55" s="1" t="s">
        <v>56</v>
      </c>
      <c r="Y55" s="1" t="s">
        <v>55</v>
      </c>
      <c r="Z55" s="1" t="s">
        <v>56</v>
      </c>
      <c r="AA55" s="1" t="s">
        <v>55</v>
      </c>
      <c r="AB55" s="1">
        <v>27.58</v>
      </c>
      <c r="AC55" s="1">
        <v>2.99</v>
      </c>
      <c r="AD55" s="1">
        <v>8.25</v>
      </c>
      <c r="AE55" s="1">
        <v>0.57999999999999996</v>
      </c>
      <c r="AF55" s="11" t="s">
        <v>152</v>
      </c>
      <c r="AG55" s="11" t="s">
        <v>55</v>
      </c>
      <c r="AH55" s="11">
        <f>0.8/E55</f>
        <v>6.8288518992744348E-3</v>
      </c>
      <c r="AI55" s="11">
        <f>0.2/E55</f>
        <v>1.7072129748186087E-3</v>
      </c>
      <c r="AJ55" s="11">
        <f>59/E55</f>
        <v>0.50362782757148949</v>
      </c>
      <c r="AK55" s="11">
        <f>3/E55</f>
        <v>2.5608194622279128E-2</v>
      </c>
      <c r="AL55" s="1">
        <v>0.1</v>
      </c>
      <c r="AM55" s="1">
        <v>0.03</v>
      </c>
      <c r="AN55" s="11">
        <v>0.25</v>
      </c>
      <c r="AO55" s="11">
        <v>0.01</v>
      </c>
      <c r="AP55" s="11" t="s">
        <v>56</v>
      </c>
      <c r="AQ55" s="11" t="s">
        <v>55</v>
      </c>
      <c r="AR55" s="10">
        <f>67/E55</f>
        <v>0.57191634656423385</v>
      </c>
      <c r="AS55" s="10">
        <f>12/E55</f>
        <v>0.10243277848911651</v>
      </c>
      <c r="AT55" s="11">
        <f>19/E55</f>
        <v>0.16218523260776782</v>
      </c>
      <c r="AU55" s="11">
        <f>2/E55</f>
        <v>1.7072129748186084E-2</v>
      </c>
      <c r="AV55" s="11">
        <f>9/E55</f>
        <v>7.6824583866837381E-2</v>
      </c>
      <c r="AW55" s="11">
        <f>1/E55</f>
        <v>8.5360648740930422E-3</v>
      </c>
      <c r="AX55" s="11">
        <f>263/E55</f>
        <v>2.2449850618864704</v>
      </c>
      <c r="AY55" s="11">
        <f>17/E55</f>
        <v>0.14511310285958173</v>
      </c>
      <c r="AZ55" s="1">
        <v>2.5</v>
      </c>
      <c r="BA55" s="1">
        <v>0.1</v>
      </c>
      <c r="BB55" s="1" t="s">
        <v>91</v>
      </c>
      <c r="BC55" s="1" t="s">
        <v>55</v>
      </c>
      <c r="BD55" s="10" t="s">
        <v>56</v>
      </c>
      <c r="BE55" s="10" t="s">
        <v>55</v>
      </c>
      <c r="BF55" s="1" t="s">
        <v>56</v>
      </c>
      <c r="BG55" s="1" t="s">
        <v>55</v>
      </c>
      <c r="BH55" s="1" t="s">
        <v>56</v>
      </c>
      <c r="BI55" s="1" t="s">
        <v>55</v>
      </c>
      <c r="BJ55" s="1" t="s">
        <v>56</v>
      </c>
      <c r="BK55" s="1" t="s">
        <v>55</v>
      </c>
      <c r="BL55" s="1">
        <v>1.52</v>
      </c>
      <c r="BM55" s="1">
        <v>0.05</v>
      </c>
      <c r="BN55" s="1">
        <v>0.56000000000000005</v>
      </c>
      <c r="BO55" s="1">
        <v>0.01</v>
      </c>
      <c r="BP55" s="1">
        <v>0.16</v>
      </c>
      <c r="BQ55" s="1">
        <v>0.01</v>
      </c>
      <c r="BR55" s="11">
        <f>14/E55</f>
        <v>0.1195049082373026</v>
      </c>
      <c r="BS55" s="11">
        <f>1/E55</f>
        <v>8.5360648740930422E-3</v>
      </c>
      <c r="BT55" s="10" t="s">
        <v>56</v>
      </c>
      <c r="BU55" s="10" t="s">
        <v>55</v>
      </c>
      <c r="BV55" s="10" t="s">
        <v>56</v>
      </c>
      <c r="BW55" s="1" t="s">
        <v>55</v>
      </c>
      <c r="BX55" s="1" t="s">
        <v>91</v>
      </c>
      <c r="BY55" s="1" t="s">
        <v>55</v>
      </c>
      <c r="BZ55" s="10" t="s">
        <v>240</v>
      </c>
      <c r="CA55" s="10" t="s">
        <v>55</v>
      </c>
      <c r="CB55" s="10" t="s">
        <v>240</v>
      </c>
      <c r="CC55" s="10" t="s">
        <v>55</v>
      </c>
      <c r="CD55" s="10" t="s">
        <v>240</v>
      </c>
      <c r="CE55" s="10" t="s">
        <v>55</v>
      </c>
      <c r="CF55" s="10" t="s">
        <v>240</v>
      </c>
      <c r="CG55" s="10" t="s">
        <v>55</v>
      </c>
      <c r="CH55" s="10" t="s">
        <v>240</v>
      </c>
      <c r="CI55" s="10" t="s">
        <v>55</v>
      </c>
      <c r="CJ55" s="10">
        <f>0.7/E55</f>
        <v>5.9752454118651294E-3</v>
      </c>
      <c r="CK55" s="10">
        <f>0.1/E55</f>
        <v>8.5360648740930435E-4</v>
      </c>
      <c r="CL55" s="10" t="s">
        <v>240</v>
      </c>
      <c r="CM55" s="19" t="s">
        <v>55</v>
      </c>
      <c r="CN55" s="10" t="s">
        <v>240</v>
      </c>
      <c r="CO55" s="19" t="s">
        <v>55</v>
      </c>
      <c r="CP55" s="10" t="s">
        <v>240</v>
      </c>
      <c r="CQ55" s="19" t="s">
        <v>55</v>
      </c>
      <c r="CR55" s="19" t="s">
        <v>240</v>
      </c>
      <c r="CS55" s="19" t="s">
        <v>55</v>
      </c>
      <c r="CT55" s="19" t="s">
        <v>240</v>
      </c>
      <c r="CU55" s="19" t="s">
        <v>55</v>
      </c>
      <c r="CV55" s="19">
        <f>1.3/E55</f>
        <v>1.1096884336320955E-2</v>
      </c>
      <c r="CW55" s="19">
        <f>0.1/E55</f>
        <v>8.5360648740930435E-4</v>
      </c>
      <c r="CX55" s="19" t="s">
        <v>240</v>
      </c>
      <c r="CY55" s="10" t="s">
        <v>55</v>
      </c>
      <c r="CZ55" s="19" t="s">
        <v>240</v>
      </c>
      <c r="DA55" s="10" t="s">
        <v>55</v>
      </c>
      <c r="DB55" s="19" t="s">
        <v>240</v>
      </c>
      <c r="DC55" s="10" t="s">
        <v>55</v>
      </c>
      <c r="DD55" s="10" t="s">
        <v>56</v>
      </c>
      <c r="DE55" s="10" t="s">
        <v>55</v>
      </c>
      <c r="DF55" s="10" t="s">
        <v>56</v>
      </c>
      <c r="DG55" s="10" t="s">
        <v>55</v>
      </c>
      <c r="DH55" s="10" t="s">
        <v>56</v>
      </c>
      <c r="DI55" s="10" t="s">
        <v>55</v>
      </c>
      <c r="DJ55" s="10" t="s">
        <v>56</v>
      </c>
      <c r="DK55" s="10" t="s">
        <v>55</v>
      </c>
      <c r="DL55" s="10" t="s">
        <v>56</v>
      </c>
      <c r="DM55" s="10" t="s">
        <v>55</v>
      </c>
      <c r="DN55" s="10" t="s">
        <v>56</v>
      </c>
      <c r="DO55" s="10" t="s">
        <v>55</v>
      </c>
      <c r="DP55" s="10" t="s">
        <v>56</v>
      </c>
      <c r="DQ55" s="10" t="s">
        <v>55</v>
      </c>
      <c r="DR55" s="10" t="s">
        <v>56</v>
      </c>
      <c r="DS55" s="10" t="s">
        <v>55</v>
      </c>
      <c r="DT55" s="10" t="s">
        <v>56</v>
      </c>
      <c r="DU55" s="10" t="s">
        <v>55</v>
      </c>
      <c r="DV55" s="10" t="s">
        <v>56</v>
      </c>
      <c r="DW55" s="10" t="s">
        <v>55</v>
      </c>
      <c r="DX55" s="10" t="s">
        <v>56</v>
      </c>
      <c r="DY55" s="10" t="s">
        <v>55</v>
      </c>
      <c r="DZ55" s="10" t="s">
        <v>56</v>
      </c>
      <c r="EA55" s="10" t="s">
        <v>55</v>
      </c>
      <c r="EB55" s="10" t="s">
        <v>56</v>
      </c>
      <c r="EC55" s="10" t="s">
        <v>55</v>
      </c>
      <c r="ED55" s="10" t="s">
        <v>56</v>
      </c>
      <c r="EE55" s="10" t="s">
        <v>55</v>
      </c>
      <c r="EF55" s="10" t="s">
        <v>56</v>
      </c>
      <c r="EG55" s="10" t="s">
        <v>55</v>
      </c>
      <c r="EH55" s="10" t="s">
        <v>233</v>
      </c>
      <c r="EI55" s="10" t="s">
        <v>55</v>
      </c>
      <c r="EJ55" s="10" t="s">
        <v>233</v>
      </c>
      <c r="EK55" s="10" t="s">
        <v>55</v>
      </c>
      <c r="EL55" s="10" t="s">
        <v>233</v>
      </c>
      <c r="EM55" s="10" t="s">
        <v>55</v>
      </c>
      <c r="EN55" s="10" t="s">
        <v>56</v>
      </c>
      <c r="EO55" s="10" t="s">
        <v>55</v>
      </c>
      <c r="EP55" s="10" t="s">
        <v>56</v>
      </c>
      <c r="EQ55" s="10" t="s">
        <v>55</v>
      </c>
      <c r="ER55" s="10" t="s">
        <v>56</v>
      </c>
      <c r="ES55" s="10" t="s">
        <v>55</v>
      </c>
      <c r="ET55" s="10" t="s">
        <v>56</v>
      </c>
      <c r="EU55" s="10" t="s">
        <v>55</v>
      </c>
      <c r="EV55" s="10" t="s">
        <v>56</v>
      </c>
      <c r="EW55" s="10" t="s">
        <v>55</v>
      </c>
      <c r="EX55" s="10" t="s">
        <v>56</v>
      </c>
      <c r="EY55" s="10" t="s">
        <v>55</v>
      </c>
      <c r="EZ55" s="10" t="s">
        <v>56</v>
      </c>
      <c r="FA55" s="10" t="s">
        <v>55</v>
      </c>
      <c r="FB55" s="10" t="s">
        <v>56</v>
      </c>
      <c r="FC55" s="10" t="s">
        <v>55</v>
      </c>
      <c r="FD55" s="10" t="s">
        <v>56</v>
      </c>
      <c r="FE55" s="10" t="s">
        <v>55</v>
      </c>
      <c r="FF55" s="10" t="s">
        <v>56</v>
      </c>
      <c r="FG55" s="10" t="s">
        <v>55</v>
      </c>
      <c r="FH55" s="10" t="s">
        <v>56</v>
      </c>
      <c r="FI55" s="10" t="s">
        <v>55</v>
      </c>
      <c r="FJ55" s="10" t="s">
        <v>56</v>
      </c>
      <c r="FK55" s="10" t="s">
        <v>55</v>
      </c>
      <c r="FL55" s="10" t="s">
        <v>56</v>
      </c>
      <c r="FM55" s="10" t="s">
        <v>55</v>
      </c>
      <c r="FN55" s="10" t="s">
        <v>56</v>
      </c>
      <c r="FO55" s="10" t="s">
        <v>55</v>
      </c>
      <c r="FP55" s="10" t="s">
        <v>56</v>
      </c>
      <c r="FQ55" s="10" t="s">
        <v>55</v>
      </c>
      <c r="FR55" s="10" t="s">
        <v>56</v>
      </c>
      <c r="FS55" s="10" t="s">
        <v>55</v>
      </c>
      <c r="FT55" s="8" t="s">
        <v>157</v>
      </c>
      <c r="FU55" s="8" t="s">
        <v>55</v>
      </c>
      <c r="FV55" s="8" t="s">
        <v>157</v>
      </c>
      <c r="FW55" s="8" t="s">
        <v>55</v>
      </c>
      <c r="FX55" s="8" t="s">
        <v>157</v>
      </c>
      <c r="FY55" s="8" t="s">
        <v>55</v>
      </c>
      <c r="FZ55" s="8" t="s">
        <v>157</v>
      </c>
      <c r="GA55" s="8" t="s">
        <v>55</v>
      </c>
      <c r="GB55" s="8" t="s">
        <v>157</v>
      </c>
      <c r="GC55" s="8" t="s">
        <v>55</v>
      </c>
      <c r="GD55" s="8" t="s">
        <v>157</v>
      </c>
      <c r="GE55" s="8" t="s">
        <v>55</v>
      </c>
      <c r="GF55" s="8" t="s">
        <v>157</v>
      </c>
      <c r="GG55" s="8" t="s">
        <v>55</v>
      </c>
      <c r="GH55" s="8" t="s">
        <v>157</v>
      </c>
      <c r="GI55" s="8" t="s">
        <v>55</v>
      </c>
      <c r="GJ55" s="8" t="s">
        <v>157</v>
      </c>
      <c r="GK55" s="8" t="s">
        <v>55</v>
      </c>
      <c r="GL55" s="8" t="s">
        <v>157</v>
      </c>
      <c r="GM55" s="8" t="s">
        <v>55</v>
      </c>
      <c r="GN55" s="8" t="s">
        <v>157</v>
      </c>
      <c r="GO55" s="8" t="s">
        <v>55</v>
      </c>
      <c r="GP55" s="10" t="s">
        <v>157</v>
      </c>
      <c r="GQ55" s="10" t="s">
        <v>55</v>
      </c>
      <c r="GR55" s="10" t="s">
        <v>87</v>
      </c>
      <c r="GS55" s="10" t="s">
        <v>55</v>
      </c>
      <c r="GT55" s="10" t="s">
        <v>87</v>
      </c>
      <c r="GU55" s="10" t="s">
        <v>87</v>
      </c>
      <c r="GV55" s="10">
        <v>5.0999999999999997E-2</v>
      </c>
      <c r="GW55" s="10">
        <v>4.0000000000000001E-3</v>
      </c>
      <c r="GX55" s="10" t="s">
        <v>56</v>
      </c>
      <c r="GY55" s="10" t="s">
        <v>55</v>
      </c>
      <c r="GZ55" s="10" t="s">
        <v>56</v>
      </c>
      <c r="HA55" s="10" t="s">
        <v>55</v>
      </c>
      <c r="HB55" s="10" t="s">
        <v>56</v>
      </c>
      <c r="HC55" s="10" t="s">
        <v>55</v>
      </c>
      <c r="HD55" s="10" t="s">
        <v>56</v>
      </c>
      <c r="HE55" s="10" t="s">
        <v>55</v>
      </c>
      <c r="HF55" s="10" t="s">
        <v>56</v>
      </c>
      <c r="HG55" s="10" t="s">
        <v>55</v>
      </c>
      <c r="HH55" s="10" t="s">
        <v>56</v>
      </c>
      <c r="HI55" s="10" t="s">
        <v>55</v>
      </c>
      <c r="HJ55" s="10" t="s">
        <v>56</v>
      </c>
      <c r="HK55" s="10" t="s">
        <v>55</v>
      </c>
      <c r="HL55" s="10" t="s">
        <v>56</v>
      </c>
      <c r="HM55" s="10" t="s">
        <v>55</v>
      </c>
      <c r="HN55" s="10" t="s">
        <v>56</v>
      </c>
      <c r="HO55" s="10" t="s">
        <v>55</v>
      </c>
      <c r="HP55" s="10" t="s">
        <v>56</v>
      </c>
      <c r="HQ55" s="10" t="s">
        <v>55</v>
      </c>
      <c r="HR55" s="10" t="s">
        <v>56</v>
      </c>
      <c r="HS55" s="10" t="s">
        <v>55</v>
      </c>
      <c r="HT55" s="10" t="s">
        <v>56</v>
      </c>
      <c r="HU55" s="10" t="s">
        <v>55</v>
      </c>
      <c r="HV55" s="10" t="s">
        <v>56</v>
      </c>
      <c r="HW55" s="10" t="s">
        <v>55</v>
      </c>
      <c r="HX55" s="10" t="s">
        <v>56</v>
      </c>
      <c r="HY55" s="10" t="s">
        <v>55</v>
      </c>
      <c r="HZ55" s="10" t="s">
        <v>56</v>
      </c>
      <c r="IA55" s="10" t="s">
        <v>55</v>
      </c>
      <c r="IB55" s="10" t="s">
        <v>56</v>
      </c>
      <c r="IC55" s="10" t="s">
        <v>55</v>
      </c>
      <c r="ID55" s="1">
        <v>0.1062</v>
      </c>
      <c r="IE55" s="1">
        <v>6.3500000000000001E-2</v>
      </c>
      <c r="IF55" s="10" t="s">
        <v>372</v>
      </c>
      <c r="IG55" s="10" t="s">
        <v>55</v>
      </c>
      <c r="IH55" s="4" t="s">
        <v>56</v>
      </c>
      <c r="II55" s="4" t="s">
        <v>55</v>
      </c>
      <c r="IJ55" s="4" t="s">
        <v>56</v>
      </c>
      <c r="IK55" s="4" t="s">
        <v>55</v>
      </c>
      <c r="IL55" s="4" t="s">
        <v>56</v>
      </c>
      <c r="IM55" s="4" t="s">
        <v>55</v>
      </c>
      <c r="IN55" s="4" t="s">
        <v>56</v>
      </c>
      <c r="IO55" s="4" t="s">
        <v>55</v>
      </c>
      <c r="IP55" s="4" t="s">
        <v>56</v>
      </c>
      <c r="IQ55" s="4" t="s">
        <v>55</v>
      </c>
      <c r="IR55" s="4" t="s">
        <v>56</v>
      </c>
      <c r="IS55" s="4" t="s">
        <v>55</v>
      </c>
      <c r="IT55" s="18" t="s">
        <v>56</v>
      </c>
      <c r="IU55" s="18" t="s">
        <v>55</v>
      </c>
      <c r="IV55" s="4" t="s">
        <v>556</v>
      </c>
      <c r="IW55" s="4" t="s">
        <v>55</v>
      </c>
      <c r="IX55" s="4" t="s">
        <v>56</v>
      </c>
      <c r="IY55" s="4" t="s">
        <v>55</v>
      </c>
      <c r="IZ55" s="4" t="s">
        <v>56</v>
      </c>
      <c r="JA55" s="4" t="s">
        <v>55</v>
      </c>
      <c r="JB55" s="4" t="s">
        <v>56</v>
      </c>
      <c r="JC55" s="4" t="s">
        <v>55</v>
      </c>
      <c r="JD55" s="4" t="s">
        <v>56</v>
      </c>
      <c r="JE55" s="4" t="s">
        <v>55</v>
      </c>
      <c r="JF55" s="4" t="s">
        <v>56</v>
      </c>
      <c r="JG55" s="4" t="s">
        <v>55</v>
      </c>
      <c r="JH55" s="4" t="s">
        <v>56</v>
      </c>
      <c r="JI55" s="4" t="s">
        <v>55</v>
      </c>
      <c r="JJ55" s="4" t="s">
        <v>56</v>
      </c>
      <c r="JK55" s="4" t="s">
        <v>55</v>
      </c>
      <c r="JL55" s="4" t="s">
        <v>56</v>
      </c>
      <c r="JM55" s="4" t="s">
        <v>55</v>
      </c>
      <c r="JN55" s="4" t="s">
        <v>56</v>
      </c>
      <c r="JO55" s="4" t="s">
        <v>55</v>
      </c>
      <c r="JP55" s="4" t="s">
        <v>56</v>
      </c>
      <c r="JQ55" s="4" t="s">
        <v>55</v>
      </c>
      <c r="JR55" s="4" t="s">
        <v>56</v>
      </c>
      <c r="JS55" s="4" t="s">
        <v>55</v>
      </c>
      <c r="JT55" s="4" t="s">
        <v>56</v>
      </c>
      <c r="JU55" s="4" t="s">
        <v>55</v>
      </c>
      <c r="JV55" s="4" t="s">
        <v>56</v>
      </c>
      <c r="JW55" s="4" t="s">
        <v>55</v>
      </c>
      <c r="JX55" s="26" t="s">
        <v>56</v>
      </c>
      <c r="JY55" s="26" t="s">
        <v>55</v>
      </c>
      <c r="JZ55" s="26" t="s">
        <v>56</v>
      </c>
      <c r="KA55" s="26" t="s">
        <v>55</v>
      </c>
      <c r="KB55" s="26" t="s">
        <v>56</v>
      </c>
      <c r="KC55" s="26" t="s">
        <v>55</v>
      </c>
      <c r="KD55" s="26" t="s">
        <v>56</v>
      </c>
      <c r="KE55" s="26" t="s">
        <v>55</v>
      </c>
      <c r="KF55" s="26" t="s">
        <v>56</v>
      </c>
      <c r="KG55" s="26" t="s">
        <v>55</v>
      </c>
      <c r="KH55" s="4" t="s">
        <v>56</v>
      </c>
      <c r="KI55" s="4" t="s">
        <v>55</v>
      </c>
      <c r="KJ55" s="4" t="s">
        <v>56</v>
      </c>
      <c r="KK55" s="4" t="s">
        <v>55</v>
      </c>
      <c r="KL55" s="4" t="s">
        <v>56</v>
      </c>
      <c r="KM55" s="4" t="s">
        <v>55</v>
      </c>
      <c r="KN55" s="4" t="s">
        <v>56</v>
      </c>
      <c r="KO55" s="4" t="s">
        <v>55</v>
      </c>
      <c r="KP55" s="4" t="s">
        <v>56</v>
      </c>
      <c r="KQ55" s="4" t="s">
        <v>55</v>
      </c>
      <c r="KR55" s="17" t="s">
        <v>56</v>
      </c>
      <c r="KS55" s="17" t="s">
        <v>55</v>
      </c>
      <c r="KT55" s="17" t="s">
        <v>56</v>
      </c>
      <c r="KU55" s="17" t="s">
        <v>55</v>
      </c>
      <c r="KV55" s="4" t="s">
        <v>56</v>
      </c>
      <c r="KW55" s="4" t="s">
        <v>55</v>
      </c>
      <c r="KX55" s="4" t="s">
        <v>56</v>
      </c>
      <c r="KY55" s="4" t="s">
        <v>55</v>
      </c>
      <c r="KZ55" s="4" t="s">
        <v>56</v>
      </c>
      <c r="LA55" s="4" t="s">
        <v>55</v>
      </c>
      <c r="LB55" s="10" t="s">
        <v>56</v>
      </c>
      <c r="LC55" s="10" t="s">
        <v>55</v>
      </c>
      <c r="LD55" s="10" t="s">
        <v>56</v>
      </c>
      <c r="LE55" s="10" t="s">
        <v>55</v>
      </c>
      <c r="LF55" s="10" t="s">
        <v>56</v>
      </c>
      <c r="LG55" s="10" t="s">
        <v>55</v>
      </c>
      <c r="LH55" s="10" t="s">
        <v>56</v>
      </c>
      <c r="LI55" s="10" t="s">
        <v>55</v>
      </c>
      <c r="LJ55" s="10" t="s">
        <v>56</v>
      </c>
      <c r="LK55" s="10" t="s">
        <v>162</v>
      </c>
      <c r="LL55" s="10" t="s">
        <v>56</v>
      </c>
      <c r="LM55" s="10" t="s">
        <v>162</v>
      </c>
      <c r="LN55" s="10" t="s">
        <v>56</v>
      </c>
      <c r="LO55" s="10" t="s">
        <v>162</v>
      </c>
      <c r="LP55" s="10" t="s">
        <v>56</v>
      </c>
      <c r="LQ55" s="10" t="s">
        <v>162</v>
      </c>
      <c r="LR55" s="10" t="s">
        <v>56</v>
      </c>
      <c r="LS55" s="10" t="s">
        <v>162</v>
      </c>
      <c r="LT55" s="10" t="s">
        <v>56</v>
      </c>
      <c r="LU55" s="10" t="s">
        <v>162</v>
      </c>
      <c r="LV55" s="10" t="s">
        <v>56</v>
      </c>
      <c r="LW55" s="10" t="s">
        <v>55</v>
      </c>
      <c r="LX55" s="10" t="s">
        <v>56</v>
      </c>
      <c r="LY55" s="10" t="s">
        <v>55</v>
      </c>
      <c r="LZ55" s="10" t="s">
        <v>56</v>
      </c>
      <c r="MA55" s="10" t="s">
        <v>55</v>
      </c>
      <c r="MB55" s="10" t="s">
        <v>56</v>
      </c>
      <c r="MC55" s="10" t="s">
        <v>55</v>
      </c>
      <c r="MD55" s="17" t="s">
        <v>56</v>
      </c>
      <c r="ME55" s="4" t="s">
        <v>55</v>
      </c>
      <c r="MF55" s="17" t="s">
        <v>56</v>
      </c>
      <c r="MG55" s="4" t="s">
        <v>55</v>
      </c>
      <c r="MH55" s="17" t="s">
        <v>56</v>
      </c>
      <c r="MI55" s="4" t="s">
        <v>55</v>
      </c>
      <c r="MJ55" s="17" t="s">
        <v>56</v>
      </c>
      <c r="MK55" s="4" t="s">
        <v>55</v>
      </c>
      <c r="ML55" s="17" t="s">
        <v>56</v>
      </c>
      <c r="MM55" s="4" t="s">
        <v>55</v>
      </c>
      <c r="MN55" s="17" t="s">
        <v>56</v>
      </c>
      <c r="MO55" s="4" t="s">
        <v>55</v>
      </c>
      <c r="MP55" s="17" t="s">
        <v>56</v>
      </c>
      <c r="MQ55" s="4" t="s">
        <v>55</v>
      </c>
      <c r="MR55" s="17" t="s">
        <v>56</v>
      </c>
      <c r="MS55" s="4" t="s">
        <v>55</v>
      </c>
      <c r="MT55" s="17" t="s">
        <v>56</v>
      </c>
      <c r="MU55" s="4" t="s">
        <v>55</v>
      </c>
      <c r="MV55" s="17" t="s">
        <v>56</v>
      </c>
      <c r="MW55" s="4" t="s">
        <v>55</v>
      </c>
      <c r="MX55" s="17" t="s">
        <v>56</v>
      </c>
      <c r="MY55" s="4" t="s">
        <v>55</v>
      </c>
      <c r="MZ55" s="17" t="s">
        <v>56</v>
      </c>
      <c r="NA55" s="4" t="s">
        <v>55</v>
      </c>
      <c r="NB55" s="10" t="s">
        <v>56</v>
      </c>
      <c r="NC55" s="10" t="s">
        <v>55</v>
      </c>
      <c r="ND55" s="10" t="s">
        <v>56</v>
      </c>
      <c r="NE55" s="10" t="s">
        <v>55</v>
      </c>
      <c r="NF55" s="10" t="s">
        <v>56</v>
      </c>
      <c r="NG55" s="10" t="s">
        <v>55</v>
      </c>
      <c r="NH55" s="10" t="s">
        <v>56</v>
      </c>
      <c r="NI55" s="10" t="s">
        <v>55</v>
      </c>
      <c r="NJ55" s="10" t="s">
        <v>56</v>
      </c>
      <c r="NK55" s="10" t="s">
        <v>55</v>
      </c>
      <c r="NL55" s="10" t="s">
        <v>56</v>
      </c>
      <c r="NM55" s="4" t="s">
        <v>55</v>
      </c>
      <c r="NN55" s="10" t="s">
        <v>56</v>
      </c>
      <c r="NO55" s="4" t="s">
        <v>55</v>
      </c>
      <c r="NP55" s="10" t="s">
        <v>56</v>
      </c>
      <c r="NQ55" s="4" t="s">
        <v>55</v>
      </c>
      <c r="NR55" s="10" t="s">
        <v>57</v>
      </c>
      <c r="NS55" s="10" t="s">
        <v>55</v>
      </c>
      <c r="NT55" s="10" t="s">
        <v>57</v>
      </c>
      <c r="NU55" s="10" t="s">
        <v>55</v>
      </c>
    </row>
    <row r="56" spans="1:385" x14ac:dyDescent="0.2">
      <c r="A56" t="s">
        <v>871</v>
      </c>
      <c r="B56" s="1" t="s">
        <v>1037</v>
      </c>
      <c r="C56" s="1" t="s">
        <v>843</v>
      </c>
      <c r="D56" s="39" cm="1">
        <f t="array" ref="D56">SUMPRODUCT((ISNUMBER(F56:NU56))*(MOD(COLUMN(F56:NU56),2)=0))</f>
        <v>9</v>
      </c>
      <c r="E56" s="1">
        <v>117.15</v>
      </c>
      <c r="F56" s="10" t="s">
        <v>56</v>
      </c>
      <c r="G56" s="10" t="s">
        <v>55</v>
      </c>
      <c r="H56" s="10" t="s">
        <v>56</v>
      </c>
      <c r="I56" s="10" t="s">
        <v>55</v>
      </c>
      <c r="J56" s="10" t="s">
        <v>56</v>
      </c>
      <c r="K56" s="10" t="s">
        <v>55</v>
      </c>
      <c r="L56" s="10" t="s">
        <v>56</v>
      </c>
      <c r="M56" s="10" t="s">
        <v>55</v>
      </c>
      <c r="N56" s="10" t="s">
        <v>56</v>
      </c>
      <c r="O56" s="10" t="s">
        <v>55</v>
      </c>
      <c r="P56" s="10" t="s">
        <v>56</v>
      </c>
      <c r="Q56" s="10" t="s">
        <v>55</v>
      </c>
      <c r="R56" s="10" t="s">
        <v>56</v>
      </c>
      <c r="S56" s="10" t="s">
        <v>55</v>
      </c>
      <c r="T56" s="4">
        <v>0.09</v>
      </c>
      <c r="U56" s="4">
        <v>0.01</v>
      </c>
      <c r="V56" s="4">
        <v>8.02</v>
      </c>
      <c r="W56" s="4">
        <v>0.71</v>
      </c>
      <c r="X56" s="1" t="s">
        <v>56</v>
      </c>
      <c r="Y56" s="1" t="s">
        <v>55</v>
      </c>
      <c r="Z56" s="1" t="s">
        <v>56</v>
      </c>
      <c r="AA56" s="1" t="s">
        <v>55</v>
      </c>
      <c r="AB56" s="1" t="s">
        <v>56</v>
      </c>
      <c r="AC56" s="1" t="s">
        <v>55</v>
      </c>
      <c r="AD56" s="1" t="s">
        <v>56</v>
      </c>
      <c r="AE56" s="1" t="s">
        <v>55</v>
      </c>
      <c r="AF56" s="1" t="s">
        <v>56</v>
      </c>
      <c r="AG56" s="1" t="s">
        <v>55</v>
      </c>
      <c r="AH56" s="1" t="s">
        <v>56</v>
      </c>
      <c r="AI56" s="1" t="s">
        <v>55</v>
      </c>
      <c r="AJ56" s="1" t="s">
        <v>56</v>
      </c>
      <c r="AK56" s="1" t="s">
        <v>55</v>
      </c>
      <c r="AL56" s="1" t="s">
        <v>56</v>
      </c>
      <c r="AM56" s="1" t="s">
        <v>55</v>
      </c>
      <c r="AN56" s="1" t="s">
        <v>56</v>
      </c>
      <c r="AO56" s="1" t="s">
        <v>55</v>
      </c>
      <c r="AP56" s="1" t="s">
        <v>56</v>
      </c>
      <c r="AQ56" s="1" t="s">
        <v>55</v>
      </c>
      <c r="AR56" s="1" t="s">
        <v>56</v>
      </c>
      <c r="AS56" s="1" t="s">
        <v>55</v>
      </c>
      <c r="AT56" s="1" t="s">
        <v>56</v>
      </c>
      <c r="AU56" s="1" t="s">
        <v>55</v>
      </c>
      <c r="AV56" s="1" t="s">
        <v>56</v>
      </c>
      <c r="AW56" s="1" t="s">
        <v>55</v>
      </c>
      <c r="AX56" s="1" t="s">
        <v>56</v>
      </c>
      <c r="AY56" s="1" t="s">
        <v>55</v>
      </c>
      <c r="AZ56" s="1" t="s">
        <v>56</v>
      </c>
      <c r="BA56" s="1" t="s">
        <v>55</v>
      </c>
      <c r="BB56" s="1" t="s">
        <v>56</v>
      </c>
      <c r="BC56" s="1" t="s">
        <v>55</v>
      </c>
      <c r="BD56" s="4">
        <v>1</v>
      </c>
      <c r="BE56" s="1" t="s">
        <v>55</v>
      </c>
      <c r="BF56" s="1" t="s">
        <v>56</v>
      </c>
      <c r="BG56" s="1" t="s">
        <v>55</v>
      </c>
      <c r="BH56" s="1" t="s">
        <v>56</v>
      </c>
      <c r="BI56" s="1" t="s">
        <v>55</v>
      </c>
      <c r="BJ56" s="1" t="s">
        <v>56</v>
      </c>
      <c r="BK56" s="1" t="s">
        <v>55</v>
      </c>
      <c r="BL56" s="1" t="s">
        <v>56</v>
      </c>
      <c r="BM56" s="1" t="s">
        <v>55</v>
      </c>
      <c r="BN56" s="1" t="s">
        <v>56</v>
      </c>
      <c r="BO56" s="1" t="s">
        <v>55</v>
      </c>
      <c r="BP56" s="1" t="s">
        <v>56</v>
      </c>
      <c r="BQ56" s="1" t="s">
        <v>55</v>
      </c>
      <c r="BR56" s="1" t="s">
        <v>56</v>
      </c>
      <c r="BS56" s="1" t="s">
        <v>55</v>
      </c>
      <c r="BT56" s="4">
        <v>0.06</v>
      </c>
      <c r="BU56" s="4">
        <v>0.01</v>
      </c>
      <c r="BV56" s="4" t="s">
        <v>91</v>
      </c>
      <c r="BW56" s="1" t="s">
        <v>55</v>
      </c>
      <c r="BX56" s="10" t="s">
        <v>56</v>
      </c>
      <c r="BY56" s="10" t="s">
        <v>55</v>
      </c>
      <c r="BZ56" s="10" t="s">
        <v>56</v>
      </c>
      <c r="CA56" s="10" t="s">
        <v>55</v>
      </c>
      <c r="CB56" s="10" t="s">
        <v>56</v>
      </c>
      <c r="CC56" s="10" t="s">
        <v>55</v>
      </c>
      <c r="CD56" s="10" t="s">
        <v>56</v>
      </c>
      <c r="CE56" s="10" t="s">
        <v>55</v>
      </c>
      <c r="CF56" s="10" t="s">
        <v>56</v>
      </c>
      <c r="CG56" s="10" t="s">
        <v>55</v>
      </c>
      <c r="CH56" s="10" t="s">
        <v>56</v>
      </c>
      <c r="CI56" s="10" t="s">
        <v>55</v>
      </c>
      <c r="CJ56" s="10" t="s">
        <v>56</v>
      </c>
      <c r="CK56" s="10" t="s">
        <v>55</v>
      </c>
      <c r="CL56" s="10" t="s">
        <v>56</v>
      </c>
      <c r="CM56" s="10" t="s">
        <v>55</v>
      </c>
      <c r="CN56" s="10" t="s">
        <v>56</v>
      </c>
      <c r="CO56" s="10" t="s">
        <v>55</v>
      </c>
      <c r="CP56" s="10" t="s">
        <v>56</v>
      </c>
      <c r="CQ56" s="10" t="s">
        <v>55</v>
      </c>
      <c r="CR56" s="10" t="s">
        <v>56</v>
      </c>
      <c r="CS56" s="10" t="s">
        <v>55</v>
      </c>
      <c r="CT56" s="10" t="s">
        <v>56</v>
      </c>
      <c r="CU56" s="10" t="s">
        <v>55</v>
      </c>
      <c r="CV56" s="10" t="s">
        <v>56</v>
      </c>
      <c r="CW56" s="10" t="s">
        <v>55</v>
      </c>
      <c r="CX56" s="10" t="s">
        <v>56</v>
      </c>
      <c r="CY56" s="10" t="s">
        <v>55</v>
      </c>
      <c r="CZ56" s="10" t="s">
        <v>56</v>
      </c>
      <c r="DA56" s="10" t="s">
        <v>55</v>
      </c>
      <c r="DB56" s="10" t="s">
        <v>56</v>
      </c>
      <c r="DC56" s="10" t="s">
        <v>55</v>
      </c>
      <c r="DD56" s="10" t="s">
        <v>56</v>
      </c>
      <c r="DE56" s="10" t="s">
        <v>55</v>
      </c>
      <c r="DF56" s="10" t="s">
        <v>56</v>
      </c>
      <c r="DG56" s="10" t="s">
        <v>55</v>
      </c>
      <c r="DH56" s="10">
        <f>75/E56</f>
        <v>0.6402048655569782</v>
      </c>
      <c r="DI56" s="10">
        <f>15/E56</f>
        <v>0.12804097311139565</v>
      </c>
      <c r="DJ56" s="10">
        <f>24/E56</f>
        <v>0.20486555697823303</v>
      </c>
      <c r="DK56" s="10">
        <f>3/E56</f>
        <v>2.5608194622279128E-2</v>
      </c>
      <c r="DL56" s="10">
        <f>21/E56</f>
        <v>0.17925736235595391</v>
      </c>
      <c r="DM56" s="10">
        <f>1/E56</f>
        <v>8.5360648740930422E-3</v>
      </c>
      <c r="DN56" s="10" t="s">
        <v>240</v>
      </c>
      <c r="DO56" s="10" t="s">
        <v>55</v>
      </c>
      <c r="DP56" s="10">
        <f>4/E56</f>
        <v>3.4144259496372169E-2</v>
      </c>
      <c r="DQ56" s="10">
        <f>1/E56</f>
        <v>8.5360648740930422E-3</v>
      </c>
      <c r="DR56" s="10">
        <f>0.9/E56</f>
        <v>7.6824583866837385E-3</v>
      </c>
      <c r="DS56" s="10">
        <f>0.2/E56</f>
        <v>1.7072129748186087E-3</v>
      </c>
      <c r="DT56" s="10" t="s">
        <v>240</v>
      </c>
      <c r="DU56" s="10" t="s">
        <v>55</v>
      </c>
      <c r="DV56" s="10" t="s">
        <v>240</v>
      </c>
      <c r="DW56" s="10" t="s">
        <v>55</v>
      </c>
      <c r="DX56" s="10" t="s">
        <v>240</v>
      </c>
      <c r="DY56" s="10" t="s">
        <v>55</v>
      </c>
      <c r="DZ56" s="10" t="s">
        <v>229</v>
      </c>
      <c r="EA56" s="10" t="s">
        <v>55</v>
      </c>
      <c r="EB56" s="10" t="s">
        <v>229</v>
      </c>
      <c r="EC56" s="10" t="s">
        <v>55</v>
      </c>
      <c r="ED56" s="10" t="s">
        <v>229</v>
      </c>
      <c r="EE56" s="10" t="s">
        <v>55</v>
      </c>
      <c r="EF56" s="10" t="s">
        <v>229</v>
      </c>
      <c r="EG56" s="10" t="s">
        <v>55</v>
      </c>
      <c r="EH56" s="10" t="s">
        <v>56</v>
      </c>
      <c r="EI56" s="10" t="s">
        <v>55</v>
      </c>
      <c r="EJ56" s="10" t="s">
        <v>56</v>
      </c>
      <c r="EK56" s="10" t="s">
        <v>55</v>
      </c>
      <c r="EL56" s="10" t="s">
        <v>56</v>
      </c>
      <c r="EM56" s="10" t="s">
        <v>55</v>
      </c>
      <c r="EN56" s="10" t="s">
        <v>56</v>
      </c>
      <c r="EO56" s="10" t="s">
        <v>55</v>
      </c>
      <c r="EP56" s="10" t="s">
        <v>56</v>
      </c>
      <c r="EQ56" s="10" t="s">
        <v>55</v>
      </c>
      <c r="ER56" s="10" t="s">
        <v>56</v>
      </c>
      <c r="ES56" s="10" t="s">
        <v>55</v>
      </c>
      <c r="ET56" s="10" t="s">
        <v>56</v>
      </c>
      <c r="EU56" s="10" t="s">
        <v>55</v>
      </c>
      <c r="EV56" s="10" t="s">
        <v>56</v>
      </c>
      <c r="EW56" s="10" t="s">
        <v>55</v>
      </c>
      <c r="EX56" s="10" t="s">
        <v>56</v>
      </c>
      <c r="EY56" s="10" t="s">
        <v>55</v>
      </c>
      <c r="EZ56" s="10" t="s">
        <v>56</v>
      </c>
      <c r="FA56" s="10" t="s">
        <v>55</v>
      </c>
      <c r="FB56" s="10" t="s">
        <v>56</v>
      </c>
      <c r="FC56" s="10" t="s">
        <v>55</v>
      </c>
      <c r="FD56" s="10" t="s">
        <v>56</v>
      </c>
      <c r="FE56" s="10" t="s">
        <v>55</v>
      </c>
      <c r="FF56" s="10" t="s">
        <v>56</v>
      </c>
      <c r="FG56" s="10" t="s">
        <v>55</v>
      </c>
      <c r="FH56" s="10" t="s">
        <v>56</v>
      </c>
      <c r="FI56" s="10" t="s">
        <v>55</v>
      </c>
      <c r="FJ56" s="10" t="s">
        <v>56</v>
      </c>
      <c r="FK56" s="10" t="s">
        <v>55</v>
      </c>
      <c r="FL56" s="10" t="s">
        <v>56</v>
      </c>
      <c r="FM56" s="10" t="s">
        <v>55</v>
      </c>
      <c r="FN56" s="10" t="s">
        <v>56</v>
      </c>
      <c r="FO56" s="10" t="s">
        <v>55</v>
      </c>
      <c r="FP56" s="10" t="s">
        <v>56</v>
      </c>
      <c r="FQ56" s="10" t="s">
        <v>55</v>
      </c>
      <c r="FR56" s="10" t="s">
        <v>56</v>
      </c>
      <c r="FS56" s="10" t="s">
        <v>55</v>
      </c>
      <c r="FT56" s="10" t="s">
        <v>56</v>
      </c>
      <c r="FU56" s="10" t="s">
        <v>55</v>
      </c>
      <c r="FV56" s="10" t="s">
        <v>56</v>
      </c>
      <c r="FW56" s="10" t="s">
        <v>55</v>
      </c>
      <c r="FX56" s="10" t="s">
        <v>56</v>
      </c>
      <c r="FY56" s="10" t="s">
        <v>55</v>
      </c>
      <c r="FZ56" s="10" t="s">
        <v>56</v>
      </c>
      <c r="GA56" s="10" t="s">
        <v>55</v>
      </c>
      <c r="GB56" s="10" t="s">
        <v>56</v>
      </c>
      <c r="GC56" s="10" t="s">
        <v>55</v>
      </c>
      <c r="GD56" s="10" t="s">
        <v>56</v>
      </c>
      <c r="GE56" s="10" t="s">
        <v>55</v>
      </c>
      <c r="GF56" s="10" t="s">
        <v>56</v>
      </c>
      <c r="GG56" s="10" t="s">
        <v>55</v>
      </c>
      <c r="GH56" s="10" t="s">
        <v>56</v>
      </c>
      <c r="GI56" s="10" t="s">
        <v>55</v>
      </c>
      <c r="GJ56" s="10" t="s">
        <v>56</v>
      </c>
      <c r="GK56" s="10" t="s">
        <v>55</v>
      </c>
      <c r="GL56" s="10" t="s">
        <v>56</v>
      </c>
      <c r="GM56" s="10" t="s">
        <v>55</v>
      </c>
      <c r="GN56" s="10" t="s">
        <v>56</v>
      </c>
      <c r="GO56" s="10" t="s">
        <v>55</v>
      </c>
      <c r="GP56" s="10" t="s">
        <v>56</v>
      </c>
      <c r="GQ56" s="10" t="s">
        <v>55</v>
      </c>
      <c r="GR56" s="10" t="s">
        <v>56</v>
      </c>
      <c r="GS56" s="10" t="s">
        <v>55</v>
      </c>
      <c r="GT56" s="10" t="s">
        <v>56</v>
      </c>
      <c r="GU56" s="10" t="s">
        <v>55</v>
      </c>
      <c r="GV56" s="17" t="s">
        <v>56</v>
      </c>
      <c r="GW56" s="17" t="s">
        <v>55</v>
      </c>
      <c r="GX56" s="10" t="s">
        <v>56</v>
      </c>
      <c r="GY56" s="10" t="s">
        <v>55</v>
      </c>
      <c r="GZ56" s="10" t="s">
        <v>56</v>
      </c>
      <c r="HA56" s="10" t="s">
        <v>55</v>
      </c>
      <c r="HB56" s="10" t="s">
        <v>56</v>
      </c>
      <c r="HC56" s="10" t="s">
        <v>55</v>
      </c>
      <c r="HD56" s="10" t="s">
        <v>56</v>
      </c>
      <c r="HE56" s="10" t="s">
        <v>55</v>
      </c>
      <c r="HF56" s="10" t="s">
        <v>56</v>
      </c>
      <c r="HG56" s="10" t="s">
        <v>55</v>
      </c>
      <c r="HH56" s="10" t="s">
        <v>56</v>
      </c>
      <c r="HI56" s="10" t="s">
        <v>55</v>
      </c>
      <c r="HJ56" s="10" t="s">
        <v>56</v>
      </c>
      <c r="HK56" s="10" t="s">
        <v>55</v>
      </c>
      <c r="HL56" s="10" t="s">
        <v>56</v>
      </c>
      <c r="HM56" s="10" t="s">
        <v>55</v>
      </c>
      <c r="HN56" s="10" t="s">
        <v>56</v>
      </c>
      <c r="HO56" s="10" t="s">
        <v>55</v>
      </c>
      <c r="HP56" s="10" t="s">
        <v>56</v>
      </c>
      <c r="HQ56" s="10" t="s">
        <v>55</v>
      </c>
      <c r="HR56" s="10" t="s">
        <v>56</v>
      </c>
      <c r="HS56" s="10" t="s">
        <v>55</v>
      </c>
      <c r="HT56" s="10" t="s">
        <v>56</v>
      </c>
      <c r="HU56" s="10" t="s">
        <v>55</v>
      </c>
      <c r="HV56" s="10" t="s">
        <v>56</v>
      </c>
      <c r="HW56" s="10" t="s">
        <v>55</v>
      </c>
      <c r="HX56" s="10" t="s">
        <v>56</v>
      </c>
      <c r="HY56" s="10" t="s">
        <v>55</v>
      </c>
      <c r="HZ56" s="10" t="s">
        <v>56</v>
      </c>
      <c r="IA56" s="10" t="s">
        <v>55</v>
      </c>
      <c r="IB56" s="10" t="s">
        <v>56</v>
      </c>
      <c r="IC56" s="10" t="s">
        <v>55</v>
      </c>
      <c r="ID56" s="10" t="s">
        <v>56</v>
      </c>
      <c r="IE56" s="10" t="s">
        <v>55</v>
      </c>
      <c r="IF56" s="10" t="s">
        <v>56</v>
      </c>
      <c r="IG56" s="10" t="s">
        <v>55</v>
      </c>
      <c r="IH56" s="10" t="s">
        <v>56</v>
      </c>
      <c r="II56" s="10" t="s">
        <v>55</v>
      </c>
      <c r="IJ56" s="10" t="s">
        <v>56</v>
      </c>
      <c r="IK56" s="10" t="s">
        <v>55</v>
      </c>
      <c r="IL56" s="10" t="s">
        <v>56</v>
      </c>
      <c r="IM56" s="10" t="s">
        <v>55</v>
      </c>
      <c r="IN56" s="10" t="s">
        <v>56</v>
      </c>
      <c r="IO56" s="10" t="s">
        <v>55</v>
      </c>
      <c r="IP56" s="10" t="s">
        <v>56</v>
      </c>
      <c r="IQ56" s="10" t="s">
        <v>55</v>
      </c>
      <c r="IR56" s="10" t="s">
        <v>56</v>
      </c>
      <c r="IS56" s="10" t="s">
        <v>55</v>
      </c>
      <c r="IT56" s="10" t="s">
        <v>56</v>
      </c>
      <c r="IU56" s="10" t="s">
        <v>55</v>
      </c>
      <c r="IV56" s="10" t="s">
        <v>56</v>
      </c>
      <c r="IW56" s="10" t="s">
        <v>55</v>
      </c>
      <c r="IX56" s="10" t="s">
        <v>56</v>
      </c>
      <c r="IY56" s="10" t="s">
        <v>55</v>
      </c>
      <c r="IZ56" s="10" t="s">
        <v>56</v>
      </c>
      <c r="JA56" s="10" t="s">
        <v>55</v>
      </c>
      <c r="JB56" s="10" t="s">
        <v>56</v>
      </c>
      <c r="JC56" s="10" t="s">
        <v>55</v>
      </c>
      <c r="JD56" s="10" t="s">
        <v>56</v>
      </c>
      <c r="JE56" s="10" t="s">
        <v>55</v>
      </c>
      <c r="JF56" s="10" t="s">
        <v>56</v>
      </c>
      <c r="JG56" s="10" t="s">
        <v>55</v>
      </c>
      <c r="JH56" s="10" t="s">
        <v>56</v>
      </c>
      <c r="JI56" s="10" t="s">
        <v>55</v>
      </c>
      <c r="JJ56" s="10" t="s">
        <v>56</v>
      </c>
      <c r="JK56" s="10" t="s">
        <v>55</v>
      </c>
      <c r="JL56" s="10" t="s">
        <v>56</v>
      </c>
      <c r="JM56" s="10" t="s">
        <v>55</v>
      </c>
      <c r="JN56" s="10" t="s">
        <v>56</v>
      </c>
      <c r="JO56" s="10" t="s">
        <v>55</v>
      </c>
      <c r="JP56" s="10" t="s">
        <v>56</v>
      </c>
      <c r="JQ56" s="10" t="s">
        <v>55</v>
      </c>
      <c r="JR56" s="10" t="s">
        <v>56</v>
      </c>
      <c r="JS56" s="10" t="s">
        <v>55</v>
      </c>
      <c r="JT56" s="10" t="s">
        <v>56</v>
      </c>
      <c r="JU56" s="10" t="s">
        <v>55</v>
      </c>
      <c r="JV56" s="10" t="s">
        <v>56</v>
      </c>
      <c r="JW56" s="10" t="s">
        <v>55</v>
      </c>
      <c r="JX56" s="10" t="s">
        <v>56</v>
      </c>
      <c r="JY56" s="10" t="s">
        <v>55</v>
      </c>
      <c r="JZ56" s="10" t="s">
        <v>56</v>
      </c>
      <c r="KA56" s="10" t="s">
        <v>55</v>
      </c>
      <c r="KB56" s="10" t="s">
        <v>56</v>
      </c>
      <c r="KC56" s="10" t="s">
        <v>55</v>
      </c>
      <c r="KD56" s="10" t="s">
        <v>56</v>
      </c>
      <c r="KE56" s="10" t="s">
        <v>55</v>
      </c>
      <c r="KF56" s="10" t="s">
        <v>56</v>
      </c>
      <c r="KG56" s="10" t="s">
        <v>55</v>
      </c>
      <c r="KH56" s="10" t="s">
        <v>56</v>
      </c>
      <c r="KI56" s="10" t="s">
        <v>55</v>
      </c>
      <c r="KJ56" s="10" t="s">
        <v>56</v>
      </c>
      <c r="KK56" s="10" t="s">
        <v>55</v>
      </c>
      <c r="KL56" s="10" t="s">
        <v>56</v>
      </c>
      <c r="KM56" s="10" t="s">
        <v>55</v>
      </c>
      <c r="KN56" s="10" t="s">
        <v>56</v>
      </c>
      <c r="KO56" s="10" t="s">
        <v>55</v>
      </c>
      <c r="KP56" s="10" t="s">
        <v>56</v>
      </c>
      <c r="KQ56" s="10" t="s">
        <v>55</v>
      </c>
      <c r="KR56" s="10" t="s">
        <v>56</v>
      </c>
      <c r="KS56" s="10" t="s">
        <v>55</v>
      </c>
      <c r="KT56" s="10" t="s">
        <v>56</v>
      </c>
      <c r="KU56" s="10" t="s">
        <v>55</v>
      </c>
      <c r="KV56" s="10" t="s">
        <v>56</v>
      </c>
      <c r="KW56" s="10" t="s">
        <v>55</v>
      </c>
      <c r="KX56" s="10" t="s">
        <v>56</v>
      </c>
      <c r="KY56" s="10" t="s">
        <v>55</v>
      </c>
      <c r="KZ56" s="10" t="s">
        <v>56</v>
      </c>
      <c r="LA56" s="10" t="s">
        <v>55</v>
      </c>
      <c r="LB56" s="10" t="s">
        <v>56</v>
      </c>
      <c r="LC56" s="10" t="s">
        <v>55</v>
      </c>
      <c r="LD56" s="10" t="s">
        <v>56</v>
      </c>
      <c r="LE56" s="10" t="s">
        <v>55</v>
      </c>
      <c r="LF56" s="10" t="s">
        <v>56</v>
      </c>
      <c r="LG56" s="10" t="s">
        <v>55</v>
      </c>
      <c r="LH56" s="10" t="s">
        <v>56</v>
      </c>
      <c r="LI56" s="10" t="s">
        <v>55</v>
      </c>
      <c r="LJ56" s="10" t="s">
        <v>56</v>
      </c>
      <c r="LK56" s="10" t="s">
        <v>55</v>
      </c>
      <c r="LL56" s="10" t="s">
        <v>56</v>
      </c>
      <c r="LM56" s="10" t="s">
        <v>55</v>
      </c>
      <c r="LN56" s="10" t="s">
        <v>56</v>
      </c>
      <c r="LO56" s="10" t="s">
        <v>55</v>
      </c>
      <c r="LP56" s="10" t="s">
        <v>56</v>
      </c>
      <c r="LQ56" s="10" t="s">
        <v>55</v>
      </c>
      <c r="LR56" s="10" t="s">
        <v>56</v>
      </c>
      <c r="LS56" s="10" t="s">
        <v>55</v>
      </c>
      <c r="LT56" s="10" t="s">
        <v>56</v>
      </c>
      <c r="LU56" s="10" t="s">
        <v>55</v>
      </c>
      <c r="LV56" s="10" t="s">
        <v>56</v>
      </c>
      <c r="LW56" s="10" t="s">
        <v>55</v>
      </c>
      <c r="LX56" s="10" t="s">
        <v>56</v>
      </c>
      <c r="LY56" s="10" t="s">
        <v>55</v>
      </c>
      <c r="LZ56" s="10" t="s">
        <v>56</v>
      </c>
      <c r="MA56" s="10" t="s">
        <v>55</v>
      </c>
      <c r="MB56" s="10" t="s">
        <v>56</v>
      </c>
      <c r="MC56" s="10" t="s">
        <v>55</v>
      </c>
      <c r="MD56" s="10" t="s">
        <v>56</v>
      </c>
      <c r="ME56" s="10" t="s">
        <v>55</v>
      </c>
      <c r="MF56" s="10" t="s">
        <v>56</v>
      </c>
      <c r="MG56" s="10" t="s">
        <v>55</v>
      </c>
      <c r="MH56" s="10" t="s">
        <v>56</v>
      </c>
      <c r="MI56" s="10" t="s">
        <v>55</v>
      </c>
      <c r="MJ56" s="10" t="s">
        <v>56</v>
      </c>
      <c r="MK56" s="10" t="s">
        <v>55</v>
      </c>
      <c r="ML56" s="10" t="s">
        <v>56</v>
      </c>
      <c r="MM56" s="10" t="s">
        <v>55</v>
      </c>
      <c r="MN56" s="10" t="s">
        <v>56</v>
      </c>
      <c r="MO56" s="10" t="s">
        <v>55</v>
      </c>
      <c r="MP56" s="10" t="s">
        <v>56</v>
      </c>
      <c r="MQ56" s="10" t="s">
        <v>55</v>
      </c>
      <c r="MR56" s="10" t="s">
        <v>56</v>
      </c>
      <c r="MS56" s="10" t="s">
        <v>55</v>
      </c>
      <c r="MT56" s="10" t="s">
        <v>56</v>
      </c>
      <c r="MU56" s="10" t="s">
        <v>55</v>
      </c>
      <c r="MV56" s="10" t="s">
        <v>56</v>
      </c>
      <c r="MW56" s="10" t="s">
        <v>55</v>
      </c>
      <c r="MX56" s="10" t="s">
        <v>56</v>
      </c>
      <c r="MY56" s="10" t="s">
        <v>55</v>
      </c>
      <c r="MZ56" s="10" t="s">
        <v>56</v>
      </c>
      <c r="NA56" s="10" t="s">
        <v>55</v>
      </c>
      <c r="NB56" s="10" t="s">
        <v>56</v>
      </c>
      <c r="NC56" s="10" t="s">
        <v>55</v>
      </c>
      <c r="ND56" s="10" t="s">
        <v>56</v>
      </c>
      <c r="NE56" s="10" t="s">
        <v>55</v>
      </c>
      <c r="NF56" s="10" t="s">
        <v>56</v>
      </c>
      <c r="NG56" s="10" t="s">
        <v>55</v>
      </c>
      <c r="NH56" s="10" t="s">
        <v>56</v>
      </c>
      <c r="NI56" s="10" t="s">
        <v>55</v>
      </c>
      <c r="NJ56" s="10" t="s">
        <v>56</v>
      </c>
      <c r="NK56" s="10" t="s">
        <v>55</v>
      </c>
      <c r="NL56" s="10" t="s">
        <v>56</v>
      </c>
      <c r="NM56" s="10" t="s">
        <v>55</v>
      </c>
      <c r="NN56" s="10" t="s">
        <v>56</v>
      </c>
      <c r="NO56" s="10" t="s">
        <v>55</v>
      </c>
      <c r="NP56" s="10" t="s">
        <v>56</v>
      </c>
      <c r="NQ56" s="10" t="s">
        <v>55</v>
      </c>
      <c r="NR56" s="10" t="s">
        <v>56</v>
      </c>
      <c r="NS56" s="10" t="s">
        <v>55</v>
      </c>
      <c r="NT56" s="10" t="s">
        <v>56</v>
      </c>
      <c r="NU56" s="10" t="s">
        <v>55</v>
      </c>
    </row>
    <row r="57" spans="1:385" s="15" customFormat="1" x14ac:dyDescent="0.2">
      <c r="A57" s="15" t="s">
        <v>841</v>
      </c>
      <c r="B57" s="1" t="s">
        <v>1040</v>
      </c>
      <c r="C57" s="1" t="s">
        <v>858</v>
      </c>
      <c r="D57" s="39" cm="1">
        <f t="array" ref="D57">SUMPRODUCT((ISNUMBER(F57:NU57))*(MOD(COLUMN(F57:NU57),2)=0))</f>
        <v>6</v>
      </c>
      <c r="E57" s="1">
        <v>117.15</v>
      </c>
      <c r="F57" s="10" t="s">
        <v>56</v>
      </c>
      <c r="G57" s="10" t="s">
        <v>55</v>
      </c>
      <c r="H57" s="10" t="s">
        <v>56</v>
      </c>
      <c r="I57" s="10" t="s">
        <v>55</v>
      </c>
      <c r="J57" s="10" t="s">
        <v>56</v>
      </c>
      <c r="K57" s="10" t="s">
        <v>55</v>
      </c>
      <c r="L57" s="10" t="s">
        <v>56</v>
      </c>
      <c r="M57" s="10" t="s">
        <v>55</v>
      </c>
      <c r="N57" s="10" t="s">
        <v>56</v>
      </c>
      <c r="O57" s="10" t="s">
        <v>55</v>
      </c>
      <c r="P57" s="10" t="s">
        <v>56</v>
      </c>
      <c r="Q57" s="10" t="s">
        <v>55</v>
      </c>
      <c r="R57" s="10" t="s">
        <v>56</v>
      </c>
      <c r="S57" s="10" t="s">
        <v>55</v>
      </c>
      <c r="T57" s="10" t="s">
        <v>56</v>
      </c>
      <c r="U57" s="10" t="s">
        <v>55</v>
      </c>
      <c r="V57" s="10" t="s">
        <v>56</v>
      </c>
      <c r="W57" s="10" t="s">
        <v>55</v>
      </c>
      <c r="X57" s="10" t="s">
        <v>56</v>
      </c>
      <c r="Y57" s="10" t="s">
        <v>55</v>
      </c>
      <c r="Z57" s="10" t="s">
        <v>56</v>
      </c>
      <c r="AA57" s="10" t="s">
        <v>55</v>
      </c>
      <c r="AB57" s="10" t="s">
        <v>56</v>
      </c>
      <c r="AC57" s="10" t="s">
        <v>55</v>
      </c>
      <c r="AD57" s="10" t="s">
        <v>56</v>
      </c>
      <c r="AE57" s="10" t="s">
        <v>55</v>
      </c>
      <c r="AF57" s="10" t="s">
        <v>56</v>
      </c>
      <c r="AG57" s="10" t="s">
        <v>55</v>
      </c>
      <c r="AH57" s="10" t="s">
        <v>56</v>
      </c>
      <c r="AI57" s="10" t="s">
        <v>55</v>
      </c>
      <c r="AJ57" s="10" t="s">
        <v>56</v>
      </c>
      <c r="AK57" s="10" t="s">
        <v>55</v>
      </c>
      <c r="AL57" s="1" t="s">
        <v>56</v>
      </c>
      <c r="AM57" s="1" t="s">
        <v>55</v>
      </c>
      <c r="AN57" s="10" t="s">
        <v>56</v>
      </c>
      <c r="AO57" s="10" t="s">
        <v>55</v>
      </c>
      <c r="AP57" s="11" t="s">
        <v>56</v>
      </c>
      <c r="AQ57" s="11" t="s">
        <v>55</v>
      </c>
      <c r="AR57" s="10" t="s">
        <v>56</v>
      </c>
      <c r="AS57" s="10" t="s">
        <v>55</v>
      </c>
      <c r="AT57" s="10" t="s">
        <v>56</v>
      </c>
      <c r="AU57" s="10" t="s">
        <v>55</v>
      </c>
      <c r="AV57" s="10" t="s">
        <v>56</v>
      </c>
      <c r="AW57" s="10" t="s">
        <v>55</v>
      </c>
      <c r="AX57" s="10" t="s">
        <v>56</v>
      </c>
      <c r="AY57" s="10" t="s">
        <v>55</v>
      </c>
      <c r="AZ57" s="10" t="s">
        <v>56</v>
      </c>
      <c r="BA57" s="10" t="s">
        <v>55</v>
      </c>
      <c r="BB57" s="10" t="s">
        <v>56</v>
      </c>
      <c r="BC57" s="10" t="s">
        <v>55</v>
      </c>
      <c r="BD57" s="1" t="s">
        <v>56</v>
      </c>
      <c r="BE57" s="1" t="s">
        <v>55</v>
      </c>
      <c r="BF57" s="1" t="s">
        <v>56</v>
      </c>
      <c r="BG57" s="1" t="s">
        <v>55</v>
      </c>
      <c r="BH57" s="1" t="s">
        <v>56</v>
      </c>
      <c r="BI57" s="1" t="s">
        <v>55</v>
      </c>
      <c r="BJ57" s="1" t="s">
        <v>56</v>
      </c>
      <c r="BK57" s="1" t="s">
        <v>55</v>
      </c>
      <c r="BL57" s="1" t="s">
        <v>56</v>
      </c>
      <c r="BM57" s="1" t="s">
        <v>55</v>
      </c>
      <c r="BN57" s="1" t="s">
        <v>56</v>
      </c>
      <c r="BO57" s="1" t="s">
        <v>55</v>
      </c>
      <c r="BP57" s="1" t="s">
        <v>56</v>
      </c>
      <c r="BQ57" s="1" t="s">
        <v>55</v>
      </c>
      <c r="BR57" s="1" t="s">
        <v>56</v>
      </c>
      <c r="BS57" s="1" t="s">
        <v>55</v>
      </c>
      <c r="BT57" s="1" t="s">
        <v>56</v>
      </c>
      <c r="BU57" s="1" t="s">
        <v>55</v>
      </c>
      <c r="BV57" s="1" t="s">
        <v>56</v>
      </c>
      <c r="BW57" s="1" t="s">
        <v>55</v>
      </c>
      <c r="BX57" s="1" t="s">
        <v>56</v>
      </c>
      <c r="BY57" s="1" t="s">
        <v>55</v>
      </c>
      <c r="BZ57" s="1" t="s">
        <v>56</v>
      </c>
      <c r="CA57" s="1" t="s">
        <v>55</v>
      </c>
      <c r="CB57" s="1" t="s">
        <v>56</v>
      </c>
      <c r="CC57" s="1" t="s">
        <v>55</v>
      </c>
      <c r="CD57" s="1" t="s">
        <v>56</v>
      </c>
      <c r="CE57" s="1" t="s">
        <v>55</v>
      </c>
      <c r="CF57" s="1" t="s">
        <v>56</v>
      </c>
      <c r="CG57" s="1" t="s">
        <v>55</v>
      </c>
      <c r="CH57" s="1" t="s">
        <v>56</v>
      </c>
      <c r="CI57" s="1" t="s">
        <v>55</v>
      </c>
      <c r="CJ57" s="1" t="s">
        <v>56</v>
      </c>
      <c r="CK57" s="1" t="s">
        <v>55</v>
      </c>
      <c r="CL57" s="1" t="s">
        <v>56</v>
      </c>
      <c r="CM57" s="1" t="s">
        <v>55</v>
      </c>
      <c r="CN57" s="1" t="s">
        <v>56</v>
      </c>
      <c r="CO57" s="1" t="s">
        <v>55</v>
      </c>
      <c r="CP57" s="1" t="s">
        <v>56</v>
      </c>
      <c r="CQ57" s="1" t="s">
        <v>55</v>
      </c>
      <c r="CR57" s="1" t="s">
        <v>56</v>
      </c>
      <c r="CS57" s="1" t="s">
        <v>55</v>
      </c>
      <c r="CT57" s="1" t="s">
        <v>56</v>
      </c>
      <c r="CU57" s="1" t="s">
        <v>55</v>
      </c>
      <c r="CV57" s="1" t="s">
        <v>56</v>
      </c>
      <c r="CW57" s="1" t="s">
        <v>55</v>
      </c>
      <c r="CX57" s="1" t="s">
        <v>56</v>
      </c>
      <c r="CY57" s="1" t="s">
        <v>55</v>
      </c>
      <c r="CZ57" s="1" t="s">
        <v>56</v>
      </c>
      <c r="DA57" s="1" t="s">
        <v>55</v>
      </c>
      <c r="DB57" s="1" t="s">
        <v>56</v>
      </c>
      <c r="DC57" s="1" t="s">
        <v>55</v>
      </c>
      <c r="DD57" s="10" t="s">
        <v>56</v>
      </c>
      <c r="DE57" s="10" t="s">
        <v>55</v>
      </c>
      <c r="DF57" s="10" t="s">
        <v>56</v>
      </c>
      <c r="DG57" s="10" t="s">
        <v>55</v>
      </c>
      <c r="DH57" s="10">
        <f>36/E57</f>
        <v>0.30729833546734953</v>
      </c>
      <c r="DI57" s="10">
        <f>3/E57</f>
        <v>2.5608194622279128E-2</v>
      </c>
      <c r="DJ57" s="10">
        <f>51/E57</f>
        <v>0.4353393085787452</v>
      </c>
      <c r="DK57" s="10">
        <f>4/E57</f>
        <v>3.4144259496372169E-2</v>
      </c>
      <c r="DL57" s="10">
        <f>48/E57</f>
        <v>0.40973111395646605</v>
      </c>
      <c r="DM57" s="10">
        <f>5/E57</f>
        <v>4.2680324370465213E-2</v>
      </c>
      <c r="DN57" s="10" t="s">
        <v>240</v>
      </c>
      <c r="DO57" s="10" t="s">
        <v>55</v>
      </c>
      <c r="DP57" s="10">
        <f>5/E57</f>
        <v>4.2680324370465213E-2</v>
      </c>
      <c r="DQ57" s="10">
        <f>1/E57</f>
        <v>8.5360648740930422E-3</v>
      </c>
      <c r="DR57" s="10">
        <f>0.8/E57</f>
        <v>6.8288518992744348E-3</v>
      </c>
      <c r="DS57" s="10">
        <f>0.2/E57</f>
        <v>1.7072129748186087E-3</v>
      </c>
      <c r="DT57" s="10" t="s">
        <v>56</v>
      </c>
      <c r="DU57" s="10" t="s">
        <v>55</v>
      </c>
      <c r="DV57" s="10" t="s">
        <v>56</v>
      </c>
      <c r="DW57" s="10" t="s">
        <v>55</v>
      </c>
      <c r="DX57" s="10" t="s">
        <v>56</v>
      </c>
      <c r="DY57" s="10" t="s">
        <v>55</v>
      </c>
      <c r="DZ57" s="10" t="s">
        <v>56</v>
      </c>
      <c r="EA57" s="10" t="s">
        <v>55</v>
      </c>
      <c r="EB57" s="10" t="s">
        <v>56</v>
      </c>
      <c r="EC57" s="10" t="s">
        <v>55</v>
      </c>
      <c r="ED57" s="10" t="s">
        <v>56</v>
      </c>
      <c r="EE57" s="10" t="s">
        <v>55</v>
      </c>
      <c r="EF57" s="10" t="s">
        <v>56</v>
      </c>
      <c r="EG57" s="10" t="s">
        <v>55</v>
      </c>
      <c r="EH57" s="10" t="s">
        <v>56</v>
      </c>
      <c r="EI57" s="10" t="s">
        <v>55</v>
      </c>
      <c r="EJ57" s="10" t="s">
        <v>56</v>
      </c>
      <c r="EK57" s="10" t="s">
        <v>55</v>
      </c>
      <c r="EL57" s="10" t="s">
        <v>56</v>
      </c>
      <c r="EM57" s="10" t="s">
        <v>55</v>
      </c>
      <c r="EN57" s="10" t="s">
        <v>56</v>
      </c>
      <c r="EO57" s="10" t="s">
        <v>55</v>
      </c>
      <c r="EP57" s="10" t="s">
        <v>56</v>
      </c>
      <c r="EQ57" s="10" t="s">
        <v>55</v>
      </c>
      <c r="ER57" s="10" t="s">
        <v>56</v>
      </c>
      <c r="ES57" s="10" t="s">
        <v>55</v>
      </c>
      <c r="ET57" s="10" t="s">
        <v>56</v>
      </c>
      <c r="EU57" s="10" t="s">
        <v>55</v>
      </c>
      <c r="EV57" s="10" t="s">
        <v>56</v>
      </c>
      <c r="EW57" s="10" t="s">
        <v>55</v>
      </c>
      <c r="EX57" s="10" t="s">
        <v>56</v>
      </c>
      <c r="EY57" s="10" t="s">
        <v>55</v>
      </c>
      <c r="EZ57" s="10" t="s">
        <v>56</v>
      </c>
      <c r="FA57" s="10" t="s">
        <v>55</v>
      </c>
      <c r="FB57" s="10" t="s">
        <v>56</v>
      </c>
      <c r="FC57" s="10" t="s">
        <v>55</v>
      </c>
      <c r="FD57" s="10" t="s">
        <v>56</v>
      </c>
      <c r="FE57" s="10" t="s">
        <v>55</v>
      </c>
      <c r="FF57" s="10" t="s">
        <v>56</v>
      </c>
      <c r="FG57" s="10" t="s">
        <v>55</v>
      </c>
      <c r="FH57" s="10" t="s">
        <v>56</v>
      </c>
      <c r="FI57" s="10" t="s">
        <v>55</v>
      </c>
      <c r="FJ57" s="10" t="s">
        <v>56</v>
      </c>
      <c r="FK57" s="10" t="s">
        <v>55</v>
      </c>
      <c r="FL57" s="10" t="s">
        <v>56</v>
      </c>
      <c r="FM57" s="10" t="s">
        <v>55</v>
      </c>
      <c r="FN57" s="10" t="s">
        <v>56</v>
      </c>
      <c r="FO57" s="10" t="s">
        <v>55</v>
      </c>
      <c r="FP57" s="10" t="s">
        <v>56</v>
      </c>
      <c r="FQ57" s="10" t="s">
        <v>55</v>
      </c>
      <c r="FR57" s="10" t="s">
        <v>56</v>
      </c>
      <c r="FS57" s="10" t="s">
        <v>55</v>
      </c>
      <c r="FT57" s="10" t="s">
        <v>56</v>
      </c>
      <c r="FU57" s="10" t="s">
        <v>55</v>
      </c>
      <c r="FV57" s="10" t="s">
        <v>56</v>
      </c>
      <c r="FW57" s="10" t="s">
        <v>55</v>
      </c>
      <c r="FX57" s="10" t="s">
        <v>56</v>
      </c>
      <c r="FY57" s="10" t="s">
        <v>55</v>
      </c>
      <c r="FZ57" s="10" t="s">
        <v>56</v>
      </c>
      <c r="GA57" s="10" t="s">
        <v>55</v>
      </c>
      <c r="GB57" s="10" t="s">
        <v>56</v>
      </c>
      <c r="GC57" s="10" t="s">
        <v>55</v>
      </c>
      <c r="GD57" s="10" t="s">
        <v>56</v>
      </c>
      <c r="GE57" s="10" t="s">
        <v>55</v>
      </c>
      <c r="GF57" s="10" t="s">
        <v>56</v>
      </c>
      <c r="GG57" s="10" t="s">
        <v>55</v>
      </c>
      <c r="GH57" s="10" t="s">
        <v>56</v>
      </c>
      <c r="GI57" s="10" t="s">
        <v>55</v>
      </c>
      <c r="GJ57" s="10" t="s">
        <v>56</v>
      </c>
      <c r="GK57" s="10" t="s">
        <v>55</v>
      </c>
      <c r="GL57" s="10" t="s">
        <v>56</v>
      </c>
      <c r="GM57" s="10" t="s">
        <v>55</v>
      </c>
      <c r="GN57" s="10" t="s">
        <v>56</v>
      </c>
      <c r="GO57" s="10" t="s">
        <v>55</v>
      </c>
      <c r="GP57" s="10" t="s">
        <v>56</v>
      </c>
      <c r="GQ57" s="10" t="s">
        <v>55</v>
      </c>
      <c r="GR57" s="10" t="s">
        <v>89</v>
      </c>
      <c r="GS57" s="10" t="s">
        <v>55</v>
      </c>
      <c r="GT57" s="10" t="s">
        <v>511</v>
      </c>
      <c r="GU57" s="10" t="s">
        <v>55</v>
      </c>
      <c r="GV57" s="10">
        <v>7.3999999999999996E-2</v>
      </c>
      <c r="GW57" s="10">
        <v>3.0000000000000001E-3</v>
      </c>
      <c r="GX57" s="10" t="s">
        <v>56</v>
      </c>
      <c r="GY57" s="10" t="s">
        <v>55</v>
      </c>
      <c r="GZ57" s="10" t="s">
        <v>56</v>
      </c>
      <c r="HA57" s="10" t="s">
        <v>55</v>
      </c>
      <c r="HB57" s="10" t="s">
        <v>56</v>
      </c>
      <c r="HC57" s="10" t="s">
        <v>55</v>
      </c>
      <c r="HD57" s="10" t="s">
        <v>56</v>
      </c>
      <c r="HE57" s="10" t="s">
        <v>55</v>
      </c>
      <c r="HF57" s="10" t="s">
        <v>56</v>
      </c>
      <c r="HG57" s="10" t="s">
        <v>55</v>
      </c>
      <c r="HH57" s="10" t="s">
        <v>56</v>
      </c>
      <c r="HI57" s="10" t="s">
        <v>55</v>
      </c>
      <c r="HJ57" s="10" t="s">
        <v>56</v>
      </c>
      <c r="HK57" s="10" t="s">
        <v>55</v>
      </c>
      <c r="HL57" s="10" t="s">
        <v>56</v>
      </c>
      <c r="HM57" s="10" t="s">
        <v>55</v>
      </c>
      <c r="HN57" s="10" t="s">
        <v>56</v>
      </c>
      <c r="HO57" s="10" t="s">
        <v>55</v>
      </c>
      <c r="HP57" s="10" t="s">
        <v>56</v>
      </c>
      <c r="HQ57" s="10" t="s">
        <v>55</v>
      </c>
      <c r="HR57" s="10" t="s">
        <v>56</v>
      </c>
      <c r="HS57" s="10" t="s">
        <v>55</v>
      </c>
      <c r="HT57" s="10" t="s">
        <v>56</v>
      </c>
      <c r="HU57" s="10" t="s">
        <v>55</v>
      </c>
      <c r="HV57" s="10" t="s">
        <v>56</v>
      </c>
      <c r="HW57" s="10" t="s">
        <v>55</v>
      </c>
      <c r="HX57" s="10" t="s">
        <v>56</v>
      </c>
      <c r="HY57" s="10" t="s">
        <v>55</v>
      </c>
      <c r="HZ57" s="10" t="s">
        <v>56</v>
      </c>
      <c r="IA57" s="10" t="s">
        <v>55</v>
      </c>
      <c r="IB57" s="10" t="s">
        <v>56</v>
      </c>
      <c r="IC57" s="10" t="s">
        <v>55</v>
      </c>
      <c r="ID57" s="4" t="s">
        <v>56</v>
      </c>
      <c r="IE57" s="4" t="s">
        <v>55</v>
      </c>
      <c r="IF57" s="4" t="s">
        <v>56</v>
      </c>
      <c r="IG57" s="4" t="s">
        <v>55</v>
      </c>
      <c r="IH57" s="4" t="s">
        <v>56</v>
      </c>
      <c r="II57" s="4" t="s">
        <v>55</v>
      </c>
      <c r="IJ57" s="4" t="s">
        <v>56</v>
      </c>
      <c r="IK57" s="4" t="s">
        <v>55</v>
      </c>
      <c r="IL57" s="4" t="s">
        <v>56</v>
      </c>
      <c r="IM57" s="4" t="s">
        <v>55</v>
      </c>
      <c r="IN57" s="4" t="s">
        <v>56</v>
      </c>
      <c r="IO57" s="4" t="s">
        <v>55</v>
      </c>
      <c r="IP57" s="4" t="s">
        <v>56</v>
      </c>
      <c r="IQ57" s="4" t="s">
        <v>55</v>
      </c>
      <c r="IR57" s="4" t="s">
        <v>56</v>
      </c>
      <c r="IS57" s="4" t="s">
        <v>55</v>
      </c>
      <c r="IT57" s="18" t="s">
        <v>56</v>
      </c>
      <c r="IU57" s="18" t="s">
        <v>55</v>
      </c>
      <c r="IV57" s="4" t="s">
        <v>556</v>
      </c>
      <c r="IW57" s="4" t="s">
        <v>55</v>
      </c>
      <c r="IX57" s="4" t="s">
        <v>56</v>
      </c>
      <c r="IY57" s="4" t="s">
        <v>55</v>
      </c>
      <c r="IZ57" s="4" t="s">
        <v>56</v>
      </c>
      <c r="JA57" s="4" t="s">
        <v>55</v>
      </c>
      <c r="JB57" s="4" t="s">
        <v>56</v>
      </c>
      <c r="JC57" s="4" t="s">
        <v>55</v>
      </c>
      <c r="JD57" s="4" t="s">
        <v>56</v>
      </c>
      <c r="JE57" s="4" t="s">
        <v>55</v>
      </c>
      <c r="JF57" s="4" t="s">
        <v>56</v>
      </c>
      <c r="JG57" s="4" t="s">
        <v>55</v>
      </c>
      <c r="JH57" s="4" t="s">
        <v>56</v>
      </c>
      <c r="JI57" s="4" t="s">
        <v>55</v>
      </c>
      <c r="JJ57" s="4" t="s">
        <v>56</v>
      </c>
      <c r="JK57" s="4" t="s">
        <v>55</v>
      </c>
      <c r="JL57" s="4" t="s">
        <v>56</v>
      </c>
      <c r="JM57" s="4" t="s">
        <v>55</v>
      </c>
      <c r="JN57" s="4" t="s">
        <v>56</v>
      </c>
      <c r="JO57" s="4" t="s">
        <v>55</v>
      </c>
      <c r="JP57" s="4" t="s">
        <v>56</v>
      </c>
      <c r="JQ57" s="4" t="s">
        <v>55</v>
      </c>
      <c r="JR57" s="4" t="s">
        <v>56</v>
      </c>
      <c r="JS57" s="4" t="s">
        <v>55</v>
      </c>
      <c r="JT57" s="4" t="s">
        <v>56</v>
      </c>
      <c r="JU57" s="4" t="s">
        <v>55</v>
      </c>
      <c r="JV57" s="4" t="s">
        <v>56</v>
      </c>
      <c r="JW57" s="4" t="s">
        <v>55</v>
      </c>
      <c r="JX57" s="26" t="s">
        <v>56</v>
      </c>
      <c r="JY57" s="26" t="s">
        <v>55</v>
      </c>
      <c r="JZ57" s="26" t="s">
        <v>56</v>
      </c>
      <c r="KA57" s="26" t="s">
        <v>55</v>
      </c>
      <c r="KB57" s="26" t="s">
        <v>56</v>
      </c>
      <c r="KC57" s="26" t="s">
        <v>55</v>
      </c>
      <c r="KD57" s="26" t="s">
        <v>56</v>
      </c>
      <c r="KE57" s="26" t="s">
        <v>55</v>
      </c>
      <c r="KF57" s="26" t="s">
        <v>56</v>
      </c>
      <c r="KG57" s="26" t="s">
        <v>55</v>
      </c>
      <c r="KH57" s="4" t="s">
        <v>56</v>
      </c>
      <c r="KI57" s="4" t="s">
        <v>55</v>
      </c>
      <c r="KJ57" s="4" t="s">
        <v>56</v>
      </c>
      <c r="KK57" s="4" t="s">
        <v>55</v>
      </c>
      <c r="KL57" s="4" t="s">
        <v>56</v>
      </c>
      <c r="KM57" s="4" t="s">
        <v>55</v>
      </c>
      <c r="KN57" s="4" t="s">
        <v>56</v>
      </c>
      <c r="KO57" s="4" t="s">
        <v>55</v>
      </c>
      <c r="KP57" s="4" t="s">
        <v>56</v>
      </c>
      <c r="KQ57" s="4" t="s">
        <v>55</v>
      </c>
      <c r="KR57" s="17" t="s">
        <v>56</v>
      </c>
      <c r="KS57" s="17" t="s">
        <v>55</v>
      </c>
      <c r="KT57" s="17" t="s">
        <v>56</v>
      </c>
      <c r="KU57" s="17" t="s">
        <v>55</v>
      </c>
      <c r="KV57" s="4" t="s">
        <v>56</v>
      </c>
      <c r="KW57" s="4" t="s">
        <v>55</v>
      </c>
      <c r="KX57" s="4" t="s">
        <v>56</v>
      </c>
      <c r="KY57" s="4" t="s">
        <v>55</v>
      </c>
      <c r="KZ57" s="4" t="s">
        <v>56</v>
      </c>
      <c r="LA57" s="4" t="s">
        <v>55</v>
      </c>
      <c r="LB57" s="10" t="s">
        <v>56</v>
      </c>
      <c r="LC57" s="10" t="s">
        <v>55</v>
      </c>
      <c r="LD57" s="10" t="s">
        <v>56</v>
      </c>
      <c r="LE57" s="10" t="s">
        <v>55</v>
      </c>
      <c r="LF57" s="10" t="s">
        <v>56</v>
      </c>
      <c r="LG57" s="10" t="s">
        <v>55</v>
      </c>
      <c r="LH57" s="10" t="s">
        <v>56</v>
      </c>
      <c r="LI57" s="10" t="s">
        <v>55</v>
      </c>
      <c r="LJ57" s="10" t="s">
        <v>56</v>
      </c>
      <c r="LK57" s="10" t="s">
        <v>162</v>
      </c>
      <c r="LL57" s="10" t="s">
        <v>56</v>
      </c>
      <c r="LM57" s="10" t="s">
        <v>162</v>
      </c>
      <c r="LN57" s="10" t="s">
        <v>56</v>
      </c>
      <c r="LO57" s="10" t="s">
        <v>162</v>
      </c>
      <c r="LP57" s="10" t="s">
        <v>56</v>
      </c>
      <c r="LQ57" s="10" t="s">
        <v>162</v>
      </c>
      <c r="LR57" s="10" t="s">
        <v>56</v>
      </c>
      <c r="LS57" s="10" t="s">
        <v>162</v>
      </c>
      <c r="LT57" s="10" t="s">
        <v>56</v>
      </c>
      <c r="LU57" s="10" t="s">
        <v>162</v>
      </c>
      <c r="LV57" s="10" t="s">
        <v>56</v>
      </c>
      <c r="LW57" s="10" t="s">
        <v>55</v>
      </c>
      <c r="LX57" s="10" t="s">
        <v>56</v>
      </c>
      <c r="LY57" s="10" t="s">
        <v>55</v>
      </c>
      <c r="LZ57" s="10" t="s">
        <v>56</v>
      </c>
      <c r="MA57" s="10" t="s">
        <v>55</v>
      </c>
      <c r="MB57" s="10" t="s">
        <v>56</v>
      </c>
      <c r="MC57" s="10" t="s">
        <v>55</v>
      </c>
      <c r="MD57" s="17" t="s">
        <v>56</v>
      </c>
      <c r="ME57" s="4" t="s">
        <v>55</v>
      </c>
      <c r="MF57" s="17" t="s">
        <v>56</v>
      </c>
      <c r="MG57" s="4" t="s">
        <v>55</v>
      </c>
      <c r="MH57" s="17" t="s">
        <v>56</v>
      </c>
      <c r="MI57" s="4" t="s">
        <v>55</v>
      </c>
      <c r="MJ57" s="17" t="s">
        <v>56</v>
      </c>
      <c r="MK57" s="4" t="s">
        <v>55</v>
      </c>
      <c r="ML57" s="17" t="s">
        <v>56</v>
      </c>
      <c r="MM57" s="4" t="s">
        <v>55</v>
      </c>
      <c r="MN57" s="17" t="s">
        <v>56</v>
      </c>
      <c r="MO57" s="4" t="s">
        <v>55</v>
      </c>
      <c r="MP57" s="17" t="s">
        <v>56</v>
      </c>
      <c r="MQ57" s="4" t="s">
        <v>55</v>
      </c>
      <c r="MR57" s="17" t="s">
        <v>56</v>
      </c>
      <c r="MS57" s="4" t="s">
        <v>55</v>
      </c>
      <c r="MT57" s="17" t="s">
        <v>56</v>
      </c>
      <c r="MU57" s="4" t="s">
        <v>55</v>
      </c>
      <c r="MV57" s="17" t="s">
        <v>56</v>
      </c>
      <c r="MW57" s="4" t="s">
        <v>55</v>
      </c>
      <c r="MX57" s="17" t="s">
        <v>56</v>
      </c>
      <c r="MY57" s="4" t="s">
        <v>55</v>
      </c>
      <c r="MZ57" s="17" t="s">
        <v>56</v>
      </c>
      <c r="NA57" s="4" t="s">
        <v>55</v>
      </c>
      <c r="NB57" s="10" t="s">
        <v>56</v>
      </c>
      <c r="NC57" s="10" t="s">
        <v>55</v>
      </c>
      <c r="ND57" s="10" t="s">
        <v>56</v>
      </c>
      <c r="NE57" s="10" t="s">
        <v>55</v>
      </c>
      <c r="NF57" s="10" t="s">
        <v>56</v>
      </c>
      <c r="NG57" s="10" t="s">
        <v>55</v>
      </c>
      <c r="NH57" s="10" t="s">
        <v>56</v>
      </c>
      <c r="NI57" s="10" t="s">
        <v>55</v>
      </c>
      <c r="NJ57" s="10" t="s">
        <v>56</v>
      </c>
      <c r="NK57" s="10" t="s">
        <v>55</v>
      </c>
      <c r="NL57" s="10" t="s">
        <v>56</v>
      </c>
      <c r="NM57" s="4" t="s">
        <v>55</v>
      </c>
      <c r="NN57" s="10" t="s">
        <v>56</v>
      </c>
      <c r="NO57" s="4" t="s">
        <v>55</v>
      </c>
      <c r="NP57" s="10" t="s">
        <v>56</v>
      </c>
      <c r="NQ57" s="4" t="s">
        <v>55</v>
      </c>
      <c r="NR57" s="10" t="s">
        <v>56</v>
      </c>
      <c r="NS57" s="10" t="s">
        <v>55</v>
      </c>
      <c r="NT57" s="10" t="s">
        <v>56</v>
      </c>
      <c r="NU57" s="10" t="s">
        <v>55</v>
      </c>
    </row>
    <row r="58" spans="1:385" s="15" customFormat="1" x14ac:dyDescent="0.2">
      <c r="A58" s="15" t="s">
        <v>842</v>
      </c>
      <c r="B58" s="1" t="s">
        <v>1040</v>
      </c>
      <c r="C58" s="1" t="s">
        <v>859</v>
      </c>
      <c r="D58" s="39" cm="1">
        <f t="array" ref="D58">SUMPRODUCT((ISNUMBER(F58:NU58))*(MOD(COLUMN(F58:NU58),2)=0))</f>
        <v>6</v>
      </c>
      <c r="E58" s="1">
        <v>117.15</v>
      </c>
      <c r="F58" s="10" t="s">
        <v>56</v>
      </c>
      <c r="G58" s="10" t="s">
        <v>55</v>
      </c>
      <c r="H58" s="10" t="s">
        <v>56</v>
      </c>
      <c r="I58" s="10" t="s">
        <v>55</v>
      </c>
      <c r="J58" s="10" t="s">
        <v>56</v>
      </c>
      <c r="K58" s="10" t="s">
        <v>55</v>
      </c>
      <c r="L58" s="10" t="s">
        <v>56</v>
      </c>
      <c r="M58" s="10" t="s">
        <v>55</v>
      </c>
      <c r="N58" s="10" t="s">
        <v>56</v>
      </c>
      <c r="O58" s="10" t="s">
        <v>55</v>
      </c>
      <c r="P58" s="10" t="s">
        <v>56</v>
      </c>
      <c r="Q58" s="10" t="s">
        <v>55</v>
      </c>
      <c r="R58" s="10" t="s">
        <v>56</v>
      </c>
      <c r="S58" s="10" t="s">
        <v>55</v>
      </c>
      <c r="T58" s="10" t="s">
        <v>56</v>
      </c>
      <c r="U58" s="10" t="s">
        <v>55</v>
      </c>
      <c r="V58" s="10" t="s">
        <v>56</v>
      </c>
      <c r="W58" s="10" t="s">
        <v>55</v>
      </c>
      <c r="X58" s="10" t="s">
        <v>56</v>
      </c>
      <c r="Y58" s="10" t="s">
        <v>55</v>
      </c>
      <c r="Z58" s="10" t="s">
        <v>56</v>
      </c>
      <c r="AA58" s="10" t="s">
        <v>55</v>
      </c>
      <c r="AB58" s="10" t="s">
        <v>56</v>
      </c>
      <c r="AC58" s="10" t="s">
        <v>55</v>
      </c>
      <c r="AD58" s="10" t="s">
        <v>56</v>
      </c>
      <c r="AE58" s="10" t="s">
        <v>55</v>
      </c>
      <c r="AF58" s="10" t="s">
        <v>56</v>
      </c>
      <c r="AG58" s="10" t="s">
        <v>55</v>
      </c>
      <c r="AH58" s="10" t="s">
        <v>56</v>
      </c>
      <c r="AI58" s="10" t="s">
        <v>55</v>
      </c>
      <c r="AJ58" s="10" t="s">
        <v>56</v>
      </c>
      <c r="AK58" s="10" t="s">
        <v>55</v>
      </c>
      <c r="AL58" s="1" t="s">
        <v>56</v>
      </c>
      <c r="AM58" s="1" t="s">
        <v>55</v>
      </c>
      <c r="AN58" s="10" t="s">
        <v>56</v>
      </c>
      <c r="AO58" s="10" t="s">
        <v>55</v>
      </c>
      <c r="AP58" s="11" t="s">
        <v>56</v>
      </c>
      <c r="AQ58" s="11" t="s">
        <v>55</v>
      </c>
      <c r="AR58" s="10" t="s">
        <v>56</v>
      </c>
      <c r="AS58" s="10" t="s">
        <v>55</v>
      </c>
      <c r="AT58" s="10" t="s">
        <v>56</v>
      </c>
      <c r="AU58" s="10" t="s">
        <v>55</v>
      </c>
      <c r="AV58" s="10" t="s">
        <v>56</v>
      </c>
      <c r="AW58" s="10" t="s">
        <v>55</v>
      </c>
      <c r="AX58" s="10" t="s">
        <v>56</v>
      </c>
      <c r="AY58" s="10" t="s">
        <v>55</v>
      </c>
      <c r="AZ58" s="10" t="s">
        <v>56</v>
      </c>
      <c r="BA58" s="10" t="s">
        <v>55</v>
      </c>
      <c r="BB58" s="10" t="s">
        <v>56</v>
      </c>
      <c r="BC58" s="10" t="s">
        <v>55</v>
      </c>
      <c r="BD58" s="1" t="s">
        <v>56</v>
      </c>
      <c r="BE58" s="1" t="s">
        <v>55</v>
      </c>
      <c r="BF58" s="1" t="s">
        <v>56</v>
      </c>
      <c r="BG58" s="1" t="s">
        <v>55</v>
      </c>
      <c r="BH58" s="1" t="s">
        <v>56</v>
      </c>
      <c r="BI58" s="1" t="s">
        <v>55</v>
      </c>
      <c r="BJ58" s="1" t="s">
        <v>56</v>
      </c>
      <c r="BK58" s="1" t="s">
        <v>55</v>
      </c>
      <c r="BL58" s="1" t="s">
        <v>56</v>
      </c>
      <c r="BM58" s="1" t="s">
        <v>55</v>
      </c>
      <c r="BN58" s="1" t="s">
        <v>56</v>
      </c>
      <c r="BO58" s="1" t="s">
        <v>55</v>
      </c>
      <c r="BP58" s="1" t="s">
        <v>56</v>
      </c>
      <c r="BQ58" s="1" t="s">
        <v>55</v>
      </c>
      <c r="BR58" s="1" t="s">
        <v>56</v>
      </c>
      <c r="BS58" s="1" t="s">
        <v>55</v>
      </c>
      <c r="BT58" s="1" t="s">
        <v>56</v>
      </c>
      <c r="BU58" s="1" t="s">
        <v>55</v>
      </c>
      <c r="BV58" s="1" t="s">
        <v>56</v>
      </c>
      <c r="BW58" s="1" t="s">
        <v>55</v>
      </c>
      <c r="BX58" s="1" t="s">
        <v>56</v>
      </c>
      <c r="BY58" s="1" t="s">
        <v>55</v>
      </c>
      <c r="BZ58" s="1" t="s">
        <v>56</v>
      </c>
      <c r="CA58" s="1" t="s">
        <v>55</v>
      </c>
      <c r="CB58" s="1" t="s">
        <v>56</v>
      </c>
      <c r="CC58" s="1" t="s">
        <v>55</v>
      </c>
      <c r="CD58" s="1" t="s">
        <v>56</v>
      </c>
      <c r="CE58" s="1" t="s">
        <v>55</v>
      </c>
      <c r="CF58" s="1" t="s">
        <v>56</v>
      </c>
      <c r="CG58" s="1" t="s">
        <v>55</v>
      </c>
      <c r="CH58" s="1" t="s">
        <v>56</v>
      </c>
      <c r="CI58" s="1" t="s">
        <v>55</v>
      </c>
      <c r="CJ58" s="1" t="s">
        <v>56</v>
      </c>
      <c r="CK58" s="1" t="s">
        <v>55</v>
      </c>
      <c r="CL58" s="1" t="s">
        <v>56</v>
      </c>
      <c r="CM58" s="1" t="s">
        <v>55</v>
      </c>
      <c r="CN58" s="1" t="s">
        <v>56</v>
      </c>
      <c r="CO58" s="1" t="s">
        <v>55</v>
      </c>
      <c r="CP58" s="1" t="s">
        <v>56</v>
      </c>
      <c r="CQ58" s="1" t="s">
        <v>55</v>
      </c>
      <c r="CR58" s="1" t="s">
        <v>56</v>
      </c>
      <c r="CS58" s="1" t="s">
        <v>55</v>
      </c>
      <c r="CT58" s="1" t="s">
        <v>56</v>
      </c>
      <c r="CU58" s="1" t="s">
        <v>55</v>
      </c>
      <c r="CV58" s="1" t="s">
        <v>56</v>
      </c>
      <c r="CW58" s="1" t="s">
        <v>55</v>
      </c>
      <c r="CX58" s="1" t="s">
        <v>56</v>
      </c>
      <c r="CY58" s="1" t="s">
        <v>55</v>
      </c>
      <c r="CZ58" s="1" t="s">
        <v>56</v>
      </c>
      <c r="DA58" s="1" t="s">
        <v>55</v>
      </c>
      <c r="DB58" s="1" t="s">
        <v>56</v>
      </c>
      <c r="DC58" s="1" t="s">
        <v>55</v>
      </c>
      <c r="DD58" s="10" t="s">
        <v>56</v>
      </c>
      <c r="DE58" s="10" t="s">
        <v>55</v>
      </c>
      <c r="DF58" s="10" t="s">
        <v>56</v>
      </c>
      <c r="DG58" s="10" t="s">
        <v>55</v>
      </c>
      <c r="DH58" s="10">
        <f>85/E58</f>
        <v>0.72556551429790861</v>
      </c>
      <c r="DI58" s="10">
        <f>6/E58</f>
        <v>5.1216389244558257E-2</v>
      </c>
      <c r="DJ58" s="10">
        <f>40/E58</f>
        <v>0.3414425949637217</v>
      </c>
      <c r="DK58" s="10">
        <f>5/E58</f>
        <v>4.2680324370465213E-2</v>
      </c>
      <c r="DL58" s="10">
        <f>30/E58</f>
        <v>0.25608194622279129</v>
      </c>
      <c r="DM58" s="10">
        <f>2/E58</f>
        <v>1.7072129748186084E-2</v>
      </c>
      <c r="DN58" s="10" t="s">
        <v>240</v>
      </c>
      <c r="DO58" s="10" t="s">
        <v>55</v>
      </c>
      <c r="DP58" s="10">
        <f>5/E58</f>
        <v>4.2680324370465213E-2</v>
      </c>
      <c r="DQ58" s="10">
        <f>1/E58</f>
        <v>8.5360648740930422E-3</v>
      </c>
      <c r="DR58" s="10">
        <f>0.6/E58</f>
        <v>5.1216389244558257E-3</v>
      </c>
      <c r="DS58" s="10">
        <f>0.2/E58</f>
        <v>1.7072129748186087E-3</v>
      </c>
      <c r="DT58" s="10" t="s">
        <v>56</v>
      </c>
      <c r="DU58" s="10" t="s">
        <v>55</v>
      </c>
      <c r="DV58" s="10" t="s">
        <v>56</v>
      </c>
      <c r="DW58" s="10" t="s">
        <v>55</v>
      </c>
      <c r="DX58" s="10" t="s">
        <v>56</v>
      </c>
      <c r="DY58" s="10" t="s">
        <v>55</v>
      </c>
      <c r="DZ58" s="10" t="s">
        <v>56</v>
      </c>
      <c r="EA58" s="10" t="s">
        <v>55</v>
      </c>
      <c r="EB58" s="10" t="s">
        <v>56</v>
      </c>
      <c r="EC58" s="10" t="s">
        <v>55</v>
      </c>
      <c r="ED58" s="10" t="s">
        <v>56</v>
      </c>
      <c r="EE58" s="10" t="s">
        <v>55</v>
      </c>
      <c r="EF58" s="10" t="s">
        <v>56</v>
      </c>
      <c r="EG58" s="10" t="s">
        <v>55</v>
      </c>
      <c r="EH58" s="10" t="s">
        <v>56</v>
      </c>
      <c r="EI58" s="10" t="s">
        <v>55</v>
      </c>
      <c r="EJ58" s="10" t="s">
        <v>56</v>
      </c>
      <c r="EK58" s="10" t="s">
        <v>55</v>
      </c>
      <c r="EL58" s="10" t="s">
        <v>56</v>
      </c>
      <c r="EM58" s="10" t="s">
        <v>55</v>
      </c>
      <c r="EN58" s="10" t="s">
        <v>56</v>
      </c>
      <c r="EO58" s="10" t="s">
        <v>55</v>
      </c>
      <c r="EP58" s="10" t="s">
        <v>56</v>
      </c>
      <c r="EQ58" s="10" t="s">
        <v>55</v>
      </c>
      <c r="ER58" s="10" t="s">
        <v>56</v>
      </c>
      <c r="ES58" s="10" t="s">
        <v>55</v>
      </c>
      <c r="ET58" s="10" t="s">
        <v>56</v>
      </c>
      <c r="EU58" s="10" t="s">
        <v>55</v>
      </c>
      <c r="EV58" s="10" t="s">
        <v>56</v>
      </c>
      <c r="EW58" s="10" t="s">
        <v>55</v>
      </c>
      <c r="EX58" s="10" t="s">
        <v>56</v>
      </c>
      <c r="EY58" s="10" t="s">
        <v>55</v>
      </c>
      <c r="EZ58" s="10" t="s">
        <v>56</v>
      </c>
      <c r="FA58" s="10" t="s">
        <v>55</v>
      </c>
      <c r="FB58" s="10" t="s">
        <v>56</v>
      </c>
      <c r="FC58" s="10" t="s">
        <v>55</v>
      </c>
      <c r="FD58" s="10" t="s">
        <v>56</v>
      </c>
      <c r="FE58" s="10" t="s">
        <v>55</v>
      </c>
      <c r="FF58" s="10" t="s">
        <v>56</v>
      </c>
      <c r="FG58" s="10" t="s">
        <v>55</v>
      </c>
      <c r="FH58" s="10" t="s">
        <v>56</v>
      </c>
      <c r="FI58" s="10" t="s">
        <v>55</v>
      </c>
      <c r="FJ58" s="10" t="s">
        <v>56</v>
      </c>
      <c r="FK58" s="10" t="s">
        <v>55</v>
      </c>
      <c r="FL58" s="10" t="s">
        <v>56</v>
      </c>
      <c r="FM58" s="10" t="s">
        <v>55</v>
      </c>
      <c r="FN58" s="10" t="s">
        <v>56</v>
      </c>
      <c r="FO58" s="10" t="s">
        <v>55</v>
      </c>
      <c r="FP58" s="10" t="s">
        <v>56</v>
      </c>
      <c r="FQ58" s="10" t="s">
        <v>55</v>
      </c>
      <c r="FR58" s="10" t="s">
        <v>56</v>
      </c>
      <c r="FS58" s="10" t="s">
        <v>55</v>
      </c>
      <c r="FT58" s="10" t="s">
        <v>56</v>
      </c>
      <c r="FU58" s="10" t="s">
        <v>55</v>
      </c>
      <c r="FV58" s="10" t="s">
        <v>56</v>
      </c>
      <c r="FW58" s="10" t="s">
        <v>55</v>
      </c>
      <c r="FX58" s="10" t="s">
        <v>56</v>
      </c>
      <c r="FY58" s="10" t="s">
        <v>55</v>
      </c>
      <c r="FZ58" s="10" t="s">
        <v>56</v>
      </c>
      <c r="GA58" s="10" t="s">
        <v>55</v>
      </c>
      <c r="GB58" s="10" t="s">
        <v>56</v>
      </c>
      <c r="GC58" s="10" t="s">
        <v>55</v>
      </c>
      <c r="GD58" s="10" t="s">
        <v>56</v>
      </c>
      <c r="GE58" s="10" t="s">
        <v>55</v>
      </c>
      <c r="GF58" s="10" t="s">
        <v>56</v>
      </c>
      <c r="GG58" s="10" t="s">
        <v>55</v>
      </c>
      <c r="GH58" s="10" t="s">
        <v>56</v>
      </c>
      <c r="GI58" s="10" t="s">
        <v>55</v>
      </c>
      <c r="GJ58" s="10" t="s">
        <v>56</v>
      </c>
      <c r="GK58" s="10" t="s">
        <v>55</v>
      </c>
      <c r="GL58" s="10" t="s">
        <v>56</v>
      </c>
      <c r="GM58" s="10" t="s">
        <v>55</v>
      </c>
      <c r="GN58" s="10" t="s">
        <v>56</v>
      </c>
      <c r="GO58" s="10" t="s">
        <v>55</v>
      </c>
      <c r="GP58" s="10" t="s">
        <v>56</v>
      </c>
      <c r="GQ58" s="10" t="s">
        <v>55</v>
      </c>
      <c r="GR58" s="10" t="s">
        <v>512</v>
      </c>
      <c r="GS58" s="10" t="s">
        <v>55</v>
      </c>
      <c r="GT58" s="10" t="s">
        <v>512</v>
      </c>
      <c r="GU58" s="10" t="s">
        <v>55</v>
      </c>
      <c r="GV58" s="10">
        <v>7.1999999999999995E-2</v>
      </c>
      <c r="GW58" s="10">
        <v>2E-3</v>
      </c>
      <c r="GX58" s="10" t="s">
        <v>56</v>
      </c>
      <c r="GY58" s="10" t="s">
        <v>55</v>
      </c>
      <c r="GZ58" s="10" t="s">
        <v>56</v>
      </c>
      <c r="HA58" s="10" t="s">
        <v>55</v>
      </c>
      <c r="HB58" s="10" t="s">
        <v>56</v>
      </c>
      <c r="HC58" s="10" t="s">
        <v>55</v>
      </c>
      <c r="HD58" s="10" t="s">
        <v>56</v>
      </c>
      <c r="HE58" s="10" t="s">
        <v>55</v>
      </c>
      <c r="HF58" s="10" t="s">
        <v>56</v>
      </c>
      <c r="HG58" s="10" t="s">
        <v>55</v>
      </c>
      <c r="HH58" s="10" t="s">
        <v>56</v>
      </c>
      <c r="HI58" s="10" t="s">
        <v>55</v>
      </c>
      <c r="HJ58" s="10" t="s">
        <v>56</v>
      </c>
      <c r="HK58" s="10" t="s">
        <v>55</v>
      </c>
      <c r="HL58" s="10" t="s">
        <v>56</v>
      </c>
      <c r="HM58" s="10" t="s">
        <v>55</v>
      </c>
      <c r="HN58" s="10" t="s">
        <v>56</v>
      </c>
      <c r="HO58" s="10" t="s">
        <v>55</v>
      </c>
      <c r="HP58" s="10" t="s">
        <v>56</v>
      </c>
      <c r="HQ58" s="10" t="s">
        <v>55</v>
      </c>
      <c r="HR58" s="10" t="s">
        <v>56</v>
      </c>
      <c r="HS58" s="10" t="s">
        <v>55</v>
      </c>
      <c r="HT58" s="10" t="s">
        <v>56</v>
      </c>
      <c r="HU58" s="10" t="s">
        <v>55</v>
      </c>
      <c r="HV58" s="10" t="s">
        <v>56</v>
      </c>
      <c r="HW58" s="10" t="s">
        <v>55</v>
      </c>
      <c r="HX58" s="10" t="s">
        <v>56</v>
      </c>
      <c r="HY58" s="10" t="s">
        <v>55</v>
      </c>
      <c r="HZ58" s="10" t="s">
        <v>56</v>
      </c>
      <c r="IA58" s="10" t="s">
        <v>55</v>
      </c>
      <c r="IB58" s="10" t="s">
        <v>56</v>
      </c>
      <c r="IC58" s="10" t="s">
        <v>55</v>
      </c>
      <c r="ID58" s="4" t="s">
        <v>56</v>
      </c>
      <c r="IE58" s="4" t="s">
        <v>55</v>
      </c>
      <c r="IF58" s="4" t="s">
        <v>56</v>
      </c>
      <c r="IG58" s="4" t="s">
        <v>55</v>
      </c>
      <c r="IH58" s="4" t="s">
        <v>56</v>
      </c>
      <c r="II58" s="4" t="s">
        <v>55</v>
      </c>
      <c r="IJ58" s="4" t="s">
        <v>56</v>
      </c>
      <c r="IK58" s="4" t="s">
        <v>55</v>
      </c>
      <c r="IL58" s="4" t="s">
        <v>56</v>
      </c>
      <c r="IM58" s="4" t="s">
        <v>55</v>
      </c>
      <c r="IN58" s="4" t="s">
        <v>56</v>
      </c>
      <c r="IO58" s="4" t="s">
        <v>55</v>
      </c>
      <c r="IP58" s="4" t="s">
        <v>56</v>
      </c>
      <c r="IQ58" s="4" t="s">
        <v>55</v>
      </c>
      <c r="IR58" s="4" t="s">
        <v>56</v>
      </c>
      <c r="IS58" s="4" t="s">
        <v>55</v>
      </c>
      <c r="IT58" s="18" t="s">
        <v>56</v>
      </c>
      <c r="IU58" s="18" t="s">
        <v>55</v>
      </c>
      <c r="IV58" s="4" t="s">
        <v>556</v>
      </c>
      <c r="IW58" s="4" t="s">
        <v>55</v>
      </c>
      <c r="IX58" s="4" t="s">
        <v>56</v>
      </c>
      <c r="IY58" s="4" t="s">
        <v>55</v>
      </c>
      <c r="IZ58" s="4" t="s">
        <v>56</v>
      </c>
      <c r="JA58" s="4" t="s">
        <v>55</v>
      </c>
      <c r="JB58" s="4" t="s">
        <v>56</v>
      </c>
      <c r="JC58" s="4" t="s">
        <v>55</v>
      </c>
      <c r="JD58" s="4" t="s">
        <v>56</v>
      </c>
      <c r="JE58" s="4" t="s">
        <v>55</v>
      </c>
      <c r="JF58" s="4" t="s">
        <v>56</v>
      </c>
      <c r="JG58" s="4" t="s">
        <v>55</v>
      </c>
      <c r="JH58" s="4" t="s">
        <v>56</v>
      </c>
      <c r="JI58" s="4" t="s">
        <v>55</v>
      </c>
      <c r="JJ58" s="4" t="s">
        <v>56</v>
      </c>
      <c r="JK58" s="4" t="s">
        <v>55</v>
      </c>
      <c r="JL58" s="4" t="s">
        <v>56</v>
      </c>
      <c r="JM58" s="4" t="s">
        <v>55</v>
      </c>
      <c r="JN58" s="4" t="s">
        <v>56</v>
      </c>
      <c r="JO58" s="4" t="s">
        <v>55</v>
      </c>
      <c r="JP58" s="4" t="s">
        <v>56</v>
      </c>
      <c r="JQ58" s="4" t="s">
        <v>55</v>
      </c>
      <c r="JR58" s="4" t="s">
        <v>56</v>
      </c>
      <c r="JS58" s="4" t="s">
        <v>55</v>
      </c>
      <c r="JT58" s="4" t="s">
        <v>56</v>
      </c>
      <c r="JU58" s="4" t="s">
        <v>55</v>
      </c>
      <c r="JV58" s="4" t="s">
        <v>56</v>
      </c>
      <c r="JW58" s="4" t="s">
        <v>55</v>
      </c>
      <c r="JX58" s="26" t="s">
        <v>56</v>
      </c>
      <c r="JY58" s="26" t="s">
        <v>55</v>
      </c>
      <c r="JZ58" s="26" t="s">
        <v>56</v>
      </c>
      <c r="KA58" s="26" t="s">
        <v>55</v>
      </c>
      <c r="KB58" s="26" t="s">
        <v>56</v>
      </c>
      <c r="KC58" s="26" t="s">
        <v>55</v>
      </c>
      <c r="KD58" s="26" t="s">
        <v>56</v>
      </c>
      <c r="KE58" s="26" t="s">
        <v>55</v>
      </c>
      <c r="KF58" s="26" t="s">
        <v>56</v>
      </c>
      <c r="KG58" s="26" t="s">
        <v>55</v>
      </c>
      <c r="KH58" s="4" t="s">
        <v>56</v>
      </c>
      <c r="KI58" s="4" t="s">
        <v>55</v>
      </c>
      <c r="KJ58" s="4" t="s">
        <v>56</v>
      </c>
      <c r="KK58" s="4" t="s">
        <v>55</v>
      </c>
      <c r="KL58" s="4" t="s">
        <v>56</v>
      </c>
      <c r="KM58" s="4" t="s">
        <v>55</v>
      </c>
      <c r="KN58" s="4" t="s">
        <v>56</v>
      </c>
      <c r="KO58" s="4" t="s">
        <v>55</v>
      </c>
      <c r="KP58" s="4" t="s">
        <v>56</v>
      </c>
      <c r="KQ58" s="4" t="s">
        <v>55</v>
      </c>
      <c r="KR58" s="17" t="s">
        <v>56</v>
      </c>
      <c r="KS58" s="17" t="s">
        <v>55</v>
      </c>
      <c r="KT58" s="17" t="s">
        <v>56</v>
      </c>
      <c r="KU58" s="17" t="s">
        <v>55</v>
      </c>
      <c r="KV58" s="4" t="s">
        <v>56</v>
      </c>
      <c r="KW58" s="4" t="s">
        <v>55</v>
      </c>
      <c r="KX58" s="4" t="s">
        <v>56</v>
      </c>
      <c r="KY58" s="4" t="s">
        <v>55</v>
      </c>
      <c r="KZ58" s="4" t="s">
        <v>56</v>
      </c>
      <c r="LA58" s="4" t="s">
        <v>55</v>
      </c>
      <c r="LB58" s="10" t="s">
        <v>56</v>
      </c>
      <c r="LC58" s="10" t="s">
        <v>55</v>
      </c>
      <c r="LD58" s="10" t="s">
        <v>56</v>
      </c>
      <c r="LE58" s="10" t="s">
        <v>55</v>
      </c>
      <c r="LF58" s="10" t="s">
        <v>56</v>
      </c>
      <c r="LG58" s="10" t="s">
        <v>55</v>
      </c>
      <c r="LH58" s="10" t="s">
        <v>56</v>
      </c>
      <c r="LI58" s="10" t="s">
        <v>55</v>
      </c>
      <c r="LJ58" s="10" t="s">
        <v>56</v>
      </c>
      <c r="LK58" s="10" t="s">
        <v>162</v>
      </c>
      <c r="LL58" s="10" t="s">
        <v>56</v>
      </c>
      <c r="LM58" s="10" t="s">
        <v>162</v>
      </c>
      <c r="LN58" s="10" t="s">
        <v>56</v>
      </c>
      <c r="LO58" s="10" t="s">
        <v>162</v>
      </c>
      <c r="LP58" s="10" t="s">
        <v>56</v>
      </c>
      <c r="LQ58" s="10" t="s">
        <v>162</v>
      </c>
      <c r="LR58" s="10" t="s">
        <v>56</v>
      </c>
      <c r="LS58" s="10" t="s">
        <v>162</v>
      </c>
      <c r="LT58" s="10" t="s">
        <v>56</v>
      </c>
      <c r="LU58" s="10" t="s">
        <v>162</v>
      </c>
      <c r="LV58" s="10" t="s">
        <v>56</v>
      </c>
      <c r="LW58" s="10" t="s">
        <v>55</v>
      </c>
      <c r="LX58" s="10" t="s">
        <v>56</v>
      </c>
      <c r="LY58" s="10" t="s">
        <v>55</v>
      </c>
      <c r="LZ58" s="10" t="s">
        <v>56</v>
      </c>
      <c r="MA58" s="10" t="s">
        <v>55</v>
      </c>
      <c r="MB58" s="10" t="s">
        <v>56</v>
      </c>
      <c r="MC58" s="10" t="s">
        <v>55</v>
      </c>
      <c r="MD58" s="17" t="s">
        <v>56</v>
      </c>
      <c r="ME58" s="4" t="s">
        <v>55</v>
      </c>
      <c r="MF58" s="17" t="s">
        <v>56</v>
      </c>
      <c r="MG58" s="4" t="s">
        <v>55</v>
      </c>
      <c r="MH58" s="17" t="s">
        <v>56</v>
      </c>
      <c r="MI58" s="4" t="s">
        <v>55</v>
      </c>
      <c r="MJ58" s="17" t="s">
        <v>56</v>
      </c>
      <c r="MK58" s="4" t="s">
        <v>55</v>
      </c>
      <c r="ML58" s="17" t="s">
        <v>56</v>
      </c>
      <c r="MM58" s="4" t="s">
        <v>55</v>
      </c>
      <c r="MN58" s="17" t="s">
        <v>56</v>
      </c>
      <c r="MO58" s="4" t="s">
        <v>55</v>
      </c>
      <c r="MP58" s="17" t="s">
        <v>56</v>
      </c>
      <c r="MQ58" s="4" t="s">
        <v>55</v>
      </c>
      <c r="MR58" s="17" t="s">
        <v>56</v>
      </c>
      <c r="MS58" s="4" t="s">
        <v>55</v>
      </c>
      <c r="MT58" s="17" t="s">
        <v>56</v>
      </c>
      <c r="MU58" s="4" t="s">
        <v>55</v>
      </c>
      <c r="MV58" s="17" t="s">
        <v>56</v>
      </c>
      <c r="MW58" s="4" t="s">
        <v>55</v>
      </c>
      <c r="MX58" s="17" t="s">
        <v>56</v>
      </c>
      <c r="MY58" s="4" t="s">
        <v>55</v>
      </c>
      <c r="MZ58" s="17" t="s">
        <v>56</v>
      </c>
      <c r="NA58" s="4" t="s">
        <v>55</v>
      </c>
      <c r="NB58" s="10" t="s">
        <v>56</v>
      </c>
      <c r="NC58" s="10" t="s">
        <v>55</v>
      </c>
      <c r="ND58" s="10" t="s">
        <v>56</v>
      </c>
      <c r="NE58" s="10" t="s">
        <v>55</v>
      </c>
      <c r="NF58" s="10" t="s">
        <v>56</v>
      </c>
      <c r="NG58" s="10" t="s">
        <v>55</v>
      </c>
      <c r="NH58" s="10" t="s">
        <v>56</v>
      </c>
      <c r="NI58" s="10" t="s">
        <v>55</v>
      </c>
      <c r="NJ58" s="10" t="s">
        <v>56</v>
      </c>
      <c r="NK58" s="10" t="s">
        <v>55</v>
      </c>
      <c r="NL58" s="10" t="s">
        <v>56</v>
      </c>
      <c r="NM58" s="4" t="s">
        <v>55</v>
      </c>
      <c r="NN58" s="10" t="s">
        <v>56</v>
      </c>
      <c r="NO58" s="4" t="s">
        <v>55</v>
      </c>
      <c r="NP58" s="10" t="s">
        <v>56</v>
      </c>
      <c r="NQ58" s="4" t="s">
        <v>55</v>
      </c>
      <c r="NR58" s="10" t="s">
        <v>56</v>
      </c>
      <c r="NS58" s="10" t="s">
        <v>55</v>
      </c>
      <c r="NT58" s="10" t="s">
        <v>56</v>
      </c>
      <c r="NU58" s="10" t="s">
        <v>55</v>
      </c>
    </row>
    <row r="59" spans="1:385" s="15" customFormat="1" x14ac:dyDescent="0.2">
      <c r="A59" s="15" t="s">
        <v>1048</v>
      </c>
      <c r="B59" s="1" t="s">
        <v>1040</v>
      </c>
      <c r="C59" s="1" t="s">
        <v>843</v>
      </c>
      <c r="D59" s="39" cm="1">
        <f t="array" ref="D59">SUMPRODUCT((ISNUMBER(F59:NU59))*(MOD(COLUMN(F59:NU59),2)=0))</f>
        <v>28</v>
      </c>
      <c r="E59" s="1">
        <v>117.15</v>
      </c>
      <c r="F59" s="4">
        <v>8.9999999999999998E-4</v>
      </c>
      <c r="G59" s="4" t="s">
        <v>58</v>
      </c>
      <c r="H59" s="4">
        <v>8.9999999999999998E-4</v>
      </c>
      <c r="I59" s="4" t="s">
        <v>58</v>
      </c>
      <c r="J59" s="4">
        <v>4.5999999999999999E-3</v>
      </c>
      <c r="K59" s="4">
        <v>2.0000000000000001E-4</v>
      </c>
      <c r="L59" s="4">
        <v>1.4E-3</v>
      </c>
      <c r="M59" s="4" t="s">
        <v>58</v>
      </c>
      <c r="N59" s="4">
        <v>7.6E-3</v>
      </c>
      <c r="O59" s="4">
        <v>1E-4</v>
      </c>
      <c r="P59" s="4" t="s">
        <v>56</v>
      </c>
      <c r="Q59" s="4" t="s">
        <v>55</v>
      </c>
      <c r="R59" s="4">
        <v>0.35</v>
      </c>
      <c r="S59" s="4">
        <v>0.03</v>
      </c>
      <c r="T59" s="4">
        <v>0.37</v>
      </c>
      <c r="U59" s="4">
        <v>0.06</v>
      </c>
      <c r="V59" s="4">
        <v>1.5</v>
      </c>
      <c r="W59" s="4">
        <v>0.15</v>
      </c>
      <c r="X59" s="4" t="s">
        <v>56</v>
      </c>
      <c r="Y59" s="4" t="s">
        <v>55</v>
      </c>
      <c r="Z59" s="4" t="s">
        <v>56</v>
      </c>
      <c r="AA59" s="4" t="s">
        <v>55</v>
      </c>
      <c r="AB59" s="4">
        <v>17.7</v>
      </c>
      <c r="AC59" s="4">
        <v>1.5</v>
      </c>
      <c r="AD59" s="4">
        <v>6.86</v>
      </c>
      <c r="AE59" s="4">
        <v>0.21</v>
      </c>
      <c r="AF59" s="11">
        <f>5.9/E59</f>
        <v>5.0362782757148956E-2</v>
      </c>
      <c r="AG59" s="11">
        <f>0.6/E59</f>
        <v>5.1216389244558257E-3</v>
      </c>
      <c r="AH59" s="11">
        <f>10/E59</f>
        <v>8.5360648740930425E-2</v>
      </c>
      <c r="AI59" s="11">
        <f>1/E59</f>
        <v>8.5360648740930422E-3</v>
      </c>
      <c r="AJ59" s="11">
        <f>158/E59</f>
        <v>1.3486982501067006</v>
      </c>
      <c r="AK59" s="11">
        <f>19/E59</f>
        <v>0.16218523260776782</v>
      </c>
      <c r="AL59" s="4">
        <v>2.7</v>
      </c>
      <c r="AM59" s="4">
        <v>0.1</v>
      </c>
      <c r="AN59" s="11">
        <v>2.5</v>
      </c>
      <c r="AO59" s="11">
        <v>0.03</v>
      </c>
      <c r="AP59" s="11" t="s">
        <v>56</v>
      </c>
      <c r="AQ59" s="11" t="s">
        <v>55</v>
      </c>
      <c r="AR59" s="10" t="s">
        <v>56</v>
      </c>
      <c r="AS59" s="10" t="s">
        <v>55</v>
      </c>
      <c r="AT59" s="11">
        <f>37/E59</f>
        <v>0.31583440034144256</v>
      </c>
      <c r="AU59" s="11">
        <f>4/E59</f>
        <v>3.4144259496372169E-2</v>
      </c>
      <c r="AV59" s="11">
        <f>36/E59</f>
        <v>0.30729833546734953</v>
      </c>
      <c r="AW59" s="11">
        <f>2/E59</f>
        <v>1.7072129748186084E-2</v>
      </c>
      <c r="AX59" s="11">
        <f>178/E59</f>
        <v>1.5194195475885617</v>
      </c>
      <c r="AY59" s="11">
        <f>9/E59</f>
        <v>7.6824583866837381E-2</v>
      </c>
      <c r="AZ59" s="4">
        <v>1.8</v>
      </c>
      <c r="BA59" s="4">
        <v>0.1</v>
      </c>
      <c r="BB59" s="4" t="s">
        <v>57</v>
      </c>
      <c r="BC59" s="4" t="s">
        <v>55</v>
      </c>
      <c r="BD59" s="1" t="s">
        <v>56</v>
      </c>
      <c r="BE59" s="1" t="s">
        <v>55</v>
      </c>
      <c r="BF59" s="1" t="s">
        <v>56</v>
      </c>
      <c r="BG59" s="1" t="s">
        <v>55</v>
      </c>
      <c r="BH59" s="1" t="s">
        <v>56</v>
      </c>
      <c r="BI59" s="1" t="s">
        <v>55</v>
      </c>
      <c r="BJ59" s="1" t="s">
        <v>56</v>
      </c>
      <c r="BK59" s="1" t="s">
        <v>55</v>
      </c>
      <c r="BL59" s="4" t="s">
        <v>56</v>
      </c>
      <c r="BM59" s="4" t="s">
        <v>55</v>
      </c>
      <c r="BN59" s="4">
        <v>0.27</v>
      </c>
      <c r="BO59" s="4">
        <v>0.03</v>
      </c>
      <c r="BP59" s="4">
        <v>0.9</v>
      </c>
      <c r="BQ59" s="4">
        <v>0.6</v>
      </c>
      <c r="BR59" s="11">
        <f>181/E59</f>
        <v>1.5450277422108407</v>
      </c>
      <c r="BS59" s="11">
        <f>11/E59</f>
        <v>9.3896713615023469E-2</v>
      </c>
      <c r="BT59" s="4">
        <v>0.37</v>
      </c>
      <c r="BU59" s="4">
        <v>0.02</v>
      </c>
      <c r="BV59" s="4" t="s">
        <v>91</v>
      </c>
      <c r="BW59" s="4" t="s">
        <v>55</v>
      </c>
      <c r="BX59" s="4" t="s">
        <v>91</v>
      </c>
      <c r="BY59" s="4" t="s">
        <v>55</v>
      </c>
      <c r="BZ59" s="10">
        <f>3.6/E59</f>
        <v>3.0729833546734954E-2</v>
      </c>
      <c r="CA59" s="10">
        <f>1.7/E59</f>
        <v>1.4511310285958172E-2</v>
      </c>
      <c r="CB59" s="10" t="s">
        <v>244</v>
      </c>
      <c r="CC59" s="10" t="s">
        <v>55</v>
      </c>
      <c r="CD59" s="10" t="s">
        <v>240</v>
      </c>
      <c r="CE59" s="10" t="s">
        <v>55</v>
      </c>
      <c r="CF59" s="10" t="s">
        <v>240</v>
      </c>
      <c r="CG59" s="10" t="s">
        <v>55</v>
      </c>
      <c r="CH59" s="10">
        <f>1.3/E59</f>
        <v>1.1096884336320955E-2</v>
      </c>
      <c r="CI59" s="10">
        <f>1/E59</f>
        <v>8.5360648740930422E-3</v>
      </c>
      <c r="CJ59" s="10">
        <f>1.1/E59</f>
        <v>9.3896713615023476E-3</v>
      </c>
      <c r="CK59" s="10">
        <f>0.2/E59</f>
        <v>1.7072129748186087E-3</v>
      </c>
      <c r="CL59" s="10" t="s">
        <v>240</v>
      </c>
      <c r="CM59" s="19" t="s">
        <v>55</v>
      </c>
      <c r="CN59" s="10" t="s">
        <v>240</v>
      </c>
      <c r="CO59" s="19" t="s">
        <v>55</v>
      </c>
      <c r="CP59" s="19">
        <f>1.8/E59</f>
        <v>1.5364916773367477E-2</v>
      </c>
      <c r="CQ59" s="19">
        <f>1/E59</f>
        <v>8.5360648740930422E-3</v>
      </c>
      <c r="CR59" s="10" t="s">
        <v>240</v>
      </c>
      <c r="CS59" s="19" t="s">
        <v>55</v>
      </c>
      <c r="CT59" s="19" t="s">
        <v>240</v>
      </c>
      <c r="CU59" s="19" t="s">
        <v>55</v>
      </c>
      <c r="CV59" s="19">
        <f>0.5/E59</f>
        <v>4.2680324370465211E-3</v>
      </c>
      <c r="CW59" s="19">
        <f>0.1/E59</f>
        <v>8.5360648740930435E-4</v>
      </c>
      <c r="CX59" s="19" t="s">
        <v>240</v>
      </c>
      <c r="CY59" s="10" t="s">
        <v>55</v>
      </c>
      <c r="CZ59" s="19" t="s">
        <v>240</v>
      </c>
      <c r="DA59" s="10" t="s">
        <v>55</v>
      </c>
      <c r="DB59" s="19" t="s">
        <v>240</v>
      </c>
      <c r="DC59" s="10" t="s">
        <v>55</v>
      </c>
      <c r="DD59" s="10" t="s">
        <v>56</v>
      </c>
      <c r="DE59" s="10" t="s">
        <v>55</v>
      </c>
      <c r="DF59" s="10" t="s">
        <v>56</v>
      </c>
      <c r="DG59" s="10" t="s">
        <v>55</v>
      </c>
      <c r="DH59" s="10" t="s">
        <v>56</v>
      </c>
      <c r="DI59" s="10" t="s">
        <v>55</v>
      </c>
      <c r="DJ59" s="10" t="s">
        <v>56</v>
      </c>
      <c r="DK59" s="10" t="s">
        <v>55</v>
      </c>
      <c r="DL59" s="10" t="s">
        <v>56</v>
      </c>
      <c r="DM59" s="10" t="s">
        <v>55</v>
      </c>
      <c r="DN59" s="10" t="s">
        <v>56</v>
      </c>
      <c r="DO59" s="10" t="s">
        <v>55</v>
      </c>
      <c r="DP59" s="10" t="s">
        <v>56</v>
      </c>
      <c r="DQ59" s="10" t="s">
        <v>55</v>
      </c>
      <c r="DR59" s="10" t="s">
        <v>56</v>
      </c>
      <c r="DS59" s="10" t="s">
        <v>55</v>
      </c>
      <c r="DT59" s="10" t="s">
        <v>56</v>
      </c>
      <c r="DU59" s="10" t="s">
        <v>55</v>
      </c>
      <c r="DV59" s="10" t="s">
        <v>240</v>
      </c>
      <c r="DW59" s="10" t="s">
        <v>55</v>
      </c>
      <c r="DX59" s="10" t="s">
        <v>240</v>
      </c>
      <c r="DY59" s="10" t="s">
        <v>55</v>
      </c>
      <c r="DZ59" s="10" t="s">
        <v>229</v>
      </c>
      <c r="EA59" s="10" t="s">
        <v>55</v>
      </c>
      <c r="EB59" s="10" t="s">
        <v>229</v>
      </c>
      <c r="EC59" s="10" t="s">
        <v>55</v>
      </c>
      <c r="ED59" s="10" t="s">
        <v>229</v>
      </c>
      <c r="EE59" s="10" t="s">
        <v>55</v>
      </c>
      <c r="EF59" s="10" t="s">
        <v>229</v>
      </c>
      <c r="EG59" s="10" t="s">
        <v>55</v>
      </c>
      <c r="EH59" s="10" t="s">
        <v>233</v>
      </c>
      <c r="EI59" s="10" t="s">
        <v>55</v>
      </c>
      <c r="EJ59" s="10" t="s">
        <v>233</v>
      </c>
      <c r="EK59" s="10" t="s">
        <v>55</v>
      </c>
      <c r="EL59" s="10" t="s">
        <v>233</v>
      </c>
      <c r="EM59" s="10" t="s">
        <v>55</v>
      </c>
      <c r="EN59" s="10" t="s">
        <v>56</v>
      </c>
      <c r="EO59" s="10" t="s">
        <v>55</v>
      </c>
      <c r="EP59" s="10" t="s">
        <v>56</v>
      </c>
      <c r="EQ59" s="10" t="s">
        <v>55</v>
      </c>
      <c r="ER59" s="10" t="s">
        <v>56</v>
      </c>
      <c r="ES59" s="10" t="s">
        <v>55</v>
      </c>
      <c r="ET59" s="10" t="s">
        <v>56</v>
      </c>
      <c r="EU59" s="10" t="s">
        <v>55</v>
      </c>
      <c r="EV59" s="10" t="s">
        <v>56</v>
      </c>
      <c r="EW59" s="10" t="s">
        <v>55</v>
      </c>
      <c r="EX59" s="10" t="s">
        <v>56</v>
      </c>
      <c r="EY59" s="10" t="s">
        <v>55</v>
      </c>
      <c r="EZ59" s="10" t="s">
        <v>56</v>
      </c>
      <c r="FA59" s="10" t="s">
        <v>55</v>
      </c>
      <c r="FB59" s="10" t="s">
        <v>56</v>
      </c>
      <c r="FC59" s="10" t="s">
        <v>55</v>
      </c>
      <c r="FD59" s="10" t="s">
        <v>56</v>
      </c>
      <c r="FE59" s="10" t="s">
        <v>55</v>
      </c>
      <c r="FF59" s="10" t="s">
        <v>56</v>
      </c>
      <c r="FG59" s="10" t="s">
        <v>55</v>
      </c>
      <c r="FH59" s="10" t="s">
        <v>56</v>
      </c>
      <c r="FI59" s="10" t="s">
        <v>55</v>
      </c>
      <c r="FJ59" s="10" t="s">
        <v>56</v>
      </c>
      <c r="FK59" s="10" t="s">
        <v>55</v>
      </c>
      <c r="FL59" s="10" t="s">
        <v>56</v>
      </c>
      <c r="FM59" s="10" t="s">
        <v>55</v>
      </c>
      <c r="FN59" s="10" t="s">
        <v>56</v>
      </c>
      <c r="FO59" s="10" t="s">
        <v>55</v>
      </c>
      <c r="FP59" s="10" t="s">
        <v>56</v>
      </c>
      <c r="FQ59" s="10" t="s">
        <v>55</v>
      </c>
      <c r="FR59" s="10" t="s">
        <v>56</v>
      </c>
      <c r="FS59" s="10" t="s">
        <v>55</v>
      </c>
      <c r="FT59" s="10" t="s">
        <v>56</v>
      </c>
      <c r="FU59" s="10" t="s">
        <v>55</v>
      </c>
      <c r="FV59" s="10" t="s">
        <v>56</v>
      </c>
      <c r="FW59" s="10" t="s">
        <v>55</v>
      </c>
      <c r="FX59" s="10" t="s">
        <v>56</v>
      </c>
      <c r="FY59" s="10" t="s">
        <v>55</v>
      </c>
      <c r="FZ59" s="10" t="s">
        <v>56</v>
      </c>
      <c r="GA59" s="10" t="s">
        <v>55</v>
      </c>
      <c r="GB59" s="10" t="s">
        <v>56</v>
      </c>
      <c r="GC59" s="10" t="s">
        <v>55</v>
      </c>
      <c r="GD59" s="10" t="s">
        <v>56</v>
      </c>
      <c r="GE59" s="10" t="s">
        <v>55</v>
      </c>
      <c r="GF59" s="10" t="s">
        <v>56</v>
      </c>
      <c r="GG59" s="10" t="s">
        <v>55</v>
      </c>
      <c r="GH59" s="10" t="s">
        <v>56</v>
      </c>
      <c r="GI59" s="10" t="s">
        <v>55</v>
      </c>
      <c r="GJ59" s="10" t="s">
        <v>56</v>
      </c>
      <c r="GK59" s="10" t="s">
        <v>55</v>
      </c>
      <c r="GL59" s="10" t="s">
        <v>56</v>
      </c>
      <c r="GM59" s="10" t="s">
        <v>55</v>
      </c>
      <c r="GN59" s="10" t="s">
        <v>56</v>
      </c>
      <c r="GO59" s="10" t="s">
        <v>55</v>
      </c>
      <c r="GP59" s="10" t="s">
        <v>56</v>
      </c>
      <c r="GQ59" s="10" t="s">
        <v>55</v>
      </c>
      <c r="GR59" s="10" t="s">
        <v>89</v>
      </c>
      <c r="GS59" s="10" t="s">
        <v>55</v>
      </c>
      <c r="GT59" s="10" t="s">
        <v>511</v>
      </c>
      <c r="GU59" s="10" t="s">
        <v>55</v>
      </c>
      <c r="GV59" s="17" t="s">
        <v>56</v>
      </c>
      <c r="GW59" s="17" t="s">
        <v>55</v>
      </c>
      <c r="GX59" s="10" t="s">
        <v>56</v>
      </c>
      <c r="GY59" s="10" t="s">
        <v>55</v>
      </c>
      <c r="GZ59" s="10" t="s">
        <v>56</v>
      </c>
      <c r="HA59" s="10" t="s">
        <v>55</v>
      </c>
      <c r="HB59" s="10" t="s">
        <v>56</v>
      </c>
      <c r="HC59" s="10" t="s">
        <v>55</v>
      </c>
      <c r="HD59" s="10" t="s">
        <v>56</v>
      </c>
      <c r="HE59" s="10" t="s">
        <v>55</v>
      </c>
      <c r="HF59" s="10" t="s">
        <v>56</v>
      </c>
      <c r="HG59" s="10" t="s">
        <v>55</v>
      </c>
      <c r="HH59" s="10" t="s">
        <v>56</v>
      </c>
      <c r="HI59" s="10" t="s">
        <v>55</v>
      </c>
      <c r="HJ59" s="10" t="s">
        <v>56</v>
      </c>
      <c r="HK59" s="10" t="s">
        <v>55</v>
      </c>
      <c r="HL59" s="10" t="s">
        <v>56</v>
      </c>
      <c r="HM59" s="10" t="s">
        <v>55</v>
      </c>
      <c r="HN59" s="10" t="s">
        <v>56</v>
      </c>
      <c r="HO59" s="10" t="s">
        <v>55</v>
      </c>
      <c r="HP59" s="10" t="s">
        <v>56</v>
      </c>
      <c r="HQ59" s="10" t="s">
        <v>55</v>
      </c>
      <c r="HR59" s="10" t="s">
        <v>56</v>
      </c>
      <c r="HS59" s="10" t="s">
        <v>55</v>
      </c>
      <c r="HT59" s="10" t="s">
        <v>56</v>
      </c>
      <c r="HU59" s="10" t="s">
        <v>55</v>
      </c>
      <c r="HV59" s="10" t="s">
        <v>56</v>
      </c>
      <c r="HW59" s="10" t="s">
        <v>55</v>
      </c>
      <c r="HX59" s="10" t="s">
        <v>56</v>
      </c>
      <c r="HY59" s="10" t="s">
        <v>55</v>
      </c>
      <c r="HZ59" s="10" t="s">
        <v>56</v>
      </c>
      <c r="IA59" s="10" t="s">
        <v>55</v>
      </c>
      <c r="IB59" s="10" t="s">
        <v>56</v>
      </c>
      <c r="IC59" s="10" t="s">
        <v>55</v>
      </c>
      <c r="ID59" s="10" t="s">
        <v>56</v>
      </c>
      <c r="IE59" s="10" t="s">
        <v>55</v>
      </c>
      <c r="IF59" s="10" t="s">
        <v>56</v>
      </c>
      <c r="IG59" s="10" t="s">
        <v>55</v>
      </c>
      <c r="IH59" s="10" t="s">
        <v>56</v>
      </c>
      <c r="II59" s="10" t="s">
        <v>55</v>
      </c>
      <c r="IJ59" s="10" t="s">
        <v>56</v>
      </c>
      <c r="IK59" s="10" t="s">
        <v>55</v>
      </c>
      <c r="IL59" s="10" t="s">
        <v>56</v>
      </c>
      <c r="IM59" s="10" t="s">
        <v>55</v>
      </c>
      <c r="IN59" s="10" t="s">
        <v>56</v>
      </c>
      <c r="IO59" s="10" t="s">
        <v>55</v>
      </c>
      <c r="IP59" s="10" t="s">
        <v>56</v>
      </c>
      <c r="IQ59" s="10" t="s">
        <v>55</v>
      </c>
      <c r="IR59" s="10" t="s">
        <v>56</v>
      </c>
      <c r="IS59" s="10" t="s">
        <v>55</v>
      </c>
      <c r="IT59" s="10" t="s">
        <v>56</v>
      </c>
      <c r="IU59" s="10" t="s">
        <v>55</v>
      </c>
      <c r="IV59" s="10" t="s">
        <v>56</v>
      </c>
      <c r="IW59" s="10" t="s">
        <v>55</v>
      </c>
      <c r="IX59" s="10" t="s">
        <v>56</v>
      </c>
      <c r="IY59" s="10" t="s">
        <v>55</v>
      </c>
      <c r="IZ59" s="10" t="s">
        <v>56</v>
      </c>
      <c r="JA59" s="10" t="s">
        <v>55</v>
      </c>
      <c r="JB59" s="10" t="s">
        <v>56</v>
      </c>
      <c r="JC59" s="10" t="s">
        <v>55</v>
      </c>
      <c r="JD59" s="10" t="s">
        <v>56</v>
      </c>
      <c r="JE59" s="10" t="s">
        <v>55</v>
      </c>
      <c r="JF59" s="10" t="s">
        <v>56</v>
      </c>
      <c r="JG59" s="10" t="s">
        <v>55</v>
      </c>
      <c r="JH59" s="10" t="s">
        <v>56</v>
      </c>
      <c r="JI59" s="10" t="s">
        <v>55</v>
      </c>
      <c r="JJ59" s="10" t="s">
        <v>56</v>
      </c>
      <c r="JK59" s="10" t="s">
        <v>55</v>
      </c>
      <c r="JL59" s="10" t="s">
        <v>56</v>
      </c>
      <c r="JM59" s="10" t="s">
        <v>55</v>
      </c>
      <c r="JN59" s="10" t="s">
        <v>56</v>
      </c>
      <c r="JO59" s="10" t="s">
        <v>55</v>
      </c>
      <c r="JP59" s="10" t="s">
        <v>56</v>
      </c>
      <c r="JQ59" s="10" t="s">
        <v>55</v>
      </c>
      <c r="JR59" s="10" t="s">
        <v>56</v>
      </c>
      <c r="JS59" s="10" t="s">
        <v>55</v>
      </c>
      <c r="JT59" s="10" t="s">
        <v>56</v>
      </c>
      <c r="JU59" s="10" t="s">
        <v>55</v>
      </c>
      <c r="JV59" s="10" t="s">
        <v>56</v>
      </c>
      <c r="JW59" s="10" t="s">
        <v>55</v>
      </c>
      <c r="JX59" s="10" t="s">
        <v>56</v>
      </c>
      <c r="JY59" s="10" t="s">
        <v>55</v>
      </c>
      <c r="JZ59" s="10" t="s">
        <v>56</v>
      </c>
      <c r="KA59" s="10" t="s">
        <v>55</v>
      </c>
      <c r="KB59" s="10" t="s">
        <v>56</v>
      </c>
      <c r="KC59" s="10" t="s">
        <v>55</v>
      </c>
      <c r="KD59" s="10" t="s">
        <v>56</v>
      </c>
      <c r="KE59" s="10" t="s">
        <v>55</v>
      </c>
      <c r="KF59" s="10" t="s">
        <v>56</v>
      </c>
      <c r="KG59" s="10" t="s">
        <v>55</v>
      </c>
      <c r="KH59" s="10" t="s">
        <v>56</v>
      </c>
      <c r="KI59" s="10" t="s">
        <v>55</v>
      </c>
      <c r="KJ59" s="10" t="s">
        <v>56</v>
      </c>
      <c r="KK59" s="10" t="s">
        <v>55</v>
      </c>
      <c r="KL59" s="10" t="s">
        <v>56</v>
      </c>
      <c r="KM59" s="10" t="s">
        <v>55</v>
      </c>
      <c r="KN59" s="10" t="s">
        <v>56</v>
      </c>
      <c r="KO59" s="10" t="s">
        <v>55</v>
      </c>
      <c r="KP59" s="10" t="s">
        <v>56</v>
      </c>
      <c r="KQ59" s="10" t="s">
        <v>55</v>
      </c>
      <c r="KR59" s="10" t="s">
        <v>56</v>
      </c>
      <c r="KS59" s="10" t="s">
        <v>55</v>
      </c>
      <c r="KT59" s="10" t="s">
        <v>56</v>
      </c>
      <c r="KU59" s="10" t="s">
        <v>55</v>
      </c>
      <c r="KV59" s="10" t="s">
        <v>56</v>
      </c>
      <c r="KW59" s="10" t="s">
        <v>55</v>
      </c>
      <c r="KX59" s="10" t="s">
        <v>56</v>
      </c>
      <c r="KY59" s="10" t="s">
        <v>55</v>
      </c>
      <c r="KZ59" s="10" t="s">
        <v>56</v>
      </c>
      <c r="LA59" s="10" t="s">
        <v>55</v>
      </c>
      <c r="LB59" s="10" t="s">
        <v>56</v>
      </c>
      <c r="LC59" s="10" t="s">
        <v>55</v>
      </c>
      <c r="LD59" s="10" t="s">
        <v>56</v>
      </c>
      <c r="LE59" s="10" t="s">
        <v>55</v>
      </c>
      <c r="LF59" s="10" t="s">
        <v>56</v>
      </c>
      <c r="LG59" s="10" t="s">
        <v>55</v>
      </c>
      <c r="LH59" s="10" t="s">
        <v>56</v>
      </c>
      <c r="LI59" s="10" t="s">
        <v>55</v>
      </c>
      <c r="LJ59" s="10" t="s">
        <v>56</v>
      </c>
      <c r="LK59" s="10" t="s">
        <v>55</v>
      </c>
      <c r="LL59" s="10" t="s">
        <v>56</v>
      </c>
      <c r="LM59" s="10" t="s">
        <v>55</v>
      </c>
      <c r="LN59" s="10" t="s">
        <v>56</v>
      </c>
      <c r="LO59" s="10" t="s">
        <v>55</v>
      </c>
      <c r="LP59" s="10" t="s">
        <v>56</v>
      </c>
      <c r="LQ59" s="10" t="s">
        <v>55</v>
      </c>
      <c r="LR59" s="10" t="s">
        <v>56</v>
      </c>
      <c r="LS59" s="10" t="s">
        <v>55</v>
      </c>
      <c r="LT59" s="10" t="s">
        <v>56</v>
      </c>
      <c r="LU59" s="10" t="s">
        <v>55</v>
      </c>
      <c r="LV59" s="10" t="s">
        <v>56</v>
      </c>
      <c r="LW59" s="10" t="s">
        <v>55</v>
      </c>
      <c r="LX59" s="10" t="s">
        <v>56</v>
      </c>
      <c r="LY59" s="10" t="s">
        <v>55</v>
      </c>
      <c r="LZ59" s="10" t="s">
        <v>56</v>
      </c>
      <c r="MA59" s="10" t="s">
        <v>55</v>
      </c>
      <c r="MB59" s="10" t="s">
        <v>56</v>
      </c>
      <c r="MC59" s="10" t="s">
        <v>55</v>
      </c>
      <c r="MD59" s="10" t="s">
        <v>56</v>
      </c>
      <c r="ME59" s="10" t="s">
        <v>55</v>
      </c>
      <c r="MF59" s="10" t="s">
        <v>56</v>
      </c>
      <c r="MG59" s="10" t="s">
        <v>55</v>
      </c>
      <c r="MH59" s="10" t="s">
        <v>56</v>
      </c>
      <c r="MI59" s="10" t="s">
        <v>55</v>
      </c>
      <c r="MJ59" s="10" t="s">
        <v>56</v>
      </c>
      <c r="MK59" s="10" t="s">
        <v>55</v>
      </c>
      <c r="ML59" s="10" t="s">
        <v>56</v>
      </c>
      <c r="MM59" s="10" t="s">
        <v>55</v>
      </c>
      <c r="MN59" s="10" t="s">
        <v>56</v>
      </c>
      <c r="MO59" s="10" t="s">
        <v>55</v>
      </c>
      <c r="MP59" s="10" t="s">
        <v>56</v>
      </c>
      <c r="MQ59" s="10" t="s">
        <v>55</v>
      </c>
      <c r="MR59" s="10" t="s">
        <v>56</v>
      </c>
      <c r="MS59" s="10" t="s">
        <v>55</v>
      </c>
      <c r="MT59" s="10" t="s">
        <v>56</v>
      </c>
      <c r="MU59" s="10" t="s">
        <v>55</v>
      </c>
      <c r="MV59" s="10" t="s">
        <v>56</v>
      </c>
      <c r="MW59" s="10" t="s">
        <v>55</v>
      </c>
      <c r="MX59" s="10" t="s">
        <v>56</v>
      </c>
      <c r="MY59" s="10" t="s">
        <v>55</v>
      </c>
      <c r="MZ59" s="10" t="s">
        <v>56</v>
      </c>
      <c r="NA59" s="10" t="s">
        <v>55</v>
      </c>
      <c r="NB59" s="10" t="s">
        <v>56</v>
      </c>
      <c r="NC59" s="10" t="s">
        <v>55</v>
      </c>
      <c r="ND59" s="10" t="s">
        <v>56</v>
      </c>
      <c r="NE59" s="10" t="s">
        <v>55</v>
      </c>
      <c r="NF59" s="10" t="s">
        <v>56</v>
      </c>
      <c r="NG59" s="10" t="s">
        <v>55</v>
      </c>
      <c r="NH59" s="10" t="s">
        <v>56</v>
      </c>
      <c r="NI59" s="10" t="s">
        <v>55</v>
      </c>
      <c r="NJ59" s="10" t="s">
        <v>56</v>
      </c>
      <c r="NK59" s="10" t="s">
        <v>55</v>
      </c>
      <c r="NL59" s="10" t="s">
        <v>56</v>
      </c>
      <c r="NM59" s="10" t="s">
        <v>55</v>
      </c>
      <c r="NN59" s="10" t="s">
        <v>56</v>
      </c>
      <c r="NO59" s="10" t="s">
        <v>55</v>
      </c>
      <c r="NP59" s="10" t="s">
        <v>56</v>
      </c>
      <c r="NQ59" s="10" t="s">
        <v>55</v>
      </c>
      <c r="NR59" s="10" t="s">
        <v>56</v>
      </c>
      <c r="NS59" s="10" t="s">
        <v>55</v>
      </c>
      <c r="NT59" s="10" t="s">
        <v>56</v>
      </c>
      <c r="NU59" s="10" t="s">
        <v>55</v>
      </c>
    </row>
    <row r="60" spans="1:385" x14ac:dyDescent="0.2">
      <c r="A60" t="s">
        <v>68</v>
      </c>
      <c r="B60" s="1" t="s">
        <v>1040</v>
      </c>
      <c r="C60" s="1" t="s">
        <v>843</v>
      </c>
      <c r="D60" s="39" cm="1">
        <f t="array" ref="D60">SUMPRODUCT((ISNUMBER(F60:NU60))*(MOD(COLUMN(F60:NU60),2)=0))</f>
        <v>6</v>
      </c>
      <c r="E60" s="1">
        <v>117.15</v>
      </c>
      <c r="F60" s="1" t="s">
        <v>54</v>
      </c>
      <c r="G60" s="1" t="s">
        <v>55</v>
      </c>
      <c r="H60" s="1" t="s">
        <v>54</v>
      </c>
      <c r="I60" s="1" t="s">
        <v>55</v>
      </c>
      <c r="J60" s="1" t="s">
        <v>54</v>
      </c>
      <c r="K60" s="1" t="s">
        <v>55</v>
      </c>
      <c r="L60" s="1" t="s">
        <v>54</v>
      </c>
      <c r="M60" s="1" t="s">
        <v>55</v>
      </c>
      <c r="N60" s="1" t="s">
        <v>54</v>
      </c>
      <c r="O60" s="1" t="s">
        <v>55</v>
      </c>
      <c r="P60" s="1" t="s">
        <v>56</v>
      </c>
      <c r="Q60" s="1" t="s">
        <v>55</v>
      </c>
      <c r="R60" s="1" t="s">
        <v>88</v>
      </c>
      <c r="S60" s="1" t="s">
        <v>55</v>
      </c>
      <c r="T60" s="1" t="s">
        <v>91</v>
      </c>
      <c r="U60" s="1" t="s">
        <v>55</v>
      </c>
      <c r="V60" s="1" t="s">
        <v>92</v>
      </c>
      <c r="W60" s="1" t="s">
        <v>55</v>
      </c>
      <c r="X60" s="1" t="s">
        <v>56</v>
      </c>
      <c r="Y60" s="1" t="s">
        <v>55</v>
      </c>
      <c r="Z60" s="1" t="s">
        <v>56</v>
      </c>
      <c r="AA60" s="1" t="s">
        <v>55</v>
      </c>
      <c r="AB60" s="1" t="s">
        <v>93</v>
      </c>
      <c r="AC60" s="1" t="s">
        <v>55</v>
      </c>
      <c r="AD60" s="1" t="s">
        <v>94</v>
      </c>
      <c r="AE60" s="1" t="s">
        <v>55</v>
      </c>
      <c r="AF60" s="11" t="s">
        <v>88</v>
      </c>
      <c r="AG60" s="11" t="s">
        <v>55</v>
      </c>
      <c r="AH60" s="11" t="s">
        <v>88</v>
      </c>
      <c r="AI60" s="11" t="s">
        <v>55</v>
      </c>
      <c r="AJ60" s="11" t="s">
        <v>153</v>
      </c>
      <c r="AK60" s="11" t="s">
        <v>55</v>
      </c>
      <c r="AL60" s="1">
        <v>4.76</v>
      </c>
      <c r="AM60" s="1">
        <v>0.04</v>
      </c>
      <c r="AN60" s="11">
        <v>5.2</v>
      </c>
      <c r="AO60" s="11">
        <v>0.1</v>
      </c>
      <c r="AP60" s="11" t="s">
        <v>56</v>
      </c>
      <c r="AQ60" s="11" t="s">
        <v>55</v>
      </c>
      <c r="AR60" s="10" t="s">
        <v>56</v>
      </c>
      <c r="AS60" s="10" t="s">
        <v>55</v>
      </c>
      <c r="AT60" s="11" t="s">
        <v>154</v>
      </c>
      <c r="AU60" s="11" t="s">
        <v>55</v>
      </c>
      <c r="AV60" s="11" t="s">
        <v>154</v>
      </c>
      <c r="AW60" s="11" t="s">
        <v>55</v>
      </c>
      <c r="AX60" s="11" t="s">
        <v>155</v>
      </c>
      <c r="AY60" s="11" t="s">
        <v>55</v>
      </c>
      <c r="AZ60" s="1">
        <v>0.8</v>
      </c>
      <c r="BA60" s="1">
        <v>0.1</v>
      </c>
      <c r="BB60" s="1" t="s">
        <v>57</v>
      </c>
      <c r="BC60" s="1" t="s">
        <v>55</v>
      </c>
      <c r="BD60" s="1" t="s">
        <v>56</v>
      </c>
      <c r="BE60" s="1" t="s">
        <v>55</v>
      </c>
      <c r="BF60" s="1" t="s">
        <v>56</v>
      </c>
      <c r="BG60" s="1" t="s">
        <v>55</v>
      </c>
      <c r="BH60" s="1" t="s">
        <v>56</v>
      </c>
      <c r="BI60" s="1" t="s">
        <v>55</v>
      </c>
      <c r="BJ60" s="1" t="s">
        <v>56</v>
      </c>
      <c r="BK60" s="1" t="s">
        <v>55</v>
      </c>
      <c r="BL60" s="1" t="s">
        <v>56</v>
      </c>
      <c r="BM60" s="1" t="s">
        <v>55</v>
      </c>
      <c r="BN60" s="1">
        <v>1.3</v>
      </c>
      <c r="BO60" s="1">
        <v>0.1</v>
      </c>
      <c r="BP60" s="1">
        <v>1</v>
      </c>
      <c r="BQ60" s="1">
        <v>0.2</v>
      </c>
      <c r="BR60" s="11" t="s">
        <v>163</v>
      </c>
      <c r="BS60" s="11" t="s">
        <v>55</v>
      </c>
      <c r="BT60" s="4" t="s">
        <v>168</v>
      </c>
      <c r="BU60" s="4" t="s">
        <v>55</v>
      </c>
      <c r="BV60" s="1" t="s">
        <v>91</v>
      </c>
      <c r="BW60" s="1" t="s">
        <v>55</v>
      </c>
      <c r="BX60" s="1" t="s">
        <v>91</v>
      </c>
      <c r="BY60" s="1" t="s">
        <v>55</v>
      </c>
      <c r="BZ60" s="10" t="s">
        <v>56</v>
      </c>
      <c r="CA60" s="10" t="s">
        <v>55</v>
      </c>
      <c r="CB60" s="10" t="s">
        <v>56</v>
      </c>
      <c r="CC60" s="10" t="s">
        <v>55</v>
      </c>
      <c r="CD60" s="10" t="s">
        <v>56</v>
      </c>
      <c r="CE60" s="10" t="s">
        <v>55</v>
      </c>
      <c r="CF60" s="10" t="s">
        <v>56</v>
      </c>
      <c r="CG60" s="10" t="s">
        <v>55</v>
      </c>
      <c r="CH60" s="10" t="s">
        <v>56</v>
      </c>
      <c r="CI60" s="10" t="s">
        <v>55</v>
      </c>
      <c r="CJ60" s="10" t="s">
        <v>484</v>
      </c>
      <c r="CK60" s="10" t="s">
        <v>55</v>
      </c>
      <c r="CL60" s="19" t="s">
        <v>56</v>
      </c>
      <c r="CM60" s="19" t="s">
        <v>55</v>
      </c>
      <c r="CN60" s="19" t="s">
        <v>56</v>
      </c>
      <c r="CO60" s="19" t="s">
        <v>55</v>
      </c>
      <c r="CP60" s="19" t="s">
        <v>56</v>
      </c>
      <c r="CQ60" s="19" t="s">
        <v>55</v>
      </c>
      <c r="CR60" s="19" t="s">
        <v>56</v>
      </c>
      <c r="CS60" s="19" t="s">
        <v>55</v>
      </c>
      <c r="CT60" s="19" t="s">
        <v>56</v>
      </c>
      <c r="CU60" s="19" t="s">
        <v>55</v>
      </c>
      <c r="CV60" s="19" t="s">
        <v>56</v>
      </c>
      <c r="CW60" s="19" t="s">
        <v>55</v>
      </c>
      <c r="CX60" s="10" t="s">
        <v>56</v>
      </c>
      <c r="CY60" s="10" t="s">
        <v>55</v>
      </c>
      <c r="CZ60" s="10" t="s">
        <v>56</v>
      </c>
      <c r="DA60" s="10" t="s">
        <v>55</v>
      </c>
      <c r="DB60" s="10" t="s">
        <v>56</v>
      </c>
      <c r="DC60" s="10" t="s">
        <v>55</v>
      </c>
      <c r="DD60" s="10" t="s">
        <v>56</v>
      </c>
      <c r="DE60" s="10" t="s">
        <v>55</v>
      </c>
      <c r="DF60" s="10" t="s">
        <v>56</v>
      </c>
      <c r="DG60" s="10" t="s">
        <v>55</v>
      </c>
      <c r="DH60" s="10" t="s">
        <v>56</v>
      </c>
      <c r="DI60" s="10" t="s">
        <v>55</v>
      </c>
      <c r="DJ60" s="10" t="s">
        <v>56</v>
      </c>
      <c r="DK60" s="10" t="s">
        <v>55</v>
      </c>
      <c r="DL60" s="10" t="s">
        <v>56</v>
      </c>
      <c r="DM60" s="10" t="s">
        <v>55</v>
      </c>
      <c r="DN60" s="10" t="s">
        <v>56</v>
      </c>
      <c r="DO60" s="10" t="s">
        <v>55</v>
      </c>
      <c r="DP60" s="10" t="s">
        <v>56</v>
      </c>
      <c r="DQ60" s="10" t="s">
        <v>55</v>
      </c>
      <c r="DR60" s="10" t="s">
        <v>56</v>
      </c>
      <c r="DS60" s="10" t="s">
        <v>55</v>
      </c>
      <c r="DT60" s="10" t="s">
        <v>240</v>
      </c>
      <c r="DU60" s="10" t="s">
        <v>55</v>
      </c>
      <c r="DV60" s="10" t="s">
        <v>240</v>
      </c>
      <c r="DW60" s="10" t="s">
        <v>55</v>
      </c>
      <c r="DX60" s="10" t="s">
        <v>240</v>
      </c>
      <c r="DY60" s="10" t="s">
        <v>55</v>
      </c>
      <c r="DZ60" s="10" t="s">
        <v>229</v>
      </c>
      <c r="EA60" s="10" t="s">
        <v>55</v>
      </c>
      <c r="EB60" s="10" t="s">
        <v>229</v>
      </c>
      <c r="EC60" s="10" t="s">
        <v>55</v>
      </c>
      <c r="ED60" s="10" t="s">
        <v>229</v>
      </c>
      <c r="EE60" s="10" t="s">
        <v>55</v>
      </c>
      <c r="EF60" s="10" t="s">
        <v>229</v>
      </c>
      <c r="EG60" s="10" t="s">
        <v>55</v>
      </c>
      <c r="EH60" s="10" t="s">
        <v>233</v>
      </c>
      <c r="EI60" s="10" t="s">
        <v>55</v>
      </c>
      <c r="EJ60" s="10" t="s">
        <v>233</v>
      </c>
      <c r="EK60" s="10" t="s">
        <v>55</v>
      </c>
      <c r="EL60" s="10" t="s">
        <v>233</v>
      </c>
      <c r="EM60" s="10" t="s">
        <v>55</v>
      </c>
      <c r="EN60" s="10" t="s">
        <v>56</v>
      </c>
      <c r="EO60" s="10" t="s">
        <v>55</v>
      </c>
      <c r="EP60" s="10" t="s">
        <v>56</v>
      </c>
      <c r="EQ60" s="10" t="s">
        <v>55</v>
      </c>
      <c r="ER60" s="10" t="s">
        <v>56</v>
      </c>
      <c r="ES60" s="10" t="s">
        <v>55</v>
      </c>
      <c r="ET60" s="10" t="s">
        <v>56</v>
      </c>
      <c r="EU60" s="10" t="s">
        <v>55</v>
      </c>
      <c r="EV60" s="10" t="s">
        <v>56</v>
      </c>
      <c r="EW60" s="10" t="s">
        <v>55</v>
      </c>
      <c r="EX60" s="10" t="s">
        <v>56</v>
      </c>
      <c r="EY60" s="10" t="s">
        <v>55</v>
      </c>
      <c r="EZ60" s="10" t="s">
        <v>56</v>
      </c>
      <c r="FA60" s="10" t="s">
        <v>55</v>
      </c>
      <c r="FB60" s="10" t="s">
        <v>56</v>
      </c>
      <c r="FC60" s="10" t="s">
        <v>55</v>
      </c>
      <c r="FD60" s="10" t="s">
        <v>56</v>
      </c>
      <c r="FE60" s="10" t="s">
        <v>55</v>
      </c>
      <c r="FF60" s="10" t="s">
        <v>56</v>
      </c>
      <c r="FG60" s="10" t="s">
        <v>55</v>
      </c>
      <c r="FH60" s="10" t="s">
        <v>56</v>
      </c>
      <c r="FI60" s="10" t="s">
        <v>55</v>
      </c>
      <c r="FJ60" s="10" t="s">
        <v>56</v>
      </c>
      <c r="FK60" s="10" t="s">
        <v>55</v>
      </c>
      <c r="FL60" s="10" t="s">
        <v>56</v>
      </c>
      <c r="FM60" s="10" t="s">
        <v>55</v>
      </c>
      <c r="FN60" s="10" t="s">
        <v>56</v>
      </c>
      <c r="FO60" s="10" t="s">
        <v>55</v>
      </c>
      <c r="FP60" s="10" t="s">
        <v>56</v>
      </c>
      <c r="FQ60" s="10" t="s">
        <v>55</v>
      </c>
      <c r="FR60" s="10" t="s">
        <v>56</v>
      </c>
      <c r="FS60" s="10" t="s">
        <v>55</v>
      </c>
      <c r="FT60" s="10" t="s">
        <v>56</v>
      </c>
      <c r="FU60" s="10" t="s">
        <v>55</v>
      </c>
      <c r="FV60" s="10" t="s">
        <v>56</v>
      </c>
      <c r="FW60" s="10" t="s">
        <v>55</v>
      </c>
      <c r="FX60" s="10" t="s">
        <v>56</v>
      </c>
      <c r="FY60" s="10" t="s">
        <v>55</v>
      </c>
      <c r="FZ60" s="10" t="s">
        <v>56</v>
      </c>
      <c r="GA60" s="10" t="s">
        <v>55</v>
      </c>
      <c r="GB60" s="10" t="s">
        <v>56</v>
      </c>
      <c r="GC60" s="10" t="s">
        <v>55</v>
      </c>
      <c r="GD60" s="10" t="s">
        <v>56</v>
      </c>
      <c r="GE60" s="10" t="s">
        <v>55</v>
      </c>
      <c r="GF60" s="10" t="s">
        <v>56</v>
      </c>
      <c r="GG60" s="10" t="s">
        <v>55</v>
      </c>
      <c r="GH60" s="10" t="s">
        <v>56</v>
      </c>
      <c r="GI60" s="10" t="s">
        <v>55</v>
      </c>
      <c r="GJ60" s="10" t="s">
        <v>56</v>
      </c>
      <c r="GK60" s="10" t="s">
        <v>55</v>
      </c>
      <c r="GL60" s="10" t="s">
        <v>56</v>
      </c>
      <c r="GM60" s="10" t="s">
        <v>55</v>
      </c>
      <c r="GN60" s="10" t="s">
        <v>56</v>
      </c>
      <c r="GO60" s="10" t="s">
        <v>55</v>
      </c>
      <c r="GP60" s="10" t="s">
        <v>56</v>
      </c>
      <c r="GQ60" s="10" t="s">
        <v>55</v>
      </c>
      <c r="GR60" s="10" t="s">
        <v>61</v>
      </c>
      <c r="GS60" s="10" t="s">
        <v>55</v>
      </c>
      <c r="GT60" s="10" t="s">
        <v>61</v>
      </c>
      <c r="GU60" s="10" t="s">
        <v>55</v>
      </c>
      <c r="GV60" s="10">
        <v>0.1</v>
      </c>
      <c r="GW60" s="10">
        <v>0.1</v>
      </c>
      <c r="GX60" s="10" t="s">
        <v>56</v>
      </c>
      <c r="GY60" s="10" t="s">
        <v>55</v>
      </c>
      <c r="GZ60" s="10" t="s">
        <v>56</v>
      </c>
      <c r="HA60" s="10" t="s">
        <v>55</v>
      </c>
      <c r="HB60" s="10" t="s">
        <v>56</v>
      </c>
      <c r="HC60" s="10" t="s">
        <v>55</v>
      </c>
      <c r="HD60" s="10" t="s">
        <v>56</v>
      </c>
      <c r="HE60" s="10" t="s">
        <v>55</v>
      </c>
      <c r="HF60" s="10" t="s">
        <v>56</v>
      </c>
      <c r="HG60" s="10" t="s">
        <v>55</v>
      </c>
      <c r="HH60" s="10" t="s">
        <v>56</v>
      </c>
      <c r="HI60" s="10" t="s">
        <v>55</v>
      </c>
      <c r="HJ60" s="10" t="s">
        <v>56</v>
      </c>
      <c r="HK60" s="10" t="s">
        <v>55</v>
      </c>
      <c r="HL60" s="10" t="s">
        <v>56</v>
      </c>
      <c r="HM60" s="10" t="s">
        <v>55</v>
      </c>
      <c r="HN60" s="10" t="s">
        <v>56</v>
      </c>
      <c r="HO60" s="10" t="s">
        <v>55</v>
      </c>
      <c r="HP60" s="10" t="s">
        <v>56</v>
      </c>
      <c r="HQ60" s="10" t="s">
        <v>55</v>
      </c>
      <c r="HR60" s="10" t="s">
        <v>56</v>
      </c>
      <c r="HS60" s="10" t="s">
        <v>55</v>
      </c>
      <c r="HT60" s="10" t="s">
        <v>56</v>
      </c>
      <c r="HU60" s="10" t="s">
        <v>55</v>
      </c>
      <c r="HV60" s="10" t="s">
        <v>56</v>
      </c>
      <c r="HW60" s="10" t="s">
        <v>55</v>
      </c>
      <c r="HX60" s="10" t="s">
        <v>56</v>
      </c>
      <c r="HY60" s="10" t="s">
        <v>55</v>
      </c>
      <c r="HZ60" s="10" t="s">
        <v>56</v>
      </c>
      <c r="IA60" s="10" t="s">
        <v>55</v>
      </c>
      <c r="IB60" s="10" t="s">
        <v>56</v>
      </c>
      <c r="IC60" s="10" t="s">
        <v>55</v>
      </c>
      <c r="ID60" s="4" t="s">
        <v>56</v>
      </c>
      <c r="IE60" s="4" t="s">
        <v>55</v>
      </c>
      <c r="IF60" s="4" t="s">
        <v>56</v>
      </c>
      <c r="IG60" s="4" t="s">
        <v>55</v>
      </c>
      <c r="IH60" s="4" t="s">
        <v>56</v>
      </c>
      <c r="II60" s="4" t="s">
        <v>55</v>
      </c>
      <c r="IJ60" s="4" t="s">
        <v>56</v>
      </c>
      <c r="IK60" s="4" t="s">
        <v>55</v>
      </c>
      <c r="IL60" s="4" t="s">
        <v>56</v>
      </c>
      <c r="IM60" s="4" t="s">
        <v>55</v>
      </c>
      <c r="IN60" s="4" t="s">
        <v>56</v>
      </c>
      <c r="IO60" s="4" t="s">
        <v>55</v>
      </c>
      <c r="IP60" s="4" t="s">
        <v>56</v>
      </c>
      <c r="IQ60" s="4" t="s">
        <v>55</v>
      </c>
      <c r="IR60" s="4" t="s">
        <v>56</v>
      </c>
      <c r="IS60" s="4" t="s">
        <v>55</v>
      </c>
      <c r="IT60" s="18" t="s">
        <v>56</v>
      </c>
      <c r="IU60" s="18" t="s">
        <v>55</v>
      </c>
      <c r="IV60" s="4" t="s">
        <v>556</v>
      </c>
      <c r="IW60" s="4" t="s">
        <v>55</v>
      </c>
      <c r="IX60" s="4" t="s">
        <v>56</v>
      </c>
      <c r="IY60" s="4" t="s">
        <v>55</v>
      </c>
      <c r="IZ60" s="4" t="s">
        <v>56</v>
      </c>
      <c r="JA60" s="4" t="s">
        <v>55</v>
      </c>
      <c r="JB60" s="4" t="s">
        <v>56</v>
      </c>
      <c r="JC60" s="4" t="s">
        <v>55</v>
      </c>
      <c r="JD60" s="4" t="s">
        <v>56</v>
      </c>
      <c r="JE60" s="4" t="s">
        <v>55</v>
      </c>
      <c r="JF60" s="4" t="s">
        <v>56</v>
      </c>
      <c r="JG60" s="4" t="s">
        <v>55</v>
      </c>
      <c r="JH60" s="4" t="s">
        <v>56</v>
      </c>
      <c r="JI60" s="4" t="s">
        <v>55</v>
      </c>
      <c r="JJ60" s="4" t="s">
        <v>56</v>
      </c>
      <c r="JK60" s="4" t="s">
        <v>55</v>
      </c>
      <c r="JL60" s="4" t="s">
        <v>56</v>
      </c>
      <c r="JM60" s="4" t="s">
        <v>55</v>
      </c>
      <c r="JN60" s="4" t="s">
        <v>56</v>
      </c>
      <c r="JO60" s="4" t="s">
        <v>55</v>
      </c>
      <c r="JP60" s="4" t="s">
        <v>56</v>
      </c>
      <c r="JQ60" s="4" t="s">
        <v>55</v>
      </c>
      <c r="JR60" s="4" t="s">
        <v>56</v>
      </c>
      <c r="JS60" s="4" t="s">
        <v>55</v>
      </c>
      <c r="JT60" s="4" t="s">
        <v>56</v>
      </c>
      <c r="JU60" s="4" t="s">
        <v>55</v>
      </c>
      <c r="JV60" s="4" t="s">
        <v>56</v>
      </c>
      <c r="JW60" s="4" t="s">
        <v>55</v>
      </c>
      <c r="JX60" s="26" t="s">
        <v>56</v>
      </c>
      <c r="JY60" s="26" t="s">
        <v>55</v>
      </c>
      <c r="JZ60" s="26" t="s">
        <v>56</v>
      </c>
      <c r="KA60" s="26" t="s">
        <v>55</v>
      </c>
      <c r="KB60" s="26" t="s">
        <v>56</v>
      </c>
      <c r="KC60" s="26" t="s">
        <v>55</v>
      </c>
      <c r="KD60" s="26" t="s">
        <v>56</v>
      </c>
      <c r="KE60" s="26" t="s">
        <v>55</v>
      </c>
      <c r="KF60" s="26" t="s">
        <v>56</v>
      </c>
      <c r="KG60" s="26" t="s">
        <v>55</v>
      </c>
      <c r="KH60" s="4" t="s">
        <v>56</v>
      </c>
      <c r="KI60" s="4" t="s">
        <v>55</v>
      </c>
      <c r="KJ60" s="4" t="s">
        <v>56</v>
      </c>
      <c r="KK60" s="4" t="s">
        <v>55</v>
      </c>
      <c r="KL60" s="4" t="s">
        <v>56</v>
      </c>
      <c r="KM60" s="4" t="s">
        <v>55</v>
      </c>
      <c r="KN60" s="4" t="s">
        <v>56</v>
      </c>
      <c r="KO60" s="4" t="s">
        <v>55</v>
      </c>
      <c r="KP60" s="4" t="s">
        <v>56</v>
      </c>
      <c r="KQ60" s="4" t="s">
        <v>55</v>
      </c>
      <c r="KR60" s="17" t="s">
        <v>56</v>
      </c>
      <c r="KS60" s="17" t="s">
        <v>55</v>
      </c>
      <c r="KT60" s="17" t="s">
        <v>56</v>
      </c>
      <c r="KU60" s="17" t="s">
        <v>55</v>
      </c>
      <c r="KV60" s="4" t="s">
        <v>56</v>
      </c>
      <c r="KW60" s="4" t="s">
        <v>55</v>
      </c>
      <c r="KX60" s="4" t="s">
        <v>56</v>
      </c>
      <c r="KY60" s="4" t="s">
        <v>55</v>
      </c>
      <c r="KZ60" s="4" t="s">
        <v>56</v>
      </c>
      <c r="LA60" s="4" t="s">
        <v>55</v>
      </c>
      <c r="LB60" s="10" t="s">
        <v>56</v>
      </c>
      <c r="LC60" s="10" t="s">
        <v>55</v>
      </c>
      <c r="LD60" s="10" t="s">
        <v>56</v>
      </c>
      <c r="LE60" s="10" t="s">
        <v>55</v>
      </c>
      <c r="LF60" s="10" t="s">
        <v>56</v>
      </c>
      <c r="LG60" s="10" t="s">
        <v>55</v>
      </c>
      <c r="LH60" s="10" t="s">
        <v>56</v>
      </c>
      <c r="LI60" s="10" t="s">
        <v>55</v>
      </c>
      <c r="LJ60" s="10" t="s">
        <v>56</v>
      </c>
      <c r="LK60" s="10" t="s">
        <v>162</v>
      </c>
      <c r="LL60" s="10" t="s">
        <v>56</v>
      </c>
      <c r="LM60" s="10" t="s">
        <v>162</v>
      </c>
      <c r="LN60" s="10" t="s">
        <v>56</v>
      </c>
      <c r="LO60" s="10" t="s">
        <v>162</v>
      </c>
      <c r="LP60" s="10" t="s">
        <v>56</v>
      </c>
      <c r="LQ60" s="10" t="s">
        <v>162</v>
      </c>
      <c r="LR60" s="10" t="s">
        <v>56</v>
      </c>
      <c r="LS60" s="10" t="s">
        <v>162</v>
      </c>
      <c r="LT60" s="10" t="s">
        <v>56</v>
      </c>
      <c r="LU60" s="10" t="s">
        <v>162</v>
      </c>
      <c r="LV60" s="10" t="s">
        <v>56</v>
      </c>
      <c r="LW60" s="10" t="s">
        <v>55</v>
      </c>
      <c r="LX60" s="10" t="s">
        <v>56</v>
      </c>
      <c r="LY60" s="10" t="s">
        <v>55</v>
      </c>
      <c r="LZ60" s="10" t="s">
        <v>56</v>
      </c>
      <c r="MA60" s="10" t="s">
        <v>55</v>
      </c>
      <c r="MB60" s="10" t="s">
        <v>56</v>
      </c>
      <c r="MC60" s="10" t="s">
        <v>55</v>
      </c>
      <c r="MD60" s="17" t="s">
        <v>56</v>
      </c>
      <c r="ME60" s="4" t="s">
        <v>55</v>
      </c>
      <c r="MF60" s="17" t="s">
        <v>56</v>
      </c>
      <c r="MG60" s="4" t="s">
        <v>55</v>
      </c>
      <c r="MH60" s="17" t="s">
        <v>56</v>
      </c>
      <c r="MI60" s="4" t="s">
        <v>55</v>
      </c>
      <c r="MJ60" s="17" t="s">
        <v>56</v>
      </c>
      <c r="MK60" s="4" t="s">
        <v>55</v>
      </c>
      <c r="ML60" s="17" t="s">
        <v>56</v>
      </c>
      <c r="MM60" s="4" t="s">
        <v>55</v>
      </c>
      <c r="MN60" s="17" t="s">
        <v>56</v>
      </c>
      <c r="MO60" s="4" t="s">
        <v>55</v>
      </c>
      <c r="MP60" s="17" t="s">
        <v>56</v>
      </c>
      <c r="MQ60" s="4" t="s">
        <v>55</v>
      </c>
      <c r="MR60" s="17" t="s">
        <v>56</v>
      </c>
      <c r="MS60" s="4" t="s">
        <v>55</v>
      </c>
      <c r="MT60" s="17" t="s">
        <v>56</v>
      </c>
      <c r="MU60" s="4" t="s">
        <v>55</v>
      </c>
      <c r="MV60" s="17" t="s">
        <v>56</v>
      </c>
      <c r="MW60" s="4" t="s">
        <v>55</v>
      </c>
      <c r="MX60" s="17" t="s">
        <v>56</v>
      </c>
      <c r="MY60" s="4" t="s">
        <v>55</v>
      </c>
      <c r="MZ60" s="17" t="s">
        <v>56</v>
      </c>
      <c r="NA60" s="4" t="s">
        <v>55</v>
      </c>
      <c r="NB60" s="10" t="s">
        <v>56</v>
      </c>
      <c r="NC60" s="10" t="s">
        <v>55</v>
      </c>
      <c r="ND60" s="10" t="s">
        <v>56</v>
      </c>
      <c r="NE60" s="10" t="s">
        <v>55</v>
      </c>
      <c r="NF60" s="10" t="s">
        <v>56</v>
      </c>
      <c r="NG60" s="10" t="s">
        <v>55</v>
      </c>
      <c r="NH60" s="10" t="s">
        <v>56</v>
      </c>
      <c r="NI60" s="10" t="s">
        <v>55</v>
      </c>
      <c r="NJ60" s="10" t="s">
        <v>56</v>
      </c>
      <c r="NK60" s="10" t="s">
        <v>55</v>
      </c>
      <c r="NL60" s="10" t="s">
        <v>56</v>
      </c>
      <c r="NM60" s="4" t="s">
        <v>55</v>
      </c>
      <c r="NN60" s="10" t="s">
        <v>56</v>
      </c>
      <c r="NO60" s="4" t="s">
        <v>55</v>
      </c>
      <c r="NP60" s="10" t="s">
        <v>56</v>
      </c>
      <c r="NQ60" s="4" t="s">
        <v>55</v>
      </c>
      <c r="NR60" s="10" t="s">
        <v>56</v>
      </c>
      <c r="NS60" s="10" t="s">
        <v>55</v>
      </c>
      <c r="NT60" s="10" t="s">
        <v>56</v>
      </c>
      <c r="NU60" s="10" t="s">
        <v>55</v>
      </c>
    </row>
    <row r="61" spans="1:385" x14ac:dyDescent="0.2">
      <c r="A61" t="s">
        <v>69</v>
      </c>
      <c r="B61" s="1" t="s">
        <v>1040</v>
      </c>
      <c r="C61" s="1" t="s">
        <v>843</v>
      </c>
      <c r="D61" s="39" cm="1">
        <f t="array" ref="D61">SUMPRODUCT((ISNUMBER(F61:NU61))*(MOD(COLUMN(F61:NU61),2)=0))</f>
        <v>37</v>
      </c>
      <c r="E61" s="1">
        <v>117.15</v>
      </c>
      <c r="F61" s="1" t="s">
        <v>75</v>
      </c>
      <c r="G61" s="1" t="s">
        <v>55</v>
      </c>
      <c r="H61" s="1" t="s">
        <v>54</v>
      </c>
      <c r="I61" s="1" t="s">
        <v>55</v>
      </c>
      <c r="J61" s="1" t="s">
        <v>75</v>
      </c>
      <c r="K61" s="1" t="s">
        <v>55</v>
      </c>
      <c r="L61" s="1" t="s">
        <v>54</v>
      </c>
      <c r="M61" s="1" t="s">
        <v>55</v>
      </c>
      <c r="N61" s="1" t="s">
        <v>75</v>
      </c>
      <c r="O61" s="1" t="s">
        <v>55</v>
      </c>
      <c r="P61" s="1" t="s">
        <v>56</v>
      </c>
      <c r="Q61" s="1" t="s">
        <v>55</v>
      </c>
      <c r="R61" s="1">
        <v>0.11</v>
      </c>
      <c r="S61" s="1">
        <v>0.01</v>
      </c>
      <c r="T61" s="1">
        <v>0.19</v>
      </c>
      <c r="U61" s="1">
        <v>0.02</v>
      </c>
      <c r="V61" s="1">
        <v>0.82</v>
      </c>
      <c r="W61" s="1">
        <v>0.05</v>
      </c>
      <c r="X61" s="1" t="s">
        <v>56</v>
      </c>
      <c r="Y61" s="1" t="s">
        <v>55</v>
      </c>
      <c r="Z61" s="1" t="s">
        <v>56</v>
      </c>
      <c r="AA61" s="1" t="s">
        <v>55</v>
      </c>
      <c r="AB61" s="1">
        <v>4.5999999999999996</v>
      </c>
      <c r="AC61" s="1">
        <v>0.18</v>
      </c>
      <c r="AD61" s="1">
        <v>2.69</v>
      </c>
      <c r="AE61" s="1">
        <v>0.17</v>
      </c>
      <c r="AF61" s="11">
        <f>5.7/E61</f>
        <v>4.8655569782330342E-2</v>
      </c>
      <c r="AG61" s="11">
        <f>0.5/E61</f>
        <v>4.2680324370465211E-3</v>
      </c>
      <c r="AH61" s="11">
        <f>23/E61</f>
        <v>0.19632949210413997</v>
      </c>
      <c r="AI61" s="11">
        <f>2/E61</f>
        <v>1.7072129748186084E-2</v>
      </c>
      <c r="AJ61" s="11">
        <f>195/E61</f>
        <v>1.6645326504481432</v>
      </c>
      <c r="AK61" s="11">
        <f>16/E61</f>
        <v>0.13657703798548868</v>
      </c>
      <c r="AL61" s="1">
        <v>1.9</v>
      </c>
      <c r="AM61" s="1">
        <v>0.1</v>
      </c>
      <c r="AN61" s="11">
        <v>1.73</v>
      </c>
      <c r="AO61" s="11">
        <v>0.01</v>
      </c>
      <c r="AP61" s="11" t="s">
        <v>56</v>
      </c>
      <c r="AQ61" s="11" t="s">
        <v>55</v>
      </c>
      <c r="AR61" s="10" t="s">
        <v>56</v>
      </c>
      <c r="AS61" s="10" t="s">
        <v>55</v>
      </c>
      <c r="AT61" s="11">
        <f>36/E61</f>
        <v>0.30729833546734953</v>
      </c>
      <c r="AU61" s="11">
        <f>3/E61</f>
        <v>2.5608194622279128E-2</v>
      </c>
      <c r="AV61" s="11">
        <f>21/E61</f>
        <v>0.17925736235595391</v>
      </c>
      <c r="AW61" s="11">
        <f>1/E61</f>
        <v>8.5360648740930422E-3</v>
      </c>
      <c r="AX61" s="11">
        <f>320/E61</f>
        <v>2.7315407597097736</v>
      </c>
      <c r="AY61" s="11">
        <f>13/E61</f>
        <v>0.11096884336320956</v>
      </c>
      <c r="AZ61" s="1">
        <v>2.48</v>
      </c>
      <c r="BA61" s="1">
        <v>0.03</v>
      </c>
      <c r="BB61" s="1" t="s">
        <v>57</v>
      </c>
      <c r="BC61" s="1" t="s">
        <v>55</v>
      </c>
      <c r="BD61" s="1" t="s">
        <v>56</v>
      </c>
      <c r="BE61" s="1" t="s">
        <v>55</v>
      </c>
      <c r="BF61" s="1" t="s">
        <v>90</v>
      </c>
      <c r="BG61" s="1" t="s">
        <v>55</v>
      </c>
      <c r="BH61" s="1" t="s">
        <v>90</v>
      </c>
      <c r="BI61" s="1" t="s">
        <v>55</v>
      </c>
      <c r="BJ61" s="1" t="s">
        <v>88</v>
      </c>
      <c r="BK61" s="1" t="s">
        <v>55</v>
      </c>
      <c r="BL61" s="1" t="s">
        <v>56</v>
      </c>
      <c r="BM61" s="1" t="s">
        <v>55</v>
      </c>
      <c r="BN61" s="1">
        <v>0.47</v>
      </c>
      <c r="BO61" s="1">
        <v>0.02</v>
      </c>
      <c r="BP61" s="1">
        <v>0.17</v>
      </c>
      <c r="BQ61" s="1">
        <v>0.01</v>
      </c>
      <c r="BR61" s="11">
        <f>69/E61</f>
        <v>0.58898847631241991</v>
      </c>
      <c r="BS61" s="11">
        <f>3/E61</f>
        <v>2.5608194622279128E-2</v>
      </c>
      <c r="BT61" s="4">
        <v>0.27</v>
      </c>
      <c r="BU61" s="4">
        <v>0.01</v>
      </c>
      <c r="BV61" s="1" t="s">
        <v>91</v>
      </c>
      <c r="BW61" s="1" t="s">
        <v>55</v>
      </c>
      <c r="BX61" s="1">
        <v>0.01</v>
      </c>
      <c r="BY61" s="1" t="s">
        <v>55</v>
      </c>
      <c r="BZ61" s="10">
        <f>3.1/E61</f>
        <v>2.6461801109688432E-2</v>
      </c>
      <c r="CA61" s="10">
        <f>0.6/E61</f>
        <v>5.1216389244558257E-3</v>
      </c>
      <c r="CB61" s="10" t="s">
        <v>240</v>
      </c>
      <c r="CC61" s="10" t="s">
        <v>55</v>
      </c>
      <c r="CD61" s="10">
        <f>0.1/E61</f>
        <v>8.5360648740930435E-4</v>
      </c>
      <c r="CE61" s="10">
        <f>0.1/E61</f>
        <v>8.5360648740930435E-4</v>
      </c>
      <c r="CF61" s="10">
        <f>0.6/E61</f>
        <v>5.1216389244558257E-3</v>
      </c>
      <c r="CG61" s="10">
        <f>0.2/E61</f>
        <v>1.7072129748186087E-3</v>
      </c>
      <c r="CH61" s="10">
        <f>0.7/E61</f>
        <v>5.9752454118651294E-3</v>
      </c>
      <c r="CI61" s="10">
        <f>0.4/E61</f>
        <v>3.4144259496372174E-3</v>
      </c>
      <c r="CJ61" s="10">
        <f>1.8/E61</f>
        <v>1.5364916773367477E-2</v>
      </c>
      <c r="CK61" s="10">
        <f>0.2/E61</f>
        <v>1.7072129748186087E-3</v>
      </c>
      <c r="CL61" s="19" t="s">
        <v>152</v>
      </c>
      <c r="CM61" s="19" t="s">
        <v>55</v>
      </c>
      <c r="CN61" s="10">
        <f>1.4/E61</f>
        <v>1.1950490823730259E-2</v>
      </c>
      <c r="CO61" s="10">
        <f>0.7/E61</f>
        <v>5.9752454118651294E-3</v>
      </c>
      <c r="CP61" s="19" t="s">
        <v>231</v>
      </c>
      <c r="CQ61" s="19" t="s">
        <v>55</v>
      </c>
      <c r="CR61" s="10" t="s">
        <v>240</v>
      </c>
      <c r="CS61" s="19" t="s">
        <v>55</v>
      </c>
      <c r="CT61" s="19" t="s">
        <v>240</v>
      </c>
      <c r="CU61" s="19" t="s">
        <v>55</v>
      </c>
      <c r="CV61" s="10">
        <f>1/E61</f>
        <v>8.5360648740930422E-3</v>
      </c>
      <c r="CW61" s="10">
        <f>1/E61</f>
        <v>8.5360648740930422E-3</v>
      </c>
      <c r="CX61" s="10" t="s">
        <v>243</v>
      </c>
      <c r="CY61" s="10" t="s">
        <v>55</v>
      </c>
      <c r="CZ61" s="10">
        <f>0.3/E61</f>
        <v>2.5608194622279128E-3</v>
      </c>
      <c r="DA61" s="10">
        <f>0.2/E61</f>
        <v>1.7072129748186087E-3</v>
      </c>
      <c r="DB61" s="10">
        <f>0.3/E61</f>
        <v>2.5608194622279128E-3</v>
      </c>
      <c r="DC61" s="10">
        <f>0.2/E61</f>
        <v>1.7072129748186087E-3</v>
      </c>
      <c r="DD61" s="10" t="s">
        <v>56</v>
      </c>
      <c r="DE61" s="10" t="s">
        <v>55</v>
      </c>
      <c r="DF61" s="10" t="s">
        <v>56</v>
      </c>
      <c r="DG61" s="10" t="s">
        <v>55</v>
      </c>
      <c r="DH61" s="10">
        <f>38/E61</f>
        <v>0.32437046521553564</v>
      </c>
      <c r="DI61" s="10">
        <f>4/E61</f>
        <v>3.4144259496372169E-2</v>
      </c>
      <c r="DJ61" s="10">
        <f>64/E61</f>
        <v>0.5463081519419547</v>
      </c>
      <c r="DK61" s="10">
        <f>6/E61</f>
        <v>5.1216389244558257E-2</v>
      </c>
      <c r="DL61" s="10">
        <f>85/E61</f>
        <v>0.72556551429790861</v>
      </c>
      <c r="DM61" s="8">
        <f>6/E61</f>
        <v>5.1216389244558257E-2</v>
      </c>
      <c r="DN61" s="10" t="s">
        <v>240</v>
      </c>
      <c r="DO61" s="10" t="s">
        <v>55</v>
      </c>
      <c r="DP61" s="10">
        <f>22/E61</f>
        <v>0.18779342723004694</v>
      </c>
      <c r="DQ61" s="10">
        <f>1/E61</f>
        <v>8.5360648740930422E-3</v>
      </c>
      <c r="DR61" s="10">
        <f>1.4/E61</f>
        <v>1.1950490823730259E-2</v>
      </c>
      <c r="DS61" s="10">
        <f>0.2/E61</f>
        <v>1.7072129748186087E-3</v>
      </c>
      <c r="DT61" s="10">
        <f>5.1/E61</f>
        <v>4.3533930857874513E-2</v>
      </c>
      <c r="DU61" s="10">
        <f>0.6/E61</f>
        <v>5.1216389244558257E-3</v>
      </c>
      <c r="DV61" s="10" t="s">
        <v>240</v>
      </c>
      <c r="DW61" s="10" t="s">
        <v>55</v>
      </c>
      <c r="DX61" s="10" t="s">
        <v>240</v>
      </c>
      <c r="DY61" s="10" t="s">
        <v>55</v>
      </c>
      <c r="DZ61" s="10" t="s">
        <v>229</v>
      </c>
      <c r="EA61" s="10" t="s">
        <v>55</v>
      </c>
      <c r="EB61" s="10" t="s">
        <v>229</v>
      </c>
      <c r="EC61" s="10" t="s">
        <v>55</v>
      </c>
      <c r="ED61" s="10" t="s">
        <v>229</v>
      </c>
      <c r="EE61" s="10" t="s">
        <v>55</v>
      </c>
      <c r="EF61" s="10" t="s">
        <v>229</v>
      </c>
      <c r="EG61" s="10" t="s">
        <v>55</v>
      </c>
      <c r="EH61" s="10" t="s">
        <v>233</v>
      </c>
      <c r="EI61" s="10" t="s">
        <v>55</v>
      </c>
      <c r="EJ61" s="10" t="s">
        <v>233</v>
      </c>
      <c r="EK61" s="10" t="s">
        <v>55</v>
      </c>
      <c r="EL61" s="10" t="s">
        <v>233</v>
      </c>
      <c r="EM61" s="10" t="s">
        <v>55</v>
      </c>
      <c r="EN61" s="10" t="s">
        <v>56</v>
      </c>
      <c r="EO61" s="10" t="s">
        <v>55</v>
      </c>
      <c r="EP61" s="10" t="s">
        <v>56</v>
      </c>
      <c r="EQ61" s="10" t="s">
        <v>55</v>
      </c>
      <c r="ER61" s="10" t="s">
        <v>56</v>
      </c>
      <c r="ES61" s="10" t="s">
        <v>55</v>
      </c>
      <c r="ET61" s="10" t="s">
        <v>56</v>
      </c>
      <c r="EU61" s="10" t="s">
        <v>55</v>
      </c>
      <c r="EV61" s="10" t="s">
        <v>56</v>
      </c>
      <c r="EW61" s="10" t="s">
        <v>55</v>
      </c>
      <c r="EX61" s="10" t="s">
        <v>56</v>
      </c>
      <c r="EY61" s="10" t="s">
        <v>55</v>
      </c>
      <c r="EZ61" s="10" t="s">
        <v>56</v>
      </c>
      <c r="FA61" s="10" t="s">
        <v>55</v>
      </c>
      <c r="FB61" s="10" t="s">
        <v>56</v>
      </c>
      <c r="FC61" s="10" t="s">
        <v>55</v>
      </c>
      <c r="FD61" s="10" t="s">
        <v>56</v>
      </c>
      <c r="FE61" s="10" t="s">
        <v>55</v>
      </c>
      <c r="FF61" s="10" t="s">
        <v>56</v>
      </c>
      <c r="FG61" s="10" t="s">
        <v>55</v>
      </c>
      <c r="FH61" s="10" t="s">
        <v>56</v>
      </c>
      <c r="FI61" s="10" t="s">
        <v>55</v>
      </c>
      <c r="FJ61" s="10" t="s">
        <v>56</v>
      </c>
      <c r="FK61" s="10" t="s">
        <v>55</v>
      </c>
      <c r="FL61" s="10" t="s">
        <v>56</v>
      </c>
      <c r="FM61" s="10" t="s">
        <v>55</v>
      </c>
      <c r="FN61" s="10" t="s">
        <v>56</v>
      </c>
      <c r="FO61" s="10" t="s">
        <v>55</v>
      </c>
      <c r="FP61" s="10" t="s">
        <v>56</v>
      </c>
      <c r="FQ61" s="10" t="s">
        <v>55</v>
      </c>
      <c r="FR61" s="10" t="s">
        <v>56</v>
      </c>
      <c r="FS61" s="10" t="s">
        <v>55</v>
      </c>
      <c r="FT61" s="10" t="s">
        <v>56</v>
      </c>
      <c r="FU61" s="10" t="s">
        <v>55</v>
      </c>
      <c r="FV61" s="10" t="s">
        <v>56</v>
      </c>
      <c r="FW61" s="10" t="s">
        <v>55</v>
      </c>
      <c r="FX61" s="10" t="s">
        <v>56</v>
      </c>
      <c r="FY61" s="10" t="s">
        <v>55</v>
      </c>
      <c r="FZ61" s="10" t="s">
        <v>56</v>
      </c>
      <c r="GA61" s="10" t="s">
        <v>55</v>
      </c>
      <c r="GB61" s="10" t="s">
        <v>56</v>
      </c>
      <c r="GC61" s="10" t="s">
        <v>55</v>
      </c>
      <c r="GD61" s="10" t="s">
        <v>56</v>
      </c>
      <c r="GE61" s="10" t="s">
        <v>55</v>
      </c>
      <c r="GF61" s="10" t="s">
        <v>56</v>
      </c>
      <c r="GG61" s="10" t="s">
        <v>55</v>
      </c>
      <c r="GH61" s="10" t="s">
        <v>56</v>
      </c>
      <c r="GI61" s="10" t="s">
        <v>55</v>
      </c>
      <c r="GJ61" s="10" t="s">
        <v>56</v>
      </c>
      <c r="GK61" s="10" t="s">
        <v>55</v>
      </c>
      <c r="GL61" s="10" t="s">
        <v>56</v>
      </c>
      <c r="GM61" s="10" t="s">
        <v>55</v>
      </c>
      <c r="GN61" s="10" t="s">
        <v>56</v>
      </c>
      <c r="GO61" s="10" t="s">
        <v>55</v>
      </c>
      <c r="GP61" s="10" t="s">
        <v>56</v>
      </c>
      <c r="GQ61" s="10" t="s">
        <v>55</v>
      </c>
      <c r="GR61" s="10">
        <v>6.6000000000000003E-2</v>
      </c>
      <c r="GS61" s="10">
        <v>2E-3</v>
      </c>
      <c r="GT61" s="10">
        <v>5.0999999999999997E-2</v>
      </c>
      <c r="GU61" s="10">
        <v>4.0000000000000001E-3</v>
      </c>
      <c r="GV61" s="10">
        <v>0.125</v>
      </c>
      <c r="GW61" s="10">
        <v>2E-3</v>
      </c>
      <c r="GX61" s="10" t="s">
        <v>497</v>
      </c>
      <c r="GY61" s="10" t="s">
        <v>55</v>
      </c>
      <c r="GZ61" s="10" t="s">
        <v>56</v>
      </c>
      <c r="HA61" s="10" t="s">
        <v>55</v>
      </c>
      <c r="HB61" s="10" t="s">
        <v>56</v>
      </c>
      <c r="HC61" s="10" t="s">
        <v>55</v>
      </c>
      <c r="HD61" s="10" t="s">
        <v>56</v>
      </c>
      <c r="HE61" s="10" t="s">
        <v>55</v>
      </c>
      <c r="HF61" s="10" t="s">
        <v>56</v>
      </c>
      <c r="HG61" s="10" t="s">
        <v>55</v>
      </c>
      <c r="HH61" s="10" t="s">
        <v>56</v>
      </c>
      <c r="HI61" s="10" t="s">
        <v>55</v>
      </c>
      <c r="HJ61" s="10" t="s">
        <v>56</v>
      </c>
      <c r="HK61" s="10" t="s">
        <v>55</v>
      </c>
      <c r="HL61" s="10" t="s">
        <v>56</v>
      </c>
      <c r="HM61" s="10" t="s">
        <v>55</v>
      </c>
      <c r="HN61" s="10" t="s">
        <v>56</v>
      </c>
      <c r="HO61" s="10" t="s">
        <v>55</v>
      </c>
      <c r="HP61" s="10" t="s">
        <v>56</v>
      </c>
      <c r="HQ61" s="10" t="s">
        <v>55</v>
      </c>
      <c r="HR61" s="10" t="s">
        <v>56</v>
      </c>
      <c r="HS61" s="10" t="s">
        <v>55</v>
      </c>
      <c r="HT61" s="10" t="s">
        <v>56</v>
      </c>
      <c r="HU61" s="10" t="s">
        <v>55</v>
      </c>
      <c r="HV61" s="10" t="s">
        <v>56</v>
      </c>
      <c r="HW61" s="10" t="s">
        <v>55</v>
      </c>
      <c r="HX61" s="10" t="s">
        <v>56</v>
      </c>
      <c r="HY61" s="10" t="s">
        <v>55</v>
      </c>
      <c r="HZ61" s="10" t="s">
        <v>56</v>
      </c>
      <c r="IA61" s="10" t="s">
        <v>55</v>
      </c>
      <c r="IB61" s="10" t="s">
        <v>56</v>
      </c>
      <c r="IC61" s="10" t="s">
        <v>55</v>
      </c>
      <c r="ID61" s="4" t="s">
        <v>56</v>
      </c>
      <c r="IE61" s="4" t="s">
        <v>55</v>
      </c>
      <c r="IF61" s="4" t="s">
        <v>56</v>
      </c>
      <c r="IG61" s="4" t="s">
        <v>55</v>
      </c>
      <c r="IH61" s="4" t="s">
        <v>56</v>
      </c>
      <c r="II61" s="4" t="s">
        <v>55</v>
      </c>
      <c r="IJ61" s="4" t="s">
        <v>56</v>
      </c>
      <c r="IK61" s="4" t="s">
        <v>55</v>
      </c>
      <c r="IL61" s="4" t="s">
        <v>56</v>
      </c>
      <c r="IM61" s="4" t="s">
        <v>55</v>
      </c>
      <c r="IN61" s="4" t="s">
        <v>56</v>
      </c>
      <c r="IO61" s="4" t="s">
        <v>55</v>
      </c>
      <c r="IP61" s="4" t="s">
        <v>56</v>
      </c>
      <c r="IQ61" s="4" t="s">
        <v>55</v>
      </c>
      <c r="IR61" s="4" t="s">
        <v>56</v>
      </c>
      <c r="IS61" s="4" t="s">
        <v>55</v>
      </c>
      <c r="IT61" s="18" t="s">
        <v>56</v>
      </c>
      <c r="IU61" s="18" t="s">
        <v>55</v>
      </c>
      <c r="IV61" s="4" t="s">
        <v>556</v>
      </c>
      <c r="IW61" s="4" t="s">
        <v>55</v>
      </c>
      <c r="IX61" s="4" t="s">
        <v>56</v>
      </c>
      <c r="IY61" s="4" t="s">
        <v>55</v>
      </c>
      <c r="IZ61" s="4" t="s">
        <v>56</v>
      </c>
      <c r="JA61" s="4" t="s">
        <v>55</v>
      </c>
      <c r="JB61" s="4" t="s">
        <v>56</v>
      </c>
      <c r="JC61" s="4" t="s">
        <v>55</v>
      </c>
      <c r="JD61" s="4" t="s">
        <v>56</v>
      </c>
      <c r="JE61" s="4" t="s">
        <v>55</v>
      </c>
      <c r="JF61" s="4" t="s">
        <v>56</v>
      </c>
      <c r="JG61" s="4" t="s">
        <v>55</v>
      </c>
      <c r="JH61" s="4" t="s">
        <v>56</v>
      </c>
      <c r="JI61" s="4" t="s">
        <v>55</v>
      </c>
      <c r="JJ61" s="4" t="s">
        <v>56</v>
      </c>
      <c r="JK61" s="4" t="s">
        <v>55</v>
      </c>
      <c r="JL61" s="4" t="s">
        <v>56</v>
      </c>
      <c r="JM61" s="4" t="s">
        <v>55</v>
      </c>
      <c r="JN61" s="4" t="s">
        <v>56</v>
      </c>
      <c r="JO61" s="4" t="s">
        <v>55</v>
      </c>
      <c r="JP61" s="4" t="s">
        <v>56</v>
      </c>
      <c r="JQ61" s="4" t="s">
        <v>55</v>
      </c>
      <c r="JR61" s="4" t="s">
        <v>56</v>
      </c>
      <c r="JS61" s="4" t="s">
        <v>55</v>
      </c>
      <c r="JT61" s="4" t="s">
        <v>56</v>
      </c>
      <c r="JU61" s="4" t="s">
        <v>55</v>
      </c>
      <c r="JV61" s="4" t="s">
        <v>56</v>
      </c>
      <c r="JW61" s="4" t="s">
        <v>55</v>
      </c>
      <c r="JX61" s="26" t="s">
        <v>56</v>
      </c>
      <c r="JY61" s="26" t="s">
        <v>55</v>
      </c>
      <c r="JZ61" s="26" t="s">
        <v>56</v>
      </c>
      <c r="KA61" s="26" t="s">
        <v>55</v>
      </c>
      <c r="KB61" s="26" t="s">
        <v>56</v>
      </c>
      <c r="KC61" s="26" t="s">
        <v>55</v>
      </c>
      <c r="KD61" s="26" t="s">
        <v>56</v>
      </c>
      <c r="KE61" s="26" t="s">
        <v>55</v>
      </c>
      <c r="KF61" s="26" t="s">
        <v>56</v>
      </c>
      <c r="KG61" s="26" t="s">
        <v>55</v>
      </c>
      <c r="KH61" s="4" t="s">
        <v>56</v>
      </c>
      <c r="KI61" s="4" t="s">
        <v>55</v>
      </c>
      <c r="KJ61" s="4" t="s">
        <v>56</v>
      </c>
      <c r="KK61" s="4" t="s">
        <v>55</v>
      </c>
      <c r="KL61" s="4" t="s">
        <v>56</v>
      </c>
      <c r="KM61" s="4" t="s">
        <v>55</v>
      </c>
      <c r="KN61" s="4" t="s">
        <v>56</v>
      </c>
      <c r="KO61" s="4" t="s">
        <v>55</v>
      </c>
      <c r="KP61" s="4" t="s">
        <v>56</v>
      </c>
      <c r="KQ61" s="4" t="s">
        <v>55</v>
      </c>
      <c r="KR61" s="17" t="s">
        <v>56</v>
      </c>
      <c r="KS61" s="17" t="s">
        <v>55</v>
      </c>
      <c r="KT61" s="17" t="s">
        <v>56</v>
      </c>
      <c r="KU61" s="17" t="s">
        <v>55</v>
      </c>
      <c r="KV61" s="4" t="s">
        <v>56</v>
      </c>
      <c r="KW61" s="4" t="s">
        <v>55</v>
      </c>
      <c r="KX61" s="4" t="s">
        <v>56</v>
      </c>
      <c r="KY61" s="4" t="s">
        <v>55</v>
      </c>
      <c r="KZ61" s="4" t="s">
        <v>56</v>
      </c>
      <c r="LA61" s="4" t="s">
        <v>55</v>
      </c>
      <c r="LB61" s="10" t="s">
        <v>56</v>
      </c>
      <c r="LC61" s="10" t="s">
        <v>55</v>
      </c>
      <c r="LD61" s="10" t="s">
        <v>56</v>
      </c>
      <c r="LE61" s="10" t="s">
        <v>55</v>
      </c>
      <c r="LF61" s="10" t="s">
        <v>56</v>
      </c>
      <c r="LG61" s="10" t="s">
        <v>55</v>
      </c>
      <c r="LH61" s="10" t="s">
        <v>56</v>
      </c>
      <c r="LI61" s="10" t="s">
        <v>55</v>
      </c>
      <c r="LJ61" s="10" t="s">
        <v>56</v>
      </c>
      <c r="LK61" s="10" t="s">
        <v>162</v>
      </c>
      <c r="LL61" s="10" t="s">
        <v>56</v>
      </c>
      <c r="LM61" s="10" t="s">
        <v>162</v>
      </c>
      <c r="LN61" s="10" t="s">
        <v>56</v>
      </c>
      <c r="LO61" s="10" t="s">
        <v>162</v>
      </c>
      <c r="LP61" s="10" t="s">
        <v>56</v>
      </c>
      <c r="LQ61" s="10" t="s">
        <v>162</v>
      </c>
      <c r="LR61" s="10" t="s">
        <v>56</v>
      </c>
      <c r="LS61" s="10" t="s">
        <v>162</v>
      </c>
      <c r="LT61" s="10" t="s">
        <v>56</v>
      </c>
      <c r="LU61" s="10" t="s">
        <v>162</v>
      </c>
      <c r="LV61" s="10" t="s">
        <v>56</v>
      </c>
      <c r="LW61" s="10" t="s">
        <v>55</v>
      </c>
      <c r="LX61" s="10" t="s">
        <v>56</v>
      </c>
      <c r="LY61" s="10" t="s">
        <v>55</v>
      </c>
      <c r="LZ61" s="10" t="s">
        <v>56</v>
      </c>
      <c r="MA61" s="10" t="s">
        <v>55</v>
      </c>
      <c r="MB61" s="10" t="s">
        <v>56</v>
      </c>
      <c r="MC61" s="10" t="s">
        <v>55</v>
      </c>
      <c r="MD61" s="17" t="s">
        <v>56</v>
      </c>
      <c r="ME61" s="4" t="s">
        <v>55</v>
      </c>
      <c r="MF61" s="17" t="s">
        <v>56</v>
      </c>
      <c r="MG61" s="4" t="s">
        <v>55</v>
      </c>
      <c r="MH61" s="17" t="s">
        <v>56</v>
      </c>
      <c r="MI61" s="4" t="s">
        <v>55</v>
      </c>
      <c r="MJ61" s="17" t="s">
        <v>56</v>
      </c>
      <c r="MK61" s="4" t="s">
        <v>55</v>
      </c>
      <c r="ML61" s="17" t="s">
        <v>56</v>
      </c>
      <c r="MM61" s="4" t="s">
        <v>55</v>
      </c>
      <c r="MN61" s="17" t="s">
        <v>56</v>
      </c>
      <c r="MO61" s="4" t="s">
        <v>55</v>
      </c>
      <c r="MP61" s="17" t="s">
        <v>56</v>
      </c>
      <c r="MQ61" s="4" t="s">
        <v>55</v>
      </c>
      <c r="MR61" s="17" t="s">
        <v>56</v>
      </c>
      <c r="MS61" s="4" t="s">
        <v>55</v>
      </c>
      <c r="MT61" s="17" t="s">
        <v>56</v>
      </c>
      <c r="MU61" s="4" t="s">
        <v>55</v>
      </c>
      <c r="MV61" s="17" t="s">
        <v>56</v>
      </c>
      <c r="MW61" s="4" t="s">
        <v>55</v>
      </c>
      <c r="MX61" s="17" t="s">
        <v>56</v>
      </c>
      <c r="MY61" s="4" t="s">
        <v>55</v>
      </c>
      <c r="MZ61" s="17" t="s">
        <v>56</v>
      </c>
      <c r="NA61" s="4" t="s">
        <v>55</v>
      </c>
      <c r="NB61" s="10" t="s">
        <v>56</v>
      </c>
      <c r="NC61" s="10" t="s">
        <v>55</v>
      </c>
      <c r="ND61" s="10" t="s">
        <v>56</v>
      </c>
      <c r="NE61" s="10" t="s">
        <v>55</v>
      </c>
      <c r="NF61" s="10" t="s">
        <v>56</v>
      </c>
      <c r="NG61" s="10" t="s">
        <v>55</v>
      </c>
      <c r="NH61" s="10" t="s">
        <v>56</v>
      </c>
      <c r="NI61" s="10" t="s">
        <v>55</v>
      </c>
      <c r="NJ61" s="10" t="s">
        <v>56</v>
      </c>
      <c r="NK61" s="10" t="s">
        <v>55</v>
      </c>
      <c r="NL61" s="10" t="s">
        <v>56</v>
      </c>
      <c r="NM61" s="4" t="s">
        <v>55</v>
      </c>
      <c r="NN61" s="10" t="s">
        <v>56</v>
      </c>
      <c r="NO61" s="4" t="s">
        <v>55</v>
      </c>
      <c r="NP61" s="10" t="s">
        <v>56</v>
      </c>
      <c r="NQ61" s="4" t="s">
        <v>55</v>
      </c>
      <c r="NR61" s="10" t="s">
        <v>56</v>
      </c>
      <c r="NS61" s="10" t="s">
        <v>55</v>
      </c>
      <c r="NT61" s="10" t="s">
        <v>56</v>
      </c>
      <c r="NU61" s="10" t="s">
        <v>55</v>
      </c>
    </row>
    <row r="62" spans="1:385" s="15" customFormat="1" x14ac:dyDescent="0.2">
      <c r="A62" s="15" t="s">
        <v>70</v>
      </c>
      <c r="B62" s="1" t="s">
        <v>1040</v>
      </c>
      <c r="C62" s="1" t="s">
        <v>843</v>
      </c>
      <c r="D62" s="39" cm="1">
        <f t="array" ref="D62">SUMPRODUCT((ISNUMBER(F62:NU62))*(MOD(COLUMN(F62:NU62),2)=0))</f>
        <v>20</v>
      </c>
      <c r="E62" s="4">
        <v>117.15</v>
      </c>
      <c r="F62" s="4" t="s">
        <v>54</v>
      </c>
      <c r="G62" s="4" t="s">
        <v>55</v>
      </c>
      <c r="H62" s="4" t="s">
        <v>54</v>
      </c>
      <c r="I62" s="4" t="s">
        <v>55</v>
      </c>
      <c r="J62" s="4" t="s">
        <v>54</v>
      </c>
      <c r="K62" s="4" t="s">
        <v>55</v>
      </c>
      <c r="L62" s="4" t="s">
        <v>54</v>
      </c>
      <c r="M62" s="4" t="s">
        <v>55</v>
      </c>
      <c r="N62" s="4">
        <v>8.9999999999999998E-4</v>
      </c>
      <c r="O62" s="4" t="s">
        <v>55</v>
      </c>
      <c r="P62" s="4" t="s">
        <v>56</v>
      </c>
      <c r="Q62" s="4" t="s">
        <v>55</v>
      </c>
      <c r="R62" s="4">
        <v>0.75</v>
      </c>
      <c r="S62" s="4">
        <v>0.26</v>
      </c>
      <c r="T62" s="4">
        <v>0.19</v>
      </c>
      <c r="U62" s="4">
        <v>0.04</v>
      </c>
      <c r="V62" s="4">
        <v>0.69</v>
      </c>
      <c r="W62" s="4">
        <v>0.06</v>
      </c>
      <c r="X62" s="4" t="s">
        <v>56</v>
      </c>
      <c r="Y62" s="4" t="s">
        <v>55</v>
      </c>
      <c r="Z62" s="4" t="s">
        <v>56</v>
      </c>
      <c r="AA62" s="4" t="s">
        <v>55</v>
      </c>
      <c r="AB62" s="4">
        <v>11.9</v>
      </c>
      <c r="AC62" s="4">
        <v>1.1000000000000001</v>
      </c>
      <c r="AD62" s="4">
        <v>6.61</v>
      </c>
      <c r="AE62" s="4">
        <v>0.5</v>
      </c>
      <c r="AF62" s="11">
        <f>11/E62</f>
        <v>9.3896713615023469E-2</v>
      </c>
      <c r="AG62" s="11">
        <f>1/E62</f>
        <v>8.5360648740930422E-3</v>
      </c>
      <c r="AH62" s="11">
        <f>25/E62</f>
        <v>0.21340162185232606</v>
      </c>
      <c r="AI62" s="11">
        <f>6/E62</f>
        <v>5.1216389244558257E-2</v>
      </c>
      <c r="AJ62" s="11">
        <f>470/E62</f>
        <v>4.0119504908237298</v>
      </c>
      <c r="AK62" s="11">
        <f>233/E62</f>
        <v>1.9889031156636789</v>
      </c>
      <c r="AL62" s="4" t="s">
        <v>135</v>
      </c>
      <c r="AM62" s="4" t="s">
        <v>55</v>
      </c>
      <c r="AN62" s="11" t="s">
        <v>199</v>
      </c>
      <c r="AO62" s="11" t="s">
        <v>55</v>
      </c>
      <c r="AP62" s="11" t="s">
        <v>56</v>
      </c>
      <c r="AQ62" s="11" t="s">
        <v>55</v>
      </c>
      <c r="AR62" s="10" t="s">
        <v>56</v>
      </c>
      <c r="AS62" s="10" t="s">
        <v>55</v>
      </c>
      <c r="AT62" s="11">
        <f>37/E62</f>
        <v>0.31583440034144256</v>
      </c>
      <c r="AU62" s="11">
        <f>2/E62</f>
        <v>1.7072129748186084E-2</v>
      </c>
      <c r="AV62" s="11">
        <f>24/E62</f>
        <v>0.20486555697823303</v>
      </c>
      <c r="AW62" s="11">
        <f>3/E62</f>
        <v>2.5608194622279128E-2</v>
      </c>
      <c r="AX62" s="11">
        <f>534/E62</f>
        <v>4.5582586427656846</v>
      </c>
      <c r="AY62" s="11">
        <f>34/E62</f>
        <v>0.29022620571916347</v>
      </c>
      <c r="AZ62" s="4" t="s">
        <v>135</v>
      </c>
      <c r="BA62" s="4" t="s">
        <v>55</v>
      </c>
      <c r="BB62" s="4" t="s">
        <v>57</v>
      </c>
      <c r="BC62" s="4" t="s">
        <v>55</v>
      </c>
      <c r="BD62" s="4" t="s">
        <v>56</v>
      </c>
      <c r="BE62" s="1" t="s">
        <v>55</v>
      </c>
      <c r="BF62" s="1" t="s">
        <v>56</v>
      </c>
      <c r="BG62" s="1" t="s">
        <v>55</v>
      </c>
      <c r="BH62" s="1" t="s">
        <v>56</v>
      </c>
      <c r="BI62" s="1" t="s">
        <v>55</v>
      </c>
      <c r="BJ62" s="1" t="s">
        <v>56</v>
      </c>
      <c r="BK62" s="1" t="s">
        <v>55</v>
      </c>
      <c r="BL62" s="4" t="s">
        <v>56</v>
      </c>
      <c r="BM62" s="4" t="s">
        <v>55</v>
      </c>
      <c r="BN62" s="4" t="s">
        <v>157</v>
      </c>
      <c r="BO62" s="4" t="s">
        <v>55</v>
      </c>
      <c r="BP62" s="4" t="s">
        <v>157</v>
      </c>
      <c r="BQ62" s="4" t="s">
        <v>55</v>
      </c>
      <c r="BR62" s="11">
        <f>171/E62</f>
        <v>1.4596670934699103</v>
      </c>
      <c r="BS62" s="11">
        <f>14/E62</f>
        <v>0.1195049082373026</v>
      </c>
      <c r="BT62" s="4">
        <v>0.05</v>
      </c>
      <c r="BU62" s="4">
        <v>0.01</v>
      </c>
      <c r="BV62" s="4" t="s">
        <v>91</v>
      </c>
      <c r="BW62" s="4" t="s">
        <v>55</v>
      </c>
      <c r="BX62" s="4" t="s">
        <v>91</v>
      </c>
      <c r="BY62" s="4" t="s">
        <v>55</v>
      </c>
      <c r="BZ62" s="10" t="s">
        <v>240</v>
      </c>
      <c r="CA62" s="10" t="s">
        <v>55</v>
      </c>
      <c r="CB62" s="10" t="s">
        <v>240</v>
      </c>
      <c r="CC62" s="10" t="s">
        <v>55</v>
      </c>
      <c r="CD62" s="10" t="s">
        <v>240</v>
      </c>
      <c r="CE62" s="10" t="s">
        <v>55</v>
      </c>
      <c r="CF62" s="10" t="s">
        <v>240</v>
      </c>
      <c r="CG62" s="10" t="s">
        <v>55</v>
      </c>
      <c r="CH62" s="10" t="s">
        <v>240</v>
      </c>
      <c r="CI62" s="10" t="s">
        <v>55</v>
      </c>
      <c r="CJ62" s="10" t="s">
        <v>485</v>
      </c>
      <c r="CK62" s="10" t="s">
        <v>55</v>
      </c>
      <c r="CL62" s="10" t="s">
        <v>240</v>
      </c>
      <c r="CM62" s="19" t="s">
        <v>55</v>
      </c>
      <c r="CN62" s="10" t="s">
        <v>240</v>
      </c>
      <c r="CO62" s="19" t="s">
        <v>55</v>
      </c>
      <c r="CP62" s="10" t="s">
        <v>240</v>
      </c>
      <c r="CQ62" s="19" t="s">
        <v>55</v>
      </c>
      <c r="CR62" s="10" t="s">
        <v>240</v>
      </c>
      <c r="CS62" s="19" t="s">
        <v>55</v>
      </c>
      <c r="CT62" s="19" t="s">
        <v>240</v>
      </c>
      <c r="CU62" s="19" t="s">
        <v>55</v>
      </c>
      <c r="CV62" s="19" t="s">
        <v>240</v>
      </c>
      <c r="CW62" s="19" t="s">
        <v>55</v>
      </c>
      <c r="CX62" s="19" t="s">
        <v>240</v>
      </c>
      <c r="CY62" s="10" t="s">
        <v>55</v>
      </c>
      <c r="CZ62" s="19" t="s">
        <v>240</v>
      </c>
      <c r="DA62" s="10" t="s">
        <v>55</v>
      </c>
      <c r="DB62" s="19" t="s">
        <v>240</v>
      </c>
      <c r="DC62" s="10" t="s">
        <v>55</v>
      </c>
      <c r="DD62" s="10" t="s">
        <v>56</v>
      </c>
      <c r="DE62" s="10" t="s">
        <v>55</v>
      </c>
      <c r="DF62" s="10" t="s">
        <v>56</v>
      </c>
      <c r="DG62" s="10" t="s">
        <v>55</v>
      </c>
      <c r="DH62" s="10">
        <f>40/E62</f>
        <v>0.3414425949637217</v>
      </c>
      <c r="DI62" s="10">
        <f>2/E62</f>
        <v>1.7072129748186084E-2</v>
      </c>
      <c r="DJ62" s="10">
        <f>93/E62</f>
        <v>0.79385403329065296</v>
      </c>
      <c r="DK62" s="10">
        <f>4/E62</f>
        <v>3.4144259496372169E-2</v>
      </c>
      <c r="DL62" s="10">
        <f>72/E62</f>
        <v>0.61459667093469905</v>
      </c>
      <c r="DM62" s="10">
        <f>6/E62</f>
        <v>5.1216389244558257E-2</v>
      </c>
      <c r="DN62" s="10" t="s">
        <v>240</v>
      </c>
      <c r="DO62" s="10" t="s">
        <v>55</v>
      </c>
      <c r="DP62" s="10">
        <f>16/E62</f>
        <v>0.13657703798548868</v>
      </c>
      <c r="DQ62" s="10">
        <f>3/E62</f>
        <v>2.5608194622279128E-2</v>
      </c>
      <c r="DR62" s="10">
        <f>2.5/E62</f>
        <v>2.1340162185232606E-2</v>
      </c>
      <c r="DS62" s="10">
        <f>0.8/E62</f>
        <v>6.8288518992744348E-3</v>
      </c>
      <c r="DT62" s="10" t="s">
        <v>240</v>
      </c>
      <c r="DU62" s="10" t="s">
        <v>55</v>
      </c>
      <c r="DV62" s="10" t="s">
        <v>240</v>
      </c>
      <c r="DW62" s="10" t="s">
        <v>55</v>
      </c>
      <c r="DX62" s="10" t="s">
        <v>240</v>
      </c>
      <c r="DY62" s="10" t="s">
        <v>55</v>
      </c>
      <c r="DZ62" s="10" t="s">
        <v>229</v>
      </c>
      <c r="EA62" s="10" t="s">
        <v>55</v>
      </c>
      <c r="EB62" s="10" t="s">
        <v>229</v>
      </c>
      <c r="EC62" s="10" t="s">
        <v>55</v>
      </c>
      <c r="ED62" s="10" t="s">
        <v>229</v>
      </c>
      <c r="EE62" s="10" t="s">
        <v>55</v>
      </c>
      <c r="EF62" s="10" t="s">
        <v>229</v>
      </c>
      <c r="EG62" s="10" t="s">
        <v>55</v>
      </c>
      <c r="EH62" s="10" t="s">
        <v>233</v>
      </c>
      <c r="EI62" s="10" t="s">
        <v>55</v>
      </c>
      <c r="EJ62" s="10" t="s">
        <v>233</v>
      </c>
      <c r="EK62" s="10" t="s">
        <v>55</v>
      </c>
      <c r="EL62" s="10" t="s">
        <v>233</v>
      </c>
      <c r="EM62" s="10" t="s">
        <v>55</v>
      </c>
      <c r="EN62" s="10" t="s">
        <v>56</v>
      </c>
      <c r="EO62" s="10" t="s">
        <v>55</v>
      </c>
      <c r="EP62" s="10" t="s">
        <v>56</v>
      </c>
      <c r="EQ62" s="10" t="s">
        <v>55</v>
      </c>
      <c r="ER62" s="10" t="s">
        <v>56</v>
      </c>
      <c r="ES62" s="10" t="s">
        <v>55</v>
      </c>
      <c r="ET62" s="10" t="s">
        <v>56</v>
      </c>
      <c r="EU62" s="10" t="s">
        <v>55</v>
      </c>
      <c r="EV62" s="10" t="s">
        <v>56</v>
      </c>
      <c r="EW62" s="10" t="s">
        <v>55</v>
      </c>
      <c r="EX62" s="10" t="s">
        <v>56</v>
      </c>
      <c r="EY62" s="10" t="s">
        <v>55</v>
      </c>
      <c r="EZ62" s="10" t="s">
        <v>56</v>
      </c>
      <c r="FA62" s="10" t="s">
        <v>55</v>
      </c>
      <c r="FB62" s="10" t="s">
        <v>56</v>
      </c>
      <c r="FC62" s="10" t="s">
        <v>55</v>
      </c>
      <c r="FD62" s="10" t="s">
        <v>56</v>
      </c>
      <c r="FE62" s="10" t="s">
        <v>55</v>
      </c>
      <c r="FF62" s="10" t="s">
        <v>56</v>
      </c>
      <c r="FG62" s="10" t="s">
        <v>55</v>
      </c>
      <c r="FH62" s="10" t="s">
        <v>56</v>
      </c>
      <c r="FI62" s="10" t="s">
        <v>55</v>
      </c>
      <c r="FJ62" s="10" t="s">
        <v>56</v>
      </c>
      <c r="FK62" s="10" t="s">
        <v>55</v>
      </c>
      <c r="FL62" s="10" t="s">
        <v>56</v>
      </c>
      <c r="FM62" s="10" t="s">
        <v>55</v>
      </c>
      <c r="FN62" s="10" t="s">
        <v>56</v>
      </c>
      <c r="FO62" s="10" t="s">
        <v>55</v>
      </c>
      <c r="FP62" s="10" t="s">
        <v>56</v>
      </c>
      <c r="FQ62" s="10" t="s">
        <v>55</v>
      </c>
      <c r="FR62" s="10" t="s">
        <v>56</v>
      </c>
      <c r="FS62" s="10" t="s">
        <v>55</v>
      </c>
      <c r="FT62" s="10" t="s">
        <v>56</v>
      </c>
      <c r="FU62" s="10" t="s">
        <v>55</v>
      </c>
      <c r="FV62" s="10" t="s">
        <v>56</v>
      </c>
      <c r="FW62" s="10" t="s">
        <v>55</v>
      </c>
      <c r="FX62" s="10" t="s">
        <v>56</v>
      </c>
      <c r="FY62" s="10" t="s">
        <v>55</v>
      </c>
      <c r="FZ62" s="10" t="s">
        <v>56</v>
      </c>
      <c r="GA62" s="10" t="s">
        <v>55</v>
      </c>
      <c r="GB62" s="10" t="s">
        <v>56</v>
      </c>
      <c r="GC62" s="10" t="s">
        <v>55</v>
      </c>
      <c r="GD62" s="10" t="s">
        <v>56</v>
      </c>
      <c r="GE62" s="10" t="s">
        <v>55</v>
      </c>
      <c r="GF62" s="10" t="s">
        <v>56</v>
      </c>
      <c r="GG62" s="10" t="s">
        <v>55</v>
      </c>
      <c r="GH62" s="10" t="s">
        <v>56</v>
      </c>
      <c r="GI62" s="10" t="s">
        <v>55</v>
      </c>
      <c r="GJ62" s="10" t="s">
        <v>56</v>
      </c>
      <c r="GK62" s="10" t="s">
        <v>55</v>
      </c>
      <c r="GL62" s="10" t="s">
        <v>56</v>
      </c>
      <c r="GM62" s="10" t="s">
        <v>55</v>
      </c>
      <c r="GN62" s="10" t="s">
        <v>56</v>
      </c>
      <c r="GO62" s="10" t="s">
        <v>55</v>
      </c>
      <c r="GP62" s="10" t="s">
        <v>56</v>
      </c>
      <c r="GQ62" s="10" t="s">
        <v>55</v>
      </c>
      <c r="GR62" s="10" t="s">
        <v>61</v>
      </c>
      <c r="GS62" s="10" t="s">
        <v>55</v>
      </c>
      <c r="GT62" s="10" t="s">
        <v>61</v>
      </c>
      <c r="GU62" s="10" t="s">
        <v>55</v>
      </c>
      <c r="GV62" s="10">
        <v>0.121</v>
      </c>
      <c r="GW62" s="10">
        <v>1E-3</v>
      </c>
      <c r="GX62" s="10" t="s">
        <v>56</v>
      </c>
      <c r="GY62" s="10" t="s">
        <v>55</v>
      </c>
      <c r="GZ62" s="10" t="s">
        <v>56</v>
      </c>
      <c r="HA62" s="10" t="s">
        <v>55</v>
      </c>
      <c r="HB62" s="10" t="s">
        <v>56</v>
      </c>
      <c r="HC62" s="10" t="s">
        <v>55</v>
      </c>
      <c r="HD62" s="10" t="s">
        <v>56</v>
      </c>
      <c r="HE62" s="10" t="s">
        <v>55</v>
      </c>
      <c r="HF62" s="10" t="s">
        <v>56</v>
      </c>
      <c r="HG62" s="10" t="s">
        <v>55</v>
      </c>
      <c r="HH62" s="10" t="s">
        <v>56</v>
      </c>
      <c r="HI62" s="10" t="s">
        <v>55</v>
      </c>
      <c r="HJ62" s="10" t="s">
        <v>56</v>
      </c>
      <c r="HK62" s="10" t="s">
        <v>55</v>
      </c>
      <c r="HL62" s="10" t="s">
        <v>56</v>
      </c>
      <c r="HM62" s="10" t="s">
        <v>55</v>
      </c>
      <c r="HN62" s="10" t="s">
        <v>56</v>
      </c>
      <c r="HO62" s="10" t="s">
        <v>55</v>
      </c>
      <c r="HP62" s="10" t="s">
        <v>56</v>
      </c>
      <c r="HQ62" s="10" t="s">
        <v>55</v>
      </c>
      <c r="HR62" s="10" t="s">
        <v>56</v>
      </c>
      <c r="HS62" s="10" t="s">
        <v>55</v>
      </c>
      <c r="HT62" s="10" t="s">
        <v>56</v>
      </c>
      <c r="HU62" s="10" t="s">
        <v>55</v>
      </c>
      <c r="HV62" s="10" t="s">
        <v>56</v>
      </c>
      <c r="HW62" s="10" t="s">
        <v>55</v>
      </c>
      <c r="HX62" s="10" t="s">
        <v>56</v>
      </c>
      <c r="HY62" s="10" t="s">
        <v>55</v>
      </c>
      <c r="HZ62" s="10" t="s">
        <v>56</v>
      </c>
      <c r="IA62" s="10" t="s">
        <v>55</v>
      </c>
      <c r="IB62" s="10" t="s">
        <v>56</v>
      </c>
      <c r="IC62" s="10" t="s">
        <v>55</v>
      </c>
      <c r="ID62" s="4" t="s">
        <v>56</v>
      </c>
      <c r="IE62" s="4" t="s">
        <v>55</v>
      </c>
      <c r="IF62" s="4" t="s">
        <v>56</v>
      </c>
      <c r="IG62" s="4" t="s">
        <v>55</v>
      </c>
      <c r="IH62" s="4" t="s">
        <v>56</v>
      </c>
      <c r="II62" s="4" t="s">
        <v>55</v>
      </c>
      <c r="IJ62" s="4" t="s">
        <v>56</v>
      </c>
      <c r="IK62" s="4" t="s">
        <v>55</v>
      </c>
      <c r="IL62" s="4" t="s">
        <v>56</v>
      </c>
      <c r="IM62" s="4" t="s">
        <v>55</v>
      </c>
      <c r="IN62" s="4" t="s">
        <v>56</v>
      </c>
      <c r="IO62" s="4" t="s">
        <v>55</v>
      </c>
      <c r="IP62" s="4" t="s">
        <v>56</v>
      </c>
      <c r="IQ62" s="4" t="s">
        <v>55</v>
      </c>
      <c r="IR62" s="4" t="s">
        <v>56</v>
      </c>
      <c r="IS62" s="4" t="s">
        <v>55</v>
      </c>
      <c r="IT62" s="18" t="s">
        <v>56</v>
      </c>
      <c r="IU62" s="18" t="s">
        <v>55</v>
      </c>
      <c r="IV62" s="4" t="s">
        <v>556</v>
      </c>
      <c r="IW62" s="4" t="s">
        <v>55</v>
      </c>
      <c r="IX62" s="4" t="s">
        <v>56</v>
      </c>
      <c r="IY62" s="4" t="s">
        <v>55</v>
      </c>
      <c r="IZ62" s="4" t="s">
        <v>56</v>
      </c>
      <c r="JA62" s="4" t="s">
        <v>55</v>
      </c>
      <c r="JB62" s="4" t="s">
        <v>56</v>
      </c>
      <c r="JC62" s="4" t="s">
        <v>55</v>
      </c>
      <c r="JD62" s="4" t="s">
        <v>56</v>
      </c>
      <c r="JE62" s="4" t="s">
        <v>55</v>
      </c>
      <c r="JF62" s="4" t="s">
        <v>56</v>
      </c>
      <c r="JG62" s="4" t="s">
        <v>55</v>
      </c>
      <c r="JH62" s="4" t="s">
        <v>56</v>
      </c>
      <c r="JI62" s="4" t="s">
        <v>55</v>
      </c>
      <c r="JJ62" s="4" t="s">
        <v>56</v>
      </c>
      <c r="JK62" s="4" t="s">
        <v>55</v>
      </c>
      <c r="JL62" s="4" t="s">
        <v>56</v>
      </c>
      <c r="JM62" s="4" t="s">
        <v>55</v>
      </c>
      <c r="JN62" s="4" t="s">
        <v>56</v>
      </c>
      <c r="JO62" s="4" t="s">
        <v>55</v>
      </c>
      <c r="JP62" s="4" t="s">
        <v>56</v>
      </c>
      <c r="JQ62" s="4" t="s">
        <v>55</v>
      </c>
      <c r="JR62" s="4" t="s">
        <v>56</v>
      </c>
      <c r="JS62" s="4" t="s">
        <v>55</v>
      </c>
      <c r="JT62" s="4" t="s">
        <v>56</v>
      </c>
      <c r="JU62" s="4" t="s">
        <v>55</v>
      </c>
      <c r="JV62" s="4" t="s">
        <v>56</v>
      </c>
      <c r="JW62" s="4" t="s">
        <v>55</v>
      </c>
      <c r="JX62" s="26" t="s">
        <v>56</v>
      </c>
      <c r="JY62" s="26" t="s">
        <v>55</v>
      </c>
      <c r="JZ62" s="26" t="s">
        <v>56</v>
      </c>
      <c r="KA62" s="26" t="s">
        <v>55</v>
      </c>
      <c r="KB62" s="26" t="s">
        <v>56</v>
      </c>
      <c r="KC62" s="26" t="s">
        <v>55</v>
      </c>
      <c r="KD62" s="26" t="s">
        <v>56</v>
      </c>
      <c r="KE62" s="26" t="s">
        <v>55</v>
      </c>
      <c r="KF62" s="26" t="s">
        <v>56</v>
      </c>
      <c r="KG62" s="26" t="s">
        <v>55</v>
      </c>
      <c r="KH62" s="4" t="s">
        <v>56</v>
      </c>
      <c r="KI62" s="4" t="s">
        <v>55</v>
      </c>
      <c r="KJ62" s="4" t="s">
        <v>56</v>
      </c>
      <c r="KK62" s="4" t="s">
        <v>55</v>
      </c>
      <c r="KL62" s="4" t="s">
        <v>56</v>
      </c>
      <c r="KM62" s="4" t="s">
        <v>55</v>
      </c>
      <c r="KN62" s="4" t="s">
        <v>56</v>
      </c>
      <c r="KO62" s="4" t="s">
        <v>55</v>
      </c>
      <c r="KP62" s="4" t="s">
        <v>56</v>
      </c>
      <c r="KQ62" s="4" t="s">
        <v>55</v>
      </c>
      <c r="KR62" s="17" t="s">
        <v>56</v>
      </c>
      <c r="KS62" s="17" t="s">
        <v>55</v>
      </c>
      <c r="KT62" s="17" t="s">
        <v>56</v>
      </c>
      <c r="KU62" s="17" t="s">
        <v>55</v>
      </c>
      <c r="KV62" s="4" t="s">
        <v>56</v>
      </c>
      <c r="KW62" s="4" t="s">
        <v>55</v>
      </c>
      <c r="KX62" s="4" t="s">
        <v>56</v>
      </c>
      <c r="KY62" s="4" t="s">
        <v>55</v>
      </c>
      <c r="KZ62" s="4" t="s">
        <v>56</v>
      </c>
      <c r="LA62" s="4" t="s">
        <v>55</v>
      </c>
      <c r="LB62" s="10" t="s">
        <v>56</v>
      </c>
      <c r="LC62" s="10" t="s">
        <v>55</v>
      </c>
      <c r="LD62" s="10" t="s">
        <v>56</v>
      </c>
      <c r="LE62" s="10" t="s">
        <v>55</v>
      </c>
      <c r="LF62" s="10" t="s">
        <v>56</v>
      </c>
      <c r="LG62" s="10" t="s">
        <v>55</v>
      </c>
      <c r="LH62" s="10" t="s">
        <v>56</v>
      </c>
      <c r="LI62" s="10" t="s">
        <v>55</v>
      </c>
      <c r="LJ62" s="10" t="s">
        <v>56</v>
      </c>
      <c r="LK62" s="10" t="s">
        <v>162</v>
      </c>
      <c r="LL62" s="10" t="s">
        <v>56</v>
      </c>
      <c r="LM62" s="10" t="s">
        <v>162</v>
      </c>
      <c r="LN62" s="10" t="s">
        <v>56</v>
      </c>
      <c r="LO62" s="10" t="s">
        <v>162</v>
      </c>
      <c r="LP62" s="10" t="s">
        <v>56</v>
      </c>
      <c r="LQ62" s="10" t="s">
        <v>162</v>
      </c>
      <c r="LR62" s="10" t="s">
        <v>56</v>
      </c>
      <c r="LS62" s="10" t="s">
        <v>162</v>
      </c>
      <c r="LT62" s="10" t="s">
        <v>56</v>
      </c>
      <c r="LU62" s="10" t="s">
        <v>162</v>
      </c>
      <c r="LV62" s="10" t="s">
        <v>56</v>
      </c>
      <c r="LW62" s="10" t="s">
        <v>55</v>
      </c>
      <c r="LX62" s="10" t="s">
        <v>56</v>
      </c>
      <c r="LY62" s="10" t="s">
        <v>55</v>
      </c>
      <c r="LZ62" s="10" t="s">
        <v>56</v>
      </c>
      <c r="MA62" s="10" t="s">
        <v>55</v>
      </c>
      <c r="MB62" s="10" t="s">
        <v>56</v>
      </c>
      <c r="MC62" s="10" t="s">
        <v>55</v>
      </c>
      <c r="MD62" s="17" t="s">
        <v>56</v>
      </c>
      <c r="ME62" s="4" t="s">
        <v>55</v>
      </c>
      <c r="MF62" s="17" t="s">
        <v>56</v>
      </c>
      <c r="MG62" s="4" t="s">
        <v>55</v>
      </c>
      <c r="MH62" s="17" t="s">
        <v>56</v>
      </c>
      <c r="MI62" s="4" t="s">
        <v>55</v>
      </c>
      <c r="MJ62" s="17" t="s">
        <v>56</v>
      </c>
      <c r="MK62" s="4" t="s">
        <v>55</v>
      </c>
      <c r="ML62" s="17" t="s">
        <v>56</v>
      </c>
      <c r="MM62" s="4" t="s">
        <v>55</v>
      </c>
      <c r="MN62" s="17" t="s">
        <v>56</v>
      </c>
      <c r="MO62" s="4" t="s">
        <v>55</v>
      </c>
      <c r="MP62" s="17" t="s">
        <v>56</v>
      </c>
      <c r="MQ62" s="4" t="s">
        <v>55</v>
      </c>
      <c r="MR62" s="17" t="s">
        <v>56</v>
      </c>
      <c r="MS62" s="4" t="s">
        <v>55</v>
      </c>
      <c r="MT62" s="17" t="s">
        <v>56</v>
      </c>
      <c r="MU62" s="4" t="s">
        <v>55</v>
      </c>
      <c r="MV62" s="17" t="s">
        <v>56</v>
      </c>
      <c r="MW62" s="4" t="s">
        <v>55</v>
      </c>
      <c r="MX62" s="17" t="s">
        <v>56</v>
      </c>
      <c r="MY62" s="4" t="s">
        <v>55</v>
      </c>
      <c r="MZ62" s="17" t="s">
        <v>56</v>
      </c>
      <c r="NA62" s="4" t="s">
        <v>55</v>
      </c>
      <c r="NB62" s="10" t="s">
        <v>56</v>
      </c>
      <c r="NC62" s="10" t="s">
        <v>55</v>
      </c>
      <c r="ND62" s="10" t="s">
        <v>56</v>
      </c>
      <c r="NE62" s="10" t="s">
        <v>55</v>
      </c>
      <c r="NF62" s="10" t="s">
        <v>56</v>
      </c>
      <c r="NG62" s="10" t="s">
        <v>55</v>
      </c>
      <c r="NH62" s="10" t="s">
        <v>56</v>
      </c>
      <c r="NI62" s="10" t="s">
        <v>55</v>
      </c>
      <c r="NJ62" s="10" t="s">
        <v>56</v>
      </c>
      <c r="NK62" s="10" t="s">
        <v>55</v>
      </c>
      <c r="NL62" s="10" t="s">
        <v>56</v>
      </c>
      <c r="NM62" s="4" t="s">
        <v>55</v>
      </c>
      <c r="NN62" s="10" t="s">
        <v>56</v>
      </c>
      <c r="NO62" s="4" t="s">
        <v>55</v>
      </c>
      <c r="NP62" s="10" t="s">
        <v>56</v>
      </c>
      <c r="NQ62" s="4" t="s">
        <v>55</v>
      </c>
      <c r="NR62" s="10" t="s">
        <v>56</v>
      </c>
      <c r="NS62" s="10" t="s">
        <v>55</v>
      </c>
      <c r="NT62" s="10" t="s">
        <v>56</v>
      </c>
      <c r="NU62" s="10" t="s">
        <v>55</v>
      </c>
    </row>
    <row r="63" spans="1:385" s="15" customFormat="1" x14ac:dyDescent="0.2">
      <c r="A63" s="15" t="s">
        <v>249</v>
      </c>
      <c r="B63" s="1" t="s">
        <v>1043</v>
      </c>
      <c r="C63" s="1" t="s">
        <v>858</v>
      </c>
      <c r="D63" s="39" cm="1">
        <f t="array" ref="D63">SUMPRODUCT((ISNUMBER(F63:NU63))*(MOD(COLUMN(F63:NU63),2)=0))</f>
        <v>5</v>
      </c>
      <c r="E63" s="4">
        <v>117.15</v>
      </c>
      <c r="F63" s="10" t="s">
        <v>56</v>
      </c>
      <c r="G63" s="10" t="s">
        <v>55</v>
      </c>
      <c r="H63" s="10" t="s">
        <v>56</v>
      </c>
      <c r="I63" s="10" t="s">
        <v>55</v>
      </c>
      <c r="J63" s="10" t="s">
        <v>56</v>
      </c>
      <c r="K63" s="10" t="s">
        <v>55</v>
      </c>
      <c r="L63" s="10" t="s">
        <v>56</v>
      </c>
      <c r="M63" s="10" t="s">
        <v>55</v>
      </c>
      <c r="N63" s="10" t="s">
        <v>56</v>
      </c>
      <c r="O63" s="10" t="s">
        <v>55</v>
      </c>
      <c r="P63" s="10" t="s">
        <v>56</v>
      </c>
      <c r="Q63" s="10" t="s">
        <v>55</v>
      </c>
      <c r="R63" s="10" t="s">
        <v>56</v>
      </c>
      <c r="S63" s="10" t="s">
        <v>55</v>
      </c>
      <c r="T63" s="10" t="s">
        <v>56</v>
      </c>
      <c r="U63" s="10" t="s">
        <v>55</v>
      </c>
      <c r="V63" s="10" t="s">
        <v>56</v>
      </c>
      <c r="W63" s="10" t="s">
        <v>55</v>
      </c>
      <c r="X63" s="10" t="s">
        <v>56</v>
      </c>
      <c r="Y63" s="10" t="s">
        <v>55</v>
      </c>
      <c r="Z63" s="10" t="s">
        <v>56</v>
      </c>
      <c r="AA63" s="10" t="s">
        <v>55</v>
      </c>
      <c r="AB63" s="10" t="s">
        <v>56</v>
      </c>
      <c r="AC63" s="10" t="s">
        <v>55</v>
      </c>
      <c r="AD63" s="10" t="s">
        <v>56</v>
      </c>
      <c r="AE63" s="10" t="s">
        <v>55</v>
      </c>
      <c r="AF63" s="10" t="s">
        <v>56</v>
      </c>
      <c r="AG63" s="10" t="s">
        <v>55</v>
      </c>
      <c r="AH63" s="10" t="s">
        <v>56</v>
      </c>
      <c r="AI63" s="10" t="s">
        <v>55</v>
      </c>
      <c r="AJ63" s="10" t="s">
        <v>56</v>
      </c>
      <c r="AK63" s="10" t="s">
        <v>55</v>
      </c>
      <c r="AL63" s="10" t="s">
        <v>56</v>
      </c>
      <c r="AM63" s="10" t="s">
        <v>55</v>
      </c>
      <c r="AN63" s="10" t="s">
        <v>56</v>
      </c>
      <c r="AO63" s="10" t="s">
        <v>55</v>
      </c>
      <c r="AP63" s="10" t="s">
        <v>56</v>
      </c>
      <c r="AQ63" s="10" t="s">
        <v>55</v>
      </c>
      <c r="AR63" s="10" t="s">
        <v>56</v>
      </c>
      <c r="AS63" s="10" t="s">
        <v>55</v>
      </c>
      <c r="AT63" s="10" t="s">
        <v>56</v>
      </c>
      <c r="AU63" s="10" t="s">
        <v>55</v>
      </c>
      <c r="AV63" s="10" t="s">
        <v>56</v>
      </c>
      <c r="AW63" s="10" t="s">
        <v>55</v>
      </c>
      <c r="AX63" s="10" t="s">
        <v>56</v>
      </c>
      <c r="AY63" s="10" t="s">
        <v>55</v>
      </c>
      <c r="AZ63" s="10" t="s">
        <v>56</v>
      </c>
      <c r="BA63" s="10" t="s">
        <v>55</v>
      </c>
      <c r="BB63" s="10" t="s">
        <v>56</v>
      </c>
      <c r="BC63" s="10" t="s">
        <v>55</v>
      </c>
      <c r="BD63" s="10" t="s">
        <v>56</v>
      </c>
      <c r="BE63" s="10" t="s">
        <v>55</v>
      </c>
      <c r="BF63" s="10" t="s">
        <v>56</v>
      </c>
      <c r="BG63" s="10" t="s">
        <v>55</v>
      </c>
      <c r="BH63" s="10" t="s">
        <v>56</v>
      </c>
      <c r="BI63" s="10" t="s">
        <v>55</v>
      </c>
      <c r="BJ63" s="10" t="s">
        <v>56</v>
      </c>
      <c r="BK63" s="10" t="s">
        <v>55</v>
      </c>
      <c r="BL63" s="10" t="s">
        <v>56</v>
      </c>
      <c r="BM63" s="10" t="s">
        <v>55</v>
      </c>
      <c r="BN63" s="10" t="s">
        <v>56</v>
      </c>
      <c r="BO63" s="10" t="s">
        <v>55</v>
      </c>
      <c r="BP63" s="10" t="s">
        <v>56</v>
      </c>
      <c r="BQ63" s="10" t="s">
        <v>55</v>
      </c>
      <c r="BR63" s="10" t="s">
        <v>56</v>
      </c>
      <c r="BS63" s="10" t="s">
        <v>55</v>
      </c>
      <c r="BT63" s="10" t="s">
        <v>56</v>
      </c>
      <c r="BU63" s="10" t="s">
        <v>55</v>
      </c>
      <c r="BV63" s="10" t="s">
        <v>56</v>
      </c>
      <c r="BW63" s="10" t="s">
        <v>55</v>
      </c>
      <c r="BX63" s="10" t="s">
        <v>56</v>
      </c>
      <c r="BY63" s="10" t="s">
        <v>55</v>
      </c>
      <c r="BZ63" s="10" t="s">
        <v>56</v>
      </c>
      <c r="CA63" s="10" t="s">
        <v>55</v>
      </c>
      <c r="CB63" s="10" t="s">
        <v>56</v>
      </c>
      <c r="CC63" s="10" t="s">
        <v>55</v>
      </c>
      <c r="CD63" s="10" t="s">
        <v>56</v>
      </c>
      <c r="CE63" s="10" t="s">
        <v>55</v>
      </c>
      <c r="CF63" s="10" t="s">
        <v>56</v>
      </c>
      <c r="CG63" s="10" t="s">
        <v>55</v>
      </c>
      <c r="CH63" s="10" t="s">
        <v>56</v>
      </c>
      <c r="CI63" s="10" t="s">
        <v>55</v>
      </c>
      <c r="CJ63" s="10" t="s">
        <v>56</v>
      </c>
      <c r="CK63" s="10" t="s">
        <v>55</v>
      </c>
      <c r="CL63" s="10" t="s">
        <v>56</v>
      </c>
      <c r="CM63" s="10" t="s">
        <v>55</v>
      </c>
      <c r="CN63" s="10" t="s">
        <v>56</v>
      </c>
      <c r="CO63" s="10" t="s">
        <v>55</v>
      </c>
      <c r="CP63" s="10" t="s">
        <v>56</v>
      </c>
      <c r="CQ63" s="10" t="s">
        <v>55</v>
      </c>
      <c r="CR63" s="10" t="s">
        <v>56</v>
      </c>
      <c r="CS63" s="10" t="s">
        <v>55</v>
      </c>
      <c r="CT63" s="10" t="s">
        <v>56</v>
      </c>
      <c r="CU63" s="10" t="s">
        <v>55</v>
      </c>
      <c r="CV63" s="10" t="s">
        <v>56</v>
      </c>
      <c r="CW63" s="10" t="s">
        <v>55</v>
      </c>
      <c r="CX63" s="10" t="s">
        <v>56</v>
      </c>
      <c r="CY63" s="10" t="s">
        <v>55</v>
      </c>
      <c r="CZ63" s="10" t="s">
        <v>56</v>
      </c>
      <c r="DA63" s="10" t="s">
        <v>55</v>
      </c>
      <c r="DB63" s="10" t="s">
        <v>56</v>
      </c>
      <c r="DC63" s="10" t="s">
        <v>55</v>
      </c>
      <c r="DD63" s="10" t="s">
        <v>56</v>
      </c>
      <c r="DE63" s="10" t="s">
        <v>55</v>
      </c>
      <c r="DF63" s="10" t="s">
        <v>56</v>
      </c>
      <c r="DG63" s="10" t="s">
        <v>55</v>
      </c>
      <c r="DH63" s="10">
        <f>160/E63</f>
        <v>1.3657703798548868</v>
      </c>
      <c r="DI63" s="10">
        <f>7/E63</f>
        <v>5.9752454118651301E-2</v>
      </c>
      <c r="DJ63" s="10">
        <f>41/E63</f>
        <v>0.34997865983781473</v>
      </c>
      <c r="DK63" s="10">
        <f>4/E63</f>
        <v>3.4144259496372169E-2</v>
      </c>
      <c r="DL63" s="10">
        <f>33/E63</f>
        <v>0.28169014084507044</v>
      </c>
      <c r="DM63" s="10">
        <f>2/E63</f>
        <v>1.7072129748186084E-2</v>
      </c>
      <c r="DN63" s="10" t="s">
        <v>240</v>
      </c>
      <c r="DO63" s="10" t="s">
        <v>55</v>
      </c>
      <c r="DP63" s="10">
        <f>16/E63</f>
        <v>0.13657703798548868</v>
      </c>
      <c r="DQ63" s="10">
        <f>2/E63</f>
        <v>1.7072129748186084E-2</v>
      </c>
      <c r="DR63" s="10">
        <f>1.4/E63</f>
        <v>1.1950490823730259E-2</v>
      </c>
      <c r="DS63" s="10">
        <f>0.2/E63</f>
        <v>1.7072129748186087E-3</v>
      </c>
      <c r="DT63" s="10" t="s">
        <v>56</v>
      </c>
      <c r="DU63" s="10" t="s">
        <v>55</v>
      </c>
      <c r="DV63" s="10" t="s">
        <v>56</v>
      </c>
      <c r="DW63" s="10" t="s">
        <v>55</v>
      </c>
      <c r="DX63" s="10" t="s">
        <v>56</v>
      </c>
      <c r="DY63" s="10" t="s">
        <v>55</v>
      </c>
      <c r="DZ63" s="10" t="s">
        <v>56</v>
      </c>
      <c r="EA63" s="10" t="s">
        <v>55</v>
      </c>
      <c r="EB63" s="10" t="s">
        <v>56</v>
      </c>
      <c r="EC63" s="10" t="s">
        <v>55</v>
      </c>
      <c r="ED63" s="10" t="s">
        <v>56</v>
      </c>
      <c r="EE63" s="10" t="s">
        <v>55</v>
      </c>
      <c r="EF63" s="10" t="s">
        <v>56</v>
      </c>
      <c r="EG63" s="10" t="s">
        <v>55</v>
      </c>
      <c r="EH63" s="10" t="s">
        <v>56</v>
      </c>
      <c r="EI63" s="10" t="s">
        <v>55</v>
      </c>
      <c r="EJ63" s="10" t="s">
        <v>56</v>
      </c>
      <c r="EK63" s="10" t="s">
        <v>55</v>
      </c>
      <c r="EL63" s="10" t="s">
        <v>56</v>
      </c>
      <c r="EM63" s="10" t="s">
        <v>55</v>
      </c>
      <c r="EN63" s="10" t="s">
        <v>56</v>
      </c>
      <c r="EO63" s="10" t="s">
        <v>55</v>
      </c>
      <c r="EP63" s="10" t="s">
        <v>56</v>
      </c>
      <c r="EQ63" s="10" t="s">
        <v>55</v>
      </c>
      <c r="ER63" s="10" t="s">
        <v>56</v>
      </c>
      <c r="ES63" s="10" t="s">
        <v>55</v>
      </c>
      <c r="ET63" s="10" t="s">
        <v>56</v>
      </c>
      <c r="EU63" s="10" t="s">
        <v>55</v>
      </c>
      <c r="EV63" s="10" t="s">
        <v>56</v>
      </c>
      <c r="EW63" s="10" t="s">
        <v>55</v>
      </c>
      <c r="EX63" s="10" t="s">
        <v>56</v>
      </c>
      <c r="EY63" s="10" t="s">
        <v>55</v>
      </c>
      <c r="EZ63" s="10" t="s">
        <v>56</v>
      </c>
      <c r="FA63" s="10" t="s">
        <v>55</v>
      </c>
      <c r="FB63" s="10" t="s">
        <v>56</v>
      </c>
      <c r="FC63" s="10" t="s">
        <v>55</v>
      </c>
      <c r="FD63" s="10" t="s">
        <v>56</v>
      </c>
      <c r="FE63" s="10" t="s">
        <v>55</v>
      </c>
      <c r="FF63" s="10" t="s">
        <v>56</v>
      </c>
      <c r="FG63" s="10" t="s">
        <v>55</v>
      </c>
      <c r="FH63" s="10" t="s">
        <v>56</v>
      </c>
      <c r="FI63" s="10" t="s">
        <v>55</v>
      </c>
      <c r="FJ63" s="10" t="s">
        <v>56</v>
      </c>
      <c r="FK63" s="10" t="s">
        <v>55</v>
      </c>
      <c r="FL63" s="10" t="s">
        <v>56</v>
      </c>
      <c r="FM63" s="10" t="s">
        <v>55</v>
      </c>
      <c r="FN63" s="10" t="s">
        <v>56</v>
      </c>
      <c r="FO63" s="10" t="s">
        <v>55</v>
      </c>
      <c r="FP63" s="10" t="s">
        <v>56</v>
      </c>
      <c r="FQ63" s="10" t="s">
        <v>55</v>
      </c>
      <c r="FR63" s="10" t="s">
        <v>56</v>
      </c>
      <c r="FS63" s="10" t="s">
        <v>55</v>
      </c>
      <c r="FT63" s="10" t="s">
        <v>56</v>
      </c>
      <c r="FU63" s="10" t="s">
        <v>55</v>
      </c>
      <c r="FV63" s="10" t="s">
        <v>56</v>
      </c>
      <c r="FW63" s="10" t="s">
        <v>55</v>
      </c>
      <c r="FX63" s="10" t="s">
        <v>56</v>
      </c>
      <c r="FY63" s="10" t="s">
        <v>55</v>
      </c>
      <c r="FZ63" s="10" t="s">
        <v>56</v>
      </c>
      <c r="GA63" s="10" t="s">
        <v>55</v>
      </c>
      <c r="GB63" s="10" t="s">
        <v>56</v>
      </c>
      <c r="GC63" s="10" t="s">
        <v>55</v>
      </c>
      <c r="GD63" s="10" t="s">
        <v>56</v>
      </c>
      <c r="GE63" s="10" t="s">
        <v>55</v>
      </c>
      <c r="GF63" s="10" t="s">
        <v>56</v>
      </c>
      <c r="GG63" s="10" t="s">
        <v>55</v>
      </c>
      <c r="GH63" s="10" t="s">
        <v>56</v>
      </c>
      <c r="GI63" s="10" t="s">
        <v>55</v>
      </c>
      <c r="GJ63" s="10" t="s">
        <v>56</v>
      </c>
      <c r="GK63" s="10" t="s">
        <v>55</v>
      </c>
      <c r="GL63" s="10" t="s">
        <v>56</v>
      </c>
      <c r="GM63" s="10" t="s">
        <v>55</v>
      </c>
      <c r="GN63" s="10" t="s">
        <v>56</v>
      </c>
      <c r="GO63" s="10" t="s">
        <v>55</v>
      </c>
      <c r="GP63" s="10" t="s">
        <v>56</v>
      </c>
      <c r="GQ63" s="10" t="s">
        <v>55</v>
      </c>
      <c r="GR63" s="10" t="s">
        <v>61</v>
      </c>
      <c r="GS63" s="10" t="s">
        <v>55</v>
      </c>
      <c r="GT63" s="10" t="s">
        <v>61</v>
      </c>
      <c r="GU63" s="10" t="s">
        <v>55</v>
      </c>
      <c r="GV63" s="17" t="s">
        <v>56</v>
      </c>
      <c r="GW63" s="17" t="s">
        <v>55</v>
      </c>
      <c r="GX63" s="10" t="s">
        <v>56</v>
      </c>
      <c r="GY63" s="10" t="s">
        <v>55</v>
      </c>
      <c r="GZ63" s="10" t="s">
        <v>56</v>
      </c>
      <c r="HA63" s="10" t="s">
        <v>55</v>
      </c>
      <c r="HB63" s="10" t="s">
        <v>56</v>
      </c>
      <c r="HC63" s="10" t="s">
        <v>55</v>
      </c>
      <c r="HD63" s="10" t="s">
        <v>56</v>
      </c>
      <c r="HE63" s="10" t="s">
        <v>55</v>
      </c>
      <c r="HF63" s="10" t="s">
        <v>56</v>
      </c>
      <c r="HG63" s="10" t="s">
        <v>55</v>
      </c>
      <c r="HH63" s="10" t="s">
        <v>56</v>
      </c>
      <c r="HI63" s="10" t="s">
        <v>55</v>
      </c>
      <c r="HJ63" s="10" t="s">
        <v>56</v>
      </c>
      <c r="HK63" s="10" t="s">
        <v>55</v>
      </c>
      <c r="HL63" s="10" t="s">
        <v>56</v>
      </c>
      <c r="HM63" s="10" t="s">
        <v>55</v>
      </c>
      <c r="HN63" s="10" t="s">
        <v>56</v>
      </c>
      <c r="HO63" s="10" t="s">
        <v>55</v>
      </c>
      <c r="HP63" s="10" t="s">
        <v>56</v>
      </c>
      <c r="HQ63" s="10" t="s">
        <v>55</v>
      </c>
      <c r="HR63" s="10" t="s">
        <v>56</v>
      </c>
      <c r="HS63" s="10" t="s">
        <v>55</v>
      </c>
      <c r="HT63" s="10" t="s">
        <v>56</v>
      </c>
      <c r="HU63" s="10" t="s">
        <v>55</v>
      </c>
      <c r="HV63" s="10" t="s">
        <v>56</v>
      </c>
      <c r="HW63" s="10" t="s">
        <v>55</v>
      </c>
      <c r="HX63" s="10" t="s">
        <v>56</v>
      </c>
      <c r="HY63" s="10" t="s">
        <v>55</v>
      </c>
      <c r="HZ63" s="10" t="s">
        <v>56</v>
      </c>
      <c r="IA63" s="10" t="s">
        <v>55</v>
      </c>
      <c r="IB63" s="10" t="s">
        <v>56</v>
      </c>
      <c r="IC63" s="10" t="s">
        <v>55</v>
      </c>
      <c r="ID63" s="4" t="s">
        <v>56</v>
      </c>
      <c r="IE63" s="4" t="s">
        <v>55</v>
      </c>
      <c r="IF63" s="4" t="s">
        <v>56</v>
      </c>
      <c r="IG63" s="4" t="s">
        <v>55</v>
      </c>
      <c r="IH63" s="4" t="s">
        <v>56</v>
      </c>
      <c r="II63" s="4" t="s">
        <v>55</v>
      </c>
      <c r="IJ63" s="4" t="s">
        <v>56</v>
      </c>
      <c r="IK63" s="4" t="s">
        <v>55</v>
      </c>
      <c r="IL63" s="4" t="s">
        <v>56</v>
      </c>
      <c r="IM63" s="4" t="s">
        <v>55</v>
      </c>
      <c r="IN63" s="4" t="s">
        <v>56</v>
      </c>
      <c r="IO63" s="4" t="s">
        <v>55</v>
      </c>
      <c r="IP63" s="4" t="s">
        <v>56</v>
      </c>
      <c r="IQ63" s="4" t="s">
        <v>55</v>
      </c>
      <c r="IR63" s="4" t="s">
        <v>56</v>
      </c>
      <c r="IS63" s="4" t="s">
        <v>55</v>
      </c>
      <c r="IT63" s="18" t="s">
        <v>56</v>
      </c>
      <c r="IU63" s="18" t="s">
        <v>55</v>
      </c>
      <c r="IV63" s="4" t="s">
        <v>556</v>
      </c>
      <c r="IW63" s="4" t="s">
        <v>55</v>
      </c>
      <c r="IX63" s="4" t="s">
        <v>56</v>
      </c>
      <c r="IY63" s="4" t="s">
        <v>55</v>
      </c>
      <c r="IZ63" s="4" t="s">
        <v>56</v>
      </c>
      <c r="JA63" s="4" t="s">
        <v>55</v>
      </c>
      <c r="JB63" s="4" t="s">
        <v>56</v>
      </c>
      <c r="JC63" s="4" t="s">
        <v>55</v>
      </c>
      <c r="JD63" s="4" t="s">
        <v>56</v>
      </c>
      <c r="JE63" s="4" t="s">
        <v>55</v>
      </c>
      <c r="JF63" s="4" t="s">
        <v>56</v>
      </c>
      <c r="JG63" s="4" t="s">
        <v>55</v>
      </c>
      <c r="JH63" s="4" t="s">
        <v>56</v>
      </c>
      <c r="JI63" s="4" t="s">
        <v>55</v>
      </c>
      <c r="JJ63" s="4" t="s">
        <v>56</v>
      </c>
      <c r="JK63" s="4" t="s">
        <v>55</v>
      </c>
      <c r="JL63" s="4" t="s">
        <v>56</v>
      </c>
      <c r="JM63" s="4" t="s">
        <v>55</v>
      </c>
      <c r="JN63" s="4" t="s">
        <v>56</v>
      </c>
      <c r="JO63" s="4" t="s">
        <v>55</v>
      </c>
      <c r="JP63" s="4" t="s">
        <v>56</v>
      </c>
      <c r="JQ63" s="4" t="s">
        <v>55</v>
      </c>
      <c r="JR63" s="4" t="s">
        <v>56</v>
      </c>
      <c r="JS63" s="4" t="s">
        <v>55</v>
      </c>
      <c r="JT63" s="4" t="s">
        <v>56</v>
      </c>
      <c r="JU63" s="4" t="s">
        <v>55</v>
      </c>
      <c r="JV63" s="4" t="s">
        <v>56</v>
      </c>
      <c r="JW63" s="4" t="s">
        <v>55</v>
      </c>
      <c r="JX63" s="26" t="s">
        <v>56</v>
      </c>
      <c r="JY63" s="26" t="s">
        <v>55</v>
      </c>
      <c r="JZ63" s="26" t="s">
        <v>56</v>
      </c>
      <c r="KA63" s="26" t="s">
        <v>55</v>
      </c>
      <c r="KB63" s="26" t="s">
        <v>56</v>
      </c>
      <c r="KC63" s="26" t="s">
        <v>55</v>
      </c>
      <c r="KD63" s="26" t="s">
        <v>56</v>
      </c>
      <c r="KE63" s="26" t="s">
        <v>55</v>
      </c>
      <c r="KF63" s="26" t="s">
        <v>56</v>
      </c>
      <c r="KG63" s="26" t="s">
        <v>55</v>
      </c>
      <c r="KH63" s="4" t="s">
        <v>56</v>
      </c>
      <c r="KI63" s="4" t="s">
        <v>55</v>
      </c>
      <c r="KJ63" s="4" t="s">
        <v>56</v>
      </c>
      <c r="KK63" s="4" t="s">
        <v>55</v>
      </c>
      <c r="KL63" s="4" t="s">
        <v>56</v>
      </c>
      <c r="KM63" s="4" t="s">
        <v>55</v>
      </c>
      <c r="KN63" s="4" t="s">
        <v>56</v>
      </c>
      <c r="KO63" s="4" t="s">
        <v>55</v>
      </c>
      <c r="KP63" s="4" t="s">
        <v>56</v>
      </c>
      <c r="KQ63" s="4" t="s">
        <v>55</v>
      </c>
      <c r="KR63" s="17" t="s">
        <v>56</v>
      </c>
      <c r="KS63" s="17" t="s">
        <v>55</v>
      </c>
      <c r="KT63" s="17" t="s">
        <v>56</v>
      </c>
      <c r="KU63" s="17" t="s">
        <v>55</v>
      </c>
      <c r="KV63" s="4" t="s">
        <v>56</v>
      </c>
      <c r="KW63" s="4" t="s">
        <v>55</v>
      </c>
      <c r="KX63" s="4" t="s">
        <v>56</v>
      </c>
      <c r="KY63" s="4" t="s">
        <v>55</v>
      </c>
      <c r="KZ63" s="4" t="s">
        <v>56</v>
      </c>
      <c r="LA63" s="4" t="s">
        <v>55</v>
      </c>
      <c r="LB63" s="10" t="s">
        <v>56</v>
      </c>
      <c r="LC63" s="10" t="s">
        <v>55</v>
      </c>
      <c r="LD63" s="10" t="s">
        <v>56</v>
      </c>
      <c r="LE63" s="10" t="s">
        <v>55</v>
      </c>
      <c r="LF63" s="10" t="s">
        <v>56</v>
      </c>
      <c r="LG63" s="10" t="s">
        <v>55</v>
      </c>
      <c r="LH63" s="10" t="s">
        <v>56</v>
      </c>
      <c r="LI63" s="10" t="s">
        <v>55</v>
      </c>
      <c r="LJ63" s="10" t="s">
        <v>56</v>
      </c>
      <c r="LK63" s="10" t="s">
        <v>162</v>
      </c>
      <c r="LL63" s="10" t="s">
        <v>56</v>
      </c>
      <c r="LM63" s="10" t="s">
        <v>162</v>
      </c>
      <c r="LN63" s="10" t="s">
        <v>56</v>
      </c>
      <c r="LO63" s="10" t="s">
        <v>162</v>
      </c>
      <c r="LP63" s="10" t="s">
        <v>56</v>
      </c>
      <c r="LQ63" s="10" t="s">
        <v>162</v>
      </c>
      <c r="LR63" s="10" t="s">
        <v>56</v>
      </c>
      <c r="LS63" s="10" t="s">
        <v>162</v>
      </c>
      <c r="LT63" s="10" t="s">
        <v>56</v>
      </c>
      <c r="LU63" s="10" t="s">
        <v>162</v>
      </c>
      <c r="LV63" s="10" t="s">
        <v>56</v>
      </c>
      <c r="LW63" s="10" t="s">
        <v>55</v>
      </c>
      <c r="LX63" s="10" t="s">
        <v>56</v>
      </c>
      <c r="LY63" s="10" t="s">
        <v>55</v>
      </c>
      <c r="LZ63" s="10" t="s">
        <v>56</v>
      </c>
      <c r="MA63" s="10" t="s">
        <v>55</v>
      </c>
      <c r="MB63" s="10" t="s">
        <v>56</v>
      </c>
      <c r="MC63" s="10" t="s">
        <v>55</v>
      </c>
      <c r="MD63" s="17" t="s">
        <v>56</v>
      </c>
      <c r="ME63" s="4" t="s">
        <v>55</v>
      </c>
      <c r="MF63" s="17" t="s">
        <v>56</v>
      </c>
      <c r="MG63" s="4" t="s">
        <v>55</v>
      </c>
      <c r="MH63" s="17" t="s">
        <v>56</v>
      </c>
      <c r="MI63" s="4" t="s">
        <v>55</v>
      </c>
      <c r="MJ63" s="17" t="s">
        <v>56</v>
      </c>
      <c r="MK63" s="4" t="s">
        <v>55</v>
      </c>
      <c r="ML63" s="17" t="s">
        <v>56</v>
      </c>
      <c r="MM63" s="4" t="s">
        <v>55</v>
      </c>
      <c r="MN63" s="17" t="s">
        <v>56</v>
      </c>
      <c r="MO63" s="4" t="s">
        <v>55</v>
      </c>
      <c r="MP63" s="17" t="s">
        <v>56</v>
      </c>
      <c r="MQ63" s="4" t="s">
        <v>55</v>
      </c>
      <c r="MR63" s="17" t="s">
        <v>56</v>
      </c>
      <c r="MS63" s="4" t="s">
        <v>55</v>
      </c>
      <c r="MT63" s="17" t="s">
        <v>56</v>
      </c>
      <c r="MU63" s="4" t="s">
        <v>55</v>
      </c>
      <c r="MV63" s="17" t="s">
        <v>56</v>
      </c>
      <c r="MW63" s="4" t="s">
        <v>55</v>
      </c>
      <c r="MX63" s="17" t="s">
        <v>56</v>
      </c>
      <c r="MY63" s="4" t="s">
        <v>55</v>
      </c>
      <c r="MZ63" s="17" t="s">
        <v>56</v>
      </c>
      <c r="NA63" s="4" t="s">
        <v>55</v>
      </c>
      <c r="NB63" s="10" t="s">
        <v>56</v>
      </c>
      <c r="NC63" s="10" t="s">
        <v>55</v>
      </c>
      <c r="ND63" s="10" t="s">
        <v>56</v>
      </c>
      <c r="NE63" s="10" t="s">
        <v>55</v>
      </c>
      <c r="NF63" s="10" t="s">
        <v>56</v>
      </c>
      <c r="NG63" s="10" t="s">
        <v>55</v>
      </c>
      <c r="NH63" s="10" t="s">
        <v>56</v>
      </c>
      <c r="NI63" s="10" t="s">
        <v>55</v>
      </c>
      <c r="NJ63" s="10" t="s">
        <v>56</v>
      </c>
      <c r="NK63" s="10" t="s">
        <v>55</v>
      </c>
      <c r="NL63" s="10" t="s">
        <v>56</v>
      </c>
      <c r="NM63" s="4" t="s">
        <v>55</v>
      </c>
      <c r="NN63" s="10" t="s">
        <v>56</v>
      </c>
      <c r="NO63" s="4" t="s">
        <v>55</v>
      </c>
      <c r="NP63" s="10" t="s">
        <v>56</v>
      </c>
      <c r="NQ63" s="4" t="s">
        <v>55</v>
      </c>
      <c r="NR63" s="10" t="s">
        <v>56</v>
      </c>
      <c r="NS63" s="10" t="s">
        <v>55</v>
      </c>
      <c r="NT63" s="10" t="s">
        <v>56</v>
      </c>
      <c r="NU63" s="10" t="s">
        <v>55</v>
      </c>
    </row>
    <row r="64" spans="1:385" s="15" customFormat="1" x14ac:dyDescent="0.2">
      <c r="A64" s="15" t="s">
        <v>250</v>
      </c>
      <c r="B64" s="1" t="s">
        <v>1043</v>
      </c>
      <c r="C64" s="1" t="s">
        <v>859</v>
      </c>
      <c r="D64" s="39" cm="1">
        <f t="array" ref="D64">SUMPRODUCT((ISNUMBER(F64:NU64))*(MOD(COLUMN(F64:NU64),2)=0))</f>
        <v>5</v>
      </c>
      <c r="E64" s="4">
        <v>117.15</v>
      </c>
      <c r="F64" s="10" t="s">
        <v>56</v>
      </c>
      <c r="G64" s="10" t="s">
        <v>55</v>
      </c>
      <c r="H64" s="10" t="s">
        <v>56</v>
      </c>
      <c r="I64" s="10" t="s">
        <v>55</v>
      </c>
      <c r="J64" s="10" t="s">
        <v>56</v>
      </c>
      <c r="K64" s="10" t="s">
        <v>55</v>
      </c>
      <c r="L64" s="10" t="s">
        <v>56</v>
      </c>
      <c r="M64" s="10" t="s">
        <v>55</v>
      </c>
      <c r="N64" s="10" t="s">
        <v>56</v>
      </c>
      <c r="O64" s="10" t="s">
        <v>55</v>
      </c>
      <c r="P64" s="10" t="s">
        <v>56</v>
      </c>
      <c r="Q64" s="10" t="s">
        <v>55</v>
      </c>
      <c r="R64" s="10" t="s">
        <v>56</v>
      </c>
      <c r="S64" s="10" t="s">
        <v>55</v>
      </c>
      <c r="T64" s="10" t="s">
        <v>56</v>
      </c>
      <c r="U64" s="10" t="s">
        <v>55</v>
      </c>
      <c r="V64" s="10" t="s">
        <v>56</v>
      </c>
      <c r="W64" s="10" t="s">
        <v>55</v>
      </c>
      <c r="X64" s="10" t="s">
        <v>56</v>
      </c>
      <c r="Y64" s="10" t="s">
        <v>55</v>
      </c>
      <c r="Z64" s="10" t="s">
        <v>56</v>
      </c>
      <c r="AA64" s="10" t="s">
        <v>55</v>
      </c>
      <c r="AB64" s="10" t="s">
        <v>56</v>
      </c>
      <c r="AC64" s="10" t="s">
        <v>55</v>
      </c>
      <c r="AD64" s="10" t="s">
        <v>56</v>
      </c>
      <c r="AE64" s="10" t="s">
        <v>55</v>
      </c>
      <c r="AF64" s="10" t="s">
        <v>56</v>
      </c>
      <c r="AG64" s="10" t="s">
        <v>55</v>
      </c>
      <c r="AH64" s="10" t="s">
        <v>56</v>
      </c>
      <c r="AI64" s="10" t="s">
        <v>55</v>
      </c>
      <c r="AJ64" s="10" t="s">
        <v>56</v>
      </c>
      <c r="AK64" s="10" t="s">
        <v>55</v>
      </c>
      <c r="AL64" s="10" t="s">
        <v>56</v>
      </c>
      <c r="AM64" s="10" t="s">
        <v>55</v>
      </c>
      <c r="AN64" s="10" t="s">
        <v>56</v>
      </c>
      <c r="AO64" s="10" t="s">
        <v>55</v>
      </c>
      <c r="AP64" s="10" t="s">
        <v>56</v>
      </c>
      <c r="AQ64" s="10" t="s">
        <v>55</v>
      </c>
      <c r="AR64" s="10" t="s">
        <v>56</v>
      </c>
      <c r="AS64" s="10" t="s">
        <v>55</v>
      </c>
      <c r="AT64" s="10" t="s">
        <v>56</v>
      </c>
      <c r="AU64" s="10" t="s">
        <v>55</v>
      </c>
      <c r="AV64" s="10" t="s">
        <v>56</v>
      </c>
      <c r="AW64" s="10" t="s">
        <v>55</v>
      </c>
      <c r="AX64" s="10" t="s">
        <v>56</v>
      </c>
      <c r="AY64" s="10" t="s">
        <v>55</v>
      </c>
      <c r="AZ64" s="10" t="s">
        <v>56</v>
      </c>
      <c r="BA64" s="10" t="s">
        <v>55</v>
      </c>
      <c r="BB64" s="10" t="s">
        <v>56</v>
      </c>
      <c r="BC64" s="10" t="s">
        <v>55</v>
      </c>
      <c r="BD64" s="10" t="s">
        <v>56</v>
      </c>
      <c r="BE64" s="10" t="s">
        <v>55</v>
      </c>
      <c r="BF64" s="10" t="s">
        <v>56</v>
      </c>
      <c r="BG64" s="10" t="s">
        <v>55</v>
      </c>
      <c r="BH64" s="10" t="s">
        <v>56</v>
      </c>
      <c r="BI64" s="10" t="s">
        <v>55</v>
      </c>
      <c r="BJ64" s="10" t="s">
        <v>56</v>
      </c>
      <c r="BK64" s="10" t="s">
        <v>55</v>
      </c>
      <c r="BL64" s="10" t="s">
        <v>56</v>
      </c>
      <c r="BM64" s="10" t="s">
        <v>55</v>
      </c>
      <c r="BN64" s="10" t="s">
        <v>56</v>
      </c>
      <c r="BO64" s="10" t="s">
        <v>55</v>
      </c>
      <c r="BP64" s="10" t="s">
        <v>56</v>
      </c>
      <c r="BQ64" s="10" t="s">
        <v>55</v>
      </c>
      <c r="BR64" s="10" t="s">
        <v>56</v>
      </c>
      <c r="BS64" s="10" t="s">
        <v>55</v>
      </c>
      <c r="BT64" s="10" t="s">
        <v>56</v>
      </c>
      <c r="BU64" s="10" t="s">
        <v>55</v>
      </c>
      <c r="BV64" s="10" t="s">
        <v>56</v>
      </c>
      <c r="BW64" s="10" t="s">
        <v>55</v>
      </c>
      <c r="BX64" s="10" t="s">
        <v>56</v>
      </c>
      <c r="BY64" s="10" t="s">
        <v>55</v>
      </c>
      <c r="BZ64" s="10" t="s">
        <v>56</v>
      </c>
      <c r="CA64" s="10" t="s">
        <v>55</v>
      </c>
      <c r="CB64" s="10" t="s">
        <v>56</v>
      </c>
      <c r="CC64" s="10" t="s">
        <v>55</v>
      </c>
      <c r="CD64" s="10" t="s">
        <v>56</v>
      </c>
      <c r="CE64" s="10" t="s">
        <v>55</v>
      </c>
      <c r="CF64" s="10" t="s">
        <v>56</v>
      </c>
      <c r="CG64" s="10" t="s">
        <v>55</v>
      </c>
      <c r="CH64" s="10" t="s">
        <v>56</v>
      </c>
      <c r="CI64" s="10" t="s">
        <v>55</v>
      </c>
      <c r="CJ64" s="10" t="s">
        <v>56</v>
      </c>
      <c r="CK64" s="10" t="s">
        <v>55</v>
      </c>
      <c r="CL64" s="10" t="s">
        <v>56</v>
      </c>
      <c r="CM64" s="10" t="s">
        <v>55</v>
      </c>
      <c r="CN64" s="10" t="s">
        <v>56</v>
      </c>
      <c r="CO64" s="10" t="s">
        <v>55</v>
      </c>
      <c r="CP64" s="10" t="s">
        <v>56</v>
      </c>
      <c r="CQ64" s="10" t="s">
        <v>55</v>
      </c>
      <c r="CR64" s="10" t="s">
        <v>56</v>
      </c>
      <c r="CS64" s="10" t="s">
        <v>55</v>
      </c>
      <c r="CT64" s="10" t="s">
        <v>56</v>
      </c>
      <c r="CU64" s="10" t="s">
        <v>55</v>
      </c>
      <c r="CV64" s="10" t="s">
        <v>56</v>
      </c>
      <c r="CW64" s="10" t="s">
        <v>55</v>
      </c>
      <c r="CX64" s="10" t="s">
        <v>56</v>
      </c>
      <c r="CY64" s="10" t="s">
        <v>55</v>
      </c>
      <c r="CZ64" s="10" t="s">
        <v>56</v>
      </c>
      <c r="DA64" s="10" t="s">
        <v>55</v>
      </c>
      <c r="DB64" s="10" t="s">
        <v>56</v>
      </c>
      <c r="DC64" s="10" t="s">
        <v>55</v>
      </c>
      <c r="DD64" s="10" t="s">
        <v>56</v>
      </c>
      <c r="DE64" s="10" t="s">
        <v>55</v>
      </c>
      <c r="DF64" s="10" t="s">
        <v>56</v>
      </c>
      <c r="DG64" s="10" t="s">
        <v>55</v>
      </c>
      <c r="DH64" s="10">
        <f>85/E64</f>
        <v>0.72556551429790861</v>
      </c>
      <c r="DI64" s="10">
        <f>6/E64</f>
        <v>5.1216389244558257E-2</v>
      </c>
      <c r="DJ64" s="10">
        <f>40/E64</f>
        <v>0.3414425949637217</v>
      </c>
      <c r="DK64" s="10">
        <f>5/E64</f>
        <v>4.2680324370465213E-2</v>
      </c>
      <c r="DL64" s="10">
        <f>30/E64</f>
        <v>0.25608194622279129</v>
      </c>
      <c r="DM64" s="10">
        <f>2/E64</f>
        <v>1.7072129748186084E-2</v>
      </c>
      <c r="DN64" s="10" t="s">
        <v>240</v>
      </c>
      <c r="DO64" s="10" t="s">
        <v>55</v>
      </c>
      <c r="DP64" s="10">
        <f>14/E64</f>
        <v>0.1195049082373026</v>
      </c>
      <c r="DQ64" s="10">
        <f>1/E64</f>
        <v>8.5360648740930422E-3</v>
      </c>
      <c r="DR64" s="10">
        <f>2.1/E64</f>
        <v>1.7925736235595392E-2</v>
      </c>
      <c r="DS64" s="10">
        <f>0.1/E64</f>
        <v>8.5360648740930435E-4</v>
      </c>
      <c r="DT64" s="10" t="s">
        <v>56</v>
      </c>
      <c r="DU64" s="10" t="s">
        <v>55</v>
      </c>
      <c r="DV64" s="10" t="s">
        <v>56</v>
      </c>
      <c r="DW64" s="10" t="s">
        <v>55</v>
      </c>
      <c r="DX64" s="10" t="s">
        <v>56</v>
      </c>
      <c r="DY64" s="10" t="s">
        <v>55</v>
      </c>
      <c r="DZ64" s="10" t="s">
        <v>56</v>
      </c>
      <c r="EA64" s="10" t="s">
        <v>55</v>
      </c>
      <c r="EB64" s="10" t="s">
        <v>56</v>
      </c>
      <c r="EC64" s="10" t="s">
        <v>55</v>
      </c>
      <c r="ED64" s="10" t="s">
        <v>56</v>
      </c>
      <c r="EE64" s="10" t="s">
        <v>55</v>
      </c>
      <c r="EF64" s="10" t="s">
        <v>56</v>
      </c>
      <c r="EG64" s="10" t="s">
        <v>55</v>
      </c>
      <c r="EH64" s="10" t="s">
        <v>56</v>
      </c>
      <c r="EI64" s="10" t="s">
        <v>55</v>
      </c>
      <c r="EJ64" s="10" t="s">
        <v>56</v>
      </c>
      <c r="EK64" s="10" t="s">
        <v>55</v>
      </c>
      <c r="EL64" s="10" t="s">
        <v>56</v>
      </c>
      <c r="EM64" s="10" t="s">
        <v>55</v>
      </c>
      <c r="EN64" s="10" t="s">
        <v>56</v>
      </c>
      <c r="EO64" s="10" t="s">
        <v>55</v>
      </c>
      <c r="EP64" s="10" t="s">
        <v>56</v>
      </c>
      <c r="EQ64" s="10" t="s">
        <v>55</v>
      </c>
      <c r="ER64" s="10" t="s">
        <v>56</v>
      </c>
      <c r="ES64" s="10" t="s">
        <v>55</v>
      </c>
      <c r="ET64" s="10" t="s">
        <v>56</v>
      </c>
      <c r="EU64" s="10" t="s">
        <v>55</v>
      </c>
      <c r="EV64" s="10" t="s">
        <v>56</v>
      </c>
      <c r="EW64" s="10" t="s">
        <v>55</v>
      </c>
      <c r="EX64" s="10" t="s">
        <v>56</v>
      </c>
      <c r="EY64" s="10" t="s">
        <v>55</v>
      </c>
      <c r="EZ64" s="10" t="s">
        <v>56</v>
      </c>
      <c r="FA64" s="10" t="s">
        <v>55</v>
      </c>
      <c r="FB64" s="10" t="s">
        <v>56</v>
      </c>
      <c r="FC64" s="10" t="s">
        <v>55</v>
      </c>
      <c r="FD64" s="10" t="s">
        <v>56</v>
      </c>
      <c r="FE64" s="10" t="s">
        <v>55</v>
      </c>
      <c r="FF64" s="10" t="s">
        <v>56</v>
      </c>
      <c r="FG64" s="10" t="s">
        <v>55</v>
      </c>
      <c r="FH64" s="10" t="s">
        <v>56</v>
      </c>
      <c r="FI64" s="10" t="s">
        <v>55</v>
      </c>
      <c r="FJ64" s="10" t="s">
        <v>56</v>
      </c>
      <c r="FK64" s="10" t="s">
        <v>55</v>
      </c>
      <c r="FL64" s="10" t="s">
        <v>56</v>
      </c>
      <c r="FM64" s="10" t="s">
        <v>55</v>
      </c>
      <c r="FN64" s="10" t="s">
        <v>56</v>
      </c>
      <c r="FO64" s="10" t="s">
        <v>55</v>
      </c>
      <c r="FP64" s="10" t="s">
        <v>56</v>
      </c>
      <c r="FQ64" s="10" t="s">
        <v>55</v>
      </c>
      <c r="FR64" s="10" t="s">
        <v>56</v>
      </c>
      <c r="FS64" s="10" t="s">
        <v>55</v>
      </c>
      <c r="FT64" s="10" t="s">
        <v>56</v>
      </c>
      <c r="FU64" s="10" t="s">
        <v>55</v>
      </c>
      <c r="FV64" s="10" t="s">
        <v>56</v>
      </c>
      <c r="FW64" s="10" t="s">
        <v>55</v>
      </c>
      <c r="FX64" s="10" t="s">
        <v>56</v>
      </c>
      <c r="FY64" s="10" t="s">
        <v>55</v>
      </c>
      <c r="FZ64" s="10" t="s">
        <v>56</v>
      </c>
      <c r="GA64" s="10" t="s">
        <v>55</v>
      </c>
      <c r="GB64" s="10" t="s">
        <v>56</v>
      </c>
      <c r="GC64" s="10" t="s">
        <v>55</v>
      </c>
      <c r="GD64" s="10" t="s">
        <v>56</v>
      </c>
      <c r="GE64" s="10" t="s">
        <v>55</v>
      </c>
      <c r="GF64" s="10" t="s">
        <v>56</v>
      </c>
      <c r="GG64" s="10" t="s">
        <v>55</v>
      </c>
      <c r="GH64" s="10" t="s">
        <v>56</v>
      </c>
      <c r="GI64" s="10" t="s">
        <v>55</v>
      </c>
      <c r="GJ64" s="10" t="s">
        <v>56</v>
      </c>
      <c r="GK64" s="10" t="s">
        <v>55</v>
      </c>
      <c r="GL64" s="10" t="s">
        <v>56</v>
      </c>
      <c r="GM64" s="10" t="s">
        <v>55</v>
      </c>
      <c r="GN64" s="10" t="s">
        <v>56</v>
      </c>
      <c r="GO64" s="10" t="s">
        <v>55</v>
      </c>
      <c r="GP64" s="10" t="s">
        <v>56</v>
      </c>
      <c r="GQ64" s="10" t="s">
        <v>55</v>
      </c>
      <c r="GR64" s="10" t="s">
        <v>61</v>
      </c>
      <c r="GS64" s="10" t="s">
        <v>55</v>
      </c>
      <c r="GT64" s="10" t="s">
        <v>61</v>
      </c>
      <c r="GU64" s="10" t="s">
        <v>55</v>
      </c>
      <c r="GV64" s="17" t="s">
        <v>56</v>
      </c>
      <c r="GW64" s="17" t="s">
        <v>55</v>
      </c>
      <c r="GX64" s="10" t="s">
        <v>56</v>
      </c>
      <c r="GY64" s="10" t="s">
        <v>55</v>
      </c>
      <c r="GZ64" s="10" t="s">
        <v>56</v>
      </c>
      <c r="HA64" s="10" t="s">
        <v>55</v>
      </c>
      <c r="HB64" s="10" t="s">
        <v>56</v>
      </c>
      <c r="HC64" s="10" t="s">
        <v>55</v>
      </c>
      <c r="HD64" s="10" t="s">
        <v>56</v>
      </c>
      <c r="HE64" s="10" t="s">
        <v>55</v>
      </c>
      <c r="HF64" s="10" t="s">
        <v>56</v>
      </c>
      <c r="HG64" s="10" t="s">
        <v>55</v>
      </c>
      <c r="HH64" s="10" t="s">
        <v>56</v>
      </c>
      <c r="HI64" s="10" t="s">
        <v>55</v>
      </c>
      <c r="HJ64" s="10" t="s">
        <v>56</v>
      </c>
      <c r="HK64" s="10" t="s">
        <v>55</v>
      </c>
      <c r="HL64" s="10" t="s">
        <v>56</v>
      </c>
      <c r="HM64" s="10" t="s">
        <v>55</v>
      </c>
      <c r="HN64" s="10" t="s">
        <v>56</v>
      </c>
      <c r="HO64" s="10" t="s">
        <v>55</v>
      </c>
      <c r="HP64" s="10" t="s">
        <v>56</v>
      </c>
      <c r="HQ64" s="10" t="s">
        <v>55</v>
      </c>
      <c r="HR64" s="10" t="s">
        <v>56</v>
      </c>
      <c r="HS64" s="10" t="s">
        <v>55</v>
      </c>
      <c r="HT64" s="10" t="s">
        <v>56</v>
      </c>
      <c r="HU64" s="10" t="s">
        <v>55</v>
      </c>
      <c r="HV64" s="10" t="s">
        <v>56</v>
      </c>
      <c r="HW64" s="10" t="s">
        <v>55</v>
      </c>
      <c r="HX64" s="10" t="s">
        <v>56</v>
      </c>
      <c r="HY64" s="10" t="s">
        <v>55</v>
      </c>
      <c r="HZ64" s="10" t="s">
        <v>56</v>
      </c>
      <c r="IA64" s="10" t="s">
        <v>55</v>
      </c>
      <c r="IB64" s="10" t="s">
        <v>56</v>
      </c>
      <c r="IC64" s="10" t="s">
        <v>55</v>
      </c>
      <c r="ID64" s="4" t="s">
        <v>56</v>
      </c>
      <c r="IE64" s="4" t="s">
        <v>55</v>
      </c>
      <c r="IF64" s="4" t="s">
        <v>56</v>
      </c>
      <c r="IG64" s="4" t="s">
        <v>55</v>
      </c>
      <c r="IH64" s="4" t="s">
        <v>56</v>
      </c>
      <c r="II64" s="4" t="s">
        <v>55</v>
      </c>
      <c r="IJ64" s="4" t="s">
        <v>56</v>
      </c>
      <c r="IK64" s="4" t="s">
        <v>55</v>
      </c>
      <c r="IL64" s="4" t="s">
        <v>56</v>
      </c>
      <c r="IM64" s="4" t="s">
        <v>55</v>
      </c>
      <c r="IN64" s="4" t="s">
        <v>56</v>
      </c>
      <c r="IO64" s="4" t="s">
        <v>55</v>
      </c>
      <c r="IP64" s="4" t="s">
        <v>56</v>
      </c>
      <c r="IQ64" s="4" t="s">
        <v>55</v>
      </c>
      <c r="IR64" s="4" t="s">
        <v>56</v>
      </c>
      <c r="IS64" s="4" t="s">
        <v>55</v>
      </c>
      <c r="IT64" s="18" t="s">
        <v>56</v>
      </c>
      <c r="IU64" s="18" t="s">
        <v>55</v>
      </c>
      <c r="IV64" s="4" t="s">
        <v>556</v>
      </c>
      <c r="IW64" s="4" t="s">
        <v>55</v>
      </c>
      <c r="IX64" s="4" t="s">
        <v>56</v>
      </c>
      <c r="IY64" s="4" t="s">
        <v>55</v>
      </c>
      <c r="IZ64" s="4" t="s">
        <v>56</v>
      </c>
      <c r="JA64" s="4" t="s">
        <v>55</v>
      </c>
      <c r="JB64" s="4" t="s">
        <v>56</v>
      </c>
      <c r="JC64" s="4" t="s">
        <v>55</v>
      </c>
      <c r="JD64" s="4" t="s">
        <v>56</v>
      </c>
      <c r="JE64" s="4" t="s">
        <v>55</v>
      </c>
      <c r="JF64" s="4" t="s">
        <v>56</v>
      </c>
      <c r="JG64" s="4" t="s">
        <v>55</v>
      </c>
      <c r="JH64" s="4" t="s">
        <v>56</v>
      </c>
      <c r="JI64" s="4" t="s">
        <v>55</v>
      </c>
      <c r="JJ64" s="4" t="s">
        <v>56</v>
      </c>
      <c r="JK64" s="4" t="s">
        <v>55</v>
      </c>
      <c r="JL64" s="4" t="s">
        <v>56</v>
      </c>
      <c r="JM64" s="4" t="s">
        <v>55</v>
      </c>
      <c r="JN64" s="4" t="s">
        <v>56</v>
      </c>
      <c r="JO64" s="4" t="s">
        <v>55</v>
      </c>
      <c r="JP64" s="4" t="s">
        <v>56</v>
      </c>
      <c r="JQ64" s="4" t="s">
        <v>55</v>
      </c>
      <c r="JR64" s="4" t="s">
        <v>56</v>
      </c>
      <c r="JS64" s="4" t="s">
        <v>55</v>
      </c>
      <c r="JT64" s="4" t="s">
        <v>56</v>
      </c>
      <c r="JU64" s="4" t="s">
        <v>55</v>
      </c>
      <c r="JV64" s="4" t="s">
        <v>56</v>
      </c>
      <c r="JW64" s="4" t="s">
        <v>55</v>
      </c>
      <c r="JX64" s="26" t="s">
        <v>56</v>
      </c>
      <c r="JY64" s="26" t="s">
        <v>55</v>
      </c>
      <c r="JZ64" s="26" t="s">
        <v>56</v>
      </c>
      <c r="KA64" s="26" t="s">
        <v>55</v>
      </c>
      <c r="KB64" s="26" t="s">
        <v>56</v>
      </c>
      <c r="KC64" s="26" t="s">
        <v>55</v>
      </c>
      <c r="KD64" s="26" t="s">
        <v>56</v>
      </c>
      <c r="KE64" s="26" t="s">
        <v>55</v>
      </c>
      <c r="KF64" s="26" t="s">
        <v>56</v>
      </c>
      <c r="KG64" s="26" t="s">
        <v>55</v>
      </c>
      <c r="KH64" s="4" t="s">
        <v>56</v>
      </c>
      <c r="KI64" s="4" t="s">
        <v>55</v>
      </c>
      <c r="KJ64" s="4" t="s">
        <v>56</v>
      </c>
      <c r="KK64" s="4" t="s">
        <v>55</v>
      </c>
      <c r="KL64" s="4" t="s">
        <v>56</v>
      </c>
      <c r="KM64" s="4" t="s">
        <v>55</v>
      </c>
      <c r="KN64" s="4" t="s">
        <v>56</v>
      </c>
      <c r="KO64" s="4" t="s">
        <v>55</v>
      </c>
      <c r="KP64" s="4" t="s">
        <v>56</v>
      </c>
      <c r="KQ64" s="4" t="s">
        <v>55</v>
      </c>
      <c r="KR64" s="17" t="s">
        <v>56</v>
      </c>
      <c r="KS64" s="17" t="s">
        <v>55</v>
      </c>
      <c r="KT64" s="17" t="s">
        <v>56</v>
      </c>
      <c r="KU64" s="17" t="s">
        <v>55</v>
      </c>
      <c r="KV64" s="4" t="s">
        <v>56</v>
      </c>
      <c r="KW64" s="4" t="s">
        <v>55</v>
      </c>
      <c r="KX64" s="4" t="s">
        <v>56</v>
      </c>
      <c r="KY64" s="4" t="s">
        <v>55</v>
      </c>
      <c r="KZ64" s="4" t="s">
        <v>56</v>
      </c>
      <c r="LA64" s="4" t="s">
        <v>55</v>
      </c>
      <c r="LB64" s="10" t="s">
        <v>56</v>
      </c>
      <c r="LC64" s="10" t="s">
        <v>55</v>
      </c>
      <c r="LD64" s="10" t="s">
        <v>56</v>
      </c>
      <c r="LE64" s="10" t="s">
        <v>55</v>
      </c>
      <c r="LF64" s="10" t="s">
        <v>56</v>
      </c>
      <c r="LG64" s="10" t="s">
        <v>55</v>
      </c>
      <c r="LH64" s="10" t="s">
        <v>56</v>
      </c>
      <c r="LI64" s="10" t="s">
        <v>55</v>
      </c>
      <c r="LJ64" s="10" t="s">
        <v>56</v>
      </c>
      <c r="LK64" s="10" t="s">
        <v>162</v>
      </c>
      <c r="LL64" s="10" t="s">
        <v>56</v>
      </c>
      <c r="LM64" s="10" t="s">
        <v>162</v>
      </c>
      <c r="LN64" s="10" t="s">
        <v>56</v>
      </c>
      <c r="LO64" s="10" t="s">
        <v>162</v>
      </c>
      <c r="LP64" s="10" t="s">
        <v>56</v>
      </c>
      <c r="LQ64" s="10" t="s">
        <v>162</v>
      </c>
      <c r="LR64" s="10" t="s">
        <v>56</v>
      </c>
      <c r="LS64" s="10" t="s">
        <v>162</v>
      </c>
      <c r="LT64" s="10" t="s">
        <v>56</v>
      </c>
      <c r="LU64" s="10" t="s">
        <v>162</v>
      </c>
      <c r="LV64" s="10" t="s">
        <v>56</v>
      </c>
      <c r="LW64" s="10" t="s">
        <v>55</v>
      </c>
      <c r="LX64" s="10" t="s">
        <v>56</v>
      </c>
      <c r="LY64" s="10" t="s">
        <v>55</v>
      </c>
      <c r="LZ64" s="10" t="s">
        <v>56</v>
      </c>
      <c r="MA64" s="10" t="s">
        <v>55</v>
      </c>
      <c r="MB64" s="10" t="s">
        <v>56</v>
      </c>
      <c r="MC64" s="10" t="s">
        <v>55</v>
      </c>
      <c r="MD64" s="17" t="s">
        <v>56</v>
      </c>
      <c r="ME64" s="4" t="s">
        <v>55</v>
      </c>
      <c r="MF64" s="17" t="s">
        <v>56</v>
      </c>
      <c r="MG64" s="4" t="s">
        <v>55</v>
      </c>
      <c r="MH64" s="17" t="s">
        <v>56</v>
      </c>
      <c r="MI64" s="4" t="s">
        <v>55</v>
      </c>
      <c r="MJ64" s="17" t="s">
        <v>56</v>
      </c>
      <c r="MK64" s="4" t="s">
        <v>55</v>
      </c>
      <c r="ML64" s="17" t="s">
        <v>56</v>
      </c>
      <c r="MM64" s="4" t="s">
        <v>55</v>
      </c>
      <c r="MN64" s="17" t="s">
        <v>56</v>
      </c>
      <c r="MO64" s="4" t="s">
        <v>55</v>
      </c>
      <c r="MP64" s="17" t="s">
        <v>56</v>
      </c>
      <c r="MQ64" s="4" t="s">
        <v>55</v>
      </c>
      <c r="MR64" s="17" t="s">
        <v>56</v>
      </c>
      <c r="MS64" s="4" t="s">
        <v>55</v>
      </c>
      <c r="MT64" s="17" t="s">
        <v>56</v>
      </c>
      <c r="MU64" s="4" t="s">
        <v>55</v>
      </c>
      <c r="MV64" s="17" t="s">
        <v>56</v>
      </c>
      <c r="MW64" s="4" t="s">
        <v>55</v>
      </c>
      <c r="MX64" s="17" t="s">
        <v>56</v>
      </c>
      <c r="MY64" s="4" t="s">
        <v>55</v>
      </c>
      <c r="MZ64" s="17" t="s">
        <v>56</v>
      </c>
      <c r="NA64" s="4" t="s">
        <v>55</v>
      </c>
      <c r="NB64" s="10" t="s">
        <v>56</v>
      </c>
      <c r="NC64" s="10" t="s">
        <v>55</v>
      </c>
      <c r="ND64" s="10" t="s">
        <v>56</v>
      </c>
      <c r="NE64" s="10" t="s">
        <v>55</v>
      </c>
      <c r="NF64" s="10" t="s">
        <v>56</v>
      </c>
      <c r="NG64" s="10" t="s">
        <v>55</v>
      </c>
      <c r="NH64" s="10" t="s">
        <v>56</v>
      </c>
      <c r="NI64" s="10" t="s">
        <v>55</v>
      </c>
      <c r="NJ64" s="10" t="s">
        <v>56</v>
      </c>
      <c r="NK64" s="10" t="s">
        <v>55</v>
      </c>
      <c r="NL64" s="10" t="s">
        <v>56</v>
      </c>
      <c r="NM64" s="4" t="s">
        <v>55</v>
      </c>
      <c r="NN64" s="10" t="s">
        <v>56</v>
      </c>
      <c r="NO64" s="4" t="s">
        <v>55</v>
      </c>
      <c r="NP64" s="10" t="s">
        <v>56</v>
      </c>
      <c r="NQ64" s="4" t="s">
        <v>55</v>
      </c>
      <c r="NR64" s="10" t="s">
        <v>56</v>
      </c>
      <c r="NS64" s="10" t="s">
        <v>55</v>
      </c>
      <c r="NT64" s="10" t="s">
        <v>56</v>
      </c>
      <c r="NU64" s="10" t="s">
        <v>55</v>
      </c>
    </row>
    <row r="65" spans="1:385" s="15" customFormat="1" x14ac:dyDescent="0.2">
      <c r="A65" s="15" t="s">
        <v>1049</v>
      </c>
      <c r="B65" s="1" t="s">
        <v>1043</v>
      </c>
      <c r="C65" s="1" t="s">
        <v>843</v>
      </c>
      <c r="D65" s="39" cm="1">
        <f t="array" ref="D65">SUMPRODUCT((ISNUMBER(F65:NU65))*(MOD(COLUMN(F65:NU65),2)=0))</f>
        <v>31</v>
      </c>
      <c r="E65" s="4">
        <v>117.15</v>
      </c>
      <c r="F65" s="4">
        <v>2.5000000000000001E-3</v>
      </c>
      <c r="G65" s="4" t="s">
        <v>58</v>
      </c>
      <c r="H65" s="4" t="s">
        <v>54</v>
      </c>
      <c r="I65" s="4" t="s">
        <v>55</v>
      </c>
      <c r="J65" s="4">
        <v>2.8E-3</v>
      </c>
      <c r="K65" s="4">
        <v>2.0000000000000001E-4</v>
      </c>
      <c r="L65" s="4">
        <v>2.0000000000000001E-4</v>
      </c>
      <c r="M65" s="4" t="s">
        <v>58</v>
      </c>
      <c r="N65" s="4">
        <v>2.0999999999999999E-3</v>
      </c>
      <c r="O65" s="4">
        <v>2.0000000000000001E-4</v>
      </c>
      <c r="P65" s="4" t="s">
        <v>56</v>
      </c>
      <c r="Q65" s="4" t="s">
        <v>55</v>
      </c>
      <c r="R65" s="4">
        <v>0.64</v>
      </c>
      <c r="S65" s="4">
        <v>0.03</v>
      </c>
      <c r="T65" s="4">
        <v>0.24</v>
      </c>
      <c r="U65" s="4">
        <v>0.02</v>
      </c>
      <c r="V65" s="4">
        <v>3.3</v>
      </c>
      <c r="W65" s="4">
        <v>0.32</v>
      </c>
      <c r="X65" s="4" t="s">
        <v>56</v>
      </c>
      <c r="Y65" s="4" t="s">
        <v>55</v>
      </c>
      <c r="Z65" s="4" t="s">
        <v>56</v>
      </c>
      <c r="AA65" s="4" t="s">
        <v>55</v>
      </c>
      <c r="AB65" s="4">
        <v>25.3</v>
      </c>
      <c r="AC65" s="4">
        <v>1.8</v>
      </c>
      <c r="AD65" s="4">
        <v>11</v>
      </c>
      <c r="AE65" s="4">
        <v>0.8</v>
      </c>
      <c r="AF65" s="11">
        <f>21/E65</f>
        <v>0.17925736235595391</v>
      </c>
      <c r="AG65" s="11">
        <f>2/E65</f>
        <v>1.7072129748186084E-2</v>
      </c>
      <c r="AH65" s="11">
        <f>33/E65</f>
        <v>0.28169014084507044</v>
      </c>
      <c r="AI65" s="11">
        <f>2/E65</f>
        <v>1.7072129748186084E-2</v>
      </c>
      <c r="AJ65" s="11">
        <f>444/E65</f>
        <v>3.7900128040973109</v>
      </c>
      <c r="AK65" s="11">
        <f>47/E65</f>
        <v>0.40119504908237302</v>
      </c>
      <c r="AL65" s="4">
        <v>2.9</v>
      </c>
      <c r="AM65" s="4">
        <v>0.1</v>
      </c>
      <c r="AN65" s="11">
        <v>0.9</v>
      </c>
      <c r="AO65" s="11">
        <v>0.7</v>
      </c>
      <c r="AP65" s="11" t="s">
        <v>56</v>
      </c>
      <c r="AQ65" s="11" t="s">
        <v>55</v>
      </c>
      <c r="AR65" s="10" t="s">
        <v>56</v>
      </c>
      <c r="AS65" s="10" t="s">
        <v>55</v>
      </c>
      <c r="AT65" s="11">
        <f>84/E65</f>
        <v>0.71702944942381563</v>
      </c>
      <c r="AU65" s="11">
        <f>12/E65</f>
        <v>0.10243277848911651</v>
      </c>
      <c r="AV65" s="11">
        <f>78/E65</f>
        <v>0.66581306017925734</v>
      </c>
      <c r="AW65" s="11">
        <f>9/E65</f>
        <v>7.6824583866837381E-2</v>
      </c>
      <c r="AX65" s="11">
        <f>475/E65</f>
        <v>4.0546308151941952</v>
      </c>
      <c r="AY65" s="11">
        <f>31/E65</f>
        <v>0.26461801109688432</v>
      </c>
      <c r="AZ65" s="4">
        <v>1.46</v>
      </c>
      <c r="BA65" s="4">
        <v>0.05</v>
      </c>
      <c r="BB65" s="4" t="s">
        <v>57</v>
      </c>
      <c r="BC65" s="4" t="s">
        <v>55</v>
      </c>
      <c r="BD65" s="1" t="s">
        <v>56</v>
      </c>
      <c r="BE65" s="1" t="s">
        <v>55</v>
      </c>
      <c r="BF65" s="1" t="s">
        <v>56</v>
      </c>
      <c r="BG65" s="1" t="s">
        <v>55</v>
      </c>
      <c r="BH65" s="1" t="s">
        <v>56</v>
      </c>
      <c r="BI65" s="1" t="s">
        <v>55</v>
      </c>
      <c r="BJ65" s="1" t="s">
        <v>56</v>
      </c>
      <c r="BK65" s="1" t="s">
        <v>55</v>
      </c>
      <c r="BL65" s="4" t="s">
        <v>56</v>
      </c>
      <c r="BM65" s="4" t="s">
        <v>55</v>
      </c>
      <c r="BN65" s="4">
        <v>2.1</v>
      </c>
      <c r="BO65" s="4">
        <v>0.1</v>
      </c>
      <c r="BP65" s="4">
        <v>0.7</v>
      </c>
      <c r="BQ65" s="4">
        <v>0.1</v>
      </c>
      <c r="BR65" s="11">
        <f>283/E65</f>
        <v>2.4157063593683312</v>
      </c>
      <c r="BS65" s="11">
        <f>24/E65</f>
        <v>0.20486555697823303</v>
      </c>
      <c r="BT65" s="4">
        <v>0.92</v>
      </c>
      <c r="BU65" s="4">
        <v>0.03</v>
      </c>
      <c r="BV65" s="4" t="s">
        <v>91</v>
      </c>
      <c r="BW65" s="4" t="s">
        <v>55</v>
      </c>
      <c r="BX65" s="4" t="s">
        <v>91</v>
      </c>
      <c r="BY65" s="4" t="s">
        <v>55</v>
      </c>
      <c r="BZ65" s="10">
        <f>0.2/E65</f>
        <v>1.7072129748186087E-3</v>
      </c>
      <c r="CA65" s="10">
        <f>0.1/E65</f>
        <v>8.5360648740930435E-4</v>
      </c>
      <c r="CB65" s="10" t="s">
        <v>240</v>
      </c>
      <c r="CC65" s="10" t="s">
        <v>55</v>
      </c>
      <c r="CD65" s="10">
        <f>1.5/E65</f>
        <v>1.2804097311139564E-2</v>
      </c>
      <c r="CE65" s="10">
        <f>0.2/E65</f>
        <v>1.7072129748186087E-3</v>
      </c>
      <c r="CF65" s="10" t="s">
        <v>238</v>
      </c>
      <c r="CG65" s="10" t="s">
        <v>55</v>
      </c>
      <c r="CH65" s="10">
        <f>8.7/E65</f>
        <v>7.4263764404609467E-2</v>
      </c>
      <c r="CI65" s="10">
        <f>0.7/E65</f>
        <v>5.9752454118651294E-3</v>
      </c>
      <c r="CJ65" s="10">
        <f>15/E65</f>
        <v>0.12804097311139565</v>
      </c>
      <c r="CK65" s="10">
        <f>2/E65</f>
        <v>1.7072129748186084E-2</v>
      </c>
      <c r="CL65" s="10">
        <f>0.3/E65</f>
        <v>2.5608194622279128E-3</v>
      </c>
      <c r="CM65" s="10">
        <f>0.2/E65</f>
        <v>1.7072129748186087E-3</v>
      </c>
      <c r="CN65" s="10">
        <f>0.8/E65</f>
        <v>6.8288518992744348E-3</v>
      </c>
      <c r="CO65" s="10">
        <f>0.3/E65</f>
        <v>2.5608194622279128E-3</v>
      </c>
      <c r="CP65" s="10">
        <f>0.9/E65</f>
        <v>7.6824583866837385E-3</v>
      </c>
      <c r="CQ65" s="10">
        <f>0.2/E65</f>
        <v>1.7072129748186087E-3</v>
      </c>
      <c r="CR65" s="10" t="s">
        <v>240</v>
      </c>
      <c r="CS65" s="19" t="s">
        <v>55</v>
      </c>
      <c r="CT65" s="19" t="s">
        <v>240</v>
      </c>
      <c r="CU65" s="19" t="s">
        <v>55</v>
      </c>
      <c r="CV65" s="19" t="s">
        <v>238</v>
      </c>
      <c r="CW65" s="19" t="s">
        <v>55</v>
      </c>
      <c r="CX65" s="10">
        <f>0.2/E65</f>
        <v>1.7072129748186087E-3</v>
      </c>
      <c r="CY65" s="10">
        <f>0.1/E65</f>
        <v>8.5360648740930435E-4</v>
      </c>
      <c r="CZ65" s="10" t="s">
        <v>152</v>
      </c>
      <c r="DA65" s="10" t="s">
        <v>55</v>
      </c>
      <c r="DB65" s="19" t="s">
        <v>240</v>
      </c>
      <c r="DC65" s="10" t="s">
        <v>55</v>
      </c>
      <c r="DD65" s="10" t="s">
        <v>56</v>
      </c>
      <c r="DE65" s="10" t="s">
        <v>55</v>
      </c>
      <c r="DF65" s="10" t="s">
        <v>56</v>
      </c>
      <c r="DG65" s="10" t="s">
        <v>55</v>
      </c>
      <c r="DH65" s="10" t="s">
        <v>56</v>
      </c>
      <c r="DI65" s="10" t="s">
        <v>55</v>
      </c>
      <c r="DJ65" s="10" t="s">
        <v>56</v>
      </c>
      <c r="DK65" s="10" t="s">
        <v>55</v>
      </c>
      <c r="DL65" s="10" t="s">
        <v>56</v>
      </c>
      <c r="DM65" s="10" t="s">
        <v>55</v>
      </c>
      <c r="DN65" s="10" t="s">
        <v>56</v>
      </c>
      <c r="DO65" s="10" t="s">
        <v>55</v>
      </c>
      <c r="DP65" s="10" t="s">
        <v>56</v>
      </c>
      <c r="DQ65" s="10" t="s">
        <v>55</v>
      </c>
      <c r="DR65" s="10" t="s">
        <v>56</v>
      </c>
      <c r="DS65" s="10" t="s">
        <v>55</v>
      </c>
      <c r="DT65" s="10" t="s">
        <v>240</v>
      </c>
      <c r="DU65" s="10" t="s">
        <v>55</v>
      </c>
      <c r="DV65" s="10" t="s">
        <v>240</v>
      </c>
      <c r="DW65" s="10" t="s">
        <v>55</v>
      </c>
      <c r="DX65" s="10" t="s">
        <v>240</v>
      </c>
      <c r="DY65" s="10" t="s">
        <v>55</v>
      </c>
      <c r="DZ65" s="10" t="s">
        <v>229</v>
      </c>
      <c r="EA65" s="10" t="s">
        <v>55</v>
      </c>
      <c r="EB65" s="10" t="s">
        <v>229</v>
      </c>
      <c r="EC65" s="10" t="s">
        <v>55</v>
      </c>
      <c r="ED65" s="10" t="s">
        <v>229</v>
      </c>
      <c r="EE65" s="10" t="s">
        <v>55</v>
      </c>
      <c r="EF65" s="10" t="s">
        <v>229</v>
      </c>
      <c r="EG65" s="10" t="s">
        <v>55</v>
      </c>
      <c r="EH65" s="10" t="s">
        <v>233</v>
      </c>
      <c r="EI65" s="10" t="s">
        <v>55</v>
      </c>
      <c r="EJ65" s="10" t="s">
        <v>233</v>
      </c>
      <c r="EK65" s="10" t="s">
        <v>55</v>
      </c>
      <c r="EL65" s="10" t="s">
        <v>233</v>
      </c>
      <c r="EM65" s="10" t="s">
        <v>55</v>
      </c>
      <c r="EN65" s="10" t="s">
        <v>56</v>
      </c>
      <c r="EO65" s="10" t="s">
        <v>55</v>
      </c>
      <c r="EP65" s="10" t="s">
        <v>56</v>
      </c>
      <c r="EQ65" s="10" t="s">
        <v>55</v>
      </c>
      <c r="ER65" s="10" t="s">
        <v>56</v>
      </c>
      <c r="ES65" s="10" t="s">
        <v>55</v>
      </c>
      <c r="ET65" s="10" t="s">
        <v>56</v>
      </c>
      <c r="EU65" s="10" t="s">
        <v>55</v>
      </c>
      <c r="EV65" s="10" t="s">
        <v>56</v>
      </c>
      <c r="EW65" s="10" t="s">
        <v>55</v>
      </c>
      <c r="EX65" s="10" t="s">
        <v>56</v>
      </c>
      <c r="EY65" s="10" t="s">
        <v>55</v>
      </c>
      <c r="EZ65" s="10" t="s">
        <v>56</v>
      </c>
      <c r="FA65" s="10" t="s">
        <v>55</v>
      </c>
      <c r="FB65" s="10" t="s">
        <v>56</v>
      </c>
      <c r="FC65" s="10" t="s">
        <v>55</v>
      </c>
      <c r="FD65" s="10" t="s">
        <v>56</v>
      </c>
      <c r="FE65" s="10" t="s">
        <v>55</v>
      </c>
      <c r="FF65" s="10" t="s">
        <v>56</v>
      </c>
      <c r="FG65" s="10" t="s">
        <v>55</v>
      </c>
      <c r="FH65" s="10" t="s">
        <v>56</v>
      </c>
      <c r="FI65" s="10" t="s">
        <v>55</v>
      </c>
      <c r="FJ65" s="10" t="s">
        <v>56</v>
      </c>
      <c r="FK65" s="10" t="s">
        <v>55</v>
      </c>
      <c r="FL65" s="10" t="s">
        <v>56</v>
      </c>
      <c r="FM65" s="10" t="s">
        <v>55</v>
      </c>
      <c r="FN65" s="10" t="s">
        <v>56</v>
      </c>
      <c r="FO65" s="10" t="s">
        <v>55</v>
      </c>
      <c r="FP65" s="10" t="s">
        <v>56</v>
      </c>
      <c r="FQ65" s="10" t="s">
        <v>55</v>
      </c>
      <c r="FR65" s="10" t="s">
        <v>56</v>
      </c>
      <c r="FS65" s="10" t="s">
        <v>55</v>
      </c>
      <c r="FT65" s="10" t="s">
        <v>56</v>
      </c>
      <c r="FU65" s="10" t="s">
        <v>55</v>
      </c>
      <c r="FV65" s="10" t="s">
        <v>56</v>
      </c>
      <c r="FW65" s="10" t="s">
        <v>55</v>
      </c>
      <c r="FX65" s="10" t="s">
        <v>56</v>
      </c>
      <c r="FY65" s="10" t="s">
        <v>55</v>
      </c>
      <c r="FZ65" s="10" t="s">
        <v>56</v>
      </c>
      <c r="GA65" s="10" t="s">
        <v>55</v>
      </c>
      <c r="GB65" s="10" t="s">
        <v>56</v>
      </c>
      <c r="GC65" s="10" t="s">
        <v>55</v>
      </c>
      <c r="GD65" s="10" t="s">
        <v>56</v>
      </c>
      <c r="GE65" s="10" t="s">
        <v>55</v>
      </c>
      <c r="GF65" s="10" t="s">
        <v>56</v>
      </c>
      <c r="GG65" s="10" t="s">
        <v>55</v>
      </c>
      <c r="GH65" s="10" t="s">
        <v>56</v>
      </c>
      <c r="GI65" s="10" t="s">
        <v>55</v>
      </c>
      <c r="GJ65" s="10" t="s">
        <v>56</v>
      </c>
      <c r="GK65" s="10" t="s">
        <v>55</v>
      </c>
      <c r="GL65" s="10" t="s">
        <v>56</v>
      </c>
      <c r="GM65" s="10" t="s">
        <v>55</v>
      </c>
      <c r="GN65" s="10" t="s">
        <v>56</v>
      </c>
      <c r="GO65" s="10" t="s">
        <v>55</v>
      </c>
      <c r="GP65" s="10" t="s">
        <v>56</v>
      </c>
      <c r="GQ65" s="10" t="s">
        <v>55</v>
      </c>
      <c r="GR65" s="10" t="s">
        <v>61</v>
      </c>
      <c r="GS65" s="10" t="s">
        <v>55</v>
      </c>
      <c r="GT65" s="10" t="s">
        <v>61</v>
      </c>
      <c r="GU65" s="10" t="s">
        <v>55</v>
      </c>
      <c r="GV65" s="10">
        <v>0.5</v>
      </c>
      <c r="GW65" s="10">
        <v>3.0000000000000001E-3</v>
      </c>
      <c r="GX65" s="10" t="s">
        <v>56</v>
      </c>
      <c r="GY65" s="10" t="s">
        <v>55</v>
      </c>
      <c r="GZ65" s="10" t="s">
        <v>56</v>
      </c>
      <c r="HA65" s="10" t="s">
        <v>55</v>
      </c>
      <c r="HB65" s="10" t="s">
        <v>56</v>
      </c>
      <c r="HC65" s="10" t="s">
        <v>55</v>
      </c>
      <c r="HD65" s="10" t="s">
        <v>56</v>
      </c>
      <c r="HE65" s="10" t="s">
        <v>55</v>
      </c>
      <c r="HF65" s="10" t="s">
        <v>56</v>
      </c>
      <c r="HG65" s="10" t="s">
        <v>55</v>
      </c>
      <c r="HH65" s="10" t="s">
        <v>56</v>
      </c>
      <c r="HI65" s="10" t="s">
        <v>55</v>
      </c>
      <c r="HJ65" s="10" t="s">
        <v>56</v>
      </c>
      <c r="HK65" s="10" t="s">
        <v>55</v>
      </c>
      <c r="HL65" s="10" t="s">
        <v>56</v>
      </c>
      <c r="HM65" s="10" t="s">
        <v>55</v>
      </c>
      <c r="HN65" s="10" t="s">
        <v>56</v>
      </c>
      <c r="HO65" s="10" t="s">
        <v>55</v>
      </c>
      <c r="HP65" s="10" t="s">
        <v>56</v>
      </c>
      <c r="HQ65" s="10" t="s">
        <v>55</v>
      </c>
      <c r="HR65" s="10" t="s">
        <v>56</v>
      </c>
      <c r="HS65" s="10" t="s">
        <v>55</v>
      </c>
      <c r="HT65" s="10" t="s">
        <v>56</v>
      </c>
      <c r="HU65" s="10" t="s">
        <v>55</v>
      </c>
      <c r="HV65" s="10" t="s">
        <v>56</v>
      </c>
      <c r="HW65" s="10" t="s">
        <v>55</v>
      </c>
      <c r="HX65" s="10" t="s">
        <v>56</v>
      </c>
      <c r="HY65" s="10" t="s">
        <v>55</v>
      </c>
      <c r="HZ65" s="10" t="s">
        <v>56</v>
      </c>
      <c r="IA65" s="10" t="s">
        <v>55</v>
      </c>
      <c r="IB65" s="10" t="s">
        <v>56</v>
      </c>
      <c r="IC65" s="10" t="s">
        <v>55</v>
      </c>
      <c r="ID65" s="10" t="s">
        <v>56</v>
      </c>
      <c r="IE65" s="10" t="s">
        <v>55</v>
      </c>
      <c r="IF65" s="10" t="s">
        <v>56</v>
      </c>
      <c r="IG65" s="10" t="s">
        <v>55</v>
      </c>
      <c r="IH65" s="10" t="s">
        <v>56</v>
      </c>
      <c r="II65" s="10" t="s">
        <v>55</v>
      </c>
      <c r="IJ65" s="10" t="s">
        <v>56</v>
      </c>
      <c r="IK65" s="10" t="s">
        <v>55</v>
      </c>
      <c r="IL65" s="10" t="s">
        <v>56</v>
      </c>
      <c r="IM65" s="10" t="s">
        <v>55</v>
      </c>
      <c r="IN65" s="10" t="s">
        <v>56</v>
      </c>
      <c r="IO65" s="10" t="s">
        <v>55</v>
      </c>
      <c r="IP65" s="10" t="s">
        <v>56</v>
      </c>
      <c r="IQ65" s="10" t="s">
        <v>55</v>
      </c>
      <c r="IR65" s="10" t="s">
        <v>56</v>
      </c>
      <c r="IS65" s="10" t="s">
        <v>55</v>
      </c>
      <c r="IT65" s="10" t="s">
        <v>56</v>
      </c>
      <c r="IU65" s="10" t="s">
        <v>55</v>
      </c>
      <c r="IV65" s="10" t="s">
        <v>56</v>
      </c>
      <c r="IW65" s="10" t="s">
        <v>55</v>
      </c>
      <c r="IX65" s="10" t="s">
        <v>56</v>
      </c>
      <c r="IY65" s="10" t="s">
        <v>55</v>
      </c>
      <c r="IZ65" s="10" t="s">
        <v>56</v>
      </c>
      <c r="JA65" s="10" t="s">
        <v>55</v>
      </c>
      <c r="JB65" s="10" t="s">
        <v>56</v>
      </c>
      <c r="JC65" s="10" t="s">
        <v>55</v>
      </c>
      <c r="JD65" s="10" t="s">
        <v>56</v>
      </c>
      <c r="JE65" s="10" t="s">
        <v>55</v>
      </c>
      <c r="JF65" s="10" t="s">
        <v>56</v>
      </c>
      <c r="JG65" s="10" t="s">
        <v>55</v>
      </c>
      <c r="JH65" s="10" t="s">
        <v>56</v>
      </c>
      <c r="JI65" s="10" t="s">
        <v>55</v>
      </c>
      <c r="JJ65" s="10" t="s">
        <v>56</v>
      </c>
      <c r="JK65" s="10" t="s">
        <v>55</v>
      </c>
      <c r="JL65" s="10" t="s">
        <v>56</v>
      </c>
      <c r="JM65" s="10" t="s">
        <v>55</v>
      </c>
      <c r="JN65" s="10" t="s">
        <v>56</v>
      </c>
      <c r="JO65" s="10" t="s">
        <v>55</v>
      </c>
      <c r="JP65" s="10" t="s">
        <v>56</v>
      </c>
      <c r="JQ65" s="10" t="s">
        <v>55</v>
      </c>
      <c r="JR65" s="10" t="s">
        <v>56</v>
      </c>
      <c r="JS65" s="10" t="s">
        <v>55</v>
      </c>
      <c r="JT65" s="10" t="s">
        <v>56</v>
      </c>
      <c r="JU65" s="10" t="s">
        <v>55</v>
      </c>
      <c r="JV65" s="10" t="s">
        <v>56</v>
      </c>
      <c r="JW65" s="10" t="s">
        <v>55</v>
      </c>
      <c r="JX65" s="10" t="s">
        <v>56</v>
      </c>
      <c r="JY65" s="10" t="s">
        <v>55</v>
      </c>
      <c r="JZ65" s="10" t="s">
        <v>56</v>
      </c>
      <c r="KA65" s="10" t="s">
        <v>55</v>
      </c>
      <c r="KB65" s="10" t="s">
        <v>56</v>
      </c>
      <c r="KC65" s="10" t="s">
        <v>55</v>
      </c>
      <c r="KD65" s="10" t="s">
        <v>56</v>
      </c>
      <c r="KE65" s="10" t="s">
        <v>55</v>
      </c>
      <c r="KF65" s="10" t="s">
        <v>56</v>
      </c>
      <c r="KG65" s="10" t="s">
        <v>55</v>
      </c>
      <c r="KH65" s="10" t="s">
        <v>56</v>
      </c>
      <c r="KI65" s="10" t="s">
        <v>55</v>
      </c>
      <c r="KJ65" s="10" t="s">
        <v>56</v>
      </c>
      <c r="KK65" s="10" t="s">
        <v>55</v>
      </c>
      <c r="KL65" s="10" t="s">
        <v>56</v>
      </c>
      <c r="KM65" s="10" t="s">
        <v>55</v>
      </c>
      <c r="KN65" s="10" t="s">
        <v>56</v>
      </c>
      <c r="KO65" s="10" t="s">
        <v>55</v>
      </c>
      <c r="KP65" s="10" t="s">
        <v>56</v>
      </c>
      <c r="KQ65" s="10" t="s">
        <v>55</v>
      </c>
      <c r="KR65" s="10" t="s">
        <v>56</v>
      </c>
      <c r="KS65" s="10" t="s">
        <v>55</v>
      </c>
      <c r="KT65" s="10" t="s">
        <v>56</v>
      </c>
      <c r="KU65" s="10" t="s">
        <v>55</v>
      </c>
      <c r="KV65" s="10" t="s">
        <v>56</v>
      </c>
      <c r="KW65" s="10" t="s">
        <v>55</v>
      </c>
      <c r="KX65" s="10" t="s">
        <v>56</v>
      </c>
      <c r="KY65" s="10" t="s">
        <v>55</v>
      </c>
      <c r="KZ65" s="10" t="s">
        <v>56</v>
      </c>
      <c r="LA65" s="10" t="s">
        <v>55</v>
      </c>
      <c r="LB65" s="10" t="s">
        <v>56</v>
      </c>
      <c r="LC65" s="10" t="s">
        <v>55</v>
      </c>
      <c r="LD65" s="10" t="s">
        <v>56</v>
      </c>
      <c r="LE65" s="10" t="s">
        <v>55</v>
      </c>
      <c r="LF65" s="10" t="s">
        <v>56</v>
      </c>
      <c r="LG65" s="10" t="s">
        <v>55</v>
      </c>
      <c r="LH65" s="10" t="s">
        <v>56</v>
      </c>
      <c r="LI65" s="10" t="s">
        <v>55</v>
      </c>
      <c r="LJ65" s="10" t="s">
        <v>56</v>
      </c>
      <c r="LK65" s="10" t="s">
        <v>55</v>
      </c>
      <c r="LL65" s="10" t="s">
        <v>56</v>
      </c>
      <c r="LM65" s="10" t="s">
        <v>55</v>
      </c>
      <c r="LN65" s="10" t="s">
        <v>56</v>
      </c>
      <c r="LO65" s="10" t="s">
        <v>55</v>
      </c>
      <c r="LP65" s="10" t="s">
        <v>56</v>
      </c>
      <c r="LQ65" s="10" t="s">
        <v>55</v>
      </c>
      <c r="LR65" s="10" t="s">
        <v>56</v>
      </c>
      <c r="LS65" s="10" t="s">
        <v>55</v>
      </c>
      <c r="LT65" s="10" t="s">
        <v>56</v>
      </c>
      <c r="LU65" s="10" t="s">
        <v>55</v>
      </c>
      <c r="LV65" s="10" t="s">
        <v>56</v>
      </c>
      <c r="LW65" s="10" t="s">
        <v>55</v>
      </c>
      <c r="LX65" s="10" t="s">
        <v>56</v>
      </c>
      <c r="LY65" s="10" t="s">
        <v>55</v>
      </c>
      <c r="LZ65" s="10" t="s">
        <v>56</v>
      </c>
      <c r="MA65" s="10" t="s">
        <v>55</v>
      </c>
      <c r="MB65" s="10" t="s">
        <v>56</v>
      </c>
      <c r="MC65" s="10" t="s">
        <v>55</v>
      </c>
      <c r="MD65" s="10" t="s">
        <v>56</v>
      </c>
      <c r="ME65" s="10" t="s">
        <v>55</v>
      </c>
      <c r="MF65" s="10" t="s">
        <v>56</v>
      </c>
      <c r="MG65" s="10" t="s">
        <v>55</v>
      </c>
      <c r="MH65" s="10" t="s">
        <v>56</v>
      </c>
      <c r="MI65" s="10" t="s">
        <v>55</v>
      </c>
      <c r="MJ65" s="10" t="s">
        <v>56</v>
      </c>
      <c r="MK65" s="10" t="s">
        <v>55</v>
      </c>
      <c r="ML65" s="10" t="s">
        <v>56</v>
      </c>
      <c r="MM65" s="10" t="s">
        <v>55</v>
      </c>
      <c r="MN65" s="10" t="s">
        <v>56</v>
      </c>
      <c r="MO65" s="10" t="s">
        <v>55</v>
      </c>
      <c r="MP65" s="10" t="s">
        <v>56</v>
      </c>
      <c r="MQ65" s="10" t="s">
        <v>55</v>
      </c>
      <c r="MR65" s="10" t="s">
        <v>56</v>
      </c>
      <c r="MS65" s="10" t="s">
        <v>55</v>
      </c>
      <c r="MT65" s="10" t="s">
        <v>56</v>
      </c>
      <c r="MU65" s="10" t="s">
        <v>55</v>
      </c>
      <c r="MV65" s="10" t="s">
        <v>56</v>
      </c>
      <c r="MW65" s="10" t="s">
        <v>55</v>
      </c>
      <c r="MX65" s="10" t="s">
        <v>56</v>
      </c>
      <c r="MY65" s="10" t="s">
        <v>55</v>
      </c>
      <c r="MZ65" s="10" t="s">
        <v>56</v>
      </c>
      <c r="NA65" s="10" t="s">
        <v>55</v>
      </c>
      <c r="NB65" s="10" t="s">
        <v>56</v>
      </c>
      <c r="NC65" s="10" t="s">
        <v>55</v>
      </c>
      <c r="ND65" s="10" t="s">
        <v>56</v>
      </c>
      <c r="NE65" s="10" t="s">
        <v>55</v>
      </c>
      <c r="NF65" s="10" t="s">
        <v>56</v>
      </c>
      <c r="NG65" s="10" t="s">
        <v>55</v>
      </c>
      <c r="NH65" s="10" t="s">
        <v>56</v>
      </c>
      <c r="NI65" s="10" t="s">
        <v>55</v>
      </c>
      <c r="NJ65" s="10" t="s">
        <v>56</v>
      </c>
      <c r="NK65" s="10" t="s">
        <v>55</v>
      </c>
      <c r="NL65" s="10" t="s">
        <v>56</v>
      </c>
      <c r="NM65" s="10" t="s">
        <v>55</v>
      </c>
      <c r="NN65" s="10" t="s">
        <v>56</v>
      </c>
      <c r="NO65" s="10" t="s">
        <v>55</v>
      </c>
      <c r="NP65" s="10" t="s">
        <v>56</v>
      </c>
      <c r="NQ65" s="10" t="s">
        <v>55</v>
      </c>
      <c r="NR65" s="10" t="s">
        <v>56</v>
      </c>
      <c r="NS65" s="10" t="s">
        <v>55</v>
      </c>
      <c r="NT65" s="10" t="s">
        <v>56</v>
      </c>
      <c r="NU65" s="10" t="s">
        <v>55</v>
      </c>
    </row>
    <row r="66" spans="1:385" x14ac:dyDescent="0.2">
      <c r="A66" t="s">
        <v>1050</v>
      </c>
      <c r="B66" s="1" t="s">
        <v>1043</v>
      </c>
      <c r="C66" s="1" t="s">
        <v>843</v>
      </c>
      <c r="D66" s="39" cm="1">
        <f t="array" ref="D66">SUMPRODUCT((ISNUMBER(F66:NU66))*(MOD(COLUMN(F66:NU66),2)=0))</f>
        <v>25</v>
      </c>
      <c r="E66" s="1">
        <v>117.15</v>
      </c>
      <c r="F66" s="1" t="s">
        <v>54</v>
      </c>
      <c r="G66" s="1" t="s">
        <v>55</v>
      </c>
      <c r="H66" s="1" t="s">
        <v>75</v>
      </c>
      <c r="I66" s="1" t="s">
        <v>55</v>
      </c>
      <c r="J66" s="1" t="s">
        <v>54</v>
      </c>
      <c r="K66" s="1" t="s">
        <v>55</v>
      </c>
      <c r="L66" s="1" t="s">
        <v>54</v>
      </c>
      <c r="M66" s="1" t="s">
        <v>55</v>
      </c>
      <c r="N66" s="1" t="s">
        <v>54</v>
      </c>
      <c r="O66" s="1" t="s">
        <v>55</v>
      </c>
      <c r="P66" s="1" t="s">
        <v>56</v>
      </c>
      <c r="Q66" s="1" t="s">
        <v>55</v>
      </c>
      <c r="R66" s="1">
        <v>0.53</v>
      </c>
      <c r="S66" s="1">
        <v>0.04</v>
      </c>
      <c r="T66" s="1">
        <v>7.0000000000000007E-2</v>
      </c>
      <c r="U66" s="1">
        <v>0.02</v>
      </c>
      <c r="V66" s="1">
        <v>3.64</v>
      </c>
      <c r="W66" s="1">
        <v>0.33</v>
      </c>
      <c r="X66" s="1" t="s">
        <v>56</v>
      </c>
      <c r="Y66" s="1" t="s">
        <v>55</v>
      </c>
      <c r="Z66" s="1" t="s">
        <v>56</v>
      </c>
      <c r="AA66" s="1" t="s">
        <v>55</v>
      </c>
      <c r="AB66" s="1">
        <v>20.5</v>
      </c>
      <c r="AC66" s="1">
        <v>2.7</v>
      </c>
      <c r="AD66" s="1">
        <v>12.7</v>
      </c>
      <c r="AE66" s="1">
        <v>0.5</v>
      </c>
      <c r="AF66" s="11">
        <f>50/E66</f>
        <v>0.42680324370465211</v>
      </c>
      <c r="AG66" s="11">
        <f>2/E66</f>
        <v>1.7072129748186084E-2</v>
      </c>
      <c r="AH66" s="11">
        <f>61/E66</f>
        <v>0.52069995731967555</v>
      </c>
      <c r="AI66" s="11">
        <f>1/E66</f>
        <v>8.5360648740930422E-3</v>
      </c>
      <c r="AJ66" s="11">
        <f>553/E66</f>
        <v>4.7204438753734523</v>
      </c>
      <c r="AK66" s="11">
        <f>58/E66</f>
        <v>0.49509176269739646</v>
      </c>
      <c r="AL66" s="1">
        <v>2.1</v>
      </c>
      <c r="AM66" s="1">
        <v>0.6</v>
      </c>
      <c r="AN66" s="11">
        <v>1.56</v>
      </c>
      <c r="AO66" s="11">
        <v>0.02</v>
      </c>
      <c r="AP66" s="11" t="s">
        <v>56</v>
      </c>
      <c r="AQ66" s="11" t="s">
        <v>55</v>
      </c>
      <c r="AR66" s="10" t="s">
        <v>56</v>
      </c>
      <c r="AS66" s="10" t="s">
        <v>55</v>
      </c>
      <c r="AT66" s="11">
        <f>67/E66</f>
        <v>0.57191634656423385</v>
      </c>
      <c r="AU66" s="11">
        <f>8/E66</f>
        <v>6.8288518992744338E-2</v>
      </c>
      <c r="AV66" s="11">
        <f>75/E66</f>
        <v>0.6402048655569782</v>
      </c>
      <c r="AW66" s="11">
        <f>3/E66</f>
        <v>2.5608194622279128E-2</v>
      </c>
      <c r="AX66" s="11">
        <f>733/E66</f>
        <v>6.2569355527102006</v>
      </c>
      <c r="AY66" s="11">
        <f>38/E66</f>
        <v>0.32437046521553564</v>
      </c>
      <c r="AZ66" s="1">
        <v>2.6</v>
      </c>
      <c r="BA66" s="1">
        <v>0.2</v>
      </c>
      <c r="BB66" s="1" t="s">
        <v>57</v>
      </c>
      <c r="BC66" s="1" t="s">
        <v>55</v>
      </c>
      <c r="BD66" s="1" t="s">
        <v>56</v>
      </c>
      <c r="BE66" s="1" t="s">
        <v>55</v>
      </c>
      <c r="BF66" s="1" t="s">
        <v>56</v>
      </c>
      <c r="BG66" s="1" t="s">
        <v>55</v>
      </c>
      <c r="BH66" s="1" t="s">
        <v>56</v>
      </c>
      <c r="BI66" s="1" t="s">
        <v>55</v>
      </c>
      <c r="BJ66" s="1" t="s">
        <v>56</v>
      </c>
      <c r="BK66" s="1" t="s">
        <v>55</v>
      </c>
      <c r="BL66" s="1" t="s">
        <v>56</v>
      </c>
      <c r="BM66" s="1" t="s">
        <v>55</v>
      </c>
      <c r="BN66" s="1">
        <v>2.1</v>
      </c>
      <c r="BO66" s="1">
        <v>0.5</v>
      </c>
      <c r="BP66" s="1">
        <v>1.1000000000000001</v>
      </c>
      <c r="BQ66" s="1">
        <v>0.4</v>
      </c>
      <c r="BR66" s="11">
        <f>173/E66</f>
        <v>1.4767392232180965</v>
      </c>
      <c r="BS66" s="11">
        <f>11/E66</f>
        <v>9.3896713615023469E-2</v>
      </c>
      <c r="BT66" s="4">
        <v>0.75</v>
      </c>
      <c r="BU66" s="4">
        <v>0.03</v>
      </c>
      <c r="BV66" s="1" t="s">
        <v>91</v>
      </c>
      <c r="BW66" s="1" t="s">
        <v>55</v>
      </c>
      <c r="BX66" s="1" t="s">
        <v>91</v>
      </c>
      <c r="BY66" s="1" t="s">
        <v>55</v>
      </c>
      <c r="BZ66" s="10" t="s">
        <v>240</v>
      </c>
      <c r="CA66" s="10" t="s">
        <v>55</v>
      </c>
      <c r="CB66" s="10" t="s">
        <v>240</v>
      </c>
      <c r="CC66" s="10" t="s">
        <v>55</v>
      </c>
      <c r="CD66" s="10" t="s">
        <v>240</v>
      </c>
      <c r="CE66" s="10" t="s">
        <v>55</v>
      </c>
      <c r="CF66" s="10" t="s">
        <v>240</v>
      </c>
      <c r="CG66" s="10" t="s">
        <v>55</v>
      </c>
      <c r="CH66" s="10" t="s">
        <v>240</v>
      </c>
      <c r="CI66" s="10" t="s">
        <v>55</v>
      </c>
      <c r="CJ66" s="10">
        <f>65/E66</f>
        <v>0.55484421681604779</v>
      </c>
      <c r="CK66" s="10">
        <f>8/E66</f>
        <v>6.8288518992744338E-2</v>
      </c>
      <c r="CL66" s="10" t="s">
        <v>240</v>
      </c>
      <c r="CM66" s="19" t="s">
        <v>55</v>
      </c>
      <c r="CN66" s="10" t="s">
        <v>240</v>
      </c>
      <c r="CO66" s="19" t="s">
        <v>55</v>
      </c>
      <c r="CP66" s="10" t="s">
        <v>240</v>
      </c>
      <c r="CQ66" s="19" t="s">
        <v>55</v>
      </c>
      <c r="CR66" s="10" t="s">
        <v>240</v>
      </c>
      <c r="CS66" s="19" t="s">
        <v>55</v>
      </c>
      <c r="CT66" s="19" t="s">
        <v>240</v>
      </c>
      <c r="CU66" s="19" t="s">
        <v>55</v>
      </c>
      <c r="CV66" s="19" t="s">
        <v>240</v>
      </c>
      <c r="CW66" s="19" t="s">
        <v>55</v>
      </c>
      <c r="CX66" s="19" t="s">
        <v>240</v>
      </c>
      <c r="CY66" s="10" t="s">
        <v>55</v>
      </c>
      <c r="CZ66" s="19" t="s">
        <v>240</v>
      </c>
      <c r="DA66" s="10" t="s">
        <v>55</v>
      </c>
      <c r="DB66" s="19" t="s">
        <v>240</v>
      </c>
      <c r="DC66" s="10" t="s">
        <v>55</v>
      </c>
      <c r="DD66" s="10" t="s">
        <v>56</v>
      </c>
      <c r="DE66" s="10" t="s">
        <v>55</v>
      </c>
      <c r="DF66" s="10" t="s">
        <v>56</v>
      </c>
      <c r="DG66" s="10" t="s">
        <v>55</v>
      </c>
      <c r="DH66" s="10">
        <f>616/E66</f>
        <v>5.2582159624413141</v>
      </c>
      <c r="DI66" s="10">
        <f>114/E66</f>
        <v>0.97311139564660687</v>
      </c>
      <c r="DJ66" s="10">
        <f>25/E66</f>
        <v>0.21340162185232606</v>
      </c>
      <c r="DK66" s="10">
        <f>1/E66</f>
        <v>8.5360648740930422E-3</v>
      </c>
      <c r="DL66" s="10">
        <f>19/E66</f>
        <v>0.16218523260776782</v>
      </c>
      <c r="DM66" s="8">
        <f>7/E66</f>
        <v>5.9752454118651301E-2</v>
      </c>
      <c r="DN66" s="10" t="s">
        <v>240</v>
      </c>
      <c r="DO66" s="10" t="s">
        <v>55</v>
      </c>
      <c r="DP66" s="10">
        <f>11/E66</f>
        <v>9.3896713615023469E-2</v>
      </c>
      <c r="DQ66" s="10">
        <f>1/E66</f>
        <v>8.5360648740930422E-3</v>
      </c>
      <c r="DR66" s="10">
        <f>1.6/E66</f>
        <v>1.365770379854887E-2</v>
      </c>
      <c r="DS66" s="10">
        <f>0.3/E66</f>
        <v>2.5608194622279128E-3</v>
      </c>
      <c r="DT66" s="10" t="s">
        <v>240</v>
      </c>
      <c r="DU66" s="10" t="s">
        <v>55</v>
      </c>
      <c r="DV66" s="10" t="s">
        <v>240</v>
      </c>
      <c r="DW66" s="10" t="s">
        <v>55</v>
      </c>
      <c r="DX66" s="10" t="s">
        <v>240</v>
      </c>
      <c r="DY66" s="10" t="s">
        <v>55</v>
      </c>
      <c r="DZ66" s="10" t="s">
        <v>229</v>
      </c>
      <c r="EA66" s="10" t="s">
        <v>55</v>
      </c>
      <c r="EB66" s="10" t="s">
        <v>229</v>
      </c>
      <c r="EC66" s="10" t="s">
        <v>55</v>
      </c>
      <c r="ED66" s="10" t="s">
        <v>229</v>
      </c>
      <c r="EE66" s="10" t="s">
        <v>55</v>
      </c>
      <c r="EF66" s="10" t="s">
        <v>229</v>
      </c>
      <c r="EG66" s="10" t="s">
        <v>55</v>
      </c>
      <c r="EH66" s="10" t="s">
        <v>233</v>
      </c>
      <c r="EI66" s="10" t="s">
        <v>55</v>
      </c>
      <c r="EJ66" s="10" t="s">
        <v>233</v>
      </c>
      <c r="EK66" s="10" t="s">
        <v>55</v>
      </c>
      <c r="EL66" s="10" t="s">
        <v>233</v>
      </c>
      <c r="EM66" s="10" t="s">
        <v>55</v>
      </c>
      <c r="EN66" s="10" t="s">
        <v>56</v>
      </c>
      <c r="EO66" s="10" t="s">
        <v>55</v>
      </c>
      <c r="EP66" s="10" t="s">
        <v>56</v>
      </c>
      <c r="EQ66" s="10" t="s">
        <v>55</v>
      </c>
      <c r="ER66" s="10" t="s">
        <v>56</v>
      </c>
      <c r="ES66" s="10" t="s">
        <v>55</v>
      </c>
      <c r="ET66" s="10" t="s">
        <v>56</v>
      </c>
      <c r="EU66" s="10" t="s">
        <v>55</v>
      </c>
      <c r="EV66" s="10" t="s">
        <v>56</v>
      </c>
      <c r="EW66" s="10" t="s">
        <v>55</v>
      </c>
      <c r="EX66" s="10" t="s">
        <v>56</v>
      </c>
      <c r="EY66" s="10" t="s">
        <v>55</v>
      </c>
      <c r="EZ66" s="10" t="s">
        <v>56</v>
      </c>
      <c r="FA66" s="10" t="s">
        <v>55</v>
      </c>
      <c r="FB66" s="10" t="s">
        <v>56</v>
      </c>
      <c r="FC66" s="10" t="s">
        <v>55</v>
      </c>
      <c r="FD66" s="10" t="s">
        <v>56</v>
      </c>
      <c r="FE66" s="10" t="s">
        <v>55</v>
      </c>
      <c r="FF66" s="10" t="s">
        <v>56</v>
      </c>
      <c r="FG66" s="10" t="s">
        <v>55</v>
      </c>
      <c r="FH66" s="10" t="s">
        <v>56</v>
      </c>
      <c r="FI66" s="10" t="s">
        <v>55</v>
      </c>
      <c r="FJ66" s="10" t="s">
        <v>56</v>
      </c>
      <c r="FK66" s="10" t="s">
        <v>55</v>
      </c>
      <c r="FL66" s="10" t="s">
        <v>56</v>
      </c>
      <c r="FM66" s="10" t="s">
        <v>55</v>
      </c>
      <c r="FN66" s="10" t="s">
        <v>56</v>
      </c>
      <c r="FO66" s="10" t="s">
        <v>55</v>
      </c>
      <c r="FP66" s="10" t="s">
        <v>56</v>
      </c>
      <c r="FQ66" s="10" t="s">
        <v>55</v>
      </c>
      <c r="FR66" s="10" t="s">
        <v>56</v>
      </c>
      <c r="FS66" s="10" t="s">
        <v>55</v>
      </c>
      <c r="FT66" s="10" t="s">
        <v>56</v>
      </c>
      <c r="FU66" s="10" t="s">
        <v>55</v>
      </c>
      <c r="FV66" s="10" t="s">
        <v>56</v>
      </c>
      <c r="FW66" s="10" t="s">
        <v>55</v>
      </c>
      <c r="FX66" s="10" t="s">
        <v>56</v>
      </c>
      <c r="FY66" s="10" t="s">
        <v>55</v>
      </c>
      <c r="FZ66" s="10" t="s">
        <v>56</v>
      </c>
      <c r="GA66" s="10" t="s">
        <v>55</v>
      </c>
      <c r="GB66" s="10" t="s">
        <v>56</v>
      </c>
      <c r="GC66" s="10" t="s">
        <v>55</v>
      </c>
      <c r="GD66" s="10" t="s">
        <v>56</v>
      </c>
      <c r="GE66" s="10" t="s">
        <v>55</v>
      </c>
      <c r="GF66" s="10" t="s">
        <v>56</v>
      </c>
      <c r="GG66" s="10" t="s">
        <v>55</v>
      </c>
      <c r="GH66" s="10" t="s">
        <v>56</v>
      </c>
      <c r="GI66" s="10" t="s">
        <v>55</v>
      </c>
      <c r="GJ66" s="10" t="s">
        <v>56</v>
      </c>
      <c r="GK66" s="10" t="s">
        <v>55</v>
      </c>
      <c r="GL66" s="10" t="s">
        <v>56</v>
      </c>
      <c r="GM66" s="10" t="s">
        <v>55</v>
      </c>
      <c r="GN66" s="10" t="s">
        <v>56</v>
      </c>
      <c r="GO66" s="10" t="s">
        <v>55</v>
      </c>
      <c r="GP66" s="10" t="s">
        <v>56</v>
      </c>
      <c r="GQ66" s="10" t="s">
        <v>55</v>
      </c>
      <c r="GR66" s="10" t="s">
        <v>513</v>
      </c>
      <c r="GS66" s="10" t="s">
        <v>55</v>
      </c>
      <c r="GT66" s="10" t="s">
        <v>513</v>
      </c>
      <c r="GU66" s="10" t="s">
        <v>55</v>
      </c>
      <c r="GV66" s="10">
        <v>0.51</v>
      </c>
      <c r="GW66" s="10">
        <v>0.01</v>
      </c>
      <c r="GX66" s="10" t="s">
        <v>56</v>
      </c>
      <c r="GY66" s="10" t="s">
        <v>55</v>
      </c>
      <c r="GZ66" s="10" t="s">
        <v>56</v>
      </c>
      <c r="HA66" s="10" t="s">
        <v>55</v>
      </c>
      <c r="HB66" s="10" t="s">
        <v>56</v>
      </c>
      <c r="HC66" s="10" t="s">
        <v>55</v>
      </c>
      <c r="HD66" s="10" t="s">
        <v>56</v>
      </c>
      <c r="HE66" s="10" t="s">
        <v>55</v>
      </c>
      <c r="HF66" s="10" t="s">
        <v>56</v>
      </c>
      <c r="HG66" s="10" t="s">
        <v>55</v>
      </c>
      <c r="HH66" s="10" t="s">
        <v>56</v>
      </c>
      <c r="HI66" s="10" t="s">
        <v>55</v>
      </c>
      <c r="HJ66" s="10" t="s">
        <v>56</v>
      </c>
      <c r="HK66" s="10" t="s">
        <v>55</v>
      </c>
      <c r="HL66" s="10" t="s">
        <v>56</v>
      </c>
      <c r="HM66" s="10" t="s">
        <v>55</v>
      </c>
      <c r="HN66" s="10" t="s">
        <v>56</v>
      </c>
      <c r="HO66" s="10" t="s">
        <v>55</v>
      </c>
      <c r="HP66" s="10" t="s">
        <v>56</v>
      </c>
      <c r="HQ66" s="10" t="s">
        <v>55</v>
      </c>
      <c r="HR66" s="10" t="s">
        <v>56</v>
      </c>
      <c r="HS66" s="10" t="s">
        <v>55</v>
      </c>
      <c r="HT66" s="10" t="s">
        <v>56</v>
      </c>
      <c r="HU66" s="10" t="s">
        <v>55</v>
      </c>
      <c r="HV66" s="10" t="s">
        <v>56</v>
      </c>
      <c r="HW66" s="10" t="s">
        <v>55</v>
      </c>
      <c r="HX66" s="10" t="s">
        <v>56</v>
      </c>
      <c r="HY66" s="10" t="s">
        <v>55</v>
      </c>
      <c r="HZ66" s="10" t="s">
        <v>56</v>
      </c>
      <c r="IA66" s="10" t="s">
        <v>55</v>
      </c>
      <c r="IB66" s="10" t="s">
        <v>56</v>
      </c>
      <c r="IC66" s="10" t="s">
        <v>55</v>
      </c>
      <c r="ID66" s="4" t="s">
        <v>56</v>
      </c>
      <c r="IE66" s="4" t="s">
        <v>55</v>
      </c>
      <c r="IF66" s="4" t="s">
        <v>56</v>
      </c>
      <c r="IG66" s="4" t="s">
        <v>55</v>
      </c>
      <c r="IH66" s="4" t="s">
        <v>56</v>
      </c>
      <c r="II66" s="4" t="s">
        <v>55</v>
      </c>
      <c r="IJ66" s="4" t="s">
        <v>56</v>
      </c>
      <c r="IK66" s="4" t="s">
        <v>55</v>
      </c>
      <c r="IL66" s="4" t="s">
        <v>56</v>
      </c>
      <c r="IM66" s="4" t="s">
        <v>55</v>
      </c>
      <c r="IN66" s="4" t="s">
        <v>56</v>
      </c>
      <c r="IO66" s="4" t="s">
        <v>55</v>
      </c>
      <c r="IP66" s="4" t="s">
        <v>56</v>
      </c>
      <c r="IQ66" s="4" t="s">
        <v>55</v>
      </c>
      <c r="IR66" s="4" t="s">
        <v>56</v>
      </c>
      <c r="IS66" s="4" t="s">
        <v>55</v>
      </c>
      <c r="IT66" s="18" t="s">
        <v>56</v>
      </c>
      <c r="IU66" s="18" t="s">
        <v>55</v>
      </c>
      <c r="IV66" s="4" t="s">
        <v>556</v>
      </c>
      <c r="IW66" s="4" t="s">
        <v>55</v>
      </c>
      <c r="IX66" s="4" t="s">
        <v>56</v>
      </c>
      <c r="IY66" s="4" t="s">
        <v>55</v>
      </c>
      <c r="IZ66" s="4" t="s">
        <v>56</v>
      </c>
      <c r="JA66" s="4" t="s">
        <v>55</v>
      </c>
      <c r="JB66" s="4" t="s">
        <v>56</v>
      </c>
      <c r="JC66" s="4" t="s">
        <v>55</v>
      </c>
      <c r="JD66" s="4" t="s">
        <v>56</v>
      </c>
      <c r="JE66" s="4" t="s">
        <v>55</v>
      </c>
      <c r="JF66" s="4" t="s">
        <v>56</v>
      </c>
      <c r="JG66" s="4" t="s">
        <v>55</v>
      </c>
      <c r="JH66" s="4" t="s">
        <v>56</v>
      </c>
      <c r="JI66" s="4" t="s">
        <v>55</v>
      </c>
      <c r="JJ66" s="4" t="s">
        <v>56</v>
      </c>
      <c r="JK66" s="4" t="s">
        <v>55</v>
      </c>
      <c r="JL66" s="4" t="s">
        <v>56</v>
      </c>
      <c r="JM66" s="4" t="s">
        <v>55</v>
      </c>
      <c r="JN66" s="4" t="s">
        <v>56</v>
      </c>
      <c r="JO66" s="4" t="s">
        <v>55</v>
      </c>
      <c r="JP66" s="4" t="s">
        <v>56</v>
      </c>
      <c r="JQ66" s="4" t="s">
        <v>55</v>
      </c>
      <c r="JR66" s="4" t="s">
        <v>56</v>
      </c>
      <c r="JS66" s="4" t="s">
        <v>55</v>
      </c>
      <c r="JT66" s="4" t="s">
        <v>56</v>
      </c>
      <c r="JU66" s="4" t="s">
        <v>55</v>
      </c>
      <c r="JV66" s="4" t="s">
        <v>56</v>
      </c>
      <c r="JW66" s="4" t="s">
        <v>55</v>
      </c>
      <c r="JX66" s="26" t="s">
        <v>56</v>
      </c>
      <c r="JY66" s="26" t="s">
        <v>55</v>
      </c>
      <c r="JZ66" s="26" t="s">
        <v>56</v>
      </c>
      <c r="KA66" s="26" t="s">
        <v>55</v>
      </c>
      <c r="KB66" s="26" t="s">
        <v>56</v>
      </c>
      <c r="KC66" s="26" t="s">
        <v>55</v>
      </c>
      <c r="KD66" s="26" t="s">
        <v>56</v>
      </c>
      <c r="KE66" s="26" t="s">
        <v>55</v>
      </c>
      <c r="KF66" s="26" t="s">
        <v>56</v>
      </c>
      <c r="KG66" s="26" t="s">
        <v>55</v>
      </c>
      <c r="KH66" s="4" t="s">
        <v>56</v>
      </c>
      <c r="KI66" s="4" t="s">
        <v>55</v>
      </c>
      <c r="KJ66" s="4" t="s">
        <v>56</v>
      </c>
      <c r="KK66" s="4" t="s">
        <v>55</v>
      </c>
      <c r="KL66" s="4" t="s">
        <v>56</v>
      </c>
      <c r="KM66" s="4" t="s">
        <v>55</v>
      </c>
      <c r="KN66" s="4" t="s">
        <v>56</v>
      </c>
      <c r="KO66" s="4" t="s">
        <v>55</v>
      </c>
      <c r="KP66" s="4" t="s">
        <v>56</v>
      </c>
      <c r="KQ66" s="4" t="s">
        <v>55</v>
      </c>
      <c r="KR66" s="17" t="s">
        <v>56</v>
      </c>
      <c r="KS66" s="17" t="s">
        <v>55</v>
      </c>
      <c r="KT66" s="17" t="s">
        <v>56</v>
      </c>
      <c r="KU66" s="17" t="s">
        <v>55</v>
      </c>
      <c r="KV66" s="4" t="s">
        <v>56</v>
      </c>
      <c r="KW66" s="4" t="s">
        <v>55</v>
      </c>
      <c r="KX66" s="4" t="s">
        <v>56</v>
      </c>
      <c r="KY66" s="4" t="s">
        <v>55</v>
      </c>
      <c r="KZ66" s="4" t="s">
        <v>56</v>
      </c>
      <c r="LA66" s="4" t="s">
        <v>55</v>
      </c>
      <c r="LB66" s="10" t="s">
        <v>56</v>
      </c>
      <c r="LC66" s="10" t="s">
        <v>55</v>
      </c>
      <c r="LD66" s="10" t="s">
        <v>56</v>
      </c>
      <c r="LE66" s="10" t="s">
        <v>55</v>
      </c>
      <c r="LF66" s="10" t="s">
        <v>56</v>
      </c>
      <c r="LG66" s="10" t="s">
        <v>55</v>
      </c>
      <c r="LH66" s="10" t="s">
        <v>56</v>
      </c>
      <c r="LI66" s="10" t="s">
        <v>55</v>
      </c>
      <c r="LJ66" s="10" t="s">
        <v>56</v>
      </c>
      <c r="LK66" s="10" t="s">
        <v>162</v>
      </c>
      <c r="LL66" s="10" t="s">
        <v>56</v>
      </c>
      <c r="LM66" s="10" t="s">
        <v>162</v>
      </c>
      <c r="LN66" s="10" t="s">
        <v>56</v>
      </c>
      <c r="LO66" s="10" t="s">
        <v>162</v>
      </c>
      <c r="LP66" s="10" t="s">
        <v>56</v>
      </c>
      <c r="LQ66" s="10" t="s">
        <v>162</v>
      </c>
      <c r="LR66" s="10" t="s">
        <v>56</v>
      </c>
      <c r="LS66" s="10" t="s">
        <v>162</v>
      </c>
      <c r="LT66" s="10" t="s">
        <v>56</v>
      </c>
      <c r="LU66" s="10" t="s">
        <v>162</v>
      </c>
      <c r="LV66" s="10" t="s">
        <v>56</v>
      </c>
      <c r="LW66" s="10" t="s">
        <v>55</v>
      </c>
      <c r="LX66" s="10" t="s">
        <v>56</v>
      </c>
      <c r="LY66" s="10" t="s">
        <v>55</v>
      </c>
      <c r="LZ66" s="10" t="s">
        <v>56</v>
      </c>
      <c r="MA66" s="10" t="s">
        <v>55</v>
      </c>
      <c r="MB66" s="10" t="s">
        <v>56</v>
      </c>
      <c r="MC66" s="10" t="s">
        <v>55</v>
      </c>
      <c r="MD66" s="17" t="s">
        <v>56</v>
      </c>
      <c r="ME66" s="4" t="s">
        <v>55</v>
      </c>
      <c r="MF66" s="17" t="s">
        <v>56</v>
      </c>
      <c r="MG66" s="4" t="s">
        <v>55</v>
      </c>
      <c r="MH66" s="17" t="s">
        <v>56</v>
      </c>
      <c r="MI66" s="4" t="s">
        <v>55</v>
      </c>
      <c r="MJ66" s="17" t="s">
        <v>56</v>
      </c>
      <c r="MK66" s="4" t="s">
        <v>55</v>
      </c>
      <c r="ML66" s="17" t="s">
        <v>56</v>
      </c>
      <c r="MM66" s="4" t="s">
        <v>55</v>
      </c>
      <c r="MN66" s="17" t="s">
        <v>56</v>
      </c>
      <c r="MO66" s="4" t="s">
        <v>55</v>
      </c>
      <c r="MP66" s="17" t="s">
        <v>56</v>
      </c>
      <c r="MQ66" s="4" t="s">
        <v>55</v>
      </c>
      <c r="MR66" s="17" t="s">
        <v>56</v>
      </c>
      <c r="MS66" s="4" t="s">
        <v>55</v>
      </c>
      <c r="MT66" s="17" t="s">
        <v>56</v>
      </c>
      <c r="MU66" s="4" t="s">
        <v>55</v>
      </c>
      <c r="MV66" s="17" t="s">
        <v>56</v>
      </c>
      <c r="MW66" s="4" t="s">
        <v>55</v>
      </c>
      <c r="MX66" s="17" t="s">
        <v>56</v>
      </c>
      <c r="MY66" s="4" t="s">
        <v>55</v>
      </c>
      <c r="MZ66" s="17" t="s">
        <v>56</v>
      </c>
      <c r="NA66" s="4" t="s">
        <v>55</v>
      </c>
      <c r="NB66" s="10" t="s">
        <v>56</v>
      </c>
      <c r="NC66" s="10" t="s">
        <v>55</v>
      </c>
      <c r="ND66" s="10" t="s">
        <v>56</v>
      </c>
      <c r="NE66" s="10" t="s">
        <v>55</v>
      </c>
      <c r="NF66" s="10" t="s">
        <v>56</v>
      </c>
      <c r="NG66" s="10" t="s">
        <v>55</v>
      </c>
      <c r="NH66" s="10" t="s">
        <v>56</v>
      </c>
      <c r="NI66" s="10" t="s">
        <v>55</v>
      </c>
      <c r="NJ66" s="10" t="s">
        <v>56</v>
      </c>
      <c r="NK66" s="10" t="s">
        <v>55</v>
      </c>
      <c r="NL66" s="10" t="s">
        <v>56</v>
      </c>
      <c r="NM66" s="4" t="s">
        <v>55</v>
      </c>
      <c r="NN66" s="10" t="s">
        <v>56</v>
      </c>
      <c r="NO66" s="4" t="s">
        <v>55</v>
      </c>
      <c r="NP66" s="10" t="s">
        <v>56</v>
      </c>
      <c r="NQ66" s="4" t="s">
        <v>55</v>
      </c>
      <c r="NR66" s="10" t="s">
        <v>56</v>
      </c>
      <c r="NS66" s="10" t="s">
        <v>55</v>
      </c>
      <c r="NT66" s="10" t="s">
        <v>56</v>
      </c>
      <c r="NU66" s="10" t="s">
        <v>55</v>
      </c>
    </row>
    <row r="67" spans="1:385" x14ac:dyDescent="0.2">
      <c r="A67" t="s">
        <v>1051</v>
      </c>
      <c r="B67" s="1" t="s">
        <v>1043</v>
      </c>
      <c r="C67" s="1" t="s">
        <v>843</v>
      </c>
      <c r="D67" s="39" cm="1">
        <f t="array" ref="D67">SUMPRODUCT((ISNUMBER(F67:NU67))*(MOD(COLUMN(F67:NU67),2)=0))</f>
        <v>29</v>
      </c>
      <c r="E67" s="1">
        <v>117.15</v>
      </c>
      <c r="F67" s="1" t="s">
        <v>75</v>
      </c>
      <c r="G67" s="1" t="s">
        <v>55</v>
      </c>
      <c r="H67" s="1" t="s">
        <v>75</v>
      </c>
      <c r="I67" s="1" t="s">
        <v>55</v>
      </c>
      <c r="J67" s="1" t="s">
        <v>54</v>
      </c>
      <c r="K67" s="1" t="s">
        <v>55</v>
      </c>
      <c r="L67" s="1" t="s">
        <v>75</v>
      </c>
      <c r="M67" s="1" t="s">
        <v>55</v>
      </c>
      <c r="N67" s="1" t="s">
        <v>54</v>
      </c>
      <c r="O67" s="1" t="s">
        <v>55</v>
      </c>
      <c r="P67" s="1" t="s">
        <v>56</v>
      </c>
      <c r="Q67" s="1" t="s">
        <v>55</v>
      </c>
      <c r="R67" s="1">
        <v>0.95</v>
      </c>
      <c r="S67" s="1">
        <v>0.2</v>
      </c>
      <c r="T67" s="1">
        <v>0.31</v>
      </c>
      <c r="U67" s="1">
        <v>0.02</v>
      </c>
      <c r="V67" s="1">
        <v>4.28</v>
      </c>
      <c r="W67" s="1">
        <v>0.28000000000000003</v>
      </c>
      <c r="X67" s="1" t="s">
        <v>56</v>
      </c>
      <c r="Y67" s="1" t="s">
        <v>55</v>
      </c>
      <c r="Z67" s="1" t="s">
        <v>56</v>
      </c>
      <c r="AA67" s="1" t="s">
        <v>55</v>
      </c>
      <c r="AB67" s="1">
        <v>18.2</v>
      </c>
      <c r="AC67" s="1">
        <v>0.6</v>
      </c>
      <c r="AD67" s="1">
        <v>12.6</v>
      </c>
      <c r="AE67" s="1">
        <v>0.7</v>
      </c>
      <c r="AF67" s="11">
        <f>62/E67</f>
        <v>0.52923602219376864</v>
      </c>
      <c r="AG67" s="11">
        <f>15/E67</f>
        <v>0.12804097311139565</v>
      </c>
      <c r="AH67" s="11">
        <f>102/E67</f>
        <v>0.8706786171574904</v>
      </c>
      <c r="AI67" s="11">
        <f>21/E67</f>
        <v>0.17925736235595391</v>
      </c>
      <c r="AJ67" s="11">
        <f>984/E67</f>
        <v>8.3994878361075536</v>
      </c>
      <c r="AK67" s="11">
        <f>180/E67</f>
        <v>1.5364916773367476</v>
      </c>
      <c r="AL67" s="1">
        <v>0.42</v>
      </c>
      <c r="AM67" s="1">
        <v>0.02</v>
      </c>
      <c r="AN67" s="11">
        <v>7.0000000000000007E-2</v>
      </c>
      <c r="AO67" s="11">
        <v>0.05</v>
      </c>
      <c r="AP67" s="11" t="s">
        <v>56</v>
      </c>
      <c r="AQ67" s="11" t="s">
        <v>55</v>
      </c>
      <c r="AR67" s="10" t="s">
        <v>56</v>
      </c>
      <c r="AS67" s="10" t="s">
        <v>55</v>
      </c>
      <c r="AT67" s="11">
        <f>103/E67</f>
        <v>0.87921468203158337</v>
      </c>
      <c r="AU67" s="11">
        <f>7/E67</f>
        <v>5.9752454118651301E-2</v>
      </c>
      <c r="AV67" s="11">
        <f>68/E67</f>
        <v>0.58045241143832693</v>
      </c>
      <c r="AW67" s="11">
        <f>2/E67</f>
        <v>1.7072129748186084E-2</v>
      </c>
      <c r="AX67" s="11">
        <f>973/E67</f>
        <v>8.3055911224925314</v>
      </c>
      <c r="AY67" s="11">
        <f>23/E67</f>
        <v>0.19632949210413997</v>
      </c>
      <c r="AZ67" s="1">
        <v>0.28000000000000003</v>
      </c>
      <c r="BA67" s="1">
        <v>0.02</v>
      </c>
      <c r="BB67" s="1" t="s">
        <v>57</v>
      </c>
      <c r="BC67" s="1" t="s">
        <v>55</v>
      </c>
      <c r="BD67" s="1" t="s">
        <v>56</v>
      </c>
      <c r="BE67" s="1" t="s">
        <v>55</v>
      </c>
      <c r="BF67" s="1" t="s">
        <v>56</v>
      </c>
      <c r="BG67" s="1" t="s">
        <v>55</v>
      </c>
      <c r="BH67" s="1" t="s">
        <v>56</v>
      </c>
      <c r="BI67" s="1" t="s">
        <v>55</v>
      </c>
      <c r="BJ67" s="1" t="s">
        <v>56</v>
      </c>
      <c r="BK67" s="1" t="s">
        <v>55</v>
      </c>
      <c r="BL67" s="1" t="s">
        <v>56</v>
      </c>
      <c r="BM67" s="1" t="s">
        <v>55</v>
      </c>
      <c r="BN67" s="1">
        <v>0.31</v>
      </c>
      <c r="BO67" s="1">
        <v>0.01</v>
      </c>
      <c r="BP67" s="1">
        <v>0.04</v>
      </c>
      <c r="BQ67" s="1">
        <v>0.01</v>
      </c>
      <c r="BR67" s="11">
        <f>325/E67</f>
        <v>2.774221084080239</v>
      </c>
      <c r="BS67" s="11">
        <f>17/E67</f>
        <v>0.14511310285958173</v>
      </c>
      <c r="BT67" s="4">
        <v>0.98</v>
      </c>
      <c r="BU67" s="4">
        <v>0.08</v>
      </c>
      <c r="BV67" s="1" t="s">
        <v>91</v>
      </c>
      <c r="BW67" s="1" t="s">
        <v>55</v>
      </c>
      <c r="BX67" s="1" t="s">
        <v>91</v>
      </c>
      <c r="BY67" s="1" t="s">
        <v>55</v>
      </c>
      <c r="BZ67" s="10">
        <f>0.3/E67</f>
        <v>2.5608194622279128E-3</v>
      </c>
      <c r="CA67" s="10">
        <f>0.1/E67</f>
        <v>8.5360648740930435E-4</v>
      </c>
      <c r="CB67" s="10" t="s">
        <v>240</v>
      </c>
      <c r="CC67" s="10" t="s">
        <v>55</v>
      </c>
      <c r="CD67" s="10">
        <f>0.9/E67</f>
        <v>7.6824583866837385E-3</v>
      </c>
      <c r="CE67" s="10">
        <f>0.8/E67</f>
        <v>6.8288518992744348E-3</v>
      </c>
      <c r="CF67" s="10">
        <f>1.4/E67</f>
        <v>1.1950490823730259E-2</v>
      </c>
      <c r="CG67" s="10">
        <f>0.2/E67</f>
        <v>1.7072129748186087E-3</v>
      </c>
      <c r="CH67" s="10" t="s">
        <v>240</v>
      </c>
      <c r="CI67" s="10" t="s">
        <v>55</v>
      </c>
      <c r="CJ67" s="10">
        <f>18/E67</f>
        <v>0.15364916773367476</v>
      </c>
      <c r="CK67" s="10">
        <f>3/E67</f>
        <v>2.5608194622279128E-2</v>
      </c>
      <c r="CL67" s="19" t="s">
        <v>240</v>
      </c>
      <c r="CM67" s="19" t="s">
        <v>55</v>
      </c>
      <c r="CN67" s="19" t="s">
        <v>245</v>
      </c>
      <c r="CO67" s="19" t="s">
        <v>55</v>
      </c>
      <c r="CP67" s="19">
        <f>1/E67</f>
        <v>8.5360648740930422E-3</v>
      </c>
      <c r="CQ67" s="19">
        <f>0.9/E67</f>
        <v>7.6824583866837385E-3</v>
      </c>
      <c r="CR67" s="10" t="s">
        <v>240</v>
      </c>
      <c r="CS67" s="19" t="s">
        <v>55</v>
      </c>
      <c r="CT67" s="19" t="s">
        <v>240</v>
      </c>
      <c r="CU67" s="19" t="s">
        <v>55</v>
      </c>
      <c r="CV67" s="19" t="e">
        <f>0.4/#REF!</f>
        <v>#REF!</v>
      </c>
      <c r="CW67" s="19">
        <f>0.1/E67</f>
        <v>8.5360648740930435E-4</v>
      </c>
      <c r="CX67" s="10" t="s">
        <v>152</v>
      </c>
      <c r="CY67" s="10" t="s">
        <v>55</v>
      </c>
      <c r="CZ67" s="19" t="s">
        <v>240</v>
      </c>
      <c r="DA67" s="10" t="s">
        <v>55</v>
      </c>
      <c r="DB67" s="19" t="s">
        <v>240</v>
      </c>
      <c r="DC67" s="10" t="s">
        <v>55</v>
      </c>
      <c r="DD67" s="10" t="s">
        <v>56</v>
      </c>
      <c r="DE67" s="10" t="s">
        <v>55</v>
      </c>
      <c r="DF67" s="10" t="s">
        <v>56</v>
      </c>
      <c r="DG67" s="10" t="s">
        <v>55</v>
      </c>
      <c r="DH67" s="10">
        <f>1036/E67</f>
        <v>8.8433632095603922</v>
      </c>
      <c r="DI67" s="10">
        <f>101/E67</f>
        <v>0.86214255228339731</v>
      </c>
      <c r="DJ67" s="10">
        <f>261/E67</f>
        <v>2.2279129321382842</v>
      </c>
      <c r="DK67" s="10">
        <f>30/E67</f>
        <v>0.25608194622279129</v>
      </c>
      <c r="DL67" s="10">
        <f>222/E67</f>
        <v>1.8950064020486554</v>
      </c>
      <c r="DM67" s="8">
        <f>14/E67</f>
        <v>0.1195049082373026</v>
      </c>
      <c r="DN67" s="10" t="s">
        <v>240</v>
      </c>
      <c r="DO67" s="10" t="s">
        <v>55</v>
      </c>
      <c r="DP67" s="10">
        <f>63/E67</f>
        <v>0.53777208706786173</v>
      </c>
      <c r="DQ67" s="10">
        <f>7/E67</f>
        <v>5.9752454118651301E-2</v>
      </c>
      <c r="DR67" s="10">
        <f>2.6/E67</f>
        <v>2.219376867264191E-2</v>
      </c>
      <c r="DS67" s="10">
        <f>0.6/E67</f>
        <v>5.1216389244558257E-3</v>
      </c>
      <c r="DT67" s="10" t="s">
        <v>240</v>
      </c>
      <c r="DU67" s="10" t="s">
        <v>55</v>
      </c>
      <c r="DV67" s="10" t="s">
        <v>240</v>
      </c>
      <c r="DW67" s="10" t="s">
        <v>55</v>
      </c>
      <c r="DX67" s="10" t="s">
        <v>240</v>
      </c>
      <c r="DY67" s="10" t="s">
        <v>55</v>
      </c>
      <c r="DZ67" s="10" t="s">
        <v>229</v>
      </c>
      <c r="EA67" s="10" t="s">
        <v>55</v>
      </c>
      <c r="EB67" s="10" t="s">
        <v>229</v>
      </c>
      <c r="EC67" s="10" t="s">
        <v>55</v>
      </c>
      <c r="ED67" s="10" t="s">
        <v>229</v>
      </c>
      <c r="EE67" s="10" t="s">
        <v>55</v>
      </c>
      <c r="EF67" s="10" t="s">
        <v>229</v>
      </c>
      <c r="EG67" s="10" t="s">
        <v>55</v>
      </c>
      <c r="EH67" s="10" t="s">
        <v>233</v>
      </c>
      <c r="EI67" s="10" t="s">
        <v>55</v>
      </c>
      <c r="EJ67" s="10" t="s">
        <v>233</v>
      </c>
      <c r="EK67" s="10" t="s">
        <v>55</v>
      </c>
      <c r="EL67" s="10" t="s">
        <v>233</v>
      </c>
      <c r="EM67" s="10" t="s">
        <v>55</v>
      </c>
      <c r="EN67" s="10" t="s">
        <v>56</v>
      </c>
      <c r="EO67" s="10" t="s">
        <v>55</v>
      </c>
      <c r="EP67" s="10" t="s">
        <v>56</v>
      </c>
      <c r="EQ67" s="10" t="s">
        <v>55</v>
      </c>
      <c r="ER67" s="10" t="s">
        <v>56</v>
      </c>
      <c r="ES67" s="10" t="s">
        <v>55</v>
      </c>
      <c r="ET67" s="10" t="s">
        <v>56</v>
      </c>
      <c r="EU67" s="10" t="s">
        <v>55</v>
      </c>
      <c r="EV67" s="10" t="s">
        <v>56</v>
      </c>
      <c r="EW67" s="10" t="s">
        <v>55</v>
      </c>
      <c r="EX67" s="10" t="s">
        <v>56</v>
      </c>
      <c r="EY67" s="10" t="s">
        <v>55</v>
      </c>
      <c r="EZ67" s="10" t="s">
        <v>56</v>
      </c>
      <c r="FA67" s="10" t="s">
        <v>55</v>
      </c>
      <c r="FB67" s="10" t="s">
        <v>56</v>
      </c>
      <c r="FC67" s="10" t="s">
        <v>55</v>
      </c>
      <c r="FD67" s="10" t="s">
        <v>56</v>
      </c>
      <c r="FE67" s="10" t="s">
        <v>55</v>
      </c>
      <c r="FF67" s="10" t="s">
        <v>56</v>
      </c>
      <c r="FG67" s="10" t="s">
        <v>55</v>
      </c>
      <c r="FH67" s="10" t="s">
        <v>56</v>
      </c>
      <c r="FI67" s="10" t="s">
        <v>55</v>
      </c>
      <c r="FJ67" s="10" t="s">
        <v>56</v>
      </c>
      <c r="FK67" s="10" t="s">
        <v>55</v>
      </c>
      <c r="FL67" s="10" t="s">
        <v>56</v>
      </c>
      <c r="FM67" s="10" t="s">
        <v>55</v>
      </c>
      <c r="FN67" s="10" t="s">
        <v>56</v>
      </c>
      <c r="FO67" s="10" t="s">
        <v>55</v>
      </c>
      <c r="FP67" s="10" t="s">
        <v>56</v>
      </c>
      <c r="FQ67" s="10" t="s">
        <v>55</v>
      </c>
      <c r="FR67" s="10" t="s">
        <v>56</v>
      </c>
      <c r="FS67" s="10" t="s">
        <v>55</v>
      </c>
      <c r="FT67" s="10" t="s">
        <v>56</v>
      </c>
      <c r="FU67" s="10" t="s">
        <v>55</v>
      </c>
      <c r="FV67" s="10" t="s">
        <v>56</v>
      </c>
      <c r="FW67" s="10" t="s">
        <v>55</v>
      </c>
      <c r="FX67" s="10" t="s">
        <v>56</v>
      </c>
      <c r="FY67" s="10" t="s">
        <v>55</v>
      </c>
      <c r="FZ67" s="10" t="s">
        <v>56</v>
      </c>
      <c r="GA67" s="10" t="s">
        <v>55</v>
      </c>
      <c r="GB67" s="10" t="s">
        <v>56</v>
      </c>
      <c r="GC67" s="10" t="s">
        <v>55</v>
      </c>
      <c r="GD67" s="10" t="s">
        <v>56</v>
      </c>
      <c r="GE67" s="10" t="s">
        <v>55</v>
      </c>
      <c r="GF67" s="10" t="s">
        <v>56</v>
      </c>
      <c r="GG67" s="10" t="s">
        <v>55</v>
      </c>
      <c r="GH67" s="10" t="s">
        <v>56</v>
      </c>
      <c r="GI67" s="10" t="s">
        <v>55</v>
      </c>
      <c r="GJ67" s="10" t="s">
        <v>56</v>
      </c>
      <c r="GK67" s="10" t="s">
        <v>55</v>
      </c>
      <c r="GL67" s="10" t="s">
        <v>56</v>
      </c>
      <c r="GM67" s="10" t="s">
        <v>55</v>
      </c>
      <c r="GN67" s="10" t="s">
        <v>56</v>
      </c>
      <c r="GO67" s="10" t="s">
        <v>55</v>
      </c>
      <c r="GP67" s="10" t="s">
        <v>56</v>
      </c>
      <c r="GQ67" s="10" t="s">
        <v>55</v>
      </c>
      <c r="GR67" s="10" t="s">
        <v>61</v>
      </c>
      <c r="GS67" s="10" t="s">
        <v>55</v>
      </c>
      <c r="GT67" s="10" t="s">
        <v>61</v>
      </c>
      <c r="GU67" s="10" t="s">
        <v>55</v>
      </c>
      <c r="GV67" s="10">
        <v>4.5999999999999999E-2</v>
      </c>
      <c r="GW67" s="10">
        <v>1E-3</v>
      </c>
      <c r="GX67" s="10" t="s">
        <v>56</v>
      </c>
      <c r="GY67" s="10" t="s">
        <v>55</v>
      </c>
      <c r="GZ67" s="10" t="s">
        <v>56</v>
      </c>
      <c r="HA67" s="10" t="s">
        <v>55</v>
      </c>
      <c r="HB67" s="10" t="s">
        <v>56</v>
      </c>
      <c r="HC67" s="10" t="s">
        <v>55</v>
      </c>
      <c r="HD67" s="10" t="s">
        <v>56</v>
      </c>
      <c r="HE67" s="10" t="s">
        <v>55</v>
      </c>
      <c r="HF67" s="10" t="s">
        <v>56</v>
      </c>
      <c r="HG67" s="10" t="s">
        <v>55</v>
      </c>
      <c r="HH67" s="10" t="s">
        <v>56</v>
      </c>
      <c r="HI67" s="10" t="s">
        <v>55</v>
      </c>
      <c r="HJ67" s="10" t="s">
        <v>56</v>
      </c>
      <c r="HK67" s="10" t="s">
        <v>55</v>
      </c>
      <c r="HL67" s="10" t="s">
        <v>56</v>
      </c>
      <c r="HM67" s="10" t="s">
        <v>55</v>
      </c>
      <c r="HN67" s="10" t="s">
        <v>56</v>
      </c>
      <c r="HO67" s="10" t="s">
        <v>55</v>
      </c>
      <c r="HP67" s="10" t="s">
        <v>56</v>
      </c>
      <c r="HQ67" s="10" t="s">
        <v>55</v>
      </c>
      <c r="HR67" s="10" t="s">
        <v>56</v>
      </c>
      <c r="HS67" s="10" t="s">
        <v>55</v>
      </c>
      <c r="HT67" s="10" t="s">
        <v>56</v>
      </c>
      <c r="HU67" s="10" t="s">
        <v>55</v>
      </c>
      <c r="HV67" s="10" t="s">
        <v>56</v>
      </c>
      <c r="HW67" s="10" t="s">
        <v>55</v>
      </c>
      <c r="HX67" s="10" t="s">
        <v>56</v>
      </c>
      <c r="HY67" s="10" t="s">
        <v>55</v>
      </c>
      <c r="HZ67" s="10" t="s">
        <v>56</v>
      </c>
      <c r="IA67" s="10" t="s">
        <v>55</v>
      </c>
      <c r="IB67" s="10" t="s">
        <v>56</v>
      </c>
      <c r="IC67" s="10" t="s">
        <v>55</v>
      </c>
      <c r="ID67" s="4" t="s">
        <v>56</v>
      </c>
      <c r="IE67" s="4" t="s">
        <v>55</v>
      </c>
      <c r="IF67" s="4" t="s">
        <v>56</v>
      </c>
      <c r="IG67" s="4" t="s">
        <v>55</v>
      </c>
      <c r="IH67" s="4" t="s">
        <v>56</v>
      </c>
      <c r="II67" s="4" t="s">
        <v>55</v>
      </c>
      <c r="IJ67" s="4" t="s">
        <v>56</v>
      </c>
      <c r="IK67" s="4" t="s">
        <v>55</v>
      </c>
      <c r="IL67" s="4" t="s">
        <v>56</v>
      </c>
      <c r="IM67" s="4" t="s">
        <v>55</v>
      </c>
      <c r="IN67" s="4" t="s">
        <v>56</v>
      </c>
      <c r="IO67" s="4" t="s">
        <v>55</v>
      </c>
      <c r="IP67" s="4" t="s">
        <v>56</v>
      </c>
      <c r="IQ67" s="4" t="s">
        <v>55</v>
      </c>
      <c r="IR67" s="4" t="s">
        <v>56</v>
      </c>
      <c r="IS67" s="4" t="s">
        <v>55</v>
      </c>
      <c r="IT67" s="18" t="s">
        <v>56</v>
      </c>
      <c r="IU67" s="18" t="s">
        <v>55</v>
      </c>
      <c r="IV67" s="4" t="s">
        <v>556</v>
      </c>
      <c r="IW67" s="4" t="s">
        <v>55</v>
      </c>
      <c r="IX67" s="4" t="s">
        <v>56</v>
      </c>
      <c r="IY67" s="4" t="s">
        <v>55</v>
      </c>
      <c r="IZ67" s="4" t="s">
        <v>56</v>
      </c>
      <c r="JA67" s="4" t="s">
        <v>55</v>
      </c>
      <c r="JB67" s="4" t="s">
        <v>56</v>
      </c>
      <c r="JC67" s="4" t="s">
        <v>55</v>
      </c>
      <c r="JD67" s="4" t="s">
        <v>56</v>
      </c>
      <c r="JE67" s="4" t="s">
        <v>55</v>
      </c>
      <c r="JF67" s="4" t="s">
        <v>56</v>
      </c>
      <c r="JG67" s="4" t="s">
        <v>55</v>
      </c>
      <c r="JH67" s="4" t="s">
        <v>56</v>
      </c>
      <c r="JI67" s="4" t="s">
        <v>55</v>
      </c>
      <c r="JJ67" s="4" t="s">
        <v>56</v>
      </c>
      <c r="JK67" s="4" t="s">
        <v>55</v>
      </c>
      <c r="JL67" s="4" t="s">
        <v>56</v>
      </c>
      <c r="JM67" s="4" t="s">
        <v>55</v>
      </c>
      <c r="JN67" s="4" t="s">
        <v>56</v>
      </c>
      <c r="JO67" s="4" t="s">
        <v>55</v>
      </c>
      <c r="JP67" s="4" t="s">
        <v>56</v>
      </c>
      <c r="JQ67" s="4" t="s">
        <v>55</v>
      </c>
      <c r="JR67" s="4" t="s">
        <v>56</v>
      </c>
      <c r="JS67" s="4" t="s">
        <v>55</v>
      </c>
      <c r="JT67" s="4" t="s">
        <v>56</v>
      </c>
      <c r="JU67" s="4" t="s">
        <v>55</v>
      </c>
      <c r="JV67" s="4" t="s">
        <v>56</v>
      </c>
      <c r="JW67" s="4" t="s">
        <v>55</v>
      </c>
      <c r="JX67" s="26" t="s">
        <v>56</v>
      </c>
      <c r="JY67" s="26" t="s">
        <v>55</v>
      </c>
      <c r="JZ67" s="26" t="s">
        <v>56</v>
      </c>
      <c r="KA67" s="26" t="s">
        <v>55</v>
      </c>
      <c r="KB67" s="26" t="s">
        <v>56</v>
      </c>
      <c r="KC67" s="26" t="s">
        <v>55</v>
      </c>
      <c r="KD67" s="26" t="s">
        <v>56</v>
      </c>
      <c r="KE67" s="26" t="s">
        <v>55</v>
      </c>
      <c r="KF67" s="26" t="s">
        <v>56</v>
      </c>
      <c r="KG67" s="26" t="s">
        <v>55</v>
      </c>
      <c r="KH67" s="4" t="s">
        <v>56</v>
      </c>
      <c r="KI67" s="4" t="s">
        <v>55</v>
      </c>
      <c r="KJ67" s="4" t="s">
        <v>56</v>
      </c>
      <c r="KK67" s="4" t="s">
        <v>55</v>
      </c>
      <c r="KL67" s="4" t="s">
        <v>56</v>
      </c>
      <c r="KM67" s="4" t="s">
        <v>55</v>
      </c>
      <c r="KN67" s="4" t="s">
        <v>56</v>
      </c>
      <c r="KO67" s="4" t="s">
        <v>55</v>
      </c>
      <c r="KP67" s="4" t="s">
        <v>56</v>
      </c>
      <c r="KQ67" s="4" t="s">
        <v>55</v>
      </c>
      <c r="KR67" s="17" t="s">
        <v>56</v>
      </c>
      <c r="KS67" s="17" t="s">
        <v>55</v>
      </c>
      <c r="KT67" s="17" t="s">
        <v>56</v>
      </c>
      <c r="KU67" s="17" t="s">
        <v>55</v>
      </c>
      <c r="KV67" s="4" t="s">
        <v>56</v>
      </c>
      <c r="KW67" s="4" t="s">
        <v>55</v>
      </c>
      <c r="KX67" s="4" t="s">
        <v>56</v>
      </c>
      <c r="KY67" s="4" t="s">
        <v>55</v>
      </c>
      <c r="KZ67" s="4" t="s">
        <v>56</v>
      </c>
      <c r="LA67" s="4" t="s">
        <v>55</v>
      </c>
      <c r="LB67" s="10" t="s">
        <v>56</v>
      </c>
      <c r="LC67" s="10" t="s">
        <v>55</v>
      </c>
      <c r="LD67" s="10" t="s">
        <v>56</v>
      </c>
      <c r="LE67" s="10" t="s">
        <v>55</v>
      </c>
      <c r="LF67" s="10" t="s">
        <v>56</v>
      </c>
      <c r="LG67" s="10" t="s">
        <v>55</v>
      </c>
      <c r="LH67" s="10" t="s">
        <v>56</v>
      </c>
      <c r="LI67" s="10" t="s">
        <v>55</v>
      </c>
      <c r="LJ67" s="10" t="s">
        <v>56</v>
      </c>
      <c r="LK67" s="10" t="s">
        <v>162</v>
      </c>
      <c r="LL67" s="10" t="s">
        <v>56</v>
      </c>
      <c r="LM67" s="10" t="s">
        <v>162</v>
      </c>
      <c r="LN67" s="10" t="s">
        <v>56</v>
      </c>
      <c r="LO67" s="10" t="s">
        <v>162</v>
      </c>
      <c r="LP67" s="10" t="s">
        <v>56</v>
      </c>
      <c r="LQ67" s="10" t="s">
        <v>162</v>
      </c>
      <c r="LR67" s="10" t="s">
        <v>56</v>
      </c>
      <c r="LS67" s="10" t="s">
        <v>162</v>
      </c>
      <c r="LT67" s="10" t="s">
        <v>56</v>
      </c>
      <c r="LU67" s="10" t="s">
        <v>162</v>
      </c>
      <c r="LV67" s="10" t="s">
        <v>56</v>
      </c>
      <c r="LW67" s="10" t="s">
        <v>55</v>
      </c>
      <c r="LX67" s="10" t="s">
        <v>56</v>
      </c>
      <c r="LY67" s="10" t="s">
        <v>55</v>
      </c>
      <c r="LZ67" s="10" t="s">
        <v>56</v>
      </c>
      <c r="MA67" s="10" t="s">
        <v>55</v>
      </c>
      <c r="MB67" s="10" t="s">
        <v>56</v>
      </c>
      <c r="MC67" s="10" t="s">
        <v>55</v>
      </c>
      <c r="MD67" s="17" t="s">
        <v>56</v>
      </c>
      <c r="ME67" s="4" t="s">
        <v>55</v>
      </c>
      <c r="MF67" s="17" t="s">
        <v>56</v>
      </c>
      <c r="MG67" s="4" t="s">
        <v>55</v>
      </c>
      <c r="MH67" s="17" t="s">
        <v>56</v>
      </c>
      <c r="MI67" s="4" t="s">
        <v>55</v>
      </c>
      <c r="MJ67" s="17" t="s">
        <v>56</v>
      </c>
      <c r="MK67" s="4" t="s">
        <v>55</v>
      </c>
      <c r="ML67" s="17" t="s">
        <v>56</v>
      </c>
      <c r="MM67" s="4" t="s">
        <v>55</v>
      </c>
      <c r="MN67" s="17" t="s">
        <v>56</v>
      </c>
      <c r="MO67" s="4" t="s">
        <v>55</v>
      </c>
      <c r="MP67" s="17" t="s">
        <v>56</v>
      </c>
      <c r="MQ67" s="4" t="s">
        <v>55</v>
      </c>
      <c r="MR67" s="17" t="s">
        <v>56</v>
      </c>
      <c r="MS67" s="4" t="s">
        <v>55</v>
      </c>
      <c r="MT67" s="17" t="s">
        <v>56</v>
      </c>
      <c r="MU67" s="4" t="s">
        <v>55</v>
      </c>
      <c r="MV67" s="17" t="s">
        <v>56</v>
      </c>
      <c r="MW67" s="4" t="s">
        <v>55</v>
      </c>
      <c r="MX67" s="17" t="s">
        <v>56</v>
      </c>
      <c r="MY67" s="4" t="s">
        <v>55</v>
      </c>
      <c r="MZ67" s="17" t="s">
        <v>56</v>
      </c>
      <c r="NA67" s="4" t="s">
        <v>55</v>
      </c>
      <c r="NB67" s="10" t="s">
        <v>56</v>
      </c>
      <c r="NC67" s="10" t="s">
        <v>55</v>
      </c>
      <c r="ND67" s="10" t="s">
        <v>56</v>
      </c>
      <c r="NE67" s="10" t="s">
        <v>55</v>
      </c>
      <c r="NF67" s="10" t="s">
        <v>56</v>
      </c>
      <c r="NG67" s="10" t="s">
        <v>55</v>
      </c>
      <c r="NH67" s="10" t="s">
        <v>56</v>
      </c>
      <c r="NI67" s="10" t="s">
        <v>55</v>
      </c>
      <c r="NJ67" s="10" t="s">
        <v>56</v>
      </c>
      <c r="NK67" s="10" t="s">
        <v>55</v>
      </c>
      <c r="NL67" s="10" t="s">
        <v>56</v>
      </c>
      <c r="NM67" s="4" t="s">
        <v>55</v>
      </c>
      <c r="NN67" s="10" t="s">
        <v>56</v>
      </c>
      <c r="NO67" s="4" t="s">
        <v>55</v>
      </c>
      <c r="NP67" s="10" t="s">
        <v>56</v>
      </c>
      <c r="NQ67" s="4" t="s">
        <v>55</v>
      </c>
      <c r="NR67" s="10" t="s">
        <v>56</v>
      </c>
      <c r="NS67" s="10" t="s">
        <v>55</v>
      </c>
      <c r="NT67" s="10" t="s">
        <v>56</v>
      </c>
      <c r="NU67" s="10" t="s">
        <v>55</v>
      </c>
    </row>
    <row r="68" spans="1:385" x14ac:dyDescent="0.2">
      <c r="A68" t="s">
        <v>73</v>
      </c>
      <c r="B68" s="1" t="s">
        <v>1052</v>
      </c>
      <c r="C68" s="1" t="s">
        <v>843</v>
      </c>
      <c r="D68" s="39" cm="1">
        <f t="array" ref="D68">SUMPRODUCT((ISNUMBER(F68:NU68))*(MOD(COLUMN(F68:NU68),2)=0))</f>
        <v>59</v>
      </c>
      <c r="E68" s="1">
        <v>117.15</v>
      </c>
      <c r="F68" s="1">
        <v>4.1999999999999997E-3</v>
      </c>
      <c r="G68" s="1" t="s">
        <v>58</v>
      </c>
      <c r="H68" s="1">
        <v>2.8E-3</v>
      </c>
      <c r="I68" s="1" t="s">
        <v>58</v>
      </c>
      <c r="J68" s="1">
        <v>2.46E-2</v>
      </c>
      <c r="K68" s="1">
        <v>2.2000000000000001E-3</v>
      </c>
      <c r="L68" s="1">
        <v>3.5000000000000001E-3</v>
      </c>
      <c r="M68" s="1" t="s">
        <v>58</v>
      </c>
      <c r="N68" s="1">
        <v>2.5999999999999999E-3</v>
      </c>
      <c r="O68" s="1">
        <v>8.9999999999999998E-4</v>
      </c>
      <c r="P68" s="1" t="s">
        <v>56</v>
      </c>
      <c r="Q68" s="1" t="s">
        <v>55</v>
      </c>
      <c r="R68" s="1">
        <v>0.33</v>
      </c>
      <c r="S68" s="1">
        <v>0.05</v>
      </c>
      <c r="T68" s="1">
        <v>0.15</v>
      </c>
      <c r="U68" s="1">
        <v>0.02</v>
      </c>
      <c r="V68" s="1">
        <v>3.45</v>
      </c>
      <c r="W68" s="1">
        <v>0.41</v>
      </c>
      <c r="X68" s="1" t="s">
        <v>56</v>
      </c>
      <c r="Y68" s="1" t="s">
        <v>55</v>
      </c>
      <c r="Z68" s="1" t="s">
        <v>56</v>
      </c>
      <c r="AA68" s="1" t="s">
        <v>55</v>
      </c>
      <c r="AB68" s="1">
        <v>8.31</v>
      </c>
      <c r="AC68" s="1">
        <v>0.79</v>
      </c>
      <c r="AD68" s="1">
        <v>4.87</v>
      </c>
      <c r="AE68" s="1">
        <v>0.15</v>
      </c>
      <c r="AF68" s="11">
        <f>63/E68</f>
        <v>0.53777208706786173</v>
      </c>
      <c r="AG68" s="11">
        <f>12/E68</f>
        <v>0.10243277848911651</v>
      </c>
      <c r="AH68" s="11">
        <f>73/E68</f>
        <v>0.62313273580879214</v>
      </c>
      <c r="AI68" s="11">
        <f>12/E68</f>
        <v>0.10243277848911651</v>
      </c>
      <c r="AJ68" s="11">
        <f>341/E68</f>
        <v>2.9107981220657275</v>
      </c>
      <c r="AK68" s="11">
        <f>59/E68</f>
        <v>0.50362782757148949</v>
      </c>
      <c r="AL68" s="1">
        <v>1.8</v>
      </c>
      <c r="AM68" s="1">
        <v>0.1</v>
      </c>
      <c r="AN68" s="11">
        <v>2.2000000000000002</v>
      </c>
      <c r="AO68" s="11">
        <v>0.1</v>
      </c>
      <c r="AP68" s="11" t="s">
        <v>56</v>
      </c>
      <c r="AQ68" s="11" t="s">
        <v>55</v>
      </c>
      <c r="AR68" s="10" t="s">
        <v>56</v>
      </c>
      <c r="AS68" s="10" t="s">
        <v>55</v>
      </c>
      <c r="AT68" s="11">
        <f>50/E68</f>
        <v>0.42680324370465211</v>
      </c>
      <c r="AU68" s="11">
        <f>5/E68</f>
        <v>4.2680324370465213E-2</v>
      </c>
      <c r="AV68" s="11">
        <f>48/E68</f>
        <v>0.40973111395646605</v>
      </c>
      <c r="AW68" s="11">
        <f>5/E68</f>
        <v>4.2680324370465213E-2</v>
      </c>
      <c r="AX68" s="11">
        <f>480/E68</f>
        <v>4.0973111395646606</v>
      </c>
      <c r="AY68" s="11">
        <f>24/E68</f>
        <v>0.20486555697823303</v>
      </c>
      <c r="AZ68" s="1">
        <v>2.7</v>
      </c>
      <c r="BA68" s="1">
        <v>0.3</v>
      </c>
      <c r="BB68" s="1" t="s">
        <v>57</v>
      </c>
      <c r="BC68" s="1" t="s">
        <v>55</v>
      </c>
      <c r="BD68" s="1">
        <v>1.8</v>
      </c>
      <c r="BE68" s="1" t="s">
        <v>55</v>
      </c>
      <c r="BF68" s="1" t="s">
        <v>89</v>
      </c>
      <c r="BG68" s="1" t="s">
        <v>55</v>
      </c>
      <c r="BH68" s="1">
        <v>0.06</v>
      </c>
      <c r="BI68" s="1">
        <v>0.03</v>
      </c>
      <c r="BJ68" s="1">
        <v>0.13</v>
      </c>
      <c r="BK68" s="1">
        <v>0.05</v>
      </c>
      <c r="BL68" s="1" t="s">
        <v>56</v>
      </c>
      <c r="BM68" s="1" t="s">
        <v>55</v>
      </c>
      <c r="BN68" s="1">
        <v>2.6</v>
      </c>
      <c r="BO68" s="1">
        <v>0.1</v>
      </c>
      <c r="BP68" s="1">
        <v>1.8</v>
      </c>
      <c r="BQ68" s="1">
        <v>0.3</v>
      </c>
      <c r="BR68" s="11">
        <f>140/E68</f>
        <v>1.195049082373026</v>
      </c>
      <c r="BS68" s="11">
        <f>19/E68</f>
        <v>0.16218523260776782</v>
      </c>
      <c r="BT68" s="4">
        <v>8.1</v>
      </c>
      <c r="BU68" s="4">
        <v>0.3</v>
      </c>
      <c r="BV68" s="1" t="s">
        <v>91</v>
      </c>
      <c r="BW68" s="1" t="s">
        <v>55</v>
      </c>
      <c r="BX68" s="1" t="s">
        <v>91</v>
      </c>
      <c r="BY68" s="1" t="s">
        <v>55</v>
      </c>
      <c r="BZ68" s="10">
        <f>51/E68</f>
        <v>0.4353393085787452</v>
      </c>
      <c r="CA68" s="10">
        <f>1/E68</f>
        <v>8.5360648740930422E-3</v>
      </c>
      <c r="CB68" s="10">
        <f>4.4/E68</f>
        <v>3.7558685446009391E-2</v>
      </c>
      <c r="CC68" s="10">
        <f>0.3/E68</f>
        <v>2.5608194622279128E-3</v>
      </c>
      <c r="CD68" s="10">
        <f>71/E68</f>
        <v>0.60606060606060608</v>
      </c>
      <c r="CE68" s="10">
        <f>1/E68</f>
        <v>8.5360648740930422E-3</v>
      </c>
      <c r="CF68" s="10">
        <f>66/E68</f>
        <v>0.56338028169014087</v>
      </c>
      <c r="CG68" s="10">
        <f>6/E68</f>
        <v>5.1216389244558257E-2</v>
      </c>
      <c r="CH68" s="10">
        <f>151/E68</f>
        <v>1.2889457959880495</v>
      </c>
      <c r="CI68" s="10">
        <f>2/E68</f>
        <v>1.7072129748186084E-2</v>
      </c>
      <c r="CJ68" s="10">
        <f>6.3/E68</f>
        <v>5.3777208706786164E-2</v>
      </c>
      <c r="CK68" s="10">
        <f>2.1/E68</f>
        <v>1.7925736235595392E-2</v>
      </c>
      <c r="CL68" s="10">
        <f>41/E68</f>
        <v>0.34997865983781473</v>
      </c>
      <c r="CM68" s="10">
        <f>11/E68</f>
        <v>9.3896713615023469E-2</v>
      </c>
      <c r="CN68" s="10">
        <f>77/E68</f>
        <v>0.65727699530516426</v>
      </c>
      <c r="CO68" s="10">
        <f>5/E68</f>
        <v>4.2680324370465213E-2</v>
      </c>
      <c r="CP68" s="10">
        <f>93/E68</f>
        <v>0.79385403329065296</v>
      </c>
      <c r="CQ68" s="10">
        <f>1/E68</f>
        <v>8.5360648740930422E-3</v>
      </c>
      <c r="CR68" s="10">
        <f>7.9/E68</f>
        <v>6.7434912505335037E-2</v>
      </c>
      <c r="CS68" s="10">
        <f>0.4/E68</f>
        <v>3.4144259496372174E-3</v>
      </c>
      <c r="CT68" s="10">
        <f>5/E68</f>
        <v>4.2680324370465213E-2</v>
      </c>
      <c r="CU68" s="10">
        <f>1.1/E68</f>
        <v>9.3896713615023476E-3</v>
      </c>
      <c r="CV68" s="10">
        <f>33/E68</f>
        <v>0.28169014084507044</v>
      </c>
      <c r="CW68" s="10">
        <f>1/E68</f>
        <v>8.5360648740930422E-3</v>
      </c>
      <c r="CX68" s="10">
        <f>38/E68</f>
        <v>0.32437046521553564</v>
      </c>
      <c r="CY68" s="10">
        <f>2/E68</f>
        <v>1.7072129748186084E-2</v>
      </c>
      <c r="CZ68" s="10">
        <f>1.6/E68</f>
        <v>1.365770379854887E-2</v>
      </c>
      <c r="DA68" s="10">
        <f>0.9/E68</f>
        <v>7.6824583866837385E-3</v>
      </c>
      <c r="DB68" s="10">
        <f>25/E68</f>
        <v>0.21340162185232606</v>
      </c>
      <c r="DC68" s="10">
        <f>4/E68</f>
        <v>3.4144259496372169E-2</v>
      </c>
      <c r="DD68" s="10" t="s">
        <v>56</v>
      </c>
      <c r="DE68" s="10" t="s">
        <v>55</v>
      </c>
      <c r="DF68" s="10" t="s">
        <v>56</v>
      </c>
      <c r="DG68" s="10" t="s">
        <v>55</v>
      </c>
      <c r="DH68" s="10">
        <f>553/E68</f>
        <v>4.7204438753734523</v>
      </c>
      <c r="DI68" s="10">
        <f>45/E68</f>
        <v>0.38412291933418691</v>
      </c>
      <c r="DJ68" s="10">
        <f>85/E68</f>
        <v>0.72556551429790861</v>
      </c>
      <c r="DK68" s="10">
        <f>9/E68</f>
        <v>7.6824583866837381E-2</v>
      </c>
      <c r="DL68" s="10">
        <f>124/E68</f>
        <v>1.0584720443875373</v>
      </c>
      <c r="DM68" s="8">
        <f>21/E68</f>
        <v>0.17925736235595391</v>
      </c>
      <c r="DN68" s="10">
        <f>5.2/E68</f>
        <v>4.438753734528382E-2</v>
      </c>
      <c r="DO68" s="10">
        <f>1.2/E68</f>
        <v>1.0243277848911651E-2</v>
      </c>
      <c r="DP68" s="10">
        <f>30/E68</f>
        <v>0.25608194622279129</v>
      </c>
      <c r="DQ68" s="10">
        <f>5/E68</f>
        <v>4.2680324370465213E-2</v>
      </c>
      <c r="DR68" s="10">
        <f>6.4/E68</f>
        <v>5.4630815194195478E-2</v>
      </c>
      <c r="DS68" s="10">
        <f>0.7/E68</f>
        <v>5.9752454118651294E-3</v>
      </c>
      <c r="DT68" s="10">
        <f>2.6/E68</f>
        <v>2.219376867264191E-2</v>
      </c>
      <c r="DU68" s="10">
        <f>0.5/E68</f>
        <v>4.2680324370465211E-3</v>
      </c>
      <c r="DV68" s="10">
        <f>0.3/E68</f>
        <v>2.5608194622279128E-3</v>
      </c>
      <c r="DW68" s="10">
        <f>0.3/E68</f>
        <v>2.5608194622279128E-3</v>
      </c>
      <c r="DX68" s="10">
        <f>1.2/E68</f>
        <v>1.0243277848911651E-2</v>
      </c>
      <c r="DY68" s="10">
        <f>0.4/E68</f>
        <v>3.4144259496372174E-3</v>
      </c>
      <c r="DZ68" s="10">
        <f>3/E68</f>
        <v>2.5608194622279128E-2</v>
      </c>
      <c r="EA68" s="10">
        <f>1.3/E68</f>
        <v>1.1096884336320955E-2</v>
      </c>
      <c r="EB68" s="10">
        <f>0.1/E68</f>
        <v>8.5360648740930435E-4</v>
      </c>
      <c r="EC68" s="10">
        <f>0.1/E68</f>
        <v>8.5360648740930435E-4</v>
      </c>
      <c r="ED68" s="10">
        <f>20/E68</f>
        <v>0.17072129748186085</v>
      </c>
      <c r="EE68" s="10">
        <f>1/E68</f>
        <v>8.5360648740930422E-3</v>
      </c>
      <c r="EF68" s="10">
        <f>0.3/E68</f>
        <v>2.5608194622279128E-3</v>
      </c>
      <c r="EG68" s="10">
        <f>0.1/E68</f>
        <v>8.5360648740930435E-4</v>
      </c>
      <c r="EH68" s="10" t="s">
        <v>233</v>
      </c>
      <c r="EI68" s="10" t="s">
        <v>55</v>
      </c>
      <c r="EJ68" s="10" t="s">
        <v>233</v>
      </c>
      <c r="EK68" s="10" t="s">
        <v>55</v>
      </c>
      <c r="EL68" s="10">
        <f>1.5/1000</f>
        <v>1.5E-3</v>
      </c>
      <c r="EM68" s="10">
        <f>0.1/1000</f>
        <v>1E-4</v>
      </c>
      <c r="EN68" s="10" t="s">
        <v>56</v>
      </c>
      <c r="EO68" s="10" t="s">
        <v>55</v>
      </c>
      <c r="EP68" s="10" t="s">
        <v>56</v>
      </c>
      <c r="EQ68" s="10" t="s">
        <v>55</v>
      </c>
      <c r="ER68" s="10" t="s">
        <v>56</v>
      </c>
      <c r="ES68" s="10" t="s">
        <v>55</v>
      </c>
      <c r="ET68" s="10" t="s">
        <v>56</v>
      </c>
      <c r="EU68" s="10" t="s">
        <v>55</v>
      </c>
      <c r="EV68" s="10" t="s">
        <v>56</v>
      </c>
      <c r="EW68" s="10" t="s">
        <v>55</v>
      </c>
      <c r="EX68" s="10" t="s">
        <v>56</v>
      </c>
      <c r="EY68" s="10" t="s">
        <v>55</v>
      </c>
      <c r="EZ68" s="10" t="s">
        <v>56</v>
      </c>
      <c r="FA68" s="10" t="s">
        <v>55</v>
      </c>
      <c r="FB68" s="10" t="s">
        <v>56</v>
      </c>
      <c r="FC68" s="10" t="s">
        <v>55</v>
      </c>
      <c r="FD68" s="10" t="s">
        <v>56</v>
      </c>
      <c r="FE68" s="10" t="s">
        <v>55</v>
      </c>
      <c r="FF68" s="10" t="s">
        <v>56</v>
      </c>
      <c r="FG68" s="10" t="s">
        <v>55</v>
      </c>
      <c r="FH68" s="10" t="s">
        <v>56</v>
      </c>
      <c r="FI68" s="10" t="s">
        <v>55</v>
      </c>
      <c r="FJ68" s="10" t="s">
        <v>56</v>
      </c>
      <c r="FK68" s="10" t="s">
        <v>55</v>
      </c>
      <c r="FL68" s="10" t="s">
        <v>56</v>
      </c>
      <c r="FM68" s="10" t="s">
        <v>55</v>
      </c>
      <c r="FN68" s="10" t="s">
        <v>56</v>
      </c>
      <c r="FO68" s="10" t="s">
        <v>55</v>
      </c>
      <c r="FP68" s="10" t="s">
        <v>56</v>
      </c>
      <c r="FQ68" s="10" t="s">
        <v>55</v>
      </c>
      <c r="FR68" s="10" t="s">
        <v>56</v>
      </c>
      <c r="FS68" s="10" t="s">
        <v>55</v>
      </c>
      <c r="FT68" s="10" t="s">
        <v>56</v>
      </c>
      <c r="FU68" s="10" t="s">
        <v>55</v>
      </c>
      <c r="FV68" s="10" t="s">
        <v>56</v>
      </c>
      <c r="FW68" s="10" t="s">
        <v>55</v>
      </c>
      <c r="FX68" s="10" t="s">
        <v>56</v>
      </c>
      <c r="FY68" s="10" t="s">
        <v>55</v>
      </c>
      <c r="FZ68" s="10" t="s">
        <v>56</v>
      </c>
      <c r="GA68" s="10" t="s">
        <v>55</v>
      </c>
      <c r="GB68" s="10" t="s">
        <v>56</v>
      </c>
      <c r="GC68" s="10" t="s">
        <v>55</v>
      </c>
      <c r="GD68" s="10" t="s">
        <v>56</v>
      </c>
      <c r="GE68" s="10" t="s">
        <v>55</v>
      </c>
      <c r="GF68" s="10" t="s">
        <v>56</v>
      </c>
      <c r="GG68" s="10" t="s">
        <v>55</v>
      </c>
      <c r="GH68" s="10" t="s">
        <v>56</v>
      </c>
      <c r="GI68" s="10" t="s">
        <v>55</v>
      </c>
      <c r="GJ68" s="10" t="s">
        <v>56</v>
      </c>
      <c r="GK68" s="10" t="s">
        <v>55</v>
      </c>
      <c r="GL68" s="10" t="s">
        <v>56</v>
      </c>
      <c r="GM68" s="10" t="s">
        <v>55</v>
      </c>
      <c r="GN68" s="10" t="s">
        <v>56</v>
      </c>
      <c r="GO68" s="10" t="s">
        <v>55</v>
      </c>
      <c r="GP68" s="10" t="s">
        <v>56</v>
      </c>
      <c r="GQ68" s="10" t="s">
        <v>55</v>
      </c>
      <c r="GR68" s="10">
        <v>1.2</v>
      </c>
      <c r="GS68" s="10">
        <v>0.1</v>
      </c>
      <c r="GT68" s="10">
        <v>1.4</v>
      </c>
      <c r="GU68" s="10">
        <v>0.1</v>
      </c>
      <c r="GV68" s="10">
        <v>1.01</v>
      </c>
      <c r="GW68" s="10">
        <v>0.04</v>
      </c>
      <c r="GX68" s="10">
        <f>4.3/E68</f>
        <v>3.6705078958600083E-2</v>
      </c>
      <c r="GY68" s="10">
        <f>0.2/E68</f>
        <v>1.7072129748186087E-3</v>
      </c>
      <c r="GZ68" s="10" t="s">
        <v>56</v>
      </c>
      <c r="HA68" s="10" t="s">
        <v>55</v>
      </c>
      <c r="HB68" s="10" t="s">
        <v>56</v>
      </c>
      <c r="HC68" s="10" t="s">
        <v>55</v>
      </c>
      <c r="HD68" s="10" t="s">
        <v>56</v>
      </c>
      <c r="HE68" s="10" t="s">
        <v>55</v>
      </c>
      <c r="HF68" s="10" t="s">
        <v>56</v>
      </c>
      <c r="HG68" s="10" t="s">
        <v>55</v>
      </c>
      <c r="HH68" s="10" t="s">
        <v>56</v>
      </c>
      <c r="HI68" s="10" t="s">
        <v>55</v>
      </c>
      <c r="HJ68" s="10" t="s">
        <v>56</v>
      </c>
      <c r="HK68" s="10" t="s">
        <v>55</v>
      </c>
      <c r="HL68" s="10" t="s">
        <v>56</v>
      </c>
      <c r="HM68" s="10" t="s">
        <v>55</v>
      </c>
      <c r="HN68" s="10" t="s">
        <v>56</v>
      </c>
      <c r="HO68" s="10" t="s">
        <v>55</v>
      </c>
      <c r="HP68" s="10" t="s">
        <v>56</v>
      </c>
      <c r="HQ68" s="10" t="s">
        <v>55</v>
      </c>
      <c r="HR68" s="10" t="s">
        <v>56</v>
      </c>
      <c r="HS68" s="10" t="s">
        <v>55</v>
      </c>
      <c r="HT68" s="10" t="s">
        <v>56</v>
      </c>
      <c r="HU68" s="10" t="s">
        <v>55</v>
      </c>
      <c r="HV68" s="10" t="s">
        <v>56</v>
      </c>
      <c r="HW68" s="10" t="s">
        <v>55</v>
      </c>
      <c r="HX68" s="10" t="s">
        <v>56</v>
      </c>
      <c r="HY68" s="10" t="s">
        <v>55</v>
      </c>
      <c r="HZ68" s="10" t="s">
        <v>56</v>
      </c>
      <c r="IA68" s="10" t="s">
        <v>55</v>
      </c>
      <c r="IB68" s="10" t="s">
        <v>56</v>
      </c>
      <c r="IC68" s="10" t="s">
        <v>55</v>
      </c>
      <c r="ID68" s="4" t="s">
        <v>56</v>
      </c>
      <c r="IE68" s="4" t="s">
        <v>55</v>
      </c>
      <c r="IF68" s="4" t="s">
        <v>56</v>
      </c>
      <c r="IG68" s="4" t="s">
        <v>55</v>
      </c>
      <c r="IH68" s="4" t="s">
        <v>56</v>
      </c>
      <c r="II68" s="4" t="s">
        <v>55</v>
      </c>
      <c r="IJ68" s="4" t="s">
        <v>56</v>
      </c>
      <c r="IK68" s="4" t="s">
        <v>55</v>
      </c>
      <c r="IL68" s="4" t="s">
        <v>56</v>
      </c>
      <c r="IM68" s="4" t="s">
        <v>55</v>
      </c>
      <c r="IN68" s="4" t="s">
        <v>56</v>
      </c>
      <c r="IO68" s="4" t="s">
        <v>55</v>
      </c>
      <c r="IP68" s="4" t="s">
        <v>56</v>
      </c>
      <c r="IQ68" s="4" t="s">
        <v>55</v>
      </c>
      <c r="IR68" s="4" t="s">
        <v>56</v>
      </c>
      <c r="IS68" s="4" t="s">
        <v>55</v>
      </c>
      <c r="IT68" s="18" t="s">
        <v>56</v>
      </c>
      <c r="IU68" s="18" t="s">
        <v>55</v>
      </c>
      <c r="IV68" s="4" t="s">
        <v>556</v>
      </c>
      <c r="IW68" s="4" t="s">
        <v>55</v>
      </c>
      <c r="IX68" s="4" t="s">
        <v>56</v>
      </c>
      <c r="IY68" s="4" t="s">
        <v>55</v>
      </c>
      <c r="IZ68" s="4" t="s">
        <v>56</v>
      </c>
      <c r="JA68" s="4" t="s">
        <v>55</v>
      </c>
      <c r="JB68" s="4" t="s">
        <v>56</v>
      </c>
      <c r="JC68" s="4" t="s">
        <v>55</v>
      </c>
      <c r="JD68" s="4" t="s">
        <v>56</v>
      </c>
      <c r="JE68" s="4" t="s">
        <v>55</v>
      </c>
      <c r="JF68" s="4" t="s">
        <v>56</v>
      </c>
      <c r="JG68" s="4" t="s">
        <v>55</v>
      </c>
      <c r="JH68" s="4" t="s">
        <v>56</v>
      </c>
      <c r="JI68" s="4" t="s">
        <v>55</v>
      </c>
      <c r="JJ68" s="4" t="s">
        <v>56</v>
      </c>
      <c r="JK68" s="4" t="s">
        <v>55</v>
      </c>
      <c r="JL68" s="4" t="s">
        <v>56</v>
      </c>
      <c r="JM68" s="4" t="s">
        <v>55</v>
      </c>
      <c r="JN68" s="4" t="s">
        <v>56</v>
      </c>
      <c r="JO68" s="4" t="s">
        <v>55</v>
      </c>
      <c r="JP68" s="4" t="s">
        <v>56</v>
      </c>
      <c r="JQ68" s="4" t="s">
        <v>55</v>
      </c>
      <c r="JR68" s="4" t="s">
        <v>56</v>
      </c>
      <c r="JS68" s="4" t="s">
        <v>55</v>
      </c>
      <c r="JT68" s="4" t="s">
        <v>56</v>
      </c>
      <c r="JU68" s="4" t="s">
        <v>55</v>
      </c>
      <c r="JV68" s="4" t="s">
        <v>56</v>
      </c>
      <c r="JW68" s="4" t="s">
        <v>55</v>
      </c>
      <c r="JX68" s="26" t="s">
        <v>56</v>
      </c>
      <c r="JY68" s="26" t="s">
        <v>55</v>
      </c>
      <c r="JZ68" s="26" t="s">
        <v>56</v>
      </c>
      <c r="KA68" s="26" t="s">
        <v>55</v>
      </c>
      <c r="KB68" s="26" t="s">
        <v>56</v>
      </c>
      <c r="KC68" s="26" t="s">
        <v>55</v>
      </c>
      <c r="KD68" s="26" t="s">
        <v>56</v>
      </c>
      <c r="KE68" s="26" t="s">
        <v>55</v>
      </c>
      <c r="KF68" s="26" t="s">
        <v>56</v>
      </c>
      <c r="KG68" s="26" t="s">
        <v>55</v>
      </c>
      <c r="KH68" s="4" t="s">
        <v>56</v>
      </c>
      <c r="KI68" s="4" t="s">
        <v>55</v>
      </c>
      <c r="KJ68" s="4" t="s">
        <v>56</v>
      </c>
      <c r="KK68" s="4" t="s">
        <v>55</v>
      </c>
      <c r="KL68" s="4" t="s">
        <v>56</v>
      </c>
      <c r="KM68" s="4" t="s">
        <v>55</v>
      </c>
      <c r="KN68" s="4" t="s">
        <v>56</v>
      </c>
      <c r="KO68" s="4" t="s">
        <v>55</v>
      </c>
      <c r="KP68" s="4" t="s">
        <v>56</v>
      </c>
      <c r="KQ68" s="4" t="s">
        <v>55</v>
      </c>
      <c r="KR68" s="17" t="s">
        <v>56</v>
      </c>
      <c r="KS68" s="17" t="s">
        <v>55</v>
      </c>
      <c r="KT68" s="17" t="s">
        <v>56</v>
      </c>
      <c r="KU68" s="17" t="s">
        <v>55</v>
      </c>
      <c r="KV68" s="4" t="s">
        <v>56</v>
      </c>
      <c r="KW68" s="4" t="s">
        <v>55</v>
      </c>
      <c r="KX68" s="4" t="s">
        <v>56</v>
      </c>
      <c r="KY68" s="4" t="s">
        <v>55</v>
      </c>
      <c r="KZ68" s="4" t="s">
        <v>56</v>
      </c>
      <c r="LA68" s="4" t="s">
        <v>55</v>
      </c>
      <c r="LB68" s="10" t="s">
        <v>56</v>
      </c>
      <c r="LC68" s="10" t="s">
        <v>55</v>
      </c>
      <c r="LD68" s="10" t="s">
        <v>56</v>
      </c>
      <c r="LE68" s="10" t="s">
        <v>55</v>
      </c>
      <c r="LF68" s="10" t="s">
        <v>56</v>
      </c>
      <c r="LG68" s="10" t="s">
        <v>55</v>
      </c>
      <c r="LH68" s="10" t="s">
        <v>56</v>
      </c>
      <c r="LI68" s="10" t="s">
        <v>55</v>
      </c>
      <c r="LJ68" s="10" t="s">
        <v>56</v>
      </c>
      <c r="LK68" s="10" t="s">
        <v>162</v>
      </c>
      <c r="LL68" s="10" t="s">
        <v>56</v>
      </c>
      <c r="LM68" s="10" t="s">
        <v>162</v>
      </c>
      <c r="LN68" s="10" t="s">
        <v>56</v>
      </c>
      <c r="LO68" s="10" t="s">
        <v>162</v>
      </c>
      <c r="LP68" s="10" t="s">
        <v>56</v>
      </c>
      <c r="LQ68" s="10" t="s">
        <v>162</v>
      </c>
      <c r="LR68" s="10" t="s">
        <v>56</v>
      </c>
      <c r="LS68" s="10" t="s">
        <v>162</v>
      </c>
      <c r="LT68" s="10" t="s">
        <v>56</v>
      </c>
      <c r="LU68" s="10" t="s">
        <v>162</v>
      </c>
      <c r="LV68" s="10" t="s">
        <v>56</v>
      </c>
      <c r="LW68" s="10" t="s">
        <v>55</v>
      </c>
      <c r="LX68" s="10" t="s">
        <v>56</v>
      </c>
      <c r="LY68" s="10" t="s">
        <v>55</v>
      </c>
      <c r="LZ68" s="10" t="s">
        <v>56</v>
      </c>
      <c r="MA68" s="10" t="s">
        <v>55</v>
      </c>
      <c r="MB68" s="10" t="s">
        <v>56</v>
      </c>
      <c r="MC68" s="10" t="s">
        <v>55</v>
      </c>
      <c r="MD68" s="17" t="s">
        <v>56</v>
      </c>
      <c r="ME68" s="4" t="s">
        <v>55</v>
      </c>
      <c r="MF68" s="17" t="s">
        <v>56</v>
      </c>
      <c r="MG68" s="4" t="s">
        <v>55</v>
      </c>
      <c r="MH68" s="17" t="s">
        <v>56</v>
      </c>
      <c r="MI68" s="4" t="s">
        <v>55</v>
      </c>
      <c r="MJ68" s="17" t="s">
        <v>56</v>
      </c>
      <c r="MK68" s="4" t="s">
        <v>55</v>
      </c>
      <c r="ML68" s="17" t="s">
        <v>56</v>
      </c>
      <c r="MM68" s="4" t="s">
        <v>55</v>
      </c>
      <c r="MN68" s="17" t="s">
        <v>56</v>
      </c>
      <c r="MO68" s="4" t="s">
        <v>55</v>
      </c>
      <c r="MP68" s="17" t="s">
        <v>56</v>
      </c>
      <c r="MQ68" s="4" t="s">
        <v>55</v>
      </c>
      <c r="MR68" s="17" t="s">
        <v>56</v>
      </c>
      <c r="MS68" s="4" t="s">
        <v>55</v>
      </c>
      <c r="MT68" s="17" t="s">
        <v>56</v>
      </c>
      <c r="MU68" s="4" t="s">
        <v>55</v>
      </c>
      <c r="MV68" s="17" t="s">
        <v>56</v>
      </c>
      <c r="MW68" s="4" t="s">
        <v>55</v>
      </c>
      <c r="MX68" s="17" t="s">
        <v>56</v>
      </c>
      <c r="MY68" s="4" t="s">
        <v>55</v>
      </c>
      <c r="MZ68" s="17" t="s">
        <v>56</v>
      </c>
      <c r="NA68" s="4" t="s">
        <v>55</v>
      </c>
      <c r="NB68" s="10" t="s">
        <v>56</v>
      </c>
      <c r="NC68" s="10" t="s">
        <v>55</v>
      </c>
      <c r="ND68" s="10" t="s">
        <v>56</v>
      </c>
      <c r="NE68" s="10" t="s">
        <v>55</v>
      </c>
      <c r="NF68" s="10" t="s">
        <v>56</v>
      </c>
      <c r="NG68" s="10" t="s">
        <v>55</v>
      </c>
      <c r="NH68" s="10" t="s">
        <v>56</v>
      </c>
      <c r="NI68" s="10" t="s">
        <v>55</v>
      </c>
      <c r="NJ68" s="10" t="s">
        <v>56</v>
      </c>
      <c r="NK68" s="10" t="s">
        <v>55</v>
      </c>
      <c r="NL68" s="10" t="s">
        <v>56</v>
      </c>
      <c r="NM68" s="4" t="s">
        <v>55</v>
      </c>
      <c r="NN68" s="10" t="s">
        <v>56</v>
      </c>
      <c r="NO68" s="4" t="s">
        <v>55</v>
      </c>
      <c r="NP68" s="10" t="s">
        <v>56</v>
      </c>
      <c r="NQ68" s="4" t="s">
        <v>55</v>
      </c>
      <c r="NR68" s="10" t="s">
        <v>56</v>
      </c>
      <c r="NS68" s="10" t="s">
        <v>55</v>
      </c>
      <c r="NT68" s="10" t="s">
        <v>56</v>
      </c>
      <c r="NU68" s="10" t="s">
        <v>55</v>
      </c>
    </row>
    <row r="69" spans="1:385" x14ac:dyDescent="0.2">
      <c r="A69" t="s">
        <v>17</v>
      </c>
      <c r="B69" s="1" t="s">
        <v>1037</v>
      </c>
      <c r="C69" s="1" t="s">
        <v>858</v>
      </c>
      <c r="D69" s="39" cm="1">
        <f t="array" ref="D69">SUMPRODUCT((ISNUMBER(F69:NU69))*(MOD(COLUMN(F69:NU69),2)=0))</f>
        <v>71</v>
      </c>
      <c r="E69" s="1">
        <v>147.30000000000001</v>
      </c>
      <c r="F69" s="1" t="s">
        <v>54</v>
      </c>
      <c r="G69" s="1" t="s">
        <v>55</v>
      </c>
      <c r="H69" s="1">
        <v>1.6000000000000001E-3</v>
      </c>
      <c r="I69" s="1" t="s">
        <v>58</v>
      </c>
      <c r="J69" s="1" t="s">
        <v>75</v>
      </c>
      <c r="K69" s="1" t="s">
        <v>55</v>
      </c>
      <c r="L69" s="1" t="s">
        <v>54</v>
      </c>
      <c r="M69" s="1" t="s">
        <v>55</v>
      </c>
      <c r="N69" s="1" t="s">
        <v>75</v>
      </c>
      <c r="O69" s="1" t="s">
        <v>55</v>
      </c>
      <c r="P69" s="1" t="s">
        <v>56</v>
      </c>
      <c r="Q69" s="1" t="s">
        <v>55</v>
      </c>
      <c r="R69" s="1" t="s">
        <v>89</v>
      </c>
      <c r="S69" s="1" t="s">
        <v>55</v>
      </c>
      <c r="T69" s="1">
        <v>0.31</v>
      </c>
      <c r="U69" s="1">
        <v>0.11</v>
      </c>
      <c r="V69" s="1">
        <v>50</v>
      </c>
      <c r="W69" s="1">
        <v>11.2</v>
      </c>
      <c r="X69" s="1">
        <v>20.399999999999999</v>
      </c>
      <c r="Y69" s="1">
        <v>0.6</v>
      </c>
      <c r="Z69" s="1" t="s">
        <v>56</v>
      </c>
      <c r="AA69" s="1" t="s">
        <v>55</v>
      </c>
      <c r="AB69" s="1">
        <v>68.599999999999994</v>
      </c>
      <c r="AC69" s="1">
        <v>13.4</v>
      </c>
      <c r="AD69" s="1">
        <v>23.9</v>
      </c>
      <c r="AE69" s="1">
        <v>4.0999999999999996</v>
      </c>
      <c r="AF69" s="11" t="s">
        <v>90</v>
      </c>
      <c r="AG69" s="11" t="s">
        <v>55</v>
      </c>
      <c r="AH69" s="11" t="s">
        <v>91</v>
      </c>
      <c r="AI69" s="11" t="s">
        <v>55</v>
      </c>
      <c r="AJ69" s="11">
        <f>503/E69</f>
        <v>3.4147997284453493</v>
      </c>
      <c r="AK69" s="11">
        <f>82/E69</f>
        <v>0.55668703326544466</v>
      </c>
      <c r="AL69" s="1">
        <v>1.03</v>
      </c>
      <c r="AM69" s="1">
        <v>0.03</v>
      </c>
      <c r="AN69" s="11">
        <v>2.7</v>
      </c>
      <c r="AO69" s="11">
        <v>0.1</v>
      </c>
      <c r="AP69" s="11">
        <v>3.6</v>
      </c>
      <c r="AQ69" s="11">
        <v>0.5</v>
      </c>
      <c r="AR69" s="10">
        <f>172/E69</f>
        <v>1.1676849966055667</v>
      </c>
      <c r="AS69" s="10">
        <f>27/E69</f>
        <v>0.18329938900203666</v>
      </c>
      <c r="AT69" s="11">
        <f>343/E69</f>
        <v>2.3285811269517991</v>
      </c>
      <c r="AU69" s="11">
        <f>44/E69</f>
        <v>0.2987101154107264</v>
      </c>
      <c r="AV69" s="11">
        <f>317/E69</f>
        <v>2.1520706042090971</v>
      </c>
      <c r="AW69" s="11">
        <f>55/E69</f>
        <v>0.37338764426340798</v>
      </c>
      <c r="AX69" s="11">
        <f>534/E69</f>
        <v>3.6252545824847249</v>
      </c>
      <c r="AY69" s="11">
        <f>193/E69</f>
        <v>1.3102511880515952</v>
      </c>
      <c r="AZ69" s="1">
        <v>3.1</v>
      </c>
      <c r="BA69" s="1">
        <v>0.2</v>
      </c>
      <c r="BB69" s="1" t="s">
        <v>91</v>
      </c>
      <c r="BC69" s="1" t="s">
        <v>55</v>
      </c>
      <c r="BD69" s="1">
        <v>2</v>
      </c>
      <c r="BE69" s="1" t="s">
        <v>55</v>
      </c>
      <c r="BF69" s="1">
        <v>0.2</v>
      </c>
      <c r="BG69" s="1">
        <v>0.05</v>
      </c>
      <c r="BH69" s="1">
        <v>0.46</v>
      </c>
      <c r="BI69" s="1">
        <v>0.03</v>
      </c>
      <c r="BJ69" s="1">
        <v>3.18</v>
      </c>
      <c r="BK69" s="1">
        <v>0.49</v>
      </c>
      <c r="BL69" s="1">
        <v>5.6</v>
      </c>
      <c r="BM69" s="1">
        <v>0.4</v>
      </c>
      <c r="BN69" s="1">
        <v>2.2000000000000002</v>
      </c>
      <c r="BO69" s="1">
        <v>0.01</v>
      </c>
      <c r="BP69" s="1">
        <v>15.1</v>
      </c>
      <c r="BQ69" s="1">
        <v>0.7</v>
      </c>
      <c r="BR69" s="11">
        <f>47/E69</f>
        <v>0.31907671418873046</v>
      </c>
      <c r="BS69" s="11">
        <f>16/E69</f>
        <v>0.10862186014935504</v>
      </c>
      <c r="BT69" s="4">
        <v>0.18</v>
      </c>
      <c r="BU69" s="4">
        <v>0.03</v>
      </c>
      <c r="BV69" s="1">
        <v>0.01</v>
      </c>
      <c r="BW69" s="1">
        <v>0.01</v>
      </c>
      <c r="BX69" s="1">
        <v>0.01</v>
      </c>
      <c r="BY69" s="1" t="s">
        <v>55</v>
      </c>
      <c r="BZ69" s="10" t="s">
        <v>248</v>
      </c>
      <c r="CA69" s="10" t="s">
        <v>55</v>
      </c>
      <c r="CB69" s="10" t="s">
        <v>246</v>
      </c>
      <c r="CC69" s="10" t="s">
        <v>55</v>
      </c>
      <c r="CD69" s="10">
        <f>16.4/E69</f>
        <v>0.11133740665308892</v>
      </c>
      <c r="CE69" s="10">
        <f>5.4/E69</f>
        <v>3.6659877800407331E-2</v>
      </c>
      <c r="CF69" s="10">
        <f>18/E69</f>
        <v>0.12219959266802444</v>
      </c>
      <c r="CG69" s="10">
        <f>3.4/E69</f>
        <v>2.3082145281737947E-2</v>
      </c>
      <c r="CH69" s="10">
        <f>12.3/E69</f>
        <v>8.3503054989816694E-2</v>
      </c>
      <c r="CI69" s="10">
        <f>3.6/E69</f>
        <v>2.4439918533604887E-2</v>
      </c>
      <c r="CJ69" s="10">
        <f>3.5/E69</f>
        <v>2.3761031907671416E-2</v>
      </c>
      <c r="CK69" s="10">
        <f>0.4/E69</f>
        <v>2.7155465037338763E-3</v>
      </c>
      <c r="CL69" s="10">
        <f>1.4/E69</f>
        <v>9.5044127630685669E-3</v>
      </c>
      <c r="CM69" s="10">
        <f>0.9/E69</f>
        <v>6.1099796334012219E-3</v>
      </c>
      <c r="CN69" s="10">
        <f>5.5/E69</f>
        <v>3.7338764426340799E-2</v>
      </c>
      <c r="CO69" s="10">
        <f>0.7/E69</f>
        <v>4.7522063815342835E-3</v>
      </c>
      <c r="CP69" s="19">
        <f>5.2/E69</f>
        <v>3.5302104548540394E-2</v>
      </c>
      <c r="CQ69" s="19">
        <f>0.5/E69</f>
        <v>3.3944331296673451E-3</v>
      </c>
      <c r="CR69" s="10">
        <f>0.9/E69</f>
        <v>6.1099796334012219E-3</v>
      </c>
      <c r="CS69" s="10">
        <f>0.2/E69</f>
        <v>1.3577732518669382E-3</v>
      </c>
      <c r="CT69" s="19" t="s">
        <v>247</v>
      </c>
      <c r="CU69" s="19" t="s">
        <v>55</v>
      </c>
      <c r="CV69" s="19">
        <f>587/E69</f>
        <v>3.9850644942294635</v>
      </c>
      <c r="CW69" s="19">
        <f>128/E69</f>
        <v>0.86897488119484034</v>
      </c>
      <c r="CX69" s="10" t="s">
        <v>246</v>
      </c>
      <c r="CY69" s="10" t="s">
        <v>55</v>
      </c>
      <c r="CZ69" s="10">
        <f>2/E69</f>
        <v>1.357773251866938E-2</v>
      </c>
      <c r="DA69" s="10">
        <f>0.6/E69</f>
        <v>4.0733197556008143E-3</v>
      </c>
      <c r="DB69" s="10">
        <f>5.4/E69</f>
        <v>3.6659877800407331E-2</v>
      </c>
      <c r="DC69" s="10">
        <f>1.4/E69</f>
        <v>9.5044127630685669E-3</v>
      </c>
      <c r="DD69" s="10">
        <f>8.2/E69</f>
        <v>5.5668703326544458E-2</v>
      </c>
      <c r="DE69" s="10">
        <f>0.2/E69</f>
        <v>1.3577732518669382E-3</v>
      </c>
      <c r="DF69" s="10">
        <f>47.8/E69</f>
        <v>0.32450780719619821</v>
      </c>
      <c r="DG69" s="10">
        <f>1.6/E69</f>
        <v>1.0862186014935505E-2</v>
      </c>
      <c r="DH69" s="10">
        <f>1034/E69</f>
        <v>7.01968771215207</v>
      </c>
      <c r="DI69" s="10">
        <f>97/E69</f>
        <v>0.65852002715546498</v>
      </c>
      <c r="DJ69" s="10">
        <f>373/E69</f>
        <v>2.5322471147318395</v>
      </c>
      <c r="DK69" s="10">
        <f>64/E69</f>
        <v>0.43448744059742017</v>
      </c>
      <c r="DL69" s="10">
        <f>501/E69</f>
        <v>3.4012219959266798</v>
      </c>
      <c r="DM69" s="8">
        <f>55/E69</f>
        <v>0.37338764426340798</v>
      </c>
      <c r="DN69" s="10">
        <f>10/E69</f>
        <v>6.7888662593346902E-2</v>
      </c>
      <c r="DO69" s="10">
        <f>1/E69</f>
        <v>6.7888662593346902E-3</v>
      </c>
      <c r="DP69" s="10">
        <f>42/E69</f>
        <v>0.285132382892057</v>
      </c>
      <c r="DQ69" s="10">
        <f>4/E69</f>
        <v>2.7155465037338761E-2</v>
      </c>
      <c r="DR69" s="10">
        <f>14/E69</f>
        <v>9.5044127630685663E-2</v>
      </c>
      <c r="DS69" s="10">
        <f>1/E69</f>
        <v>6.7888662593346902E-3</v>
      </c>
      <c r="DT69" s="10">
        <f>115/E69</f>
        <v>0.78071961982348936</v>
      </c>
      <c r="DU69" s="10">
        <f>27/E69</f>
        <v>0.18329938900203666</v>
      </c>
      <c r="DV69" s="10" t="s">
        <v>278</v>
      </c>
      <c r="DW69" s="10" t="s">
        <v>55</v>
      </c>
      <c r="DX69" s="10" t="s">
        <v>278</v>
      </c>
      <c r="DY69" s="10" t="s">
        <v>55</v>
      </c>
      <c r="DZ69" s="10">
        <f>5/E69</f>
        <v>3.3944331296673451E-2</v>
      </c>
      <c r="EA69" s="10">
        <f>2/E69</f>
        <v>1.357773251866938E-2</v>
      </c>
      <c r="EB69" s="10">
        <f>1.7/E69</f>
        <v>1.1541072640868974E-2</v>
      </c>
      <c r="EC69" s="10">
        <f>0.5/E69</f>
        <v>3.3944331296673451E-3</v>
      </c>
      <c r="ED69" s="10">
        <f>2.1/E69</f>
        <v>1.425661914460285E-2</v>
      </c>
      <c r="EE69" s="10">
        <f>0.1/E69</f>
        <v>6.7888662593346908E-4</v>
      </c>
      <c r="EF69" s="10">
        <f>0.2/E69</f>
        <v>1.3577732518669382E-3</v>
      </c>
      <c r="EG69" s="10">
        <f>0.1/E69</f>
        <v>6.7888662593346908E-4</v>
      </c>
      <c r="EH69" s="10" t="s">
        <v>233</v>
      </c>
      <c r="EI69" s="10" t="s">
        <v>55</v>
      </c>
      <c r="EJ69" s="10" t="s">
        <v>233</v>
      </c>
      <c r="EK69" s="10" t="s">
        <v>55</v>
      </c>
      <c r="EL69" s="10" t="s">
        <v>233</v>
      </c>
      <c r="EM69" s="10" t="s">
        <v>55</v>
      </c>
      <c r="EN69" s="8">
        <f>504.2/E69</f>
        <v>3.4229463679565511</v>
      </c>
      <c r="EO69" s="8">
        <f>2.9/E69</f>
        <v>1.9687712152070602E-2</v>
      </c>
      <c r="EP69" s="8">
        <f>78.6/E69</f>
        <v>0.53360488798370664</v>
      </c>
      <c r="EQ69" s="8">
        <f>3.9/E69</f>
        <v>2.6476578411405292E-2</v>
      </c>
      <c r="ER69" s="8" t="s">
        <v>246</v>
      </c>
      <c r="ES69" s="8" t="s">
        <v>55</v>
      </c>
      <c r="ET69" s="8" t="s">
        <v>503</v>
      </c>
      <c r="EU69" s="8" t="s">
        <v>55</v>
      </c>
      <c r="EV69" s="10" t="s">
        <v>56</v>
      </c>
      <c r="EW69" s="10" t="s">
        <v>55</v>
      </c>
      <c r="EX69" s="10" t="s">
        <v>56</v>
      </c>
      <c r="EY69" s="10" t="s">
        <v>55</v>
      </c>
      <c r="EZ69" s="10" t="s">
        <v>56</v>
      </c>
      <c r="FA69" s="10" t="s">
        <v>55</v>
      </c>
      <c r="FB69" s="8">
        <f>1.3/E69</f>
        <v>8.8255261371350986E-3</v>
      </c>
      <c r="FC69" s="8">
        <f>0.1/E69</f>
        <v>6.7888662593346908E-4</v>
      </c>
      <c r="FD69" s="8" t="s">
        <v>278</v>
      </c>
      <c r="FE69" s="8" t="s">
        <v>55</v>
      </c>
      <c r="FF69" s="10" t="s">
        <v>56</v>
      </c>
      <c r="FG69" s="10" t="s">
        <v>55</v>
      </c>
      <c r="FH69" s="10" t="s">
        <v>56</v>
      </c>
      <c r="FI69" s="10" t="s">
        <v>55</v>
      </c>
      <c r="FJ69" s="10" t="s">
        <v>56</v>
      </c>
      <c r="FK69" s="10" t="s">
        <v>55</v>
      </c>
      <c r="FL69" s="10">
        <f>14/E69</f>
        <v>9.5044127630685663E-2</v>
      </c>
      <c r="FM69" s="10">
        <f>1/E69</f>
        <v>6.7888662593346902E-3</v>
      </c>
      <c r="FN69" s="10" t="s">
        <v>56</v>
      </c>
      <c r="FO69" s="10" t="s">
        <v>55</v>
      </c>
      <c r="FP69" s="10" t="s">
        <v>56</v>
      </c>
      <c r="FQ69" s="10" t="s">
        <v>55</v>
      </c>
      <c r="FR69" s="10">
        <f>7.9/E69</f>
        <v>5.363204344874406E-2</v>
      </c>
      <c r="FS69" s="10">
        <f>1/E69</f>
        <v>6.7888662593346902E-3</v>
      </c>
      <c r="FT69" s="8">
        <v>0.98</v>
      </c>
      <c r="FU69" s="8">
        <v>0.02</v>
      </c>
      <c r="FV69" s="8" t="s">
        <v>157</v>
      </c>
      <c r="FW69" s="8" t="s">
        <v>55</v>
      </c>
      <c r="FX69" s="8">
        <v>0.26</v>
      </c>
      <c r="FY69" s="8">
        <v>0.32</v>
      </c>
      <c r="FZ69" s="8">
        <v>0.18</v>
      </c>
      <c r="GA69" s="8">
        <v>0.01</v>
      </c>
      <c r="GB69" s="8" t="s">
        <v>157</v>
      </c>
      <c r="GC69" s="8" t="s">
        <v>55</v>
      </c>
      <c r="GD69" s="8" t="s">
        <v>157</v>
      </c>
      <c r="GE69" s="8" t="s">
        <v>55</v>
      </c>
      <c r="GF69" s="8" t="s">
        <v>157</v>
      </c>
      <c r="GG69" s="8" t="s">
        <v>55</v>
      </c>
      <c r="GH69" s="8" t="s">
        <v>157</v>
      </c>
      <c r="GI69" s="8" t="s">
        <v>55</v>
      </c>
      <c r="GJ69" s="8" t="s">
        <v>157</v>
      </c>
      <c r="GK69" s="8" t="s">
        <v>55</v>
      </c>
      <c r="GL69" s="8" t="s">
        <v>157</v>
      </c>
      <c r="GM69" s="8" t="s">
        <v>55</v>
      </c>
      <c r="GN69" s="8" t="s">
        <v>157</v>
      </c>
      <c r="GO69" s="8" t="s">
        <v>55</v>
      </c>
      <c r="GP69" s="10">
        <v>0.94</v>
      </c>
      <c r="GQ69" s="10">
        <v>0.01</v>
      </c>
      <c r="GR69" s="8" t="s">
        <v>88</v>
      </c>
      <c r="GS69" s="8" t="s">
        <v>55</v>
      </c>
      <c r="GT69" s="8" t="s">
        <v>88</v>
      </c>
      <c r="GU69" s="8" t="s">
        <v>55</v>
      </c>
      <c r="GV69" s="8">
        <v>0.79</v>
      </c>
      <c r="GW69" s="8">
        <v>0.06</v>
      </c>
      <c r="GX69" s="8" t="s">
        <v>278</v>
      </c>
      <c r="GY69" s="8" t="s">
        <v>55</v>
      </c>
      <c r="GZ69" s="10" t="s">
        <v>56</v>
      </c>
      <c r="HA69" s="10" t="s">
        <v>55</v>
      </c>
      <c r="HB69" s="10" t="s">
        <v>56</v>
      </c>
      <c r="HC69" s="10" t="s">
        <v>55</v>
      </c>
      <c r="HD69" s="10" t="s">
        <v>56</v>
      </c>
      <c r="HE69" s="10" t="s">
        <v>55</v>
      </c>
      <c r="HF69" s="10" t="s">
        <v>56</v>
      </c>
      <c r="HG69" s="10" t="s">
        <v>55</v>
      </c>
      <c r="HH69" s="10" t="s">
        <v>56</v>
      </c>
      <c r="HI69" s="10" t="s">
        <v>55</v>
      </c>
      <c r="HJ69" s="10" t="s">
        <v>56</v>
      </c>
      <c r="HK69" s="10" t="s">
        <v>55</v>
      </c>
      <c r="HL69" s="10" t="s">
        <v>56</v>
      </c>
      <c r="HM69" s="10" t="s">
        <v>55</v>
      </c>
      <c r="HN69" s="10" t="s">
        <v>56</v>
      </c>
      <c r="HO69" s="10" t="s">
        <v>55</v>
      </c>
      <c r="HP69" s="10">
        <v>56</v>
      </c>
      <c r="HQ69" s="10">
        <v>4</v>
      </c>
      <c r="HR69" s="10">
        <v>76</v>
      </c>
      <c r="HS69" s="10">
        <v>4</v>
      </c>
      <c r="HT69" s="10">
        <v>20</v>
      </c>
      <c r="HU69" s="10">
        <v>2</v>
      </c>
      <c r="HV69" s="10">
        <v>10</v>
      </c>
      <c r="HW69" s="10">
        <v>2</v>
      </c>
      <c r="HX69" s="10" t="s">
        <v>319</v>
      </c>
      <c r="HY69" s="10" t="s">
        <v>55</v>
      </c>
      <c r="HZ69" s="10" t="s">
        <v>319</v>
      </c>
      <c r="IA69" s="10" t="s">
        <v>55</v>
      </c>
      <c r="IB69" s="10">
        <v>24</v>
      </c>
      <c r="IC69" s="10">
        <v>2</v>
      </c>
      <c r="ID69" s="1">
        <v>0.40660000000000002</v>
      </c>
      <c r="IE69" s="1">
        <v>0.13300000000000001</v>
      </c>
      <c r="IF69" s="4" t="s">
        <v>75</v>
      </c>
      <c r="IG69" s="4" t="s">
        <v>55</v>
      </c>
      <c r="IH69" s="4" t="s">
        <v>56</v>
      </c>
      <c r="II69" s="4" t="s">
        <v>55</v>
      </c>
      <c r="IJ69" s="4" t="s">
        <v>56</v>
      </c>
      <c r="IK69" s="4" t="s">
        <v>55</v>
      </c>
      <c r="IL69" s="4" t="s">
        <v>56</v>
      </c>
      <c r="IM69" s="4" t="s">
        <v>55</v>
      </c>
      <c r="IN69" s="4" t="s">
        <v>56</v>
      </c>
      <c r="IO69" s="4" t="s">
        <v>55</v>
      </c>
      <c r="IP69" s="4" t="s">
        <v>56</v>
      </c>
      <c r="IQ69" s="4" t="s">
        <v>55</v>
      </c>
      <c r="IR69" s="4" t="s">
        <v>56</v>
      </c>
      <c r="IS69" s="4" t="s">
        <v>55</v>
      </c>
      <c r="IT69" s="4" t="s">
        <v>553</v>
      </c>
      <c r="IU69" s="18" t="s">
        <v>55</v>
      </c>
      <c r="IV69" s="4" t="s">
        <v>556</v>
      </c>
      <c r="IW69" s="4" t="s">
        <v>55</v>
      </c>
      <c r="IX69" s="4" t="s">
        <v>556</v>
      </c>
      <c r="IY69" s="4" t="s">
        <v>55</v>
      </c>
      <c r="IZ69" s="4" t="s">
        <v>556</v>
      </c>
      <c r="JA69" s="4" t="s">
        <v>55</v>
      </c>
      <c r="JB69" s="4" t="s">
        <v>556</v>
      </c>
      <c r="JC69" s="4" t="s">
        <v>55</v>
      </c>
      <c r="JD69" s="4" t="s">
        <v>556</v>
      </c>
      <c r="JE69" s="4" t="s">
        <v>55</v>
      </c>
      <c r="JF69" s="4" t="s">
        <v>556</v>
      </c>
      <c r="JG69" s="4" t="s">
        <v>55</v>
      </c>
      <c r="JH69" s="4" t="s">
        <v>556</v>
      </c>
      <c r="JI69" s="4" t="s">
        <v>55</v>
      </c>
      <c r="JJ69" s="4" t="s">
        <v>556</v>
      </c>
      <c r="JK69" s="4" t="s">
        <v>55</v>
      </c>
      <c r="JL69" s="4" t="s">
        <v>556</v>
      </c>
      <c r="JM69" s="4" t="s">
        <v>55</v>
      </c>
      <c r="JN69" s="4" t="s">
        <v>556</v>
      </c>
      <c r="JO69" s="4" t="s">
        <v>55</v>
      </c>
      <c r="JP69" s="4" t="s">
        <v>556</v>
      </c>
      <c r="JQ69" s="4" t="s">
        <v>55</v>
      </c>
      <c r="JR69" s="4" t="s">
        <v>556</v>
      </c>
      <c r="JS69" s="4" t="s">
        <v>55</v>
      </c>
      <c r="JT69" s="4" t="s">
        <v>556</v>
      </c>
      <c r="JU69" s="4" t="s">
        <v>55</v>
      </c>
      <c r="JV69" s="4" t="s">
        <v>556</v>
      </c>
      <c r="JW69" s="4" t="s">
        <v>55</v>
      </c>
      <c r="JX69" s="26">
        <v>30.717356640255975</v>
      </c>
      <c r="JY69" s="26">
        <v>25.943401316332853</v>
      </c>
      <c r="JZ69" s="26">
        <v>20.735869263854102</v>
      </c>
      <c r="KA69" s="26">
        <v>18.281150413590343</v>
      </c>
      <c r="KB69" s="26">
        <v>46.926790040038121</v>
      </c>
      <c r="KC69" s="26">
        <v>16.630479841051191</v>
      </c>
      <c r="KD69" s="26">
        <v>19.741821209978664</v>
      </c>
      <c r="KE69" s="26">
        <v>10.361472666261966</v>
      </c>
      <c r="KF69" s="26">
        <v>9.9274837436013144</v>
      </c>
      <c r="KG69" s="26">
        <v>9.6940438872671582</v>
      </c>
      <c r="KH69" s="4" t="s">
        <v>56</v>
      </c>
      <c r="KI69" s="4" t="s">
        <v>55</v>
      </c>
      <c r="KJ69" s="4" t="s">
        <v>56</v>
      </c>
      <c r="KK69" s="4" t="s">
        <v>55</v>
      </c>
      <c r="KL69" s="4" t="s">
        <v>56</v>
      </c>
      <c r="KM69" s="4" t="s">
        <v>55</v>
      </c>
      <c r="KN69" s="4" t="s">
        <v>56</v>
      </c>
      <c r="KO69" s="4" t="s">
        <v>55</v>
      </c>
      <c r="KP69" s="4" t="s">
        <v>56</v>
      </c>
      <c r="KQ69" s="4" t="s">
        <v>55</v>
      </c>
      <c r="KR69" s="17" t="s">
        <v>56</v>
      </c>
      <c r="KS69" s="17" t="s">
        <v>55</v>
      </c>
      <c r="KT69" s="17" t="s">
        <v>56</v>
      </c>
      <c r="KU69" s="17" t="s">
        <v>55</v>
      </c>
      <c r="KV69" s="17" t="s">
        <v>54</v>
      </c>
      <c r="KW69" s="17" t="s">
        <v>55</v>
      </c>
      <c r="KX69" s="17" t="s">
        <v>54</v>
      </c>
      <c r="KY69" s="17" t="s">
        <v>55</v>
      </c>
      <c r="KZ69" s="17" t="s">
        <v>54</v>
      </c>
      <c r="LA69" s="17" t="s">
        <v>55</v>
      </c>
      <c r="LB69" s="10" t="s">
        <v>56</v>
      </c>
      <c r="LC69" s="10" t="s">
        <v>55</v>
      </c>
      <c r="LD69" s="10" t="s">
        <v>56</v>
      </c>
      <c r="LE69" s="10" t="s">
        <v>55</v>
      </c>
      <c r="LF69" s="10" t="s">
        <v>56</v>
      </c>
      <c r="LG69" s="10" t="s">
        <v>55</v>
      </c>
      <c r="LH69" s="10" t="s">
        <v>56</v>
      </c>
      <c r="LI69" s="10" t="s">
        <v>55</v>
      </c>
      <c r="LJ69" s="10" t="s">
        <v>56</v>
      </c>
      <c r="LK69" s="10" t="s">
        <v>162</v>
      </c>
      <c r="LL69" s="10" t="s">
        <v>56</v>
      </c>
      <c r="LM69" s="10" t="s">
        <v>162</v>
      </c>
      <c r="LN69" s="10" t="s">
        <v>56</v>
      </c>
      <c r="LO69" s="10" t="s">
        <v>162</v>
      </c>
      <c r="LP69" s="10" t="s">
        <v>56</v>
      </c>
      <c r="LQ69" s="10" t="s">
        <v>162</v>
      </c>
      <c r="LR69" s="10" t="s">
        <v>56</v>
      </c>
      <c r="LS69" s="10" t="s">
        <v>162</v>
      </c>
      <c r="LT69" s="10" t="s">
        <v>56</v>
      </c>
      <c r="LU69" s="10" t="s">
        <v>162</v>
      </c>
      <c r="LV69" s="10" t="s">
        <v>56</v>
      </c>
      <c r="LW69" s="10" t="s">
        <v>162</v>
      </c>
      <c r="LX69" s="10" t="s">
        <v>56</v>
      </c>
      <c r="LY69" s="10" t="s">
        <v>162</v>
      </c>
      <c r="LZ69" s="10" t="s">
        <v>56</v>
      </c>
      <c r="MA69" s="10" t="s">
        <v>162</v>
      </c>
      <c r="MB69" s="10" t="s">
        <v>56</v>
      </c>
      <c r="MC69" s="10" t="s">
        <v>162</v>
      </c>
      <c r="MD69" s="10" t="s">
        <v>56</v>
      </c>
      <c r="ME69" s="10" t="s">
        <v>162</v>
      </c>
      <c r="MF69" s="10" t="s">
        <v>56</v>
      </c>
      <c r="MG69" s="10" t="s">
        <v>162</v>
      </c>
      <c r="MH69" s="10" t="s">
        <v>56</v>
      </c>
      <c r="MI69" s="10" t="s">
        <v>162</v>
      </c>
      <c r="MJ69" s="10" t="s">
        <v>56</v>
      </c>
      <c r="MK69" s="10" t="s">
        <v>162</v>
      </c>
      <c r="ML69" s="10" t="s">
        <v>56</v>
      </c>
      <c r="MM69" s="10" t="s">
        <v>162</v>
      </c>
      <c r="MN69" s="10" t="s">
        <v>56</v>
      </c>
      <c r="MO69" s="10" t="s">
        <v>162</v>
      </c>
      <c r="MP69" s="10" t="s">
        <v>56</v>
      </c>
      <c r="MQ69" s="10" t="s">
        <v>162</v>
      </c>
      <c r="MR69" s="10" t="s">
        <v>56</v>
      </c>
      <c r="MS69" s="10" t="s">
        <v>162</v>
      </c>
      <c r="MT69" s="10" t="s">
        <v>56</v>
      </c>
      <c r="MU69" s="10" t="s">
        <v>162</v>
      </c>
      <c r="MV69" s="10" t="s">
        <v>56</v>
      </c>
      <c r="MW69" s="10" t="s">
        <v>162</v>
      </c>
      <c r="MX69" s="10" t="s">
        <v>56</v>
      </c>
      <c r="MY69" s="10" t="s">
        <v>162</v>
      </c>
      <c r="MZ69" s="10" t="s">
        <v>56</v>
      </c>
      <c r="NA69" s="10" t="s">
        <v>162</v>
      </c>
      <c r="NB69" s="10" t="s">
        <v>56</v>
      </c>
      <c r="NC69" s="10" t="s">
        <v>162</v>
      </c>
      <c r="ND69" s="10" t="s">
        <v>56</v>
      </c>
      <c r="NE69" s="10" t="s">
        <v>162</v>
      </c>
      <c r="NF69" s="10" t="s">
        <v>56</v>
      </c>
      <c r="NG69" s="10" t="s">
        <v>162</v>
      </c>
      <c r="NH69" s="10" t="s">
        <v>56</v>
      </c>
      <c r="NI69" s="10" t="s">
        <v>162</v>
      </c>
      <c r="NJ69" s="10" t="s">
        <v>56</v>
      </c>
      <c r="NK69" s="10" t="s">
        <v>162</v>
      </c>
      <c r="NL69" s="10" t="s">
        <v>56</v>
      </c>
      <c r="NM69" s="10" t="s">
        <v>162</v>
      </c>
      <c r="NN69" s="10" t="s">
        <v>56</v>
      </c>
      <c r="NO69" s="10" t="s">
        <v>162</v>
      </c>
      <c r="NP69" s="10" t="s">
        <v>56</v>
      </c>
      <c r="NQ69" s="10" t="s">
        <v>162</v>
      </c>
      <c r="NR69" s="10" t="s">
        <v>57</v>
      </c>
      <c r="NS69" s="10" t="s">
        <v>55</v>
      </c>
      <c r="NT69" s="10" t="s">
        <v>57</v>
      </c>
      <c r="NU69" s="10" t="s">
        <v>55</v>
      </c>
    </row>
    <row r="70" spans="1:385" x14ac:dyDescent="0.2">
      <c r="A70" t="s">
        <v>18</v>
      </c>
      <c r="B70" s="1" t="s">
        <v>1037</v>
      </c>
      <c r="C70" s="1" t="s">
        <v>859</v>
      </c>
      <c r="D70" s="39" cm="1">
        <f t="array" ref="D70">SUMPRODUCT((ISNUMBER(F70:NU70))*(MOD(COLUMN(F70:NU70),2)=0))</f>
        <v>89</v>
      </c>
      <c r="E70" s="1">
        <v>147.30000000000001</v>
      </c>
      <c r="F70" s="1" t="s">
        <v>75</v>
      </c>
      <c r="G70" s="1" t="s">
        <v>55</v>
      </c>
      <c r="H70" s="1">
        <v>1.5599999999999999E-2</v>
      </c>
      <c r="I70" s="1" t="s">
        <v>58</v>
      </c>
      <c r="J70" s="1">
        <v>5.1999999999999998E-3</v>
      </c>
      <c r="K70" s="1">
        <v>1E-3</v>
      </c>
      <c r="L70" s="1">
        <v>1.2999999999999999E-3</v>
      </c>
      <c r="M70" s="1" t="s">
        <v>58</v>
      </c>
      <c r="N70" s="1" t="s">
        <v>75</v>
      </c>
      <c r="O70" s="1" t="s">
        <v>55</v>
      </c>
      <c r="P70" s="1" t="s">
        <v>56</v>
      </c>
      <c r="Q70" s="1" t="s">
        <v>55</v>
      </c>
      <c r="R70" s="1" t="s">
        <v>91</v>
      </c>
      <c r="S70" s="1" t="s">
        <v>55</v>
      </c>
      <c r="T70" s="1">
        <v>0.25</v>
      </c>
      <c r="U70" s="1">
        <v>0.04</v>
      </c>
      <c r="V70" s="1">
        <v>46.3</v>
      </c>
      <c r="W70" s="1">
        <v>4.3</v>
      </c>
      <c r="X70" s="1">
        <v>24.9</v>
      </c>
      <c r="Y70" s="1">
        <v>2.2000000000000002</v>
      </c>
      <c r="Z70" s="1" t="s">
        <v>56</v>
      </c>
      <c r="AA70" s="1" t="s">
        <v>55</v>
      </c>
      <c r="AB70" s="1">
        <v>69.2</v>
      </c>
      <c r="AC70" s="1">
        <v>11.9</v>
      </c>
      <c r="AD70" s="1">
        <v>23.4</v>
      </c>
      <c r="AE70" s="1">
        <v>3.7</v>
      </c>
      <c r="AF70" s="11" t="s">
        <v>90</v>
      </c>
      <c r="AG70" s="11" t="s">
        <v>55</v>
      </c>
      <c r="AH70" s="11" t="s">
        <v>88</v>
      </c>
      <c r="AI70" s="11" t="s">
        <v>55</v>
      </c>
      <c r="AJ70" s="11">
        <f>819/E70</f>
        <v>5.5600814663951112</v>
      </c>
      <c r="AK70" s="11">
        <f>113/E70</f>
        <v>0.76714188730482002</v>
      </c>
      <c r="AL70" s="1">
        <v>6.3</v>
      </c>
      <c r="AM70" s="1">
        <v>0.1</v>
      </c>
      <c r="AN70" s="11">
        <v>7.6</v>
      </c>
      <c r="AO70" s="11">
        <v>0.4</v>
      </c>
      <c r="AP70" s="11">
        <v>4.7</v>
      </c>
      <c r="AQ70" s="11">
        <v>0.7</v>
      </c>
      <c r="AR70" s="10">
        <f>426/E70</f>
        <v>2.8920570264765781</v>
      </c>
      <c r="AS70" s="10">
        <f>85/E70</f>
        <v>0.57705363204344873</v>
      </c>
      <c r="AT70" s="11">
        <f>357/E70</f>
        <v>2.4236252545824843</v>
      </c>
      <c r="AU70" s="11">
        <f>42/E70</f>
        <v>0.285132382892057</v>
      </c>
      <c r="AV70" s="11">
        <f>316/E70</f>
        <v>2.1452817379497624</v>
      </c>
      <c r="AW70" s="11">
        <f>55/E70</f>
        <v>0.37338764426340798</v>
      </c>
      <c r="AX70" s="11">
        <f>552/E70</f>
        <v>3.747454175152749</v>
      </c>
      <c r="AY70" s="11">
        <f>191/E70</f>
        <v>1.296673455532926</v>
      </c>
      <c r="AZ70" s="1">
        <v>8.4</v>
      </c>
      <c r="BA70" s="1">
        <v>0.5</v>
      </c>
      <c r="BB70" s="1" t="s">
        <v>91</v>
      </c>
      <c r="BC70" s="1" t="s">
        <v>55</v>
      </c>
      <c r="BD70" s="1">
        <v>21.9</v>
      </c>
      <c r="BE70" s="1" t="s">
        <v>55</v>
      </c>
      <c r="BF70" s="1">
        <v>0.76</v>
      </c>
      <c r="BG70" s="1">
        <v>0.02</v>
      </c>
      <c r="BH70" s="1">
        <v>2.78</v>
      </c>
      <c r="BI70" s="1">
        <v>0.16</v>
      </c>
      <c r="BJ70" s="1">
        <v>16.5</v>
      </c>
      <c r="BK70" s="1">
        <v>5.7</v>
      </c>
      <c r="BL70" s="1">
        <v>6.7</v>
      </c>
      <c r="BM70" s="1">
        <v>0.5</v>
      </c>
      <c r="BN70" s="1">
        <v>10.1</v>
      </c>
      <c r="BO70" s="1">
        <v>0.3</v>
      </c>
      <c r="BP70" s="1">
        <v>27</v>
      </c>
      <c r="BQ70" s="1">
        <v>1</v>
      </c>
      <c r="BR70" s="11">
        <f>83/E70</f>
        <v>0.56347589952477928</v>
      </c>
      <c r="BS70" s="11">
        <f>22/E70</f>
        <v>0.1493550577053632</v>
      </c>
      <c r="BT70" s="4">
        <v>0.19</v>
      </c>
      <c r="BU70" s="4">
        <v>0.01</v>
      </c>
      <c r="BV70" s="1">
        <v>0.13</v>
      </c>
      <c r="BW70" s="1">
        <v>0.02</v>
      </c>
      <c r="BX70" s="1">
        <v>0.02</v>
      </c>
      <c r="BY70" s="1">
        <v>0.01</v>
      </c>
      <c r="BZ70" s="10">
        <f>18/E70</f>
        <v>0.12219959266802444</v>
      </c>
      <c r="CA70" s="10" t="s">
        <v>55</v>
      </c>
      <c r="CB70" s="10" t="s">
        <v>152</v>
      </c>
      <c r="CC70" s="10" t="s">
        <v>55</v>
      </c>
      <c r="CD70" s="10">
        <f>11.8/E70</f>
        <v>8.0108621860149359E-2</v>
      </c>
      <c r="CE70" s="10">
        <f>1.3/E70</f>
        <v>8.8255261371350986E-3</v>
      </c>
      <c r="CF70" s="10">
        <f>23/E70</f>
        <v>0.15614392396469789</v>
      </c>
      <c r="CG70" s="10">
        <f>5.9/E70</f>
        <v>4.005431093007468E-2</v>
      </c>
      <c r="CH70" s="10">
        <f>12.3/E70</f>
        <v>8.3503054989816694E-2</v>
      </c>
      <c r="CI70" s="10">
        <f>2.9/E70</f>
        <v>1.9687712152070602E-2</v>
      </c>
      <c r="CJ70" s="10">
        <f>7.7/E70</f>
        <v>5.2274270196877116E-2</v>
      </c>
      <c r="CK70" s="10">
        <f>0.7/E70</f>
        <v>4.7522063815342835E-3</v>
      </c>
      <c r="CL70" s="10">
        <f>5.8/E70</f>
        <v>3.9375424304141204E-2</v>
      </c>
      <c r="CM70" s="10">
        <f>1.7/E70</f>
        <v>1.1541072640868974E-2</v>
      </c>
      <c r="CN70" s="10">
        <f>17/E70</f>
        <v>0.11541072640868974</v>
      </c>
      <c r="CO70" s="10">
        <f>2.4/E70</f>
        <v>1.6293279022403257E-2</v>
      </c>
      <c r="CP70" s="19">
        <f>4.4/E70</f>
        <v>2.9871011541072641E-2</v>
      </c>
      <c r="CQ70" s="19">
        <f>1.5/E70</f>
        <v>1.0183299389002035E-2</v>
      </c>
      <c r="CR70" s="10">
        <f>0.4/E70</f>
        <v>2.7155465037338763E-3</v>
      </c>
      <c r="CS70" s="10">
        <f>0.3/E70</f>
        <v>2.0366598778004071E-3</v>
      </c>
      <c r="CT70" s="10">
        <f>16/E70</f>
        <v>0.10862186014935504</v>
      </c>
      <c r="CU70" s="10">
        <f>4/E70</f>
        <v>2.7155465037338761E-2</v>
      </c>
      <c r="CV70" s="19">
        <f>846/E70</f>
        <v>5.7433808553971479</v>
      </c>
      <c r="CW70" s="19">
        <f>412/E70</f>
        <v>2.7970128988458924</v>
      </c>
      <c r="CX70" s="10">
        <f>1.7/E70</f>
        <v>1.1541072640868974E-2</v>
      </c>
      <c r="CY70" s="10">
        <f>0.1/E70</f>
        <v>6.7888662593346908E-4</v>
      </c>
      <c r="CZ70" s="10">
        <f>12/E70</f>
        <v>8.1466395112016282E-2</v>
      </c>
      <c r="DA70" s="10">
        <f>0.3/E70</f>
        <v>2.0366598778004071E-3</v>
      </c>
      <c r="DB70" s="10">
        <f>1.5/E70</f>
        <v>1.0183299389002035E-2</v>
      </c>
      <c r="DC70" s="10">
        <f>0.9/E70</f>
        <v>6.1099796334012219E-3</v>
      </c>
      <c r="DD70" s="10">
        <f>50.2/E70</f>
        <v>0.3408010862186015</v>
      </c>
      <c r="DE70" s="10">
        <f>0.7/E70</f>
        <v>4.7522063815342835E-3</v>
      </c>
      <c r="DF70" s="10">
        <f>97.3/E70</f>
        <v>0.66055668703326542</v>
      </c>
      <c r="DG70" s="10">
        <f>2.5/E70</f>
        <v>1.6972165648336725E-2</v>
      </c>
      <c r="DH70" s="10">
        <f>1042/E70</f>
        <v>7.0739986422267478</v>
      </c>
      <c r="DI70" s="10">
        <f>91/E70</f>
        <v>0.61778682959945685</v>
      </c>
      <c r="DJ70" s="10">
        <f>408/E70</f>
        <v>2.7698574338085535</v>
      </c>
      <c r="DK70" s="10">
        <f>52/E70</f>
        <v>0.35302104548540392</v>
      </c>
      <c r="DL70" s="10">
        <f>466/E70</f>
        <v>3.1636116768499658</v>
      </c>
      <c r="DM70" s="8">
        <f>52/E70</f>
        <v>0.35302104548540392</v>
      </c>
      <c r="DN70" s="10">
        <f>41/E70</f>
        <v>0.27834351663272233</v>
      </c>
      <c r="DO70" s="10">
        <f>2/E70</f>
        <v>1.357773251866938E-2</v>
      </c>
      <c r="DP70" s="10">
        <f>59/E70</f>
        <v>0.40054310930074677</v>
      </c>
      <c r="DQ70" s="10">
        <f>5/E70</f>
        <v>3.3944331296673451E-2</v>
      </c>
      <c r="DR70" s="10">
        <f>23/E70</f>
        <v>0.15614392396469789</v>
      </c>
      <c r="DS70" s="10">
        <f>2/E70</f>
        <v>1.357773251866938E-2</v>
      </c>
      <c r="DT70" s="10">
        <f>468/E70</f>
        <v>3.1771894093686353</v>
      </c>
      <c r="DU70" s="10">
        <f>202/E70</f>
        <v>1.3713509843856075</v>
      </c>
      <c r="DV70" s="10" t="s">
        <v>281</v>
      </c>
      <c r="DW70" s="10" t="s">
        <v>55</v>
      </c>
      <c r="DX70" s="10" t="s">
        <v>282</v>
      </c>
      <c r="DY70" s="10" t="s">
        <v>55</v>
      </c>
      <c r="DZ70" s="10">
        <f>18/E70</f>
        <v>0.12219959266802444</v>
      </c>
      <c r="EA70" s="10">
        <f>4/E70</f>
        <v>2.7155465037338761E-2</v>
      </c>
      <c r="EB70" s="10">
        <f>8.1/E70</f>
        <v>5.498981670061099E-2</v>
      </c>
      <c r="EC70" s="10">
        <f>0.1/E70</f>
        <v>6.7888662593346908E-4</v>
      </c>
      <c r="ED70" s="10">
        <f>6.9/E70</f>
        <v>4.684317718940937E-2</v>
      </c>
      <c r="EE70" s="10">
        <f>0.2/E70</f>
        <v>1.3577732518669382E-3</v>
      </c>
      <c r="EF70" s="10">
        <f>1.7/E70</f>
        <v>1.1541072640868974E-2</v>
      </c>
      <c r="EG70" s="10">
        <f>0.2/E70</f>
        <v>1.3577732518669382E-3</v>
      </c>
      <c r="EH70" s="10" t="s">
        <v>233</v>
      </c>
      <c r="EI70" s="10" t="s">
        <v>55</v>
      </c>
      <c r="EJ70" s="10" t="s">
        <v>233</v>
      </c>
      <c r="EK70" s="10" t="s">
        <v>55</v>
      </c>
      <c r="EL70" s="10" t="s">
        <v>233</v>
      </c>
      <c r="EM70" s="10" t="s">
        <v>55</v>
      </c>
      <c r="EN70" s="8">
        <f>742.8/E70</f>
        <v>5.0427698574338082</v>
      </c>
      <c r="EO70" s="8">
        <f>6.7/E70</f>
        <v>4.5485403937542426E-2</v>
      </c>
      <c r="EP70" s="8">
        <f>140.6/E70</f>
        <v>0.95451459606245748</v>
      </c>
      <c r="EQ70" s="8">
        <f>6.2/E70</f>
        <v>4.2090970807875085E-2</v>
      </c>
      <c r="ER70" s="8" t="s">
        <v>504</v>
      </c>
      <c r="ES70" s="8" t="s">
        <v>55</v>
      </c>
      <c r="ET70" s="8" t="s">
        <v>505</v>
      </c>
      <c r="EU70" s="8" t="s">
        <v>55</v>
      </c>
      <c r="EV70" s="10" t="s">
        <v>56</v>
      </c>
      <c r="EW70" s="10" t="s">
        <v>55</v>
      </c>
      <c r="EX70" s="10" t="s">
        <v>56</v>
      </c>
      <c r="EY70" s="10" t="s">
        <v>55</v>
      </c>
      <c r="EZ70" s="10" t="s">
        <v>56</v>
      </c>
      <c r="FA70" s="10" t="s">
        <v>55</v>
      </c>
      <c r="FB70" s="8">
        <f>5.9/E70</f>
        <v>4.005431093007468E-2</v>
      </c>
      <c r="FC70" s="8">
        <f>0.3/E70</f>
        <v>2.0366598778004071E-3</v>
      </c>
      <c r="FD70" s="8" t="s">
        <v>278</v>
      </c>
      <c r="FE70" s="8" t="s">
        <v>55</v>
      </c>
      <c r="FF70" s="10" t="s">
        <v>56</v>
      </c>
      <c r="FG70" s="10" t="s">
        <v>55</v>
      </c>
      <c r="FH70" s="10" t="s">
        <v>56</v>
      </c>
      <c r="FI70" s="10" t="s">
        <v>55</v>
      </c>
      <c r="FJ70" s="10" t="s">
        <v>56</v>
      </c>
      <c r="FK70" s="10" t="s">
        <v>55</v>
      </c>
      <c r="FL70" s="10">
        <f>43/E70</f>
        <v>0.29192124915139167</v>
      </c>
      <c r="FM70" s="10">
        <f>1/E70</f>
        <v>6.7888662593346902E-3</v>
      </c>
      <c r="FN70" s="10" t="s">
        <v>56</v>
      </c>
      <c r="FO70" s="10" t="s">
        <v>55</v>
      </c>
      <c r="FP70" s="10" t="s">
        <v>56</v>
      </c>
      <c r="FQ70" s="10" t="s">
        <v>55</v>
      </c>
      <c r="FR70" s="10">
        <f>35/E70</f>
        <v>0.23761031907671418</v>
      </c>
      <c r="FS70" s="10">
        <f>1/E70</f>
        <v>6.7888662593346902E-3</v>
      </c>
      <c r="FT70" s="8" t="s">
        <v>157</v>
      </c>
      <c r="FU70" s="8" t="s">
        <v>55</v>
      </c>
      <c r="FV70" s="8" t="s">
        <v>157</v>
      </c>
      <c r="FW70" s="8" t="s">
        <v>55</v>
      </c>
      <c r="FX70" s="8">
        <v>0.18</v>
      </c>
      <c r="FY70" s="8">
        <v>0.09</v>
      </c>
      <c r="FZ70" s="8">
        <v>1.75</v>
      </c>
      <c r="GA70" s="8">
        <v>0.06</v>
      </c>
      <c r="GB70" s="8" t="s">
        <v>157</v>
      </c>
      <c r="GC70" s="8" t="s">
        <v>55</v>
      </c>
      <c r="GD70" s="8" t="s">
        <v>157</v>
      </c>
      <c r="GE70" s="8" t="s">
        <v>55</v>
      </c>
      <c r="GF70" s="8" t="s">
        <v>157</v>
      </c>
      <c r="GG70" s="8" t="s">
        <v>55</v>
      </c>
      <c r="GH70" s="8" t="s">
        <v>157</v>
      </c>
      <c r="GI70" s="8" t="s">
        <v>55</v>
      </c>
      <c r="GJ70" s="8">
        <v>6.31</v>
      </c>
      <c r="GK70" s="8">
        <v>1.21</v>
      </c>
      <c r="GL70" s="8" t="s">
        <v>157</v>
      </c>
      <c r="GM70" s="8" t="s">
        <v>55</v>
      </c>
      <c r="GN70" s="8" t="s">
        <v>157</v>
      </c>
      <c r="GO70" s="8" t="s">
        <v>55</v>
      </c>
      <c r="GP70" s="10">
        <v>0.22</v>
      </c>
      <c r="GQ70" s="10">
        <v>0.01</v>
      </c>
      <c r="GR70" s="8" t="s">
        <v>88</v>
      </c>
      <c r="GS70" s="8" t="s">
        <v>55</v>
      </c>
      <c r="GT70" s="8" t="s">
        <v>88</v>
      </c>
      <c r="GU70" s="8" t="s">
        <v>55</v>
      </c>
      <c r="GV70" s="8" t="s">
        <v>204</v>
      </c>
      <c r="GW70" s="8" t="s">
        <v>55</v>
      </c>
      <c r="GX70" s="8" t="s">
        <v>278</v>
      </c>
      <c r="GY70" s="8" t="s">
        <v>55</v>
      </c>
      <c r="GZ70" s="10">
        <v>40.883499999999998</v>
      </c>
      <c r="HA70" s="10" t="s">
        <v>55</v>
      </c>
      <c r="HB70" s="10">
        <v>16.641300000000001</v>
      </c>
      <c r="HC70" s="10" t="s">
        <v>55</v>
      </c>
      <c r="HD70" s="10">
        <v>139.32579999999999</v>
      </c>
      <c r="HE70" s="10" t="s">
        <v>55</v>
      </c>
      <c r="HF70" s="10">
        <v>133.2587</v>
      </c>
      <c r="HG70" s="10" t="s">
        <v>55</v>
      </c>
      <c r="HH70" s="10">
        <v>71.6233</v>
      </c>
      <c r="HI70" s="10" t="s">
        <v>55</v>
      </c>
      <c r="HJ70" s="10">
        <v>38.557099999999998</v>
      </c>
      <c r="HK70" s="10" t="s">
        <v>55</v>
      </c>
      <c r="HL70" s="10" t="s">
        <v>317</v>
      </c>
      <c r="HM70" s="10" t="s">
        <v>55</v>
      </c>
      <c r="HN70" s="10">
        <v>35.3504</v>
      </c>
      <c r="HO70" s="10" t="s">
        <v>55</v>
      </c>
      <c r="HP70" s="10">
        <v>620</v>
      </c>
      <c r="HQ70" s="10">
        <v>40</v>
      </c>
      <c r="HR70" s="10">
        <v>620</v>
      </c>
      <c r="HS70" s="10">
        <v>40</v>
      </c>
      <c r="HT70" s="10">
        <v>174</v>
      </c>
      <c r="HU70" s="10">
        <v>8</v>
      </c>
      <c r="HV70" s="10">
        <v>78</v>
      </c>
      <c r="HW70" s="10">
        <v>9</v>
      </c>
      <c r="HX70" s="10" t="s">
        <v>317</v>
      </c>
      <c r="HY70" s="10" t="s">
        <v>55</v>
      </c>
      <c r="HZ70" s="10">
        <v>19.5</v>
      </c>
      <c r="IA70" s="10">
        <v>1.6</v>
      </c>
      <c r="IB70" s="10">
        <v>127</v>
      </c>
      <c r="IC70" s="10">
        <v>8</v>
      </c>
      <c r="ID70" s="1">
        <v>3.0371999999999999</v>
      </c>
      <c r="IE70" s="1">
        <v>1.0988</v>
      </c>
      <c r="IF70" s="4" t="s">
        <v>75</v>
      </c>
      <c r="IG70" s="4" t="s">
        <v>55</v>
      </c>
      <c r="IH70" s="4" t="s">
        <v>56</v>
      </c>
      <c r="II70" s="4" t="s">
        <v>55</v>
      </c>
      <c r="IJ70" s="4" t="s">
        <v>56</v>
      </c>
      <c r="IK70" s="4" t="s">
        <v>55</v>
      </c>
      <c r="IL70" s="4" t="s">
        <v>56</v>
      </c>
      <c r="IM70" s="4" t="s">
        <v>55</v>
      </c>
      <c r="IN70" s="4" t="s">
        <v>56</v>
      </c>
      <c r="IO70" s="4" t="s">
        <v>55</v>
      </c>
      <c r="IP70" s="4" t="s">
        <v>56</v>
      </c>
      <c r="IQ70" s="4" t="s">
        <v>55</v>
      </c>
      <c r="IR70" s="4" t="s">
        <v>56</v>
      </c>
      <c r="IS70" s="4" t="s">
        <v>55</v>
      </c>
      <c r="IT70" s="4" t="s">
        <v>200</v>
      </c>
      <c r="IU70" s="18" t="s">
        <v>55</v>
      </c>
      <c r="IV70" s="4" t="s">
        <v>556</v>
      </c>
      <c r="IW70" s="4" t="s">
        <v>55</v>
      </c>
      <c r="IX70" s="4" t="s">
        <v>556</v>
      </c>
      <c r="IY70" s="4" t="s">
        <v>55</v>
      </c>
      <c r="IZ70" s="4" t="s">
        <v>556</v>
      </c>
      <c r="JA70" s="4" t="s">
        <v>55</v>
      </c>
      <c r="JB70" s="4" t="s">
        <v>556</v>
      </c>
      <c r="JC70" s="4" t="s">
        <v>55</v>
      </c>
      <c r="JD70" s="4" t="s">
        <v>556</v>
      </c>
      <c r="JE70" s="4" t="s">
        <v>55</v>
      </c>
      <c r="JF70" s="4" t="s">
        <v>556</v>
      </c>
      <c r="JG70" s="4" t="s">
        <v>55</v>
      </c>
      <c r="JH70" s="4" t="s">
        <v>556</v>
      </c>
      <c r="JI70" s="4" t="s">
        <v>55</v>
      </c>
      <c r="JJ70" s="4" t="s">
        <v>556</v>
      </c>
      <c r="JK70" s="4" t="s">
        <v>55</v>
      </c>
      <c r="JL70" s="4" t="s">
        <v>556</v>
      </c>
      <c r="JM70" s="4" t="s">
        <v>55</v>
      </c>
      <c r="JN70" s="4" t="s">
        <v>556</v>
      </c>
      <c r="JO70" s="4" t="s">
        <v>55</v>
      </c>
      <c r="JP70" s="4" t="s">
        <v>556</v>
      </c>
      <c r="JQ70" s="4" t="s">
        <v>55</v>
      </c>
      <c r="JR70" s="4" t="s">
        <v>556</v>
      </c>
      <c r="JS70" s="4" t="s">
        <v>55</v>
      </c>
      <c r="JT70" s="4" t="s">
        <v>556</v>
      </c>
      <c r="JU70" s="4" t="s">
        <v>55</v>
      </c>
      <c r="JV70" s="4" t="s">
        <v>556</v>
      </c>
      <c r="JW70" s="4" t="s">
        <v>55</v>
      </c>
      <c r="JX70" s="26">
        <v>3844.6546301720123</v>
      </c>
      <c r="JY70" s="26">
        <v>1866.4823765275335</v>
      </c>
      <c r="JZ70" s="26">
        <v>2255.8192910097205</v>
      </c>
      <c r="KA70" s="26">
        <v>1161.5665171367541</v>
      </c>
      <c r="KB70" s="26">
        <v>877.73103981772431</v>
      </c>
      <c r="KC70" s="26">
        <v>399.88963560937987</v>
      </c>
      <c r="KD70" s="26">
        <v>3864.928379897025</v>
      </c>
      <c r="KE70" s="26">
        <v>4327.7444644679872</v>
      </c>
      <c r="KF70" s="26">
        <v>864.8206486883837</v>
      </c>
      <c r="KG70" s="26">
        <v>149.70044332976747</v>
      </c>
      <c r="KH70" s="4" t="s">
        <v>56</v>
      </c>
      <c r="KI70" s="4" t="s">
        <v>55</v>
      </c>
      <c r="KJ70" s="4" t="s">
        <v>56</v>
      </c>
      <c r="KK70" s="4" t="s">
        <v>55</v>
      </c>
      <c r="KL70" s="4" t="s">
        <v>56</v>
      </c>
      <c r="KM70" s="4" t="s">
        <v>55</v>
      </c>
      <c r="KN70" s="4" t="s">
        <v>56</v>
      </c>
      <c r="KO70" s="4" t="s">
        <v>55</v>
      </c>
      <c r="KP70" s="4" t="s">
        <v>56</v>
      </c>
      <c r="KQ70" s="4" t="s">
        <v>55</v>
      </c>
      <c r="KR70" s="17" t="s">
        <v>56</v>
      </c>
      <c r="KS70" s="17" t="s">
        <v>55</v>
      </c>
      <c r="KT70" s="17" t="s">
        <v>56</v>
      </c>
      <c r="KU70" s="17" t="s">
        <v>55</v>
      </c>
      <c r="KV70" s="17">
        <v>3670.2</v>
      </c>
      <c r="KW70" s="17">
        <v>431.2</v>
      </c>
      <c r="KX70" s="17">
        <v>3933.5</v>
      </c>
      <c r="KY70" s="17">
        <v>319.89999999999998</v>
      </c>
      <c r="KZ70" s="17">
        <v>4625.5</v>
      </c>
      <c r="LA70" s="17">
        <v>379.2</v>
      </c>
      <c r="LB70" s="10" t="s">
        <v>56</v>
      </c>
      <c r="LC70" s="10" t="s">
        <v>55</v>
      </c>
      <c r="LD70" s="10">
        <f>16.2*1000</f>
        <v>16200</v>
      </c>
      <c r="LE70" s="10">
        <f>2.1*1000</f>
        <v>2100</v>
      </c>
      <c r="LF70" s="10">
        <f>4.5*1000</f>
        <v>4500</v>
      </c>
      <c r="LG70" s="10">
        <f>0.6*1000</f>
        <v>600</v>
      </c>
      <c r="LH70" s="10">
        <f>6.66*1000</f>
        <v>6660</v>
      </c>
      <c r="LI70" s="10">
        <f>0.35*1000</f>
        <v>350</v>
      </c>
      <c r="LJ70" s="10" t="s">
        <v>56</v>
      </c>
      <c r="LK70" s="10" t="s">
        <v>162</v>
      </c>
      <c r="LL70" s="10" t="s">
        <v>56</v>
      </c>
      <c r="LM70" s="10" t="s">
        <v>162</v>
      </c>
      <c r="LN70" s="10" t="s">
        <v>56</v>
      </c>
      <c r="LO70" s="10" t="s">
        <v>162</v>
      </c>
      <c r="LP70" s="10" t="s">
        <v>56</v>
      </c>
      <c r="LQ70" s="10" t="s">
        <v>162</v>
      </c>
      <c r="LR70" s="10" t="s">
        <v>56</v>
      </c>
      <c r="LS70" s="10" t="s">
        <v>162</v>
      </c>
      <c r="LT70" s="10" t="s">
        <v>56</v>
      </c>
      <c r="LU70" s="10" t="s">
        <v>162</v>
      </c>
      <c r="LV70" s="10" t="s">
        <v>56</v>
      </c>
      <c r="LW70" s="10" t="s">
        <v>162</v>
      </c>
      <c r="LX70" s="10" t="s">
        <v>56</v>
      </c>
      <c r="LY70" s="10" t="s">
        <v>162</v>
      </c>
      <c r="LZ70" s="10" t="s">
        <v>56</v>
      </c>
      <c r="MA70" s="10" t="s">
        <v>162</v>
      </c>
      <c r="MB70" s="10" t="s">
        <v>56</v>
      </c>
      <c r="MC70" s="10" t="s">
        <v>162</v>
      </c>
      <c r="MD70" s="10" t="s">
        <v>56</v>
      </c>
      <c r="ME70" s="10" t="s">
        <v>162</v>
      </c>
      <c r="MF70" s="10" t="s">
        <v>56</v>
      </c>
      <c r="MG70" s="10" t="s">
        <v>162</v>
      </c>
      <c r="MH70" s="10" t="s">
        <v>56</v>
      </c>
      <c r="MI70" s="10" t="s">
        <v>162</v>
      </c>
      <c r="MJ70" s="10" t="s">
        <v>56</v>
      </c>
      <c r="MK70" s="10" t="s">
        <v>162</v>
      </c>
      <c r="ML70" s="10" t="s">
        <v>56</v>
      </c>
      <c r="MM70" s="10" t="s">
        <v>162</v>
      </c>
      <c r="MN70" s="10" t="s">
        <v>56</v>
      </c>
      <c r="MO70" s="10" t="s">
        <v>162</v>
      </c>
      <c r="MP70" s="10" t="s">
        <v>56</v>
      </c>
      <c r="MQ70" s="10" t="s">
        <v>162</v>
      </c>
      <c r="MR70" s="10" t="s">
        <v>56</v>
      </c>
      <c r="MS70" s="10" t="s">
        <v>162</v>
      </c>
      <c r="MT70" s="10" t="s">
        <v>56</v>
      </c>
      <c r="MU70" s="10" t="s">
        <v>162</v>
      </c>
      <c r="MV70" s="10" t="s">
        <v>56</v>
      </c>
      <c r="MW70" s="10" t="s">
        <v>162</v>
      </c>
      <c r="MX70" s="10" t="s">
        <v>56</v>
      </c>
      <c r="MY70" s="10" t="s">
        <v>162</v>
      </c>
      <c r="MZ70" s="10" t="s">
        <v>56</v>
      </c>
      <c r="NA70" s="10" t="s">
        <v>162</v>
      </c>
      <c r="NB70" s="10" t="s">
        <v>56</v>
      </c>
      <c r="NC70" s="10" t="s">
        <v>162</v>
      </c>
      <c r="ND70" s="10" t="s">
        <v>56</v>
      </c>
      <c r="NE70" s="10" t="s">
        <v>162</v>
      </c>
      <c r="NF70" s="10" t="s">
        <v>56</v>
      </c>
      <c r="NG70" s="10" t="s">
        <v>162</v>
      </c>
      <c r="NH70" s="10" t="s">
        <v>56</v>
      </c>
      <c r="NI70" s="10" t="s">
        <v>162</v>
      </c>
      <c r="NJ70" s="10" t="s">
        <v>56</v>
      </c>
      <c r="NK70" s="10" t="s">
        <v>162</v>
      </c>
      <c r="NL70" s="10" t="s">
        <v>56</v>
      </c>
      <c r="NM70" s="10" t="s">
        <v>162</v>
      </c>
      <c r="NN70" s="10" t="s">
        <v>56</v>
      </c>
      <c r="NO70" s="10" t="s">
        <v>162</v>
      </c>
      <c r="NP70" s="10" t="s">
        <v>56</v>
      </c>
      <c r="NQ70" s="10" t="s">
        <v>162</v>
      </c>
      <c r="NR70" s="10" t="s">
        <v>620</v>
      </c>
      <c r="NS70" s="10" t="s">
        <v>55</v>
      </c>
      <c r="NT70" s="10" t="s">
        <v>620</v>
      </c>
      <c r="NU70" s="10" t="s">
        <v>55</v>
      </c>
    </row>
    <row r="71" spans="1:385" x14ac:dyDescent="0.2">
      <c r="A71" t="s">
        <v>872</v>
      </c>
      <c r="B71" s="1" t="s">
        <v>1037</v>
      </c>
      <c r="C71" s="1" t="s">
        <v>843</v>
      </c>
      <c r="D71" s="39" cm="1">
        <f t="array" ref="D71">SUMPRODUCT((ISNUMBER(F71:NU71))*(MOD(COLUMN(F71:NU71),2)=0))</f>
        <v>68</v>
      </c>
      <c r="E71" s="1">
        <v>147.30000000000001</v>
      </c>
      <c r="F71" s="10" t="s">
        <v>56</v>
      </c>
      <c r="G71" s="10" t="s">
        <v>55</v>
      </c>
      <c r="H71" s="10" t="s">
        <v>56</v>
      </c>
      <c r="I71" s="10" t="s">
        <v>55</v>
      </c>
      <c r="J71" s="10" t="s">
        <v>56</v>
      </c>
      <c r="K71" s="10" t="s">
        <v>55</v>
      </c>
      <c r="L71" s="10" t="s">
        <v>56</v>
      </c>
      <c r="M71" s="10" t="s">
        <v>55</v>
      </c>
      <c r="N71" s="10" t="s">
        <v>56</v>
      </c>
      <c r="O71" s="10" t="s">
        <v>55</v>
      </c>
      <c r="P71" s="10" t="s">
        <v>56</v>
      </c>
      <c r="Q71" s="10" t="s">
        <v>55</v>
      </c>
      <c r="R71" s="10" t="s">
        <v>56</v>
      </c>
      <c r="S71" s="10" t="s">
        <v>55</v>
      </c>
      <c r="T71" s="10" t="s">
        <v>56</v>
      </c>
      <c r="U71" s="10" t="s">
        <v>55</v>
      </c>
      <c r="V71" s="10" t="s">
        <v>56</v>
      </c>
      <c r="W71" s="10" t="s">
        <v>55</v>
      </c>
      <c r="X71" s="10" t="s">
        <v>56</v>
      </c>
      <c r="Y71" s="10" t="s">
        <v>55</v>
      </c>
      <c r="Z71" s="10" t="s">
        <v>56</v>
      </c>
      <c r="AA71" s="10" t="s">
        <v>55</v>
      </c>
      <c r="AB71" s="10" t="s">
        <v>56</v>
      </c>
      <c r="AC71" s="10" t="s">
        <v>55</v>
      </c>
      <c r="AD71" s="10" t="s">
        <v>56</v>
      </c>
      <c r="AE71" s="10" t="s">
        <v>55</v>
      </c>
      <c r="AF71" s="10" t="s">
        <v>56</v>
      </c>
      <c r="AG71" s="10" t="s">
        <v>55</v>
      </c>
      <c r="AH71" s="10" t="s">
        <v>56</v>
      </c>
      <c r="AI71" s="10" t="s">
        <v>55</v>
      </c>
      <c r="AJ71" s="10" t="s">
        <v>56</v>
      </c>
      <c r="AK71" s="10" t="s">
        <v>55</v>
      </c>
      <c r="AL71" s="10" t="s">
        <v>56</v>
      </c>
      <c r="AM71" s="10" t="s">
        <v>55</v>
      </c>
      <c r="AN71" s="10" t="s">
        <v>56</v>
      </c>
      <c r="AO71" s="10" t="s">
        <v>55</v>
      </c>
      <c r="AP71" s="10" t="s">
        <v>56</v>
      </c>
      <c r="AQ71" s="10" t="s">
        <v>55</v>
      </c>
      <c r="AR71" s="10" t="s">
        <v>56</v>
      </c>
      <c r="AS71" s="10" t="s">
        <v>55</v>
      </c>
      <c r="AT71" s="10" t="s">
        <v>56</v>
      </c>
      <c r="AU71" s="10" t="s">
        <v>55</v>
      </c>
      <c r="AV71" s="10" t="s">
        <v>56</v>
      </c>
      <c r="AW71" s="10" t="s">
        <v>55</v>
      </c>
      <c r="AX71" s="10" t="s">
        <v>56</v>
      </c>
      <c r="AY71" s="10" t="s">
        <v>55</v>
      </c>
      <c r="AZ71" s="10" t="s">
        <v>56</v>
      </c>
      <c r="BA71" s="10" t="s">
        <v>55</v>
      </c>
      <c r="BB71" s="10" t="s">
        <v>56</v>
      </c>
      <c r="BC71" s="10" t="s">
        <v>55</v>
      </c>
      <c r="BD71" s="10" t="s">
        <v>56</v>
      </c>
      <c r="BE71" s="10" t="s">
        <v>55</v>
      </c>
      <c r="BF71" s="10" t="s">
        <v>56</v>
      </c>
      <c r="BG71" s="10" t="s">
        <v>55</v>
      </c>
      <c r="BH71" s="10" t="s">
        <v>56</v>
      </c>
      <c r="BI71" s="10" t="s">
        <v>55</v>
      </c>
      <c r="BJ71" s="10" t="s">
        <v>56</v>
      </c>
      <c r="BK71" s="10" t="s">
        <v>55</v>
      </c>
      <c r="BL71" s="10" t="s">
        <v>56</v>
      </c>
      <c r="BM71" s="10" t="s">
        <v>55</v>
      </c>
      <c r="BN71" s="10" t="s">
        <v>56</v>
      </c>
      <c r="BO71" s="10" t="s">
        <v>55</v>
      </c>
      <c r="BP71" s="10" t="s">
        <v>56</v>
      </c>
      <c r="BQ71" s="10" t="s">
        <v>55</v>
      </c>
      <c r="BR71" s="10" t="s">
        <v>56</v>
      </c>
      <c r="BS71" s="10" t="s">
        <v>55</v>
      </c>
      <c r="BT71" s="10" t="s">
        <v>56</v>
      </c>
      <c r="BU71" s="10" t="s">
        <v>55</v>
      </c>
      <c r="BV71" s="10" t="s">
        <v>56</v>
      </c>
      <c r="BW71" s="10" t="s">
        <v>55</v>
      </c>
      <c r="BX71" s="10" t="s">
        <v>56</v>
      </c>
      <c r="BY71" s="10" t="s">
        <v>55</v>
      </c>
      <c r="BZ71" s="10" t="s">
        <v>56</v>
      </c>
      <c r="CA71" s="10" t="s">
        <v>55</v>
      </c>
      <c r="CB71" s="10" t="s">
        <v>56</v>
      </c>
      <c r="CC71" s="10" t="s">
        <v>55</v>
      </c>
      <c r="CD71" s="10" t="s">
        <v>56</v>
      </c>
      <c r="CE71" s="10" t="s">
        <v>55</v>
      </c>
      <c r="CF71" s="10" t="s">
        <v>56</v>
      </c>
      <c r="CG71" s="10" t="s">
        <v>55</v>
      </c>
      <c r="CH71" s="10" t="s">
        <v>56</v>
      </c>
      <c r="CI71" s="10" t="s">
        <v>55</v>
      </c>
      <c r="CJ71" s="10" t="s">
        <v>56</v>
      </c>
      <c r="CK71" s="10" t="s">
        <v>55</v>
      </c>
      <c r="CL71" s="10" t="s">
        <v>56</v>
      </c>
      <c r="CM71" s="10" t="s">
        <v>55</v>
      </c>
      <c r="CN71" s="10" t="s">
        <v>56</v>
      </c>
      <c r="CO71" s="10" t="s">
        <v>55</v>
      </c>
      <c r="CP71" s="10" t="s">
        <v>56</v>
      </c>
      <c r="CQ71" s="10" t="s">
        <v>55</v>
      </c>
      <c r="CR71" s="10" t="s">
        <v>56</v>
      </c>
      <c r="CS71" s="10" t="s">
        <v>55</v>
      </c>
      <c r="CT71" s="10" t="s">
        <v>56</v>
      </c>
      <c r="CU71" s="10" t="s">
        <v>55</v>
      </c>
      <c r="CV71" s="10" t="s">
        <v>56</v>
      </c>
      <c r="CW71" s="10" t="s">
        <v>55</v>
      </c>
      <c r="CX71" s="10" t="s">
        <v>56</v>
      </c>
      <c r="CY71" s="10" t="s">
        <v>55</v>
      </c>
      <c r="CZ71" s="10" t="s">
        <v>56</v>
      </c>
      <c r="DA71" s="10" t="s">
        <v>55</v>
      </c>
      <c r="DB71" s="10" t="s">
        <v>56</v>
      </c>
      <c r="DC71" s="10" t="s">
        <v>55</v>
      </c>
      <c r="DD71" s="10" t="s">
        <v>56</v>
      </c>
      <c r="DE71" s="10" t="s">
        <v>55</v>
      </c>
      <c r="DF71" s="10" t="s">
        <v>56</v>
      </c>
      <c r="DG71" s="10" t="s">
        <v>55</v>
      </c>
      <c r="DH71" s="10" t="s">
        <v>56</v>
      </c>
      <c r="DI71" s="10" t="s">
        <v>55</v>
      </c>
      <c r="DJ71" s="10" t="s">
        <v>56</v>
      </c>
      <c r="DK71" s="10" t="s">
        <v>55</v>
      </c>
      <c r="DL71" s="10" t="s">
        <v>56</v>
      </c>
      <c r="DM71" s="10" t="s">
        <v>55</v>
      </c>
      <c r="DN71" s="10" t="s">
        <v>56</v>
      </c>
      <c r="DO71" s="10" t="s">
        <v>55</v>
      </c>
      <c r="DP71" s="10" t="s">
        <v>56</v>
      </c>
      <c r="DQ71" s="10" t="s">
        <v>55</v>
      </c>
      <c r="DR71" s="10" t="s">
        <v>56</v>
      </c>
      <c r="DS71" s="10" t="s">
        <v>55</v>
      </c>
      <c r="DT71" s="10" t="s">
        <v>56</v>
      </c>
      <c r="DU71" s="10" t="s">
        <v>55</v>
      </c>
      <c r="DV71" s="10" t="s">
        <v>56</v>
      </c>
      <c r="DW71" s="10" t="s">
        <v>55</v>
      </c>
      <c r="DX71" s="10" t="s">
        <v>56</v>
      </c>
      <c r="DY71" s="10" t="s">
        <v>55</v>
      </c>
      <c r="DZ71" s="10" t="s">
        <v>56</v>
      </c>
      <c r="EA71" s="10" t="s">
        <v>55</v>
      </c>
      <c r="EB71" s="10" t="s">
        <v>56</v>
      </c>
      <c r="EC71" s="10" t="s">
        <v>55</v>
      </c>
      <c r="ED71" s="10" t="s">
        <v>56</v>
      </c>
      <c r="EE71" s="10" t="s">
        <v>55</v>
      </c>
      <c r="EF71" s="10" t="s">
        <v>56</v>
      </c>
      <c r="EG71" s="10" t="s">
        <v>55</v>
      </c>
      <c r="EH71" s="10" t="s">
        <v>56</v>
      </c>
      <c r="EI71" s="10" t="s">
        <v>55</v>
      </c>
      <c r="EJ71" s="10" t="s">
        <v>56</v>
      </c>
      <c r="EK71" s="10" t="s">
        <v>55</v>
      </c>
      <c r="EL71" s="10" t="s">
        <v>56</v>
      </c>
      <c r="EM71" s="10" t="s">
        <v>55</v>
      </c>
      <c r="EN71" s="10" t="s">
        <v>56</v>
      </c>
      <c r="EO71" s="10" t="s">
        <v>55</v>
      </c>
      <c r="EP71" s="10" t="s">
        <v>56</v>
      </c>
      <c r="EQ71" s="10" t="s">
        <v>55</v>
      </c>
      <c r="ER71" s="10" t="s">
        <v>56</v>
      </c>
      <c r="ES71" s="10" t="s">
        <v>55</v>
      </c>
      <c r="ET71" s="10" t="s">
        <v>56</v>
      </c>
      <c r="EU71" s="10" t="s">
        <v>55</v>
      </c>
      <c r="EV71" s="10">
        <f>111/E71</f>
        <v>0.75356415478615069</v>
      </c>
      <c r="EW71" s="10">
        <f>7/E71</f>
        <v>4.7522063815342831E-2</v>
      </c>
      <c r="EX71" s="10">
        <f>55/E71</f>
        <v>0.37338764426340798</v>
      </c>
      <c r="EY71" s="10">
        <f>2/E71</f>
        <v>1.357773251866938E-2</v>
      </c>
      <c r="EZ71" s="10">
        <f>25/E71</f>
        <v>0.16972165648336726</v>
      </c>
      <c r="FA71" s="10">
        <f>3/E71</f>
        <v>2.0366598778004071E-2</v>
      </c>
      <c r="FB71" s="10" t="s">
        <v>56</v>
      </c>
      <c r="FC71" s="10" t="s">
        <v>55</v>
      </c>
      <c r="FD71" s="10" t="s">
        <v>56</v>
      </c>
      <c r="FE71" s="10" t="s">
        <v>55</v>
      </c>
      <c r="FF71" s="10">
        <f>102/E71</f>
        <v>0.69246435845213838</v>
      </c>
      <c r="FG71" s="10">
        <f>7/E71</f>
        <v>4.7522063815342831E-2</v>
      </c>
      <c r="FH71" s="10">
        <f>54/E71</f>
        <v>0.36659877800407331</v>
      </c>
      <c r="FI71" s="10">
        <f>3/E71</f>
        <v>2.0366598778004071E-2</v>
      </c>
      <c r="FJ71" s="10">
        <f>24/E71</f>
        <v>0.16293279022403256</v>
      </c>
      <c r="FK71" s="10">
        <f>2/E71</f>
        <v>1.357773251866938E-2</v>
      </c>
      <c r="FL71" s="10" t="s">
        <v>56</v>
      </c>
      <c r="FM71" s="10" t="s">
        <v>55</v>
      </c>
      <c r="FN71" s="10">
        <f>109/E71</f>
        <v>0.73998642226748124</v>
      </c>
      <c r="FO71" s="10">
        <f>4/E71</f>
        <v>2.7155465037338761E-2</v>
      </c>
      <c r="FP71" s="10">
        <f>58/E71</f>
        <v>0.39375424304141204</v>
      </c>
      <c r="FQ71" s="10">
        <f>3/E71</f>
        <v>2.0366598778004071E-2</v>
      </c>
      <c r="FR71" s="10" t="s">
        <v>56</v>
      </c>
      <c r="FS71" s="10" t="s">
        <v>55</v>
      </c>
      <c r="FT71" s="10" t="s">
        <v>56</v>
      </c>
      <c r="FU71" s="10" t="s">
        <v>55</v>
      </c>
      <c r="FV71" s="10" t="s">
        <v>56</v>
      </c>
      <c r="FW71" s="10" t="s">
        <v>55</v>
      </c>
      <c r="FX71" s="10" t="s">
        <v>56</v>
      </c>
      <c r="FY71" s="10" t="s">
        <v>55</v>
      </c>
      <c r="FZ71" s="10" t="s">
        <v>56</v>
      </c>
      <c r="GA71" s="10" t="s">
        <v>55</v>
      </c>
      <c r="GB71" s="10" t="s">
        <v>56</v>
      </c>
      <c r="GC71" s="10" t="s">
        <v>55</v>
      </c>
      <c r="GD71" s="10" t="s">
        <v>56</v>
      </c>
      <c r="GE71" s="10" t="s">
        <v>55</v>
      </c>
      <c r="GF71" s="10" t="s">
        <v>56</v>
      </c>
      <c r="GG71" s="10" t="s">
        <v>55</v>
      </c>
      <c r="GH71" s="10" t="s">
        <v>56</v>
      </c>
      <c r="GI71" s="10" t="s">
        <v>55</v>
      </c>
      <c r="GJ71" s="10" t="s">
        <v>56</v>
      </c>
      <c r="GK71" s="10" t="s">
        <v>55</v>
      </c>
      <c r="GL71" s="10" t="s">
        <v>56</v>
      </c>
      <c r="GM71" s="10" t="s">
        <v>55</v>
      </c>
      <c r="GN71" s="10" t="s">
        <v>56</v>
      </c>
      <c r="GO71" s="10" t="s">
        <v>55</v>
      </c>
      <c r="GP71" s="10" t="s">
        <v>56</v>
      </c>
      <c r="GQ71" s="10" t="s">
        <v>55</v>
      </c>
      <c r="GR71" s="10" t="s">
        <v>56</v>
      </c>
      <c r="GS71" s="10" t="s">
        <v>55</v>
      </c>
      <c r="GT71" s="10" t="s">
        <v>56</v>
      </c>
      <c r="GU71" s="10" t="s">
        <v>55</v>
      </c>
      <c r="GV71" s="17" t="s">
        <v>56</v>
      </c>
      <c r="GW71" s="17" t="s">
        <v>55</v>
      </c>
      <c r="GX71" s="10" t="s">
        <v>56</v>
      </c>
      <c r="GY71" s="10" t="s">
        <v>55</v>
      </c>
      <c r="GZ71" s="10" t="s">
        <v>56</v>
      </c>
      <c r="HA71" s="10" t="s">
        <v>55</v>
      </c>
      <c r="HB71" s="10" t="s">
        <v>56</v>
      </c>
      <c r="HC71" s="10" t="s">
        <v>55</v>
      </c>
      <c r="HD71" s="10" t="s">
        <v>56</v>
      </c>
      <c r="HE71" s="10" t="s">
        <v>55</v>
      </c>
      <c r="HF71" s="10" t="s">
        <v>56</v>
      </c>
      <c r="HG71" s="10" t="s">
        <v>55</v>
      </c>
      <c r="HH71" s="10" t="s">
        <v>56</v>
      </c>
      <c r="HI71" s="10" t="s">
        <v>55</v>
      </c>
      <c r="HJ71" s="10" t="s">
        <v>56</v>
      </c>
      <c r="HK71" s="10" t="s">
        <v>55</v>
      </c>
      <c r="HL71" s="10" t="s">
        <v>56</v>
      </c>
      <c r="HM71" s="10" t="s">
        <v>55</v>
      </c>
      <c r="HN71" s="10" t="s">
        <v>56</v>
      </c>
      <c r="HO71" s="10" t="s">
        <v>55</v>
      </c>
      <c r="HP71" s="10" t="s">
        <v>56</v>
      </c>
      <c r="HQ71" s="10" t="s">
        <v>55</v>
      </c>
      <c r="HR71" s="10" t="s">
        <v>56</v>
      </c>
      <c r="HS71" s="10" t="s">
        <v>55</v>
      </c>
      <c r="HT71" s="10" t="s">
        <v>56</v>
      </c>
      <c r="HU71" s="10" t="s">
        <v>55</v>
      </c>
      <c r="HV71" s="10" t="s">
        <v>56</v>
      </c>
      <c r="HW71" s="10" t="s">
        <v>55</v>
      </c>
      <c r="HX71" s="10" t="s">
        <v>56</v>
      </c>
      <c r="HY71" s="10" t="s">
        <v>55</v>
      </c>
      <c r="HZ71" s="10" t="s">
        <v>56</v>
      </c>
      <c r="IA71" s="10" t="s">
        <v>55</v>
      </c>
      <c r="IB71" s="10" t="s">
        <v>56</v>
      </c>
      <c r="IC71" s="10" t="s">
        <v>55</v>
      </c>
      <c r="ID71" s="10" t="s">
        <v>56</v>
      </c>
      <c r="IE71" s="10" t="s">
        <v>55</v>
      </c>
      <c r="IF71" s="10" t="s">
        <v>56</v>
      </c>
      <c r="IG71" s="10" t="s">
        <v>55</v>
      </c>
      <c r="IH71" s="4">
        <v>4.5999999999999996</v>
      </c>
      <c r="II71" s="4" t="s">
        <v>55</v>
      </c>
      <c r="IJ71" s="4">
        <v>1.6</v>
      </c>
      <c r="IK71" s="4" t="s">
        <v>55</v>
      </c>
      <c r="IL71" s="4">
        <v>0.8</v>
      </c>
      <c r="IM71" s="4" t="s">
        <v>55</v>
      </c>
      <c r="IN71" s="4">
        <v>7.4</v>
      </c>
      <c r="IO71" s="4" t="s">
        <v>55</v>
      </c>
      <c r="IP71" s="4">
        <v>111</v>
      </c>
      <c r="IQ71" s="4" t="s">
        <v>55</v>
      </c>
      <c r="IR71" s="4">
        <v>3.74</v>
      </c>
      <c r="IS71" s="4">
        <v>0.43</v>
      </c>
      <c r="IT71" s="4" t="s">
        <v>553</v>
      </c>
      <c r="IU71" s="18" t="s">
        <v>55</v>
      </c>
      <c r="IV71" s="4">
        <v>8.83</v>
      </c>
      <c r="IW71" s="4" t="s">
        <v>55</v>
      </c>
      <c r="IX71" s="4">
        <f>1.27*1000</f>
        <v>1270</v>
      </c>
      <c r="IY71" s="4" t="s">
        <v>55</v>
      </c>
      <c r="IZ71" s="4">
        <f>0.48*1000</f>
        <v>480</v>
      </c>
      <c r="JA71" s="4" t="s">
        <v>55</v>
      </c>
      <c r="JB71" s="4">
        <f>1.25*1000</f>
        <v>1250</v>
      </c>
      <c r="JC71" s="4" t="s">
        <v>55</v>
      </c>
      <c r="JD71" s="4">
        <f>0.34*1000</f>
        <v>340</v>
      </c>
      <c r="JE71" s="4" t="s">
        <v>55</v>
      </c>
      <c r="JF71" s="4">
        <v>0.16700000000000001</v>
      </c>
      <c r="JG71" s="4" t="s">
        <v>55</v>
      </c>
      <c r="JH71" s="4">
        <v>0.13700000000000001</v>
      </c>
      <c r="JI71" s="4" t="s">
        <v>55</v>
      </c>
      <c r="JJ71" s="4">
        <v>0.315</v>
      </c>
      <c r="JK71" s="4" t="s">
        <v>55</v>
      </c>
      <c r="JL71" s="4">
        <v>0.84799999999999998</v>
      </c>
      <c r="JM71" s="4" t="s">
        <v>55</v>
      </c>
      <c r="JN71" s="4">
        <v>0.55600000000000005</v>
      </c>
      <c r="JO71" s="4" t="s">
        <v>55</v>
      </c>
      <c r="JP71" s="4">
        <v>0.40100000000000002</v>
      </c>
      <c r="JQ71" s="4" t="s">
        <v>55</v>
      </c>
      <c r="JR71" s="4">
        <v>0.66200000000000003</v>
      </c>
      <c r="JS71" s="4" t="s">
        <v>55</v>
      </c>
      <c r="JT71" s="4">
        <v>0.60699999999999998</v>
      </c>
      <c r="JU71" s="4" t="s">
        <v>55</v>
      </c>
      <c r="JV71" s="4">
        <v>14.18</v>
      </c>
      <c r="JW71" s="4" t="s">
        <v>55</v>
      </c>
      <c r="JX71" s="26">
        <v>30.717356640255975</v>
      </c>
      <c r="JY71" s="26">
        <v>25.943401316332853</v>
      </c>
      <c r="JZ71" s="26">
        <v>20.735869263854102</v>
      </c>
      <c r="KA71" s="26">
        <v>18.281150413590343</v>
      </c>
      <c r="KB71" s="26">
        <v>46.926790040038121</v>
      </c>
      <c r="KC71" s="26">
        <v>16.630479841051191</v>
      </c>
      <c r="KD71" s="26">
        <v>19.741821209978664</v>
      </c>
      <c r="KE71" s="26">
        <v>10.361472666261966</v>
      </c>
      <c r="KF71" s="26">
        <v>9.9274837436013144</v>
      </c>
      <c r="KG71" s="26">
        <v>9.6940438872671582</v>
      </c>
      <c r="KH71" s="4">
        <f>215.5*1000</f>
        <v>215500</v>
      </c>
      <c r="KI71" s="4">
        <f>18.1*1000</f>
        <v>18100</v>
      </c>
      <c r="KJ71" s="4">
        <f>990*1000</f>
        <v>990000</v>
      </c>
      <c r="KK71" s="4">
        <f>39.4*1000</f>
        <v>39400</v>
      </c>
      <c r="KL71" s="4">
        <f>151.8*1000</f>
        <v>151800</v>
      </c>
      <c r="KM71" s="4">
        <f>17.3*1000</f>
        <v>17300</v>
      </c>
      <c r="KN71" s="4">
        <f>236.3*1000</f>
        <v>236300</v>
      </c>
      <c r="KO71" s="4">
        <f>19.4*1000</f>
        <v>19400</v>
      </c>
      <c r="KP71" s="4">
        <f>592.7*1000</f>
        <v>592700</v>
      </c>
      <c r="KQ71" s="4">
        <f>48.6*1000</f>
        <v>48600</v>
      </c>
      <c r="KR71" s="17" t="s">
        <v>56</v>
      </c>
      <c r="KS71" s="17" t="s">
        <v>55</v>
      </c>
      <c r="KT71" s="17" t="s">
        <v>56</v>
      </c>
      <c r="KU71" s="17" t="s">
        <v>55</v>
      </c>
      <c r="KV71" s="17" t="s">
        <v>54</v>
      </c>
      <c r="KW71" s="17" t="s">
        <v>55</v>
      </c>
      <c r="KX71" s="17" t="s">
        <v>54</v>
      </c>
      <c r="KY71" s="17" t="s">
        <v>55</v>
      </c>
      <c r="KZ71" s="17" t="s">
        <v>54</v>
      </c>
      <c r="LA71" s="17" t="s">
        <v>55</v>
      </c>
      <c r="LB71" s="10">
        <f>((4.2/100)*1000000000)/E71</f>
        <v>285132.38289205701</v>
      </c>
      <c r="LC71" s="10">
        <f>((0.5/100)*1000000000)/E71</f>
        <v>33944.331296673452</v>
      </c>
      <c r="LD71" s="10" t="s">
        <v>56</v>
      </c>
      <c r="LE71" s="10" t="s">
        <v>55</v>
      </c>
      <c r="LF71" s="10" t="s">
        <v>56</v>
      </c>
      <c r="LG71" s="10" t="s">
        <v>55</v>
      </c>
      <c r="LH71" s="10" t="s">
        <v>56</v>
      </c>
      <c r="LI71" s="10" t="s">
        <v>55</v>
      </c>
      <c r="LJ71" s="10">
        <f>((15.87/100)*1000000000)/E71</f>
        <v>1077393.0753564152</v>
      </c>
      <c r="LK71" s="10" t="s">
        <v>162</v>
      </c>
      <c r="LL71" s="10">
        <f>(151*1000000)/E71</f>
        <v>1025118.8051595383</v>
      </c>
      <c r="LM71" s="10">
        <f>(7.05*1000000)/E71</f>
        <v>47861.507128309568</v>
      </c>
      <c r="LN71" s="10">
        <f>((1.52/100)*1000000000)/E71</f>
        <v>103190.76714188729</v>
      </c>
      <c r="LO71" s="10" t="s">
        <v>162</v>
      </c>
      <c r="LP71" s="10">
        <f>((9.44/100)*1000000000)/E71</f>
        <v>640868.97488119476</v>
      </c>
      <c r="LQ71" s="10" t="s">
        <v>55</v>
      </c>
      <c r="LR71" s="10">
        <f>((15.84/100)*1000000000)/E71</f>
        <v>1075356.4154786151</v>
      </c>
      <c r="LS71" s="10" t="s">
        <v>55</v>
      </c>
      <c r="LT71" s="10">
        <f>((14.74/100)*1000000000)/E71</f>
        <v>1000678.8866259333</v>
      </c>
      <c r="LU71" s="10" t="s">
        <v>55</v>
      </c>
      <c r="LV71" s="10">
        <f>((364/100)*1000000)/E71</f>
        <v>24711.473183978273</v>
      </c>
      <c r="LW71" s="10" t="s">
        <v>55</v>
      </c>
      <c r="LX71" s="10">
        <f>((478/100)*1000000)/E71</f>
        <v>32450.780719619823</v>
      </c>
      <c r="LY71" s="10" t="s">
        <v>55</v>
      </c>
      <c r="LZ71" s="10">
        <f>((431/100)*1000000)/E71</f>
        <v>29260.013577732516</v>
      </c>
      <c r="MA71" s="10" t="s">
        <v>55</v>
      </c>
      <c r="MB71" s="10">
        <f>((355/100)*1000000)/E71</f>
        <v>24100.475220638153</v>
      </c>
      <c r="MC71" s="10" t="s">
        <v>55</v>
      </c>
      <c r="MD71" s="4">
        <v>18006</v>
      </c>
      <c r="ME71" s="4" t="s">
        <v>55</v>
      </c>
      <c r="MF71" s="4">
        <v>14498</v>
      </c>
      <c r="MG71" s="4" t="s">
        <v>55</v>
      </c>
      <c r="MH71" s="4">
        <v>23026</v>
      </c>
      <c r="MI71" s="4" t="s">
        <v>55</v>
      </c>
      <c r="MJ71" s="4">
        <v>15995</v>
      </c>
      <c r="MK71" s="4" t="s">
        <v>55</v>
      </c>
      <c r="ML71" s="4">
        <v>18291</v>
      </c>
      <c r="MM71" s="4" t="s">
        <v>55</v>
      </c>
      <c r="MN71" s="4">
        <v>25728</v>
      </c>
      <c r="MO71" s="4" t="s">
        <v>55</v>
      </c>
      <c r="MP71" s="4">
        <v>20785</v>
      </c>
      <c r="MQ71" s="4" t="s">
        <v>55</v>
      </c>
      <c r="MR71" s="4">
        <v>14527</v>
      </c>
      <c r="MS71" s="4" t="s">
        <v>55</v>
      </c>
      <c r="MT71" s="4">
        <v>17375</v>
      </c>
      <c r="MU71" s="4" t="s">
        <v>55</v>
      </c>
      <c r="MV71" s="4">
        <v>16060</v>
      </c>
      <c r="MW71" s="4" t="s">
        <v>55</v>
      </c>
      <c r="MX71" s="4">
        <v>11976</v>
      </c>
      <c r="MY71" s="4" t="s">
        <v>55</v>
      </c>
      <c r="MZ71" s="4">
        <v>16613</v>
      </c>
      <c r="NA71" s="4" t="s">
        <v>55</v>
      </c>
      <c r="NB71" s="10">
        <f>(0.105*1000000)/E71</f>
        <v>712.83095723014253</v>
      </c>
      <c r="NC71" s="10" t="s">
        <v>55</v>
      </c>
      <c r="ND71" s="10">
        <f>(0.57*1000000)/E71</f>
        <v>3869.6537678207737</v>
      </c>
      <c r="NE71" s="10" t="s">
        <v>55</v>
      </c>
      <c r="NF71" s="10">
        <f>(0.79*1000000)/E71</f>
        <v>5363.2043448744053</v>
      </c>
      <c r="NG71" s="10" t="s">
        <v>55</v>
      </c>
      <c r="NH71" s="10">
        <f>(1.44*1000000)/E71</f>
        <v>9775.9674134419547</v>
      </c>
      <c r="NI71" s="10" t="s">
        <v>55</v>
      </c>
      <c r="NJ71" s="10">
        <f>(7.39*1000000)/E71</f>
        <v>50169.721656483365</v>
      </c>
      <c r="NK71" s="10" t="s">
        <v>55</v>
      </c>
      <c r="NL71" s="10" t="s">
        <v>658</v>
      </c>
      <c r="NM71" s="4" t="s">
        <v>55</v>
      </c>
      <c r="NN71" s="4">
        <f>((26.51/100)*1000000)/E71</f>
        <v>1799.7284453496266</v>
      </c>
      <c r="NO71" s="4" t="s">
        <v>55</v>
      </c>
      <c r="NP71" s="4">
        <f>(64*1000000)/E71</f>
        <v>434487.44059742021</v>
      </c>
      <c r="NQ71" s="4">
        <f>(0.27*1000000)/E71</f>
        <v>1832.9938900203665</v>
      </c>
      <c r="NR71" s="10" t="s">
        <v>56</v>
      </c>
      <c r="NS71" s="10" t="s">
        <v>55</v>
      </c>
      <c r="NT71" s="10" t="s">
        <v>56</v>
      </c>
      <c r="NU71" s="10" t="s">
        <v>55</v>
      </c>
    </row>
    <row r="72" spans="1:385" x14ac:dyDescent="0.2">
      <c r="A72" t="s">
        <v>20</v>
      </c>
      <c r="B72" s="1" t="s">
        <v>1037</v>
      </c>
      <c r="C72" s="1" t="s">
        <v>859</v>
      </c>
      <c r="D72" s="39" cm="1">
        <f t="array" ref="D72">SUMPRODUCT((ISNUMBER(F72:NU72))*(MOD(COLUMN(F72:NU72),2)=0))</f>
        <v>3</v>
      </c>
      <c r="E72" s="1">
        <v>115.13</v>
      </c>
      <c r="F72" s="1" t="s">
        <v>56</v>
      </c>
      <c r="G72" s="1" t="s">
        <v>55</v>
      </c>
      <c r="H72" s="1" t="s">
        <v>56</v>
      </c>
      <c r="I72" s="1" t="s">
        <v>55</v>
      </c>
      <c r="J72" s="1" t="s">
        <v>56</v>
      </c>
      <c r="K72" s="1" t="s">
        <v>55</v>
      </c>
      <c r="L72" s="1" t="s">
        <v>56</v>
      </c>
      <c r="M72" s="1" t="s">
        <v>55</v>
      </c>
      <c r="N72" s="1" t="s">
        <v>56</v>
      </c>
      <c r="O72" s="1" t="s">
        <v>55</v>
      </c>
      <c r="P72" s="1" t="s">
        <v>56</v>
      </c>
      <c r="Q72" s="1" t="s">
        <v>55</v>
      </c>
      <c r="R72" s="1" t="s">
        <v>56</v>
      </c>
      <c r="S72" s="1" t="s">
        <v>55</v>
      </c>
      <c r="T72" s="1" t="s">
        <v>56</v>
      </c>
      <c r="U72" s="1" t="s">
        <v>55</v>
      </c>
      <c r="V72" s="1" t="s">
        <v>56</v>
      </c>
      <c r="W72" s="1" t="s">
        <v>55</v>
      </c>
      <c r="X72" s="1" t="s">
        <v>56</v>
      </c>
      <c r="Y72" s="1" t="s">
        <v>55</v>
      </c>
      <c r="Z72" s="1" t="s">
        <v>56</v>
      </c>
      <c r="AA72" s="1" t="s">
        <v>55</v>
      </c>
      <c r="AB72" s="1" t="s">
        <v>56</v>
      </c>
      <c r="AC72" s="1" t="s">
        <v>55</v>
      </c>
      <c r="AD72" s="1" t="s">
        <v>56</v>
      </c>
      <c r="AE72" s="1" t="s">
        <v>55</v>
      </c>
      <c r="AF72" s="11" t="s">
        <v>56</v>
      </c>
      <c r="AG72" s="11" t="s">
        <v>55</v>
      </c>
      <c r="AH72" s="11" t="s">
        <v>56</v>
      </c>
      <c r="AI72" s="11" t="s">
        <v>55</v>
      </c>
      <c r="AJ72" s="11" t="s">
        <v>56</v>
      </c>
      <c r="AK72" s="11" t="s">
        <v>55</v>
      </c>
      <c r="AL72" s="1" t="s">
        <v>56</v>
      </c>
      <c r="AM72" s="1" t="s">
        <v>55</v>
      </c>
      <c r="AN72" s="17" t="s">
        <v>56</v>
      </c>
      <c r="AO72" s="17" t="s">
        <v>55</v>
      </c>
      <c r="AP72" s="11" t="s">
        <v>56</v>
      </c>
      <c r="AQ72" s="11" t="s">
        <v>55</v>
      </c>
      <c r="AR72" s="10" t="s">
        <v>56</v>
      </c>
      <c r="AS72" s="10" t="s">
        <v>55</v>
      </c>
      <c r="AT72" s="11" t="s">
        <v>56</v>
      </c>
      <c r="AU72" s="11" t="s">
        <v>55</v>
      </c>
      <c r="AV72" s="11" t="s">
        <v>56</v>
      </c>
      <c r="AW72" s="11" t="s">
        <v>55</v>
      </c>
      <c r="AX72" s="11" t="s">
        <v>56</v>
      </c>
      <c r="AY72" s="11" t="s">
        <v>55</v>
      </c>
      <c r="AZ72" s="1" t="s">
        <v>56</v>
      </c>
      <c r="BA72" s="1" t="s">
        <v>55</v>
      </c>
      <c r="BB72" s="1" t="s">
        <v>56</v>
      </c>
      <c r="BC72" s="1" t="s">
        <v>55</v>
      </c>
      <c r="BD72" s="1" t="s">
        <v>56</v>
      </c>
      <c r="BE72" s="1" t="s">
        <v>55</v>
      </c>
      <c r="BF72" s="1" t="s">
        <v>56</v>
      </c>
      <c r="BG72" s="1" t="s">
        <v>55</v>
      </c>
      <c r="BH72" s="1" t="s">
        <v>56</v>
      </c>
      <c r="BI72" s="1" t="s">
        <v>55</v>
      </c>
      <c r="BJ72" s="1" t="s">
        <v>56</v>
      </c>
      <c r="BK72" s="1" t="s">
        <v>55</v>
      </c>
      <c r="BL72" s="1" t="s">
        <v>56</v>
      </c>
      <c r="BM72" s="1" t="s">
        <v>55</v>
      </c>
      <c r="BN72" s="4" t="s">
        <v>56</v>
      </c>
      <c r="BO72" s="4" t="s">
        <v>55</v>
      </c>
      <c r="BP72" s="4" t="s">
        <v>56</v>
      </c>
      <c r="BQ72" s="4" t="s">
        <v>55</v>
      </c>
      <c r="BR72" s="11" t="s">
        <v>56</v>
      </c>
      <c r="BS72" s="11" t="s">
        <v>162</v>
      </c>
      <c r="BT72" s="4" t="s">
        <v>56</v>
      </c>
      <c r="BU72" s="4" t="s">
        <v>55</v>
      </c>
      <c r="BV72" s="4" t="s">
        <v>56</v>
      </c>
      <c r="BW72" s="4" t="s">
        <v>55</v>
      </c>
      <c r="BX72" s="4" t="s">
        <v>56</v>
      </c>
      <c r="BY72" s="4" t="s">
        <v>55</v>
      </c>
      <c r="BZ72" s="10" t="s">
        <v>56</v>
      </c>
      <c r="CA72" s="10" t="s">
        <v>55</v>
      </c>
      <c r="CB72" s="10" t="s">
        <v>56</v>
      </c>
      <c r="CC72" s="10" t="s">
        <v>55</v>
      </c>
      <c r="CD72" s="10" t="s">
        <v>56</v>
      </c>
      <c r="CE72" s="10" t="s">
        <v>55</v>
      </c>
      <c r="CF72" s="10" t="s">
        <v>56</v>
      </c>
      <c r="CG72" s="10" t="s">
        <v>55</v>
      </c>
      <c r="CH72" s="10" t="s">
        <v>56</v>
      </c>
      <c r="CI72" s="10" t="s">
        <v>55</v>
      </c>
      <c r="CJ72" s="10" t="s">
        <v>56</v>
      </c>
      <c r="CK72" s="10" t="s">
        <v>55</v>
      </c>
      <c r="CL72" s="10" t="s">
        <v>56</v>
      </c>
      <c r="CM72" s="10" t="s">
        <v>55</v>
      </c>
      <c r="CN72" s="10" t="s">
        <v>56</v>
      </c>
      <c r="CO72" s="10" t="s">
        <v>55</v>
      </c>
      <c r="CP72" s="10" t="s">
        <v>56</v>
      </c>
      <c r="CQ72" s="10" t="s">
        <v>55</v>
      </c>
      <c r="CR72" s="10" t="s">
        <v>56</v>
      </c>
      <c r="CS72" s="10" t="s">
        <v>55</v>
      </c>
      <c r="CT72" s="10" t="s">
        <v>56</v>
      </c>
      <c r="CU72" s="10" t="s">
        <v>55</v>
      </c>
      <c r="CV72" s="10" t="s">
        <v>56</v>
      </c>
      <c r="CW72" s="10" t="s">
        <v>55</v>
      </c>
      <c r="CX72" s="10" t="s">
        <v>56</v>
      </c>
      <c r="CY72" s="10" t="s">
        <v>55</v>
      </c>
      <c r="CZ72" s="10" t="s">
        <v>56</v>
      </c>
      <c r="DA72" s="10" t="s">
        <v>55</v>
      </c>
      <c r="DB72" s="10" t="s">
        <v>56</v>
      </c>
      <c r="DC72" s="10" t="s">
        <v>55</v>
      </c>
      <c r="DD72" s="10" t="s">
        <v>56</v>
      </c>
      <c r="DE72" s="10" t="s">
        <v>55</v>
      </c>
      <c r="DF72" s="10" t="s">
        <v>56</v>
      </c>
      <c r="DG72" s="10" t="s">
        <v>55</v>
      </c>
      <c r="DH72" s="10" t="s">
        <v>56</v>
      </c>
      <c r="DI72" s="10" t="s">
        <v>55</v>
      </c>
      <c r="DJ72" s="10" t="s">
        <v>56</v>
      </c>
      <c r="DK72" s="10" t="s">
        <v>55</v>
      </c>
      <c r="DL72" s="10" t="s">
        <v>56</v>
      </c>
      <c r="DM72" s="10" t="s">
        <v>55</v>
      </c>
      <c r="DN72" s="10" t="s">
        <v>56</v>
      </c>
      <c r="DO72" s="10" t="s">
        <v>55</v>
      </c>
      <c r="DP72" s="10" t="s">
        <v>56</v>
      </c>
      <c r="DQ72" s="10" t="s">
        <v>55</v>
      </c>
      <c r="DR72" s="10" t="s">
        <v>56</v>
      </c>
      <c r="DS72" s="10" t="s">
        <v>55</v>
      </c>
      <c r="DT72" s="10" t="s">
        <v>56</v>
      </c>
      <c r="DU72" s="10" t="s">
        <v>55</v>
      </c>
      <c r="DV72" s="10" t="s">
        <v>56</v>
      </c>
      <c r="DW72" s="10" t="s">
        <v>55</v>
      </c>
      <c r="DX72" s="10" t="s">
        <v>56</v>
      </c>
      <c r="DY72" s="10" t="s">
        <v>55</v>
      </c>
      <c r="DZ72" s="10" t="s">
        <v>56</v>
      </c>
      <c r="EA72" s="10" t="s">
        <v>55</v>
      </c>
      <c r="EB72" s="10" t="s">
        <v>56</v>
      </c>
      <c r="EC72" s="10" t="s">
        <v>55</v>
      </c>
      <c r="ED72" s="10" t="s">
        <v>56</v>
      </c>
      <c r="EE72" s="10" t="s">
        <v>55</v>
      </c>
      <c r="EF72" s="10" t="s">
        <v>56</v>
      </c>
      <c r="EG72" s="10" t="s">
        <v>55</v>
      </c>
      <c r="EH72" s="10" t="s">
        <v>56</v>
      </c>
      <c r="EI72" s="10" t="s">
        <v>55</v>
      </c>
      <c r="EJ72" s="10" t="s">
        <v>56</v>
      </c>
      <c r="EK72" s="10" t="s">
        <v>55</v>
      </c>
      <c r="EL72" s="10" t="s">
        <v>56</v>
      </c>
      <c r="EM72" s="10" t="s">
        <v>55</v>
      </c>
      <c r="EN72" s="10" t="s">
        <v>56</v>
      </c>
      <c r="EO72" s="10" t="s">
        <v>55</v>
      </c>
      <c r="EP72" s="10" t="s">
        <v>56</v>
      </c>
      <c r="EQ72" s="10" t="s">
        <v>55</v>
      </c>
      <c r="ER72" s="10" t="s">
        <v>56</v>
      </c>
      <c r="ES72" s="10" t="s">
        <v>55</v>
      </c>
      <c r="ET72" s="10" t="s">
        <v>56</v>
      </c>
      <c r="EU72" s="10" t="s">
        <v>55</v>
      </c>
      <c r="EV72" s="10" t="s">
        <v>56</v>
      </c>
      <c r="EW72" s="10" t="s">
        <v>55</v>
      </c>
      <c r="EX72" s="10" t="s">
        <v>56</v>
      </c>
      <c r="EY72" s="10" t="s">
        <v>55</v>
      </c>
      <c r="EZ72" s="10" t="s">
        <v>56</v>
      </c>
      <c r="FA72" s="10" t="s">
        <v>55</v>
      </c>
      <c r="FB72" s="10" t="s">
        <v>56</v>
      </c>
      <c r="FC72" s="10" t="s">
        <v>55</v>
      </c>
      <c r="FD72" s="10" t="s">
        <v>56</v>
      </c>
      <c r="FE72" s="10" t="s">
        <v>55</v>
      </c>
      <c r="FF72" s="10" t="s">
        <v>56</v>
      </c>
      <c r="FG72" s="10" t="s">
        <v>55</v>
      </c>
      <c r="FH72" s="10" t="s">
        <v>56</v>
      </c>
      <c r="FI72" s="10" t="s">
        <v>55</v>
      </c>
      <c r="FJ72" s="10" t="s">
        <v>56</v>
      </c>
      <c r="FK72" s="10" t="s">
        <v>55</v>
      </c>
      <c r="FL72" s="10" t="s">
        <v>56</v>
      </c>
      <c r="FM72" s="10" t="s">
        <v>55</v>
      </c>
      <c r="FN72" s="10" t="s">
        <v>56</v>
      </c>
      <c r="FO72" s="10" t="s">
        <v>55</v>
      </c>
      <c r="FP72" s="10" t="s">
        <v>56</v>
      </c>
      <c r="FQ72" s="10" t="s">
        <v>55</v>
      </c>
      <c r="FR72" s="10" t="s">
        <v>56</v>
      </c>
      <c r="FS72" s="10" t="s">
        <v>55</v>
      </c>
      <c r="FT72" s="10" t="s">
        <v>56</v>
      </c>
      <c r="FU72" s="10" t="s">
        <v>55</v>
      </c>
      <c r="FV72" s="10" t="s">
        <v>56</v>
      </c>
      <c r="FW72" s="10" t="s">
        <v>55</v>
      </c>
      <c r="FX72" s="10" t="s">
        <v>56</v>
      </c>
      <c r="FY72" s="10" t="s">
        <v>55</v>
      </c>
      <c r="FZ72" s="10" t="s">
        <v>56</v>
      </c>
      <c r="GA72" s="10" t="s">
        <v>55</v>
      </c>
      <c r="GB72" s="10" t="s">
        <v>56</v>
      </c>
      <c r="GC72" s="10" t="s">
        <v>55</v>
      </c>
      <c r="GD72" s="10" t="s">
        <v>56</v>
      </c>
      <c r="GE72" s="10" t="s">
        <v>55</v>
      </c>
      <c r="GF72" s="10" t="s">
        <v>56</v>
      </c>
      <c r="GG72" s="10" t="s">
        <v>55</v>
      </c>
      <c r="GH72" s="10" t="s">
        <v>56</v>
      </c>
      <c r="GI72" s="10" t="s">
        <v>55</v>
      </c>
      <c r="GJ72" s="10" t="s">
        <v>56</v>
      </c>
      <c r="GK72" s="10" t="s">
        <v>55</v>
      </c>
      <c r="GL72" s="10" t="s">
        <v>56</v>
      </c>
      <c r="GM72" s="10" t="s">
        <v>55</v>
      </c>
      <c r="GN72" s="10" t="s">
        <v>56</v>
      </c>
      <c r="GO72" s="10" t="s">
        <v>55</v>
      </c>
      <c r="GP72" s="10" t="s">
        <v>56</v>
      </c>
      <c r="GQ72" s="10" t="s">
        <v>55</v>
      </c>
      <c r="GR72" s="10" t="s">
        <v>56</v>
      </c>
      <c r="GS72" s="10" t="s">
        <v>55</v>
      </c>
      <c r="GT72" s="10" t="s">
        <v>56</v>
      </c>
      <c r="GU72" s="10" t="s">
        <v>55</v>
      </c>
      <c r="GV72" s="17" t="s">
        <v>56</v>
      </c>
      <c r="GW72" s="17" t="s">
        <v>55</v>
      </c>
      <c r="GX72" s="10" t="s">
        <v>56</v>
      </c>
      <c r="GY72" s="10" t="s">
        <v>55</v>
      </c>
      <c r="GZ72" s="10" t="s">
        <v>56</v>
      </c>
      <c r="HA72" s="10" t="s">
        <v>55</v>
      </c>
      <c r="HB72" s="10" t="s">
        <v>56</v>
      </c>
      <c r="HC72" s="10" t="s">
        <v>55</v>
      </c>
      <c r="HD72" s="10" t="s">
        <v>56</v>
      </c>
      <c r="HE72" s="10" t="s">
        <v>55</v>
      </c>
      <c r="HF72" s="10" t="s">
        <v>56</v>
      </c>
      <c r="HG72" s="10" t="s">
        <v>55</v>
      </c>
      <c r="HH72" s="10" t="s">
        <v>56</v>
      </c>
      <c r="HI72" s="10" t="s">
        <v>55</v>
      </c>
      <c r="HJ72" s="10" t="s">
        <v>56</v>
      </c>
      <c r="HK72" s="10" t="s">
        <v>55</v>
      </c>
      <c r="HL72" s="10" t="s">
        <v>56</v>
      </c>
      <c r="HM72" s="10" t="s">
        <v>55</v>
      </c>
      <c r="HN72" s="10" t="s">
        <v>56</v>
      </c>
      <c r="HO72" s="10" t="s">
        <v>55</v>
      </c>
      <c r="HP72" s="10" t="s">
        <v>56</v>
      </c>
      <c r="HQ72" s="10" t="s">
        <v>55</v>
      </c>
      <c r="HR72" s="10" t="s">
        <v>56</v>
      </c>
      <c r="HS72" s="10" t="s">
        <v>55</v>
      </c>
      <c r="HT72" s="10" t="s">
        <v>56</v>
      </c>
      <c r="HU72" s="10" t="s">
        <v>55</v>
      </c>
      <c r="HV72" s="10" t="s">
        <v>56</v>
      </c>
      <c r="HW72" s="10" t="s">
        <v>55</v>
      </c>
      <c r="HX72" s="10" t="s">
        <v>56</v>
      </c>
      <c r="HY72" s="10" t="s">
        <v>55</v>
      </c>
      <c r="HZ72" s="10" t="s">
        <v>56</v>
      </c>
      <c r="IA72" s="10" t="s">
        <v>55</v>
      </c>
      <c r="IB72" s="10" t="s">
        <v>56</v>
      </c>
      <c r="IC72" s="10" t="s">
        <v>55</v>
      </c>
      <c r="ID72" s="1" t="s">
        <v>56</v>
      </c>
      <c r="IE72" s="1" t="s">
        <v>55</v>
      </c>
      <c r="IF72" s="4" t="s">
        <v>56</v>
      </c>
      <c r="IG72" s="4" t="s">
        <v>55</v>
      </c>
      <c r="IH72" s="4" t="s">
        <v>56</v>
      </c>
      <c r="II72" s="4" t="s">
        <v>55</v>
      </c>
      <c r="IJ72" s="4" t="s">
        <v>56</v>
      </c>
      <c r="IK72" s="4" t="s">
        <v>55</v>
      </c>
      <c r="IL72" s="4" t="s">
        <v>56</v>
      </c>
      <c r="IM72" s="4" t="s">
        <v>55</v>
      </c>
      <c r="IN72" s="4" t="s">
        <v>56</v>
      </c>
      <c r="IO72" s="4" t="s">
        <v>55</v>
      </c>
      <c r="IP72" s="4" t="s">
        <v>56</v>
      </c>
      <c r="IQ72" s="4" t="s">
        <v>55</v>
      </c>
      <c r="IR72" s="18" t="s">
        <v>56</v>
      </c>
      <c r="IS72" s="18" t="s">
        <v>55</v>
      </c>
      <c r="IT72" s="18" t="s">
        <v>56</v>
      </c>
      <c r="IU72" s="18" t="s">
        <v>55</v>
      </c>
      <c r="IV72" s="18" t="s">
        <v>56</v>
      </c>
      <c r="IW72" s="18" t="s">
        <v>55</v>
      </c>
      <c r="IX72" s="4" t="s">
        <v>56</v>
      </c>
      <c r="IY72" s="4" t="s">
        <v>55</v>
      </c>
      <c r="IZ72" s="4" t="s">
        <v>56</v>
      </c>
      <c r="JA72" s="4" t="s">
        <v>55</v>
      </c>
      <c r="JB72" s="4" t="s">
        <v>56</v>
      </c>
      <c r="JC72" s="4" t="s">
        <v>55</v>
      </c>
      <c r="JD72" s="4" t="s">
        <v>56</v>
      </c>
      <c r="JE72" s="4" t="s">
        <v>55</v>
      </c>
      <c r="JF72" s="18" t="s">
        <v>56</v>
      </c>
      <c r="JG72" s="18" t="s">
        <v>55</v>
      </c>
      <c r="JH72" s="18" t="s">
        <v>56</v>
      </c>
      <c r="JI72" s="18" t="s">
        <v>55</v>
      </c>
      <c r="JJ72" s="18" t="s">
        <v>56</v>
      </c>
      <c r="JK72" s="18" t="s">
        <v>55</v>
      </c>
      <c r="JL72" s="18" t="s">
        <v>56</v>
      </c>
      <c r="JM72" s="18" t="s">
        <v>55</v>
      </c>
      <c r="JN72" s="18" t="s">
        <v>56</v>
      </c>
      <c r="JO72" s="18" t="s">
        <v>55</v>
      </c>
      <c r="JP72" s="18" t="s">
        <v>56</v>
      </c>
      <c r="JQ72" s="18" t="s">
        <v>55</v>
      </c>
      <c r="JR72" s="18" t="s">
        <v>56</v>
      </c>
      <c r="JS72" s="18" t="s">
        <v>55</v>
      </c>
      <c r="JT72" s="18" t="s">
        <v>56</v>
      </c>
      <c r="JU72" s="18" t="s">
        <v>55</v>
      </c>
      <c r="JV72" s="18" t="s">
        <v>56</v>
      </c>
      <c r="JW72" s="18" t="s">
        <v>55</v>
      </c>
      <c r="JX72" s="18" t="s">
        <v>56</v>
      </c>
      <c r="JY72" s="18" t="s">
        <v>55</v>
      </c>
      <c r="JZ72" s="18" t="s">
        <v>56</v>
      </c>
      <c r="KA72" s="18" t="s">
        <v>55</v>
      </c>
      <c r="KB72" s="18" t="s">
        <v>56</v>
      </c>
      <c r="KC72" s="18" t="s">
        <v>55</v>
      </c>
      <c r="KD72" s="18" t="s">
        <v>56</v>
      </c>
      <c r="KE72" s="18" t="s">
        <v>55</v>
      </c>
      <c r="KF72" s="18" t="s">
        <v>56</v>
      </c>
      <c r="KG72" s="18" t="s">
        <v>55</v>
      </c>
      <c r="KH72" s="18" t="s">
        <v>56</v>
      </c>
      <c r="KI72" s="18" t="s">
        <v>55</v>
      </c>
      <c r="KJ72" s="18" t="s">
        <v>56</v>
      </c>
      <c r="KK72" s="18" t="s">
        <v>55</v>
      </c>
      <c r="KL72" s="18" t="s">
        <v>56</v>
      </c>
      <c r="KM72" s="18" t="s">
        <v>55</v>
      </c>
      <c r="KN72" s="18" t="s">
        <v>56</v>
      </c>
      <c r="KO72" s="18" t="s">
        <v>55</v>
      </c>
      <c r="KP72" s="18" t="s">
        <v>56</v>
      </c>
      <c r="KQ72" s="18" t="s">
        <v>55</v>
      </c>
      <c r="KR72" s="18" t="s">
        <v>56</v>
      </c>
      <c r="KS72" s="18" t="s">
        <v>55</v>
      </c>
      <c r="KT72" s="18" t="s">
        <v>56</v>
      </c>
      <c r="KU72" s="18" t="s">
        <v>55</v>
      </c>
      <c r="KV72" s="17">
        <v>1131.4000000000001</v>
      </c>
      <c r="KW72" s="17">
        <v>44.1</v>
      </c>
      <c r="KX72" s="17">
        <v>2641.7</v>
      </c>
      <c r="KY72" s="17">
        <v>308</v>
      </c>
      <c r="KZ72" s="17">
        <v>2080.6</v>
      </c>
      <c r="LA72" s="17">
        <v>178.5</v>
      </c>
      <c r="LB72" s="10" t="s">
        <v>56</v>
      </c>
      <c r="LC72" s="10" t="s">
        <v>55</v>
      </c>
      <c r="LD72" s="10" t="s">
        <v>56</v>
      </c>
      <c r="LE72" s="10" t="s">
        <v>55</v>
      </c>
      <c r="LF72" s="10" t="s">
        <v>56</v>
      </c>
      <c r="LG72" s="10" t="s">
        <v>55</v>
      </c>
      <c r="LH72" s="10" t="s">
        <v>56</v>
      </c>
      <c r="LI72" s="10" t="s">
        <v>55</v>
      </c>
      <c r="LJ72" s="10" t="s">
        <v>56</v>
      </c>
      <c r="LK72" s="10" t="s">
        <v>55</v>
      </c>
      <c r="LL72" s="10" t="s">
        <v>56</v>
      </c>
      <c r="LM72" s="10" t="s">
        <v>55</v>
      </c>
      <c r="LN72" s="10" t="s">
        <v>56</v>
      </c>
      <c r="LO72" s="10" t="s">
        <v>55</v>
      </c>
      <c r="LP72" s="10" t="s">
        <v>56</v>
      </c>
      <c r="LQ72" s="10" t="s">
        <v>55</v>
      </c>
      <c r="LR72" s="10" t="s">
        <v>56</v>
      </c>
      <c r="LS72" s="10" t="s">
        <v>55</v>
      </c>
      <c r="LT72" s="10" t="s">
        <v>56</v>
      </c>
      <c r="LU72" s="10" t="s">
        <v>55</v>
      </c>
      <c r="LV72" s="10" t="s">
        <v>56</v>
      </c>
      <c r="LW72" s="10" t="s">
        <v>55</v>
      </c>
      <c r="LX72" s="10" t="s">
        <v>56</v>
      </c>
      <c r="LY72" s="10" t="s">
        <v>55</v>
      </c>
      <c r="LZ72" s="10" t="s">
        <v>56</v>
      </c>
      <c r="MA72" s="10" t="s">
        <v>55</v>
      </c>
      <c r="MB72" s="10" t="s">
        <v>56</v>
      </c>
      <c r="MC72" s="10" t="s">
        <v>55</v>
      </c>
      <c r="MD72" s="10" t="s">
        <v>56</v>
      </c>
      <c r="ME72" s="10" t="s">
        <v>55</v>
      </c>
      <c r="MF72" s="10" t="s">
        <v>56</v>
      </c>
      <c r="MG72" s="10" t="s">
        <v>55</v>
      </c>
      <c r="MH72" s="10" t="s">
        <v>56</v>
      </c>
      <c r="MI72" s="10" t="s">
        <v>55</v>
      </c>
      <c r="MJ72" s="10" t="s">
        <v>56</v>
      </c>
      <c r="MK72" s="10" t="s">
        <v>55</v>
      </c>
      <c r="ML72" s="10" t="s">
        <v>56</v>
      </c>
      <c r="MM72" s="10" t="s">
        <v>55</v>
      </c>
      <c r="MN72" s="10" t="s">
        <v>56</v>
      </c>
      <c r="MO72" s="10" t="s">
        <v>55</v>
      </c>
      <c r="MP72" s="10" t="s">
        <v>56</v>
      </c>
      <c r="MQ72" s="10" t="s">
        <v>55</v>
      </c>
      <c r="MR72" s="10" t="s">
        <v>56</v>
      </c>
      <c r="MS72" s="10" t="s">
        <v>55</v>
      </c>
      <c r="MT72" s="10" t="s">
        <v>56</v>
      </c>
      <c r="MU72" s="10" t="s">
        <v>55</v>
      </c>
      <c r="MV72" s="10" t="s">
        <v>56</v>
      </c>
      <c r="MW72" s="10" t="s">
        <v>55</v>
      </c>
      <c r="MX72" s="10" t="s">
        <v>56</v>
      </c>
      <c r="MY72" s="10" t="s">
        <v>55</v>
      </c>
      <c r="MZ72" s="10" t="s">
        <v>56</v>
      </c>
      <c r="NA72" s="10" t="s">
        <v>55</v>
      </c>
      <c r="NB72" s="10" t="s">
        <v>56</v>
      </c>
      <c r="NC72" s="10" t="s">
        <v>55</v>
      </c>
      <c r="ND72" s="10" t="s">
        <v>56</v>
      </c>
      <c r="NE72" s="10" t="s">
        <v>55</v>
      </c>
      <c r="NF72" s="10" t="s">
        <v>56</v>
      </c>
      <c r="NG72" s="10" t="s">
        <v>55</v>
      </c>
      <c r="NH72" s="10" t="s">
        <v>56</v>
      </c>
      <c r="NI72" s="10" t="s">
        <v>55</v>
      </c>
      <c r="NJ72" s="10" t="s">
        <v>56</v>
      </c>
      <c r="NK72" s="10" t="s">
        <v>55</v>
      </c>
      <c r="NL72" s="10" t="s">
        <v>56</v>
      </c>
      <c r="NM72" s="10" t="s">
        <v>55</v>
      </c>
      <c r="NN72" s="10" t="s">
        <v>56</v>
      </c>
      <c r="NO72" s="10" t="s">
        <v>55</v>
      </c>
      <c r="NP72" s="10" t="s">
        <v>56</v>
      </c>
      <c r="NQ72" s="10" t="s">
        <v>55</v>
      </c>
      <c r="NR72" s="10" t="s">
        <v>56</v>
      </c>
      <c r="NS72" s="10" t="s">
        <v>55</v>
      </c>
      <c r="NT72" s="10" t="s">
        <v>56</v>
      </c>
      <c r="NU72" s="10" t="s">
        <v>55</v>
      </c>
    </row>
    <row r="73" spans="1:385" x14ac:dyDescent="0.2">
      <c r="A73" t="s">
        <v>873</v>
      </c>
      <c r="B73" s="1" t="s">
        <v>1037</v>
      </c>
      <c r="C73" s="1" t="s">
        <v>843</v>
      </c>
      <c r="D73" s="39" cm="1">
        <f t="array" ref="D73">SUMPRODUCT((ISNUMBER(F73:NU73))*(MOD(COLUMN(F73:NU73),2)=0))</f>
        <v>57</v>
      </c>
      <c r="E73" s="1">
        <v>115.13</v>
      </c>
      <c r="F73" s="1" t="s">
        <v>56</v>
      </c>
      <c r="G73" s="1" t="s">
        <v>55</v>
      </c>
      <c r="H73" s="1" t="s">
        <v>56</v>
      </c>
      <c r="I73" s="1" t="s">
        <v>55</v>
      </c>
      <c r="J73" s="1" t="s">
        <v>56</v>
      </c>
      <c r="K73" s="1" t="s">
        <v>55</v>
      </c>
      <c r="L73" s="1" t="s">
        <v>56</v>
      </c>
      <c r="M73" s="1" t="s">
        <v>55</v>
      </c>
      <c r="N73" s="1" t="s">
        <v>56</v>
      </c>
      <c r="O73" s="1" t="s">
        <v>55</v>
      </c>
      <c r="P73" s="1" t="s">
        <v>56</v>
      </c>
      <c r="Q73" s="1" t="s">
        <v>55</v>
      </c>
      <c r="R73" s="1" t="s">
        <v>56</v>
      </c>
      <c r="S73" s="1" t="s">
        <v>55</v>
      </c>
      <c r="T73" s="1" t="s">
        <v>56</v>
      </c>
      <c r="U73" s="1" t="s">
        <v>55</v>
      </c>
      <c r="V73" s="1" t="s">
        <v>56</v>
      </c>
      <c r="W73" s="1" t="s">
        <v>55</v>
      </c>
      <c r="X73" s="1" t="s">
        <v>56</v>
      </c>
      <c r="Y73" s="1" t="s">
        <v>55</v>
      </c>
      <c r="Z73" s="1" t="s">
        <v>56</v>
      </c>
      <c r="AA73" s="1" t="s">
        <v>55</v>
      </c>
      <c r="AB73" s="1" t="s">
        <v>56</v>
      </c>
      <c r="AC73" s="1" t="s">
        <v>55</v>
      </c>
      <c r="AD73" s="1" t="s">
        <v>56</v>
      </c>
      <c r="AE73" s="1" t="s">
        <v>55</v>
      </c>
      <c r="AF73" s="1" t="s">
        <v>56</v>
      </c>
      <c r="AG73" s="1" t="s">
        <v>55</v>
      </c>
      <c r="AH73" s="1" t="s">
        <v>56</v>
      </c>
      <c r="AI73" s="1" t="s">
        <v>55</v>
      </c>
      <c r="AJ73" s="1" t="s">
        <v>56</v>
      </c>
      <c r="AK73" s="1" t="s">
        <v>55</v>
      </c>
      <c r="AL73" s="1" t="s">
        <v>56</v>
      </c>
      <c r="AM73" s="1" t="s">
        <v>55</v>
      </c>
      <c r="AN73" s="1" t="s">
        <v>56</v>
      </c>
      <c r="AO73" s="1" t="s">
        <v>55</v>
      </c>
      <c r="AP73" s="1" t="s">
        <v>56</v>
      </c>
      <c r="AQ73" s="1" t="s">
        <v>55</v>
      </c>
      <c r="AR73" s="1" t="s">
        <v>56</v>
      </c>
      <c r="AS73" s="1" t="s">
        <v>55</v>
      </c>
      <c r="AT73" s="1" t="s">
        <v>56</v>
      </c>
      <c r="AU73" s="1" t="s">
        <v>55</v>
      </c>
      <c r="AV73" s="1" t="s">
        <v>56</v>
      </c>
      <c r="AW73" s="1" t="s">
        <v>55</v>
      </c>
      <c r="AX73" s="1" t="s">
        <v>56</v>
      </c>
      <c r="AY73" s="1" t="s">
        <v>55</v>
      </c>
      <c r="AZ73" s="1" t="s">
        <v>56</v>
      </c>
      <c r="BA73" s="1" t="s">
        <v>55</v>
      </c>
      <c r="BB73" s="1" t="s">
        <v>56</v>
      </c>
      <c r="BC73" s="1" t="s">
        <v>55</v>
      </c>
      <c r="BD73" s="1" t="s">
        <v>56</v>
      </c>
      <c r="BE73" s="1" t="s">
        <v>55</v>
      </c>
      <c r="BF73" s="1" t="s">
        <v>56</v>
      </c>
      <c r="BG73" s="1" t="s">
        <v>55</v>
      </c>
      <c r="BH73" s="1" t="s">
        <v>56</v>
      </c>
      <c r="BI73" s="1" t="s">
        <v>55</v>
      </c>
      <c r="BJ73" s="1" t="s">
        <v>56</v>
      </c>
      <c r="BK73" s="1" t="s">
        <v>55</v>
      </c>
      <c r="BL73" s="1" t="s">
        <v>56</v>
      </c>
      <c r="BM73" s="1" t="s">
        <v>55</v>
      </c>
      <c r="BN73" s="1" t="s">
        <v>56</v>
      </c>
      <c r="BO73" s="1" t="s">
        <v>55</v>
      </c>
      <c r="BP73" s="1" t="s">
        <v>56</v>
      </c>
      <c r="BQ73" s="1" t="s">
        <v>55</v>
      </c>
      <c r="BR73" s="1" t="s">
        <v>56</v>
      </c>
      <c r="BS73" s="1" t="s">
        <v>55</v>
      </c>
      <c r="BT73" s="1" t="s">
        <v>56</v>
      </c>
      <c r="BU73" s="1" t="s">
        <v>55</v>
      </c>
      <c r="BV73" s="1" t="s">
        <v>56</v>
      </c>
      <c r="BW73" s="1" t="s">
        <v>55</v>
      </c>
      <c r="BX73" s="1" t="s">
        <v>56</v>
      </c>
      <c r="BY73" s="1" t="s">
        <v>55</v>
      </c>
      <c r="BZ73" s="1" t="s">
        <v>56</v>
      </c>
      <c r="CA73" s="1" t="s">
        <v>55</v>
      </c>
      <c r="CB73" s="1" t="s">
        <v>56</v>
      </c>
      <c r="CC73" s="1" t="s">
        <v>55</v>
      </c>
      <c r="CD73" s="1" t="s">
        <v>56</v>
      </c>
      <c r="CE73" s="1" t="s">
        <v>55</v>
      </c>
      <c r="CF73" s="1" t="s">
        <v>56</v>
      </c>
      <c r="CG73" s="1" t="s">
        <v>55</v>
      </c>
      <c r="CH73" s="1" t="s">
        <v>56</v>
      </c>
      <c r="CI73" s="1" t="s">
        <v>55</v>
      </c>
      <c r="CJ73" s="1" t="s">
        <v>56</v>
      </c>
      <c r="CK73" s="1" t="s">
        <v>55</v>
      </c>
      <c r="CL73" s="1" t="s">
        <v>56</v>
      </c>
      <c r="CM73" s="1" t="s">
        <v>55</v>
      </c>
      <c r="CN73" s="1" t="s">
        <v>56</v>
      </c>
      <c r="CO73" s="1" t="s">
        <v>55</v>
      </c>
      <c r="CP73" s="1" t="s">
        <v>56</v>
      </c>
      <c r="CQ73" s="1" t="s">
        <v>55</v>
      </c>
      <c r="CR73" s="1" t="s">
        <v>56</v>
      </c>
      <c r="CS73" s="1" t="s">
        <v>55</v>
      </c>
      <c r="CT73" s="1" t="s">
        <v>56</v>
      </c>
      <c r="CU73" s="1" t="s">
        <v>55</v>
      </c>
      <c r="CV73" s="1" t="s">
        <v>56</v>
      </c>
      <c r="CW73" s="1" t="s">
        <v>55</v>
      </c>
      <c r="CX73" s="1" t="s">
        <v>56</v>
      </c>
      <c r="CY73" s="1" t="s">
        <v>55</v>
      </c>
      <c r="CZ73" s="1" t="s">
        <v>56</v>
      </c>
      <c r="DA73" s="1" t="s">
        <v>55</v>
      </c>
      <c r="DB73" s="1" t="s">
        <v>56</v>
      </c>
      <c r="DC73" s="1" t="s">
        <v>55</v>
      </c>
      <c r="DD73" s="1" t="s">
        <v>56</v>
      </c>
      <c r="DE73" s="1" t="s">
        <v>55</v>
      </c>
      <c r="DF73" s="1" t="s">
        <v>56</v>
      </c>
      <c r="DG73" s="1" t="s">
        <v>55</v>
      </c>
      <c r="DH73" s="1" t="s">
        <v>56</v>
      </c>
      <c r="DI73" s="1" t="s">
        <v>55</v>
      </c>
      <c r="DJ73" s="1" t="s">
        <v>56</v>
      </c>
      <c r="DK73" s="1" t="s">
        <v>55</v>
      </c>
      <c r="DL73" s="1" t="s">
        <v>56</v>
      </c>
      <c r="DM73" s="1" t="s">
        <v>55</v>
      </c>
      <c r="DN73" s="1" t="s">
        <v>56</v>
      </c>
      <c r="DO73" s="1" t="s">
        <v>55</v>
      </c>
      <c r="DP73" s="1" t="s">
        <v>56</v>
      </c>
      <c r="DQ73" s="1" t="s">
        <v>55</v>
      </c>
      <c r="DR73" s="1" t="s">
        <v>56</v>
      </c>
      <c r="DS73" s="1" t="s">
        <v>55</v>
      </c>
      <c r="DT73" s="1" t="s">
        <v>56</v>
      </c>
      <c r="DU73" s="1" t="s">
        <v>55</v>
      </c>
      <c r="DV73" s="1" t="s">
        <v>56</v>
      </c>
      <c r="DW73" s="1" t="s">
        <v>55</v>
      </c>
      <c r="DX73" s="1" t="s">
        <v>56</v>
      </c>
      <c r="DY73" s="1" t="s">
        <v>55</v>
      </c>
      <c r="DZ73" s="1" t="s">
        <v>56</v>
      </c>
      <c r="EA73" s="1" t="s">
        <v>55</v>
      </c>
      <c r="EB73" s="1" t="s">
        <v>56</v>
      </c>
      <c r="EC73" s="1" t="s">
        <v>55</v>
      </c>
      <c r="ED73" s="1" t="s">
        <v>56</v>
      </c>
      <c r="EE73" s="1" t="s">
        <v>55</v>
      </c>
      <c r="EF73" s="1" t="s">
        <v>56</v>
      </c>
      <c r="EG73" s="1" t="s">
        <v>55</v>
      </c>
      <c r="EH73" s="1" t="s">
        <v>56</v>
      </c>
      <c r="EI73" s="1" t="s">
        <v>55</v>
      </c>
      <c r="EJ73" s="1" t="s">
        <v>56</v>
      </c>
      <c r="EK73" s="1" t="s">
        <v>55</v>
      </c>
      <c r="EL73" s="1" t="s">
        <v>56</v>
      </c>
      <c r="EM73" s="1" t="s">
        <v>55</v>
      </c>
      <c r="EN73" s="1" t="s">
        <v>56</v>
      </c>
      <c r="EO73" s="1" t="s">
        <v>55</v>
      </c>
      <c r="EP73" s="1" t="s">
        <v>56</v>
      </c>
      <c r="EQ73" s="1" t="s">
        <v>55</v>
      </c>
      <c r="ER73" s="1" t="s">
        <v>56</v>
      </c>
      <c r="ES73" s="1" t="s">
        <v>55</v>
      </c>
      <c r="ET73" s="1" t="s">
        <v>56</v>
      </c>
      <c r="EU73" s="1" t="s">
        <v>55</v>
      </c>
      <c r="EV73" s="1" t="s">
        <v>56</v>
      </c>
      <c r="EW73" s="1" t="s">
        <v>55</v>
      </c>
      <c r="EX73" s="1" t="s">
        <v>56</v>
      </c>
      <c r="EY73" s="1" t="s">
        <v>55</v>
      </c>
      <c r="EZ73" s="1" t="s">
        <v>56</v>
      </c>
      <c r="FA73" s="1" t="s">
        <v>55</v>
      </c>
      <c r="FB73" s="1" t="s">
        <v>56</v>
      </c>
      <c r="FC73" s="1" t="s">
        <v>55</v>
      </c>
      <c r="FD73" s="1" t="s">
        <v>56</v>
      </c>
      <c r="FE73" s="1" t="s">
        <v>55</v>
      </c>
      <c r="FF73" s="1" t="s">
        <v>56</v>
      </c>
      <c r="FG73" s="1" t="s">
        <v>55</v>
      </c>
      <c r="FH73" s="1" t="s">
        <v>56</v>
      </c>
      <c r="FI73" s="1" t="s">
        <v>55</v>
      </c>
      <c r="FJ73" s="1" t="s">
        <v>56</v>
      </c>
      <c r="FK73" s="1" t="s">
        <v>55</v>
      </c>
      <c r="FL73" s="1" t="s">
        <v>56</v>
      </c>
      <c r="FM73" s="1" t="s">
        <v>55</v>
      </c>
      <c r="FN73" s="1" t="s">
        <v>56</v>
      </c>
      <c r="FO73" s="1" t="s">
        <v>55</v>
      </c>
      <c r="FP73" s="1" t="s">
        <v>56</v>
      </c>
      <c r="FQ73" s="1" t="s">
        <v>55</v>
      </c>
      <c r="FR73" s="1" t="s">
        <v>56</v>
      </c>
      <c r="FS73" s="1" t="s">
        <v>55</v>
      </c>
      <c r="FT73" s="1" t="s">
        <v>56</v>
      </c>
      <c r="FU73" s="1" t="s">
        <v>55</v>
      </c>
      <c r="FV73" s="1" t="s">
        <v>56</v>
      </c>
      <c r="FW73" s="1" t="s">
        <v>55</v>
      </c>
      <c r="FX73" s="1" t="s">
        <v>56</v>
      </c>
      <c r="FY73" s="1" t="s">
        <v>55</v>
      </c>
      <c r="FZ73" s="1" t="s">
        <v>56</v>
      </c>
      <c r="GA73" s="1" t="s">
        <v>55</v>
      </c>
      <c r="GB73" s="1" t="s">
        <v>56</v>
      </c>
      <c r="GC73" s="1" t="s">
        <v>55</v>
      </c>
      <c r="GD73" s="1" t="s">
        <v>56</v>
      </c>
      <c r="GE73" s="1" t="s">
        <v>55</v>
      </c>
      <c r="GF73" s="1" t="s">
        <v>56</v>
      </c>
      <c r="GG73" s="1" t="s">
        <v>55</v>
      </c>
      <c r="GH73" s="1" t="s">
        <v>56</v>
      </c>
      <c r="GI73" s="1" t="s">
        <v>55</v>
      </c>
      <c r="GJ73" s="1" t="s">
        <v>56</v>
      </c>
      <c r="GK73" s="1" t="s">
        <v>55</v>
      </c>
      <c r="GL73" s="1" t="s">
        <v>56</v>
      </c>
      <c r="GM73" s="1" t="s">
        <v>55</v>
      </c>
      <c r="GN73" s="1" t="s">
        <v>56</v>
      </c>
      <c r="GO73" s="1" t="s">
        <v>55</v>
      </c>
      <c r="GP73" s="1" t="s">
        <v>56</v>
      </c>
      <c r="GQ73" s="1" t="s">
        <v>55</v>
      </c>
      <c r="GR73" s="1" t="s">
        <v>56</v>
      </c>
      <c r="GS73" s="1" t="s">
        <v>55</v>
      </c>
      <c r="GT73" s="1" t="s">
        <v>56</v>
      </c>
      <c r="GU73" s="1" t="s">
        <v>55</v>
      </c>
      <c r="GV73" s="17" t="s">
        <v>56</v>
      </c>
      <c r="GW73" s="17" t="s">
        <v>55</v>
      </c>
      <c r="GX73" s="1" t="s">
        <v>56</v>
      </c>
      <c r="GY73" s="1" t="s">
        <v>55</v>
      </c>
      <c r="GZ73" s="10" t="s">
        <v>56</v>
      </c>
      <c r="HA73" s="10" t="s">
        <v>55</v>
      </c>
      <c r="HB73" s="10" t="s">
        <v>56</v>
      </c>
      <c r="HC73" s="10" t="s">
        <v>55</v>
      </c>
      <c r="HD73" s="10" t="s">
        <v>56</v>
      </c>
      <c r="HE73" s="10" t="s">
        <v>55</v>
      </c>
      <c r="HF73" s="10" t="s">
        <v>56</v>
      </c>
      <c r="HG73" s="10" t="s">
        <v>55</v>
      </c>
      <c r="HH73" s="10" t="s">
        <v>56</v>
      </c>
      <c r="HI73" s="10" t="s">
        <v>55</v>
      </c>
      <c r="HJ73" s="10" t="s">
        <v>56</v>
      </c>
      <c r="HK73" s="10" t="s">
        <v>55</v>
      </c>
      <c r="HL73" s="10" t="s">
        <v>56</v>
      </c>
      <c r="HM73" s="10" t="s">
        <v>55</v>
      </c>
      <c r="HN73" s="10" t="s">
        <v>56</v>
      </c>
      <c r="HO73" s="10" t="s">
        <v>55</v>
      </c>
      <c r="HP73" s="10">
        <v>120</v>
      </c>
      <c r="HQ73" s="10">
        <v>12</v>
      </c>
      <c r="HR73" s="10">
        <v>134</v>
      </c>
      <c r="HS73" s="10">
        <v>3</v>
      </c>
      <c r="HT73" s="10">
        <v>27.7</v>
      </c>
      <c r="HU73" s="10">
        <v>1.6</v>
      </c>
      <c r="HV73" s="10">
        <v>9.1999999999999993</v>
      </c>
      <c r="HW73" s="10">
        <v>0.8</v>
      </c>
      <c r="HX73" s="10">
        <v>1.42</v>
      </c>
      <c r="HY73" s="10">
        <v>0.14000000000000001</v>
      </c>
      <c r="HZ73" s="10">
        <v>37.6</v>
      </c>
      <c r="IA73" s="10">
        <v>1.1000000000000001</v>
      </c>
      <c r="IB73" s="10">
        <v>24.9</v>
      </c>
      <c r="IC73" s="10">
        <v>1.1000000000000001</v>
      </c>
      <c r="ID73" s="1" t="s">
        <v>56</v>
      </c>
      <c r="IE73" s="1" t="s">
        <v>55</v>
      </c>
      <c r="IF73" s="4" t="s">
        <v>56</v>
      </c>
      <c r="IG73" s="4" t="s">
        <v>55</v>
      </c>
      <c r="IH73" s="4" t="s">
        <v>56</v>
      </c>
      <c r="II73" s="4" t="s">
        <v>55</v>
      </c>
      <c r="IJ73" s="4" t="s">
        <v>56</v>
      </c>
      <c r="IK73" s="4" t="s">
        <v>55</v>
      </c>
      <c r="IL73" s="4" t="s">
        <v>56</v>
      </c>
      <c r="IM73" s="4" t="s">
        <v>55</v>
      </c>
      <c r="IN73" s="4" t="s">
        <v>56</v>
      </c>
      <c r="IO73" s="4" t="s">
        <v>55</v>
      </c>
      <c r="IP73" s="4" t="s">
        <v>56</v>
      </c>
      <c r="IQ73" s="4" t="s">
        <v>55</v>
      </c>
      <c r="IR73" s="4">
        <v>1.66</v>
      </c>
      <c r="IS73" s="4">
        <v>0.24</v>
      </c>
      <c r="IT73" s="18" t="s">
        <v>56</v>
      </c>
      <c r="IU73" s="18" t="s">
        <v>55</v>
      </c>
      <c r="IV73" s="4">
        <v>4.43</v>
      </c>
      <c r="IW73" s="4" t="s">
        <v>55</v>
      </c>
      <c r="IX73" s="4" t="s">
        <v>56</v>
      </c>
      <c r="IY73" s="4" t="s">
        <v>55</v>
      </c>
      <c r="IZ73" s="4" t="s">
        <v>56</v>
      </c>
      <c r="JA73" s="4" t="s">
        <v>55</v>
      </c>
      <c r="JB73" s="4" t="s">
        <v>56</v>
      </c>
      <c r="JC73" s="4" t="s">
        <v>55</v>
      </c>
      <c r="JD73" s="4" t="s">
        <v>56</v>
      </c>
      <c r="JE73" s="4" t="s">
        <v>55</v>
      </c>
      <c r="JF73" s="4">
        <v>0.115</v>
      </c>
      <c r="JG73" s="4" t="s">
        <v>55</v>
      </c>
      <c r="JH73" s="4">
        <v>9.8000000000000004E-2</v>
      </c>
      <c r="JI73" s="4" t="s">
        <v>55</v>
      </c>
      <c r="JJ73" s="4">
        <v>0.13800000000000001</v>
      </c>
      <c r="JK73" s="4" t="s">
        <v>55</v>
      </c>
      <c r="JL73" s="4">
        <v>0.84799999999999998</v>
      </c>
      <c r="JM73" s="4" t="s">
        <v>55</v>
      </c>
      <c r="JN73" s="4">
        <v>0.435</v>
      </c>
      <c r="JO73" s="4" t="s">
        <v>55</v>
      </c>
      <c r="JP73" s="4">
        <v>0.36499999999999999</v>
      </c>
      <c r="JQ73" s="4" t="s">
        <v>55</v>
      </c>
      <c r="JR73" s="4">
        <v>0.47299999999999998</v>
      </c>
      <c r="JS73" s="4" t="s">
        <v>55</v>
      </c>
      <c r="JT73" s="4">
        <v>0.438</v>
      </c>
      <c r="JU73" s="4" t="s">
        <v>55</v>
      </c>
      <c r="JV73" s="4" t="s">
        <v>54</v>
      </c>
      <c r="JW73" s="4" t="s">
        <v>55</v>
      </c>
      <c r="JX73" s="26">
        <v>21325.641649720415</v>
      </c>
      <c r="JY73" s="26">
        <v>2733.3129388338325</v>
      </c>
      <c r="JZ73" s="26">
        <v>18273.4696466934</v>
      </c>
      <c r="KA73" s="26">
        <v>3095.5595336323627</v>
      </c>
      <c r="KB73" s="26">
        <v>16537.309881054487</v>
      </c>
      <c r="KC73" s="26">
        <v>2724.9992335467082</v>
      </c>
      <c r="KD73" s="26">
        <v>13315.527328076167</v>
      </c>
      <c r="KE73" s="26">
        <v>3252.7475314833223</v>
      </c>
      <c r="KF73" s="26">
        <v>17146.258813938941</v>
      </c>
      <c r="KG73" s="26">
        <v>4046.4810626308422</v>
      </c>
      <c r="KH73" s="4">
        <f>95.3*1000</f>
        <v>95300</v>
      </c>
      <c r="KI73" s="4">
        <f>9.9*1000</f>
        <v>9900</v>
      </c>
      <c r="KJ73" s="4">
        <f>536.3*1000</f>
        <v>536300</v>
      </c>
      <c r="KK73" s="4">
        <f>45*1000</f>
        <v>45000</v>
      </c>
      <c r="KL73" s="4">
        <f>73.5*1000</f>
        <v>73500</v>
      </c>
      <c r="KM73" s="4">
        <f>8.2*1000</f>
        <v>8200</v>
      </c>
      <c r="KN73" s="4">
        <f>91.9*1000</f>
        <v>91900</v>
      </c>
      <c r="KO73" s="4">
        <f>8.6*1000</f>
        <v>8600</v>
      </c>
      <c r="KP73" s="4">
        <f>258.8*1000</f>
        <v>258800</v>
      </c>
      <c r="KQ73" s="4">
        <f>23.8*1000</f>
        <v>23800</v>
      </c>
      <c r="KR73" s="17" t="s">
        <v>56</v>
      </c>
      <c r="KS73" s="17" t="s">
        <v>55</v>
      </c>
      <c r="KT73" s="17" t="s">
        <v>56</v>
      </c>
      <c r="KU73" s="17" t="s">
        <v>55</v>
      </c>
      <c r="KV73" s="4" t="s">
        <v>57</v>
      </c>
      <c r="KW73" s="4" t="s">
        <v>55</v>
      </c>
      <c r="KX73" s="4" t="s">
        <v>57</v>
      </c>
      <c r="KY73" s="4" t="s">
        <v>55</v>
      </c>
      <c r="KZ73" s="4" t="s">
        <v>57</v>
      </c>
      <c r="LA73" s="4" t="s">
        <v>55</v>
      </c>
      <c r="LB73" s="10" t="s">
        <v>56</v>
      </c>
      <c r="LC73" s="10" t="s">
        <v>55</v>
      </c>
      <c r="LD73" s="10" t="s">
        <v>56</v>
      </c>
      <c r="LE73" s="10" t="s">
        <v>55</v>
      </c>
      <c r="LF73" s="10" t="s">
        <v>56</v>
      </c>
      <c r="LG73" s="10" t="s">
        <v>55</v>
      </c>
      <c r="LH73" s="10" t="s">
        <v>56</v>
      </c>
      <c r="LI73" s="10" t="s">
        <v>55</v>
      </c>
      <c r="LJ73" s="10">
        <f>((4.54/100)*1000000000)/E73</f>
        <v>394336.83661947364</v>
      </c>
      <c r="LK73" s="10" t="s">
        <v>162</v>
      </c>
      <c r="LL73" s="10">
        <f>(22.6*1000000)/E73</f>
        <v>196299.8349691653</v>
      </c>
      <c r="LM73" s="10">
        <f>(2.98*1000000)/E73</f>
        <v>25883.78354903153</v>
      </c>
      <c r="LN73" s="10">
        <f>((1.45/100)*1000000000)/E73</f>
        <v>125944.58438287153</v>
      </c>
      <c r="LO73" s="10" t="s">
        <v>162</v>
      </c>
      <c r="LP73" s="10">
        <f>((8.34/100)*1000000000)/E73</f>
        <v>724398.50603665423</v>
      </c>
      <c r="LQ73" s="10" t="s">
        <v>55</v>
      </c>
      <c r="LR73" s="10">
        <f>((3.97/100)*1000000000)/E73</f>
        <v>344827.58620689658</v>
      </c>
      <c r="LS73" s="10" t="s">
        <v>55</v>
      </c>
      <c r="LT73" s="10">
        <f>((8.32/100)*1000000000)/E73</f>
        <v>722661.33935551124</v>
      </c>
      <c r="LU73" s="10" t="s">
        <v>55</v>
      </c>
      <c r="LV73" s="10">
        <f>((93/100)*1000000)/E73</f>
        <v>8077.8250673152088</v>
      </c>
      <c r="LW73" s="10" t="s">
        <v>55</v>
      </c>
      <c r="LX73" s="10">
        <f>((103/100)*1000000)/E73</f>
        <v>8946.4084078867363</v>
      </c>
      <c r="LY73" s="10" t="s">
        <v>55</v>
      </c>
      <c r="LZ73" s="10">
        <f>((104/100)*1000000)/E73</f>
        <v>9033.2667419438894</v>
      </c>
      <c r="MA73" s="10" t="s">
        <v>55</v>
      </c>
      <c r="MB73" s="10">
        <f>((90/100)*1000000)/E73</f>
        <v>7817.2500651437513</v>
      </c>
      <c r="MC73" s="10" t="s">
        <v>55</v>
      </c>
      <c r="MD73" s="4">
        <v>13663</v>
      </c>
      <c r="ME73" s="4" t="s">
        <v>55</v>
      </c>
      <c r="MF73" s="4">
        <v>14041</v>
      </c>
      <c r="MG73" s="4" t="s">
        <v>55</v>
      </c>
      <c r="MH73" s="4">
        <v>10599</v>
      </c>
      <c r="MI73" s="4" t="s">
        <v>55</v>
      </c>
      <c r="MJ73" s="4">
        <v>10183</v>
      </c>
      <c r="MK73" s="4" t="s">
        <v>55</v>
      </c>
      <c r="ML73" s="4">
        <v>10931</v>
      </c>
      <c r="MM73" s="4" t="s">
        <v>55</v>
      </c>
      <c r="MN73" s="4">
        <v>12434</v>
      </c>
      <c r="MO73" s="4" t="s">
        <v>55</v>
      </c>
      <c r="MP73" s="4">
        <v>12924</v>
      </c>
      <c r="MQ73" s="4" t="s">
        <v>55</v>
      </c>
      <c r="MR73" s="4">
        <v>11698</v>
      </c>
      <c r="MS73" s="4" t="s">
        <v>55</v>
      </c>
      <c r="MT73" s="4">
        <v>17156</v>
      </c>
      <c r="MU73" s="4" t="s">
        <v>55</v>
      </c>
      <c r="MV73" s="4">
        <v>11432</v>
      </c>
      <c r="MW73" s="4" t="s">
        <v>55</v>
      </c>
      <c r="MX73" s="4">
        <v>9043</v>
      </c>
      <c r="MY73" s="4" t="s">
        <v>55</v>
      </c>
      <c r="MZ73" s="4">
        <v>10817</v>
      </c>
      <c r="NA73" s="4" t="s">
        <v>55</v>
      </c>
      <c r="NB73" s="10">
        <f>(20.8*1000000)/E73</f>
        <v>180665.33483887781</v>
      </c>
      <c r="NC73" s="10" t="s">
        <v>55</v>
      </c>
      <c r="ND73" s="10">
        <f>(25.3*1000000)/E73</f>
        <v>219751.58516459656</v>
      </c>
      <c r="NE73" s="10" t="s">
        <v>55</v>
      </c>
      <c r="NF73" s="10">
        <f>(27.6*1000000)/E73</f>
        <v>239729.0019977417</v>
      </c>
      <c r="NG73" s="10" t="s">
        <v>55</v>
      </c>
      <c r="NH73" s="10">
        <f>(3.16*1000000)/E73</f>
        <v>27447.233562060283</v>
      </c>
      <c r="NI73" s="10" t="s">
        <v>55</v>
      </c>
      <c r="NJ73" s="10">
        <f>(54.6*1000000)/E73</f>
        <v>474246.50395205419</v>
      </c>
      <c r="NK73" s="10" t="s">
        <v>55</v>
      </c>
      <c r="NL73" s="10">
        <f>(10.3*1000000)/E73</f>
        <v>89464.084078867367</v>
      </c>
      <c r="NM73" s="4" t="s">
        <v>55</v>
      </c>
      <c r="NN73" s="4">
        <f>((0.45/100)*1000000)/E73</f>
        <v>39.086250325718765</v>
      </c>
      <c r="NO73" s="4" t="s">
        <v>55</v>
      </c>
      <c r="NP73" s="4">
        <f>(61.6*1000000)/E73</f>
        <v>535047.33779206115</v>
      </c>
      <c r="NQ73" s="4">
        <f>(1.43*1000000)/E73</f>
        <v>12420.741770172848</v>
      </c>
      <c r="NR73" s="10" t="s">
        <v>56</v>
      </c>
      <c r="NS73" s="10" t="s">
        <v>55</v>
      </c>
      <c r="NT73" s="10" t="s">
        <v>56</v>
      </c>
      <c r="NU73" s="10" t="s">
        <v>55</v>
      </c>
    </row>
    <row r="74" spans="1:385" x14ac:dyDescent="0.2">
      <c r="A74" t="s">
        <v>591</v>
      </c>
      <c r="B74" s="32" t="s">
        <v>1037</v>
      </c>
      <c r="C74" s="1" t="s">
        <v>859</v>
      </c>
      <c r="D74" s="39" cm="1">
        <f t="array" ref="D74">SUMPRODUCT((ISNUMBER(F74:NU74))*(MOD(COLUMN(F74:NU74),2)=0))</f>
        <v>13</v>
      </c>
      <c r="E74" s="1">
        <v>131.13</v>
      </c>
      <c r="F74" s="17" t="s">
        <v>56</v>
      </c>
      <c r="G74" s="17" t="s">
        <v>55</v>
      </c>
      <c r="H74" s="17" t="s">
        <v>56</v>
      </c>
      <c r="I74" s="17" t="s">
        <v>55</v>
      </c>
      <c r="J74" s="17" t="s">
        <v>56</v>
      </c>
      <c r="K74" s="17" t="s">
        <v>55</v>
      </c>
      <c r="L74" s="17" t="s">
        <v>56</v>
      </c>
      <c r="M74" s="17" t="s">
        <v>55</v>
      </c>
      <c r="N74" s="17" t="s">
        <v>56</v>
      </c>
      <c r="O74" s="17" t="s">
        <v>55</v>
      </c>
      <c r="P74" s="17" t="s">
        <v>56</v>
      </c>
      <c r="Q74" s="17" t="s">
        <v>55</v>
      </c>
      <c r="R74" s="17" t="s">
        <v>56</v>
      </c>
      <c r="S74" s="17" t="s">
        <v>55</v>
      </c>
      <c r="T74" s="17" t="s">
        <v>56</v>
      </c>
      <c r="U74" s="17" t="s">
        <v>55</v>
      </c>
      <c r="V74" s="17" t="s">
        <v>56</v>
      </c>
      <c r="W74" s="17" t="s">
        <v>55</v>
      </c>
      <c r="X74" s="17" t="s">
        <v>56</v>
      </c>
      <c r="Y74" s="17" t="s">
        <v>55</v>
      </c>
      <c r="Z74" s="17" t="s">
        <v>56</v>
      </c>
      <c r="AA74" s="17" t="s">
        <v>55</v>
      </c>
      <c r="AB74" s="17" t="s">
        <v>56</v>
      </c>
      <c r="AC74" s="17" t="s">
        <v>55</v>
      </c>
      <c r="AD74" s="17" t="s">
        <v>56</v>
      </c>
      <c r="AE74" s="17" t="s">
        <v>55</v>
      </c>
      <c r="AF74" s="17" t="s">
        <v>56</v>
      </c>
      <c r="AG74" s="17" t="s">
        <v>55</v>
      </c>
      <c r="AH74" s="17" t="s">
        <v>56</v>
      </c>
      <c r="AI74" s="17" t="s">
        <v>55</v>
      </c>
      <c r="AJ74" s="17" t="s">
        <v>56</v>
      </c>
      <c r="AK74" s="17" t="s">
        <v>55</v>
      </c>
      <c r="AL74" s="17" t="s">
        <v>56</v>
      </c>
      <c r="AM74" s="17" t="s">
        <v>55</v>
      </c>
      <c r="AN74" s="17" t="s">
        <v>56</v>
      </c>
      <c r="AO74" s="17" t="s">
        <v>55</v>
      </c>
      <c r="AP74" s="17" t="s">
        <v>56</v>
      </c>
      <c r="AQ74" s="17" t="s">
        <v>55</v>
      </c>
      <c r="AR74" s="10" t="s">
        <v>56</v>
      </c>
      <c r="AS74" s="10" t="s">
        <v>55</v>
      </c>
      <c r="AT74" s="17" t="s">
        <v>56</v>
      </c>
      <c r="AU74" s="17" t="s">
        <v>55</v>
      </c>
      <c r="AV74" s="17" t="s">
        <v>56</v>
      </c>
      <c r="AW74" s="17" t="s">
        <v>55</v>
      </c>
      <c r="AX74" s="17" t="s">
        <v>56</v>
      </c>
      <c r="AY74" s="17" t="s">
        <v>55</v>
      </c>
      <c r="AZ74" s="17" t="s">
        <v>56</v>
      </c>
      <c r="BA74" s="17" t="s">
        <v>55</v>
      </c>
      <c r="BB74" s="17" t="s">
        <v>56</v>
      </c>
      <c r="BC74" s="17" t="s">
        <v>55</v>
      </c>
      <c r="BD74" s="17" t="s">
        <v>56</v>
      </c>
      <c r="BE74" s="17" t="s">
        <v>55</v>
      </c>
      <c r="BF74" s="17" t="s">
        <v>56</v>
      </c>
      <c r="BG74" s="17" t="s">
        <v>55</v>
      </c>
      <c r="BH74" s="17" t="s">
        <v>56</v>
      </c>
      <c r="BI74" s="17" t="s">
        <v>55</v>
      </c>
      <c r="BJ74" s="17" t="s">
        <v>56</v>
      </c>
      <c r="BK74" s="17" t="s">
        <v>55</v>
      </c>
      <c r="BL74" s="17" t="s">
        <v>56</v>
      </c>
      <c r="BM74" s="17" t="s">
        <v>55</v>
      </c>
      <c r="BN74" s="17" t="s">
        <v>56</v>
      </c>
      <c r="BO74" s="17" t="s">
        <v>55</v>
      </c>
      <c r="BP74" s="17" t="s">
        <v>56</v>
      </c>
      <c r="BQ74" s="17" t="s">
        <v>55</v>
      </c>
      <c r="BR74" s="17" t="s">
        <v>56</v>
      </c>
      <c r="BS74" s="17" t="s">
        <v>55</v>
      </c>
      <c r="BT74" s="17" t="s">
        <v>56</v>
      </c>
      <c r="BU74" s="17" t="s">
        <v>55</v>
      </c>
      <c r="BV74" s="17" t="s">
        <v>56</v>
      </c>
      <c r="BW74" s="17" t="s">
        <v>55</v>
      </c>
      <c r="BX74" s="17" t="s">
        <v>56</v>
      </c>
      <c r="BY74" s="17" t="s">
        <v>55</v>
      </c>
      <c r="BZ74" s="17" t="s">
        <v>56</v>
      </c>
      <c r="CA74" s="17" t="s">
        <v>55</v>
      </c>
      <c r="CB74" s="17" t="s">
        <v>56</v>
      </c>
      <c r="CC74" s="17" t="s">
        <v>55</v>
      </c>
      <c r="CD74" s="17" t="s">
        <v>56</v>
      </c>
      <c r="CE74" s="17" t="s">
        <v>55</v>
      </c>
      <c r="CF74" s="17" t="s">
        <v>56</v>
      </c>
      <c r="CG74" s="17" t="s">
        <v>55</v>
      </c>
      <c r="CH74" s="17" t="s">
        <v>56</v>
      </c>
      <c r="CI74" s="17" t="s">
        <v>55</v>
      </c>
      <c r="CJ74" s="17" t="s">
        <v>56</v>
      </c>
      <c r="CK74" s="17" t="s">
        <v>55</v>
      </c>
      <c r="CL74" s="17" t="s">
        <v>56</v>
      </c>
      <c r="CM74" s="17" t="s">
        <v>55</v>
      </c>
      <c r="CN74" s="17" t="s">
        <v>56</v>
      </c>
      <c r="CO74" s="17" t="s">
        <v>55</v>
      </c>
      <c r="CP74" s="17" t="s">
        <v>56</v>
      </c>
      <c r="CQ74" s="17" t="s">
        <v>55</v>
      </c>
      <c r="CR74" s="17" t="s">
        <v>56</v>
      </c>
      <c r="CS74" s="17" t="s">
        <v>55</v>
      </c>
      <c r="CT74" s="17" t="s">
        <v>56</v>
      </c>
      <c r="CU74" s="17" t="s">
        <v>55</v>
      </c>
      <c r="CV74" s="17" t="s">
        <v>56</v>
      </c>
      <c r="CW74" s="17" t="s">
        <v>55</v>
      </c>
      <c r="CX74" s="17" t="s">
        <v>56</v>
      </c>
      <c r="CY74" s="17" t="s">
        <v>55</v>
      </c>
      <c r="CZ74" s="17" t="s">
        <v>56</v>
      </c>
      <c r="DA74" s="17" t="s">
        <v>55</v>
      </c>
      <c r="DB74" s="17" t="s">
        <v>56</v>
      </c>
      <c r="DC74" s="17" t="s">
        <v>55</v>
      </c>
      <c r="DD74" s="17" t="s">
        <v>56</v>
      </c>
      <c r="DE74" s="17" t="s">
        <v>55</v>
      </c>
      <c r="DF74" s="17" t="s">
        <v>56</v>
      </c>
      <c r="DG74" s="17" t="s">
        <v>55</v>
      </c>
      <c r="DH74" s="17" t="s">
        <v>56</v>
      </c>
      <c r="DI74" s="17" t="s">
        <v>55</v>
      </c>
      <c r="DJ74" s="17" t="s">
        <v>56</v>
      </c>
      <c r="DK74" s="17" t="s">
        <v>55</v>
      </c>
      <c r="DL74" s="17" t="s">
        <v>56</v>
      </c>
      <c r="DM74" s="17" t="s">
        <v>55</v>
      </c>
      <c r="DN74" s="17" t="s">
        <v>56</v>
      </c>
      <c r="DO74" s="17" t="s">
        <v>55</v>
      </c>
      <c r="DP74" s="17" t="s">
        <v>56</v>
      </c>
      <c r="DQ74" s="17" t="s">
        <v>55</v>
      </c>
      <c r="DR74" s="17" t="s">
        <v>56</v>
      </c>
      <c r="DS74" s="17" t="s">
        <v>55</v>
      </c>
      <c r="DT74" s="17" t="s">
        <v>56</v>
      </c>
      <c r="DU74" s="17" t="s">
        <v>55</v>
      </c>
      <c r="DV74" s="17" t="s">
        <v>56</v>
      </c>
      <c r="DW74" s="17" t="s">
        <v>55</v>
      </c>
      <c r="DX74" s="17" t="s">
        <v>56</v>
      </c>
      <c r="DY74" s="17" t="s">
        <v>55</v>
      </c>
      <c r="DZ74" s="17" t="s">
        <v>56</v>
      </c>
      <c r="EA74" s="17" t="s">
        <v>55</v>
      </c>
      <c r="EB74" s="17" t="s">
        <v>56</v>
      </c>
      <c r="EC74" s="17" t="s">
        <v>55</v>
      </c>
      <c r="ED74" s="17" t="s">
        <v>56</v>
      </c>
      <c r="EE74" s="17" t="s">
        <v>55</v>
      </c>
      <c r="EF74" s="17" t="s">
        <v>56</v>
      </c>
      <c r="EG74" s="17" t="s">
        <v>55</v>
      </c>
      <c r="EH74" s="17" t="s">
        <v>56</v>
      </c>
      <c r="EI74" s="17" t="s">
        <v>55</v>
      </c>
      <c r="EJ74" s="17" t="s">
        <v>56</v>
      </c>
      <c r="EK74" s="17" t="s">
        <v>55</v>
      </c>
      <c r="EL74" s="17" t="s">
        <v>56</v>
      </c>
      <c r="EM74" s="17" t="s">
        <v>55</v>
      </c>
      <c r="EN74" s="17" t="s">
        <v>56</v>
      </c>
      <c r="EO74" s="17" t="s">
        <v>55</v>
      </c>
      <c r="EP74" s="17" t="s">
        <v>56</v>
      </c>
      <c r="EQ74" s="17" t="s">
        <v>55</v>
      </c>
      <c r="ER74" s="17" t="s">
        <v>56</v>
      </c>
      <c r="ES74" s="17" t="s">
        <v>55</v>
      </c>
      <c r="ET74" s="17" t="s">
        <v>56</v>
      </c>
      <c r="EU74" s="17" t="s">
        <v>55</v>
      </c>
      <c r="EV74" s="17" t="s">
        <v>56</v>
      </c>
      <c r="EW74" s="17" t="s">
        <v>55</v>
      </c>
      <c r="EX74" s="17" t="s">
        <v>56</v>
      </c>
      <c r="EY74" s="17" t="s">
        <v>55</v>
      </c>
      <c r="EZ74" s="17" t="s">
        <v>56</v>
      </c>
      <c r="FA74" s="17" t="s">
        <v>55</v>
      </c>
      <c r="FB74" s="17" t="s">
        <v>56</v>
      </c>
      <c r="FC74" s="17" t="s">
        <v>55</v>
      </c>
      <c r="FD74" s="17" t="s">
        <v>56</v>
      </c>
      <c r="FE74" s="17" t="s">
        <v>55</v>
      </c>
      <c r="FF74" s="17" t="s">
        <v>56</v>
      </c>
      <c r="FG74" s="17" t="s">
        <v>55</v>
      </c>
      <c r="FH74" s="17" t="s">
        <v>56</v>
      </c>
      <c r="FI74" s="17" t="s">
        <v>55</v>
      </c>
      <c r="FJ74" s="17" t="s">
        <v>56</v>
      </c>
      <c r="FK74" s="17" t="s">
        <v>55</v>
      </c>
      <c r="FL74" s="17" t="s">
        <v>56</v>
      </c>
      <c r="FM74" s="17" t="s">
        <v>55</v>
      </c>
      <c r="FN74" s="17" t="s">
        <v>56</v>
      </c>
      <c r="FO74" s="17" t="s">
        <v>55</v>
      </c>
      <c r="FP74" s="17" t="s">
        <v>56</v>
      </c>
      <c r="FQ74" s="17" t="s">
        <v>55</v>
      </c>
      <c r="FR74" s="17" t="s">
        <v>56</v>
      </c>
      <c r="FS74" s="17" t="s">
        <v>55</v>
      </c>
      <c r="FT74" s="17" t="s">
        <v>56</v>
      </c>
      <c r="FU74" s="17" t="s">
        <v>55</v>
      </c>
      <c r="FV74" s="17" t="s">
        <v>56</v>
      </c>
      <c r="FW74" s="17" t="s">
        <v>55</v>
      </c>
      <c r="FX74" s="17" t="s">
        <v>56</v>
      </c>
      <c r="FY74" s="17" t="s">
        <v>55</v>
      </c>
      <c r="FZ74" s="17" t="s">
        <v>56</v>
      </c>
      <c r="GA74" s="17" t="s">
        <v>55</v>
      </c>
      <c r="GB74" s="17" t="s">
        <v>56</v>
      </c>
      <c r="GC74" s="17" t="s">
        <v>55</v>
      </c>
      <c r="GD74" s="17" t="s">
        <v>56</v>
      </c>
      <c r="GE74" s="17" t="s">
        <v>55</v>
      </c>
      <c r="GF74" s="17" t="s">
        <v>56</v>
      </c>
      <c r="GG74" s="17" t="s">
        <v>55</v>
      </c>
      <c r="GH74" s="17" t="s">
        <v>56</v>
      </c>
      <c r="GI74" s="17" t="s">
        <v>55</v>
      </c>
      <c r="GJ74" s="17" t="s">
        <v>56</v>
      </c>
      <c r="GK74" s="17" t="s">
        <v>55</v>
      </c>
      <c r="GL74" s="17" t="s">
        <v>56</v>
      </c>
      <c r="GM74" s="17" t="s">
        <v>55</v>
      </c>
      <c r="GN74" s="17" t="s">
        <v>56</v>
      </c>
      <c r="GO74" s="17" t="s">
        <v>55</v>
      </c>
      <c r="GP74" s="17" t="s">
        <v>56</v>
      </c>
      <c r="GQ74" s="17" t="s">
        <v>55</v>
      </c>
      <c r="GR74" s="17" t="s">
        <v>56</v>
      </c>
      <c r="GS74" s="17" t="s">
        <v>55</v>
      </c>
      <c r="GT74" s="17" t="s">
        <v>56</v>
      </c>
      <c r="GU74" s="17" t="s">
        <v>55</v>
      </c>
      <c r="GV74" s="17" t="s">
        <v>56</v>
      </c>
      <c r="GW74" s="17" t="s">
        <v>55</v>
      </c>
      <c r="GX74" s="10" t="s">
        <v>56</v>
      </c>
      <c r="GY74" s="10" t="s">
        <v>55</v>
      </c>
      <c r="GZ74" s="17" t="s">
        <v>56</v>
      </c>
      <c r="HA74" s="17" t="s">
        <v>55</v>
      </c>
      <c r="HB74" s="17" t="s">
        <v>56</v>
      </c>
      <c r="HC74" s="17" t="s">
        <v>55</v>
      </c>
      <c r="HD74" s="17" t="s">
        <v>56</v>
      </c>
      <c r="HE74" s="17" t="s">
        <v>55</v>
      </c>
      <c r="HF74" s="17" t="s">
        <v>56</v>
      </c>
      <c r="HG74" s="17" t="s">
        <v>55</v>
      </c>
      <c r="HH74" s="17" t="s">
        <v>56</v>
      </c>
      <c r="HI74" s="17" t="s">
        <v>55</v>
      </c>
      <c r="HJ74" s="17" t="s">
        <v>56</v>
      </c>
      <c r="HK74" s="17" t="s">
        <v>55</v>
      </c>
      <c r="HL74" s="17" t="s">
        <v>56</v>
      </c>
      <c r="HM74" s="17" t="s">
        <v>55</v>
      </c>
      <c r="HN74" s="17" t="s">
        <v>56</v>
      </c>
      <c r="HO74" s="17" t="s">
        <v>55</v>
      </c>
      <c r="HP74" s="17" t="s">
        <v>56</v>
      </c>
      <c r="HQ74" s="17" t="s">
        <v>55</v>
      </c>
      <c r="HR74" s="17" t="s">
        <v>56</v>
      </c>
      <c r="HS74" s="17" t="s">
        <v>55</v>
      </c>
      <c r="HT74" s="17" t="s">
        <v>56</v>
      </c>
      <c r="HU74" s="17" t="s">
        <v>55</v>
      </c>
      <c r="HV74" s="17" t="s">
        <v>56</v>
      </c>
      <c r="HW74" s="17" t="s">
        <v>55</v>
      </c>
      <c r="HX74" s="17" t="s">
        <v>56</v>
      </c>
      <c r="HY74" s="17" t="s">
        <v>55</v>
      </c>
      <c r="HZ74" s="17" t="s">
        <v>56</v>
      </c>
      <c r="IA74" s="17" t="s">
        <v>55</v>
      </c>
      <c r="IB74" s="17" t="s">
        <v>56</v>
      </c>
      <c r="IC74" s="17" t="s">
        <v>55</v>
      </c>
      <c r="ID74" s="17" t="s">
        <v>56</v>
      </c>
      <c r="IE74" s="17" t="s">
        <v>55</v>
      </c>
      <c r="IF74" s="17" t="s">
        <v>56</v>
      </c>
      <c r="IG74" s="17" t="s">
        <v>55</v>
      </c>
      <c r="IH74" s="17" t="s">
        <v>56</v>
      </c>
      <c r="II74" s="17" t="s">
        <v>55</v>
      </c>
      <c r="IJ74" s="17" t="s">
        <v>56</v>
      </c>
      <c r="IK74" s="17" t="s">
        <v>55</v>
      </c>
      <c r="IL74" s="17" t="s">
        <v>56</v>
      </c>
      <c r="IM74" s="17" t="s">
        <v>55</v>
      </c>
      <c r="IN74" s="17" t="s">
        <v>56</v>
      </c>
      <c r="IO74" s="17" t="s">
        <v>55</v>
      </c>
      <c r="IP74" s="17" t="s">
        <v>56</v>
      </c>
      <c r="IQ74" s="17" t="s">
        <v>55</v>
      </c>
      <c r="IR74" s="17" t="s">
        <v>56</v>
      </c>
      <c r="IS74" s="17" t="s">
        <v>55</v>
      </c>
      <c r="IT74" s="17" t="s">
        <v>56</v>
      </c>
      <c r="IU74" s="17" t="s">
        <v>55</v>
      </c>
      <c r="IV74" s="17" t="s">
        <v>56</v>
      </c>
      <c r="IW74" s="17" t="s">
        <v>55</v>
      </c>
      <c r="IX74" s="17" t="s">
        <v>56</v>
      </c>
      <c r="IY74" s="17" t="s">
        <v>55</v>
      </c>
      <c r="IZ74" s="17" t="s">
        <v>56</v>
      </c>
      <c r="JA74" s="17" t="s">
        <v>55</v>
      </c>
      <c r="JB74" s="17" t="s">
        <v>56</v>
      </c>
      <c r="JC74" s="17" t="s">
        <v>55</v>
      </c>
      <c r="JD74" s="17" t="s">
        <v>56</v>
      </c>
      <c r="JE74" s="17" t="s">
        <v>55</v>
      </c>
      <c r="JF74" s="17" t="s">
        <v>56</v>
      </c>
      <c r="JG74" s="17" t="s">
        <v>55</v>
      </c>
      <c r="JH74" s="17" t="s">
        <v>56</v>
      </c>
      <c r="JI74" s="17" t="s">
        <v>55</v>
      </c>
      <c r="JJ74" s="17" t="s">
        <v>56</v>
      </c>
      <c r="JK74" s="17" t="s">
        <v>55</v>
      </c>
      <c r="JL74" s="17" t="s">
        <v>56</v>
      </c>
      <c r="JM74" s="17" t="s">
        <v>55</v>
      </c>
      <c r="JN74" s="17" t="s">
        <v>56</v>
      </c>
      <c r="JO74" s="17" t="s">
        <v>55</v>
      </c>
      <c r="JP74" s="17" t="s">
        <v>56</v>
      </c>
      <c r="JQ74" s="17" t="s">
        <v>55</v>
      </c>
      <c r="JR74" s="17" t="s">
        <v>56</v>
      </c>
      <c r="JS74" s="17" t="s">
        <v>55</v>
      </c>
      <c r="JT74" s="17" t="s">
        <v>56</v>
      </c>
      <c r="JU74" s="17" t="s">
        <v>55</v>
      </c>
      <c r="JV74" s="4" t="s">
        <v>56</v>
      </c>
      <c r="JW74" s="17" t="s">
        <v>55</v>
      </c>
      <c r="JX74" s="17" t="s">
        <v>56</v>
      </c>
      <c r="JY74" s="17" t="s">
        <v>55</v>
      </c>
      <c r="JZ74" s="17" t="s">
        <v>56</v>
      </c>
      <c r="KA74" s="17" t="s">
        <v>55</v>
      </c>
      <c r="KB74" s="17" t="s">
        <v>56</v>
      </c>
      <c r="KC74" s="17" t="s">
        <v>55</v>
      </c>
      <c r="KD74" s="17" t="s">
        <v>56</v>
      </c>
      <c r="KE74" s="17" t="s">
        <v>55</v>
      </c>
      <c r="KF74" s="17" t="s">
        <v>56</v>
      </c>
      <c r="KG74" s="17" t="s">
        <v>55</v>
      </c>
      <c r="KH74" s="17" t="s">
        <v>56</v>
      </c>
      <c r="KI74" s="17" t="s">
        <v>55</v>
      </c>
      <c r="KJ74" s="17" t="s">
        <v>56</v>
      </c>
      <c r="KK74" s="17" t="s">
        <v>55</v>
      </c>
      <c r="KL74" s="17" t="s">
        <v>56</v>
      </c>
      <c r="KM74" s="17" t="s">
        <v>55</v>
      </c>
      <c r="KN74" s="17" t="s">
        <v>56</v>
      </c>
      <c r="KO74" s="17" t="s">
        <v>55</v>
      </c>
      <c r="KP74" s="17" t="s">
        <v>56</v>
      </c>
      <c r="KQ74" s="17" t="s">
        <v>55</v>
      </c>
      <c r="KR74" s="17" t="s">
        <v>56</v>
      </c>
      <c r="KS74" s="17" t="s">
        <v>55</v>
      </c>
      <c r="KT74" s="17" t="s">
        <v>56</v>
      </c>
      <c r="KU74" s="17" t="s">
        <v>55</v>
      </c>
      <c r="KV74" s="4" t="s">
        <v>56</v>
      </c>
      <c r="KW74" s="4" t="s">
        <v>55</v>
      </c>
      <c r="KX74" s="4" t="s">
        <v>56</v>
      </c>
      <c r="KY74" s="4" t="s">
        <v>55</v>
      </c>
      <c r="KZ74" s="4" t="s">
        <v>56</v>
      </c>
      <c r="LA74" s="4" t="s">
        <v>55</v>
      </c>
      <c r="LB74" s="10" t="s">
        <v>56</v>
      </c>
      <c r="LC74" s="10" t="s">
        <v>55</v>
      </c>
      <c r="LD74" s="10" t="s">
        <v>56</v>
      </c>
      <c r="LE74" s="10" t="s">
        <v>55</v>
      </c>
      <c r="LF74" s="10" t="s">
        <v>56</v>
      </c>
      <c r="LG74" s="10" t="s">
        <v>55</v>
      </c>
      <c r="LH74" s="10" t="s">
        <v>56</v>
      </c>
      <c r="LI74" s="10" t="s">
        <v>55</v>
      </c>
      <c r="LJ74" s="10" t="s">
        <v>56</v>
      </c>
      <c r="LK74" s="10" t="s">
        <v>162</v>
      </c>
      <c r="LL74" s="10" t="s">
        <v>56</v>
      </c>
      <c r="LM74" s="10" t="s">
        <v>162</v>
      </c>
      <c r="LN74" s="10" t="s">
        <v>56</v>
      </c>
      <c r="LO74" s="10" t="s">
        <v>162</v>
      </c>
      <c r="LP74" s="10" t="s">
        <v>56</v>
      </c>
      <c r="LQ74" s="10" t="s">
        <v>162</v>
      </c>
      <c r="LR74" s="10" t="s">
        <v>56</v>
      </c>
      <c r="LS74" s="10" t="s">
        <v>162</v>
      </c>
      <c r="LT74" s="10" t="s">
        <v>56</v>
      </c>
      <c r="LU74" s="10" t="s">
        <v>162</v>
      </c>
      <c r="LV74" s="10" t="s">
        <v>56</v>
      </c>
      <c r="LW74" s="10" t="s">
        <v>55</v>
      </c>
      <c r="LX74" s="10" t="s">
        <v>56</v>
      </c>
      <c r="LY74" s="10" t="s">
        <v>55</v>
      </c>
      <c r="LZ74" s="10" t="s">
        <v>56</v>
      </c>
      <c r="MA74" s="10" t="s">
        <v>55</v>
      </c>
      <c r="MB74" s="10" t="s">
        <v>56</v>
      </c>
      <c r="MC74" s="10" t="s">
        <v>55</v>
      </c>
      <c r="MD74" s="4">
        <v>1391</v>
      </c>
      <c r="ME74" s="4" t="s">
        <v>55</v>
      </c>
      <c r="MF74" s="4">
        <v>1236</v>
      </c>
      <c r="MG74" s="4" t="s">
        <v>55</v>
      </c>
      <c r="MH74" s="4">
        <v>1164</v>
      </c>
      <c r="MI74" s="4" t="s">
        <v>55</v>
      </c>
      <c r="MJ74" s="4">
        <v>1242</v>
      </c>
      <c r="MK74" s="4" t="s">
        <v>55</v>
      </c>
      <c r="ML74" s="4">
        <v>1417</v>
      </c>
      <c r="MM74" s="4" t="s">
        <v>55</v>
      </c>
      <c r="MN74" s="4">
        <v>979</v>
      </c>
      <c r="MO74" s="4" t="s">
        <v>55</v>
      </c>
      <c r="MP74" s="4">
        <v>1337</v>
      </c>
      <c r="MQ74" s="4" t="s">
        <v>55</v>
      </c>
      <c r="MR74" s="4">
        <v>1782</v>
      </c>
      <c r="MS74" s="4" t="s">
        <v>55</v>
      </c>
      <c r="MT74" s="4">
        <v>1194</v>
      </c>
      <c r="MU74" s="4" t="s">
        <v>55</v>
      </c>
      <c r="MV74" s="4">
        <v>1377</v>
      </c>
      <c r="MW74" s="4" t="s">
        <v>55</v>
      </c>
      <c r="MX74" s="4">
        <v>1265</v>
      </c>
      <c r="MY74" s="4" t="s">
        <v>55</v>
      </c>
      <c r="MZ74" s="4">
        <v>1106</v>
      </c>
      <c r="NA74" s="4" t="s">
        <v>55</v>
      </c>
      <c r="NB74" s="10" t="s">
        <v>56</v>
      </c>
      <c r="NC74" s="10" t="s">
        <v>55</v>
      </c>
      <c r="ND74" s="10" t="s">
        <v>56</v>
      </c>
      <c r="NE74" s="10" t="s">
        <v>55</v>
      </c>
      <c r="NF74" s="10" t="s">
        <v>56</v>
      </c>
      <c r="NG74" s="10" t="s">
        <v>55</v>
      </c>
      <c r="NH74" s="10" t="s">
        <v>56</v>
      </c>
      <c r="NI74" s="10" t="s">
        <v>55</v>
      </c>
      <c r="NJ74" s="10" t="s">
        <v>56</v>
      </c>
      <c r="NK74" s="10" t="s">
        <v>55</v>
      </c>
      <c r="NL74" s="10" t="s">
        <v>56</v>
      </c>
      <c r="NM74" s="4" t="s">
        <v>55</v>
      </c>
      <c r="NN74" s="4">
        <f>((1.4/100)*1000000)/E74</f>
        <v>106.76427972241287</v>
      </c>
      <c r="NO74" s="4" t="s">
        <v>55</v>
      </c>
      <c r="NP74" s="4" t="s">
        <v>57</v>
      </c>
      <c r="NQ74" s="4" t="s">
        <v>55</v>
      </c>
      <c r="NR74" s="10" t="s">
        <v>56</v>
      </c>
      <c r="NS74" s="10" t="s">
        <v>55</v>
      </c>
      <c r="NT74" s="10" t="s">
        <v>56</v>
      </c>
      <c r="NU74" s="10" t="s">
        <v>55</v>
      </c>
    </row>
    <row r="75" spans="1:385" x14ac:dyDescent="0.2">
      <c r="A75" t="s">
        <v>21</v>
      </c>
      <c r="B75" s="1" t="s">
        <v>1037</v>
      </c>
      <c r="C75" s="1" t="s">
        <v>858</v>
      </c>
      <c r="D75" s="39" cm="1">
        <f t="array" ref="D75">SUMPRODUCT((ISNUMBER(F75:NU75))*(MOD(COLUMN(F75:NU75),2)=0))</f>
        <v>5</v>
      </c>
      <c r="E75" s="1">
        <v>149.21</v>
      </c>
      <c r="F75" s="1" t="s">
        <v>56</v>
      </c>
      <c r="G75" s="1" t="s">
        <v>55</v>
      </c>
      <c r="H75" s="1" t="s">
        <v>56</v>
      </c>
      <c r="I75" s="1" t="s">
        <v>55</v>
      </c>
      <c r="J75" s="1" t="s">
        <v>56</v>
      </c>
      <c r="K75" s="1" t="s">
        <v>55</v>
      </c>
      <c r="L75" s="1" t="s">
        <v>56</v>
      </c>
      <c r="M75" s="1" t="s">
        <v>55</v>
      </c>
      <c r="N75" s="1" t="s">
        <v>56</v>
      </c>
      <c r="O75" s="1" t="s">
        <v>55</v>
      </c>
      <c r="P75" s="1" t="s">
        <v>56</v>
      </c>
      <c r="Q75" s="1" t="s">
        <v>55</v>
      </c>
      <c r="R75" s="1" t="s">
        <v>56</v>
      </c>
      <c r="S75" s="1" t="s">
        <v>55</v>
      </c>
      <c r="T75" s="1" t="s">
        <v>56</v>
      </c>
      <c r="U75" s="1" t="s">
        <v>55</v>
      </c>
      <c r="V75" s="1" t="s">
        <v>56</v>
      </c>
      <c r="W75" s="1" t="s">
        <v>55</v>
      </c>
      <c r="X75" s="1" t="s">
        <v>56</v>
      </c>
      <c r="Y75" s="1" t="s">
        <v>55</v>
      </c>
      <c r="Z75" s="1" t="s">
        <v>56</v>
      </c>
      <c r="AA75" s="1" t="s">
        <v>55</v>
      </c>
      <c r="AB75" s="1" t="s">
        <v>56</v>
      </c>
      <c r="AC75" s="1" t="s">
        <v>55</v>
      </c>
      <c r="AD75" s="1" t="s">
        <v>56</v>
      </c>
      <c r="AE75" s="1" t="s">
        <v>55</v>
      </c>
      <c r="AF75" s="11" t="s">
        <v>56</v>
      </c>
      <c r="AG75" s="11" t="s">
        <v>55</v>
      </c>
      <c r="AH75" s="11" t="s">
        <v>56</v>
      </c>
      <c r="AI75" s="11" t="s">
        <v>55</v>
      </c>
      <c r="AJ75" s="11" t="s">
        <v>56</v>
      </c>
      <c r="AK75" s="11" t="s">
        <v>55</v>
      </c>
      <c r="AL75" s="1" t="s">
        <v>56</v>
      </c>
      <c r="AM75" s="1" t="s">
        <v>55</v>
      </c>
      <c r="AN75" s="17" t="s">
        <v>56</v>
      </c>
      <c r="AO75" s="17" t="s">
        <v>55</v>
      </c>
      <c r="AP75" s="11" t="s">
        <v>56</v>
      </c>
      <c r="AQ75" s="11" t="s">
        <v>55</v>
      </c>
      <c r="AR75" s="10" t="s">
        <v>56</v>
      </c>
      <c r="AS75" s="10" t="s">
        <v>55</v>
      </c>
      <c r="AT75" s="11" t="s">
        <v>56</v>
      </c>
      <c r="AU75" s="11" t="s">
        <v>55</v>
      </c>
      <c r="AV75" s="11" t="s">
        <v>56</v>
      </c>
      <c r="AW75" s="11" t="s">
        <v>55</v>
      </c>
      <c r="AX75" s="11" t="s">
        <v>56</v>
      </c>
      <c r="AY75" s="11" t="s">
        <v>55</v>
      </c>
      <c r="AZ75" s="1" t="s">
        <v>56</v>
      </c>
      <c r="BA75" s="1" t="s">
        <v>55</v>
      </c>
      <c r="BB75" s="1" t="s">
        <v>56</v>
      </c>
      <c r="BC75" s="1" t="s">
        <v>55</v>
      </c>
      <c r="BD75" s="1" t="s">
        <v>56</v>
      </c>
      <c r="BE75" s="1" t="s">
        <v>55</v>
      </c>
      <c r="BF75" s="1" t="s">
        <v>56</v>
      </c>
      <c r="BG75" s="1" t="s">
        <v>55</v>
      </c>
      <c r="BH75" s="1" t="s">
        <v>56</v>
      </c>
      <c r="BI75" s="1" t="s">
        <v>55</v>
      </c>
      <c r="BJ75" s="1" t="s">
        <v>56</v>
      </c>
      <c r="BK75" s="1" t="s">
        <v>55</v>
      </c>
      <c r="BL75" s="1" t="s">
        <v>56</v>
      </c>
      <c r="BM75" s="1" t="s">
        <v>55</v>
      </c>
      <c r="BN75" s="4" t="s">
        <v>56</v>
      </c>
      <c r="BO75" s="4" t="s">
        <v>55</v>
      </c>
      <c r="BP75" s="4" t="s">
        <v>56</v>
      </c>
      <c r="BQ75" s="4" t="s">
        <v>55</v>
      </c>
      <c r="BR75" s="11" t="s">
        <v>56</v>
      </c>
      <c r="BS75" s="11" t="s">
        <v>162</v>
      </c>
      <c r="BT75" s="4" t="s">
        <v>56</v>
      </c>
      <c r="BU75" s="4" t="s">
        <v>55</v>
      </c>
      <c r="BV75" s="4" t="s">
        <v>56</v>
      </c>
      <c r="BW75" s="4" t="s">
        <v>55</v>
      </c>
      <c r="BX75" s="4" t="s">
        <v>56</v>
      </c>
      <c r="BY75" s="4" t="s">
        <v>55</v>
      </c>
      <c r="BZ75" s="10" t="s">
        <v>56</v>
      </c>
      <c r="CA75" s="10" t="s">
        <v>55</v>
      </c>
      <c r="CB75" s="10" t="s">
        <v>56</v>
      </c>
      <c r="CC75" s="10" t="s">
        <v>55</v>
      </c>
      <c r="CD75" s="10" t="s">
        <v>56</v>
      </c>
      <c r="CE75" s="10" t="s">
        <v>55</v>
      </c>
      <c r="CF75" s="10" t="s">
        <v>56</v>
      </c>
      <c r="CG75" s="10" t="s">
        <v>55</v>
      </c>
      <c r="CH75" s="10" t="s">
        <v>56</v>
      </c>
      <c r="CI75" s="10" t="s">
        <v>55</v>
      </c>
      <c r="CJ75" s="10" t="s">
        <v>56</v>
      </c>
      <c r="CK75" s="10" t="s">
        <v>55</v>
      </c>
      <c r="CL75" s="10" t="s">
        <v>56</v>
      </c>
      <c r="CM75" s="10" t="s">
        <v>55</v>
      </c>
      <c r="CN75" s="10" t="s">
        <v>56</v>
      </c>
      <c r="CO75" s="10" t="s">
        <v>55</v>
      </c>
      <c r="CP75" s="10" t="s">
        <v>56</v>
      </c>
      <c r="CQ75" s="10" t="s">
        <v>55</v>
      </c>
      <c r="CR75" s="10" t="s">
        <v>56</v>
      </c>
      <c r="CS75" s="10" t="s">
        <v>55</v>
      </c>
      <c r="CT75" s="10" t="s">
        <v>56</v>
      </c>
      <c r="CU75" s="10" t="s">
        <v>55</v>
      </c>
      <c r="CV75" s="10" t="s">
        <v>56</v>
      </c>
      <c r="CW75" s="10" t="s">
        <v>55</v>
      </c>
      <c r="CX75" s="10" t="s">
        <v>56</v>
      </c>
      <c r="CY75" s="10" t="s">
        <v>55</v>
      </c>
      <c r="CZ75" s="10" t="s">
        <v>56</v>
      </c>
      <c r="DA75" s="10" t="s">
        <v>55</v>
      </c>
      <c r="DB75" s="10" t="s">
        <v>56</v>
      </c>
      <c r="DC75" s="10" t="s">
        <v>55</v>
      </c>
      <c r="DD75" s="10" t="s">
        <v>56</v>
      </c>
      <c r="DE75" s="10" t="s">
        <v>55</v>
      </c>
      <c r="DF75" s="10" t="s">
        <v>56</v>
      </c>
      <c r="DG75" s="10" t="s">
        <v>55</v>
      </c>
      <c r="DH75" s="10" t="s">
        <v>56</v>
      </c>
      <c r="DI75" s="10" t="s">
        <v>55</v>
      </c>
      <c r="DJ75" s="10" t="s">
        <v>56</v>
      </c>
      <c r="DK75" s="10" t="s">
        <v>55</v>
      </c>
      <c r="DL75" s="10" t="s">
        <v>56</v>
      </c>
      <c r="DM75" s="10" t="s">
        <v>55</v>
      </c>
      <c r="DN75" s="10" t="s">
        <v>56</v>
      </c>
      <c r="DO75" s="10" t="s">
        <v>55</v>
      </c>
      <c r="DP75" s="10" t="s">
        <v>56</v>
      </c>
      <c r="DQ75" s="10" t="s">
        <v>55</v>
      </c>
      <c r="DR75" s="10" t="s">
        <v>56</v>
      </c>
      <c r="DS75" s="10" t="s">
        <v>55</v>
      </c>
      <c r="DT75" s="10" t="s">
        <v>56</v>
      </c>
      <c r="DU75" s="10" t="s">
        <v>55</v>
      </c>
      <c r="DV75" s="10" t="s">
        <v>56</v>
      </c>
      <c r="DW75" s="10" t="s">
        <v>55</v>
      </c>
      <c r="DX75" s="10" t="s">
        <v>56</v>
      </c>
      <c r="DY75" s="10" t="s">
        <v>55</v>
      </c>
      <c r="DZ75" s="10" t="s">
        <v>56</v>
      </c>
      <c r="EA75" s="10" t="s">
        <v>55</v>
      </c>
      <c r="EB75" s="10" t="s">
        <v>56</v>
      </c>
      <c r="EC75" s="10" t="s">
        <v>55</v>
      </c>
      <c r="ED75" s="10" t="s">
        <v>56</v>
      </c>
      <c r="EE75" s="10" t="s">
        <v>55</v>
      </c>
      <c r="EF75" s="10" t="s">
        <v>56</v>
      </c>
      <c r="EG75" s="10" t="s">
        <v>55</v>
      </c>
      <c r="EH75" s="10" t="s">
        <v>56</v>
      </c>
      <c r="EI75" s="10" t="s">
        <v>55</v>
      </c>
      <c r="EJ75" s="10" t="s">
        <v>56</v>
      </c>
      <c r="EK75" s="10" t="s">
        <v>55</v>
      </c>
      <c r="EL75" s="10" t="s">
        <v>56</v>
      </c>
      <c r="EM75" s="10" t="s">
        <v>55</v>
      </c>
      <c r="EN75" s="10" t="s">
        <v>56</v>
      </c>
      <c r="EO75" s="10" t="s">
        <v>55</v>
      </c>
      <c r="EP75" s="10" t="s">
        <v>56</v>
      </c>
      <c r="EQ75" s="10" t="s">
        <v>55</v>
      </c>
      <c r="ER75" s="10" t="s">
        <v>56</v>
      </c>
      <c r="ES75" s="10" t="s">
        <v>55</v>
      </c>
      <c r="ET75" s="10" t="s">
        <v>56</v>
      </c>
      <c r="EU75" s="10" t="s">
        <v>55</v>
      </c>
      <c r="EV75" s="10" t="s">
        <v>56</v>
      </c>
      <c r="EW75" s="10" t="s">
        <v>55</v>
      </c>
      <c r="EX75" s="10" t="s">
        <v>56</v>
      </c>
      <c r="EY75" s="10" t="s">
        <v>55</v>
      </c>
      <c r="EZ75" s="10" t="s">
        <v>56</v>
      </c>
      <c r="FA75" s="10" t="s">
        <v>55</v>
      </c>
      <c r="FB75" s="10" t="s">
        <v>56</v>
      </c>
      <c r="FC75" s="10" t="s">
        <v>55</v>
      </c>
      <c r="FD75" s="10" t="s">
        <v>56</v>
      </c>
      <c r="FE75" s="10" t="s">
        <v>55</v>
      </c>
      <c r="FF75" s="10" t="s">
        <v>56</v>
      </c>
      <c r="FG75" s="10" t="s">
        <v>55</v>
      </c>
      <c r="FH75" s="10" t="s">
        <v>56</v>
      </c>
      <c r="FI75" s="10" t="s">
        <v>55</v>
      </c>
      <c r="FJ75" s="10" t="s">
        <v>56</v>
      </c>
      <c r="FK75" s="10" t="s">
        <v>55</v>
      </c>
      <c r="FL75" s="10" t="s">
        <v>56</v>
      </c>
      <c r="FM75" s="10" t="s">
        <v>55</v>
      </c>
      <c r="FN75" s="10" t="s">
        <v>56</v>
      </c>
      <c r="FO75" s="10" t="s">
        <v>55</v>
      </c>
      <c r="FP75" s="10" t="s">
        <v>56</v>
      </c>
      <c r="FQ75" s="10" t="s">
        <v>55</v>
      </c>
      <c r="FR75" s="10" t="s">
        <v>56</v>
      </c>
      <c r="FS75" s="10" t="s">
        <v>55</v>
      </c>
      <c r="FT75" s="10" t="s">
        <v>56</v>
      </c>
      <c r="FU75" s="10" t="s">
        <v>55</v>
      </c>
      <c r="FV75" s="10" t="s">
        <v>56</v>
      </c>
      <c r="FW75" s="10" t="s">
        <v>55</v>
      </c>
      <c r="FX75" s="10" t="s">
        <v>56</v>
      </c>
      <c r="FY75" s="10" t="s">
        <v>55</v>
      </c>
      <c r="FZ75" s="10" t="s">
        <v>56</v>
      </c>
      <c r="GA75" s="10" t="s">
        <v>55</v>
      </c>
      <c r="GB75" s="10" t="s">
        <v>56</v>
      </c>
      <c r="GC75" s="10" t="s">
        <v>55</v>
      </c>
      <c r="GD75" s="10" t="s">
        <v>56</v>
      </c>
      <c r="GE75" s="10" t="s">
        <v>55</v>
      </c>
      <c r="GF75" s="10" t="s">
        <v>56</v>
      </c>
      <c r="GG75" s="10" t="s">
        <v>55</v>
      </c>
      <c r="GH75" s="10" t="s">
        <v>56</v>
      </c>
      <c r="GI75" s="10" t="s">
        <v>55</v>
      </c>
      <c r="GJ75" s="10" t="s">
        <v>56</v>
      </c>
      <c r="GK75" s="10" t="s">
        <v>55</v>
      </c>
      <c r="GL75" s="10" t="s">
        <v>56</v>
      </c>
      <c r="GM75" s="10" t="s">
        <v>55</v>
      </c>
      <c r="GN75" s="10" t="s">
        <v>56</v>
      </c>
      <c r="GO75" s="10" t="s">
        <v>55</v>
      </c>
      <c r="GP75" s="10" t="s">
        <v>56</v>
      </c>
      <c r="GQ75" s="10" t="s">
        <v>55</v>
      </c>
      <c r="GR75" s="10" t="s">
        <v>56</v>
      </c>
      <c r="GS75" s="10" t="s">
        <v>55</v>
      </c>
      <c r="GT75" s="10" t="s">
        <v>56</v>
      </c>
      <c r="GU75" s="10" t="s">
        <v>55</v>
      </c>
      <c r="GV75" s="17" t="s">
        <v>56</v>
      </c>
      <c r="GW75" s="17" t="s">
        <v>55</v>
      </c>
      <c r="GX75" s="10" t="s">
        <v>56</v>
      </c>
      <c r="GY75" s="10" t="s">
        <v>55</v>
      </c>
      <c r="GZ75" s="10" t="s">
        <v>56</v>
      </c>
      <c r="HA75" s="10" t="s">
        <v>55</v>
      </c>
      <c r="HB75" s="10" t="s">
        <v>56</v>
      </c>
      <c r="HC75" s="10" t="s">
        <v>55</v>
      </c>
      <c r="HD75" s="10" t="s">
        <v>56</v>
      </c>
      <c r="HE75" s="10" t="s">
        <v>55</v>
      </c>
      <c r="HF75" s="10" t="s">
        <v>56</v>
      </c>
      <c r="HG75" s="10" t="s">
        <v>55</v>
      </c>
      <c r="HH75" s="10" t="s">
        <v>56</v>
      </c>
      <c r="HI75" s="10" t="s">
        <v>55</v>
      </c>
      <c r="HJ75" s="10" t="s">
        <v>56</v>
      </c>
      <c r="HK75" s="10" t="s">
        <v>55</v>
      </c>
      <c r="HL75" s="10" t="s">
        <v>56</v>
      </c>
      <c r="HM75" s="10" t="s">
        <v>55</v>
      </c>
      <c r="HN75" s="10" t="s">
        <v>56</v>
      </c>
      <c r="HO75" s="10" t="s">
        <v>55</v>
      </c>
      <c r="HP75" s="10" t="s">
        <v>56</v>
      </c>
      <c r="HQ75" s="10" t="s">
        <v>55</v>
      </c>
      <c r="HR75" s="10" t="s">
        <v>56</v>
      </c>
      <c r="HS75" s="10" t="s">
        <v>55</v>
      </c>
      <c r="HT75" s="10" t="s">
        <v>56</v>
      </c>
      <c r="HU75" s="10" t="s">
        <v>55</v>
      </c>
      <c r="HV75" s="10" t="s">
        <v>56</v>
      </c>
      <c r="HW75" s="10" t="s">
        <v>55</v>
      </c>
      <c r="HX75" s="10" t="s">
        <v>56</v>
      </c>
      <c r="HY75" s="10" t="s">
        <v>55</v>
      </c>
      <c r="HZ75" s="10" t="s">
        <v>56</v>
      </c>
      <c r="IA75" s="10" t="s">
        <v>55</v>
      </c>
      <c r="IB75" s="10" t="s">
        <v>56</v>
      </c>
      <c r="IC75" s="10" t="s">
        <v>55</v>
      </c>
      <c r="ID75" s="1" t="s">
        <v>56</v>
      </c>
      <c r="IE75" s="1" t="s">
        <v>55</v>
      </c>
      <c r="IF75" s="4" t="s">
        <v>56</v>
      </c>
      <c r="IG75" s="4" t="s">
        <v>55</v>
      </c>
      <c r="IH75" s="4" t="s">
        <v>56</v>
      </c>
      <c r="II75" s="4" t="s">
        <v>55</v>
      </c>
      <c r="IJ75" s="4" t="s">
        <v>56</v>
      </c>
      <c r="IK75" s="4" t="s">
        <v>55</v>
      </c>
      <c r="IL75" s="4" t="s">
        <v>56</v>
      </c>
      <c r="IM75" s="4" t="s">
        <v>55</v>
      </c>
      <c r="IN75" s="4" t="s">
        <v>56</v>
      </c>
      <c r="IO75" s="4" t="s">
        <v>55</v>
      </c>
      <c r="IP75" s="4" t="s">
        <v>56</v>
      </c>
      <c r="IQ75" s="4" t="s">
        <v>55</v>
      </c>
      <c r="IR75" s="4" t="s">
        <v>56</v>
      </c>
      <c r="IS75" s="4" t="s">
        <v>55</v>
      </c>
      <c r="IT75" s="18" t="s">
        <v>56</v>
      </c>
      <c r="IU75" s="18" t="s">
        <v>55</v>
      </c>
      <c r="IV75" s="4" t="s">
        <v>556</v>
      </c>
      <c r="IW75" s="4" t="s">
        <v>55</v>
      </c>
      <c r="IX75" s="4" t="s">
        <v>556</v>
      </c>
      <c r="IY75" s="4" t="s">
        <v>55</v>
      </c>
      <c r="IZ75" s="4" t="s">
        <v>556</v>
      </c>
      <c r="JA75" s="4" t="s">
        <v>55</v>
      </c>
      <c r="JB75" s="4" t="s">
        <v>556</v>
      </c>
      <c r="JC75" s="4" t="s">
        <v>55</v>
      </c>
      <c r="JD75" s="4" t="s">
        <v>556</v>
      </c>
      <c r="JE75" s="4" t="s">
        <v>55</v>
      </c>
      <c r="JF75" s="4" t="s">
        <v>56</v>
      </c>
      <c r="JG75" s="4" t="s">
        <v>55</v>
      </c>
      <c r="JH75" s="4" t="s">
        <v>56</v>
      </c>
      <c r="JI75" s="4" t="s">
        <v>55</v>
      </c>
      <c r="JJ75" s="4" t="s">
        <v>56</v>
      </c>
      <c r="JK75" s="4" t="s">
        <v>55</v>
      </c>
      <c r="JL75" s="4" t="s">
        <v>56</v>
      </c>
      <c r="JM75" s="4" t="s">
        <v>55</v>
      </c>
      <c r="JN75" s="4" t="s">
        <v>56</v>
      </c>
      <c r="JO75" s="4" t="s">
        <v>55</v>
      </c>
      <c r="JP75" s="4" t="s">
        <v>56</v>
      </c>
      <c r="JQ75" s="4" t="s">
        <v>55</v>
      </c>
      <c r="JR75" s="4" t="s">
        <v>56</v>
      </c>
      <c r="JS75" s="4" t="s">
        <v>55</v>
      </c>
      <c r="JT75" s="4" t="s">
        <v>56</v>
      </c>
      <c r="JU75" s="4" t="s">
        <v>55</v>
      </c>
      <c r="JV75" s="4" t="s">
        <v>56</v>
      </c>
      <c r="JW75" s="4" t="s">
        <v>55</v>
      </c>
      <c r="JX75" s="26">
        <v>3</v>
      </c>
      <c r="JY75" s="26">
        <v>5</v>
      </c>
      <c r="JZ75" s="26">
        <v>0</v>
      </c>
      <c r="KA75" s="26">
        <v>0</v>
      </c>
      <c r="KB75" s="26">
        <v>0</v>
      </c>
      <c r="KC75" s="26">
        <v>0</v>
      </c>
      <c r="KD75" s="26">
        <v>0</v>
      </c>
      <c r="KE75" s="26">
        <v>0</v>
      </c>
      <c r="KF75" s="26">
        <v>0</v>
      </c>
      <c r="KG75" s="26">
        <v>0</v>
      </c>
      <c r="KH75" s="17" t="s">
        <v>56</v>
      </c>
      <c r="KI75" s="17" t="s">
        <v>55</v>
      </c>
      <c r="KJ75" s="17" t="s">
        <v>56</v>
      </c>
      <c r="KK75" s="17" t="s">
        <v>55</v>
      </c>
      <c r="KL75" s="17" t="s">
        <v>56</v>
      </c>
      <c r="KM75" s="17" t="s">
        <v>55</v>
      </c>
      <c r="KN75" s="17" t="s">
        <v>56</v>
      </c>
      <c r="KO75" s="17" t="s">
        <v>55</v>
      </c>
      <c r="KP75" s="17" t="s">
        <v>56</v>
      </c>
      <c r="KQ75" s="17" t="s">
        <v>55</v>
      </c>
      <c r="KR75" s="17" t="s">
        <v>56</v>
      </c>
      <c r="KS75" s="17" t="s">
        <v>55</v>
      </c>
      <c r="KT75" s="17" t="s">
        <v>56</v>
      </c>
      <c r="KU75" s="17" t="s">
        <v>55</v>
      </c>
      <c r="KV75" s="4" t="s">
        <v>57</v>
      </c>
      <c r="KW75" s="4" t="s">
        <v>55</v>
      </c>
      <c r="KX75" s="4" t="s">
        <v>57</v>
      </c>
      <c r="KY75" s="4" t="s">
        <v>55</v>
      </c>
      <c r="KZ75" s="4" t="s">
        <v>57</v>
      </c>
      <c r="LA75" s="4" t="s">
        <v>55</v>
      </c>
      <c r="LB75" s="10" t="s">
        <v>56</v>
      </c>
      <c r="LC75" s="10" t="s">
        <v>55</v>
      </c>
      <c r="LD75" s="10" t="s">
        <v>56</v>
      </c>
      <c r="LE75" s="10" t="s">
        <v>55</v>
      </c>
      <c r="LF75" s="10" t="s">
        <v>56</v>
      </c>
      <c r="LG75" s="10" t="s">
        <v>55</v>
      </c>
      <c r="LH75" s="10" t="s">
        <v>56</v>
      </c>
      <c r="LI75" s="10" t="s">
        <v>55</v>
      </c>
      <c r="LJ75" s="10" t="s">
        <v>56</v>
      </c>
      <c r="LK75" s="10" t="s">
        <v>162</v>
      </c>
      <c r="LL75" s="10" t="s">
        <v>56</v>
      </c>
      <c r="LM75" s="10" t="s">
        <v>162</v>
      </c>
      <c r="LN75" s="10" t="s">
        <v>56</v>
      </c>
      <c r="LO75" s="10" t="s">
        <v>162</v>
      </c>
      <c r="LP75" s="10" t="s">
        <v>56</v>
      </c>
      <c r="LQ75" s="10" t="s">
        <v>162</v>
      </c>
      <c r="LR75" s="10" t="s">
        <v>56</v>
      </c>
      <c r="LS75" s="10" t="s">
        <v>162</v>
      </c>
      <c r="LT75" s="10" t="s">
        <v>56</v>
      </c>
      <c r="LU75" s="10" t="s">
        <v>162</v>
      </c>
      <c r="LV75" s="10" t="s">
        <v>56</v>
      </c>
      <c r="LW75" s="10" t="s">
        <v>162</v>
      </c>
      <c r="LX75" s="10" t="s">
        <v>56</v>
      </c>
      <c r="LY75" s="10" t="s">
        <v>162</v>
      </c>
      <c r="LZ75" s="10" t="s">
        <v>56</v>
      </c>
      <c r="MA75" s="10" t="s">
        <v>162</v>
      </c>
      <c r="MB75" s="10" t="s">
        <v>56</v>
      </c>
      <c r="MC75" s="10" t="s">
        <v>162</v>
      </c>
      <c r="MD75" s="10" t="s">
        <v>56</v>
      </c>
      <c r="ME75" s="10" t="s">
        <v>162</v>
      </c>
      <c r="MF75" s="10" t="s">
        <v>56</v>
      </c>
      <c r="MG75" s="10" t="s">
        <v>162</v>
      </c>
      <c r="MH75" s="10" t="s">
        <v>56</v>
      </c>
      <c r="MI75" s="10" t="s">
        <v>162</v>
      </c>
      <c r="MJ75" s="10" t="s">
        <v>56</v>
      </c>
      <c r="MK75" s="10" t="s">
        <v>162</v>
      </c>
      <c r="ML75" s="10" t="s">
        <v>56</v>
      </c>
      <c r="MM75" s="10" t="s">
        <v>162</v>
      </c>
      <c r="MN75" s="10" t="s">
        <v>56</v>
      </c>
      <c r="MO75" s="10" t="s">
        <v>162</v>
      </c>
      <c r="MP75" s="10" t="s">
        <v>56</v>
      </c>
      <c r="MQ75" s="10" t="s">
        <v>162</v>
      </c>
      <c r="MR75" s="10" t="s">
        <v>56</v>
      </c>
      <c r="MS75" s="10" t="s">
        <v>162</v>
      </c>
      <c r="MT75" s="10" t="s">
        <v>56</v>
      </c>
      <c r="MU75" s="10" t="s">
        <v>162</v>
      </c>
      <c r="MV75" s="10" t="s">
        <v>56</v>
      </c>
      <c r="MW75" s="10" t="s">
        <v>162</v>
      </c>
      <c r="MX75" s="10" t="s">
        <v>56</v>
      </c>
      <c r="MY75" s="10" t="s">
        <v>162</v>
      </c>
      <c r="MZ75" s="10" t="s">
        <v>56</v>
      </c>
      <c r="NA75" s="10" t="s">
        <v>162</v>
      </c>
      <c r="NB75" s="10" t="s">
        <v>56</v>
      </c>
      <c r="NC75" s="10" t="s">
        <v>162</v>
      </c>
      <c r="ND75" s="10" t="s">
        <v>56</v>
      </c>
      <c r="NE75" s="10" t="s">
        <v>162</v>
      </c>
      <c r="NF75" s="10" t="s">
        <v>56</v>
      </c>
      <c r="NG75" s="10" t="s">
        <v>162</v>
      </c>
      <c r="NH75" s="10" t="s">
        <v>56</v>
      </c>
      <c r="NI75" s="10" t="s">
        <v>162</v>
      </c>
      <c r="NJ75" s="10" t="s">
        <v>56</v>
      </c>
      <c r="NK75" s="10" t="s">
        <v>162</v>
      </c>
      <c r="NL75" s="10" t="s">
        <v>56</v>
      </c>
      <c r="NM75" s="10" t="s">
        <v>162</v>
      </c>
      <c r="NN75" s="10" t="s">
        <v>56</v>
      </c>
      <c r="NO75" s="10" t="s">
        <v>162</v>
      </c>
      <c r="NP75" s="10" t="s">
        <v>56</v>
      </c>
      <c r="NQ75" s="10" t="s">
        <v>162</v>
      </c>
      <c r="NR75" s="10" t="s">
        <v>56</v>
      </c>
      <c r="NS75" s="10" t="s">
        <v>55</v>
      </c>
      <c r="NT75" s="10" t="s">
        <v>56</v>
      </c>
      <c r="NU75" s="10" t="s">
        <v>55</v>
      </c>
    </row>
    <row r="76" spans="1:385" x14ac:dyDescent="0.2">
      <c r="A76" t="s">
        <v>22</v>
      </c>
      <c r="B76" s="1" t="s">
        <v>1037</v>
      </c>
      <c r="C76" s="1" t="s">
        <v>859</v>
      </c>
      <c r="D76" s="39" cm="1">
        <f t="array" ref="D76">SUMPRODUCT((ISNUMBER(F76:NU76))*(MOD(COLUMN(F76:NU76),2)=0))</f>
        <v>15</v>
      </c>
      <c r="E76" s="1">
        <v>149.21</v>
      </c>
      <c r="F76" s="1" t="s">
        <v>56</v>
      </c>
      <c r="G76" s="1" t="s">
        <v>55</v>
      </c>
      <c r="H76" s="1" t="s">
        <v>56</v>
      </c>
      <c r="I76" s="1" t="s">
        <v>55</v>
      </c>
      <c r="J76" s="1" t="s">
        <v>56</v>
      </c>
      <c r="K76" s="1" t="s">
        <v>55</v>
      </c>
      <c r="L76" s="1" t="s">
        <v>56</v>
      </c>
      <c r="M76" s="1" t="s">
        <v>55</v>
      </c>
      <c r="N76" s="1" t="s">
        <v>56</v>
      </c>
      <c r="O76" s="1" t="s">
        <v>55</v>
      </c>
      <c r="P76" s="1" t="s">
        <v>56</v>
      </c>
      <c r="Q76" s="1" t="s">
        <v>55</v>
      </c>
      <c r="R76" s="1" t="s">
        <v>56</v>
      </c>
      <c r="S76" s="1" t="s">
        <v>55</v>
      </c>
      <c r="T76" s="1" t="s">
        <v>56</v>
      </c>
      <c r="U76" s="1" t="s">
        <v>55</v>
      </c>
      <c r="V76" s="1" t="s">
        <v>56</v>
      </c>
      <c r="W76" s="1" t="s">
        <v>55</v>
      </c>
      <c r="X76" s="1" t="s">
        <v>56</v>
      </c>
      <c r="Y76" s="1" t="s">
        <v>55</v>
      </c>
      <c r="Z76" s="1" t="s">
        <v>56</v>
      </c>
      <c r="AA76" s="1" t="s">
        <v>55</v>
      </c>
      <c r="AB76" s="1" t="s">
        <v>56</v>
      </c>
      <c r="AC76" s="1" t="s">
        <v>55</v>
      </c>
      <c r="AD76" s="1" t="s">
        <v>56</v>
      </c>
      <c r="AE76" s="1" t="s">
        <v>55</v>
      </c>
      <c r="AF76" s="11" t="s">
        <v>56</v>
      </c>
      <c r="AG76" s="11" t="s">
        <v>55</v>
      </c>
      <c r="AH76" s="11" t="s">
        <v>56</v>
      </c>
      <c r="AI76" s="11" t="s">
        <v>55</v>
      </c>
      <c r="AJ76" s="11" t="s">
        <v>56</v>
      </c>
      <c r="AK76" s="11" t="s">
        <v>55</v>
      </c>
      <c r="AL76" s="1" t="s">
        <v>56</v>
      </c>
      <c r="AM76" s="1" t="s">
        <v>55</v>
      </c>
      <c r="AN76" s="17" t="s">
        <v>56</v>
      </c>
      <c r="AO76" s="17" t="s">
        <v>55</v>
      </c>
      <c r="AP76" s="11" t="s">
        <v>56</v>
      </c>
      <c r="AQ76" s="11" t="s">
        <v>55</v>
      </c>
      <c r="AR76" s="10" t="s">
        <v>56</v>
      </c>
      <c r="AS76" s="10" t="s">
        <v>55</v>
      </c>
      <c r="AT76" s="11" t="s">
        <v>56</v>
      </c>
      <c r="AU76" s="11" t="s">
        <v>55</v>
      </c>
      <c r="AV76" s="11" t="s">
        <v>56</v>
      </c>
      <c r="AW76" s="11" t="s">
        <v>55</v>
      </c>
      <c r="AX76" s="11" t="s">
        <v>56</v>
      </c>
      <c r="AY76" s="11" t="s">
        <v>55</v>
      </c>
      <c r="AZ76" s="1" t="s">
        <v>56</v>
      </c>
      <c r="BA76" s="1" t="s">
        <v>55</v>
      </c>
      <c r="BB76" s="1" t="s">
        <v>56</v>
      </c>
      <c r="BC76" s="1" t="s">
        <v>55</v>
      </c>
      <c r="BD76" s="1" t="s">
        <v>56</v>
      </c>
      <c r="BE76" s="1" t="s">
        <v>55</v>
      </c>
      <c r="BF76" s="1" t="s">
        <v>56</v>
      </c>
      <c r="BG76" s="1" t="s">
        <v>55</v>
      </c>
      <c r="BH76" s="1" t="s">
        <v>56</v>
      </c>
      <c r="BI76" s="1" t="s">
        <v>55</v>
      </c>
      <c r="BJ76" s="1" t="s">
        <v>56</v>
      </c>
      <c r="BK76" s="1" t="s">
        <v>55</v>
      </c>
      <c r="BL76" s="1" t="s">
        <v>56</v>
      </c>
      <c r="BM76" s="1" t="s">
        <v>55</v>
      </c>
      <c r="BN76" s="4" t="s">
        <v>56</v>
      </c>
      <c r="BO76" s="4" t="s">
        <v>55</v>
      </c>
      <c r="BP76" s="4" t="s">
        <v>56</v>
      </c>
      <c r="BQ76" s="4" t="s">
        <v>55</v>
      </c>
      <c r="BR76" s="11" t="s">
        <v>56</v>
      </c>
      <c r="BS76" s="11" t="s">
        <v>162</v>
      </c>
      <c r="BT76" s="4" t="s">
        <v>56</v>
      </c>
      <c r="BU76" s="4" t="s">
        <v>55</v>
      </c>
      <c r="BV76" s="4" t="s">
        <v>56</v>
      </c>
      <c r="BW76" s="4" t="s">
        <v>55</v>
      </c>
      <c r="BX76" s="4" t="s">
        <v>56</v>
      </c>
      <c r="BY76" s="4" t="s">
        <v>55</v>
      </c>
      <c r="BZ76" s="10" t="s">
        <v>56</v>
      </c>
      <c r="CA76" s="10" t="s">
        <v>55</v>
      </c>
      <c r="CB76" s="10" t="s">
        <v>56</v>
      </c>
      <c r="CC76" s="10" t="s">
        <v>55</v>
      </c>
      <c r="CD76" s="10" t="s">
        <v>56</v>
      </c>
      <c r="CE76" s="10" t="s">
        <v>55</v>
      </c>
      <c r="CF76" s="10" t="s">
        <v>56</v>
      </c>
      <c r="CG76" s="10" t="s">
        <v>55</v>
      </c>
      <c r="CH76" s="10" t="s">
        <v>56</v>
      </c>
      <c r="CI76" s="10" t="s">
        <v>55</v>
      </c>
      <c r="CJ76" s="10" t="s">
        <v>56</v>
      </c>
      <c r="CK76" s="10" t="s">
        <v>55</v>
      </c>
      <c r="CL76" s="10" t="s">
        <v>56</v>
      </c>
      <c r="CM76" s="10" t="s">
        <v>55</v>
      </c>
      <c r="CN76" s="10" t="s">
        <v>56</v>
      </c>
      <c r="CO76" s="10" t="s">
        <v>55</v>
      </c>
      <c r="CP76" s="10" t="s">
        <v>56</v>
      </c>
      <c r="CQ76" s="10" t="s">
        <v>55</v>
      </c>
      <c r="CR76" s="10" t="s">
        <v>56</v>
      </c>
      <c r="CS76" s="10" t="s">
        <v>55</v>
      </c>
      <c r="CT76" s="10" t="s">
        <v>56</v>
      </c>
      <c r="CU76" s="10" t="s">
        <v>55</v>
      </c>
      <c r="CV76" s="10" t="s">
        <v>56</v>
      </c>
      <c r="CW76" s="10" t="s">
        <v>55</v>
      </c>
      <c r="CX76" s="10" t="s">
        <v>56</v>
      </c>
      <c r="CY76" s="10" t="s">
        <v>55</v>
      </c>
      <c r="CZ76" s="10" t="s">
        <v>56</v>
      </c>
      <c r="DA76" s="10" t="s">
        <v>55</v>
      </c>
      <c r="DB76" s="10" t="s">
        <v>56</v>
      </c>
      <c r="DC76" s="10" t="s">
        <v>55</v>
      </c>
      <c r="DD76" s="10" t="s">
        <v>56</v>
      </c>
      <c r="DE76" s="10" t="s">
        <v>55</v>
      </c>
      <c r="DF76" s="10" t="s">
        <v>56</v>
      </c>
      <c r="DG76" s="10" t="s">
        <v>55</v>
      </c>
      <c r="DH76" s="10" t="s">
        <v>56</v>
      </c>
      <c r="DI76" s="10" t="s">
        <v>55</v>
      </c>
      <c r="DJ76" s="10" t="s">
        <v>56</v>
      </c>
      <c r="DK76" s="10" t="s">
        <v>55</v>
      </c>
      <c r="DL76" s="10" t="s">
        <v>56</v>
      </c>
      <c r="DM76" s="10" t="s">
        <v>55</v>
      </c>
      <c r="DN76" s="10" t="s">
        <v>56</v>
      </c>
      <c r="DO76" s="10" t="s">
        <v>55</v>
      </c>
      <c r="DP76" s="10" t="s">
        <v>56</v>
      </c>
      <c r="DQ76" s="10" t="s">
        <v>55</v>
      </c>
      <c r="DR76" s="10" t="s">
        <v>56</v>
      </c>
      <c r="DS76" s="10" t="s">
        <v>55</v>
      </c>
      <c r="DT76" s="10" t="s">
        <v>56</v>
      </c>
      <c r="DU76" s="10" t="s">
        <v>55</v>
      </c>
      <c r="DV76" s="10" t="s">
        <v>56</v>
      </c>
      <c r="DW76" s="10" t="s">
        <v>55</v>
      </c>
      <c r="DX76" s="10" t="s">
        <v>56</v>
      </c>
      <c r="DY76" s="10" t="s">
        <v>55</v>
      </c>
      <c r="DZ76" s="10" t="s">
        <v>56</v>
      </c>
      <c r="EA76" s="10" t="s">
        <v>55</v>
      </c>
      <c r="EB76" s="10" t="s">
        <v>56</v>
      </c>
      <c r="EC76" s="10" t="s">
        <v>55</v>
      </c>
      <c r="ED76" s="10" t="s">
        <v>56</v>
      </c>
      <c r="EE76" s="10" t="s">
        <v>55</v>
      </c>
      <c r="EF76" s="10" t="s">
        <v>56</v>
      </c>
      <c r="EG76" s="10" t="s">
        <v>55</v>
      </c>
      <c r="EH76" s="10" t="s">
        <v>56</v>
      </c>
      <c r="EI76" s="10" t="s">
        <v>55</v>
      </c>
      <c r="EJ76" s="10" t="s">
        <v>56</v>
      </c>
      <c r="EK76" s="10" t="s">
        <v>55</v>
      </c>
      <c r="EL76" s="10" t="s">
        <v>56</v>
      </c>
      <c r="EM76" s="10" t="s">
        <v>55</v>
      </c>
      <c r="EN76" s="10" t="s">
        <v>56</v>
      </c>
      <c r="EO76" s="10" t="s">
        <v>55</v>
      </c>
      <c r="EP76" s="10" t="s">
        <v>56</v>
      </c>
      <c r="EQ76" s="10" t="s">
        <v>55</v>
      </c>
      <c r="ER76" s="10" t="s">
        <v>56</v>
      </c>
      <c r="ES76" s="10" t="s">
        <v>55</v>
      </c>
      <c r="ET76" s="10" t="s">
        <v>56</v>
      </c>
      <c r="EU76" s="10" t="s">
        <v>55</v>
      </c>
      <c r="EV76" s="10" t="s">
        <v>56</v>
      </c>
      <c r="EW76" s="10" t="s">
        <v>55</v>
      </c>
      <c r="EX76" s="10" t="s">
        <v>56</v>
      </c>
      <c r="EY76" s="10" t="s">
        <v>55</v>
      </c>
      <c r="EZ76" s="10" t="s">
        <v>56</v>
      </c>
      <c r="FA76" s="10" t="s">
        <v>55</v>
      </c>
      <c r="FB76" s="10" t="s">
        <v>56</v>
      </c>
      <c r="FC76" s="10" t="s">
        <v>55</v>
      </c>
      <c r="FD76" s="10" t="s">
        <v>56</v>
      </c>
      <c r="FE76" s="10" t="s">
        <v>55</v>
      </c>
      <c r="FF76" s="10" t="s">
        <v>56</v>
      </c>
      <c r="FG76" s="10" t="s">
        <v>55</v>
      </c>
      <c r="FH76" s="10" t="s">
        <v>56</v>
      </c>
      <c r="FI76" s="10" t="s">
        <v>55</v>
      </c>
      <c r="FJ76" s="10" t="s">
        <v>56</v>
      </c>
      <c r="FK76" s="10" t="s">
        <v>55</v>
      </c>
      <c r="FL76" s="10" t="s">
        <v>56</v>
      </c>
      <c r="FM76" s="10" t="s">
        <v>55</v>
      </c>
      <c r="FN76" s="10" t="s">
        <v>56</v>
      </c>
      <c r="FO76" s="10" t="s">
        <v>55</v>
      </c>
      <c r="FP76" s="10" t="s">
        <v>56</v>
      </c>
      <c r="FQ76" s="10" t="s">
        <v>55</v>
      </c>
      <c r="FR76" s="10" t="s">
        <v>56</v>
      </c>
      <c r="FS76" s="10" t="s">
        <v>55</v>
      </c>
      <c r="FT76" s="10" t="s">
        <v>56</v>
      </c>
      <c r="FU76" s="10" t="s">
        <v>55</v>
      </c>
      <c r="FV76" s="10" t="s">
        <v>56</v>
      </c>
      <c r="FW76" s="10" t="s">
        <v>55</v>
      </c>
      <c r="FX76" s="10" t="s">
        <v>56</v>
      </c>
      <c r="FY76" s="10" t="s">
        <v>55</v>
      </c>
      <c r="FZ76" s="10" t="s">
        <v>56</v>
      </c>
      <c r="GA76" s="10" t="s">
        <v>55</v>
      </c>
      <c r="GB76" s="10" t="s">
        <v>56</v>
      </c>
      <c r="GC76" s="10" t="s">
        <v>55</v>
      </c>
      <c r="GD76" s="10" t="s">
        <v>56</v>
      </c>
      <c r="GE76" s="10" t="s">
        <v>55</v>
      </c>
      <c r="GF76" s="10" t="s">
        <v>56</v>
      </c>
      <c r="GG76" s="10" t="s">
        <v>55</v>
      </c>
      <c r="GH76" s="10" t="s">
        <v>56</v>
      </c>
      <c r="GI76" s="10" t="s">
        <v>55</v>
      </c>
      <c r="GJ76" s="10" t="s">
        <v>56</v>
      </c>
      <c r="GK76" s="10" t="s">
        <v>55</v>
      </c>
      <c r="GL76" s="10" t="s">
        <v>56</v>
      </c>
      <c r="GM76" s="10" t="s">
        <v>55</v>
      </c>
      <c r="GN76" s="10" t="s">
        <v>56</v>
      </c>
      <c r="GO76" s="10" t="s">
        <v>55</v>
      </c>
      <c r="GP76" s="10" t="s">
        <v>56</v>
      </c>
      <c r="GQ76" s="10" t="s">
        <v>55</v>
      </c>
      <c r="GR76" s="10" t="s">
        <v>56</v>
      </c>
      <c r="GS76" s="10" t="s">
        <v>55</v>
      </c>
      <c r="GT76" s="10" t="s">
        <v>56</v>
      </c>
      <c r="GU76" s="10" t="s">
        <v>55</v>
      </c>
      <c r="GV76" s="17" t="s">
        <v>56</v>
      </c>
      <c r="GW76" s="17" t="s">
        <v>55</v>
      </c>
      <c r="GX76" s="10" t="s">
        <v>56</v>
      </c>
      <c r="GY76" s="10" t="s">
        <v>55</v>
      </c>
      <c r="GZ76" s="10">
        <v>70.857900000000001</v>
      </c>
      <c r="HA76" s="10" t="s">
        <v>55</v>
      </c>
      <c r="HB76" s="10">
        <v>64.312799999999996</v>
      </c>
      <c r="HC76" s="10" t="s">
        <v>55</v>
      </c>
      <c r="HD76" s="10" t="s">
        <v>75</v>
      </c>
      <c r="HE76" s="10" t="s">
        <v>55</v>
      </c>
      <c r="HF76" s="10">
        <v>1.002</v>
      </c>
      <c r="HG76" s="10" t="s">
        <v>55</v>
      </c>
      <c r="HH76" s="10" t="s">
        <v>319</v>
      </c>
      <c r="HI76" s="10" t="s">
        <v>55</v>
      </c>
      <c r="HJ76" s="10" t="s">
        <v>319</v>
      </c>
      <c r="HK76" s="10" t="s">
        <v>55</v>
      </c>
      <c r="HL76" s="10">
        <v>6.0633999999999997</v>
      </c>
      <c r="HM76" s="10" t="s">
        <v>55</v>
      </c>
      <c r="HN76" s="10" t="s">
        <v>319</v>
      </c>
      <c r="HO76" s="10" t="s">
        <v>55</v>
      </c>
      <c r="HP76" s="10" t="s">
        <v>56</v>
      </c>
      <c r="HQ76" s="10" t="s">
        <v>55</v>
      </c>
      <c r="HR76" s="10" t="s">
        <v>56</v>
      </c>
      <c r="HS76" s="10" t="s">
        <v>55</v>
      </c>
      <c r="HT76" s="10" t="s">
        <v>56</v>
      </c>
      <c r="HU76" s="10" t="s">
        <v>55</v>
      </c>
      <c r="HV76" s="10" t="s">
        <v>56</v>
      </c>
      <c r="HW76" s="10" t="s">
        <v>55</v>
      </c>
      <c r="HX76" s="10" t="s">
        <v>56</v>
      </c>
      <c r="HY76" s="10" t="s">
        <v>55</v>
      </c>
      <c r="HZ76" s="10" t="s">
        <v>56</v>
      </c>
      <c r="IA76" s="10" t="s">
        <v>55</v>
      </c>
      <c r="IB76" s="10" t="s">
        <v>56</v>
      </c>
      <c r="IC76" s="10" t="s">
        <v>55</v>
      </c>
      <c r="ID76" s="1" t="s">
        <v>56</v>
      </c>
      <c r="IE76" s="1" t="s">
        <v>55</v>
      </c>
      <c r="IF76" s="4" t="s">
        <v>56</v>
      </c>
      <c r="IG76" s="4" t="s">
        <v>55</v>
      </c>
      <c r="IH76" s="4" t="s">
        <v>56</v>
      </c>
      <c r="II76" s="4" t="s">
        <v>55</v>
      </c>
      <c r="IJ76" s="4" t="s">
        <v>56</v>
      </c>
      <c r="IK76" s="4" t="s">
        <v>55</v>
      </c>
      <c r="IL76" s="4" t="s">
        <v>56</v>
      </c>
      <c r="IM76" s="4" t="s">
        <v>55</v>
      </c>
      <c r="IN76" s="4" t="s">
        <v>56</v>
      </c>
      <c r="IO76" s="4" t="s">
        <v>55</v>
      </c>
      <c r="IP76" s="4" t="s">
        <v>56</v>
      </c>
      <c r="IQ76" s="4" t="s">
        <v>55</v>
      </c>
      <c r="IR76" s="4" t="s">
        <v>56</v>
      </c>
      <c r="IS76" s="4" t="s">
        <v>55</v>
      </c>
      <c r="IT76" s="18" t="s">
        <v>56</v>
      </c>
      <c r="IU76" s="18" t="s">
        <v>55</v>
      </c>
      <c r="IV76" s="4" t="s">
        <v>56</v>
      </c>
      <c r="IW76" s="4" t="s">
        <v>55</v>
      </c>
      <c r="IX76" s="4" t="s">
        <v>56</v>
      </c>
      <c r="IY76" s="4" t="s">
        <v>55</v>
      </c>
      <c r="IZ76" s="4" t="s">
        <v>56</v>
      </c>
      <c r="JA76" s="4" t="s">
        <v>55</v>
      </c>
      <c r="JB76" s="4" t="s">
        <v>56</v>
      </c>
      <c r="JC76" s="4" t="s">
        <v>55</v>
      </c>
      <c r="JD76" s="4" t="s">
        <v>56</v>
      </c>
      <c r="JE76" s="4" t="s">
        <v>55</v>
      </c>
      <c r="JF76" s="4" t="s">
        <v>56</v>
      </c>
      <c r="JG76" s="4" t="s">
        <v>55</v>
      </c>
      <c r="JH76" s="4" t="s">
        <v>56</v>
      </c>
      <c r="JI76" s="4" t="s">
        <v>55</v>
      </c>
      <c r="JJ76" s="4" t="s">
        <v>56</v>
      </c>
      <c r="JK76" s="4" t="s">
        <v>55</v>
      </c>
      <c r="JL76" s="4" t="s">
        <v>56</v>
      </c>
      <c r="JM76" s="4" t="s">
        <v>55</v>
      </c>
      <c r="JN76" s="4" t="s">
        <v>56</v>
      </c>
      <c r="JO76" s="4" t="s">
        <v>55</v>
      </c>
      <c r="JP76" s="4" t="s">
        <v>56</v>
      </c>
      <c r="JQ76" s="4" t="s">
        <v>55</v>
      </c>
      <c r="JR76" s="4" t="s">
        <v>56</v>
      </c>
      <c r="JS76" s="4" t="s">
        <v>55</v>
      </c>
      <c r="JT76" s="4" t="s">
        <v>56</v>
      </c>
      <c r="JU76" s="4" t="s">
        <v>55</v>
      </c>
      <c r="JV76" s="4" t="s">
        <v>56</v>
      </c>
      <c r="JW76" s="4" t="s">
        <v>55</v>
      </c>
      <c r="JX76" s="26">
        <v>527.11754592631678</v>
      </c>
      <c r="JY76" s="26">
        <v>745.45678241381995</v>
      </c>
      <c r="JZ76" s="26">
        <v>0</v>
      </c>
      <c r="KA76" s="26">
        <v>0</v>
      </c>
      <c r="KB76" s="26">
        <v>119.74076003286784</v>
      </c>
      <c r="KC76" s="26">
        <v>169.33900680734396</v>
      </c>
      <c r="KD76" s="26">
        <v>0</v>
      </c>
      <c r="KE76" s="26">
        <v>0</v>
      </c>
      <c r="KF76" s="26">
        <v>129.24480322222496</v>
      </c>
      <c r="KG76" s="26">
        <v>182.77975358311241</v>
      </c>
      <c r="KH76" s="17" t="s">
        <v>56</v>
      </c>
      <c r="KI76" s="17" t="s">
        <v>55</v>
      </c>
      <c r="KJ76" s="17" t="s">
        <v>56</v>
      </c>
      <c r="KK76" s="17" t="s">
        <v>55</v>
      </c>
      <c r="KL76" s="17" t="s">
        <v>56</v>
      </c>
      <c r="KM76" s="17" t="s">
        <v>55</v>
      </c>
      <c r="KN76" s="17" t="s">
        <v>56</v>
      </c>
      <c r="KO76" s="17" t="s">
        <v>55</v>
      </c>
      <c r="KP76" s="17" t="s">
        <v>56</v>
      </c>
      <c r="KQ76" s="17" t="s">
        <v>55</v>
      </c>
      <c r="KR76" s="17" t="s">
        <v>56</v>
      </c>
      <c r="KS76" s="17" t="s">
        <v>55</v>
      </c>
      <c r="KT76" s="17" t="s">
        <v>56</v>
      </c>
      <c r="KU76" s="17" t="s">
        <v>55</v>
      </c>
      <c r="KV76" s="17">
        <v>262.8</v>
      </c>
      <c r="KW76" s="17">
        <v>19.8</v>
      </c>
      <c r="KX76" s="17">
        <v>742.5</v>
      </c>
      <c r="KY76" s="17">
        <v>118.4</v>
      </c>
      <c r="KZ76" s="17">
        <v>644.5</v>
      </c>
      <c r="LA76" s="17">
        <v>75.599999999999994</v>
      </c>
      <c r="LB76" s="10" t="s">
        <v>56</v>
      </c>
      <c r="LC76" s="10" t="s">
        <v>55</v>
      </c>
      <c r="LD76" s="10">
        <f>0.2*1000</f>
        <v>200</v>
      </c>
      <c r="LE76" s="10">
        <f>0.1*1000</f>
        <v>100</v>
      </c>
      <c r="LF76" s="10">
        <f>0.22*1000</f>
        <v>220</v>
      </c>
      <c r="LG76" s="10">
        <f>0.03*1000</f>
        <v>30</v>
      </c>
      <c r="LH76" s="10">
        <f>0.2*1000</f>
        <v>200</v>
      </c>
      <c r="LI76" s="10">
        <f>0.04*1000</f>
        <v>40</v>
      </c>
      <c r="LJ76" s="10" t="s">
        <v>56</v>
      </c>
      <c r="LK76" s="10" t="s">
        <v>162</v>
      </c>
      <c r="LL76" s="10" t="s">
        <v>56</v>
      </c>
      <c r="LM76" s="10" t="s">
        <v>162</v>
      </c>
      <c r="LN76" s="10" t="s">
        <v>56</v>
      </c>
      <c r="LO76" s="10" t="s">
        <v>162</v>
      </c>
      <c r="LP76" s="10" t="s">
        <v>56</v>
      </c>
      <c r="LQ76" s="10" t="s">
        <v>162</v>
      </c>
      <c r="LR76" s="10" t="s">
        <v>56</v>
      </c>
      <c r="LS76" s="10" t="s">
        <v>162</v>
      </c>
      <c r="LT76" s="10" t="s">
        <v>56</v>
      </c>
      <c r="LU76" s="10" t="s">
        <v>162</v>
      </c>
      <c r="LV76" s="10" t="s">
        <v>56</v>
      </c>
      <c r="LW76" s="10" t="s">
        <v>162</v>
      </c>
      <c r="LX76" s="10" t="s">
        <v>56</v>
      </c>
      <c r="LY76" s="10" t="s">
        <v>162</v>
      </c>
      <c r="LZ76" s="10" t="s">
        <v>56</v>
      </c>
      <c r="MA76" s="10" t="s">
        <v>162</v>
      </c>
      <c r="MB76" s="10" t="s">
        <v>56</v>
      </c>
      <c r="MC76" s="10" t="s">
        <v>162</v>
      </c>
      <c r="MD76" s="10" t="s">
        <v>56</v>
      </c>
      <c r="ME76" s="10" t="s">
        <v>162</v>
      </c>
      <c r="MF76" s="10" t="s">
        <v>56</v>
      </c>
      <c r="MG76" s="10" t="s">
        <v>162</v>
      </c>
      <c r="MH76" s="10" t="s">
        <v>56</v>
      </c>
      <c r="MI76" s="10" t="s">
        <v>162</v>
      </c>
      <c r="MJ76" s="10" t="s">
        <v>56</v>
      </c>
      <c r="MK76" s="10" t="s">
        <v>162</v>
      </c>
      <c r="ML76" s="10" t="s">
        <v>56</v>
      </c>
      <c r="MM76" s="10" t="s">
        <v>162</v>
      </c>
      <c r="MN76" s="10" t="s">
        <v>56</v>
      </c>
      <c r="MO76" s="10" t="s">
        <v>162</v>
      </c>
      <c r="MP76" s="10" t="s">
        <v>56</v>
      </c>
      <c r="MQ76" s="10" t="s">
        <v>162</v>
      </c>
      <c r="MR76" s="10" t="s">
        <v>56</v>
      </c>
      <c r="MS76" s="10" t="s">
        <v>162</v>
      </c>
      <c r="MT76" s="10" t="s">
        <v>56</v>
      </c>
      <c r="MU76" s="10" t="s">
        <v>162</v>
      </c>
      <c r="MV76" s="10" t="s">
        <v>56</v>
      </c>
      <c r="MW76" s="10" t="s">
        <v>162</v>
      </c>
      <c r="MX76" s="10" t="s">
        <v>56</v>
      </c>
      <c r="MY76" s="10" t="s">
        <v>162</v>
      </c>
      <c r="MZ76" s="10" t="s">
        <v>56</v>
      </c>
      <c r="NA76" s="10" t="s">
        <v>162</v>
      </c>
      <c r="NB76" s="10" t="s">
        <v>56</v>
      </c>
      <c r="NC76" s="10" t="s">
        <v>162</v>
      </c>
      <c r="ND76" s="10" t="s">
        <v>56</v>
      </c>
      <c r="NE76" s="10" t="s">
        <v>162</v>
      </c>
      <c r="NF76" s="10" t="s">
        <v>56</v>
      </c>
      <c r="NG76" s="10" t="s">
        <v>162</v>
      </c>
      <c r="NH76" s="10" t="s">
        <v>56</v>
      </c>
      <c r="NI76" s="10" t="s">
        <v>162</v>
      </c>
      <c r="NJ76" s="10" t="s">
        <v>56</v>
      </c>
      <c r="NK76" s="10" t="s">
        <v>162</v>
      </c>
      <c r="NL76" s="10" t="s">
        <v>56</v>
      </c>
      <c r="NM76" s="10" t="s">
        <v>162</v>
      </c>
      <c r="NN76" s="10" t="s">
        <v>56</v>
      </c>
      <c r="NO76" s="10" t="s">
        <v>162</v>
      </c>
      <c r="NP76" s="10" t="s">
        <v>56</v>
      </c>
      <c r="NQ76" s="10" t="s">
        <v>162</v>
      </c>
      <c r="NR76" s="10" t="s">
        <v>56</v>
      </c>
      <c r="NS76" s="10" t="s">
        <v>55</v>
      </c>
      <c r="NT76" s="10" t="s">
        <v>56</v>
      </c>
      <c r="NU76" s="10" t="s">
        <v>55</v>
      </c>
    </row>
    <row r="77" spans="1:385" x14ac:dyDescent="0.2">
      <c r="A77" t="s">
        <v>874</v>
      </c>
      <c r="B77" s="1" t="s">
        <v>1037</v>
      </c>
      <c r="C77" s="1" t="s">
        <v>843</v>
      </c>
      <c r="D77" s="39" cm="1">
        <f t="array" ref="D77">SUMPRODUCT((ISNUMBER(F77:NU77))*(MOD(COLUMN(F77:NU77),2)=0))</f>
        <v>35</v>
      </c>
      <c r="E77" s="1">
        <v>149.21</v>
      </c>
      <c r="F77" s="1" t="s">
        <v>56</v>
      </c>
      <c r="G77" s="1" t="s">
        <v>55</v>
      </c>
      <c r="H77" s="1" t="s">
        <v>56</v>
      </c>
      <c r="I77" s="1" t="s">
        <v>55</v>
      </c>
      <c r="J77" s="1" t="s">
        <v>56</v>
      </c>
      <c r="K77" s="1" t="s">
        <v>55</v>
      </c>
      <c r="L77" s="1" t="s">
        <v>56</v>
      </c>
      <c r="M77" s="1" t="s">
        <v>55</v>
      </c>
      <c r="N77" s="1" t="s">
        <v>56</v>
      </c>
      <c r="O77" s="1" t="s">
        <v>55</v>
      </c>
      <c r="P77" s="1" t="s">
        <v>56</v>
      </c>
      <c r="Q77" s="1" t="s">
        <v>55</v>
      </c>
      <c r="R77" s="1" t="s">
        <v>56</v>
      </c>
      <c r="S77" s="1" t="s">
        <v>55</v>
      </c>
      <c r="T77" s="1" t="s">
        <v>56</v>
      </c>
      <c r="U77" s="1" t="s">
        <v>55</v>
      </c>
      <c r="V77" s="1" t="s">
        <v>56</v>
      </c>
      <c r="W77" s="1" t="s">
        <v>55</v>
      </c>
      <c r="X77" s="1" t="s">
        <v>56</v>
      </c>
      <c r="Y77" s="1" t="s">
        <v>55</v>
      </c>
      <c r="Z77" s="1" t="s">
        <v>56</v>
      </c>
      <c r="AA77" s="1" t="s">
        <v>55</v>
      </c>
      <c r="AB77" s="1" t="s">
        <v>56</v>
      </c>
      <c r="AC77" s="1" t="s">
        <v>55</v>
      </c>
      <c r="AD77" s="1" t="s">
        <v>56</v>
      </c>
      <c r="AE77" s="1" t="s">
        <v>55</v>
      </c>
      <c r="AF77" s="1" t="s">
        <v>56</v>
      </c>
      <c r="AG77" s="1" t="s">
        <v>55</v>
      </c>
      <c r="AH77" s="1" t="s">
        <v>56</v>
      </c>
      <c r="AI77" s="1" t="s">
        <v>55</v>
      </c>
      <c r="AJ77" s="1" t="s">
        <v>56</v>
      </c>
      <c r="AK77" s="1" t="s">
        <v>55</v>
      </c>
      <c r="AL77" s="1" t="s">
        <v>56</v>
      </c>
      <c r="AM77" s="1" t="s">
        <v>55</v>
      </c>
      <c r="AN77" s="1" t="s">
        <v>56</v>
      </c>
      <c r="AO77" s="1" t="s">
        <v>55</v>
      </c>
      <c r="AP77" s="1" t="s">
        <v>56</v>
      </c>
      <c r="AQ77" s="1" t="s">
        <v>55</v>
      </c>
      <c r="AR77" s="1" t="s">
        <v>56</v>
      </c>
      <c r="AS77" s="1" t="s">
        <v>55</v>
      </c>
      <c r="AT77" s="1" t="s">
        <v>56</v>
      </c>
      <c r="AU77" s="1" t="s">
        <v>55</v>
      </c>
      <c r="AV77" s="1" t="s">
        <v>56</v>
      </c>
      <c r="AW77" s="1" t="s">
        <v>55</v>
      </c>
      <c r="AX77" s="1" t="s">
        <v>56</v>
      </c>
      <c r="AY77" s="1" t="s">
        <v>55</v>
      </c>
      <c r="AZ77" s="1" t="s">
        <v>56</v>
      </c>
      <c r="BA77" s="1" t="s">
        <v>55</v>
      </c>
      <c r="BB77" s="1" t="s">
        <v>56</v>
      </c>
      <c r="BC77" s="1" t="s">
        <v>55</v>
      </c>
      <c r="BD77" s="1" t="s">
        <v>56</v>
      </c>
      <c r="BE77" s="1" t="s">
        <v>55</v>
      </c>
      <c r="BF77" s="1" t="s">
        <v>56</v>
      </c>
      <c r="BG77" s="1" t="s">
        <v>55</v>
      </c>
      <c r="BH77" s="1" t="s">
        <v>56</v>
      </c>
      <c r="BI77" s="1" t="s">
        <v>55</v>
      </c>
      <c r="BJ77" s="1" t="s">
        <v>56</v>
      </c>
      <c r="BK77" s="1" t="s">
        <v>55</v>
      </c>
      <c r="BL77" s="1" t="s">
        <v>56</v>
      </c>
      <c r="BM77" s="1" t="s">
        <v>55</v>
      </c>
      <c r="BN77" s="1" t="s">
        <v>56</v>
      </c>
      <c r="BO77" s="1" t="s">
        <v>55</v>
      </c>
      <c r="BP77" s="1" t="s">
        <v>56</v>
      </c>
      <c r="BQ77" s="1" t="s">
        <v>55</v>
      </c>
      <c r="BR77" s="1" t="s">
        <v>56</v>
      </c>
      <c r="BS77" s="1" t="s">
        <v>55</v>
      </c>
      <c r="BT77" s="1" t="s">
        <v>56</v>
      </c>
      <c r="BU77" s="1" t="s">
        <v>55</v>
      </c>
      <c r="BV77" s="1" t="s">
        <v>56</v>
      </c>
      <c r="BW77" s="1" t="s">
        <v>55</v>
      </c>
      <c r="BX77" s="1" t="s">
        <v>56</v>
      </c>
      <c r="BY77" s="1" t="s">
        <v>55</v>
      </c>
      <c r="BZ77" s="1" t="s">
        <v>56</v>
      </c>
      <c r="CA77" s="1" t="s">
        <v>55</v>
      </c>
      <c r="CB77" s="1" t="s">
        <v>56</v>
      </c>
      <c r="CC77" s="1" t="s">
        <v>55</v>
      </c>
      <c r="CD77" s="1" t="s">
        <v>56</v>
      </c>
      <c r="CE77" s="1" t="s">
        <v>55</v>
      </c>
      <c r="CF77" s="1" t="s">
        <v>56</v>
      </c>
      <c r="CG77" s="1" t="s">
        <v>55</v>
      </c>
      <c r="CH77" s="1" t="s">
        <v>56</v>
      </c>
      <c r="CI77" s="1" t="s">
        <v>55</v>
      </c>
      <c r="CJ77" s="1" t="s">
        <v>56</v>
      </c>
      <c r="CK77" s="1" t="s">
        <v>55</v>
      </c>
      <c r="CL77" s="1" t="s">
        <v>56</v>
      </c>
      <c r="CM77" s="1" t="s">
        <v>55</v>
      </c>
      <c r="CN77" s="1" t="s">
        <v>56</v>
      </c>
      <c r="CO77" s="1" t="s">
        <v>55</v>
      </c>
      <c r="CP77" s="1" t="s">
        <v>56</v>
      </c>
      <c r="CQ77" s="1" t="s">
        <v>55</v>
      </c>
      <c r="CR77" s="1" t="s">
        <v>56</v>
      </c>
      <c r="CS77" s="1" t="s">
        <v>55</v>
      </c>
      <c r="CT77" s="1" t="s">
        <v>56</v>
      </c>
      <c r="CU77" s="1" t="s">
        <v>55</v>
      </c>
      <c r="CV77" s="1" t="s">
        <v>56</v>
      </c>
      <c r="CW77" s="1" t="s">
        <v>55</v>
      </c>
      <c r="CX77" s="1" t="s">
        <v>56</v>
      </c>
      <c r="CY77" s="1" t="s">
        <v>55</v>
      </c>
      <c r="CZ77" s="1" t="s">
        <v>56</v>
      </c>
      <c r="DA77" s="1" t="s">
        <v>55</v>
      </c>
      <c r="DB77" s="1" t="s">
        <v>56</v>
      </c>
      <c r="DC77" s="1" t="s">
        <v>55</v>
      </c>
      <c r="DD77" s="1" t="s">
        <v>56</v>
      </c>
      <c r="DE77" s="1" t="s">
        <v>55</v>
      </c>
      <c r="DF77" s="1" t="s">
        <v>56</v>
      </c>
      <c r="DG77" s="1" t="s">
        <v>55</v>
      </c>
      <c r="DH77" s="1" t="s">
        <v>56</v>
      </c>
      <c r="DI77" s="1" t="s">
        <v>55</v>
      </c>
      <c r="DJ77" s="1" t="s">
        <v>56</v>
      </c>
      <c r="DK77" s="1" t="s">
        <v>55</v>
      </c>
      <c r="DL77" s="1" t="s">
        <v>56</v>
      </c>
      <c r="DM77" s="1" t="s">
        <v>55</v>
      </c>
      <c r="DN77" s="1" t="s">
        <v>56</v>
      </c>
      <c r="DO77" s="1" t="s">
        <v>55</v>
      </c>
      <c r="DP77" s="1" t="s">
        <v>56</v>
      </c>
      <c r="DQ77" s="1" t="s">
        <v>55</v>
      </c>
      <c r="DR77" s="1" t="s">
        <v>56</v>
      </c>
      <c r="DS77" s="1" t="s">
        <v>55</v>
      </c>
      <c r="DT77" s="1" t="s">
        <v>56</v>
      </c>
      <c r="DU77" s="1" t="s">
        <v>55</v>
      </c>
      <c r="DV77" s="1" t="s">
        <v>56</v>
      </c>
      <c r="DW77" s="1" t="s">
        <v>55</v>
      </c>
      <c r="DX77" s="1" t="s">
        <v>56</v>
      </c>
      <c r="DY77" s="1" t="s">
        <v>55</v>
      </c>
      <c r="DZ77" s="1" t="s">
        <v>56</v>
      </c>
      <c r="EA77" s="1" t="s">
        <v>55</v>
      </c>
      <c r="EB77" s="1" t="s">
        <v>56</v>
      </c>
      <c r="EC77" s="1" t="s">
        <v>55</v>
      </c>
      <c r="ED77" s="1" t="s">
        <v>56</v>
      </c>
      <c r="EE77" s="1" t="s">
        <v>55</v>
      </c>
      <c r="EF77" s="1" t="s">
        <v>56</v>
      </c>
      <c r="EG77" s="1" t="s">
        <v>55</v>
      </c>
      <c r="EH77" s="1" t="s">
        <v>56</v>
      </c>
      <c r="EI77" s="1" t="s">
        <v>55</v>
      </c>
      <c r="EJ77" s="1" t="s">
        <v>56</v>
      </c>
      <c r="EK77" s="1" t="s">
        <v>55</v>
      </c>
      <c r="EL77" s="1" t="s">
        <v>56</v>
      </c>
      <c r="EM77" s="1" t="s">
        <v>55</v>
      </c>
      <c r="EN77" s="1" t="s">
        <v>56</v>
      </c>
      <c r="EO77" s="1" t="s">
        <v>55</v>
      </c>
      <c r="EP77" s="1" t="s">
        <v>56</v>
      </c>
      <c r="EQ77" s="1" t="s">
        <v>55</v>
      </c>
      <c r="ER77" s="1" t="s">
        <v>56</v>
      </c>
      <c r="ES77" s="1" t="s">
        <v>55</v>
      </c>
      <c r="ET77" s="1" t="s">
        <v>56</v>
      </c>
      <c r="EU77" s="1" t="s">
        <v>55</v>
      </c>
      <c r="EV77" s="1" t="s">
        <v>56</v>
      </c>
      <c r="EW77" s="1" t="s">
        <v>55</v>
      </c>
      <c r="EX77" s="1" t="s">
        <v>56</v>
      </c>
      <c r="EY77" s="1" t="s">
        <v>55</v>
      </c>
      <c r="EZ77" s="1" t="s">
        <v>56</v>
      </c>
      <c r="FA77" s="1" t="s">
        <v>55</v>
      </c>
      <c r="FB77" s="1" t="s">
        <v>56</v>
      </c>
      <c r="FC77" s="1" t="s">
        <v>55</v>
      </c>
      <c r="FD77" s="1" t="s">
        <v>56</v>
      </c>
      <c r="FE77" s="1" t="s">
        <v>55</v>
      </c>
      <c r="FF77" s="1" t="s">
        <v>56</v>
      </c>
      <c r="FG77" s="1" t="s">
        <v>55</v>
      </c>
      <c r="FH77" s="1" t="s">
        <v>56</v>
      </c>
      <c r="FI77" s="1" t="s">
        <v>55</v>
      </c>
      <c r="FJ77" s="1" t="s">
        <v>56</v>
      </c>
      <c r="FK77" s="1" t="s">
        <v>55</v>
      </c>
      <c r="FL77" s="1" t="s">
        <v>56</v>
      </c>
      <c r="FM77" s="1" t="s">
        <v>55</v>
      </c>
      <c r="FN77" s="1" t="s">
        <v>56</v>
      </c>
      <c r="FO77" s="1" t="s">
        <v>55</v>
      </c>
      <c r="FP77" s="1" t="s">
        <v>56</v>
      </c>
      <c r="FQ77" s="1" t="s">
        <v>55</v>
      </c>
      <c r="FR77" s="1" t="s">
        <v>56</v>
      </c>
      <c r="FS77" s="1" t="s">
        <v>55</v>
      </c>
      <c r="FT77" s="1" t="s">
        <v>56</v>
      </c>
      <c r="FU77" s="1" t="s">
        <v>55</v>
      </c>
      <c r="FV77" s="1" t="s">
        <v>56</v>
      </c>
      <c r="FW77" s="1" t="s">
        <v>55</v>
      </c>
      <c r="FX77" s="1" t="s">
        <v>56</v>
      </c>
      <c r="FY77" s="1" t="s">
        <v>55</v>
      </c>
      <c r="FZ77" s="1" t="s">
        <v>56</v>
      </c>
      <c r="GA77" s="1" t="s">
        <v>55</v>
      </c>
      <c r="GB77" s="1" t="s">
        <v>56</v>
      </c>
      <c r="GC77" s="1" t="s">
        <v>55</v>
      </c>
      <c r="GD77" s="1" t="s">
        <v>56</v>
      </c>
      <c r="GE77" s="1" t="s">
        <v>55</v>
      </c>
      <c r="GF77" s="1" t="s">
        <v>56</v>
      </c>
      <c r="GG77" s="1" t="s">
        <v>55</v>
      </c>
      <c r="GH77" s="1" t="s">
        <v>56</v>
      </c>
      <c r="GI77" s="1" t="s">
        <v>55</v>
      </c>
      <c r="GJ77" s="1" t="s">
        <v>56</v>
      </c>
      <c r="GK77" s="1" t="s">
        <v>55</v>
      </c>
      <c r="GL77" s="1" t="s">
        <v>56</v>
      </c>
      <c r="GM77" s="1" t="s">
        <v>55</v>
      </c>
      <c r="GN77" s="1" t="s">
        <v>56</v>
      </c>
      <c r="GO77" s="1" t="s">
        <v>55</v>
      </c>
      <c r="GP77" s="1" t="s">
        <v>56</v>
      </c>
      <c r="GQ77" s="1" t="s">
        <v>55</v>
      </c>
      <c r="GR77" s="1" t="s">
        <v>56</v>
      </c>
      <c r="GS77" s="1" t="s">
        <v>55</v>
      </c>
      <c r="GT77" s="1" t="s">
        <v>56</v>
      </c>
      <c r="GU77" s="1" t="s">
        <v>55</v>
      </c>
      <c r="GV77" s="17" t="s">
        <v>56</v>
      </c>
      <c r="GW77" s="17" t="s">
        <v>55</v>
      </c>
      <c r="GX77" s="10" t="s">
        <v>56</v>
      </c>
      <c r="GY77" s="10" t="s">
        <v>55</v>
      </c>
      <c r="GZ77" s="10" t="s">
        <v>56</v>
      </c>
      <c r="HA77" s="10" t="s">
        <v>55</v>
      </c>
      <c r="HB77" s="10" t="s">
        <v>56</v>
      </c>
      <c r="HC77" s="10" t="s">
        <v>55</v>
      </c>
      <c r="HD77" s="10" t="s">
        <v>56</v>
      </c>
      <c r="HE77" s="10" t="s">
        <v>55</v>
      </c>
      <c r="HF77" s="10" t="s">
        <v>56</v>
      </c>
      <c r="HG77" s="10" t="s">
        <v>55</v>
      </c>
      <c r="HH77" s="10" t="s">
        <v>56</v>
      </c>
      <c r="HI77" s="10" t="s">
        <v>55</v>
      </c>
      <c r="HJ77" s="10" t="s">
        <v>56</v>
      </c>
      <c r="HK77" s="10" t="s">
        <v>55</v>
      </c>
      <c r="HL77" s="10" t="s">
        <v>56</v>
      </c>
      <c r="HM77" s="10" t="s">
        <v>55</v>
      </c>
      <c r="HN77" s="10" t="s">
        <v>56</v>
      </c>
      <c r="HO77" s="10" t="s">
        <v>55</v>
      </c>
      <c r="HP77" s="10" t="s">
        <v>56</v>
      </c>
      <c r="HQ77" s="10" t="s">
        <v>55</v>
      </c>
      <c r="HR77" s="10" t="s">
        <v>56</v>
      </c>
      <c r="HS77" s="10" t="s">
        <v>55</v>
      </c>
      <c r="HT77" s="10" t="s">
        <v>56</v>
      </c>
      <c r="HU77" s="10" t="s">
        <v>55</v>
      </c>
      <c r="HV77" s="10" t="s">
        <v>56</v>
      </c>
      <c r="HW77" s="10" t="s">
        <v>55</v>
      </c>
      <c r="HX77" s="10" t="s">
        <v>56</v>
      </c>
      <c r="HY77" s="10" t="s">
        <v>55</v>
      </c>
      <c r="HZ77" s="10" t="s">
        <v>56</v>
      </c>
      <c r="IA77" s="10" t="s">
        <v>55</v>
      </c>
      <c r="IB77" s="10" t="s">
        <v>56</v>
      </c>
      <c r="IC77" s="10" t="s">
        <v>55</v>
      </c>
      <c r="ID77" s="10" t="s">
        <v>56</v>
      </c>
      <c r="IE77" s="10" t="s">
        <v>55</v>
      </c>
      <c r="IF77" s="10" t="s">
        <v>56</v>
      </c>
      <c r="IG77" s="10" t="s">
        <v>55</v>
      </c>
      <c r="IH77" s="4" t="s">
        <v>372</v>
      </c>
      <c r="II77" s="4" t="s">
        <v>55</v>
      </c>
      <c r="IJ77" s="4" t="s">
        <v>372</v>
      </c>
      <c r="IK77" s="4" t="s">
        <v>55</v>
      </c>
      <c r="IL77" s="4">
        <v>0.1</v>
      </c>
      <c r="IM77" s="4" t="s">
        <v>55</v>
      </c>
      <c r="IN77" s="4" t="s">
        <v>372</v>
      </c>
      <c r="IO77" s="4" t="s">
        <v>55</v>
      </c>
      <c r="IP77" s="4">
        <v>1</v>
      </c>
      <c r="IQ77" s="4" t="s">
        <v>55</v>
      </c>
      <c r="IR77" s="4" t="s">
        <v>56</v>
      </c>
      <c r="IS77" s="4" t="s">
        <v>55</v>
      </c>
      <c r="IT77" s="4" t="s">
        <v>56</v>
      </c>
      <c r="IU77" s="4" t="s">
        <v>55</v>
      </c>
      <c r="IV77" s="4" t="s">
        <v>56</v>
      </c>
      <c r="IW77" s="4" t="s">
        <v>55</v>
      </c>
      <c r="IX77" s="4">
        <f>1.39*1000</f>
        <v>1390</v>
      </c>
      <c r="IY77" s="4" t="s">
        <v>55</v>
      </c>
      <c r="IZ77" s="4" t="s">
        <v>319</v>
      </c>
      <c r="JA77" s="4" t="s">
        <v>55</v>
      </c>
      <c r="JB77" s="4">
        <f>0.41*1000</f>
        <v>410</v>
      </c>
      <c r="JC77" s="4" t="s">
        <v>55</v>
      </c>
      <c r="JD77" s="4" t="s">
        <v>319</v>
      </c>
      <c r="JE77" s="4" t="s">
        <v>55</v>
      </c>
      <c r="JF77" s="4" t="s">
        <v>56</v>
      </c>
      <c r="JG77" s="4" t="s">
        <v>55</v>
      </c>
      <c r="JH77" s="4" t="s">
        <v>56</v>
      </c>
      <c r="JI77" s="4" t="s">
        <v>55</v>
      </c>
      <c r="JJ77" s="4" t="s">
        <v>56</v>
      </c>
      <c r="JK77" s="4" t="s">
        <v>55</v>
      </c>
      <c r="JL77" s="4" t="s">
        <v>56</v>
      </c>
      <c r="JM77" s="4" t="s">
        <v>55</v>
      </c>
      <c r="JN77" s="4" t="s">
        <v>56</v>
      </c>
      <c r="JO77" s="4" t="s">
        <v>55</v>
      </c>
      <c r="JP77" s="4" t="s">
        <v>56</v>
      </c>
      <c r="JQ77" s="4" t="s">
        <v>55</v>
      </c>
      <c r="JR77" s="4" t="s">
        <v>56</v>
      </c>
      <c r="JS77" s="4" t="s">
        <v>55</v>
      </c>
      <c r="JT77" s="4" t="s">
        <v>56</v>
      </c>
      <c r="JU77" s="4" t="s">
        <v>55</v>
      </c>
      <c r="JV77" s="4">
        <v>3.67</v>
      </c>
      <c r="JW77" s="4" t="s">
        <v>55</v>
      </c>
      <c r="JX77" s="4" t="s">
        <v>56</v>
      </c>
      <c r="JY77" s="4" t="s">
        <v>55</v>
      </c>
      <c r="JZ77" s="4" t="s">
        <v>56</v>
      </c>
      <c r="KA77" s="4" t="s">
        <v>55</v>
      </c>
      <c r="KB77" s="4" t="s">
        <v>56</v>
      </c>
      <c r="KC77" s="4" t="s">
        <v>55</v>
      </c>
      <c r="KD77" s="4" t="s">
        <v>56</v>
      </c>
      <c r="KE77" s="4" t="s">
        <v>55</v>
      </c>
      <c r="KF77" s="4" t="s">
        <v>56</v>
      </c>
      <c r="KG77" s="4" t="s">
        <v>55</v>
      </c>
      <c r="KH77" s="4" t="s">
        <v>319</v>
      </c>
      <c r="KI77" s="4" t="s">
        <v>55</v>
      </c>
      <c r="KJ77" s="4" t="s">
        <v>319</v>
      </c>
      <c r="KK77" s="4" t="s">
        <v>55</v>
      </c>
      <c r="KL77" s="4" t="s">
        <v>319</v>
      </c>
      <c r="KM77" s="4" t="s">
        <v>55</v>
      </c>
      <c r="KN77" s="4" t="s">
        <v>319</v>
      </c>
      <c r="KO77" s="4" t="s">
        <v>55</v>
      </c>
      <c r="KP77" s="4" t="s">
        <v>319</v>
      </c>
      <c r="KQ77" s="4" t="s">
        <v>55</v>
      </c>
      <c r="KR77" s="17" t="s">
        <v>56</v>
      </c>
      <c r="KS77" s="17" t="s">
        <v>55</v>
      </c>
      <c r="KT77" s="17" t="s">
        <v>56</v>
      </c>
      <c r="KU77" s="17" t="s">
        <v>55</v>
      </c>
      <c r="KV77" s="17" t="s">
        <v>56</v>
      </c>
      <c r="KW77" s="17" t="s">
        <v>55</v>
      </c>
      <c r="KX77" s="17" t="s">
        <v>56</v>
      </c>
      <c r="KY77" s="17" t="s">
        <v>55</v>
      </c>
      <c r="KZ77" s="17" t="s">
        <v>56</v>
      </c>
      <c r="LA77" s="17" t="s">
        <v>55</v>
      </c>
      <c r="LB77" s="10">
        <f>((0.6/100)*1000000000)/E77</f>
        <v>40211.782052141272</v>
      </c>
      <c r="LC77" s="10">
        <f>((0.04/100)*1000000000)/E77</f>
        <v>2680.7854701427518</v>
      </c>
      <c r="LD77" s="10" t="s">
        <v>56</v>
      </c>
      <c r="LE77" s="10" t="s">
        <v>55</v>
      </c>
      <c r="LF77" s="10" t="s">
        <v>56</v>
      </c>
      <c r="LG77" s="10" t="s">
        <v>55</v>
      </c>
      <c r="LH77" s="10" t="s">
        <v>56</v>
      </c>
      <c r="LI77" s="10" t="s">
        <v>55</v>
      </c>
      <c r="LJ77" s="10">
        <f>((4.94/100)*1000000000)/E77</f>
        <v>331077.0055626299</v>
      </c>
      <c r="LK77" s="10" t="s">
        <v>162</v>
      </c>
      <c r="LL77" s="10">
        <f>(27.6*1000000)/E77</f>
        <v>184974.19743984987</v>
      </c>
      <c r="LM77" s="10">
        <f>(3.01*1000000)/E77</f>
        <v>20172.910662824208</v>
      </c>
      <c r="LN77" s="10">
        <f>((0.48/100)*1000000000)/E77</f>
        <v>32169.42564171302</v>
      </c>
      <c r="LO77" s="10" t="s">
        <v>162</v>
      </c>
      <c r="LP77" s="10">
        <f>((1.54/100)*1000000000)/E77</f>
        <v>103210.24060049593</v>
      </c>
      <c r="LQ77" s="10" t="s">
        <v>55</v>
      </c>
      <c r="LR77" s="10">
        <f>((3.65/100)*1000000000)/E77</f>
        <v>244621.67415052609</v>
      </c>
      <c r="LS77" s="10" t="s">
        <v>55</v>
      </c>
      <c r="LT77" s="10">
        <f>((3.38/100)*1000000000)/E77</f>
        <v>226526.37222706253</v>
      </c>
      <c r="LU77" s="10" t="s">
        <v>55</v>
      </c>
      <c r="LV77" s="10">
        <f>((35/100)*1000000)/E77</f>
        <v>2345.6872863749077</v>
      </c>
      <c r="LW77" s="10" t="s">
        <v>55</v>
      </c>
      <c r="LX77" s="10">
        <f>((30/100)*1000000)/E77</f>
        <v>2010.5891026070638</v>
      </c>
      <c r="LY77" s="10" t="s">
        <v>55</v>
      </c>
      <c r="LZ77" s="10">
        <f>((33/100)*1000000)/E77</f>
        <v>2211.6480128677699</v>
      </c>
      <c r="MA77" s="10" t="s">
        <v>55</v>
      </c>
      <c r="MB77" s="10">
        <f>((29/100)*1000000)/E77</f>
        <v>1943.5694658534949</v>
      </c>
      <c r="MC77" s="10" t="s">
        <v>55</v>
      </c>
      <c r="MD77" s="4">
        <v>1549</v>
      </c>
      <c r="ME77" s="4" t="s">
        <v>55</v>
      </c>
      <c r="MF77" s="4">
        <v>1273</v>
      </c>
      <c r="MG77" s="4" t="s">
        <v>55</v>
      </c>
      <c r="MH77" s="4">
        <v>1153</v>
      </c>
      <c r="MI77" s="4" t="s">
        <v>55</v>
      </c>
      <c r="MJ77" s="4">
        <v>197</v>
      </c>
      <c r="MK77" s="4" t="s">
        <v>55</v>
      </c>
      <c r="ML77" s="4">
        <v>1303</v>
      </c>
      <c r="MM77" s="4" t="s">
        <v>55</v>
      </c>
      <c r="MN77" s="4">
        <v>1092</v>
      </c>
      <c r="MO77" s="4" t="s">
        <v>55</v>
      </c>
      <c r="MP77" s="4">
        <v>949</v>
      </c>
      <c r="MQ77" s="4" t="s">
        <v>55</v>
      </c>
      <c r="MR77" s="4">
        <v>1245</v>
      </c>
      <c r="MS77" s="4" t="s">
        <v>55</v>
      </c>
      <c r="MT77" s="4">
        <v>1145</v>
      </c>
      <c r="MU77" s="4" t="s">
        <v>55</v>
      </c>
      <c r="MV77" s="4">
        <v>1123</v>
      </c>
      <c r="MW77" s="4" t="s">
        <v>55</v>
      </c>
      <c r="MX77" s="4">
        <v>760</v>
      </c>
      <c r="MY77" s="4" t="s">
        <v>55</v>
      </c>
      <c r="MZ77" s="4">
        <v>1485</v>
      </c>
      <c r="NA77" s="4" t="s">
        <v>55</v>
      </c>
      <c r="NB77" s="10">
        <f>(0.238*1000000)/E77</f>
        <v>1595.0673547349372</v>
      </c>
      <c r="NC77" s="10" t="s">
        <v>55</v>
      </c>
      <c r="ND77" s="10">
        <f>(0.561*1000000)/E77</f>
        <v>3759.8016218752091</v>
      </c>
      <c r="NE77" s="10" t="s">
        <v>55</v>
      </c>
      <c r="NF77" s="10">
        <f>(0.784*1000000)/E77</f>
        <v>5254.3395214797929</v>
      </c>
      <c r="NG77" s="10" t="s">
        <v>55</v>
      </c>
      <c r="NH77" s="10">
        <f>(0.605*1000000)/E77</f>
        <v>4054.6880235909121</v>
      </c>
      <c r="NI77" s="10" t="s">
        <v>55</v>
      </c>
      <c r="NJ77" s="10">
        <f>(8.35*1000000)/E77</f>
        <v>55961.396689229943</v>
      </c>
      <c r="NK77" s="10" t="s">
        <v>55</v>
      </c>
      <c r="NL77" s="10" t="s">
        <v>658</v>
      </c>
      <c r="NM77" s="4" t="s">
        <v>55</v>
      </c>
      <c r="NN77" s="4">
        <f>((5.67/100)*1000000)/E77</f>
        <v>380.00134039273507</v>
      </c>
      <c r="NO77" s="4" t="s">
        <v>55</v>
      </c>
      <c r="NP77" s="4">
        <f>(17*1000000)/E77</f>
        <v>113933.38248106695</v>
      </c>
      <c r="NQ77" s="4">
        <f>(1.2*1000000)/E77</f>
        <v>8042.356410428255</v>
      </c>
      <c r="NR77" s="10" t="s">
        <v>56</v>
      </c>
      <c r="NS77" s="10" t="s">
        <v>55</v>
      </c>
      <c r="NT77" s="10" t="s">
        <v>56</v>
      </c>
      <c r="NU77" s="10" t="s">
        <v>55</v>
      </c>
    </row>
    <row r="78" spans="1:385" x14ac:dyDescent="0.2">
      <c r="A78" t="s">
        <v>588</v>
      </c>
      <c r="B78" s="1" t="s">
        <v>1037</v>
      </c>
      <c r="C78" s="1" t="s">
        <v>858</v>
      </c>
      <c r="D78" s="39" cm="1">
        <f t="array" ref="D78">SUMPRODUCT((ISNUMBER(F78:NU78))*(MOD(COLUMN(F78:NU78),2)=0))</f>
        <v>2</v>
      </c>
      <c r="E78" s="1">
        <v>146.15</v>
      </c>
      <c r="F78" s="4" t="s">
        <v>56</v>
      </c>
      <c r="G78" s="4" t="s">
        <v>55</v>
      </c>
      <c r="H78" s="4" t="s">
        <v>56</v>
      </c>
      <c r="I78" s="4" t="s">
        <v>55</v>
      </c>
      <c r="J78" s="4" t="s">
        <v>56</v>
      </c>
      <c r="K78" s="4" t="s">
        <v>55</v>
      </c>
      <c r="L78" s="4" t="s">
        <v>56</v>
      </c>
      <c r="M78" s="4" t="s">
        <v>55</v>
      </c>
      <c r="N78" s="4" t="s">
        <v>56</v>
      </c>
      <c r="O78" s="4" t="s">
        <v>55</v>
      </c>
      <c r="P78" s="4" t="s">
        <v>56</v>
      </c>
      <c r="Q78" s="4" t="s">
        <v>55</v>
      </c>
      <c r="R78" s="4" t="s">
        <v>56</v>
      </c>
      <c r="S78" s="4" t="s">
        <v>55</v>
      </c>
      <c r="T78" s="4" t="s">
        <v>56</v>
      </c>
      <c r="U78" s="4" t="s">
        <v>55</v>
      </c>
      <c r="V78" s="4" t="s">
        <v>56</v>
      </c>
      <c r="W78" s="4" t="s">
        <v>55</v>
      </c>
      <c r="X78" s="4" t="s">
        <v>56</v>
      </c>
      <c r="Y78" s="4" t="s">
        <v>55</v>
      </c>
      <c r="Z78" s="4" t="s">
        <v>56</v>
      </c>
      <c r="AA78" s="4" t="s">
        <v>55</v>
      </c>
      <c r="AB78" s="4" t="s">
        <v>56</v>
      </c>
      <c r="AC78" s="4" t="s">
        <v>55</v>
      </c>
      <c r="AD78" s="4" t="s">
        <v>56</v>
      </c>
      <c r="AE78" s="4" t="s">
        <v>55</v>
      </c>
      <c r="AF78" s="4" t="s">
        <v>56</v>
      </c>
      <c r="AG78" s="4" t="s">
        <v>55</v>
      </c>
      <c r="AH78" s="4" t="s">
        <v>56</v>
      </c>
      <c r="AI78" s="4" t="s">
        <v>55</v>
      </c>
      <c r="AJ78" s="4" t="s">
        <v>56</v>
      </c>
      <c r="AK78" s="4" t="s">
        <v>55</v>
      </c>
      <c r="AL78" s="4" t="s">
        <v>56</v>
      </c>
      <c r="AM78" s="4" t="s">
        <v>55</v>
      </c>
      <c r="AN78" s="4" t="s">
        <v>56</v>
      </c>
      <c r="AO78" s="4" t="s">
        <v>55</v>
      </c>
      <c r="AP78" s="4" t="s">
        <v>56</v>
      </c>
      <c r="AQ78" s="4" t="s">
        <v>55</v>
      </c>
      <c r="AR78" s="10" t="s">
        <v>56</v>
      </c>
      <c r="AS78" s="10" t="s">
        <v>55</v>
      </c>
      <c r="AT78" s="4" t="s">
        <v>56</v>
      </c>
      <c r="AU78" s="4" t="s">
        <v>55</v>
      </c>
      <c r="AV78" s="4" t="s">
        <v>56</v>
      </c>
      <c r="AW78" s="4" t="s">
        <v>55</v>
      </c>
      <c r="AX78" s="4" t="s">
        <v>56</v>
      </c>
      <c r="AY78" s="4" t="s">
        <v>55</v>
      </c>
      <c r="AZ78" s="4" t="s">
        <v>56</v>
      </c>
      <c r="BA78" s="4" t="s">
        <v>55</v>
      </c>
      <c r="BB78" s="4" t="s">
        <v>56</v>
      </c>
      <c r="BC78" s="4" t="s">
        <v>55</v>
      </c>
      <c r="BD78" s="4" t="s">
        <v>56</v>
      </c>
      <c r="BE78" s="4" t="s">
        <v>55</v>
      </c>
      <c r="BF78" s="4" t="s">
        <v>56</v>
      </c>
      <c r="BG78" s="4" t="s">
        <v>55</v>
      </c>
      <c r="BH78" s="4" t="s">
        <v>56</v>
      </c>
      <c r="BI78" s="4" t="s">
        <v>55</v>
      </c>
      <c r="BJ78" s="4" t="s">
        <v>56</v>
      </c>
      <c r="BK78" s="4" t="s">
        <v>55</v>
      </c>
      <c r="BL78" s="4" t="s">
        <v>56</v>
      </c>
      <c r="BM78" s="4" t="s">
        <v>55</v>
      </c>
      <c r="BN78" s="4" t="s">
        <v>56</v>
      </c>
      <c r="BO78" s="4" t="s">
        <v>55</v>
      </c>
      <c r="BP78" s="4" t="s">
        <v>56</v>
      </c>
      <c r="BQ78" s="4" t="s">
        <v>55</v>
      </c>
      <c r="BR78" s="4" t="s">
        <v>56</v>
      </c>
      <c r="BS78" s="4" t="s">
        <v>55</v>
      </c>
      <c r="BT78" s="4" t="s">
        <v>56</v>
      </c>
      <c r="BU78" s="4" t="s">
        <v>55</v>
      </c>
      <c r="BV78" s="4" t="s">
        <v>56</v>
      </c>
      <c r="BW78" s="4" t="s">
        <v>55</v>
      </c>
      <c r="BX78" s="4" t="s">
        <v>56</v>
      </c>
      <c r="BY78" s="4" t="s">
        <v>55</v>
      </c>
      <c r="BZ78" s="4" t="s">
        <v>56</v>
      </c>
      <c r="CA78" s="4" t="s">
        <v>55</v>
      </c>
      <c r="CB78" s="4" t="s">
        <v>56</v>
      </c>
      <c r="CC78" s="4" t="s">
        <v>55</v>
      </c>
      <c r="CD78" s="4" t="s">
        <v>56</v>
      </c>
      <c r="CE78" s="4" t="s">
        <v>55</v>
      </c>
      <c r="CF78" s="4" t="s">
        <v>56</v>
      </c>
      <c r="CG78" s="4" t="s">
        <v>55</v>
      </c>
      <c r="CH78" s="4" t="s">
        <v>56</v>
      </c>
      <c r="CI78" s="4" t="s">
        <v>55</v>
      </c>
      <c r="CJ78" s="4" t="s">
        <v>56</v>
      </c>
      <c r="CK78" s="4" t="s">
        <v>55</v>
      </c>
      <c r="CL78" s="4" t="s">
        <v>56</v>
      </c>
      <c r="CM78" s="4" t="s">
        <v>55</v>
      </c>
      <c r="CN78" s="4" t="s">
        <v>56</v>
      </c>
      <c r="CO78" s="4" t="s">
        <v>55</v>
      </c>
      <c r="CP78" s="4" t="s">
        <v>56</v>
      </c>
      <c r="CQ78" s="4" t="s">
        <v>55</v>
      </c>
      <c r="CR78" s="4" t="s">
        <v>56</v>
      </c>
      <c r="CS78" s="4" t="s">
        <v>55</v>
      </c>
      <c r="CT78" s="4" t="s">
        <v>56</v>
      </c>
      <c r="CU78" s="4" t="s">
        <v>55</v>
      </c>
      <c r="CV78" s="4" t="s">
        <v>56</v>
      </c>
      <c r="CW78" s="4" t="s">
        <v>55</v>
      </c>
      <c r="CX78" s="4" t="s">
        <v>56</v>
      </c>
      <c r="CY78" s="4" t="s">
        <v>55</v>
      </c>
      <c r="CZ78" s="4" t="s">
        <v>56</v>
      </c>
      <c r="DA78" s="4" t="s">
        <v>55</v>
      </c>
      <c r="DB78" s="4" t="s">
        <v>56</v>
      </c>
      <c r="DC78" s="4" t="s">
        <v>55</v>
      </c>
      <c r="DD78" s="4" t="s">
        <v>56</v>
      </c>
      <c r="DE78" s="4" t="s">
        <v>55</v>
      </c>
      <c r="DF78" s="4" t="s">
        <v>56</v>
      </c>
      <c r="DG78" s="4" t="s">
        <v>55</v>
      </c>
      <c r="DH78" s="4" t="s">
        <v>56</v>
      </c>
      <c r="DI78" s="4" t="s">
        <v>55</v>
      </c>
      <c r="DJ78" s="4" t="s">
        <v>56</v>
      </c>
      <c r="DK78" s="4" t="s">
        <v>55</v>
      </c>
      <c r="DL78" s="4" t="s">
        <v>56</v>
      </c>
      <c r="DM78" s="4" t="s">
        <v>55</v>
      </c>
      <c r="DN78" s="4" t="s">
        <v>56</v>
      </c>
      <c r="DO78" s="4" t="s">
        <v>55</v>
      </c>
      <c r="DP78" s="4" t="s">
        <v>56</v>
      </c>
      <c r="DQ78" s="4" t="s">
        <v>55</v>
      </c>
      <c r="DR78" s="4" t="s">
        <v>56</v>
      </c>
      <c r="DS78" s="4" t="s">
        <v>55</v>
      </c>
      <c r="DT78" s="4" t="s">
        <v>56</v>
      </c>
      <c r="DU78" s="4" t="s">
        <v>55</v>
      </c>
      <c r="DV78" s="4" t="s">
        <v>56</v>
      </c>
      <c r="DW78" s="4" t="s">
        <v>55</v>
      </c>
      <c r="DX78" s="4" t="s">
        <v>56</v>
      </c>
      <c r="DY78" s="4" t="s">
        <v>55</v>
      </c>
      <c r="DZ78" s="4" t="s">
        <v>56</v>
      </c>
      <c r="EA78" s="4" t="s">
        <v>55</v>
      </c>
      <c r="EB78" s="4" t="s">
        <v>56</v>
      </c>
      <c r="EC78" s="4" t="s">
        <v>55</v>
      </c>
      <c r="ED78" s="4" t="s">
        <v>56</v>
      </c>
      <c r="EE78" s="4" t="s">
        <v>55</v>
      </c>
      <c r="EF78" s="4" t="s">
        <v>56</v>
      </c>
      <c r="EG78" s="4" t="s">
        <v>55</v>
      </c>
      <c r="EH78" s="4" t="s">
        <v>56</v>
      </c>
      <c r="EI78" s="4" t="s">
        <v>55</v>
      </c>
      <c r="EJ78" s="4" t="s">
        <v>56</v>
      </c>
      <c r="EK78" s="4" t="s">
        <v>55</v>
      </c>
      <c r="EL78" s="4" t="s">
        <v>56</v>
      </c>
      <c r="EM78" s="4" t="s">
        <v>55</v>
      </c>
      <c r="EN78" s="4" t="s">
        <v>56</v>
      </c>
      <c r="EO78" s="4" t="s">
        <v>55</v>
      </c>
      <c r="EP78" s="4" t="s">
        <v>56</v>
      </c>
      <c r="EQ78" s="4" t="s">
        <v>55</v>
      </c>
      <c r="ER78" s="4" t="s">
        <v>56</v>
      </c>
      <c r="ES78" s="4" t="s">
        <v>55</v>
      </c>
      <c r="ET78" s="4" t="s">
        <v>56</v>
      </c>
      <c r="EU78" s="4" t="s">
        <v>55</v>
      </c>
      <c r="EV78" s="4" t="s">
        <v>56</v>
      </c>
      <c r="EW78" s="4" t="s">
        <v>55</v>
      </c>
      <c r="EX78" s="4" t="s">
        <v>56</v>
      </c>
      <c r="EY78" s="4" t="s">
        <v>55</v>
      </c>
      <c r="EZ78" s="4" t="s">
        <v>56</v>
      </c>
      <c r="FA78" s="4" t="s">
        <v>55</v>
      </c>
      <c r="FB78" s="4" t="s">
        <v>56</v>
      </c>
      <c r="FC78" s="4" t="s">
        <v>55</v>
      </c>
      <c r="FD78" s="4" t="s">
        <v>56</v>
      </c>
      <c r="FE78" s="4" t="s">
        <v>55</v>
      </c>
      <c r="FF78" s="4" t="s">
        <v>56</v>
      </c>
      <c r="FG78" s="4" t="s">
        <v>55</v>
      </c>
      <c r="FH78" s="4" t="s">
        <v>56</v>
      </c>
      <c r="FI78" s="4" t="s">
        <v>55</v>
      </c>
      <c r="FJ78" s="4" t="s">
        <v>56</v>
      </c>
      <c r="FK78" s="4" t="s">
        <v>55</v>
      </c>
      <c r="FL78" s="4" t="s">
        <v>56</v>
      </c>
      <c r="FM78" s="4" t="s">
        <v>55</v>
      </c>
      <c r="FN78" s="4" t="s">
        <v>56</v>
      </c>
      <c r="FO78" s="4" t="s">
        <v>55</v>
      </c>
      <c r="FP78" s="4" t="s">
        <v>56</v>
      </c>
      <c r="FQ78" s="4" t="s">
        <v>55</v>
      </c>
      <c r="FR78" s="4" t="s">
        <v>56</v>
      </c>
      <c r="FS78" s="4" t="s">
        <v>55</v>
      </c>
      <c r="FT78" s="4" t="s">
        <v>56</v>
      </c>
      <c r="FU78" s="4" t="s">
        <v>55</v>
      </c>
      <c r="FV78" s="4" t="s">
        <v>56</v>
      </c>
      <c r="FW78" s="4" t="s">
        <v>55</v>
      </c>
      <c r="FX78" s="4" t="s">
        <v>56</v>
      </c>
      <c r="FY78" s="4" t="s">
        <v>55</v>
      </c>
      <c r="FZ78" s="4" t="s">
        <v>56</v>
      </c>
      <c r="GA78" s="4" t="s">
        <v>55</v>
      </c>
      <c r="GB78" s="4" t="s">
        <v>56</v>
      </c>
      <c r="GC78" s="4" t="s">
        <v>55</v>
      </c>
      <c r="GD78" s="4" t="s">
        <v>56</v>
      </c>
      <c r="GE78" s="4" t="s">
        <v>55</v>
      </c>
      <c r="GF78" s="4" t="s">
        <v>56</v>
      </c>
      <c r="GG78" s="4" t="s">
        <v>55</v>
      </c>
      <c r="GH78" s="4" t="s">
        <v>56</v>
      </c>
      <c r="GI78" s="4" t="s">
        <v>55</v>
      </c>
      <c r="GJ78" s="4" t="s">
        <v>56</v>
      </c>
      <c r="GK78" s="4" t="s">
        <v>55</v>
      </c>
      <c r="GL78" s="4" t="s">
        <v>56</v>
      </c>
      <c r="GM78" s="4" t="s">
        <v>55</v>
      </c>
      <c r="GN78" s="4" t="s">
        <v>56</v>
      </c>
      <c r="GO78" s="4" t="s">
        <v>55</v>
      </c>
      <c r="GP78" s="4" t="s">
        <v>56</v>
      </c>
      <c r="GQ78" s="4" t="s">
        <v>55</v>
      </c>
      <c r="GR78" s="4" t="s">
        <v>56</v>
      </c>
      <c r="GS78" s="4" t="s">
        <v>55</v>
      </c>
      <c r="GT78" s="4" t="s">
        <v>56</v>
      </c>
      <c r="GU78" s="4" t="s">
        <v>55</v>
      </c>
      <c r="GV78" s="17" t="s">
        <v>56</v>
      </c>
      <c r="GW78" s="17" t="s">
        <v>55</v>
      </c>
      <c r="GX78" s="10" t="s">
        <v>56</v>
      </c>
      <c r="GY78" s="10" t="s">
        <v>55</v>
      </c>
      <c r="GZ78" s="4" t="s">
        <v>56</v>
      </c>
      <c r="HA78" s="4" t="s">
        <v>55</v>
      </c>
      <c r="HB78" s="4" t="s">
        <v>56</v>
      </c>
      <c r="HC78" s="4" t="s">
        <v>55</v>
      </c>
      <c r="HD78" s="4" t="s">
        <v>56</v>
      </c>
      <c r="HE78" s="4" t="s">
        <v>55</v>
      </c>
      <c r="HF78" s="4" t="s">
        <v>56</v>
      </c>
      <c r="HG78" s="4" t="s">
        <v>55</v>
      </c>
      <c r="HH78" s="4" t="s">
        <v>56</v>
      </c>
      <c r="HI78" s="4" t="s">
        <v>55</v>
      </c>
      <c r="HJ78" s="4" t="s">
        <v>56</v>
      </c>
      <c r="HK78" s="4" t="s">
        <v>55</v>
      </c>
      <c r="HL78" s="4" t="s">
        <v>56</v>
      </c>
      <c r="HM78" s="4" t="s">
        <v>55</v>
      </c>
      <c r="HN78" s="4" t="s">
        <v>56</v>
      </c>
      <c r="HO78" s="4" t="s">
        <v>55</v>
      </c>
      <c r="HP78" s="4" t="s">
        <v>56</v>
      </c>
      <c r="HQ78" s="4" t="s">
        <v>55</v>
      </c>
      <c r="HR78" s="4" t="s">
        <v>56</v>
      </c>
      <c r="HS78" s="4" t="s">
        <v>55</v>
      </c>
      <c r="HT78" s="4" t="s">
        <v>56</v>
      </c>
      <c r="HU78" s="4" t="s">
        <v>55</v>
      </c>
      <c r="HV78" s="4" t="s">
        <v>56</v>
      </c>
      <c r="HW78" s="4" t="s">
        <v>55</v>
      </c>
      <c r="HX78" s="4" t="s">
        <v>56</v>
      </c>
      <c r="HY78" s="4" t="s">
        <v>55</v>
      </c>
      <c r="HZ78" s="4" t="s">
        <v>56</v>
      </c>
      <c r="IA78" s="4" t="s">
        <v>55</v>
      </c>
      <c r="IB78" s="4" t="s">
        <v>56</v>
      </c>
      <c r="IC78" s="4" t="s">
        <v>55</v>
      </c>
      <c r="ID78" s="4" t="s">
        <v>56</v>
      </c>
      <c r="IE78" s="4" t="s">
        <v>55</v>
      </c>
      <c r="IF78" s="4" t="s">
        <v>56</v>
      </c>
      <c r="IG78" s="4" t="s">
        <v>55</v>
      </c>
      <c r="IH78" s="4" t="s">
        <v>56</v>
      </c>
      <c r="II78" s="4" t="s">
        <v>55</v>
      </c>
      <c r="IJ78" s="4" t="s">
        <v>56</v>
      </c>
      <c r="IK78" s="4" t="s">
        <v>55</v>
      </c>
      <c r="IL78" s="4" t="s">
        <v>56</v>
      </c>
      <c r="IM78" s="4" t="s">
        <v>55</v>
      </c>
      <c r="IN78" s="4" t="s">
        <v>56</v>
      </c>
      <c r="IO78" s="4" t="s">
        <v>55</v>
      </c>
      <c r="IP78" s="4" t="s">
        <v>56</v>
      </c>
      <c r="IQ78" s="4" t="s">
        <v>55</v>
      </c>
      <c r="IR78" s="4" t="s">
        <v>56</v>
      </c>
      <c r="IS78" s="4" t="s">
        <v>55</v>
      </c>
      <c r="IT78" s="4" t="s">
        <v>56</v>
      </c>
      <c r="IU78" s="4" t="s">
        <v>55</v>
      </c>
      <c r="IV78" s="4" t="s">
        <v>56</v>
      </c>
      <c r="IW78" s="4" t="s">
        <v>55</v>
      </c>
      <c r="IX78" s="4" t="s">
        <v>56</v>
      </c>
      <c r="IY78" s="4" t="s">
        <v>55</v>
      </c>
      <c r="IZ78" s="4" t="s">
        <v>56</v>
      </c>
      <c r="JA78" s="4" t="s">
        <v>55</v>
      </c>
      <c r="JB78" s="4" t="s">
        <v>56</v>
      </c>
      <c r="JC78" s="4" t="s">
        <v>55</v>
      </c>
      <c r="JD78" s="4" t="s">
        <v>56</v>
      </c>
      <c r="JE78" s="4" t="s">
        <v>55</v>
      </c>
      <c r="JF78" s="4" t="s">
        <v>56</v>
      </c>
      <c r="JG78" s="4" t="s">
        <v>55</v>
      </c>
      <c r="JH78" s="4" t="s">
        <v>56</v>
      </c>
      <c r="JI78" s="4" t="s">
        <v>55</v>
      </c>
      <c r="JJ78" s="4" t="s">
        <v>56</v>
      </c>
      <c r="JK78" s="4" t="s">
        <v>55</v>
      </c>
      <c r="JL78" s="4" t="s">
        <v>56</v>
      </c>
      <c r="JM78" s="4" t="s">
        <v>55</v>
      </c>
      <c r="JN78" s="4" t="s">
        <v>56</v>
      </c>
      <c r="JO78" s="4" t="s">
        <v>55</v>
      </c>
      <c r="JP78" s="4" t="s">
        <v>56</v>
      </c>
      <c r="JQ78" s="4" t="s">
        <v>55</v>
      </c>
      <c r="JR78" s="4" t="s">
        <v>56</v>
      </c>
      <c r="JS78" s="4" t="s">
        <v>55</v>
      </c>
      <c r="JT78" s="4" t="s">
        <v>56</v>
      </c>
      <c r="JU78" s="4" t="s">
        <v>55</v>
      </c>
      <c r="JV78" s="4" t="s">
        <v>56</v>
      </c>
      <c r="JW78" s="4" t="s">
        <v>55</v>
      </c>
      <c r="JX78" s="4" t="s">
        <v>56</v>
      </c>
      <c r="JY78" s="4" t="s">
        <v>55</v>
      </c>
      <c r="JZ78" s="4" t="s">
        <v>56</v>
      </c>
      <c r="KA78" s="4" t="s">
        <v>55</v>
      </c>
      <c r="KB78" s="4" t="s">
        <v>56</v>
      </c>
      <c r="KC78" s="4" t="s">
        <v>55</v>
      </c>
      <c r="KD78" s="4" t="s">
        <v>56</v>
      </c>
      <c r="KE78" s="4" t="s">
        <v>55</v>
      </c>
      <c r="KF78" s="4" t="s">
        <v>56</v>
      </c>
      <c r="KG78" s="4" t="s">
        <v>55</v>
      </c>
      <c r="KH78" s="4" t="s">
        <v>56</v>
      </c>
      <c r="KI78" s="4" t="s">
        <v>55</v>
      </c>
      <c r="KJ78" s="4" t="s">
        <v>56</v>
      </c>
      <c r="KK78" s="4" t="s">
        <v>55</v>
      </c>
      <c r="KL78" s="4" t="s">
        <v>56</v>
      </c>
      <c r="KM78" s="4" t="s">
        <v>55</v>
      </c>
      <c r="KN78" s="4" t="s">
        <v>56</v>
      </c>
      <c r="KO78" s="4" t="s">
        <v>55</v>
      </c>
      <c r="KP78" s="4" t="s">
        <v>56</v>
      </c>
      <c r="KQ78" s="4" t="s">
        <v>55</v>
      </c>
      <c r="KR78" s="17">
        <v>14.5</v>
      </c>
      <c r="KS78" s="17">
        <v>0.9</v>
      </c>
      <c r="KT78" s="17">
        <v>40.200000000000003</v>
      </c>
      <c r="KU78" s="17">
        <v>3.4</v>
      </c>
      <c r="KV78" s="4" t="s">
        <v>57</v>
      </c>
      <c r="KW78" s="4" t="s">
        <v>55</v>
      </c>
      <c r="KX78" s="4" t="s">
        <v>57</v>
      </c>
      <c r="KY78" s="4" t="s">
        <v>55</v>
      </c>
      <c r="KZ78" s="4" t="s">
        <v>57</v>
      </c>
      <c r="LA78" s="4" t="s">
        <v>55</v>
      </c>
      <c r="LB78" s="10" t="s">
        <v>56</v>
      </c>
      <c r="LC78" s="10" t="s">
        <v>55</v>
      </c>
      <c r="LD78" s="10" t="s">
        <v>56</v>
      </c>
      <c r="LE78" s="10" t="s">
        <v>55</v>
      </c>
      <c r="LF78" s="10" t="s">
        <v>56</v>
      </c>
      <c r="LG78" s="10" t="s">
        <v>55</v>
      </c>
      <c r="LH78" s="10" t="s">
        <v>56</v>
      </c>
      <c r="LI78" s="10" t="s">
        <v>55</v>
      </c>
      <c r="LJ78" s="10" t="s">
        <v>56</v>
      </c>
      <c r="LK78" s="10" t="s">
        <v>55</v>
      </c>
      <c r="LL78" s="10" t="s">
        <v>56</v>
      </c>
      <c r="LM78" s="10" t="s">
        <v>55</v>
      </c>
      <c r="LN78" s="10" t="s">
        <v>56</v>
      </c>
      <c r="LO78" s="10" t="s">
        <v>55</v>
      </c>
      <c r="LP78" s="10" t="s">
        <v>56</v>
      </c>
      <c r="LQ78" s="10" t="s">
        <v>55</v>
      </c>
      <c r="LR78" s="10" t="s">
        <v>56</v>
      </c>
      <c r="LS78" s="10" t="s">
        <v>55</v>
      </c>
      <c r="LT78" s="10" t="s">
        <v>56</v>
      </c>
      <c r="LU78" s="10" t="s">
        <v>55</v>
      </c>
      <c r="LV78" s="10" t="s">
        <v>56</v>
      </c>
      <c r="LW78" s="10" t="s">
        <v>55</v>
      </c>
      <c r="LX78" s="10" t="s">
        <v>56</v>
      </c>
      <c r="LY78" s="10" t="s">
        <v>55</v>
      </c>
      <c r="LZ78" s="10" t="s">
        <v>56</v>
      </c>
      <c r="MA78" s="10" t="s">
        <v>55</v>
      </c>
      <c r="MB78" s="10" t="s">
        <v>56</v>
      </c>
      <c r="MC78" s="10" t="s">
        <v>55</v>
      </c>
      <c r="MD78" s="4" t="s">
        <v>56</v>
      </c>
      <c r="ME78" s="4" t="s">
        <v>55</v>
      </c>
      <c r="MF78" s="4" t="s">
        <v>56</v>
      </c>
      <c r="MG78" s="4" t="s">
        <v>55</v>
      </c>
      <c r="MH78" s="4" t="s">
        <v>56</v>
      </c>
      <c r="MI78" s="4" t="s">
        <v>55</v>
      </c>
      <c r="MJ78" s="4" t="s">
        <v>56</v>
      </c>
      <c r="MK78" s="4" t="s">
        <v>55</v>
      </c>
      <c r="ML78" s="4" t="s">
        <v>56</v>
      </c>
      <c r="MM78" s="4" t="s">
        <v>55</v>
      </c>
      <c r="MN78" s="4" t="s">
        <v>56</v>
      </c>
      <c r="MO78" s="4" t="s">
        <v>55</v>
      </c>
      <c r="MP78" s="4" t="s">
        <v>56</v>
      </c>
      <c r="MQ78" s="4" t="s">
        <v>55</v>
      </c>
      <c r="MR78" s="4" t="s">
        <v>56</v>
      </c>
      <c r="MS78" s="4" t="s">
        <v>55</v>
      </c>
      <c r="MT78" s="4" t="s">
        <v>56</v>
      </c>
      <c r="MU78" s="4" t="s">
        <v>55</v>
      </c>
      <c r="MV78" s="4" t="s">
        <v>56</v>
      </c>
      <c r="MW78" s="4" t="s">
        <v>55</v>
      </c>
      <c r="MX78" s="4" t="s">
        <v>56</v>
      </c>
      <c r="MY78" s="4" t="s">
        <v>55</v>
      </c>
      <c r="MZ78" s="4" t="s">
        <v>56</v>
      </c>
      <c r="NA78" s="4" t="s">
        <v>55</v>
      </c>
      <c r="NB78" s="10" t="s">
        <v>56</v>
      </c>
      <c r="NC78" s="10" t="s">
        <v>162</v>
      </c>
      <c r="ND78" s="10" t="s">
        <v>56</v>
      </c>
      <c r="NE78" s="10" t="s">
        <v>162</v>
      </c>
      <c r="NF78" s="10" t="s">
        <v>56</v>
      </c>
      <c r="NG78" s="10" t="s">
        <v>162</v>
      </c>
      <c r="NH78" s="10" t="s">
        <v>56</v>
      </c>
      <c r="NI78" s="10" t="s">
        <v>162</v>
      </c>
      <c r="NJ78" s="10" t="s">
        <v>56</v>
      </c>
      <c r="NK78" s="10" t="s">
        <v>162</v>
      </c>
      <c r="NL78" s="10" t="s">
        <v>56</v>
      </c>
      <c r="NM78" s="10" t="s">
        <v>162</v>
      </c>
      <c r="NN78" s="10" t="s">
        <v>56</v>
      </c>
      <c r="NO78" s="4" t="s">
        <v>55</v>
      </c>
      <c r="NP78" s="10" t="s">
        <v>56</v>
      </c>
      <c r="NQ78" s="10" t="s">
        <v>162</v>
      </c>
      <c r="NR78" s="10" t="s">
        <v>56</v>
      </c>
      <c r="NS78" s="10" t="s">
        <v>55</v>
      </c>
      <c r="NT78" s="10" t="s">
        <v>56</v>
      </c>
      <c r="NU78" s="10" t="s">
        <v>55</v>
      </c>
    </row>
    <row r="79" spans="1:385" x14ac:dyDescent="0.2">
      <c r="A79" t="s">
        <v>596</v>
      </c>
      <c r="B79" s="1" t="s">
        <v>1037</v>
      </c>
      <c r="C79" s="1" t="s">
        <v>859</v>
      </c>
      <c r="D79" s="39" cm="1">
        <f t="array" ref="D79">SUMPRODUCT((ISNUMBER(F79:NU79))*(MOD(COLUMN(F79:NU79),2)=0))</f>
        <v>8</v>
      </c>
      <c r="E79" s="1">
        <v>146.15</v>
      </c>
      <c r="F79" s="4" t="s">
        <v>56</v>
      </c>
      <c r="G79" s="4" t="s">
        <v>55</v>
      </c>
      <c r="H79" s="4" t="s">
        <v>56</v>
      </c>
      <c r="I79" s="4" t="s">
        <v>55</v>
      </c>
      <c r="J79" s="4" t="s">
        <v>56</v>
      </c>
      <c r="K79" s="4" t="s">
        <v>55</v>
      </c>
      <c r="L79" s="4" t="s">
        <v>56</v>
      </c>
      <c r="M79" s="4" t="s">
        <v>55</v>
      </c>
      <c r="N79" s="4" t="s">
        <v>56</v>
      </c>
      <c r="O79" s="4" t="s">
        <v>55</v>
      </c>
      <c r="P79" s="4" t="s">
        <v>56</v>
      </c>
      <c r="Q79" s="4" t="s">
        <v>55</v>
      </c>
      <c r="R79" s="4" t="s">
        <v>56</v>
      </c>
      <c r="S79" s="4" t="s">
        <v>55</v>
      </c>
      <c r="T79" s="4" t="s">
        <v>56</v>
      </c>
      <c r="U79" s="4" t="s">
        <v>55</v>
      </c>
      <c r="V79" s="4" t="s">
        <v>56</v>
      </c>
      <c r="W79" s="4" t="s">
        <v>55</v>
      </c>
      <c r="X79" s="4" t="s">
        <v>56</v>
      </c>
      <c r="Y79" s="4" t="s">
        <v>55</v>
      </c>
      <c r="Z79" s="4" t="s">
        <v>56</v>
      </c>
      <c r="AA79" s="4" t="s">
        <v>55</v>
      </c>
      <c r="AB79" s="4" t="s">
        <v>56</v>
      </c>
      <c r="AC79" s="4" t="s">
        <v>55</v>
      </c>
      <c r="AD79" s="4" t="s">
        <v>56</v>
      </c>
      <c r="AE79" s="4" t="s">
        <v>55</v>
      </c>
      <c r="AF79" s="4" t="s">
        <v>56</v>
      </c>
      <c r="AG79" s="4" t="s">
        <v>55</v>
      </c>
      <c r="AH79" s="4" t="s">
        <v>56</v>
      </c>
      <c r="AI79" s="4" t="s">
        <v>55</v>
      </c>
      <c r="AJ79" s="4" t="s">
        <v>56</v>
      </c>
      <c r="AK79" s="4" t="s">
        <v>55</v>
      </c>
      <c r="AL79" s="4" t="s">
        <v>56</v>
      </c>
      <c r="AM79" s="4" t="s">
        <v>55</v>
      </c>
      <c r="AN79" s="4" t="s">
        <v>56</v>
      </c>
      <c r="AO79" s="4" t="s">
        <v>55</v>
      </c>
      <c r="AP79" s="4" t="s">
        <v>56</v>
      </c>
      <c r="AQ79" s="4" t="s">
        <v>55</v>
      </c>
      <c r="AR79" s="10" t="s">
        <v>56</v>
      </c>
      <c r="AS79" s="10" t="s">
        <v>55</v>
      </c>
      <c r="AT79" s="4" t="s">
        <v>56</v>
      </c>
      <c r="AU79" s="4" t="s">
        <v>55</v>
      </c>
      <c r="AV79" s="4" t="s">
        <v>56</v>
      </c>
      <c r="AW79" s="4" t="s">
        <v>55</v>
      </c>
      <c r="AX79" s="4" t="s">
        <v>56</v>
      </c>
      <c r="AY79" s="4" t="s">
        <v>55</v>
      </c>
      <c r="AZ79" s="4" t="s">
        <v>56</v>
      </c>
      <c r="BA79" s="4" t="s">
        <v>55</v>
      </c>
      <c r="BB79" s="4" t="s">
        <v>56</v>
      </c>
      <c r="BC79" s="4" t="s">
        <v>55</v>
      </c>
      <c r="BD79" s="4" t="s">
        <v>56</v>
      </c>
      <c r="BE79" s="4" t="s">
        <v>55</v>
      </c>
      <c r="BF79" s="4" t="s">
        <v>56</v>
      </c>
      <c r="BG79" s="4" t="s">
        <v>55</v>
      </c>
      <c r="BH79" s="4" t="s">
        <v>56</v>
      </c>
      <c r="BI79" s="4" t="s">
        <v>55</v>
      </c>
      <c r="BJ79" s="4" t="s">
        <v>56</v>
      </c>
      <c r="BK79" s="4" t="s">
        <v>55</v>
      </c>
      <c r="BL79" s="4" t="s">
        <v>56</v>
      </c>
      <c r="BM79" s="4" t="s">
        <v>55</v>
      </c>
      <c r="BN79" s="4" t="s">
        <v>56</v>
      </c>
      <c r="BO79" s="4" t="s">
        <v>55</v>
      </c>
      <c r="BP79" s="4" t="s">
        <v>56</v>
      </c>
      <c r="BQ79" s="4" t="s">
        <v>55</v>
      </c>
      <c r="BR79" s="4" t="s">
        <v>56</v>
      </c>
      <c r="BS79" s="4" t="s">
        <v>55</v>
      </c>
      <c r="BT79" s="4" t="s">
        <v>56</v>
      </c>
      <c r="BU79" s="4" t="s">
        <v>55</v>
      </c>
      <c r="BV79" s="4" t="s">
        <v>56</v>
      </c>
      <c r="BW79" s="4" t="s">
        <v>55</v>
      </c>
      <c r="BX79" s="4" t="s">
        <v>56</v>
      </c>
      <c r="BY79" s="4" t="s">
        <v>55</v>
      </c>
      <c r="BZ79" s="4" t="s">
        <v>56</v>
      </c>
      <c r="CA79" s="4" t="s">
        <v>55</v>
      </c>
      <c r="CB79" s="4" t="s">
        <v>56</v>
      </c>
      <c r="CC79" s="4" t="s">
        <v>55</v>
      </c>
      <c r="CD79" s="4" t="s">
        <v>56</v>
      </c>
      <c r="CE79" s="4" t="s">
        <v>55</v>
      </c>
      <c r="CF79" s="4" t="s">
        <v>56</v>
      </c>
      <c r="CG79" s="4" t="s">
        <v>55</v>
      </c>
      <c r="CH79" s="4" t="s">
        <v>56</v>
      </c>
      <c r="CI79" s="4" t="s">
        <v>55</v>
      </c>
      <c r="CJ79" s="4" t="s">
        <v>56</v>
      </c>
      <c r="CK79" s="4" t="s">
        <v>55</v>
      </c>
      <c r="CL79" s="4" t="s">
        <v>56</v>
      </c>
      <c r="CM79" s="4" t="s">
        <v>55</v>
      </c>
      <c r="CN79" s="4" t="s">
        <v>56</v>
      </c>
      <c r="CO79" s="4" t="s">
        <v>55</v>
      </c>
      <c r="CP79" s="4" t="s">
        <v>56</v>
      </c>
      <c r="CQ79" s="4" t="s">
        <v>55</v>
      </c>
      <c r="CR79" s="4" t="s">
        <v>56</v>
      </c>
      <c r="CS79" s="4" t="s">
        <v>55</v>
      </c>
      <c r="CT79" s="4" t="s">
        <v>56</v>
      </c>
      <c r="CU79" s="4" t="s">
        <v>55</v>
      </c>
      <c r="CV79" s="4" t="s">
        <v>56</v>
      </c>
      <c r="CW79" s="4" t="s">
        <v>55</v>
      </c>
      <c r="CX79" s="4" t="s">
        <v>56</v>
      </c>
      <c r="CY79" s="4" t="s">
        <v>55</v>
      </c>
      <c r="CZ79" s="4" t="s">
        <v>56</v>
      </c>
      <c r="DA79" s="4" t="s">
        <v>55</v>
      </c>
      <c r="DB79" s="4" t="s">
        <v>56</v>
      </c>
      <c r="DC79" s="4" t="s">
        <v>55</v>
      </c>
      <c r="DD79" s="4" t="s">
        <v>56</v>
      </c>
      <c r="DE79" s="4" t="s">
        <v>55</v>
      </c>
      <c r="DF79" s="4" t="s">
        <v>56</v>
      </c>
      <c r="DG79" s="4" t="s">
        <v>55</v>
      </c>
      <c r="DH79" s="4" t="s">
        <v>56</v>
      </c>
      <c r="DI79" s="4" t="s">
        <v>55</v>
      </c>
      <c r="DJ79" s="4" t="s">
        <v>56</v>
      </c>
      <c r="DK79" s="4" t="s">
        <v>55</v>
      </c>
      <c r="DL79" s="4" t="s">
        <v>56</v>
      </c>
      <c r="DM79" s="4" t="s">
        <v>55</v>
      </c>
      <c r="DN79" s="4" t="s">
        <v>56</v>
      </c>
      <c r="DO79" s="4" t="s">
        <v>55</v>
      </c>
      <c r="DP79" s="4" t="s">
        <v>56</v>
      </c>
      <c r="DQ79" s="4" t="s">
        <v>55</v>
      </c>
      <c r="DR79" s="4" t="s">
        <v>56</v>
      </c>
      <c r="DS79" s="4" t="s">
        <v>55</v>
      </c>
      <c r="DT79" s="4" t="s">
        <v>56</v>
      </c>
      <c r="DU79" s="4" t="s">
        <v>55</v>
      </c>
      <c r="DV79" s="4" t="s">
        <v>56</v>
      </c>
      <c r="DW79" s="4" t="s">
        <v>55</v>
      </c>
      <c r="DX79" s="4" t="s">
        <v>56</v>
      </c>
      <c r="DY79" s="4" t="s">
        <v>55</v>
      </c>
      <c r="DZ79" s="4" t="s">
        <v>56</v>
      </c>
      <c r="EA79" s="4" t="s">
        <v>55</v>
      </c>
      <c r="EB79" s="4" t="s">
        <v>56</v>
      </c>
      <c r="EC79" s="4" t="s">
        <v>55</v>
      </c>
      <c r="ED79" s="4" t="s">
        <v>56</v>
      </c>
      <c r="EE79" s="4" t="s">
        <v>55</v>
      </c>
      <c r="EF79" s="4" t="s">
        <v>56</v>
      </c>
      <c r="EG79" s="4" t="s">
        <v>55</v>
      </c>
      <c r="EH79" s="4" t="s">
        <v>56</v>
      </c>
      <c r="EI79" s="4" t="s">
        <v>55</v>
      </c>
      <c r="EJ79" s="4" t="s">
        <v>56</v>
      </c>
      <c r="EK79" s="4" t="s">
        <v>55</v>
      </c>
      <c r="EL79" s="4" t="s">
        <v>56</v>
      </c>
      <c r="EM79" s="4" t="s">
        <v>55</v>
      </c>
      <c r="EN79" s="4" t="s">
        <v>56</v>
      </c>
      <c r="EO79" s="4" t="s">
        <v>55</v>
      </c>
      <c r="EP79" s="4" t="s">
        <v>56</v>
      </c>
      <c r="EQ79" s="4" t="s">
        <v>55</v>
      </c>
      <c r="ER79" s="4" t="s">
        <v>56</v>
      </c>
      <c r="ES79" s="4" t="s">
        <v>55</v>
      </c>
      <c r="ET79" s="4" t="s">
        <v>56</v>
      </c>
      <c r="EU79" s="4" t="s">
        <v>55</v>
      </c>
      <c r="EV79" s="4" t="s">
        <v>56</v>
      </c>
      <c r="EW79" s="4" t="s">
        <v>55</v>
      </c>
      <c r="EX79" s="4" t="s">
        <v>56</v>
      </c>
      <c r="EY79" s="4" t="s">
        <v>55</v>
      </c>
      <c r="EZ79" s="4" t="s">
        <v>56</v>
      </c>
      <c r="FA79" s="4" t="s">
        <v>55</v>
      </c>
      <c r="FB79" s="4" t="s">
        <v>56</v>
      </c>
      <c r="FC79" s="4" t="s">
        <v>55</v>
      </c>
      <c r="FD79" s="4" t="s">
        <v>56</v>
      </c>
      <c r="FE79" s="4" t="s">
        <v>55</v>
      </c>
      <c r="FF79" s="4" t="s">
        <v>56</v>
      </c>
      <c r="FG79" s="4" t="s">
        <v>55</v>
      </c>
      <c r="FH79" s="4" t="s">
        <v>56</v>
      </c>
      <c r="FI79" s="4" t="s">
        <v>55</v>
      </c>
      <c r="FJ79" s="4" t="s">
        <v>56</v>
      </c>
      <c r="FK79" s="4" t="s">
        <v>55</v>
      </c>
      <c r="FL79" s="4" t="s">
        <v>56</v>
      </c>
      <c r="FM79" s="4" t="s">
        <v>55</v>
      </c>
      <c r="FN79" s="4" t="s">
        <v>56</v>
      </c>
      <c r="FO79" s="4" t="s">
        <v>55</v>
      </c>
      <c r="FP79" s="4" t="s">
        <v>56</v>
      </c>
      <c r="FQ79" s="4" t="s">
        <v>55</v>
      </c>
      <c r="FR79" s="4" t="s">
        <v>56</v>
      </c>
      <c r="FS79" s="4" t="s">
        <v>55</v>
      </c>
      <c r="FT79" s="4" t="s">
        <v>56</v>
      </c>
      <c r="FU79" s="4" t="s">
        <v>55</v>
      </c>
      <c r="FV79" s="4" t="s">
        <v>56</v>
      </c>
      <c r="FW79" s="4" t="s">
        <v>55</v>
      </c>
      <c r="FX79" s="4" t="s">
        <v>56</v>
      </c>
      <c r="FY79" s="4" t="s">
        <v>55</v>
      </c>
      <c r="FZ79" s="4" t="s">
        <v>56</v>
      </c>
      <c r="GA79" s="4" t="s">
        <v>55</v>
      </c>
      <c r="GB79" s="4" t="s">
        <v>56</v>
      </c>
      <c r="GC79" s="4" t="s">
        <v>55</v>
      </c>
      <c r="GD79" s="4" t="s">
        <v>56</v>
      </c>
      <c r="GE79" s="4" t="s">
        <v>55</v>
      </c>
      <c r="GF79" s="4" t="s">
        <v>56</v>
      </c>
      <c r="GG79" s="4" t="s">
        <v>55</v>
      </c>
      <c r="GH79" s="4" t="s">
        <v>56</v>
      </c>
      <c r="GI79" s="4" t="s">
        <v>55</v>
      </c>
      <c r="GJ79" s="4" t="s">
        <v>56</v>
      </c>
      <c r="GK79" s="4" t="s">
        <v>55</v>
      </c>
      <c r="GL79" s="4" t="s">
        <v>56</v>
      </c>
      <c r="GM79" s="4" t="s">
        <v>55</v>
      </c>
      <c r="GN79" s="4" t="s">
        <v>56</v>
      </c>
      <c r="GO79" s="4" t="s">
        <v>55</v>
      </c>
      <c r="GP79" s="4" t="s">
        <v>56</v>
      </c>
      <c r="GQ79" s="4" t="s">
        <v>55</v>
      </c>
      <c r="GR79" s="4" t="s">
        <v>56</v>
      </c>
      <c r="GS79" s="4" t="s">
        <v>55</v>
      </c>
      <c r="GT79" s="4" t="s">
        <v>56</v>
      </c>
      <c r="GU79" s="4" t="s">
        <v>55</v>
      </c>
      <c r="GV79" s="17" t="s">
        <v>56</v>
      </c>
      <c r="GW79" s="17" t="s">
        <v>55</v>
      </c>
      <c r="GX79" s="10" t="s">
        <v>56</v>
      </c>
      <c r="GY79" s="10" t="s">
        <v>55</v>
      </c>
      <c r="GZ79" s="4" t="s">
        <v>56</v>
      </c>
      <c r="HA79" s="4" t="s">
        <v>55</v>
      </c>
      <c r="HB79" s="4" t="s">
        <v>56</v>
      </c>
      <c r="HC79" s="4" t="s">
        <v>55</v>
      </c>
      <c r="HD79" s="4" t="s">
        <v>56</v>
      </c>
      <c r="HE79" s="4" t="s">
        <v>55</v>
      </c>
      <c r="HF79" s="4" t="s">
        <v>56</v>
      </c>
      <c r="HG79" s="4" t="s">
        <v>55</v>
      </c>
      <c r="HH79" s="4" t="s">
        <v>56</v>
      </c>
      <c r="HI79" s="4" t="s">
        <v>55</v>
      </c>
      <c r="HJ79" s="4" t="s">
        <v>56</v>
      </c>
      <c r="HK79" s="4" t="s">
        <v>55</v>
      </c>
      <c r="HL79" s="4" t="s">
        <v>56</v>
      </c>
      <c r="HM79" s="4" t="s">
        <v>55</v>
      </c>
      <c r="HN79" s="4" t="s">
        <v>56</v>
      </c>
      <c r="HO79" s="4" t="s">
        <v>55</v>
      </c>
      <c r="HP79" s="4" t="s">
        <v>56</v>
      </c>
      <c r="HQ79" s="4" t="s">
        <v>55</v>
      </c>
      <c r="HR79" s="4" t="s">
        <v>56</v>
      </c>
      <c r="HS79" s="4" t="s">
        <v>55</v>
      </c>
      <c r="HT79" s="4" t="s">
        <v>56</v>
      </c>
      <c r="HU79" s="4" t="s">
        <v>55</v>
      </c>
      <c r="HV79" s="4" t="s">
        <v>56</v>
      </c>
      <c r="HW79" s="4" t="s">
        <v>55</v>
      </c>
      <c r="HX79" s="4" t="s">
        <v>56</v>
      </c>
      <c r="HY79" s="4" t="s">
        <v>55</v>
      </c>
      <c r="HZ79" s="4" t="s">
        <v>56</v>
      </c>
      <c r="IA79" s="4" t="s">
        <v>55</v>
      </c>
      <c r="IB79" s="4" t="s">
        <v>56</v>
      </c>
      <c r="IC79" s="4" t="s">
        <v>55</v>
      </c>
      <c r="ID79" s="4" t="s">
        <v>56</v>
      </c>
      <c r="IE79" s="4" t="s">
        <v>55</v>
      </c>
      <c r="IF79" s="4" t="s">
        <v>56</v>
      </c>
      <c r="IG79" s="4" t="s">
        <v>55</v>
      </c>
      <c r="IH79" s="4" t="s">
        <v>56</v>
      </c>
      <c r="II79" s="4" t="s">
        <v>55</v>
      </c>
      <c r="IJ79" s="4" t="s">
        <v>56</v>
      </c>
      <c r="IK79" s="4" t="s">
        <v>55</v>
      </c>
      <c r="IL79" s="4" t="s">
        <v>56</v>
      </c>
      <c r="IM79" s="4" t="s">
        <v>55</v>
      </c>
      <c r="IN79" s="4" t="s">
        <v>56</v>
      </c>
      <c r="IO79" s="4" t="s">
        <v>55</v>
      </c>
      <c r="IP79" s="4" t="s">
        <v>56</v>
      </c>
      <c r="IQ79" s="4" t="s">
        <v>55</v>
      </c>
      <c r="IR79" s="4" t="s">
        <v>56</v>
      </c>
      <c r="IS79" s="4" t="s">
        <v>55</v>
      </c>
      <c r="IT79" s="4" t="s">
        <v>56</v>
      </c>
      <c r="IU79" s="4" t="s">
        <v>55</v>
      </c>
      <c r="IV79" s="4" t="s">
        <v>56</v>
      </c>
      <c r="IW79" s="4" t="s">
        <v>55</v>
      </c>
      <c r="IX79" s="4" t="s">
        <v>56</v>
      </c>
      <c r="IY79" s="4" t="s">
        <v>55</v>
      </c>
      <c r="IZ79" s="4" t="s">
        <v>56</v>
      </c>
      <c r="JA79" s="4" t="s">
        <v>55</v>
      </c>
      <c r="JB79" s="4" t="s">
        <v>56</v>
      </c>
      <c r="JC79" s="4" t="s">
        <v>55</v>
      </c>
      <c r="JD79" s="4" t="s">
        <v>56</v>
      </c>
      <c r="JE79" s="4" t="s">
        <v>55</v>
      </c>
      <c r="JF79" s="4" t="s">
        <v>56</v>
      </c>
      <c r="JG79" s="4" t="s">
        <v>55</v>
      </c>
      <c r="JH79" s="4" t="s">
        <v>56</v>
      </c>
      <c r="JI79" s="4" t="s">
        <v>55</v>
      </c>
      <c r="JJ79" s="4" t="s">
        <v>56</v>
      </c>
      <c r="JK79" s="4" t="s">
        <v>55</v>
      </c>
      <c r="JL79" s="4" t="s">
        <v>56</v>
      </c>
      <c r="JM79" s="4" t="s">
        <v>55</v>
      </c>
      <c r="JN79" s="4" t="s">
        <v>56</v>
      </c>
      <c r="JO79" s="4" t="s">
        <v>55</v>
      </c>
      <c r="JP79" s="4" t="s">
        <v>56</v>
      </c>
      <c r="JQ79" s="4" t="s">
        <v>55</v>
      </c>
      <c r="JR79" s="4" t="s">
        <v>56</v>
      </c>
      <c r="JS79" s="4" t="s">
        <v>55</v>
      </c>
      <c r="JT79" s="4" t="s">
        <v>56</v>
      </c>
      <c r="JU79" s="4" t="s">
        <v>55</v>
      </c>
      <c r="JV79" s="4" t="s">
        <v>56</v>
      </c>
      <c r="JW79" s="4" t="s">
        <v>55</v>
      </c>
      <c r="JX79" s="4" t="s">
        <v>56</v>
      </c>
      <c r="JY79" s="4" t="s">
        <v>55</v>
      </c>
      <c r="JZ79" s="4" t="s">
        <v>56</v>
      </c>
      <c r="KA79" s="4" t="s">
        <v>55</v>
      </c>
      <c r="KB79" s="4" t="s">
        <v>56</v>
      </c>
      <c r="KC79" s="4" t="s">
        <v>55</v>
      </c>
      <c r="KD79" s="4" t="s">
        <v>56</v>
      </c>
      <c r="KE79" s="4" t="s">
        <v>55</v>
      </c>
      <c r="KF79" s="4" t="s">
        <v>56</v>
      </c>
      <c r="KG79" s="4" t="s">
        <v>55</v>
      </c>
      <c r="KH79" s="4" t="s">
        <v>56</v>
      </c>
      <c r="KI79" s="4" t="s">
        <v>55</v>
      </c>
      <c r="KJ79" s="4" t="s">
        <v>56</v>
      </c>
      <c r="KK79" s="4" t="s">
        <v>55</v>
      </c>
      <c r="KL79" s="4" t="s">
        <v>56</v>
      </c>
      <c r="KM79" s="4" t="s">
        <v>55</v>
      </c>
      <c r="KN79" s="4" t="s">
        <v>56</v>
      </c>
      <c r="KO79" s="4" t="s">
        <v>55</v>
      </c>
      <c r="KP79" s="4" t="s">
        <v>56</v>
      </c>
      <c r="KQ79" s="4" t="s">
        <v>55</v>
      </c>
      <c r="KR79" s="17">
        <v>66.7</v>
      </c>
      <c r="KS79" s="17">
        <v>37.1</v>
      </c>
      <c r="KT79" s="17">
        <v>35.1</v>
      </c>
      <c r="KU79" s="17">
        <v>2.2000000000000002</v>
      </c>
      <c r="KV79" s="17">
        <v>1959.4</v>
      </c>
      <c r="KW79" s="17">
        <v>221</v>
      </c>
      <c r="KX79" s="17">
        <v>3603.8</v>
      </c>
      <c r="KY79" s="17">
        <v>368</v>
      </c>
      <c r="KZ79" s="17">
        <v>3068.8</v>
      </c>
      <c r="LA79" s="17">
        <v>320.89999999999998</v>
      </c>
      <c r="LB79" s="10" t="s">
        <v>56</v>
      </c>
      <c r="LC79" s="10" t="s">
        <v>55</v>
      </c>
      <c r="LD79" s="10">
        <f>2.8*1000</f>
        <v>2800</v>
      </c>
      <c r="LE79" s="10">
        <f>0.4*1000</f>
        <v>400</v>
      </c>
      <c r="LF79" s="10">
        <f>0.42*1000</f>
        <v>420</v>
      </c>
      <c r="LG79" s="10">
        <f>0.05*1000</f>
        <v>50</v>
      </c>
      <c r="LH79" s="10">
        <f>3.8*1000</f>
        <v>3800</v>
      </c>
      <c r="LI79" s="10">
        <f>0.4*1000</f>
        <v>400</v>
      </c>
      <c r="LJ79" s="10" t="s">
        <v>56</v>
      </c>
      <c r="LK79" s="10" t="s">
        <v>55</v>
      </c>
      <c r="LL79" s="10" t="s">
        <v>56</v>
      </c>
      <c r="LM79" s="10" t="s">
        <v>55</v>
      </c>
      <c r="LN79" s="10" t="s">
        <v>56</v>
      </c>
      <c r="LO79" s="10" t="s">
        <v>55</v>
      </c>
      <c r="LP79" s="10" t="s">
        <v>56</v>
      </c>
      <c r="LQ79" s="10" t="s">
        <v>55</v>
      </c>
      <c r="LR79" s="10" t="s">
        <v>56</v>
      </c>
      <c r="LS79" s="10" t="s">
        <v>55</v>
      </c>
      <c r="LT79" s="10" t="s">
        <v>56</v>
      </c>
      <c r="LU79" s="10" t="s">
        <v>55</v>
      </c>
      <c r="LV79" s="10" t="s">
        <v>56</v>
      </c>
      <c r="LW79" s="10" t="s">
        <v>55</v>
      </c>
      <c r="LX79" s="10" t="s">
        <v>56</v>
      </c>
      <c r="LY79" s="10" t="s">
        <v>55</v>
      </c>
      <c r="LZ79" s="10" t="s">
        <v>56</v>
      </c>
      <c r="MA79" s="10" t="s">
        <v>55</v>
      </c>
      <c r="MB79" s="10" t="s">
        <v>56</v>
      </c>
      <c r="MC79" s="10" t="s">
        <v>55</v>
      </c>
      <c r="MD79" s="4" t="s">
        <v>56</v>
      </c>
      <c r="ME79" s="4" t="s">
        <v>55</v>
      </c>
      <c r="MF79" s="4" t="s">
        <v>56</v>
      </c>
      <c r="MG79" s="4" t="s">
        <v>55</v>
      </c>
      <c r="MH79" s="4" t="s">
        <v>56</v>
      </c>
      <c r="MI79" s="4" t="s">
        <v>55</v>
      </c>
      <c r="MJ79" s="4" t="s">
        <v>56</v>
      </c>
      <c r="MK79" s="4" t="s">
        <v>55</v>
      </c>
      <c r="ML79" s="4" t="s">
        <v>56</v>
      </c>
      <c r="MM79" s="4" t="s">
        <v>55</v>
      </c>
      <c r="MN79" s="4" t="s">
        <v>56</v>
      </c>
      <c r="MO79" s="4" t="s">
        <v>55</v>
      </c>
      <c r="MP79" s="4" t="s">
        <v>56</v>
      </c>
      <c r="MQ79" s="4" t="s">
        <v>55</v>
      </c>
      <c r="MR79" s="4" t="s">
        <v>56</v>
      </c>
      <c r="MS79" s="4" t="s">
        <v>55</v>
      </c>
      <c r="MT79" s="4" t="s">
        <v>56</v>
      </c>
      <c r="MU79" s="4" t="s">
        <v>55</v>
      </c>
      <c r="MV79" s="4" t="s">
        <v>56</v>
      </c>
      <c r="MW79" s="4" t="s">
        <v>55</v>
      </c>
      <c r="MX79" s="4" t="s">
        <v>56</v>
      </c>
      <c r="MY79" s="4" t="s">
        <v>55</v>
      </c>
      <c r="MZ79" s="4" t="s">
        <v>56</v>
      </c>
      <c r="NA79" s="4" t="s">
        <v>55</v>
      </c>
      <c r="NB79" s="10" t="s">
        <v>56</v>
      </c>
      <c r="NC79" s="10" t="s">
        <v>162</v>
      </c>
      <c r="ND79" s="10" t="s">
        <v>56</v>
      </c>
      <c r="NE79" s="10" t="s">
        <v>162</v>
      </c>
      <c r="NF79" s="10" t="s">
        <v>56</v>
      </c>
      <c r="NG79" s="10" t="s">
        <v>162</v>
      </c>
      <c r="NH79" s="10" t="s">
        <v>56</v>
      </c>
      <c r="NI79" s="10" t="s">
        <v>162</v>
      </c>
      <c r="NJ79" s="10" t="s">
        <v>56</v>
      </c>
      <c r="NK79" s="10" t="s">
        <v>162</v>
      </c>
      <c r="NL79" s="10" t="s">
        <v>56</v>
      </c>
      <c r="NM79" s="10" t="s">
        <v>162</v>
      </c>
      <c r="NN79" s="10" t="s">
        <v>56</v>
      </c>
      <c r="NO79" s="4" t="s">
        <v>55</v>
      </c>
      <c r="NP79" s="10" t="s">
        <v>56</v>
      </c>
      <c r="NQ79" s="10" t="s">
        <v>162</v>
      </c>
      <c r="NR79" s="10" t="s">
        <v>56</v>
      </c>
      <c r="NS79" s="10" t="s">
        <v>55</v>
      </c>
      <c r="NT79" s="10" t="s">
        <v>56</v>
      </c>
      <c r="NU79" s="10" t="s">
        <v>55</v>
      </c>
    </row>
    <row r="80" spans="1:385" x14ac:dyDescent="0.2">
      <c r="A80" t="s">
        <v>875</v>
      </c>
      <c r="B80" s="1" t="s">
        <v>1037</v>
      </c>
      <c r="C80" s="1" t="s">
        <v>843</v>
      </c>
      <c r="D80" s="39" cm="1">
        <f t="array" ref="D80">SUMPRODUCT((ISNUMBER(F80:NU80))*(MOD(COLUMN(F80:NU80),2)=0))</f>
        <v>5</v>
      </c>
      <c r="E80" s="1">
        <v>146.15</v>
      </c>
      <c r="F80" s="4" t="s">
        <v>56</v>
      </c>
      <c r="G80" s="4" t="s">
        <v>55</v>
      </c>
      <c r="H80" s="4" t="s">
        <v>56</v>
      </c>
      <c r="I80" s="4" t="s">
        <v>55</v>
      </c>
      <c r="J80" s="4" t="s">
        <v>56</v>
      </c>
      <c r="K80" s="4" t="s">
        <v>55</v>
      </c>
      <c r="L80" s="4" t="s">
        <v>56</v>
      </c>
      <c r="M80" s="4" t="s">
        <v>55</v>
      </c>
      <c r="N80" s="4" t="s">
        <v>56</v>
      </c>
      <c r="O80" s="4" t="s">
        <v>55</v>
      </c>
      <c r="P80" s="4" t="s">
        <v>56</v>
      </c>
      <c r="Q80" s="4" t="s">
        <v>55</v>
      </c>
      <c r="R80" s="4" t="s">
        <v>56</v>
      </c>
      <c r="S80" s="4" t="s">
        <v>55</v>
      </c>
      <c r="T80" s="4" t="s">
        <v>56</v>
      </c>
      <c r="U80" s="4" t="s">
        <v>55</v>
      </c>
      <c r="V80" s="4" t="s">
        <v>56</v>
      </c>
      <c r="W80" s="4" t="s">
        <v>55</v>
      </c>
      <c r="X80" s="4" t="s">
        <v>56</v>
      </c>
      <c r="Y80" s="4" t="s">
        <v>55</v>
      </c>
      <c r="Z80" s="4" t="s">
        <v>56</v>
      </c>
      <c r="AA80" s="4" t="s">
        <v>55</v>
      </c>
      <c r="AB80" s="4" t="s">
        <v>56</v>
      </c>
      <c r="AC80" s="4" t="s">
        <v>55</v>
      </c>
      <c r="AD80" s="4" t="s">
        <v>56</v>
      </c>
      <c r="AE80" s="4" t="s">
        <v>55</v>
      </c>
      <c r="AF80" s="4" t="s">
        <v>56</v>
      </c>
      <c r="AG80" s="4" t="s">
        <v>55</v>
      </c>
      <c r="AH80" s="4" t="s">
        <v>56</v>
      </c>
      <c r="AI80" s="4" t="s">
        <v>55</v>
      </c>
      <c r="AJ80" s="4" t="s">
        <v>56</v>
      </c>
      <c r="AK80" s="4" t="s">
        <v>55</v>
      </c>
      <c r="AL80" s="4" t="s">
        <v>56</v>
      </c>
      <c r="AM80" s="4" t="s">
        <v>55</v>
      </c>
      <c r="AN80" s="4" t="s">
        <v>56</v>
      </c>
      <c r="AO80" s="4" t="s">
        <v>55</v>
      </c>
      <c r="AP80" s="4" t="s">
        <v>56</v>
      </c>
      <c r="AQ80" s="4" t="s">
        <v>55</v>
      </c>
      <c r="AR80" s="4" t="s">
        <v>56</v>
      </c>
      <c r="AS80" s="4" t="s">
        <v>55</v>
      </c>
      <c r="AT80" s="4" t="s">
        <v>56</v>
      </c>
      <c r="AU80" s="4" t="s">
        <v>55</v>
      </c>
      <c r="AV80" s="4" t="s">
        <v>56</v>
      </c>
      <c r="AW80" s="4" t="s">
        <v>55</v>
      </c>
      <c r="AX80" s="4" t="s">
        <v>56</v>
      </c>
      <c r="AY80" s="4" t="s">
        <v>55</v>
      </c>
      <c r="AZ80" s="4" t="s">
        <v>56</v>
      </c>
      <c r="BA80" s="4" t="s">
        <v>55</v>
      </c>
      <c r="BB80" s="4" t="s">
        <v>56</v>
      </c>
      <c r="BC80" s="4" t="s">
        <v>55</v>
      </c>
      <c r="BD80" s="4" t="s">
        <v>56</v>
      </c>
      <c r="BE80" s="4" t="s">
        <v>55</v>
      </c>
      <c r="BF80" s="4" t="s">
        <v>56</v>
      </c>
      <c r="BG80" s="4" t="s">
        <v>55</v>
      </c>
      <c r="BH80" s="4" t="s">
        <v>56</v>
      </c>
      <c r="BI80" s="4" t="s">
        <v>55</v>
      </c>
      <c r="BJ80" s="4" t="s">
        <v>56</v>
      </c>
      <c r="BK80" s="4" t="s">
        <v>55</v>
      </c>
      <c r="BL80" s="4" t="s">
        <v>56</v>
      </c>
      <c r="BM80" s="4" t="s">
        <v>55</v>
      </c>
      <c r="BN80" s="4" t="s">
        <v>56</v>
      </c>
      <c r="BO80" s="4" t="s">
        <v>55</v>
      </c>
      <c r="BP80" s="4" t="s">
        <v>56</v>
      </c>
      <c r="BQ80" s="4" t="s">
        <v>55</v>
      </c>
      <c r="BR80" s="4" t="s">
        <v>56</v>
      </c>
      <c r="BS80" s="4" t="s">
        <v>55</v>
      </c>
      <c r="BT80" s="4" t="s">
        <v>56</v>
      </c>
      <c r="BU80" s="4" t="s">
        <v>55</v>
      </c>
      <c r="BV80" s="4" t="s">
        <v>56</v>
      </c>
      <c r="BW80" s="4" t="s">
        <v>55</v>
      </c>
      <c r="BX80" s="4" t="s">
        <v>56</v>
      </c>
      <c r="BY80" s="4" t="s">
        <v>55</v>
      </c>
      <c r="BZ80" s="4" t="s">
        <v>56</v>
      </c>
      <c r="CA80" s="4" t="s">
        <v>55</v>
      </c>
      <c r="CB80" s="4" t="s">
        <v>56</v>
      </c>
      <c r="CC80" s="4" t="s">
        <v>55</v>
      </c>
      <c r="CD80" s="4" t="s">
        <v>56</v>
      </c>
      <c r="CE80" s="4" t="s">
        <v>55</v>
      </c>
      <c r="CF80" s="4" t="s">
        <v>56</v>
      </c>
      <c r="CG80" s="4" t="s">
        <v>55</v>
      </c>
      <c r="CH80" s="4" t="s">
        <v>56</v>
      </c>
      <c r="CI80" s="4" t="s">
        <v>55</v>
      </c>
      <c r="CJ80" s="4" t="s">
        <v>56</v>
      </c>
      <c r="CK80" s="4" t="s">
        <v>55</v>
      </c>
      <c r="CL80" s="4" t="s">
        <v>56</v>
      </c>
      <c r="CM80" s="4" t="s">
        <v>55</v>
      </c>
      <c r="CN80" s="4" t="s">
        <v>56</v>
      </c>
      <c r="CO80" s="4" t="s">
        <v>55</v>
      </c>
      <c r="CP80" s="4" t="s">
        <v>56</v>
      </c>
      <c r="CQ80" s="4" t="s">
        <v>55</v>
      </c>
      <c r="CR80" s="4" t="s">
        <v>56</v>
      </c>
      <c r="CS80" s="4" t="s">
        <v>55</v>
      </c>
      <c r="CT80" s="4" t="s">
        <v>56</v>
      </c>
      <c r="CU80" s="4" t="s">
        <v>55</v>
      </c>
      <c r="CV80" s="4" t="s">
        <v>56</v>
      </c>
      <c r="CW80" s="4" t="s">
        <v>55</v>
      </c>
      <c r="CX80" s="4" t="s">
        <v>56</v>
      </c>
      <c r="CY80" s="4" t="s">
        <v>55</v>
      </c>
      <c r="CZ80" s="4" t="s">
        <v>56</v>
      </c>
      <c r="DA80" s="4" t="s">
        <v>55</v>
      </c>
      <c r="DB80" s="4" t="s">
        <v>56</v>
      </c>
      <c r="DC80" s="4" t="s">
        <v>55</v>
      </c>
      <c r="DD80" s="4" t="s">
        <v>56</v>
      </c>
      <c r="DE80" s="4" t="s">
        <v>55</v>
      </c>
      <c r="DF80" s="4" t="s">
        <v>56</v>
      </c>
      <c r="DG80" s="4" t="s">
        <v>55</v>
      </c>
      <c r="DH80" s="4" t="s">
        <v>56</v>
      </c>
      <c r="DI80" s="4" t="s">
        <v>55</v>
      </c>
      <c r="DJ80" s="4" t="s">
        <v>56</v>
      </c>
      <c r="DK80" s="4" t="s">
        <v>55</v>
      </c>
      <c r="DL80" s="4" t="s">
        <v>56</v>
      </c>
      <c r="DM80" s="4" t="s">
        <v>55</v>
      </c>
      <c r="DN80" s="4" t="s">
        <v>56</v>
      </c>
      <c r="DO80" s="4" t="s">
        <v>55</v>
      </c>
      <c r="DP80" s="4" t="s">
        <v>56</v>
      </c>
      <c r="DQ80" s="4" t="s">
        <v>55</v>
      </c>
      <c r="DR80" s="4" t="s">
        <v>56</v>
      </c>
      <c r="DS80" s="4" t="s">
        <v>55</v>
      </c>
      <c r="DT80" s="4" t="s">
        <v>56</v>
      </c>
      <c r="DU80" s="4" t="s">
        <v>55</v>
      </c>
      <c r="DV80" s="4" t="s">
        <v>56</v>
      </c>
      <c r="DW80" s="4" t="s">
        <v>55</v>
      </c>
      <c r="DX80" s="4" t="s">
        <v>56</v>
      </c>
      <c r="DY80" s="4" t="s">
        <v>55</v>
      </c>
      <c r="DZ80" s="4" t="s">
        <v>56</v>
      </c>
      <c r="EA80" s="4" t="s">
        <v>55</v>
      </c>
      <c r="EB80" s="4" t="s">
        <v>56</v>
      </c>
      <c r="EC80" s="4" t="s">
        <v>55</v>
      </c>
      <c r="ED80" s="4" t="s">
        <v>56</v>
      </c>
      <c r="EE80" s="4" t="s">
        <v>55</v>
      </c>
      <c r="EF80" s="4" t="s">
        <v>56</v>
      </c>
      <c r="EG80" s="4" t="s">
        <v>55</v>
      </c>
      <c r="EH80" s="4" t="s">
        <v>56</v>
      </c>
      <c r="EI80" s="4" t="s">
        <v>55</v>
      </c>
      <c r="EJ80" s="4" t="s">
        <v>56</v>
      </c>
      <c r="EK80" s="4" t="s">
        <v>55</v>
      </c>
      <c r="EL80" s="4" t="s">
        <v>56</v>
      </c>
      <c r="EM80" s="4" t="s">
        <v>55</v>
      </c>
      <c r="EN80" s="4" t="s">
        <v>56</v>
      </c>
      <c r="EO80" s="4" t="s">
        <v>55</v>
      </c>
      <c r="EP80" s="4" t="s">
        <v>56</v>
      </c>
      <c r="EQ80" s="4" t="s">
        <v>55</v>
      </c>
      <c r="ER80" s="4" t="s">
        <v>56</v>
      </c>
      <c r="ES80" s="4" t="s">
        <v>55</v>
      </c>
      <c r="ET80" s="4" t="s">
        <v>56</v>
      </c>
      <c r="EU80" s="4" t="s">
        <v>55</v>
      </c>
      <c r="EV80" s="4" t="s">
        <v>56</v>
      </c>
      <c r="EW80" s="4" t="s">
        <v>55</v>
      </c>
      <c r="EX80" s="4" t="s">
        <v>56</v>
      </c>
      <c r="EY80" s="4" t="s">
        <v>55</v>
      </c>
      <c r="EZ80" s="4" t="s">
        <v>56</v>
      </c>
      <c r="FA80" s="4" t="s">
        <v>55</v>
      </c>
      <c r="FB80" s="4" t="s">
        <v>56</v>
      </c>
      <c r="FC80" s="4" t="s">
        <v>55</v>
      </c>
      <c r="FD80" s="4" t="s">
        <v>56</v>
      </c>
      <c r="FE80" s="4" t="s">
        <v>55</v>
      </c>
      <c r="FF80" s="4" t="s">
        <v>56</v>
      </c>
      <c r="FG80" s="4" t="s">
        <v>55</v>
      </c>
      <c r="FH80" s="4" t="s">
        <v>56</v>
      </c>
      <c r="FI80" s="4" t="s">
        <v>55</v>
      </c>
      <c r="FJ80" s="4" t="s">
        <v>56</v>
      </c>
      <c r="FK80" s="4" t="s">
        <v>55</v>
      </c>
      <c r="FL80" s="4" t="s">
        <v>56</v>
      </c>
      <c r="FM80" s="4" t="s">
        <v>55</v>
      </c>
      <c r="FN80" s="4" t="s">
        <v>56</v>
      </c>
      <c r="FO80" s="4" t="s">
        <v>55</v>
      </c>
      <c r="FP80" s="4" t="s">
        <v>56</v>
      </c>
      <c r="FQ80" s="4" t="s">
        <v>55</v>
      </c>
      <c r="FR80" s="4" t="s">
        <v>56</v>
      </c>
      <c r="FS80" s="4" t="s">
        <v>55</v>
      </c>
      <c r="FT80" s="4" t="s">
        <v>56</v>
      </c>
      <c r="FU80" s="4" t="s">
        <v>55</v>
      </c>
      <c r="FV80" s="4" t="s">
        <v>56</v>
      </c>
      <c r="FW80" s="4" t="s">
        <v>55</v>
      </c>
      <c r="FX80" s="4" t="s">
        <v>56</v>
      </c>
      <c r="FY80" s="4" t="s">
        <v>55</v>
      </c>
      <c r="FZ80" s="4" t="s">
        <v>56</v>
      </c>
      <c r="GA80" s="4" t="s">
        <v>55</v>
      </c>
      <c r="GB80" s="4" t="s">
        <v>56</v>
      </c>
      <c r="GC80" s="4" t="s">
        <v>55</v>
      </c>
      <c r="GD80" s="4" t="s">
        <v>56</v>
      </c>
      <c r="GE80" s="4" t="s">
        <v>55</v>
      </c>
      <c r="GF80" s="4" t="s">
        <v>56</v>
      </c>
      <c r="GG80" s="4" t="s">
        <v>55</v>
      </c>
      <c r="GH80" s="4" t="s">
        <v>56</v>
      </c>
      <c r="GI80" s="4" t="s">
        <v>55</v>
      </c>
      <c r="GJ80" s="4" t="s">
        <v>56</v>
      </c>
      <c r="GK80" s="4" t="s">
        <v>55</v>
      </c>
      <c r="GL80" s="4" t="s">
        <v>56</v>
      </c>
      <c r="GM80" s="4" t="s">
        <v>55</v>
      </c>
      <c r="GN80" s="4" t="s">
        <v>56</v>
      </c>
      <c r="GO80" s="4" t="s">
        <v>55</v>
      </c>
      <c r="GP80" s="4" t="s">
        <v>56</v>
      </c>
      <c r="GQ80" s="4" t="s">
        <v>55</v>
      </c>
      <c r="GR80" s="4" t="s">
        <v>56</v>
      </c>
      <c r="GS80" s="4" t="s">
        <v>55</v>
      </c>
      <c r="GT80" s="4" t="s">
        <v>56</v>
      </c>
      <c r="GU80" s="4" t="s">
        <v>55</v>
      </c>
      <c r="GV80" s="17" t="s">
        <v>56</v>
      </c>
      <c r="GW80" s="17" t="s">
        <v>55</v>
      </c>
      <c r="GX80" s="4" t="s">
        <v>56</v>
      </c>
      <c r="GY80" s="4" t="s">
        <v>55</v>
      </c>
      <c r="GZ80" s="4" t="s">
        <v>56</v>
      </c>
      <c r="HA80" s="4" t="s">
        <v>55</v>
      </c>
      <c r="HB80" s="4" t="s">
        <v>56</v>
      </c>
      <c r="HC80" s="4" t="s">
        <v>55</v>
      </c>
      <c r="HD80" s="4" t="s">
        <v>56</v>
      </c>
      <c r="HE80" s="4" t="s">
        <v>55</v>
      </c>
      <c r="HF80" s="4" t="s">
        <v>56</v>
      </c>
      <c r="HG80" s="4" t="s">
        <v>55</v>
      </c>
      <c r="HH80" s="4" t="s">
        <v>56</v>
      </c>
      <c r="HI80" s="4" t="s">
        <v>55</v>
      </c>
      <c r="HJ80" s="4" t="s">
        <v>56</v>
      </c>
      <c r="HK80" s="4" t="s">
        <v>55</v>
      </c>
      <c r="HL80" s="4" t="s">
        <v>56</v>
      </c>
      <c r="HM80" s="4" t="s">
        <v>55</v>
      </c>
      <c r="HN80" s="4" t="s">
        <v>56</v>
      </c>
      <c r="HO80" s="4" t="s">
        <v>55</v>
      </c>
      <c r="HP80" s="4" t="s">
        <v>56</v>
      </c>
      <c r="HQ80" s="4" t="s">
        <v>55</v>
      </c>
      <c r="HR80" s="4" t="s">
        <v>56</v>
      </c>
      <c r="HS80" s="4" t="s">
        <v>55</v>
      </c>
      <c r="HT80" s="4" t="s">
        <v>56</v>
      </c>
      <c r="HU80" s="4" t="s">
        <v>55</v>
      </c>
      <c r="HV80" s="4" t="s">
        <v>56</v>
      </c>
      <c r="HW80" s="4" t="s">
        <v>55</v>
      </c>
      <c r="HX80" s="4" t="s">
        <v>56</v>
      </c>
      <c r="HY80" s="4" t="s">
        <v>55</v>
      </c>
      <c r="HZ80" s="4" t="s">
        <v>56</v>
      </c>
      <c r="IA80" s="4" t="s">
        <v>55</v>
      </c>
      <c r="IB80" s="4" t="s">
        <v>56</v>
      </c>
      <c r="IC80" s="4" t="s">
        <v>55</v>
      </c>
      <c r="ID80" s="4" t="s">
        <v>56</v>
      </c>
      <c r="IE80" s="4" t="s">
        <v>55</v>
      </c>
      <c r="IF80" s="4" t="s">
        <v>56</v>
      </c>
      <c r="IG80" s="4" t="s">
        <v>55</v>
      </c>
      <c r="IH80" s="4" t="s">
        <v>56</v>
      </c>
      <c r="II80" s="4" t="s">
        <v>55</v>
      </c>
      <c r="IJ80" s="4" t="s">
        <v>56</v>
      </c>
      <c r="IK80" s="4" t="s">
        <v>55</v>
      </c>
      <c r="IL80" s="4" t="s">
        <v>56</v>
      </c>
      <c r="IM80" s="4" t="s">
        <v>55</v>
      </c>
      <c r="IN80" s="4" t="s">
        <v>56</v>
      </c>
      <c r="IO80" s="4" t="s">
        <v>55</v>
      </c>
      <c r="IP80" s="4" t="s">
        <v>56</v>
      </c>
      <c r="IQ80" s="4" t="s">
        <v>55</v>
      </c>
      <c r="IR80" s="4" t="s">
        <v>56</v>
      </c>
      <c r="IS80" s="4" t="s">
        <v>55</v>
      </c>
      <c r="IT80" s="4" t="s">
        <v>56</v>
      </c>
      <c r="IU80" s="4" t="s">
        <v>55</v>
      </c>
      <c r="IV80" s="4" t="s">
        <v>56</v>
      </c>
      <c r="IW80" s="4" t="s">
        <v>55</v>
      </c>
      <c r="IX80" s="4" t="s">
        <v>56</v>
      </c>
      <c r="IY80" s="4" t="s">
        <v>55</v>
      </c>
      <c r="IZ80" s="4" t="s">
        <v>56</v>
      </c>
      <c r="JA80" s="4" t="s">
        <v>55</v>
      </c>
      <c r="JB80" s="4" t="s">
        <v>56</v>
      </c>
      <c r="JC80" s="4" t="s">
        <v>55</v>
      </c>
      <c r="JD80" s="4" t="s">
        <v>56</v>
      </c>
      <c r="JE80" s="4" t="s">
        <v>55</v>
      </c>
      <c r="JF80" s="4" t="s">
        <v>56</v>
      </c>
      <c r="JG80" s="4" t="s">
        <v>55</v>
      </c>
      <c r="JH80" s="4" t="s">
        <v>56</v>
      </c>
      <c r="JI80" s="4" t="s">
        <v>55</v>
      </c>
      <c r="JJ80" s="4" t="s">
        <v>56</v>
      </c>
      <c r="JK80" s="4" t="s">
        <v>55</v>
      </c>
      <c r="JL80" s="4" t="s">
        <v>56</v>
      </c>
      <c r="JM80" s="4" t="s">
        <v>55</v>
      </c>
      <c r="JN80" s="4" t="s">
        <v>56</v>
      </c>
      <c r="JO80" s="4" t="s">
        <v>55</v>
      </c>
      <c r="JP80" s="4" t="s">
        <v>56</v>
      </c>
      <c r="JQ80" s="4" t="s">
        <v>55</v>
      </c>
      <c r="JR80" s="4" t="s">
        <v>56</v>
      </c>
      <c r="JS80" s="4" t="s">
        <v>55</v>
      </c>
      <c r="JT80" s="4" t="s">
        <v>56</v>
      </c>
      <c r="JU80" s="4" t="s">
        <v>55</v>
      </c>
      <c r="JV80" s="4" t="s">
        <v>56</v>
      </c>
      <c r="JW80" s="4" t="s">
        <v>55</v>
      </c>
      <c r="JX80" s="4" t="s">
        <v>56</v>
      </c>
      <c r="JY80" s="4" t="s">
        <v>55</v>
      </c>
      <c r="JZ80" s="4" t="s">
        <v>56</v>
      </c>
      <c r="KA80" s="4" t="s">
        <v>55</v>
      </c>
      <c r="KB80" s="4" t="s">
        <v>56</v>
      </c>
      <c r="KC80" s="4" t="s">
        <v>55</v>
      </c>
      <c r="KD80" s="4" t="s">
        <v>56</v>
      </c>
      <c r="KE80" s="4" t="s">
        <v>55</v>
      </c>
      <c r="KF80" s="4" t="s">
        <v>56</v>
      </c>
      <c r="KG80" s="4" t="s">
        <v>55</v>
      </c>
      <c r="KH80" s="4" t="s">
        <v>56</v>
      </c>
      <c r="KI80" s="4" t="s">
        <v>55</v>
      </c>
      <c r="KJ80" s="4" t="s">
        <v>56</v>
      </c>
      <c r="KK80" s="4" t="s">
        <v>55</v>
      </c>
      <c r="KL80" s="4" t="s">
        <v>56</v>
      </c>
      <c r="KM80" s="4" t="s">
        <v>55</v>
      </c>
      <c r="KN80" s="4" t="s">
        <v>56</v>
      </c>
      <c r="KO80" s="4" t="s">
        <v>55</v>
      </c>
      <c r="KP80" s="4" t="s">
        <v>56</v>
      </c>
      <c r="KQ80" s="4" t="s">
        <v>55</v>
      </c>
      <c r="KR80" s="4" t="s">
        <v>56</v>
      </c>
      <c r="KS80" s="4" t="s">
        <v>55</v>
      </c>
      <c r="KT80" s="4" t="s">
        <v>56</v>
      </c>
      <c r="KU80" s="4" t="s">
        <v>55</v>
      </c>
      <c r="KV80" s="4" t="s">
        <v>56</v>
      </c>
      <c r="KW80" s="4" t="s">
        <v>55</v>
      </c>
      <c r="KX80" s="4" t="s">
        <v>56</v>
      </c>
      <c r="KY80" s="4" t="s">
        <v>55</v>
      </c>
      <c r="KZ80" s="4" t="s">
        <v>56</v>
      </c>
      <c r="LA80" s="4" t="s">
        <v>55</v>
      </c>
      <c r="LB80" s="4" t="s">
        <v>61</v>
      </c>
      <c r="LC80" s="4" t="s">
        <v>55</v>
      </c>
      <c r="LD80" s="4" t="s">
        <v>56</v>
      </c>
      <c r="LE80" s="4" t="s">
        <v>55</v>
      </c>
      <c r="LF80" s="4" t="s">
        <v>56</v>
      </c>
      <c r="LG80" s="4" t="s">
        <v>55</v>
      </c>
      <c r="LH80" s="4" t="s">
        <v>56</v>
      </c>
      <c r="LI80" s="4" t="s">
        <v>55</v>
      </c>
      <c r="LJ80" s="4" t="s">
        <v>61</v>
      </c>
      <c r="LK80" s="4" t="s">
        <v>55</v>
      </c>
      <c r="LL80" s="4" t="s">
        <v>61</v>
      </c>
      <c r="LM80" s="4" t="s">
        <v>55</v>
      </c>
      <c r="LN80" s="4" t="s">
        <v>61</v>
      </c>
      <c r="LO80" s="4" t="s">
        <v>55</v>
      </c>
      <c r="LP80" s="4" t="s">
        <v>61</v>
      </c>
      <c r="LQ80" s="4" t="s">
        <v>55</v>
      </c>
      <c r="LR80" s="4" t="s">
        <v>61</v>
      </c>
      <c r="LS80" s="4" t="s">
        <v>55</v>
      </c>
      <c r="LT80" s="4" t="s">
        <v>61</v>
      </c>
      <c r="LU80" s="4" t="s">
        <v>55</v>
      </c>
      <c r="LV80" s="10" t="s">
        <v>56</v>
      </c>
      <c r="LW80" s="10" t="s">
        <v>55</v>
      </c>
      <c r="LX80" s="10" t="s">
        <v>56</v>
      </c>
      <c r="LY80" s="10" t="s">
        <v>55</v>
      </c>
      <c r="LZ80" s="10" t="s">
        <v>56</v>
      </c>
      <c r="MA80" s="10" t="s">
        <v>55</v>
      </c>
      <c r="MB80" s="10" t="s">
        <v>56</v>
      </c>
      <c r="MC80" s="10" t="s">
        <v>55</v>
      </c>
      <c r="MD80" s="10" t="s">
        <v>56</v>
      </c>
      <c r="ME80" s="10" t="s">
        <v>55</v>
      </c>
      <c r="MF80" s="10" t="s">
        <v>56</v>
      </c>
      <c r="MG80" s="10" t="s">
        <v>55</v>
      </c>
      <c r="MH80" s="10" t="s">
        <v>56</v>
      </c>
      <c r="MI80" s="10" t="s">
        <v>55</v>
      </c>
      <c r="MJ80" s="10" t="s">
        <v>56</v>
      </c>
      <c r="MK80" s="10" t="s">
        <v>55</v>
      </c>
      <c r="ML80" s="10" t="s">
        <v>56</v>
      </c>
      <c r="MM80" s="10" t="s">
        <v>55</v>
      </c>
      <c r="MN80" s="10" t="s">
        <v>56</v>
      </c>
      <c r="MO80" s="10" t="s">
        <v>55</v>
      </c>
      <c r="MP80" s="10" t="s">
        <v>56</v>
      </c>
      <c r="MQ80" s="10" t="s">
        <v>55</v>
      </c>
      <c r="MR80" s="10" t="s">
        <v>56</v>
      </c>
      <c r="MS80" s="10" t="s">
        <v>55</v>
      </c>
      <c r="MT80" s="10" t="s">
        <v>56</v>
      </c>
      <c r="MU80" s="10" t="s">
        <v>55</v>
      </c>
      <c r="MV80" s="10" t="s">
        <v>56</v>
      </c>
      <c r="MW80" s="10" t="s">
        <v>55</v>
      </c>
      <c r="MX80" s="10" t="s">
        <v>56</v>
      </c>
      <c r="MY80" s="10" t="s">
        <v>55</v>
      </c>
      <c r="MZ80" s="10" t="s">
        <v>56</v>
      </c>
      <c r="NA80" s="10" t="s">
        <v>55</v>
      </c>
      <c r="NB80" s="10">
        <f>(0.52*1000000)/E80</f>
        <v>3557.9883681149504</v>
      </c>
      <c r="NC80" s="10" t="s">
        <v>55</v>
      </c>
      <c r="ND80" s="10">
        <f>(0.111*1000000)/E80</f>
        <v>759.49367088607596</v>
      </c>
      <c r="NE80" s="10" t="s">
        <v>55</v>
      </c>
      <c r="NF80" s="10">
        <f>(0.498*1000000)/E80</f>
        <v>3407.4580910023947</v>
      </c>
      <c r="NG80" s="10" t="s">
        <v>55</v>
      </c>
      <c r="NH80" s="10" t="s">
        <v>318</v>
      </c>
      <c r="NI80" s="10" t="s">
        <v>55</v>
      </c>
      <c r="NJ80" s="10" t="s">
        <v>317</v>
      </c>
      <c r="NK80" s="10" t="s">
        <v>55</v>
      </c>
      <c r="NL80" s="10">
        <f>(8.23*1000000)/E80</f>
        <v>56312.008210742388</v>
      </c>
      <c r="NM80" s="4" t="s">
        <v>55</v>
      </c>
      <c r="NN80" s="10" t="s">
        <v>56</v>
      </c>
      <c r="NO80" s="4" t="s">
        <v>55</v>
      </c>
      <c r="NP80" s="4">
        <f>(3.8*1000000)/E80</f>
        <v>26000.684228532329</v>
      </c>
      <c r="NQ80" s="4">
        <f>(0.39*1000000)/E80</f>
        <v>2668.4912760862126</v>
      </c>
      <c r="NR80" s="10" t="s">
        <v>56</v>
      </c>
      <c r="NS80" s="10" t="s">
        <v>55</v>
      </c>
      <c r="NT80" s="10" t="s">
        <v>56</v>
      </c>
      <c r="NU80" s="10" t="s">
        <v>55</v>
      </c>
    </row>
    <row r="81" spans="1:385" x14ac:dyDescent="0.2">
      <c r="A81" t="s">
        <v>876</v>
      </c>
      <c r="B81" s="1" t="s">
        <v>1037</v>
      </c>
      <c r="C81" s="1" t="s">
        <v>843</v>
      </c>
      <c r="D81" s="39" cm="1">
        <f t="array" ref="D81">SUMPRODUCT((ISNUMBER(F81:NU81))*(MOD(COLUMN(F81:NU81),2)=0))</f>
        <v>12</v>
      </c>
      <c r="E81" s="1">
        <v>132.16</v>
      </c>
      <c r="F81" s="17" t="s">
        <v>56</v>
      </c>
      <c r="G81" s="17" t="s">
        <v>55</v>
      </c>
      <c r="H81" s="17" t="s">
        <v>56</v>
      </c>
      <c r="I81" s="17" t="s">
        <v>55</v>
      </c>
      <c r="J81" s="17" t="s">
        <v>56</v>
      </c>
      <c r="K81" s="17" t="s">
        <v>55</v>
      </c>
      <c r="L81" s="17" t="s">
        <v>56</v>
      </c>
      <c r="M81" s="17" t="s">
        <v>55</v>
      </c>
      <c r="N81" s="17" t="s">
        <v>56</v>
      </c>
      <c r="O81" s="17" t="s">
        <v>55</v>
      </c>
      <c r="P81" s="17" t="s">
        <v>56</v>
      </c>
      <c r="Q81" s="17" t="s">
        <v>55</v>
      </c>
      <c r="R81" s="17" t="s">
        <v>56</v>
      </c>
      <c r="S81" s="17" t="s">
        <v>55</v>
      </c>
      <c r="T81" s="17" t="s">
        <v>56</v>
      </c>
      <c r="U81" s="17" t="s">
        <v>55</v>
      </c>
      <c r="V81" s="17" t="s">
        <v>56</v>
      </c>
      <c r="W81" s="17" t="s">
        <v>55</v>
      </c>
      <c r="X81" s="17" t="s">
        <v>56</v>
      </c>
      <c r="Y81" s="17" t="s">
        <v>55</v>
      </c>
      <c r="Z81" s="17" t="s">
        <v>56</v>
      </c>
      <c r="AA81" s="17" t="s">
        <v>55</v>
      </c>
      <c r="AB81" s="17" t="s">
        <v>56</v>
      </c>
      <c r="AC81" s="17" t="s">
        <v>55</v>
      </c>
      <c r="AD81" s="17" t="s">
        <v>56</v>
      </c>
      <c r="AE81" s="17" t="s">
        <v>55</v>
      </c>
      <c r="AF81" s="17" t="s">
        <v>56</v>
      </c>
      <c r="AG81" s="17" t="s">
        <v>55</v>
      </c>
      <c r="AH81" s="17" t="s">
        <v>56</v>
      </c>
      <c r="AI81" s="17" t="s">
        <v>55</v>
      </c>
      <c r="AJ81" s="17" t="s">
        <v>56</v>
      </c>
      <c r="AK81" s="17" t="s">
        <v>55</v>
      </c>
      <c r="AL81" s="17" t="s">
        <v>56</v>
      </c>
      <c r="AM81" s="17" t="s">
        <v>55</v>
      </c>
      <c r="AN81" s="17" t="s">
        <v>56</v>
      </c>
      <c r="AO81" s="17" t="s">
        <v>55</v>
      </c>
      <c r="AP81" s="17" t="s">
        <v>56</v>
      </c>
      <c r="AQ81" s="17" t="s">
        <v>55</v>
      </c>
      <c r="AR81" s="17" t="s">
        <v>56</v>
      </c>
      <c r="AS81" s="17" t="s">
        <v>55</v>
      </c>
      <c r="AT81" s="17" t="s">
        <v>56</v>
      </c>
      <c r="AU81" s="17" t="s">
        <v>55</v>
      </c>
      <c r="AV81" s="17" t="s">
        <v>56</v>
      </c>
      <c r="AW81" s="17" t="s">
        <v>55</v>
      </c>
      <c r="AX81" s="17" t="s">
        <v>56</v>
      </c>
      <c r="AY81" s="17" t="s">
        <v>55</v>
      </c>
      <c r="AZ81" s="17" t="s">
        <v>56</v>
      </c>
      <c r="BA81" s="17" t="s">
        <v>55</v>
      </c>
      <c r="BB81" s="17" t="s">
        <v>56</v>
      </c>
      <c r="BC81" s="17" t="s">
        <v>55</v>
      </c>
      <c r="BD81" s="17" t="s">
        <v>56</v>
      </c>
      <c r="BE81" s="17" t="s">
        <v>55</v>
      </c>
      <c r="BF81" s="17" t="s">
        <v>56</v>
      </c>
      <c r="BG81" s="17" t="s">
        <v>55</v>
      </c>
      <c r="BH81" s="17" t="s">
        <v>56</v>
      </c>
      <c r="BI81" s="17" t="s">
        <v>55</v>
      </c>
      <c r="BJ81" s="17" t="s">
        <v>56</v>
      </c>
      <c r="BK81" s="17" t="s">
        <v>55</v>
      </c>
      <c r="BL81" s="17" t="s">
        <v>56</v>
      </c>
      <c r="BM81" s="17" t="s">
        <v>55</v>
      </c>
      <c r="BN81" s="17" t="s">
        <v>56</v>
      </c>
      <c r="BO81" s="17" t="s">
        <v>55</v>
      </c>
      <c r="BP81" s="17" t="s">
        <v>56</v>
      </c>
      <c r="BQ81" s="17" t="s">
        <v>55</v>
      </c>
      <c r="BR81" s="17" t="s">
        <v>56</v>
      </c>
      <c r="BS81" s="17" t="s">
        <v>55</v>
      </c>
      <c r="BT81" s="17" t="s">
        <v>56</v>
      </c>
      <c r="BU81" s="17" t="s">
        <v>55</v>
      </c>
      <c r="BV81" s="17" t="s">
        <v>56</v>
      </c>
      <c r="BW81" s="17" t="s">
        <v>55</v>
      </c>
      <c r="BX81" s="17" t="s">
        <v>56</v>
      </c>
      <c r="BY81" s="17" t="s">
        <v>55</v>
      </c>
      <c r="BZ81" s="17" t="s">
        <v>56</v>
      </c>
      <c r="CA81" s="17" t="s">
        <v>55</v>
      </c>
      <c r="CB81" s="17" t="s">
        <v>56</v>
      </c>
      <c r="CC81" s="17" t="s">
        <v>55</v>
      </c>
      <c r="CD81" s="17" t="s">
        <v>56</v>
      </c>
      <c r="CE81" s="17" t="s">
        <v>55</v>
      </c>
      <c r="CF81" s="17" t="s">
        <v>56</v>
      </c>
      <c r="CG81" s="17" t="s">
        <v>55</v>
      </c>
      <c r="CH81" s="17" t="s">
        <v>56</v>
      </c>
      <c r="CI81" s="17" t="s">
        <v>55</v>
      </c>
      <c r="CJ81" s="17" t="s">
        <v>56</v>
      </c>
      <c r="CK81" s="17" t="s">
        <v>55</v>
      </c>
      <c r="CL81" s="17" t="s">
        <v>56</v>
      </c>
      <c r="CM81" s="17" t="s">
        <v>55</v>
      </c>
      <c r="CN81" s="17" t="s">
        <v>56</v>
      </c>
      <c r="CO81" s="17" t="s">
        <v>55</v>
      </c>
      <c r="CP81" s="17" t="s">
        <v>56</v>
      </c>
      <c r="CQ81" s="17" t="s">
        <v>55</v>
      </c>
      <c r="CR81" s="17" t="s">
        <v>56</v>
      </c>
      <c r="CS81" s="17" t="s">
        <v>55</v>
      </c>
      <c r="CT81" s="17" t="s">
        <v>56</v>
      </c>
      <c r="CU81" s="17" t="s">
        <v>55</v>
      </c>
      <c r="CV81" s="17" t="s">
        <v>56</v>
      </c>
      <c r="CW81" s="17" t="s">
        <v>55</v>
      </c>
      <c r="CX81" s="17" t="s">
        <v>56</v>
      </c>
      <c r="CY81" s="17" t="s">
        <v>55</v>
      </c>
      <c r="CZ81" s="17" t="s">
        <v>56</v>
      </c>
      <c r="DA81" s="17" t="s">
        <v>55</v>
      </c>
      <c r="DB81" s="17" t="s">
        <v>56</v>
      </c>
      <c r="DC81" s="17" t="s">
        <v>55</v>
      </c>
      <c r="DD81" s="17" t="s">
        <v>56</v>
      </c>
      <c r="DE81" s="17" t="s">
        <v>55</v>
      </c>
      <c r="DF81" s="17" t="s">
        <v>56</v>
      </c>
      <c r="DG81" s="17" t="s">
        <v>55</v>
      </c>
      <c r="DH81" s="17" t="s">
        <v>56</v>
      </c>
      <c r="DI81" s="17" t="s">
        <v>55</v>
      </c>
      <c r="DJ81" s="17" t="s">
        <v>56</v>
      </c>
      <c r="DK81" s="17" t="s">
        <v>55</v>
      </c>
      <c r="DL81" s="17" t="s">
        <v>56</v>
      </c>
      <c r="DM81" s="17" t="s">
        <v>55</v>
      </c>
      <c r="DN81" s="17" t="s">
        <v>56</v>
      </c>
      <c r="DO81" s="17" t="s">
        <v>55</v>
      </c>
      <c r="DP81" s="17" t="s">
        <v>56</v>
      </c>
      <c r="DQ81" s="17" t="s">
        <v>55</v>
      </c>
      <c r="DR81" s="17" t="s">
        <v>56</v>
      </c>
      <c r="DS81" s="17" t="s">
        <v>55</v>
      </c>
      <c r="DT81" s="17" t="s">
        <v>56</v>
      </c>
      <c r="DU81" s="17" t="s">
        <v>55</v>
      </c>
      <c r="DV81" s="17" t="s">
        <v>56</v>
      </c>
      <c r="DW81" s="17" t="s">
        <v>55</v>
      </c>
      <c r="DX81" s="17" t="s">
        <v>56</v>
      </c>
      <c r="DY81" s="17" t="s">
        <v>55</v>
      </c>
      <c r="DZ81" s="17" t="s">
        <v>56</v>
      </c>
      <c r="EA81" s="17" t="s">
        <v>55</v>
      </c>
      <c r="EB81" s="17" t="s">
        <v>56</v>
      </c>
      <c r="EC81" s="17" t="s">
        <v>55</v>
      </c>
      <c r="ED81" s="17" t="s">
        <v>56</v>
      </c>
      <c r="EE81" s="17" t="s">
        <v>55</v>
      </c>
      <c r="EF81" s="17" t="s">
        <v>56</v>
      </c>
      <c r="EG81" s="17" t="s">
        <v>55</v>
      </c>
      <c r="EH81" s="17" t="s">
        <v>56</v>
      </c>
      <c r="EI81" s="17" t="s">
        <v>55</v>
      </c>
      <c r="EJ81" s="17" t="s">
        <v>56</v>
      </c>
      <c r="EK81" s="17" t="s">
        <v>55</v>
      </c>
      <c r="EL81" s="17" t="s">
        <v>56</v>
      </c>
      <c r="EM81" s="17" t="s">
        <v>55</v>
      </c>
      <c r="EN81" s="17" t="s">
        <v>56</v>
      </c>
      <c r="EO81" s="17" t="s">
        <v>55</v>
      </c>
      <c r="EP81" s="17" t="s">
        <v>56</v>
      </c>
      <c r="EQ81" s="17" t="s">
        <v>55</v>
      </c>
      <c r="ER81" s="17" t="s">
        <v>56</v>
      </c>
      <c r="ES81" s="17" t="s">
        <v>55</v>
      </c>
      <c r="ET81" s="17" t="s">
        <v>56</v>
      </c>
      <c r="EU81" s="17" t="s">
        <v>55</v>
      </c>
      <c r="EV81" s="17" t="s">
        <v>56</v>
      </c>
      <c r="EW81" s="17" t="s">
        <v>55</v>
      </c>
      <c r="EX81" s="17" t="s">
        <v>56</v>
      </c>
      <c r="EY81" s="17" t="s">
        <v>55</v>
      </c>
      <c r="EZ81" s="17" t="s">
        <v>56</v>
      </c>
      <c r="FA81" s="17" t="s">
        <v>55</v>
      </c>
      <c r="FB81" s="17" t="s">
        <v>56</v>
      </c>
      <c r="FC81" s="17" t="s">
        <v>55</v>
      </c>
      <c r="FD81" s="17" t="s">
        <v>56</v>
      </c>
      <c r="FE81" s="17" t="s">
        <v>55</v>
      </c>
      <c r="FF81" s="17" t="s">
        <v>56</v>
      </c>
      <c r="FG81" s="17" t="s">
        <v>55</v>
      </c>
      <c r="FH81" s="17" t="s">
        <v>56</v>
      </c>
      <c r="FI81" s="17" t="s">
        <v>55</v>
      </c>
      <c r="FJ81" s="17" t="s">
        <v>56</v>
      </c>
      <c r="FK81" s="17" t="s">
        <v>55</v>
      </c>
      <c r="FL81" s="17" t="s">
        <v>56</v>
      </c>
      <c r="FM81" s="17" t="s">
        <v>55</v>
      </c>
      <c r="FN81" s="17" t="s">
        <v>56</v>
      </c>
      <c r="FO81" s="17" t="s">
        <v>55</v>
      </c>
      <c r="FP81" s="17" t="s">
        <v>56</v>
      </c>
      <c r="FQ81" s="17" t="s">
        <v>55</v>
      </c>
      <c r="FR81" s="17" t="s">
        <v>56</v>
      </c>
      <c r="FS81" s="17" t="s">
        <v>55</v>
      </c>
      <c r="FT81" s="17" t="s">
        <v>56</v>
      </c>
      <c r="FU81" s="17" t="s">
        <v>55</v>
      </c>
      <c r="FV81" s="17" t="s">
        <v>56</v>
      </c>
      <c r="FW81" s="17" t="s">
        <v>55</v>
      </c>
      <c r="FX81" s="17" t="s">
        <v>56</v>
      </c>
      <c r="FY81" s="17" t="s">
        <v>55</v>
      </c>
      <c r="FZ81" s="17" t="s">
        <v>56</v>
      </c>
      <c r="GA81" s="17" t="s">
        <v>55</v>
      </c>
      <c r="GB81" s="17" t="s">
        <v>56</v>
      </c>
      <c r="GC81" s="17" t="s">
        <v>55</v>
      </c>
      <c r="GD81" s="17" t="s">
        <v>56</v>
      </c>
      <c r="GE81" s="17" t="s">
        <v>55</v>
      </c>
      <c r="GF81" s="17" t="s">
        <v>56</v>
      </c>
      <c r="GG81" s="17" t="s">
        <v>55</v>
      </c>
      <c r="GH81" s="17" t="s">
        <v>56</v>
      </c>
      <c r="GI81" s="17" t="s">
        <v>55</v>
      </c>
      <c r="GJ81" s="17" t="s">
        <v>56</v>
      </c>
      <c r="GK81" s="17" t="s">
        <v>55</v>
      </c>
      <c r="GL81" s="17" t="s">
        <v>56</v>
      </c>
      <c r="GM81" s="17" t="s">
        <v>55</v>
      </c>
      <c r="GN81" s="17" t="s">
        <v>56</v>
      </c>
      <c r="GO81" s="17" t="s">
        <v>55</v>
      </c>
      <c r="GP81" s="17" t="s">
        <v>56</v>
      </c>
      <c r="GQ81" s="17" t="s">
        <v>55</v>
      </c>
      <c r="GR81" s="17" t="s">
        <v>56</v>
      </c>
      <c r="GS81" s="17" t="s">
        <v>55</v>
      </c>
      <c r="GT81" s="17" t="s">
        <v>56</v>
      </c>
      <c r="GU81" s="17" t="s">
        <v>55</v>
      </c>
      <c r="GV81" s="17" t="s">
        <v>56</v>
      </c>
      <c r="GW81" s="17" t="s">
        <v>55</v>
      </c>
      <c r="GX81" s="17" t="s">
        <v>56</v>
      </c>
      <c r="GY81" s="17" t="s">
        <v>55</v>
      </c>
      <c r="GZ81" s="17" t="s">
        <v>56</v>
      </c>
      <c r="HA81" s="17" t="s">
        <v>55</v>
      </c>
      <c r="HB81" s="17" t="s">
        <v>56</v>
      </c>
      <c r="HC81" s="17" t="s">
        <v>55</v>
      </c>
      <c r="HD81" s="17" t="s">
        <v>56</v>
      </c>
      <c r="HE81" s="17" t="s">
        <v>55</v>
      </c>
      <c r="HF81" s="17" t="s">
        <v>56</v>
      </c>
      <c r="HG81" s="17" t="s">
        <v>55</v>
      </c>
      <c r="HH81" s="17" t="s">
        <v>56</v>
      </c>
      <c r="HI81" s="17" t="s">
        <v>55</v>
      </c>
      <c r="HJ81" s="17" t="s">
        <v>56</v>
      </c>
      <c r="HK81" s="17" t="s">
        <v>55</v>
      </c>
      <c r="HL81" s="17" t="s">
        <v>56</v>
      </c>
      <c r="HM81" s="17" t="s">
        <v>55</v>
      </c>
      <c r="HN81" s="17" t="s">
        <v>56</v>
      </c>
      <c r="HO81" s="17" t="s">
        <v>55</v>
      </c>
      <c r="HP81" s="17" t="s">
        <v>56</v>
      </c>
      <c r="HQ81" s="17" t="s">
        <v>55</v>
      </c>
      <c r="HR81" s="17" t="s">
        <v>56</v>
      </c>
      <c r="HS81" s="17" t="s">
        <v>55</v>
      </c>
      <c r="HT81" s="17" t="s">
        <v>56</v>
      </c>
      <c r="HU81" s="17" t="s">
        <v>55</v>
      </c>
      <c r="HV81" s="17" t="s">
        <v>56</v>
      </c>
      <c r="HW81" s="17" t="s">
        <v>55</v>
      </c>
      <c r="HX81" s="17" t="s">
        <v>56</v>
      </c>
      <c r="HY81" s="17" t="s">
        <v>55</v>
      </c>
      <c r="HZ81" s="17" t="s">
        <v>56</v>
      </c>
      <c r="IA81" s="17" t="s">
        <v>55</v>
      </c>
      <c r="IB81" s="17" t="s">
        <v>56</v>
      </c>
      <c r="IC81" s="17" t="s">
        <v>55</v>
      </c>
      <c r="ID81" s="17" t="s">
        <v>56</v>
      </c>
      <c r="IE81" s="17" t="s">
        <v>55</v>
      </c>
      <c r="IF81" s="17" t="s">
        <v>56</v>
      </c>
      <c r="IG81" s="17" t="s">
        <v>55</v>
      </c>
      <c r="IH81" s="17" t="s">
        <v>56</v>
      </c>
      <c r="II81" s="17" t="s">
        <v>55</v>
      </c>
      <c r="IJ81" s="17" t="s">
        <v>56</v>
      </c>
      <c r="IK81" s="17" t="s">
        <v>55</v>
      </c>
      <c r="IL81" s="17" t="s">
        <v>56</v>
      </c>
      <c r="IM81" s="17" t="s">
        <v>55</v>
      </c>
      <c r="IN81" s="17" t="s">
        <v>56</v>
      </c>
      <c r="IO81" s="17" t="s">
        <v>55</v>
      </c>
      <c r="IP81" s="17" t="s">
        <v>56</v>
      </c>
      <c r="IQ81" s="17" t="s">
        <v>55</v>
      </c>
      <c r="IR81" s="17" t="s">
        <v>56</v>
      </c>
      <c r="IS81" s="17" t="s">
        <v>55</v>
      </c>
      <c r="IT81" s="17" t="s">
        <v>56</v>
      </c>
      <c r="IU81" s="17" t="s">
        <v>55</v>
      </c>
      <c r="IV81" s="17" t="s">
        <v>56</v>
      </c>
      <c r="IW81" s="17" t="s">
        <v>55</v>
      </c>
      <c r="IX81" s="17" t="s">
        <v>56</v>
      </c>
      <c r="IY81" s="17" t="s">
        <v>55</v>
      </c>
      <c r="IZ81" s="17" t="s">
        <v>56</v>
      </c>
      <c r="JA81" s="17" t="s">
        <v>55</v>
      </c>
      <c r="JB81" s="17" t="s">
        <v>56</v>
      </c>
      <c r="JC81" s="17" t="s">
        <v>55</v>
      </c>
      <c r="JD81" s="17" t="s">
        <v>56</v>
      </c>
      <c r="JE81" s="17" t="s">
        <v>55</v>
      </c>
      <c r="JF81" s="17" t="s">
        <v>56</v>
      </c>
      <c r="JG81" s="17" t="s">
        <v>55</v>
      </c>
      <c r="JH81" s="17" t="s">
        <v>56</v>
      </c>
      <c r="JI81" s="17" t="s">
        <v>55</v>
      </c>
      <c r="JJ81" s="17" t="s">
        <v>56</v>
      </c>
      <c r="JK81" s="17" t="s">
        <v>55</v>
      </c>
      <c r="JL81" s="17" t="s">
        <v>56</v>
      </c>
      <c r="JM81" s="17" t="s">
        <v>55</v>
      </c>
      <c r="JN81" s="17" t="s">
        <v>56</v>
      </c>
      <c r="JO81" s="17" t="s">
        <v>55</v>
      </c>
      <c r="JP81" s="17" t="s">
        <v>56</v>
      </c>
      <c r="JQ81" s="17" t="s">
        <v>55</v>
      </c>
      <c r="JR81" s="17" t="s">
        <v>56</v>
      </c>
      <c r="JS81" s="17" t="s">
        <v>55</v>
      </c>
      <c r="JT81" s="17" t="s">
        <v>56</v>
      </c>
      <c r="JU81" s="17" t="s">
        <v>55</v>
      </c>
      <c r="JV81" s="4" t="s">
        <v>54</v>
      </c>
      <c r="JW81" s="4" t="s">
        <v>55</v>
      </c>
      <c r="JX81" s="17" t="s">
        <v>56</v>
      </c>
      <c r="JY81" s="17" t="s">
        <v>55</v>
      </c>
      <c r="JZ81" s="17" t="s">
        <v>56</v>
      </c>
      <c r="KA81" s="17" t="s">
        <v>55</v>
      </c>
      <c r="KB81" s="17" t="s">
        <v>56</v>
      </c>
      <c r="KC81" s="17" t="s">
        <v>55</v>
      </c>
      <c r="KD81" s="17" t="s">
        <v>56</v>
      </c>
      <c r="KE81" s="17" t="s">
        <v>55</v>
      </c>
      <c r="KF81" s="17" t="s">
        <v>56</v>
      </c>
      <c r="KG81" s="17" t="s">
        <v>55</v>
      </c>
      <c r="KH81" s="17" t="s">
        <v>56</v>
      </c>
      <c r="KI81" s="17" t="s">
        <v>55</v>
      </c>
      <c r="KJ81" s="17" t="s">
        <v>56</v>
      </c>
      <c r="KK81" s="17" t="s">
        <v>55</v>
      </c>
      <c r="KL81" s="17" t="s">
        <v>56</v>
      </c>
      <c r="KM81" s="17" t="s">
        <v>55</v>
      </c>
      <c r="KN81" s="17" t="s">
        <v>56</v>
      </c>
      <c r="KO81" s="17" t="s">
        <v>55</v>
      </c>
      <c r="KP81" s="17" t="s">
        <v>56</v>
      </c>
      <c r="KQ81" s="17" t="s">
        <v>55</v>
      </c>
      <c r="KR81" s="17" t="s">
        <v>56</v>
      </c>
      <c r="KS81" s="17" t="s">
        <v>55</v>
      </c>
      <c r="KT81" s="17" t="s">
        <v>56</v>
      </c>
      <c r="KU81" s="17" t="s">
        <v>55</v>
      </c>
      <c r="KV81" s="17" t="s">
        <v>56</v>
      </c>
      <c r="KW81" s="17" t="s">
        <v>55</v>
      </c>
      <c r="KX81" s="17" t="s">
        <v>56</v>
      </c>
      <c r="KY81" s="17" t="s">
        <v>55</v>
      </c>
      <c r="KZ81" s="17" t="s">
        <v>56</v>
      </c>
      <c r="LA81" s="17" t="s">
        <v>55</v>
      </c>
      <c r="LB81" s="17" t="s">
        <v>56</v>
      </c>
      <c r="LC81" s="17" t="s">
        <v>55</v>
      </c>
      <c r="LD81" s="17" t="s">
        <v>56</v>
      </c>
      <c r="LE81" s="17" t="s">
        <v>55</v>
      </c>
      <c r="LF81" s="17" t="s">
        <v>56</v>
      </c>
      <c r="LG81" s="17" t="s">
        <v>55</v>
      </c>
      <c r="LH81" s="17" t="s">
        <v>56</v>
      </c>
      <c r="LI81" s="17" t="s">
        <v>55</v>
      </c>
      <c r="LJ81" s="17" t="s">
        <v>56</v>
      </c>
      <c r="LK81" s="17" t="s">
        <v>55</v>
      </c>
      <c r="LL81" s="17" t="s">
        <v>56</v>
      </c>
      <c r="LM81" s="17" t="s">
        <v>55</v>
      </c>
      <c r="LN81" s="17" t="s">
        <v>56</v>
      </c>
      <c r="LO81" s="17" t="s">
        <v>55</v>
      </c>
      <c r="LP81" s="17" t="s">
        <v>56</v>
      </c>
      <c r="LQ81" s="17" t="s">
        <v>55</v>
      </c>
      <c r="LR81" s="17" t="s">
        <v>56</v>
      </c>
      <c r="LS81" s="17" t="s">
        <v>55</v>
      </c>
      <c r="LT81" s="17" t="s">
        <v>56</v>
      </c>
      <c r="LU81" s="17" t="s">
        <v>55</v>
      </c>
      <c r="LV81" s="17" t="s">
        <v>56</v>
      </c>
      <c r="LW81" s="17" t="s">
        <v>55</v>
      </c>
      <c r="LX81" s="17" t="s">
        <v>56</v>
      </c>
      <c r="LY81" s="17" t="s">
        <v>55</v>
      </c>
      <c r="LZ81" s="17" t="s">
        <v>56</v>
      </c>
      <c r="MA81" s="17" t="s">
        <v>55</v>
      </c>
      <c r="MB81" s="17" t="s">
        <v>56</v>
      </c>
      <c r="MC81" s="17" t="s">
        <v>55</v>
      </c>
      <c r="MD81" s="4">
        <v>234</v>
      </c>
      <c r="ME81" s="4" t="s">
        <v>55</v>
      </c>
      <c r="MF81" s="4">
        <v>152</v>
      </c>
      <c r="MG81" s="4" t="s">
        <v>55</v>
      </c>
      <c r="MH81" s="4">
        <v>364</v>
      </c>
      <c r="MI81" s="4" t="s">
        <v>55</v>
      </c>
      <c r="MJ81" s="4">
        <v>165</v>
      </c>
      <c r="MK81" s="4" t="s">
        <v>55</v>
      </c>
      <c r="ML81" s="4">
        <v>138</v>
      </c>
      <c r="MM81" s="4" t="s">
        <v>55</v>
      </c>
      <c r="MN81" s="4">
        <v>515</v>
      </c>
      <c r="MO81" s="4" t="s">
        <v>55</v>
      </c>
      <c r="MP81" s="4">
        <v>303</v>
      </c>
      <c r="MQ81" s="4" t="s">
        <v>55</v>
      </c>
      <c r="MR81" s="4">
        <v>118</v>
      </c>
      <c r="MS81" s="4" t="s">
        <v>55</v>
      </c>
      <c r="MT81" s="4">
        <v>88</v>
      </c>
      <c r="MU81" s="4" t="s">
        <v>55</v>
      </c>
      <c r="MV81" s="4">
        <v>242</v>
      </c>
      <c r="MW81" s="4" t="s">
        <v>55</v>
      </c>
      <c r="MX81" s="4">
        <v>100</v>
      </c>
      <c r="MY81" s="4" t="s">
        <v>55</v>
      </c>
      <c r="MZ81" s="4">
        <v>122</v>
      </c>
      <c r="NA81" s="4" t="s">
        <v>55</v>
      </c>
      <c r="NB81" s="10" t="s">
        <v>56</v>
      </c>
      <c r="NC81" s="10" t="s">
        <v>55</v>
      </c>
      <c r="ND81" s="10" t="s">
        <v>56</v>
      </c>
      <c r="NE81" s="10" t="s">
        <v>55</v>
      </c>
      <c r="NF81" s="10" t="s">
        <v>56</v>
      </c>
      <c r="NG81" s="10" t="s">
        <v>55</v>
      </c>
      <c r="NH81" s="10" t="s">
        <v>56</v>
      </c>
      <c r="NI81" s="10" t="s">
        <v>55</v>
      </c>
      <c r="NJ81" s="10" t="s">
        <v>56</v>
      </c>
      <c r="NK81" s="10" t="s">
        <v>55</v>
      </c>
      <c r="NL81" s="10" t="s">
        <v>56</v>
      </c>
      <c r="NM81" s="10" t="s">
        <v>55</v>
      </c>
      <c r="NN81" s="10" t="s">
        <v>56</v>
      </c>
      <c r="NO81" s="10" t="s">
        <v>55</v>
      </c>
      <c r="NP81" s="10" t="s">
        <v>56</v>
      </c>
      <c r="NQ81" s="10" t="s">
        <v>55</v>
      </c>
      <c r="NR81" s="10" t="s">
        <v>56</v>
      </c>
      <c r="NS81" s="10" t="s">
        <v>55</v>
      </c>
      <c r="NT81" s="10" t="s">
        <v>56</v>
      </c>
      <c r="NU81" s="10" t="s">
        <v>55</v>
      </c>
    </row>
    <row r="82" spans="1:385" x14ac:dyDescent="0.2">
      <c r="A82" t="s">
        <v>628</v>
      </c>
      <c r="B82" s="1" t="s">
        <v>1040</v>
      </c>
      <c r="C82" s="1" t="s">
        <v>858</v>
      </c>
      <c r="D82" s="39" cm="1">
        <f t="array" ref="D82">SUMPRODUCT((ISNUMBER(F82:NU82))*(MOD(COLUMN(F82:NU82),2)=0))</f>
        <v>2</v>
      </c>
      <c r="E82" s="1">
        <v>147.13</v>
      </c>
      <c r="F82" s="17" t="s">
        <v>56</v>
      </c>
      <c r="G82" s="17" t="s">
        <v>55</v>
      </c>
      <c r="H82" s="17" t="s">
        <v>56</v>
      </c>
      <c r="I82" s="17" t="s">
        <v>55</v>
      </c>
      <c r="J82" s="17" t="s">
        <v>56</v>
      </c>
      <c r="K82" s="17" t="s">
        <v>55</v>
      </c>
      <c r="L82" s="17" t="s">
        <v>56</v>
      </c>
      <c r="M82" s="17" t="s">
        <v>55</v>
      </c>
      <c r="N82" s="17" t="s">
        <v>56</v>
      </c>
      <c r="O82" s="17" t="s">
        <v>55</v>
      </c>
      <c r="P82" s="17" t="s">
        <v>56</v>
      </c>
      <c r="Q82" s="17" t="s">
        <v>55</v>
      </c>
      <c r="R82" s="17" t="s">
        <v>56</v>
      </c>
      <c r="S82" s="17" t="s">
        <v>55</v>
      </c>
      <c r="T82" s="17" t="s">
        <v>56</v>
      </c>
      <c r="U82" s="17" t="s">
        <v>55</v>
      </c>
      <c r="V82" s="17" t="s">
        <v>56</v>
      </c>
      <c r="W82" s="17" t="s">
        <v>55</v>
      </c>
      <c r="X82" s="17" t="s">
        <v>56</v>
      </c>
      <c r="Y82" s="17" t="s">
        <v>55</v>
      </c>
      <c r="Z82" s="17" t="s">
        <v>56</v>
      </c>
      <c r="AA82" s="17" t="s">
        <v>55</v>
      </c>
      <c r="AB82" s="17" t="s">
        <v>56</v>
      </c>
      <c r="AC82" s="17" t="s">
        <v>55</v>
      </c>
      <c r="AD82" s="17" t="s">
        <v>56</v>
      </c>
      <c r="AE82" s="17" t="s">
        <v>55</v>
      </c>
      <c r="AF82" s="17" t="s">
        <v>56</v>
      </c>
      <c r="AG82" s="17" t="s">
        <v>55</v>
      </c>
      <c r="AH82" s="17" t="s">
        <v>56</v>
      </c>
      <c r="AI82" s="17" t="s">
        <v>55</v>
      </c>
      <c r="AJ82" s="17" t="s">
        <v>56</v>
      </c>
      <c r="AK82" s="17" t="s">
        <v>55</v>
      </c>
      <c r="AL82" s="17" t="s">
        <v>56</v>
      </c>
      <c r="AM82" s="17" t="s">
        <v>55</v>
      </c>
      <c r="AN82" s="17" t="s">
        <v>56</v>
      </c>
      <c r="AO82" s="17" t="s">
        <v>55</v>
      </c>
      <c r="AP82" s="17" t="s">
        <v>56</v>
      </c>
      <c r="AQ82" s="17" t="s">
        <v>55</v>
      </c>
      <c r="AR82" s="10">
        <f>30/E82</f>
        <v>0.2039013117651057</v>
      </c>
      <c r="AS82" s="10">
        <f>5/E82</f>
        <v>3.3983551960850948E-2</v>
      </c>
      <c r="AT82" s="17" t="s">
        <v>56</v>
      </c>
      <c r="AU82" s="17" t="s">
        <v>55</v>
      </c>
      <c r="AV82" s="17" t="s">
        <v>56</v>
      </c>
      <c r="AW82" s="17" t="s">
        <v>55</v>
      </c>
      <c r="AX82" s="17" t="s">
        <v>56</v>
      </c>
      <c r="AY82" s="17" t="s">
        <v>55</v>
      </c>
      <c r="AZ82" s="17" t="s">
        <v>56</v>
      </c>
      <c r="BA82" s="17" t="s">
        <v>55</v>
      </c>
      <c r="BB82" s="17" t="s">
        <v>56</v>
      </c>
      <c r="BC82" s="17" t="s">
        <v>55</v>
      </c>
      <c r="BD82" s="17" t="s">
        <v>56</v>
      </c>
      <c r="BE82" s="17" t="s">
        <v>55</v>
      </c>
      <c r="BF82" s="17" t="s">
        <v>56</v>
      </c>
      <c r="BG82" s="17" t="s">
        <v>55</v>
      </c>
      <c r="BH82" s="17" t="s">
        <v>56</v>
      </c>
      <c r="BI82" s="17" t="s">
        <v>55</v>
      </c>
      <c r="BJ82" s="17" t="s">
        <v>56</v>
      </c>
      <c r="BK82" s="17" t="s">
        <v>55</v>
      </c>
      <c r="BL82" s="17" t="s">
        <v>56</v>
      </c>
      <c r="BM82" s="17" t="s">
        <v>55</v>
      </c>
      <c r="BN82" s="17" t="s">
        <v>56</v>
      </c>
      <c r="BO82" s="17" t="s">
        <v>55</v>
      </c>
      <c r="BP82" s="17" t="s">
        <v>56</v>
      </c>
      <c r="BQ82" s="17" t="s">
        <v>55</v>
      </c>
      <c r="BR82" s="17" t="s">
        <v>56</v>
      </c>
      <c r="BS82" s="17" t="s">
        <v>55</v>
      </c>
      <c r="BT82" s="17" t="s">
        <v>56</v>
      </c>
      <c r="BU82" s="17" t="s">
        <v>55</v>
      </c>
      <c r="BV82" s="17" t="s">
        <v>56</v>
      </c>
      <c r="BW82" s="17" t="s">
        <v>55</v>
      </c>
      <c r="BX82" s="17" t="s">
        <v>56</v>
      </c>
      <c r="BY82" s="17" t="s">
        <v>55</v>
      </c>
      <c r="BZ82" s="17" t="s">
        <v>56</v>
      </c>
      <c r="CA82" s="17" t="s">
        <v>55</v>
      </c>
      <c r="CB82" s="17" t="s">
        <v>56</v>
      </c>
      <c r="CC82" s="17" t="s">
        <v>55</v>
      </c>
      <c r="CD82" s="17" t="s">
        <v>56</v>
      </c>
      <c r="CE82" s="17" t="s">
        <v>55</v>
      </c>
      <c r="CF82" s="17" t="s">
        <v>56</v>
      </c>
      <c r="CG82" s="17" t="s">
        <v>55</v>
      </c>
      <c r="CH82" s="17" t="s">
        <v>56</v>
      </c>
      <c r="CI82" s="17" t="s">
        <v>55</v>
      </c>
      <c r="CJ82" s="17" t="s">
        <v>56</v>
      </c>
      <c r="CK82" s="17" t="s">
        <v>55</v>
      </c>
      <c r="CL82" s="17" t="s">
        <v>56</v>
      </c>
      <c r="CM82" s="17" t="s">
        <v>55</v>
      </c>
      <c r="CN82" s="17" t="s">
        <v>56</v>
      </c>
      <c r="CO82" s="17" t="s">
        <v>55</v>
      </c>
      <c r="CP82" s="17" t="s">
        <v>56</v>
      </c>
      <c r="CQ82" s="17" t="s">
        <v>55</v>
      </c>
      <c r="CR82" s="17" t="s">
        <v>56</v>
      </c>
      <c r="CS82" s="17" t="s">
        <v>55</v>
      </c>
      <c r="CT82" s="17" t="s">
        <v>56</v>
      </c>
      <c r="CU82" s="17" t="s">
        <v>55</v>
      </c>
      <c r="CV82" s="17" t="s">
        <v>56</v>
      </c>
      <c r="CW82" s="17" t="s">
        <v>55</v>
      </c>
      <c r="CX82" s="17" t="s">
        <v>56</v>
      </c>
      <c r="CY82" s="17" t="s">
        <v>55</v>
      </c>
      <c r="CZ82" s="17" t="s">
        <v>56</v>
      </c>
      <c r="DA82" s="17" t="s">
        <v>55</v>
      </c>
      <c r="DB82" s="17" t="s">
        <v>56</v>
      </c>
      <c r="DC82" s="17" t="s">
        <v>55</v>
      </c>
      <c r="DD82" s="17" t="s">
        <v>56</v>
      </c>
      <c r="DE82" s="17" t="s">
        <v>55</v>
      </c>
      <c r="DF82" s="17" t="s">
        <v>56</v>
      </c>
      <c r="DG82" s="17" t="s">
        <v>55</v>
      </c>
      <c r="DH82" s="17" t="s">
        <v>56</v>
      </c>
      <c r="DI82" s="17" t="s">
        <v>55</v>
      </c>
      <c r="DJ82" s="17" t="s">
        <v>56</v>
      </c>
      <c r="DK82" s="17" t="s">
        <v>55</v>
      </c>
      <c r="DL82" s="17" t="s">
        <v>56</v>
      </c>
      <c r="DM82" s="17" t="s">
        <v>55</v>
      </c>
      <c r="DN82" s="17" t="s">
        <v>56</v>
      </c>
      <c r="DO82" s="17" t="s">
        <v>55</v>
      </c>
      <c r="DP82" s="17" t="s">
        <v>56</v>
      </c>
      <c r="DQ82" s="17" t="s">
        <v>55</v>
      </c>
      <c r="DR82" s="17" t="s">
        <v>56</v>
      </c>
      <c r="DS82" s="17" t="s">
        <v>55</v>
      </c>
      <c r="DT82" s="17" t="s">
        <v>56</v>
      </c>
      <c r="DU82" s="17" t="s">
        <v>55</v>
      </c>
      <c r="DV82" s="17" t="s">
        <v>56</v>
      </c>
      <c r="DW82" s="17" t="s">
        <v>55</v>
      </c>
      <c r="DX82" s="17" t="s">
        <v>56</v>
      </c>
      <c r="DY82" s="17" t="s">
        <v>55</v>
      </c>
      <c r="DZ82" s="17" t="s">
        <v>56</v>
      </c>
      <c r="EA82" s="17" t="s">
        <v>55</v>
      </c>
      <c r="EB82" s="17" t="s">
        <v>56</v>
      </c>
      <c r="EC82" s="17" t="s">
        <v>55</v>
      </c>
      <c r="ED82" s="17" t="s">
        <v>56</v>
      </c>
      <c r="EE82" s="17" t="s">
        <v>55</v>
      </c>
      <c r="EF82" s="17" t="s">
        <v>56</v>
      </c>
      <c r="EG82" s="17" t="s">
        <v>55</v>
      </c>
      <c r="EH82" s="17" t="s">
        <v>56</v>
      </c>
      <c r="EI82" s="17" t="s">
        <v>55</v>
      </c>
      <c r="EJ82" s="17" t="s">
        <v>56</v>
      </c>
      <c r="EK82" s="17" t="s">
        <v>55</v>
      </c>
      <c r="EL82" s="17" t="s">
        <v>56</v>
      </c>
      <c r="EM82" s="17" t="s">
        <v>55</v>
      </c>
      <c r="EN82" s="17" t="s">
        <v>56</v>
      </c>
      <c r="EO82" s="17" t="s">
        <v>55</v>
      </c>
      <c r="EP82" s="17" t="s">
        <v>56</v>
      </c>
      <c r="EQ82" s="17" t="s">
        <v>55</v>
      </c>
      <c r="ER82" s="17" t="s">
        <v>56</v>
      </c>
      <c r="ES82" s="17" t="s">
        <v>55</v>
      </c>
      <c r="ET82" s="17" t="s">
        <v>56</v>
      </c>
      <c r="EU82" s="17" t="s">
        <v>55</v>
      </c>
      <c r="EV82" s="17" t="s">
        <v>56</v>
      </c>
      <c r="EW82" s="17" t="s">
        <v>55</v>
      </c>
      <c r="EX82" s="17" t="s">
        <v>56</v>
      </c>
      <c r="EY82" s="17" t="s">
        <v>55</v>
      </c>
      <c r="EZ82" s="17" t="s">
        <v>56</v>
      </c>
      <c r="FA82" s="17" t="s">
        <v>55</v>
      </c>
      <c r="FB82" s="17" t="s">
        <v>56</v>
      </c>
      <c r="FC82" s="17" t="s">
        <v>55</v>
      </c>
      <c r="FD82" s="17" t="s">
        <v>56</v>
      </c>
      <c r="FE82" s="17" t="s">
        <v>55</v>
      </c>
      <c r="FF82" s="17" t="s">
        <v>56</v>
      </c>
      <c r="FG82" s="17" t="s">
        <v>55</v>
      </c>
      <c r="FH82" s="17" t="s">
        <v>56</v>
      </c>
      <c r="FI82" s="17" t="s">
        <v>55</v>
      </c>
      <c r="FJ82" s="17" t="s">
        <v>56</v>
      </c>
      <c r="FK82" s="17" t="s">
        <v>55</v>
      </c>
      <c r="FL82" s="17" t="s">
        <v>56</v>
      </c>
      <c r="FM82" s="17" t="s">
        <v>55</v>
      </c>
      <c r="FN82" s="17" t="s">
        <v>56</v>
      </c>
      <c r="FO82" s="17" t="s">
        <v>55</v>
      </c>
      <c r="FP82" s="17" t="s">
        <v>56</v>
      </c>
      <c r="FQ82" s="17" t="s">
        <v>55</v>
      </c>
      <c r="FR82" s="17" t="s">
        <v>56</v>
      </c>
      <c r="FS82" s="17" t="s">
        <v>55</v>
      </c>
      <c r="FT82" s="17" t="s">
        <v>56</v>
      </c>
      <c r="FU82" s="17" t="s">
        <v>55</v>
      </c>
      <c r="FV82" s="17" t="s">
        <v>56</v>
      </c>
      <c r="FW82" s="17" t="s">
        <v>55</v>
      </c>
      <c r="FX82" s="17" t="s">
        <v>56</v>
      </c>
      <c r="FY82" s="17" t="s">
        <v>55</v>
      </c>
      <c r="FZ82" s="17" t="s">
        <v>56</v>
      </c>
      <c r="GA82" s="17" t="s">
        <v>55</v>
      </c>
      <c r="GB82" s="17" t="s">
        <v>56</v>
      </c>
      <c r="GC82" s="17" t="s">
        <v>55</v>
      </c>
      <c r="GD82" s="17" t="s">
        <v>56</v>
      </c>
      <c r="GE82" s="17" t="s">
        <v>55</v>
      </c>
      <c r="GF82" s="17" t="s">
        <v>56</v>
      </c>
      <c r="GG82" s="17" t="s">
        <v>55</v>
      </c>
      <c r="GH82" s="17" t="s">
        <v>56</v>
      </c>
      <c r="GI82" s="17" t="s">
        <v>55</v>
      </c>
      <c r="GJ82" s="17" t="s">
        <v>56</v>
      </c>
      <c r="GK82" s="17" t="s">
        <v>55</v>
      </c>
      <c r="GL82" s="17" t="s">
        <v>56</v>
      </c>
      <c r="GM82" s="17" t="s">
        <v>55</v>
      </c>
      <c r="GN82" s="17" t="s">
        <v>56</v>
      </c>
      <c r="GO82" s="17" t="s">
        <v>55</v>
      </c>
      <c r="GP82" s="17" t="s">
        <v>56</v>
      </c>
      <c r="GQ82" s="17" t="s">
        <v>55</v>
      </c>
      <c r="GR82" s="17" t="s">
        <v>56</v>
      </c>
      <c r="GS82" s="17" t="s">
        <v>55</v>
      </c>
      <c r="GT82" s="17" t="s">
        <v>56</v>
      </c>
      <c r="GU82" s="17" t="s">
        <v>55</v>
      </c>
      <c r="GV82" s="17" t="s">
        <v>56</v>
      </c>
      <c r="GW82" s="17" t="s">
        <v>55</v>
      </c>
      <c r="GX82" s="17" t="s">
        <v>56</v>
      </c>
      <c r="GY82" s="17" t="s">
        <v>55</v>
      </c>
      <c r="GZ82" s="17" t="s">
        <v>56</v>
      </c>
      <c r="HA82" s="17" t="s">
        <v>55</v>
      </c>
      <c r="HB82" s="17" t="s">
        <v>56</v>
      </c>
      <c r="HC82" s="17" t="s">
        <v>55</v>
      </c>
      <c r="HD82" s="17" t="s">
        <v>56</v>
      </c>
      <c r="HE82" s="17" t="s">
        <v>55</v>
      </c>
      <c r="HF82" s="17" t="s">
        <v>56</v>
      </c>
      <c r="HG82" s="17" t="s">
        <v>55</v>
      </c>
      <c r="HH82" s="17" t="s">
        <v>56</v>
      </c>
      <c r="HI82" s="17" t="s">
        <v>55</v>
      </c>
      <c r="HJ82" s="17" t="s">
        <v>56</v>
      </c>
      <c r="HK82" s="17" t="s">
        <v>55</v>
      </c>
      <c r="HL82" s="17" t="s">
        <v>56</v>
      </c>
      <c r="HM82" s="17" t="s">
        <v>55</v>
      </c>
      <c r="HN82" s="17" t="s">
        <v>56</v>
      </c>
      <c r="HO82" s="17" t="s">
        <v>55</v>
      </c>
      <c r="HP82" s="17" t="s">
        <v>56</v>
      </c>
      <c r="HQ82" s="17" t="s">
        <v>55</v>
      </c>
      <c r="HR82" s="17" t="s">
        <v>56</v>
      </c>
      <c r="HS82" s="17" t="s">
        <v>55</v>
      </c>
      <c r="HT82" s="17" t="s">
        <v>56</v>
      </c>
      <c r="HU82" s="17" t="s">
        <v>55</v>
      </c>
      <c r="HV82" s="17" t="s">
        <v>56</v>
      </c>
      <c r="HW82" s="17" t="s">
        <v>55</v>
      </c>
      <c r="HX82" s="17" t="s">
        <v>56</v>
      </c>
      <c r="HY82" s="17" t="s">
        <v>55</v>
      </c>
      <c r="HZ82" s="17" t="s">
        <v>56</v>
      </c>
      <c r="IA82" s="17" t="s">
        <v>55</v>
      </c>
      <c r="IB82" s="17" t="s">
        <v>56</v>
      </c>
      <c r="IC82" s="17" t="s">
        <v>55</v>
      </c>
      <c r="ID82" s="17" t="s">
        <v>56</v>
      </c>
      <c r="IE82" s="17" t="s">
        <v>55</v>
      </c>
      <c r="IF82" s="17" t="s">
        <v>56</v>
      </c>
      <c r="IG82" s="17" t="s">
        <v>55</v>
      </c>
      <c r="IH82" s="17" t="s">
        <v>56</v>
      </c>
      <c r="II82" s="17" t="s">
        <v>55</v>
      </c>
      <c r="IJ82" s="17" t="s">
        <v>56</v>
      </c>
      <c r="IK82" s="17" t="s">
        <v>55</v>
      </c>
      <c r="IL82" s="17" t="s">
        <v>56</v>
      </c>
      <c r="IM82" s="17" t="s">
        <v>55</v>
      </c>
      <c r="IN82" s="17" t="s">
        <v>56</v>
      </c>
      <c r="IO82" s="17" t="s">
        <v>55</v>
      </c>
      <c r="IP82" s="17" t="s">
        <v>56</v>
      </c>
      <c r="IQ82" s="17" t="s">
        <v>55</v>
      </c>
      <c r="IR82" s="17" t="s">
        <v>56</v>
      </c>
      <c r="IS82" s="17" t="s">
        <v>55</v>
      </c>
      <c r="IT82" s="17" t="s">
        <v>56</v>
      </c>
      <c r="IU82" s="17" t="s">
        <v>55</v>
      </c>
      <c r="IV82" s="17" t="s">
        <v>56</v>
      </c>
      <c r="IW82" s="17" t="s">
        <v>55</v>
      </c>
      <c r="IX82" s="17" t="s">
        <v>56</v>
      </c>
      <c r="IY82" s="17" t="s">
        <v>55</v>
      </c>
      <c r="IZ82" s="17" t="s">
        <v>56</v>
      </c>
      <c r="JA82" s="17" t="s">
        <v>55</v>
      </c>
      <c r="JB82" s="17" t="s">
        <v>56</v>
      </c>
      <c r="JC82" s="17" t="s">
        <v>55</v>
      </c>
      <c r="JD82" s="17" t="s">
        <v>56</v>
      </c>
      <c r="JE82" s="17" t="s">
        <v>55</v>
      </c>
      <c r="JF82" s="17" t="s">
        <v>56</v>
      </c>
      <c r="JG82" s="17" t="s">
        <v>55</v>
      </c>
      <c r="JH82" s="17" t="s">
        <v>56</v>
      </c>
      <c r="JI82" s="17" t="s">
        <v>55</v>
      </c>
      <c r="JJ82" s="17" t="s">
        <v>56</v>
      </c>
      <c r="JK82" s="17" t="s">
        <v>55</v>
      </c>
      <c r="JL82" s="17" t="s">
        <v>56</v>
      </c>
      <c r="JM82" s="17" t="s">
        <v>55</v>
      </c>
      <c r="JN82" s="17" t="s">
        <v>56</v>
      </c>
      <c r="JO82" s="17" t="s">
        <v>55</v>
      </c>
      <c r="JP82" s="17" t="s">
        <v>56</v>
      </c>
      <c r="JQ82" s="17" t="s">
        <v>55</v>
      </c>
      <c r="JR82" s="17" t="s">
        <v>56</v>
      </c>
      <c r="JS82" s="17" t="s">
        <v>55</v>
      </c>
      <c r="JT82" s="17" t="s">
        <v>56</v>
      </c>
      <c r="JU82" s="17" t="s">
        <v>55</v>
      </c>
      <c r="JV82" s="17" t="s">
        <v>56</v>
      </c>
      <c r="JW82" s="17" t="s">
        <v>55</v>
      </c>
      <c r="JX82" s="17" t="s">
        <v>56</v>
      </c>
      <c r="JY82" s="17" t="s">
        <v>55</v>
      </c>
      <c r="JZ82" s="17" t="s">
        <v>56</v>
      </c>
      <c r="KA82" s="17" t="s">
        <v>55</v>
      </c>
      <c r="KB82" s="17" t="s">
        <v>56</v>
      </c>
      <c r="KC82" s="17" t="s">
        <v>55</v>
      </c>
      <c r="KD82" s="17" t="s">
        <v>56</v>
      </c>
      <c r="KE82" s="17" t="s">
        <v>55</v>
      </c>
      <c r="KF82" s="17" t="s">
        <v>56</v>
      </c>
      <c r="KG82" s="17" t="s">
        <v>55</v>
      </c>
      <c r="KH82" s="17" t="s">
        <v>56</v>
      </c>
      <c r="KI82" s="17" t="s">
        <v>55</v>
      </c>
      <c r="KJ82" s="17" t="s">
        <v>56</v>
      </c>
      <c r="KK82" s="17" t="s">
        <v>55</v>
      </c>
      <c r="KL82" s="17" t="s">
        <v>56</v>
      </c>
      <c r="KM82" s="17" t="s">
        <v>55</v>
      </c>
      <c r="KN82" s="17" t="s">
        <v>56</v>
      </c>
      <c r="KO82" s="17" t="s">
        <v>55</v>
      </c>
      <c r="KP82" s="17" t="s">
        <v>56</v>
      </c>
      <c r="KQ82" s="17" t="s">
        <v>55</v>
      </c>
      <c r="KR82" s="17" t="s">
        <v>56</v>
      </c>
      <c r="KS82" s="17" t="s">
        <v>55</v>
      </c>
      <c r="KT82" s="17" t="s">
        <v>56</v>
      </c>
      <c r="KU82" s="17" t="s">
        <v>55</v>
      </c>
      <c r="KV82" s="17" t="s">
        <v>56</v>
      </c>
      <c r="KW82" s="17" t="s">
        <v>55</v>
      </c>
      <c r="KX82" s="17" t="s">
        <v>56</v>
      </c>
      <c r="KY82" s="17" t="s">
        <v>55</v>
      </c>
      <c r="KZ82" s="17" t="s">
        <v>56</v>
      </c>
      <c r="LA82" s="17" t="s">
        <v>55</v>
      </c>
      <c r="LB82" s="10" t="s">
        <v>56</v>
      </c>
      <c r="LC82" s="10" t="s">
        <v>55</v>
      </c>
      <c r="LD82" s="10" t="s">
        <v>56</v>
      </c>
      <c r="LE82" s="10" t="s">
        <v>55</v>
      </c>
      <c r="LF82" s="10" t="s">
        <v>56</v>
      </c>
      <c r="LG82" s="10" t="s">
        <v>55</v>
      </c>
      <c r="LH82" s="10" t="s">
        <v>56</v>
      </c>
      <c r="LI82" s="10" t="s">
        <v>55</v>
      </c>
      <c r="LJ82" s="10" t="s">
        <v>56</v>
      </c>
      <c r="LK82" s="10" t="s">
        <v>162</v>
      </c>
      <c r="LL82" s="10" t="s">
        <v>56</v>
      </c>
      <c r="LM82" s="10" t="s">
        <v>162</v>
      </c>
      <c r="LN82" s="10" t="s">
        <v>56</v>
      </c>
      <c r="LO82" s="10" t="s">
        <v>162</v>
      </c>
      <c r="LP82" s="10" t="s">
        <v>56</v>
      </c>
      <c r="LQ82" s="10" t="s">
        <v>162</v>
      </c>
      <c r="LR82" s="10" t="s">
        <v>56</v>
      </c>
      <c r="LS82" s="10" t="s">
        <v>162</v>
      </c>
      <c r="LT82" s="10" t="s">
        <v>56</v>
      </c>
      <c r="LU82" s="10" t="s">
        <v>162</v>
      </c>
      <c r="LV82" s="10" t="s">
        <v>56</v>
      </c>
      <c r="LW82" s="10" t="s">
        <v>55</v>
      </c>
      <c r="LX82" s="10" t="s">
        <v>56</v>
      </c>
      <c r="LY82" s="10" t="s">
        <v>55</v>
      </c>
      <c r="LZ82" s="10" t="s">
        <v>56</v>
      </c>
      <c r="MA82" s="10" t="s">
        <v>55</v>
      </c>
      <c r="MB82" s="10" t="s">
        <v>56</v>
      </c>
      <c r="MC82" s="10" t="s">
        <v>55</v>
      </c>
      <c r="MD82" s="17" t="s">
        <v>56</v>
      </c>
      <c r="ME82" s="17" t="s">
        <v>55</v>
      </c>
      <c r="MF82" s="17" t="s">
        <v>56</v>
      </c>
      <c r="MG82" s="17" t="s">
        <v>55</v>
      </c>
      <c r="MH82" s="17" t="s">
        <v>56</v>
      </c>
      <c r="MI82" s="17" t="s">
        <v>55</v>
      </c>
      <c r="MJ82" s="17" t="s">
        <v>56</v>
      </c>
      <c r="MK82" s="17" t="s">
        <v>55</v>
      </c>
      <c r="ML82" s="17" t="s">
        <v>56</v>
      </c>
      <c r="MM82" s="17" t="s">
        <v>55</v>
      </c>
      <c r="MN82" s="17" t="s">
        <v>56</v>
      </c>
      <c r="MO82" s="17" t="s">
        <v>55</v>
      </c>
      <c r="MP82" s="17" t="s">
        <v>56</v>
      </c>
      <c r="MQ82" s="17" t="s">
        <v>55</v>
      </c>
      <c r="MR82" s="17" t="s">
        <v>56</v>
      </c>
      <c r="MS82" s="17" t="s">
        <v>55</v>
      </c>
      <c r="MT82" s="17" t="s">
        <v>56</v>
      </c>
      <c r="MU82" s="17" t="s">
        <v>55</v>
      </c>
      <c r="MV82" s="17" t="s">
        <v>56</v>
      </c>
      <c r="MW82" s="17" t="s">
        <v>55</v>
      </c>
      <c r="MX82" s="17" t="s">
        <v>56</v>
      </c>
      <c r="MY82" s="17" t="s">
        <v>55</v>
      </c>
      <c r="MZ82" s="17" t="s">
        <v>56</v>
      </c>
      <c r="NA82" s="17" t="s">
        <v>55</v>
      </c>
      <c r="NB82" s="10" t="s">
        <v>56</v>
      </c>
      <c r="NC82" s="10" t="s">
        <v>55</v>
      </c>
      <c r="ND82" s="10" t="s">
        <v>56</v>
      </c>
      <c r="NE82" s="10" t="s">
        <v>55</v>
      </c>
      <c r="NF82" s="10" t="s">
        <v>56</v>
      </c>
      <c r="NG82" s="10" t="s">
        <v>55</v>
      </c>
      <c r="NH82" s="10" t="s">
        <v>56</v>
      </c>
      <c r="NI82" s="10" t="s">
        <v>55</v>
      </c>
      <c r="NJ82" s="10" t="s">
        <v>56</v>
      </c>
      <c r="NK82" s="10" t="s">
        <v>55</v>
      </c>
      <c r="NL82" s="10" t="s">
        <v>56</v>
      </c>
      <c r="NM82" s="4" t="s">
        <v>55</v>
      </c>
      <c r="NN82" s="10" t="s">
        <v>56</v>
      </c>
      <c r="NO82" s="4" t="s">
        <v>55</v>
      </c>
      <c r="NP82" s="10" t="s">
        <v>56</v>
      </c>
      <c r="NQ82" s="4" t="s">
        <v>55</v>
      </c>
      <c r="NR82" s="10" t="s">
        <v>57</v>
      </c>
      <c r="NS82" s="10" t="s">
        <v>55</v>
      </c>
      <c r="NT82" s="10">
        <f>(1.9*1000)/E82</f>
        <v>12.913749745123361</v>
      </c>
      <c r="NU82" s="10">
        <f>(0.6*1000)/E82</f>
        <v>4.0780262353021142</v>
      </c>
    </row>
    <row r="83" spans="1:385" x14ac:dyDescent="0.2">
      <c r="A83" t="s">
        <v>629</v>
      </c>
      <c r="B83" s="1" t="s">
        <v>1040</v>
      </c>
      <c r="C83" s="1" t="s">
        <v>859</v>
      </c>
      <c r="D83" s="39" cm="1">
        <f t="array" ref="D83">SUMPRODUCT((ISNUMBER(F83:NU83))*(MOD(COLUMN(F83:NU83),2)=0))</f>
        <v>2</v>
      </c>
      <c r="E83" s="1">
        <v>147.13</v>
      </c>
      <c r="F83" s="17" t="s">
        <v>56</v>
      </c>
      <c r="G83" s="17" t="s">
        <v>55</v>
      </c>
      <c r="H83" s="17" t="s">
        <v>56</v>
      </c>
      <c r="I83" s="17" t="s">
        <v>55</v>
      </c>
      <c r="J83" s="17" t="s">
        <v>56</v>
      </c>
      <c r="K83" s="17" t="s">
        <v>55</v>
      </c>
      <c r="L83" s="17" t="s">
        <v>56</v>
      </c>
      <c r="M83" s="17" t="s">
        <v>55</v>
      </c>
      <c r="N83" s="17" t="s">
        <v>56</v>
      </c>
      <c r="O83" s="17" t="s">
        <v>55</v>
      </c>
      <c r="P83" s="17" t="s">
        <v>56</v>
      </c>
      <c r="Q83" s="17" t="s">
        <v>55</v>
      </c>
      <c r="R83" s="17" t="s">
        <v>56</v>
      </c>
      <c r="S83" s="17" t="s">
        <v>55</v>
      </c>
      <c r="T83" s="17" t="s">
        <v>56</v>
      </c>
      <c r="U83" s="17" t="s">
        <v>55</v>
      </c>
      <c r="V83" s="17" t="s">
        <v>56</v>
      </c>
      <c r="W83" s="17" t="s">
        <v>55</v>
      </c>
      <c r="X83" s="17" t="s">
        <v>56</v>
      </c>
      <c r="Y83" s="17" t="s">
        <v>55</v>
      </c>
      <c r="Z83" s="17" t="s">
        <v>56</v>
      </c>
      <c r="AA83" s="17" t="s">
        <v>55</v>
      </c>
      <c r="AB83" s="17" t="s">
        <v>56</v>
      </c>
      <c r="AC83" s="17" t="s">
        <v>55</v>
      </c>
      <c r="AD83" s="17" t="s">
        <v>56</v>
      </c>
      <c r="AE83" s="17" t="s">
        <v>55</v>
      </c>
      <c r="AF83" s="17" t="s">
        <v>56</v>
      </c>
      <c r="AG83" s="17" t="s">
        <v>55</v>
      </c>
      <c r="AH83" s="17" t="s">
        <v>56</v>
      </c>
      <c r="AI83" s="17" t="s">
        <v>55</v>
      </c>
      <c r="AJ83" s="17" t="s">
        <v>56</v>
      </c>
      <c r="AK83" s="17" t="s">
        <v>55</v>
      </c>
      <c r="AL83" s="17" t="s">
        <v>56</v>
      </c>
      <c r="AM83" s="17" t="s">
        <v>55</v>
      </c>
      <c r="AN83" s="17" t="s">
        <v>56</v>
      </c>
      <c r="AO83" s="17" t="s">
        <v>55</v>
      </c>
      <c r="AP83" s="17" t="s">
        <v>56</v>
      </c>
      <c r="AQ83" s="17" t="s">
        <v>55</v>
      </c>
      <c r="AR83" s="10">
        <f>27/E83</f>
        <v>0.18351118058859511</v>
      </c>
      <c r="AS83" s="10">
        <f>4/E83</f>
        <v>2.7186841568680759E-2</v>
      </c>
      <c r="AT83" s="17" t="s">
        <v>56</v>
      </c>
      <c r="AU83" s="17" t="s">
        <v>55</v>
      </c>
      <c r="AV83" s="17" t="s">
        <v>56</v>
      </c>
      <c r="AW83" s="17" t="s">
        <v>55</v>
      </c>
      <c r="AX83" s="17" t="s">
        <v>56</v>
      </c>
      <c r="AY83" s="17" t="s">
        <v>55</v>
      </c>
      <c r="AZ83" s="17" t="s">
        <v>56</v>
      </c>
      <c r="BA83" s="17" t="s">
        <v>55</v>
      </c>
      <c r="BB83" s="17" t="s">
        <v>56</v>
      </c>
      <c r="BC83" s="17" t="s">
        <v>55</v>
      </c>
      <c r="BD83" s="17" t="s">
        <v>56</v>
      </c>
      <c r="BE83" s="17" t="s">
        <v>55</v>
      </c>
      <c r="BF83" s="17" t="s">
        <v>56</v>
      </c>
      <c r="BG83" s="17" t="s">
        <v>55</v>
      </c>
      <c r="BH83" s="17" t="s">
        <v>56</v>
      </c>
      <c r="BI83" s="17" t="s">
        <v>55</v>
      </c>
      <c r="BJ83" s="17" t="s">
        <v>56</v>
      </c>
      <c r="BK83" s="17" t="s">
        <v>55</v>
      </c>
      <c r="BL83" s="17" t="s">
        <v>56</v>
      </c>
      <c r="BM83" s="17" t="s">
        <v>55</v>
      </c>
      <c r="BN83" s="17" t="s">
        <v>56</v>
      </c>
      <c r="BO83" s="17" t="s">
        <v>55</v>
      </c>
      <c r="BP83" s="17" t="s">
        <v>56</v>
      </c>
      <c r="BQ83" s="17" t="s">
        <v>55</v>
      </c>
      <c r="BR83" s="17" t="s">
        <v>56</v>
      </c>
      <c r="BS83" s="17" t="s">
        <v>55</v>
      </c>
      <c r="BT83" s="17" t="s">
        <v>56</v>
      </c>
      <c r="BU83" s="17" t="s">
        <v>55</v>
      </c>
      <c r="BV83" s="17" t="s">
        <v>56</v>
      </c>
      <c r="BW83" s="17" t="s">
        <v>55</v>
      </c>
      <c r="BX83" s="17" t="s">
        <v>56</v>
      </c>
      <c r="BY83" s="17" t="s">
        <v>55</v>
      </c>
      <c r="BZ83" s="17" t="s">
        <v>56</v>
      </c>
      <c r="CA83" s="17" t="s">
        <v>55</v>
      </c>
      <c r="CB83" s="17" t="s">
        <v>56</v>
      </c>
      <c r="CC83" s="17" t="s">
        <v>55</v>
      </c>
      <c r="CD83" s="17" t="s">
        <v>56</v>
      </c>
      <c r="CE83" s="17" t="s">
        <v>55</v>
      </c>
      <c r="CF83" s="17" t="s">
        <v>56</v>
      </c>
      <c r="CG83" s="17" t="s">
        <v>55</v>
      </c>
      <c r="CH83" s="17" t="s">
        <v>56</v>
      </c>
      <c r="CI83" s="17" t="s">
        <v>55</v>
      </c>
      <c r="CJ83" s="17" t="s">
        <v>56</v>
      </c>
      <c r="CK83" s="17" t="s">
        <v>55</v>
      </c>
      <c r="CL83" s="17" t="s">
        <v>56</v>
      </c>
      <c r="CM83" s="17" t="s">
        <v>55</v>
      </c>
      <c r="CN83" s="17" t="s">
        <v>56</v>
      </c>
      <c r="CO83" s="17" t="s">
        <v>55</v>
      </c>
      <c r="CP83" s="17" t="s">
        <v>56</v>
      </c>
      <c r="CQ83" s="17" t="s">
        <v>55</v>
      </c>
      <c r="CR83" s="17" t="s">
        <v>56</v>
      </c>
      <c r="CS83" s="17" t="s">
        <v>55</v>
      </c>
      <c r="CT83" s="17" t="s">
        <v>56</v>
      </c>
      <c r="CU83" s="17" t="s">
        <v>55</v>
      </c>
      <c r="CV83" s="17" t="s">
        <v>56</v>
      </c>
      <c r="CW83" s="17" t="s">
        <v>55</v>
      </c>
      <c r="CX83" s="17" t="s">
        <v>56</v>
      </c>
      <c r="CY83" s="17" t="s">
        <v>55</v>
      </c>
      <c r="CZ83" s="17" t="s">
        <v>56</v>
      </c>
      <c r="DA83" s="17" t="s">
        <v>55</v>
      </c>
      <c r="DB83" s="17" t="s">
        <v>56</v>
      </c>
      <c r="DC83" s="17" t="s">
        <v>55</v>
      </c>
      <c r="DD83" s="17" t="s">
        <v>56</v>
      </c>
      <c r="DE83" s="17" t="s">
        <v>55</v>
      </c>
      <c r="DF83" s="17" t="s">
        <v>56</v>
      </c>
      <c r="DG83" s="17" t="s">
        <v>55</v>
      </c>
      <c r="DH83" s="17" t="s">
        <v>56</v>
      </c>
      <c r="DI83" s="17" t="s">
        <v>55</v>
      </c>
      <c r="DJ83" s="17" t="s">
        <v>56</v>
      </c>
      <c r="DK83" s="17" t="s">
        <v>55</v>
      </c>
      <c r="DL83" s="17" t="s">
        <v>56</v>
      </c>
      <c r="DM83" s="17" t="s">
        <v>55</v>
      </c>
      <c r="DN83" s="17" t="s">
        <v>56</v>
      </c>
      <c r="DO83" s="17" t="s">
        <v>55</v>
      </c>
      <c r="DP83" s="17" t="s">
        <v>56</v>
      </c>
      <c r="DQ83" s="17" t="s">
        <v>55</v>
      </c>
      <c r="DR83" s="17" t="s">
        <v>56</v>
      </c>
      <c r="DS83" s="17" t="s">
        <v>55</v>
      </c>
      <c r="DT83" s="17" t="s">
        <v>56</v>
      </c>
      <c r="DU83" s="17" t="s">
        <v>55</v>
      </c>
      <c r="DV83" s="17" t="s">
        <v>56</v>
      </c>
      <c r="DW83" s="17" t="s">
        <v>55</v>
      </c>
      <c r="DX83" s="17" t="s">
        <v>56</v>
      </c>
      <c r="DY83" s="17" t="s">
        <v>55</v>
      </c>
      <c r="DZ83" s="17" t="s">
        <v>56</v>
      </c>
      <c r="EA83" s="17" t="s">
        <v>55</v>
      </c>
      <c r="EB83" s="17" t="s">
        <v>56</v>
      </c>
      <c r="EC83" s="17" t="s">
        <v>55</v>
      </c>
      <c r="ED83" s="17" t="s">
        <v>56</v>
      </c>
      <c r="EE83" s="17" t="s">
        <v>55</v>
      </c>
      <c r="EF83" s="17" t="s">
        <v>56</v>
      </c>
      <c r="EG83" s="17" t="s">
        <v>55</v>
      </c>
      <c r="EH83" s="17" t="s">
        <v>56</v>
      </c>
      <c r="EI83" s="17" t="s">
        <v>55</v>
      </c>
      <c r="EJ83" s="17" t="s">
        <v>56</v>
      </c>
      <c r="EK83" s="17" t="s">
        <v>55</v>
      </c>
      <c r="EL83" s="17" t="s">
        <v>56</v>
      </c>
      <c r="EM83" s="17" t="s">
        <v>55</v>
      </c>
      <c r="EN83" s="17" t="s">
        <v>56</v>
      </c>
      <c r="EO83" s="17" t="s">
        <v>55</v>
      </c>
      <c r="EP83" s="17" t="s">
        <v>56</v>
      </c>
      <c r="EQ83" s="17" t="s">
        <v>55</v>
      </c>
      <c r="ER83" s="17" t="s">
        <v>56</v>
      </c>
      <c r="ES83" s="17" t="s">
        <v>55</v>
      </c>
      <c r="ET83" s="17" t="s">
        <v>56</v>
      </c>
      <c r="EU83" s="17" t="s">
        <v>55</v>
      </c>
      <c r="EV83" s="17" t="s">
        <v>56</v>
      </c>
      <c r="EW83" s="17" t="s">
        <v>55</v>
      </c>
      <c r="EX83" s="17" t="s">
        <v>56</v>
      </c>
      <c r="EY83" s="17" t="s">
        <v>55</v>
      </c>
      <c r="EZ83" s="17" t="s">
        <v>56</v>
      </c>
      <c r="FA83" s="17" t="s">
        <v>55</v>
      </c>
      <c r="FB83" s="17" t="s">
        <v>56</v>
      </c>
      <c r="FC83" s="17" t="s">
        <v>55</v>
      </c>
      <c r="FD83" s="17" t="s">
        <v>56</v>
      </c>
      <c r="FE83" s="17" t="s">
        <v>55</v>
      </c>
      <c r="FF83" s="17" t="s">
        <v>56</v>
      </c>
      <c r="FG83" s="17" t="s">
        <v>55</v>
      </c>
      <c r="FH83" s="17" t="s">
        <v>56</v>
      </c>
      <c r="FI83" s="17" t="s">
        <v>55</v>
      </c>
      <c r="FJ83" s="17" t="s">
        <v>56</v>
      </c>
      <c r="FK83" s="17" t="s">
        <v>55</v>
      </c>
      <c r="FL83" s="17" t="s">
        <v>56</v>
      </c>
      <c r="FM83" s="17" t="s">
        <v>55</v>
      </c>
      <c r="FN83" s="17" t="s">
        <v>56</v>
      </c>
      <c r="FO83" s="17" t="s">
        <v>55</v>
      </c>
      <c r="FP83" s="17" t="s">
        <v>56</v>
      </c>
      <c r="FQ83" s="17" t="s">
        <v>55</v>
      </c>
      <c r="FR83" s="17" t="s">
        <v>56</v>
      </c>
      <c r="FS83" s="17" t="s">
        <v>55</v>
      </c>
      <c r="FT83" s="17" t="s">
        <v>56</v>
      </c>
      <c r="FU83" s="17" t="s">
        <v>55</v>
      </c>
      <c r="FV83" s="17" t="s">
        <v>56</v>
      </c>
      <c r="FW83" s="17" t="s">
        <v>55</v>
      </c>
      <c r="FX83" s="17" t="s">
        <v>56</v>
      </c>
      <c r="FY83" s="17" t="s">
        <v>55</v>
      </c>
      <c r="FZ83" s="17" t="s">
        <v>56</v>
      </c>
      <c r="GA83" s="17" t="s">
        <v>55</v>
      </c>
      <c r="GB83" s="17" t="s">
        <v>56</v>
      </c>
      <c r="GC83" s="17" t="s">
        <v>55</v>
      </c>
      <c r="GD83" s="17" t="s">
        <v>56</v>
      </c>
      <c r="GE83" s="17" t="s">
        <v>55</v>
      </c>
      <c r="GF83" s="17" t="s">
        <v>56</v>
      </c>
      <c r="GG83" s="17" t="s">
        <v>55</v>
      </c>
      <c r="GH83" s="17" t="s">
        <v>56</v>
      </c>
      <c r="GI83" s="17" t="s">
        <v>55</v>
      </c>
      <c r="GJ83" s="17" t="s">
        <v>56</v>
      </c>
      <c r="GK83" s="17" t="s">
        <v>55</v>
      </c>
      <c r="GL83" s="17" t="s">
        <v>56</v>
      </c>
      <c r="GM83" s="17" t="s">
        <v>55</v>
      </c>
      <c r="GN83" s="17" t="s">
        <v>56</v>
      </c>
      <c r="GO83" s="17" t="s">
        <v>55</v>
      </c>
      <c r="GP83" s="17" t="s">
        <v>56</v>
      </c>
      <c r="GQ83" s="17" t="s">
        <v>55</v>
      </c>
      <c r="GR83" s="17" t="s">
        <v>56</v>
      </c>
      <c r="GS83" s="17" t="s">
        <v>55</v>
      </c>
      <c r="GT83" s="17" t="s">
        <v>56</v>
      </c>
      <c r="GU83" s="17" t="s">
        <v>55</v>
      </c>
      <c r="GV83" s="17" t="s">
        <v>56</v>
      </c>
      <c r="GW83" s="17" t="s">
        <v>55</v>
      </c>
      <c r="GX83" s="17" t="s">
        <v>56</v>
      </c>
      <c r="GY83" s="17" t="s">
        <v>55</v>
      </c>
      <c r="GZ83" s="17" t="s">
        <v>56</v>
      </c>
      <c r="HA83" s="17" t="s">
        <v>55</v>
      </c>
      <c r="HB83" s="17" t="s">
        <v>56</v>
      </c>
      <c r="HC83" s="17" t="s">
        <v>55</v>
      </c>
      <c r="HD83" s="17" t="s">
        <v>56</v>
      </c>
      <c r="HE83" s="17" t="s">
        <v>55</v>
      </c>
      <c r="HF83" s="17" t="s">
        <v>56</v>
      </c>
      <c r="HG83" s="17" t="s">
        <v>55</v>
      </c>
      <c r="HH83" s="17" t="s">
        <v>56</v>
      </c>
      <c r="HI83" s="17" t="s">
        <v>55</v>
      </c>
      <c r="HJ83" s="17" t="s">
        <v>56</v>
      </c>
      <c r="HK83" s="17" t="s">
        <v>55</v>
      </c>
      <c r="HL83" s="17" t="s">
        <v>56</v>
      </c>
      <c r="HM83" s="17" t="s">
        <v>55</v>
      </c>
      <c r="HN83" s="17" t="s">
        <v>56</v>
      </c>
      <c r="HO83" s="17" t="s">
        <v>55</v>
      </c>
      <c r="HP83" s="17" t="s">
        <v>56</v>
      </c>
      <c r="HQ83" s="17" t="s">
        <v>55</v>
      </c>
      <c r="HR83" s="17" t="s">
        <v>56</v>
      </c>
      <c r="HS83" s="17" t="s">
        <v>55</v>
      </c>
      <c r="HT83" s="17" t="s">
        <v>56</v>
      </c>
      <c r="HU83" s="17" t="s">
        <v>55</v>
      </c>
      <c r="HV83" s="17" t="s">
        <v>56</v>
      </c>
      <c r="HW83" s="17" t="s">
        <v>55</v>
      </c>
      <c r="HX83" s="17" t="s">
        <v>56</v>
      </c>
      <c r="HY83" s="17" t="s">
        <v>55</v>
      </c>
      <c r="HZ83" s="17" t="s">
        <v>56</v>
      </c>
      <c r="IA83" s="17" t="s">
        <v>55</v>
      </c>
      <c r="IB83" s="17" t="s">
        <v>56</v>
      </c>
      <c r="IC83" s="17" t="s">
        <v>55</v>
      </c>
      <c r="ID83" s="17" t="s">
        <v>56</v>
      </c>
      <c r="IE83" s="17" t="s">
        <v>55</v>
      </c>
      <c r="IF83" s="17" t="s">
        <v>56</v>
      </c>
      <c r="IG83" s="17" t="s">
        <v>55</v>
      </c>
      <c r="IH83" s="17" t="s">
        <v>56</v>
      </c>
      <c r="II83" s="17" t="s">
        <v>55</v>
      </c>
      <c r="IJ83" s="17" t="s">
        <v>56</v>
      </c>
      <c r="IK83" s="17" t="s">
        <v>55</v>
      </c>
      <c r="IL83" s="17" t="s">
        <v>56</v>
      </c>
      <c r="IM83" s="17" t="s">
        <v>55</v>
      </c>
      <c r="IN83" s="17" t="s">
        <v>56</v>
      </c>
      <c r="IO83" s="17" t="s">
        <v>55</v>
      </c>
      <c r="IP83" s="17" t="s">
        <v>56</v>
      </c>
      <c r="IQ83" s="17" t="s">
        <v>55</v>
      </c>
      <c r="IR83" s="17" t="s">
        <v>56</v>
      </c>
      <c r="IS83" s="17" t="s">
        <v>55</v>
      </c>
      <c r="IT83" s="17" t="s">
        <v>56</v>
      </c>
      <c r="IU83" s="17" t="s">
        <v>55</v>
      </c>
      <c r="IV83" s="17" t="s">
        <v>56</v>
      </c>
      <c r="IW83" s="17" t="s">
        <v>55</v>
      </c>
      <c r="IX83" s="17" t="s">
        <v>56</v>
      </c>
      <c r="IY83" s="17" t="s">
        <v>55</v>
      </c>
      <c r="IZ83" s="17" t="s">
        <v>56</v>
      </c>
      <c r="JA83" s="17" t="s">
        <v>55</v>
      </c>
      <c r="JB83" s="17" t="s">
        <v>56</v>
      </c>
      <c r="JC83" s="17" t="s">
        <v>55</v>
      </c>
      <c r="JD83" s="17" t="s">
        <v>56</v>
      </c>
      <c r="JE83" s="17" t="s">
        <v>55</v>
      </c>
      <c r="JF83" s="17" t="s">
        <v>56</v>
      </c>
      <c r="JG83" s="17" t="s">
        <v>55</v>
      </c>
      <c r="JH83" s="17" t="s">
        <v>56</v>
      </c>
      <c r="JI83" s="17" t="s">
        <v>55</v>
      </c>
      <c r="JJ83" s="17" t="s">
        <v>56</v>
      </c>
      <c r="JK83" s="17" t="s">
        <v>55</v>
      </c>
      <c r="JL83" s="17" t="s">
        <v>56</v>
      </c>
      <c r="JM83" s="17" t="s">
        <v>55</v>
      </c>
      <c r="JN83" s="17" t="s">
        <v>56</v>
      </c>
      <c r="JO83" s="17" t="s">
        <v>55</v>
      </c>
      <c r="JP83" s="17" t="s">
        <v>56</v>
      </c>
      <c r="JQ83" s="17" t="s">
        <v>55</v>
      </c>
      <c r="JR83" s="17" t="s">
        <v>56</v>
      </c>
      <c r="JS83" s="17" t="s">
        <v>55</v>
      </c>
      <c r="JT83" s="17" t="s">
        <v>56</v>
      </c>
      <c r="JU83" s="17" t="s">
        <v>55</v>
      </c>
      <c r="JV83" s="17" t="s">
        <v>56</v>
      </c>
      <c r="JW83" s="17" t="s">
        <v>55</v>
      </c>
      <c r="JX83" s="17" t="s">
        <v>56</v>
      </c>
      <c r="JY83" s="17" t="s">
        <v>55</v>
      </c>
      <c r="JZ83" s="17" t="s">
        <v>56</v>
      </c>
      <c r="KA83" s="17" t="s">
        <v>55</v>
      </c>
      <c r="KB83" s="17" t="s">
        <v>56</v>
      </c>
      <c r="KC83" s="17" t="s">
        <v>55</v>
      </c>
      <c r="KD83" s="17" t="s">
        <v>56</v>
      </c>
      <c r="KE83" s="17" t="s">
        <v>55</v>
      </c>
      <c r="KF83" s="17" t="s">
        <v>56</v>
      </c>
      <c r="KG83" s="17" t="s">
        <v>55</v>
      </c>
      <c r="KH83" s="17" t="s">
        <v>56</v>
      </c>
      <c r="KI83" s="17" t="s">
        <v>55</v>
      </c>
      <c r="KJ83" s="17" t="s">
        <v>56</v>
      </c>
      <c r="KK83" s="17" t="s">
        <v>55</v>
      </c>
      <c r="KL83" s="17" t="s">
        <v>56</v>
      </c>
      <c r="KM83" s="17" t="s">
        <v>55</v>
      </c>
      <c r="KN83" s="17" t="s">
        <v>56</v>
      </c>
      <c r="KO83" s="17" t="s">
        <v>55</v>
      </c>
      <c r="KP83" s="17" t="s">
        <v>56</v>
      </c>
      <c r="KQ83" s="17" t="s">
        <v>55</v>
      </c>
      <c r="KR83" s="17" t="s">
        <v>56</v>
      </c>
      <c r="KS83" s="17" t="s">
        <v>55</v>
      </c>
      <c r="KT83" s="17" t="s">
        <v>56</v>
      </c>
      <c r="KU83" s="17" t="s">
        <v>55</v>
      </c>
      <c r="KV83" s="17" t="s">
        <v>56</v>
      </c>
      <c r="KW83" s="17" t="s">
        <v>55</v>
      </c>
      <c r="KX83" s="17" t="s">
        <v>56</v>
      </c>
      <c r="KY83" s="17" t="s">
        <v>55</v>
      </c>
      <c r="KZ83" s="17" t="s">
        <v>56</v>
      </c>
      <c r="LA83" s="17" t="s">
        <v>55</v>
      </c>
      <c r="LB83" s="10" t="s">
        <v>56</v>
      </c>
      <c r="LC83" s="10" t="s">
        <v>55</v>
      </c>
      <c r="LD83" s="10" t="s">
        <v>56</v>
      </c>
      <c r="LE83" s="10" t="s">
        <v>55</v>
      </c>
      <c r="LF83" s="10" t="s">
        <v>56</v>
      </c>
      <c r="LG83" s="10" t="s">
        <v>55</v>
      </c>
      <c r="LH83" s="10" t="s">
        <v>56</v>
      </c>
      <c r="LI83" s="10" t="s">
        <v>55</v>
      </c>
      <c r="LJ83" s="10" t="s">
        <v>56</v>
      </c>
      <c r="LK83" s="10" t="s">
        <v>162</v>
      </c>
      <c r="LL83" s="10" t="s">
        <v>56</v>
      </c>
      <c r="LM83" s="10" t="s">
        <v>162</v>
      </c>
      <c r="LN83" s="10" t="s">
        <v>56</v>
      </c>
      <c r="LO83" s="10" t="s">
        <v>162</v>
      </c>
      <c r="LP83" s="10" t="s">
        <v>56</v>
      </c>
      <c r="LQ83" s="10" t="s">
        <v>162</v>
      </c>
      <c r="LR83" s="10" t="s">
        <v>56</v>
      </c>
      <c r="LS83" s="10" t="s">
        <v>162</v>
      </c>
      <c r="LT83" s="10" t="s">
        <v>56</v>
      </c>
      <c r="LU83" s="10" t="s">
        <v>162</v>
      </c>
      <c r="LV83" s="10" t="s">
        <v>56</v>
      </c>
      <c r="LW83" s="10" t="s">
        <v>55</v>
      </c>
      <c r="LX83" s="10" t="s">
        <v>56</v>
      </c>
      <c r="LY83" s="10" t="s">
        <v>55</v>
      </c>
      <c r="LZ83" s="10" t="s">
        <v>56</v>
      </c>
      <c r="MA83" s="10" t="s">
        <v>55</v>
      </c>
      <c r="MB83" s="10" t="s">
        <v>56</v>
      </c>
      <c r="MC83" s="10" t="s">
        <v>55</v>
      </c>
      <c r="MD83" s="17" t="s">
        <v>56</v>
      </c>
      <c r="ME83" s="17" t="s">
        <v>55</v>
      </c>
      <c r="MF83" s="17" t="s">
        <v>56</v>
      </c>
      <c r="MG83" s="17" t="s">
        <v>55</v>
      </c>
      <c r="MH83" s="17" t="s">
        <v>56</v>
      </c>
      <c r="MI83" s="17" t="s">
        <v>55</v>
      </c>
      <c r="MJ83" s="17" t="s">
        <v>56</v>
      </c>
      <c r="MK83" s="17" t="s">
        <v>55</v>
      </c>
      <c r="ML83" s="17" t="s">
        <v>56</v>
      </c>
      <c r="MM83" s="17" t="s">
        <v>55</v>
      </c>
      <c r="MN83" s="17" t="s">
        <v>56</v>
      </c>
      <c r="MO83" s="17" t="s">
        <v>55</v>
      </c>
      <c r="MP83" s="17" t="s">
        <v>56</v>
      </c>
      <c r="MQ83" s="17" t="s">
        <v>55</v>
      </c>
      <c r="MR83" s="17" t="s">
        <v>56</v>
      </c>
      <c r="MS83" s="17" t="s">
        <v>55</v>
      </c>
      <c r="MT83" s="17" t="s">
        <v>56</v>
      </c>
      <c r="MU83" s="17" t="s">
        <v>55</v>
      </c>
      <c r="MV83" s="17" t="s">
        <v>56</v>
      </c>
      <c r="MW83" s="17" t="s">
        <v>55</v>
      </c>
      <c r="MX83" s="17" t="s">
        <v>56</v>
      </c>
      <c r="MY83" s="17" t="s">
        <v>55</v>
      </c>
      <c r="MZ83" s="17" t="s">
        <v>56</v>
      </c>
      <c r="NA83" s="17" t="s">
        <v>55</v>
      </c>
      <c r="NB83" s="10" t="s">
        <v>56</v>
      </c>
      <c r="NC83" s="10" t="s">
        <v>55</v>
      </c>
      <c r="ND83" s="10" t="s">
        <v>56</v>
      </c>
      <c r="NE83" s="10" t="s">
        <v>55</v>
      </c>
      <c r="NF83" s="10" t="s">
        <v>56</v>
      </c>
      <c r="NG83" s="10" t="s">
        <v>55</v>
      </c>
      <c r="NH83" s="10" t="s">
        <v>56</v>
      </c>
      <c r="NI83" s="10" t="s">
        <v>55</v>
      </c>
      <c r="NJ83" s="10" t="s">
        <v>56</v>
      </c>
      <c r="NK83" s="10" t="s">
        <v>55</v>
      </c>
      <c r="NL83" s="10" t="s">
        <v>56</v>
      </c>
      <c r="NM83" s="4" t="s">
        <v>55</v>
      </c>
      <c r="NN83" s="10" t="s">
        <v>56</v>
      </c>
      <c r="NO83" s="4" t="s">
        <v>55</v>
      </c>
      <c r="NP83" s="10" t="s">
        <v>56</v>
      </c>
      <c r="NQ83" s="4" t="s">
        <v>55</v>
      </c>
      <c r="NR83" s="10" t="s">
        <v>57</v>
      </c>
      <c r="NS83" s="10" t="s">
        <v>55</v>
      </c>
      <c r="NT83" s="10">
        <f>(2.4*1000)/E83</f>
        <v>16.312104941208457</v>
      </c>
      <c r="NU83" s="10">
        <f>(0.7*1000)/E83</f>
        <v>4.757697274519133</v>
      </c>
    </row>
    <row r="84" spans="1:385" x14ac:dyDescent="0.2">
      <c r="A84" t="s">
        <v>630</v>
      </c>
      <c r="B84" s="1" t="s">
        <v>1037</v>
      </c>
      <c r="C84" s="1" t="s">
        <v>858</v>
      </c>
      <c r="D84" s="39" cm="1">
        <f t="array" ref="D84">SUMPRODUCT((ISNUMBER(F84:NU84))*(MOD(COLUMN(F84:NU84),2)=0))</f>
        <v>1</v>
      </c>
      <c r="E84" s="1">
        <v>161.16999999999999</v>
      </c>
      <c r="F84" s="17" t="s">
        <v>56</v>
      </c>
      <c r="G84" s="17" t="s">
        <v>55</v>
      </c>
      <c r="H84" s="17" t="s">
        <v>56</v>
      </c>
      <c r="I84" s="17" t="s">
        <v>55</v>
      </c>
      <c r="J84" s="17" t="s">
        <v>56</v>
      </c>
      <c r="K84" s="17" t="s">
        <v>55</v>
      </c>
      <c r="L84" s="17" t="s">
        <v>56</v>
      </c>
      <c r="M84" s="17" t="s">
        <v>55</v>
      </c>
      <c r="N84" s="17" t="s">
        <v>56</v>
      </c>
      <c r="O84" s="17" t="s">
        <v>55</v>
      </c>
      <c r="P84" s="17" t="s">
        <v>56</v>
      </c>
      <c r="Q84" s="17" t="s">
        <v>55</v>
      </c>
      <c r="R84" s="17" t="s">
        <v>56</v>
      </c>
      <c r="S84" s="17" t="s">
        <v>55</v>
      </c>
      <c r="T84" s="17" t="s">
        <v>56</v>
      </c>
      <c r="U84" s="17" t="s">
        <v>55</v>
      </c>
      <c r="V84" s="17" t="s">
        <v>56</v>
      </c>
      <c r="W84" s="17" t="s">
        <v>55</v>
      </c>
      <c r="X84" s="17" t="s">
        <v>56</v>
      </c>
      <c r="Y84" s="17" t="s">
        <v>55</v>
      </c>
      <c r="Z84" s="17" t="s">
        <v>56</v>
      </c>
      <c r="AA84" s="17" t="s">
        <v>55</v>
      </c>
      <c r="AB84" s="17" t="s">
        <v>56</v>
      </c>
      <c r="AC84" s="17" t="s">
        <v>55</v>
      </c>
      <c r="AD84" s="17" t="s">
        <v>56</v>
      </c>
      <c r="AE84" s="17" t="s">
        <v>55</v>
      </c>
      <c r="AF84" s="17" t="s">
        <v>56</v>
      </c>
      <c r="AG84" s="17" t="s">
        <v>55</v>
      </c>
      <c r="AH84" s="17" t="s">
        <v>56</v>
      </c>
      <c r="AI84" s="17" t="s">
        <v>55</v>
      </c>
      <c r="AJ84" s="17" t="s">
        <v>56</v>
      </c>
      <c r="AK84" s="17" t="s">
        <v>55</v>
      </c>
      <c r="AL84" s="17" t="s">
        <v>56</v>
      </c>
      <c r="AM84" s="17" t="s">
        <v>55</v>
      </c>
      <c r="AN84" s="17" t="s">
        <v>56</v>
      </c>
      <c r="AO84" s="17" t="s">
        <v>55</v>
      </c>
      <c r="AP84" s="17" t="s">
        <v>56</v>
      </c>
      <c r="AQ84" s="17" t="s">
        <v>55</v>
      </c>
      <c r="AR84" s="10">
        <f>115/E84</f>
        <v>0.71353229509213878</v>
      </c>
      <c r="AS84" s="10">
        <f>24/E84</f>
        <v>0.14891108767140288</v>
      </c>
      <c r="AT84" s="17" t="s">
        <v>56</v>
      </c>
      <c r="AU84" s="17" t="s">
        <v>55</v>
      </c>
      <c r="AV84" s="17" t="s">
        <v>56</v>
      </c>
      <c r="AW84" s="17" t="s">
        <v>55</v>
      </c>
      <c r="AX84" s="17" t="s">
        <v>56</v>
      </c>
      <c r="AY84" s="17" t="s">
        <v>55</v>
      </c>
      <c r="AZ84" s="17" t="s">
        <v>56</v>
      </c>
      <c r="BA84" s="17" t="s">
        <v>55</v>
      </c>
      <c r="BB84" s="17" t="s">
        <v>56</v>
      </c>
      <c r="BC84" s="17" t="s">
        <v>55</v>
      </c>
      <c r="BD84" s="17" t="s">
        <v>56</v>
      </c>
      <c r="BE84" s="17" t="s">
        <v>55</v>
      </c>
      <c r="BF84" s="17" t="s">
        <v>56</v>
      </c>
      <c r="BG84" s="17" t="s">
        <v>55</v>
      </c>
      <c r="BH84" s="17" t="s">
        <v>56</v>
      </c>
      <c r="BI84" s="17" t="s">
        <v>55</v>
      </c>
      <c r="BJ84" s="17" t="s">
        <v>56</v>
      </c>
      <c r="BK84" s="17" t="s">
        <v>55</v>
      </c>
      <c r="BL84" s="17" t="s">
        <v>56</v>
      </c>
      <c r="BM84" s="17" t="s">
        <v>55</v>
      </c>
      <c r="BN84" s="17" t="s">
        <v>56</v>
      </c>
      <c r="BO84" s="17" t="s">
        <v>55</v>
      </c>
      <c r="BP84" s="17" t="s">
        <v>56</v>
      </c>
      <c r="BQ84" s="17" t="s">
        <v>55</v>
      </c>
      <c r="BR84" s="17" t="s">
        <v>56</v>
      </c>
      <c r="BS84" s="17" t="s">
        <v>55</v>
      </c>
      <c r="BT84" s="17" t="s">
        <v>56</v>
      </c>
      <c r="BU84" s="17" t="s">
        <v>55</v>
      </c>
      <c r="BV84" s="17" t="s">
        <v>56</v>
      </c>
      <c r="BW84" s="17" t="s">
        <v>55</v>
      </c>
      <c r="BX84" s="17" t="s">
        <v>56</v>
      </c>
      <c r="BY84" s="17" t="s">
        <v>55</v>
      </c>
      <c r="BZ84" s="17" t="s">
        <v>56</v>
      </c>
      <c r="CA84" s="17" t="s">
        <v>55</v>
      </c>
      <c r="CB84" s="17" t="s">
        <v>56</v>
      </c>
      <c r="CC84" s="17" t="s">
        <v>55</v>
      </c>
      <c r="CD84" s="17" t="s">
        <v>56</v>
      </c>
      <c r="CE84" s="17" t="s">
        <v>55</v>
      </c>
      <c r="CF84" s="17" t="s">
        <v>56</v>
      </c>
      <c r="CG84" s="17" t="s">
        <v>55</v>
      </c>
      <c r="CH84" s="17" t="s">
        <v>56</v>
      </c>
      <c r="CI84" s="17" t="s">
        <v>55</v>
      </c>
      <c r="CJ84" s="17" t="s">
        <v>56</v>
      </c>
      <c r="CK84" s="17" t="s">
        <v>55</v>
      </c>
      <c r="CL84" s="17" t="s">
        <v>56</v>
      </c>
      <c r="CM84" s="17" t="s">
        <v>55</v>
      </c>
      <c r="CN84" s="17" t="s">
        <v>56</v>
      </c>
      <c r="CO84" s="17" t="s">
        <v>55</v>
      </c>
      <c r="CP84" s="17" t="s">
        <v>56</v>
      </c>
      <c r="CQ84" s="17" t="s">
        <v>55</v>
      </c>
      <c r="CR84" s="17" t="s">
        <v>56</v>
      </c>
      <c r="CS84" s="17" t="s">
        <v>55</v>
      </c>
      <c r="CT84" s="17" t="s">
        <v>56</v>
      </c>
      <c r="CU84" s="17" t="s">
        <v>55</v>
      </c>
      <c r="CV84" s="17" t="s">
        <v>56</v>
      </c>
      <c r="CW84" s="17" t="s">
        <v>55</v>
      </c>
      <c r="CX84" s="17" t="s">
        <v>56</v>
      </c>
      <c r="CY84" s="17" t="s">
        <v>55</v>
      </c>
      <c r="CZ84" s="17" t="s">
        <v>56</v>
      </c>
      <c r="DA84" s="17" t="s">
        <v>55</v>
      </c>
      <c r="DB84" s="17" t="s">
        <v>56</v>
      </c>
      <c r="DC84" s="17" t="s">
        <v>55</v>
      </c>
      <c r="DD84" s="17" t="s">
        <v>56</v>
      </c>
      <c r="DE84" s="17" t="s">
        <v>55</v>
      </c>
      <c r="DF84" s="17" t="s">
        <v>56</v>
      </c>
      <c r="DG84" s="17" t="s">
        <v>55</v>
      </c>
      <c r="DH84" s="17" t="s">
        <v>56</v>
      </c>
      <c r="DI84" s="17" t="s">
        <v>55</v>
      </c>
      <c r="DJ84" s="17" t="s">
        <v>56</v>
      </c>
      <c r="DK84" s="17" t="s">
        <v>55</v>
      </c>
      <c r="DL84" s="17" t="s">
        <v>56</v>
      </c>
      <c r="DM84" s="17" t="s">
        <v>55</v>
      </c>
      <c r="DN84" s="17" t="s">
        <v>56</v>
      </c>
      <c r="DO84" s="17" t="s">
        <v>55</v>
      </c>
      <c r="DP84" s="17" t="s">
        <v>56</v>
      </c>
      <c r="DQ84" s="17" t="s">
        <v>55</v>
      </c>
      <c r="DR84" s="17" t="s">
        <v>56</v>
      </c>
      <c r="DS84" s="17" t="s">
        <v>55</v>
      </c>
      <c r="DT84" s="17" t="s">
        <v>56</v>
      </c>
      <c r="DU84" s="17" t="s">
        <v>55</v>
      </c>
      <c r="DV84" s="17" t="s">
        <v>56</v>
      </c>
      <c r="DW84" s="17" t="s">
        <v>55</v>
      </c>
      <c r="DX84" s="17" t="s">
        <v>56</v>
      </c>
      <c r="DY84" s="17" t="s">
        <v>55</v>
      </c>
      <c r="DZ84" s="17" t="s">
        <v>56</v>
      </c>
      <c r="EA84" s="17" t="s">
        <v>55</v>
      </c>
      <c r="EB84" s="17" t="s">
        <v>56</v>
      </c>
      <c r="EC84" s="17" t="s">
        <v>55</v>
      </c>
      <c r="ED84" s="17" t="s">
        <v>56</v>
      </c>
      <c r="EE84" s="17" t="s">
        <v>55</v>
      </c>
      <c r="EF84" s="17" t="s">
        <v>56</v>
      </c>
      <c r="EG84" s="17" t="s">
        <v>55</v>
      </c>
      <c r="EH84" s="17" t="s">
        <v>56</v>
      </c>
      <c r="EI84" s="17" t="s">
        <v>55</v>
      </c>
      <c r="EJ84" s="17" t="s">
        <v>56</v>
      </c>
      <c r="EK84" s="17" t="s">
        <v>55</v>
      </c>
      <c r="EL84" s="17" t="s">
        <v>56</v>
      </c>
      <c r="EM84" s="17" t="s">
        <v>55</v>
      </c>
      <c r="EN84" s="17" t="s">
        <v>56</v>
      </c>
      <c r="EO84" s="17" t="s">
        <v>55</v>
      </c>
      <c r="EP84" s="17" t="s">
        <v>56</v>
      </c>
      <c r="EQ84" s="17" t="s">
        <v>55</v>
      </c>
      <c r="ER84" s="17" t="s">
        <v>56</v>
      </c>
      <c r="ES84" s="17" t="s">
        <v>55</v>
      </c>
      <c r="ET84" s="17" t="s">
        <v>56</v>
      </c>
      <c r="EU84" s="17" t="s">
        <v>55</v>
      </c>
      <c r="EV84" s="17" t="s">
        <v>56</v>
      </c>
      <c r="EW84" s="17" t="s">
        <v>55</v>
      </c>
      <c r="EX84" s="17" t="s">
        <v>56</v>
      </c>
      <c r="EY84" s="17" t="s">
        <v>55</v>
      </c>
      <c r="EZ84" s="17" t="s">
        <v>56</v>
      </c>
      <c r="FA84" s="17" t="s">
        <v>55</v>
      </c>
      <c r="FB84" s="17" t="s">
        <v>56</v>
      </c>
      <c r="FC84" s="17" t="s">
        <v>55</v>
      </c>
      <c r="FD84" s="17" t="s">
        <v>56</v>
      </c>
      <c r="FE84" s="17" t="s">
        <v>55</v>
      </c>
      <c r="FF84" s="17" t="s">
        <v>56</v>
      </c>
      <c r="FG84" s="17" t="s">
        <v>55</v>
      </c>
      <c r="FH84" s="17" t="s">
        <v>56</v>
      </c>
      <c r="FI84" s="17" t="s">
        <v>55</v>
      </c>
      <c r="FJ84" s="17" t="s">
        <v>56</v>
      </c>
      <c r="FK84" s="17" t="s">
        <v>55</v>
      </c>
      <c r="FL84" s="17" t="s">
        <v>56</v>
      </c>
      <c r="FM84" s="17" t="s">
        <v>55</v>
      </c>
      <c r="FN84" s="17" t="s">
        <v>56</v>
      </c>
      <c r="FO84" s="17" t="s">
        <v>55</v>
      </c>
      <c r="FP84" s="17" t="s">
        <v>56</v>
      </c>
      <c r="FQ84" s="17" t="s">
        <v>55</v>
      </c>
      <c r="FR84" s="17" t="s">
        <v>56</v>
      </c>
      <c r="FS84" s="17" t="s">
        <v>55</v>
      </c>
      <c r="FT84" s="17" t="s">
        <v>56</v>
      </c>
      <c r="FU84" s="17" t="s">
        <v>55</v>
      </c>
      <c r="FV84" s="17" t="s">
        <v>56</v>
      </c>
      <c r="FW84" s="17" t="s">
        <v>55</v>
      </c>
      <c r="FX84" s="17" t="s">
        <v>56</v>
      </c>
      <c r="FY84" s="17" t="s">
        <v>55</v>
      </c>
      <c r="FZ84" s="17" t="s">
        <v>56</v>
      </c>
      <c r="GA84" s="17" t="s">
        <v>55</v>
      </c>
      <c r="GB84" s="17" t="s">
        <v>56</v>
      </c>
      <c r="GC84" s="17" t="s">
        <v>55</v>
      </c>
      <c r="GD84" s="17" t="s">
        <v>56</v>
      </c>
      <c r="GE84" s="17" t="s">
        <v>55</v>
      </c>
      <c r="GF84" s="17" t="s">
        <v>56</v>
      </c>
      <c r="GG84" s="17" t="s">
        <v>55</v>
      </c>
      <c r="GH84" s="17" t="s">
        <v>56</v>
      </c>
      <c r="GI84" s="17" t="s">
        <v>55</v>
      </c>
      <c r="GJ84" s="17" t="s">
        <v>56</v>
      </c>
      <c r="GK84" s="17" t="s">
        <v>55</v>
      </c>
      <c r="GL84" s="17" t="s">
        <v>56</v>
      </c>
      <c r="GM84" s="17" t="s">
        <v>55</v>
      </c>
      <c r="GN84" s="17" t="s">
        <v>56</v>
      </c>
      <c r="GO84" s="17" t="s">
        <v>55</v>
      </c>
      <c r="GP84" s="17" t="s">
        <v>56</v>
      </c>
      <c r="GQ84" s="17" t="s">
        <v>55</v>
      </c>
      <c r="GR84" s="17" t="s">
        <v>56</v>
      </c>
      <c r="GS84" s="17" t="s">
        <v>55</v>
      </c>
      <c r="GT84" s="17" t="s">
        <v>56</v>
      </c>
      <c r="GU84" s="17" t="s">
        <v>55</v>
      </c>
      <c r="GV84" s="17" t="s">
        <v>56</v>
      </c>
      <c r="GW84" s="17" t="s">
        <v>55</v>
      </c>
      <c r="GX84" s="17" t="s">
        <v>56</v>
      </c>
      <c r="GY84" s="17" t="s">
        <v>55</v>
      </c>
      <c r="GZ84" s="17" t="s">
        <v>56</v>
      </c>
      <c r="HA84" s="17" t="s">
        <v>55</v>
      </c>
      <c r="HB84" s="17" t="s">
        <v>56</v>
      </c>
      <c r="HC84" s="17" t="s">
        <v>55</v>
      </c>
      <c r="HD84" s="17" t="s">
        <v>56</v>
      </c>
      <c r="HE84" s="17" t="s">
        <v>55</v>
      </c>
      <c r="HF84" s="17" t="s">
        <v>56</v>
      </c>
      <c r="HG84" s="17" t="s">
        <v>55</v>
      </c>
      <c r="HH84" s="17" t="s">
        <v>56</v>
      </c>
      <c r="HI84" s="17" t="s">
        <v>55</v>
      </c>
      <c r="HJ84" s="17" t="s">
        <v>56</v>
      </c>
      <c r="HK84" s="17" t="s">
        <v>55</v>
      </c>
      <c r="HL84" s="17" t="s">
        <v>56</v>
      </c>
      <c r="HM84" s="17" t="s">
        <v>55</v>
      </c>
      <c r="HN84" s="17" t="s">
        <v>56</v>
      </c>
      <c r="HO84" s="17" t="s">
        <v>55</v>
      </c>
      <c r="HP84" s="17" t="s">
        <v>56</v>
      </c>
      <c r="HQ84" s="17" t="s">
        <v>55</v>
      </c>
      <c r="HR84" s="17" t="s">
        <v>56</v>
      </c>
      <c r="HS84" s="17" t="s">
        <v>55</v>
      </c>
      <c r="HT84" s="17" t="s">
        <v>56</v>
      </c>
      <c r="HU84" s="17" t="s">
        <v>55</v>
      </c>
      <c r="HV84" s="17" t="s">
        <v>56</v>
      </c>
      <c r="HW84" s="17" t="s">
        <v>55</v>
      </c>
      <c r="HX84" s="17" t="s">
        <v>56</v>
      </c>
      <c r="HY84" s="17" t="s">
        <v>55</v>
      </c>
      <c r="HZ84" s="17" t="s">
        <v>56</v>
      </c>
      <c r="IA84" s="17" t="s">
        <v>55</v>
      </c>
      <c r="IB84" s="17" t="s">
        <v>56</v>
      </c>
      <c r="IC84" s="17" t="s">
        <v>55</v>
      </c>
      <c r="ID84" s="17" t="s">
        <v>56</v>
      </c>
      <c r="IE84" s="17" t="s">
        <v>55</v>
      </c>
      <c r="IF84" s="17" t="s">
        <v>56</v>
      </c>
      <c r="IG84" s="17" t="s">
        <v>55</v>
      </c>
      <c r="IH84" s="17" t="s">
        <v>56</v>
      </c>
      <c r="II84" s="17" t="s">
        <v>55</v>
      </c>
      <c r="IJ84" s="17" t="s">
        <v>56</v>
      </c>
      <c r="IK84" s="17" t="s">
        <v>55</v>
      </c>
      <c r="IL84" s="17" t="s">
        <v>56</v>
      </c>
      <c r="IM84" s="17" t="s">
        <v>55</v>
      </c>
      <c r="IN84" s="17" t="s">
        <v>56</v>
      </c>
      <c r="IO84" s="17" t="s">
        <v>55</v>
      </c>
      <c r="IP84" s="17" t="s">
        <v>56</v>
      </c>
      <c r="IQ84" s="17" t="s">
        <v>55</v>
      </c>
      <c r="IR84" s="17" t="s">
        <v>56</v>
      </c>
      <c r="IS84" s="17" t="s">
        <v>55</v>
      </c>
      <c r="IT84" s="17" t="s">
        <v>56</v>
      </c>
      <c r="IU84" s="17" t="s">
        <v>55</v>
      </c>
      <c r="IV84" s="17" t="s">
        <v>56</v>
      </c>
      <c r="IW84" s="17" t="s">
        <v>55</v>
      </c>
      <c r="IX84" s="17" t="s">
        <v>56</v>
      </c>
      <c r="IY84" s="17" t="s">
        <v>55</v>
      </c>
      <c r="IZ84" s="17" t="s">
        <v>56</v>
      </c>
      <c r="JA84" s="17" t="s">
        <v>55</v>
      </c>
      <c r="JB84" s="17" t="s">
        <v>56</v>
      </c>
      <c r="JC84" s="17" t="s">
        <v>55</v>
      </c>
      <c r="JD84" s="17" t="s">
        <v>56</v>
      </c>
      <c r="JE84" s="17" t="s">
        <v>55</v>
      </c>
      <c r="JF84" s="17" t="s">
        <v>56</v>
      </c>
      <c r="JG84" s="17" t="s">
        <v>55</v>
      </c>
      <c r="JH84" s="17" t="s">
        <v>56</v>
      </c>
      <c r="JI84" s="17" t="s">
        <v>55</v>
      </c>
      <c r="JJ84" s="17" t="s">
        <v>56</v>
      </c>
      <c r="JK84" s="17" t="s">
        <v>55</v>
      </c>
      <c r="JL84" s="17" t="s">
        <v>56</v>
      </c>
      <c r="JM84" s="17" t="s">
        <v>55</v>
      </c>
      <c r="JN84" s="17" t="s">
        <v>56</v>
      </c>
      <c r="JO84" s="17" t="s">
        <v>55</v>
      </c>
      <c r="JP84" s="17" t="s">
        <v>56</v>
      </c>
      <c r="JQ84" s="17" t="s">
        <v>55</v>
      </c>
      <c r="JR84" s="17" t="s">
        <v>56</v>
      </c>
      <c r="JS84" s="17" t="s">
        <v>55</v>
      </c>
      <c r="JT84" s="17" t="s">
        <v>56</v>
      </c>
      <c r="JU84" s="17" t="s">
        <v>55</v>
      </c>
      <c r="JV84" s="17" t="s">
        <v>56</v>
      </c>
      <c r="JW84" s="17" t="s">
        <v>55</v>
      </c>
      <c r="JX84" s="17" t="s">
        <v>56</v>
      </c>
      <c r="JY84" s="17" t="s">
        <v>55</v>
      </c>
      <c r="JZ84" s="17" t="s">
        <v>56</v>
      </c>
      <c r="KA84" s="17" t="s">
        <v>55</v>
      </c>
      <c r="KB84" s="17" t="s">
        <v>56</v>
      </c>
      <c r="KC84" s="17" t="s">
        <v>55</v>
      </c>
      <c r="KD84" s="17" t="s">
        <v>56</v>
      </c>
      <c r="KE84" s="17" t="s">
        <v>55</v>
      </c>
      <c r="KF84" s="17" t="s">
        <v>56</v>
      </c>
      <c r="KG84" s="17" t="s">
        <v>55</v>
      </c>
      <c r="KH84" s="17" t="s">
        <v>56</v>
      </c>
      <c r="KI84" s="17" t="s">
        <v>55</v>
      </c>
      <c r="KJ84" s="17" t="s">
        <v>56</v>
      </c>
      <c r="KK84" s="17" t="s">
        <v>55</v>
      </c>
      <c r="KL84" s="17" t="s">
        <v>56</v>
      </c>
      <c r="KM84" s="17" t="s">
        <v>55</v>
      </c>
      <c r="KN84" s="17" t="s">
        <v>56</v>
      </c>
      <c r="KO84" s="17" t="s">
        <v>55</v>
      </c>
      <c r="KP84" s="17" t="s">
        <v>56</v>
      </c>
      <c r="KQ84" s="17" t="s">
        <v>55</v>
      </c>
      <c r="KR84" s="17" t="s">
        <v>56</v>
      </c>
      <c r="KS84" s="17" t="s">
        <v>55</v>
      </c>
      <c r="KT84" s="17" t="s">
        <v>56</v>
      </c>
      <c r="KU84" s="17" t="s">
        <v>55</v>
      </c>
      <c r="KV84" s="17" t="s">
        <v>56</v>
      </c>
      <c r="KW84" s="17" t="s">
        <v>55</v>
      </c>
      <c r="KX84" s="17" t="s">
        <v>56</v>
      </c>
      <c r="KY84" s="17" t="s">
        <v>55</v>
      </c>
      <c r="KZ84" s="17" t="s">
        <v>56</v>
      </c>
      <c r="LA84" s="17" t="s">
        <v>55</v>
      </c>
      <c r="LB84" s="10" t="s">
        <v>56</v>
      </c>
      <c r="LC84" s="10" t="s">
        <v>55</v>
      </c>
      <c r="LD84" s="10" t="s">
        <v>56</v>
      </c>
      <c r="LE84" s="10" t="s">
        <v>55</v>
      </c>
      <c r="LF84" s="10" t="s">
        <v>56</v>
      </c>
      <c r="LG84" s="10" t="s">
        <v>55</v>
      </c>
      <c r="LH84" s="10" t="s">
        <v>56</v>
      </c>
      <c r="LI84" s="10" t="s">
        <v>55</v>
      </c>
      <c r="LJ84" s="10" t="s">
        <v>56</v>
      </c>
      <c r="LK84" s="10" t="s">
        <v>162</v>
      </c>
      <c r="LL84" s="10" t="s">
        <v>56</v>
      </c>
      <c r="LM84" s="10" t="s">
        <v>162</v>
      </c>
      <c r="LN84" s="10" t="s">
        <v>56</v>
      </c>
      <c r="LO84" s="10" t="s">
        <v>162</v>
      </c>
      <c r="LP84" s="10" t="s">
        <v>56</v>
      </c>
      <c r="LQ84" s="10" t="s">
        <v>162</v>
      </c>
      <c r="LR84" s="10" t="s">
        <v>56</v>
      </c>
      <c r="LS84" s="10" t="s">
        <v>162</v>
      </c>
      <c r="LT84" s="10" t="s">
        <v>56</v>
      </c>
      <c r="LU84" s="10" t="s">
        <v>162</v>
      </c>
      <c r="LV84" s="10" t="s">
        <v>56</v>
      </c>
      <c r="LW84" s="10" t="s">
        <v>55</v>
      </c>
      <c r="LX84" s="10" t="s">
        <v>56</v>
      </c>
      <c r="LY84" s="10" t="s">
        <v>55</v>
      </c>
      <c r="LZ84" s="10" t="s">
        <v>56</v>
      </c>
      <c r="MA84" s="10" t="s">
        <v>55</v>
      </c>
      <c r="MB84" s="10" t="s">
        <v>56</v>
      </c>
      <c r="MC84" s="10" t="s">
        <v>55</v>
      </c>
      <c r="MD84" s="17" t="s">
        <v>56</v>
      </c>
      <c r="ME84" s="17" t="s">
        <v>55</v>
      </c>
      <c r="MF84" s="17" t="s">
        <v>56</v>
      </c>
      <c r="MG84" s="17" t="s">
        <v>55</v>
      </c>
      <c r="MH84" s="17" t="s">
        <v>56</v>
      </c>
      <c r="MI84" s="17" t="s">
        <v>55</v>
      </c>
      <c r="MJ84" s="17" t="s">
        <v>56</v>
      </c>
      <c r="MK84" s="17" t="s">
        <v>55</v>
      </c>
      <c r="ML84" s="17" t="s">
        <v>56</v>
      </c>
      <c r="MM84" s="17" t="s">
        <v>55</v>
      </c>
      <c r="MN84" s="17" t="s">
        <v>56</v>
      </c>
      <c r="MO84" s="17" t="s">
        <v>55</v>
      </c>
      <c r="MP84" s="17" t="s">
        <v>56</v>
      </c>
      <c r="MQ84" s="17" t="s">
        <v>55</v>
      </c>
      <c r="MR84" s="17" t="s">
        <v>56</v>
      </c>
      <c r="MS84" s="17" t="s">
        <v>55</v>
      </c>
      <c r="MT84" s="17" t="s">
        <v>56</v>
      </c>
      <c r="MU84" s="17" t="s">
        <v>55</v>
      </c>
      <c r="MV84" s="17" t="s">
        <v>56</v>
      </c>
      <c r="MW84" s="17" t="s">
        <v>55</v>
      </c>
      <c r="MX84" s="17" t="s">
        <v>56</v>
      </c>
      <c r="MY84" s="17" t="s">
        <v>55</v>
      </c>
      <c r="MZ84" s="17" t="s">
        <v>56</v>
      </c>
      <c r="NA84" s="17" t="s">
        <v>55</v>
      </c>
      <c r="NB84" s="10" t="s">
        <v>56</v>
      </c>
      <c r="NC84" s="10" t="s">
        <v>55</v>
      </c>
      <c r="ND84" s="10" t="s">
        <v>56</v>
      </c>
      <c r="NE84" s="10" t="s">
        <v>55</v>
      </c>
      <c r="NF84" s="10" t="s">
        <v>56</v>
      </c>
      <c r="NG84" s="10" t="s">
        <v>55</v>
      </c>
      <c r="NH84" s="10" t="s">
        <v>56</v>
      </c>
      <c r="NI84" s="10" t="s">
        <v>55</v>
      </c>
      <c r="NJ84" s="10" t="s">
        <v>56</v>
      </c>
      <c r="NK84" s="10" t="s">
        <v>55</v>
      </c>
      <c r="NL84" s="10" t="s">
        <v>56</v>
      </c>
      <c r="NM84" s="4" t="s">
        <v>55</v>
      </c>
      <c r="NN84" s="10" t="s">
        <v>56</v>
      </c>
      <c r="NO84" s="4" t="s">
        <v>55</v>
      </c>
      <c r="NP84" s="10" t="s">
        <v>56</v>
      </c>
      <c r="NQ84" s="4" t="s">
        <v>55</v>
      </c>
      <c r="NR84" s="10" t="s">
        <v>57</v>
      </c>
      <c r="NS84" s="10" t="s">
        <v>55</v>
      </c>
      <c r="NT84" s="10" t="s">
        <v>57</v>
      </c>
      <c r="NU84" s="10" t="s">
        <v>55</v>
      </c>
    </row>
    <row r="85" spans="1:385" x14ac:dyDescent="0.2">
      <c r="A85" t="s">
        <v>631</v>
      </c>
      <c r="B85" s="1" t="s">
        <v>1037</v>
      </c>
      <c r="C85" s="1" t="s">
        <v>859</v>
      </c>
      <c r="D85" s="39" cm="1">
        <f t="array" ref="D85">SUMPRODUCT((ISNUMBER(F85:NU85))*(MOD(COLUMN(F85:NU85),2)=0))</f>
        <v>1</v>
      </c>
      <c r="E85" s="1">
        <v>161.16999999999999</v>
      </c>
      <c r="F85" s="17" t="s">
        <v>56</v>
      </c>
      <c r="G85" s="17" t="s">
        <v>55</v>
      </c>
      <c r="H85" s="17" t="s">
        <v>56</v>
      </c>
      <c r="I85" s="17" t="s">
        <v>55</v>
      </c>
      <c r="J85" s="17" t="s">
        <v>56</v>
      </c>
      <c r="K85" s="17" t="s">
        <v>55</v>
      </c>
      <c r="L85" s="17" t="s">
        <v>56</v>
      </c>
      <c r="M85" s="17" t="s">
        <v>55</v>
      </c>
      <c r="N85" s="17" t="s">
        <v>56</v>
      </c>
      <c r="O85" s="17" t="s">
        <v>55</v>
      </c>
      <c r="P85" s="17" t="s">
        <v>56</v>
      </c>
      <c r="Q85" s="17" t="s">
        <v>55</v>
      </c>
      <c r="R85" s="17" t="s">
        <v>56</v>
      </c>
      <c r="S85" s="17" t="s">
        <v>55</v>
      </c>
      <c r="T85" s="17" t="s">
        <v>56</v>
      </c>
      <c r="U85" s="17" t="s">
        <v>55</v>
      </c>
      <c r="V85" s="17" t="s">
        <v>56</v>
      </c>
      <c r="W85" s="17" t="s">
        <v>55</v>
      </c>
      <c r="X85" s="17" t="s">
        <v>56</v>
      </c>
      <c r="Y85" s="17" t="s">
        <v>55</v>
      </c>
      <c r="Z85" s="17" t="s">
        <v>56</v>
      </c>
      <c r="AA85" s="17" t="s">
        <v>55</v>
      </c>
      <c r="AB85" s="17" t="s">
        <v>56</v>
      </c>
      <c r="AC85" s="17" t="s">
        <v>55</v>
      </c>
      <c r="AD85" s="17" t="s">
        <v>56</v>
      </c>
      <c r="AE85" s="17" t="s">
        <v>55</v>
      </c>
      <c r="AF85" s="17" t="s">
        <v>56</v>
      </c>
      <c r="AG85" s="17" t="s">
        <v>55</v>
      </c>
      <c r="AH85" s="17" t="s">
        <v>56</v>
      </c>
      <c r="AI85" s="17" t="s">
        <v>55</v>
      </c>
      <c r="AJ85" s="17" t="s">
        <v>56</v>
      </c>
      <c r="AK85" s="17" t="s">
        <v>55</v>
      </c>
      <c r="AL85" s="17" t="s">
        <v>56</v>
      </c>
      <c r="AM85" s="17" t="s">
        <v>55</v>
      </c>
      <c r="AN85" s="17" t="s">
        <v>56</v>
      </c>
      <c r="AO85" s="17" t="s">
        <v>55</v>
      </c>
      <c r="AP85" s="17" t="s">
        <v>56</v>
      </c>
      <c r="AQ85" s="17" t="s">
        <v>55</v>
      </c>
      <c r="AR85" s="10">
        <f>118/E85</f>
        <v>0.7321461810510641</v>
      </c>
      <c r="AS85" s="10">
        <f>35/E85</f>
        <v>0.2171620028541292</v>
      </c>
      <c r="AT85" s="17" t="s">
        <v>56</v>
      </c>
      <c r="AU85" s="17" t="s">
        <v>55</v>
      </c>
      <c r="AV85" s="17" t="s">
        <v>56</v>
      </c>
      <c r="AW85" s="17" t="s">
        <v>55</v>
      </c>
      <c r="AX85" s="17" t="s">
        <v>56</v>
      </c>
      <c r="AY85" s="17" t="s">
        <v>55</v>
      </c>
      <c r="AZ85" s="17" t="s">
        <v>56</v>
      </c>
      <c r="BA85" s="17" t="s">
        <v>55</v>
      </c>
      <c r="BB85" s="17" t="s">
        <v>56</v>
      </c>
      <c r="BC85" s="17" t="s">
        <v>55</v>
      </c>
      <c r="BD85" s="17" t="s">
        <v>56</v>
      </c>
      <c r="BE85" s="17" t="s">
        <v>55</v>
      </c>
      <c r="BF85" s="17" t="s">
        <v>56</v>
      </c>
      <c r="BG85" s="17" t="s">
        <v>55</v>
      </c>
      <c r="BH85" s="17" t="s">
        <v>56</v>
      </c>
      <c r="BI85" s="17" t="s">
        <v>55</v>
      </c>
      <c r="BJ85" s="17" t="s">
        <v>56</v>
      </c>
      <c r="BK85" s="17" t="s">
        <v>55</v>
      </c>
      <c r="BL85" s="17" t="s">
        <v>56</v>
      </c>
      <c r="BM85" s="17" t="s">
        <v>55</v>
      </c>
      <c r="BN85" s="17" t="s">
        <v>56</v>
      </c>
      <c r="BO85" s="17" t="s">
        <v>55</v>
      </c>
      <c r="BP85" s="17" t="s">
        <v>56</v>
      </c>
      <c r="BQ85" s="17" t="s">
        <v>55</v>
      </c>
      <c r="BR85" s="17" t="s">
        <v>56</v>
      </c>
      <c r="BS85" s="17" t="s">
        <v>55</v>
      </c>
      <c r="BT85" s="17" t="s">
        <v>56</v>
      </c>
      <c r="BU85" s="17" t="s">
        <v>55</v>
      </c>
      <c r="BV85" s="17" t="s">
        <v>56</v>
      </c>
      <c r="BW85" s="17" t="s">
        <v>55</v>
      </c>
      <c r="BX85" s="17" t="s">
        <v>56</v>
      </c>
      <c r="BY85" s="17" t="s">
        <v>55</v>
      </c>
      <c r="BZ85" s="17" t="s">
        <v>56</v>
      </c>
      <c r="CA85" s="17" t="s">
        <v>55</v>
      </c>
      <c r="CB85" s="17" t="s">
        <v>56</v>
      </c>
      <c r="CC85" s="17" t="s">
        <v>55</v>
      </c>
      <c r="CD85" s="17" t="s">
        <v>56</v>
      </c>
      <c r="CE85" s="17" t="s">
        <v>55</v>
      </c>
      <c r="CF85" s="17" t="s">
        <v>56</v>
      </c>
      <c r="CG85" s="17" t="s">
        <v>55</v>
      </c>
      <c r="CH85" s="17" t="s">
        <v>56</v>
      </c>
      <c r="CI85" s="17" t="s">
        <v>55</v>
      </c>
      <c r="CJ85" s="17" t="s">
        <v>56</v>
      </c>
      <c r="CK85" s="17" t="s">
        <v>55</v>
      </c>
      <c r="CL85" s="17" t="s">
        <v>56</v>
      </c>
      <c r="CM85" s="17" t="s">
        <v>55</v>
      </c>
      <c r="CN85" s="17" t="s">
        <v>56</v>
      </c>
      <c r="CO85" s="17" t="s">
        <v>55</v>
      </c>
      <c r="CP85" s="17" t="s">
        <v>56</v>
      </c>
      <c r="CQ85" s="17" t="s">
        <v>55</v>
      </c>
      <c r="CR85" s="17" t="s">
        <v>56</v>
      </c>
      <c r="CS85" s="17" t="s">
        <v>55</v>
      </c>
      <c r="CT85" s="17" t="s">
        <v>56</v>
      </c>
      <c r="CU85" s="17" t="s">
        <v>55</v>
      </c>
      <c r="CV85" s="17" t="s">
        <v>56</v>
      </c>
      <c r="CW85" s="17" t="s">
        <v>55</v>
      </c>
      <c r="CX85" s="17" t="s">
        <v>56</v>
      </c>
      <c r="CY85" s="17" t="s">
        <v>55</v>
      </c>
      <c r="CZ85" s="17" t="s">
        <v>56</v>
      </c>
      <c r="DA85" s="17" t="s">
        <v>55</v>
      </c>
      <c r="DB85" s="17" t="s">
        <v>56</v>
      </c>
      <c r="DC85" s="17" t="s">
        <v>55</v>
      </c>
      <c r="DD85" s="17" t="s">
        <v>56</v>
      </c>
      <c r="DE85" s="17" t="s">
        <v>55</v>
      </c>
      <c r="DF85" s="17" t="s">
        <v>56</v>
      </c>
      <c r="DG85" s="17" t="s">
        <v>55</v>
      </c>
      <c r="DH85" s="17" t="s">
        <v>56</v>
      </c>
      <c r="DI85" s="17" t="s">
        <v>55</v>
      </c>
      <c r="DJ85" s="17" t="s">
        <v>56</v>
      </c>
      <c r="DK85" s="17" t="s">
        <v>55</v>
      </c>
      <c r="DL85" s="17" t="s">
        <v>56</v>
      </c>
      <c r="DM85" s="17" t="s">
        <v>55</v>
      </c>
      <c r="DN85" s="17" t="s">
        <v>56</v>
      </c>
      <c r="DO85" s="17" t="s">
        <v>55</v>
      </c>
      <c r="DP85" s="17" t="s">
        <v>56</v>
      </c>
      <c r="DQ85" s="17" t="s">
        <v>55</v>
      </c>
      <c r="DR85" s="17" t="s">
        <v>56</v>
      </c>
      <c r="DS85" s="17" t="s">
        <v>55</v>
      </c>
      <c r="DT85" s="17" t="s">
        <v>56</v>
      </c>
      <c r="DU85" s="17" t="s">
        <v>55</v>
      </c>
      <c r="DV85" s="17" t="s">
        <v>56</v>
      </c>
      <c r="DW85" s="17" t="s">
        <v>55</v>
      </c>
      <c r="DX85" s="17" t="s">
        <v>56</v>
      </c>
      <c r="DY85" s="17" t="s">
        <v>55</v>
      </c>
      <c r="DZ85" s="17" t="s">
        <v>56</v>
      </c>
      <c r="EA85" s="17" t="s">
        <v>55</v>
      </c>
      <c r="EB85" s="17" t="s">
        <v>56</v>
      </c>
      <c r="EC85" s="17" t="s">
        <v>55</v>
      </c>
      <c r="ED85" s="17" t="s">
        <v>56</v>
      </c>
      <c r="EE85" s="17" t="s">
        <v>55</v>
      </c>
      <c r="EF85" s="17" t="s">
        <v>56</v>
      </c>
      <c r="EG85" s="17" t="s">
        <v>55</v>
      </c>
      <c r="EH85" s="17" t="s">
        <v>56</v>
      </c>
      <c r="EI85" s="17" t="s">
        <v>55</v>
      </c>
      <c r="EJ85" s="17" t="s">
        <v>56</v>
      </c>
      <c r="EK85" s="17" t="s">
        <v>55</v>
      </c>
      <c r="EL85" s="17" t="s">
        <v>56</v>
      </c>
      <c r="EM85" s="17" t="s">
        <v>55</v>
      </c>
      <c r="EN85" s="17" t="s">
        <v>56</v>
      </c>
      <c r="EO85" s="17" t="s">
        <v>55</v>
      </c>
      <c r="EP85" s="17" t="s">
        <v>56</v>
      </c>
      <c r="EQ85" s="17" t="s">
        <v>55</v>
      </c>
      <c r="ER85" s="17" t="s">
        <v>56</v>
      </c>
      <c r="ES85" s="17" t="s">
        <v>55</v>
      </c>
      <c r="ET85" s="17" t="s">
        <v>56</v>
      </c>
      <c r="EU85" s="17" t="s">
        <v>55</v>
      </c>
      <c r="EV85" s="17" t="s">
        <v>56</v>
      </c>
      <c r="EW85" s="17" t="s">
        <v>55</v>
      </c>
      <c r="EX85" s="17" t="s">
        <v>56</v>
      </c>
      <c r="EY85" s="17" t="s">
        <v>55</v>
      </c>
      <c r="EZ85" s="17" t="s">
        <v>56</v>
      </c>
      <c r="FA85" s="17" t="s">
        <v>55</v>
      </c>
      <c r="FB85" s="17" t="s">
        <v>56</v>
      </c>
      <c r="FC85" s="17" t="s">
        <v>55</v>
      </c>
      <c r="FD85" s="17" t="s">
        <v>56</v>
      </c>
      <c r="FE85" s="17" t="s">
        <v>55</v>
      </c>
      <c r="FF85" s="17" t="s">
        <v>56</v>
      </c>
      <c r="FG85" s="17" t="s">
        <v>55</v>
      </c>
      <c r="FH85" s="17" t="s">
        <v>56</v>
      </c>
      <c r="FI85" s="17" t="s">
        <v>55</v>
      </c>
      <c r="FJ85" s="17" t="s">
        <v>56</v>
      </c>
      <c r="FK85" s="17" t="s">
        <v>55</v>
      </c>
      <c r="FL85" s="17" t="s">
        <v>56</v>
      </c>
      <c r="FM85" s="17" t="s">
        <v>55</v>
      </c>
      <c r="FN85" s="17" t="s">
        <v>56</v>
      </c>
      <c r="FO85" s="17" t="s">
        <v>55</v>
      </c>
      <c r="FP85" s="17" t="s">
        <v>56</v>
      </c>
      <c r="FQ85" s="17" t="s">
        <v>55</v>
      </c>
      <c r="FR85" s="17" t="s">
        <v>56</v>
      </c>
      <c r="FS85" s="17" t="s">
        <v>55</v>
      </c>
      <c r="FT85" s="17" t="s">
        <v>56</v>
      </c>
      <c r="FU85" s="17" t="s">
        <v>55</v>
      </c>
      <c r="FV85" s="17" t="s">
        <v>56</v>
      </c>
      <c r="FW85" s="17" t="s">
        <v>55</v>
      </c>
      <c r="FX85" s="17" t="s">
        <v>56</v>
      </c>
      <c r="FY85" s="17" t="s">
        <v>55</v>
      </c>
      <c r="FZ85" s="17" t="s">
        <v>56</v>
      </c>
      <c r="GA85" s="17" t="s">
        <v>55</v>
      </c>
      <c r="GB85" s="17" t="s">
        <v>56</v>
      </c>
      <c r="GC85" s="17" t="s">
        <v>55</v>
      </c>
      <c r="GD85" s="17" t="s">
        <v>56</v>
      </c>
      <c r="GE85" s="17" t="s">
        <v>55</v>
      </c>
      <c r="GF85" s="17" t="s">
        <v>56</v>
      </c>
      <c r="GG85" s="17" t="s">
        <v>55</v>
      </c>
      <c r="GH85" s="17" t="s">
        <v>56</v>
      </c>
      <c r="GI85" s="17" t="s">
        <v>55</v>
      </c>
      <c r="GJ85" s="17" t="s">
        <v>56</v>
      </c>
      <c r="GK85" s="17" t="s">
        <v>55</v>
      </c>
      <c r="GL85" s="17" t="s">
        <v>56</v>
      </c>
      <c r="GM85" s="17" t="s">
        <v>55</v>
      </c>
      <c r="GN85" s="17" t="s">
        <v>56</v>
      </c>
      <c r="GO85" s="17" t="s">
        <v>55</v>
      </c>
      <c r="GP85" s="17" t="s">
        <v>56</v>
      </c>
      <c r="GQ85" s="17" t="s">
        <v>55</v>
      </c>
      <c r="GR85" s="17" t="s">
        <v>56</v>
      </c>
      <c r="GS85" s="17" t="s">
        <v>55</v>
      </c>
      <c r="GT85" s="17" t="s">
        <v>56</v>
      </c>
      <c r="GU85" s="17" t="s">
        <v>55</v>
      </c>
      <c r="GV85" s="17" t="s">
        <v>56</v>
      </c>
      <c r="GW85" s="17" t="s">
        <v>55</v>
      </c>
      <c r="GX85" s="17" t="s">
        <v>56</v>
      </c>
      <c r="GY85" s="17" t="s">
        <v>55</v>
      </c>
      <c r="GZ85" s="17" t="s">
        <v>56</v>
      </c>
      <c r="HA85" s="17" t="s">
        <v>55</v>
      </c>
      <c r="HB85" s="17" t="s">
        <v>56</v>
      </c>
      <c r="HC85" s="17" t="s">
        <v>55</v>
      </c>
      <c r="HD85" s="17" t="s">
        <v>56</v>
      </c>
      <c r="HE85" s="17" t="s">
        <v>55</v>
      </c>
      <c r="HF85" s="17" t="s">
        <v>56</v>
      </c>
      <c r="HG85" s="17" t="s">
        <v>55</v>
      </c>
      <c r="HH85" s="17" t="s">
        <v>56</v>
      </c>
      <c r="HI85" s="17" t="s">
        <v>55</v>
      </c>
      <c r="HJ85" s="17" t="s">
        <v>56</v>
      </c>
      <c r="HK85" s="17" t="s">
        <v>55</v>
      </c>
      <c r="HL85" s="17" t="s">
        <v>56</v>
      </c>
      <c r="HM85" s="17" t="s">
        <v>55</v>
      </c>
      <c r="HN85" s="17" t="s">
        <v>56</v>
      </c>
      <c r="HO85" s="17" t="s">
        <v>55</v>
      </c>
      <c r="HP85" s="17" t="s">
        <v>56</v>
      </c>
      <c r="HQ85" s="17" t="s">
        <v>55</v>
      </c>
      <c r="HR85" s="17" t="s">
        <v>56</v>
      </c>
      <c r="HS85" s="17" t="s">
        <v>55</v>
      </c>
      <c r="HT85" s="17" t="s">
        <v>56</v>
      </c>
      <c r="HU85" s="17" t="s">
        <v>55</v>
      </c>
      <c r="HV85" s="17" t="s">
        <v>56</v>
      </c>
      <c r="HW85" s="17" t="s">
        <v>55</v>
      </c>
      <c r="HX85" s="17" t="s">
        <v>56</v>
      </c>
      <c r="HY85" s="17" t="s">
        <v>55</v>
      </c>
      <c r="HZ85" s="17" t="s">
        <v>56</v>
      </c>
      <c r="IA85" s="17" t="s">
        <v>55</v>
      </c>
      <c r="IB85" s="17" t="s">
        <v>56</v>
      </c>
      <c r="IC85" s="17" t="s">
        <v>55</v>
      </c>
      <c r="ID85" s="17" t="s">
        <v>56</v>
      </c>
      <c r="IE85" s="17" t="s">
        <v>55</v>
      </c>
      <c r="IF85" s="17" t="s">
        <v>56</v>
      </c>
      <c r="IG85" s="17" t="s">
        <v>55</v>
      </c>
      <c r="IH85" s="17" t="s">
        <v>56</v>
      </c>
      <c r="II85" s="17" t="s">
        <v>55</v>
      </c>
      <c r="IJ85" s="17" t="s">
        <v>56</v>
      </c>
      <c r="IK85" s="17" t="s">
        <v>55</v>
      </c>
      <c r="IL85" s="17" t="s">
        <v>56</v>
      </c>
      <c r="IM85" s="17" t="s">
        <v>55</v>
      </c>
      <c r="IN85" s="17" t="s">
        <v>56</v>
      </c>
      <c r="IO85" s="17" t="s">
        <v>55</v>
      </c>
      <c r="IP85" s="17" t="s">
        <v>56</v>
      </c>
      <c r="IQ85" s="17" t="s">
        <v>55</v>
      </c>
      <c r="IR85" s="17" t="s">
        <v>56</v>
      </c>
      <c r="IS85" s="17" t="s">
        <v>55</v>
      </c>
      <c r="IT85" s="17" t="s">
        <v>56</v>
      </c>
      <c r="IU85" s="17" t="s">
        <v>55</v>
      </c>
      <c r="IV85" s="17" t="s">
        <v>56</v>
      </c>
      <c r="IW85" s="17" t="s">
        <v>55</v>
      </c>
      <c r="IX85" s="17" t="s">
        <v>56</v>
      </c>
      <c r="IY85" s="17" t="s">
        <v>55</v>
      </c>
      <c r="IZ85" s="17" t="s">
        <v>56</v>
      </c>
      <c r="JA85" s="17" t="s">
        <v>55</v>
      </c>
      <c r="JB85" s="17" t="s">
        <v>56</v>
      </c>
      <c r="JC85" s="17" t="s">
        <v>55</v>
      </c>
      <c r="JD85" s="17" t="s">
        <v>56</v>
      </c>
      <c r="JE85" s="17" t="s">
        <v>55</v>
      </c>
      <c r="JF85" s="17" t="s">
        <v>56</v>
      </c>
      <c r="JG85" s="17" t="s">
        <v>55</v>
      </c>
      <c r="JH85" s="17" t="s">
        <v>56</v>
      </c>
      <c r="JI85" s="17" t="s">
        <v>55</v>
      </c>
      <c r="JJ85" s="17" t="s">
        <v>56</v>
      </c>
      <c r="JK85" s="17" t="s">
        <v>55</v>
      </c>
      <c r="JL85" s="17" t="s">
        <v>56</v>
      </c>
      <c r="JM85" s="17" t="s">
        <v>55</v>
      </c>
      <c r="JN85" s="17" t="s">
        <v>56</v>
      </c>
      <c r="JO85" s="17" t="s">
        <v>55</v>
      </c>
      <c r="JP85" s="17" t="s">
        <v>56</v>
      </c>
      <c r="JQ85" s="17" t="s">
        <v>55</v>
      </c>
      <c r="JR85" s="17" t="s">
        <v>56</v>
      </c>
      <c r="JS85" s="17" t="s">
        <v>55</v>
      </c>
      <c r="JT85" s="17" t="s">
        <v>56</v>
      </c>
      <c r="JU85" s="17" t="s">
        <v>55</v>
      </c>
      <c r="JV85" s="17" t="s">
        <v>56</v>
      </c>
      <c r="JW85" s="17" t="s">
        <v>55</v>
      </c>
      <c r="JX85" s="17" t="s">
        <v>56</v>
      </c>
      <c r="JY85" s="17" t="s">
        <v>55</v>
      </c>
      <c r="JZ85" s="17" t="s">
        <v>56</v>
      </c>
      <c r="KA85" s="17" t="s">
        <v>55</v>
      </c>
      <c r="KB85" s="17" t="s">
        <v>56</v>
      </c>
      <c r="KC85" s="17" t="s">
        <v>55</v>
      </c>
      <c r="KD85" s="17" t="s">
        <v>56</v>
      </c>
      <c r="KE85" s="17" t="s">
        <v>55</v>
      </c>
      <c r="KF85" s="17" t="s">
        <v>56</v>
      </c>
      <c r="KG85" s="17" t="s">
        <v>55</v>
      </c>
      <c r="KH85" s="17" t="s">
        <v>56</v>
      </c>
      <c r="KI85" s="17" t="s">
        <v>55</v>
      </c>
      <c r="KJ85" s="17" t="s">
        <v>56</v>
      </c>
      <c r="KK85" s="17" t="s">
        <v>55</v>
      </c>
      <c r="KL85" s="17" t="s">
        <v>56</v>
      </c>
      <c r="KM85" s="17" t="s">
        <v>55</v>
      </c>
      <c r="KN85" s="17" t="s">
        <v>56</v>
      </c>
      <c r="KO85" s="17" t="s">
        <v>55</v>
      </c>
      <c r="KP85" s="17" t="s">
        <v>56</v>
      </c>
      <c r="KQ85" s="17" t="s">
        <v>55</v>
      </c>
      <c r="KR85" s="17" t="s">
        <v>56</v>
      </c>
      <c r="KS85" s="17" t="s">
        <v>55</v>
      </c>
      <c r="KT85" s="17" t="s">
        <v>56</v>
      </c>
      <c r="KU85" s="17" t="s">
        <v>55</v>
      </c>
      <c r="KV85" s="17" t="s">
        <v>56</v>
      </c>
      <c r="KW85" s="17" t="s">
        <v>55</v>
      </c>
      <c r="KX85" s="17" t="s">
        <v>56</v>
      </c>
      <c r="KY85" s="17" t="s">
        <v>55</v>
      </c>
      <c r="KZ85" s="17" t="s">
        <v>56</v>
      </c>
      <c r="LA85" s="17" t="s">
        <v>55</v>
      </c>
      <c r="LB85" s="10" t="s">
        <v>56</v>
      </c>
      <c r="LC85" s="10" t="s">
        <v>55</v>
      </c>
      <c r="LD85" s="10" t="s">
        <v>56</v>
      </c>
      <c r="LE85" s="10" t="s">
        <v>55</v>
      </c>
      <c r="LF85" s="10" t="s">
        <v>56</v>
      </c>
      <c r="LG85" s="10" t="s">
        <v>55</v>
      </c>
      <c r="LH85" s="10" t="s">
        <v>56</v>
      </c>
      <c r="LI85" s="10" t="s">
        <v>55</v>
      </c>
      <c r="LJ85" s="10" t="s">
        <v>56</v>
      </c>
      <c r="LK85" s="10" t="s">
        <v>162</v>
      </c>
      <c r="LL85" s="10" t="s">
        <v>56</v>
      </c>
      <c r="LM85" s="10" t="s">
        <v>162</v>
      </c>
      <c r="LN85" s="10" t="s">
        <v>56</v>
      </c>
      <c r="LO85" s="10" t="s">
        <v>162</v>
      </c>
      <c r="LP85" s="10" t="s">
        <v>56</v>
      </c>
      <c r="LQ85" s="10" t="s">
        <v>162</v>
      </c>
      <c r="LR85" s="10" t="s">
        <v>56</v>
      </c>
      <c r="LS85" s="10" t="s">
        <v>162</v>
      </c>
      <c r="LT85" s="10" t="s">
        <v>56</v>
      </c>
      <c r="LU85" s="10" t="s">
        <v>162</v>
      </c>
      <c r="LV85" s="10" t="s">
        <v>56</v>
      </c>
      <c r="LW85" s="10" t="s">
        <v>55</v>
      </c>
      <c r="LX85" s="10" t="s">
        <v>56</v>
      </c>
      <c r="LY85" s="10" t="s">
        <v>55</v>
      </c>
      <c r="LZ85" s="10" t="s">
        <v>56</v>
      </c>
      <c r="MA85" s="10" t="s">
        <v>55</v>
      </c>
      <c r="MB85" s="10" t="s">
        <v>56</v>
      </c>
      <c r="MC85" s="10" t="s">
        <v>55</v>
      </c>
      <c r="MD85" s="17" t="s">
        <v>56</v>
      </c>
      <c r="ME85" s="17" t="s">
        <v>55</v>
      </c>
      <c r="MF85" s="17" t="s">
        <v>56</v>
      </c>
      <c r="MG85" s="17" t="s">
        <v>55</v>
      </c>
      <c r="MH85" s="17" t="s">
        <v>56</v>
      </c>
      <c r="MI85" s="17" t="s">
        <v>55</v>
      </c>
      <c r="MJ85" s="17" t="s">
        <v>56</v>
      </c>
      <c r="MK85" s="17" t="s">
        <v>55</v>
      </c>
      <c r="ML85" s="17" t="s">
        <v>56</v>
      </c>
      <c r="MM85" s="17" t="s">
        <v>55</v>
      </c>
      <c r="MN85" s="17" t="s">
        <v>56</v>
      </c>
      <c r="MO85" s="17" t="s">
        <v>55</v>
      </c>
      <c r="MP85" s="17" t="s">
        <v>56</v>
      </c>
      <c r="MQ85" s="17" t="s">
        <v>55</v>
      </c>
      <c r="MR85" s="17" t="s">
        <v>56</v>
      </c>
      <c r="MS85" s="17" t="s">
        <v>55</v>
      </c>
      <c r="MT85" s="17" t="s">
        <v>56</v>
      </c>
      <c r="MU85" s="17" t="s">
        <v>55</v>
      </c>
      <c r="MV85" s="17" t="s">
        <v>56</v>
      </c>
      <c r="MW85" s="17" t="s">
        <v>55</v>
      </c>
      <c r="MX85" s="17" t="s">
        <v>56</v>
      </c>
      <c r="MY85" s="17" t="s">
        <v>55</v>
      </c>
      <c r="MZ85" s="17" t="s">
        <v>56</v>
      </c>
      <c r="NA85" s="17" t="s">
        <v>55</v>
      </c>
      <c r="NB85" s="10" t="s">
        <v>56</v>
      </c>
      <c r="NC85" s="10" t="s">
        <v>55</v>
      </c>
      <c r="ND85" s="10" t="s">
        <v>56</v>
      </c>
      <c r="NE85" s="10" t="s">
        <v>55</v>
      </c>
      <c r="NF85" s="10" t="s">
        <v>56</v>
      </c>
      <c r="NG85" s="10" t="s">
        <v>55</v>
      </c>
      <c r="NH85" s="10" t="s">
        <v>56</v>
      </c>
      <c r="NI85" s="10" t="s">
        <v>55</v>
      </c>
      <c r="NJ85" s="10" t="s">
        <v>56</v>
      </c>
      <c r="NK85" s="10" t="s">
        <v>55</v>
      </c>
      <c r="NL85" s="10" t="s">
        <v>56</v>
      </c>
      <c r="NM85" s="4" t="s">
        <v>55</v>
      </c>
      <c r="NN85" s="10" t="s">
        <v>56</v>
      </c>
      <c r="NO85" s="4" t="s">
        <v>55</v>
      </c>
      <c r="NP85" s="10" t="s">
        <v>56</v>
      </c>
      <c r="NQ85" s="4" t="s">
        <v>55</v>
      </c>
      <c r="NR85" s="10" t="s">
        <v>57</v>
      </c>
      <c r="NS85" s="10" t="s">
        <v>55</v>
      </c>
      <c r="NT85" s="10" t="s">
        <v>57</v>
      </c>
      <c r="NU85" s="10" t="s">
        <v>55</v>
      </c>
    </row>
    <row r="86" spans="1:385" x14ac:dyDescent="0.2">
      <c r="A86" t="s">
        <v>878</v>
      </c>
      <c r="B86" s="1" t="s">
        <v>1037</v>
      </c>
      <c r="C86" s="1" t="s">
        <v>1053</v>
      </c>
      <c r="D86" s="39" cm="1">
        <f t="array" ref="D86">SUMPRODUCT((ISNUMBER(F86:NU86))*(MOD(COLUMN(F86:NU86),2)=0))</f>
        <v>12</v>
      </c>
      <c r="E86" s="1">
        <v>129.16</v>
      </c>
      <c r="F86" s="17" t="s">
        <v>56</v>
      </c>
      <c r="G86" s="17" t="s">
        <v>55</v>
      </c>
      <c r="H86" s="17" t="s">
        <v>56</v>
      </c>
      <c r="I86" s="17" t="s">
        <v>55</v>
      </c>
      <c r="J86" s="17" t="s">
        <v>56</v>
      </c>
      <c r="K86" s="17" t="s">
        <v>55</v>
      </c>
      <c r="L86" s="17" t="s">
        <v>56</v>
      </c>
      <c r="M86" s="17" t="s">
        <v>55</v>
      </c>
      <c r="N86" s="17" t="s">
        <v>56</v>
      </c>
      <c r="O86" s="17" t="s">
        <v>55</v>
      </c>
      <c r="P86" s="17" t="s">
        <v>56</v>
      </c>
      <c r="Q86" s="17" t="s">
        <v>55</v>
      </c>
      <c r="R86" s="17" t="s">
        <v>56</v>
      </c>
      <c r="S86" s="17" t="s">
        <v>55</v>
      </c>
      <c r="T86" s="17" t="s">
        <v>56</v>
      </c>
      <c r="U86" s="17" t="s">
        <v>55</v>
      </c>
      <c r="V86" s="17" t="s">
        <v>56</v>
      </c>
      <c r="W86" s="17" t="s">
        <v>55</v>
      </c>
      <c r="X86" s="17" t="s">
        <v>56</v>
      </c>
      <c r="Y86" s="17" t="s">
        <v>55</v>
      </c>
      <c r="Z86" s="17" t="s">
        <v>56</v>
      </c>
      <c r="AA86" s="17" t="s">
        <v>55</v>
      </c>
      <c r="AB86" s="17" t="s">
        <v>56</v>
      </c>
      <c r="AC86" s="17" t="s">
        <v>55</v>
      </c>
      <c r="AD86" s="17" t="s">
        <v>56</v>
      </c>
      <c r="AE86" s="17" t="s">
        <v>55</v>
      </c>
      <c r="AF86" s="17" t="s">
        <v>56</v>
      </c>
      <c r="AG86" s="17" t="s">
        <v>55</v>
      </c>
      <c r="AH86" s="17" t="s">
        <v>56</v>
      </c>
      <c r="AI86" s="17" t="s">
        <v>55</v>
      </c>
      <c r="AJ86" s="17" t="s">
        <v>56</v>
      </c>
      <c r="AK86" s="17" t="s">
        <v>55</v>
      </c>
      <c r="AL86" s="17" t="s">
        <v>56</v>
      </c>
      <c r="AM86" s="17" t="s">
        <v>55</v>
      </c>
      <c r="AN86" s="17" t="s">
        <v>56</v>
      </c>
      <c r="AO86" s="17" t="s">
        <v>55</v>
      </c>
      <c r="AP86" s="17" t="s">
        <v>56</v>
      </c>
      <c r="AQ86" s="17" t="s">
        <v>55</v>
      </c>
      <c r="AR86" s="17" t="s">
        <v>56</v>
      </c>
      <c r="AS86" s="17" t="s">
        <v>55</v>
      </c>
      <c r="AT86" s="17" t="s">
        <v>56</v>
      </c>
      <c r="AU86" s="17" t="s">
        <v>55</v>
      </c>
      <c r="AV86" s="17" t="s">
        <v>56</v>
      </c>
      <c r="AW86" s="17" t="s">
        <v>55</v>
      </c>
      <c r="AX86" s="17" t="s">
        <v>56</v>
      </c>
      <c r="AY86" s="17" t="s">
        <v>55</v>
      </c>
      <c r="AZ86" s="17" t="s">
        <v>56</v>
      </c>
      <c r="BA86" s="17" t="s">
        <v>55</v>
      </c>
      <c r="BB86" s="17" t="s">
        <v>56</v>
      </c>
      <c r="BC86" s="17" t="s">
        <v>55</v>
      </c>
      <c r="BD86" s="17" t="s">
        <v>56</v>
      </c>
      <c r="BE86" s="17" t="s">
        <v>55</v>
      </c>
      <c r="BF86" s="17" t="s">
        <v>56</v>
      </c>
      <c r="BG86" s="17" t="s">
        <v>55</v>
      </c>
      <c r="BH86" s="17" t="s">
        <v>56</v>
      </c>
      <c r="BI86" s="17" t="s">
        <v>55</v>
      </c>
      <c r="BJ86" s="17" t="s">
        <v>56</v>
      </c>
      <c r="BK86" s="17" t="s">
        <v>55</v>
      </c>
      <c r="BL86" s="17" t="s">
        <v>56</v>
      </c>
      <c r="BM86" s="17" t="s">
        <v>55</v>
      </c>
      <c r="BN86" s="17" t="s">
        <v>56</v>
      </c>
      <c r="BO86" s="17" t="s">
        <v>55</v>
      </c>
      <c r="BP86" s="17" t="s">
        <v>56</v>
      </c>
      <c r="BQ86" s="17" t="s">
        <v>55</v>
      </c>
      <c r="BR86" s="17" t="s">
        <v>56</v>
      </c>
      <c r="BS86" s="17" t="s">
        <v>55</v>
      </c>
      <c r="BT86" s="17" t="s">
        <v>56</v>
      </c>
      <c r="BU86" s="17" t="s">
        <v>55</v>
      </c>
      <c r="BV86" s="17" t="s">
        <v>56</v>
      </c>
      <c r="BW86" s="17" t="s">
        <v>55</v>
      </c>
      <c r="BX86" s="17" t="s">
        <v>56</v>
      </c>
      <c r="BY86" s="17" t="s">
        <v>55</v>
      </c>
      <c r="BZ86" s="17" t="s">
        <v>56</v>
      </c>
      <c r="CA86" s="17" t="s">
        <v>55</v>
      </c>
      <c r="CB86" s="17" t="s">
        <v>56</v>
      </c>
      <c r="CC86" s="17" t="s">
        <v>55</v>
      </c>
      <c r="CD86" s="17" t="s">
        <v>56</v>
      </c>
      <c r="CE86" s="17" t="s">
        <v>55</v>
      </c>
      <c r="CF86" s="17" t="s">
        <v>56</v>
      </c>
      <c r="CG86" s="17" t="s">
        <v>55</v>
      </c>
      <c r="CH86" s="17" t="s">
        <v>56</v>
      </c>
      <c r="CI86" s="17" t="s">
        <v>55</v>
      </c>
      <c r="CJ86" s="17" t="s">
        <v>56</v>
      </c>
      <c r="CK86" s="17" t="s">
        <v>55</v>
      </c>
      <c r="CL86" s="17" t="s">
        <v>56</v>
      </c>
      <c r="CM86" s="17" t="s">
        <v>55</v>
      </c>
      <c r="CN86" s="17" t="s">
        <v>56</v>
      </c>
      <c r="CO86" s="17" t="s">
        <v>55</v>
      </c>
      <c r="CP86" s="17" t="s">
        <v>56</v>
      </c>
      <c r="CQ86" s="17" t="s">
        <v>55</v>
      </c>
      <c r="CR86" s="17" t="s">
        <v>56</v>
      </c>
      <c r="CS86" s="17" t="s">
        <v>55</v>
      </c>
      <c r="CT86" s="17" t="s">
        <v>56</v>
      </c>
      <c r="CU86" s="17" t="s">
        <v>55</v>
      </c>
      <c r="CV86" s="17" t="s">
        <v>56</v>
      </c>
      <c r="CW86" s="17" t="s">
        <v>55</v>
      </c>
      <c r="CX86" s="17" t="s">
        <v>56</v>
      </c>
      <c r="CY86" s="17" t="s">
        <v>55</v>
      </c>
      <c r="CZ86" s="17" t="s">
        <v>56</v>
      </c>
      <c r="DA86" s="17" t="s">
        <v>55</v>
      </c>
      <c r="DB86" s="17" t="s">
        <v>56</v>
      </c>
      <c r="DC86" s="17" t="s">
        <v>55</v>
      </c>
      <c r="DD86" s="17" t="s">
        <v>56</v>
      </c>
      <c r="DE86" s="17" t="s">
        <v>55</v>
      </c>
      <c r="DF86" s="17" t="s">
        <v>56</v>
      </c>
      <c r="DG86" s="17" t="s">
        <v>55</v>
      </c>
      <c r="DH86" s="17" t="s">
        <v>56</v>
      </c>
      <c r="DI86" s="17" t="s">
        <v>55</v>
      </c>
      <c r="DJ86" s="17" t="s">
        <v>56</v>
      </c>
      <c r="DK86" s="17" t="s">
        <v>55</v>
      </c>
      <c r="DL86" s="17" t="s">
        <v>56</v>
      </c>
      <c r="DM86" s="17" t="s">
        <v>55</v>
      </c>
      <c r="DN86" s="17" t="s">
        <v>56</v>
      </c>
      <c r="DO86" s="17" t="s">
        <v>55</v>
      </c>
      <c r="DP86" s="17" t="s">
        <v>56</v>
      </c>
      <c r="DQ86" s="17" t="s">
        <v>55</v>
      </c>
      <c r="DR86" s="17" t="s">
        <v>56</v>
      </c>
      <c r="DS86" s="17" t="s">
        <v>55</v>
      </c>
      <c r="DT86" s="17" t="s">
        <v>56</v>
      </c>
      <c r="DU86" s="17" t="s">
        <v>55</v>
      </c>
      <c r="DV86" s="17" t="s">
        <v>56</v>
      </c>
      <c r="DW86" s="17" t="s">
        <v>55</v>
      </c>
      <c r="DX86" s="17" t="s">
        <v>56</v>
      </c>
      <c r="DY86" s="17" t="s">
        <v>55</v>
      </c>
      <c r="DZ86" s="17" t="s">
        <v>56</v>
      </c>
      <c r="EA86" s="17" t="s">
        <v>55</v>
      </c>
      <c r="EB86" s="17" t="s">
        <v>56</v>
      </c>
      <c r="EC86" s="17" t="s">
        <v>55</v>
      </c>
      <c r="ED86" s="17" t="s">
        <v>56</v>
      </c>
      <c r="EE86" s="17" t="s">
        <v>55</v>
      </c>
      <c r="EF86" s="17" t="s">
        <v>56</v>
      </c>
      <c r="EG86" s="17" t="s">
        <v>55</v>
      </c>
      <c r="EH86" s="17" t="s">
        <v>56</v>
      </c>
      <c r="EI86" s="17" t="s">
        <v>55</v>
      </c>
      <c r="EJ86" s="17" t="s">
        <v>56</v>
      </c>
      <c r="EK86" s="17" t="s">
        <v>55</v>
      </c>
      <c r="EL86" s="17" t="s">
        <v>56</v>
      </c>
      <c r="EM86" s="17" t="s">
        <v>55</v>
      </c>
      <c r="EN86" s="17" t="s">
        <v>56</v>
      </c>
      <c r="EO86" s="17" t="s">
        <v>55</v>
      </c>
      <c r="EP86" s="17" t="s">
        <v>56</v>
      </c>
      <c r="EQ86" s="17" t="s">
        <v>55</v>
      </c>
      <c r="ER86" s="17" t="s">
        <v>56</v>
      </c>
      <c r="ES86" s="17" t="s">
        <v>55</v>
      </c>
      <c r="ET86" s="17" t="s">
        <v>56</v>
      </c>
      <c r="EU86" s="17" t="s">
        <v>55</v>
      </c>
      <c r="EV86" s="17" t="s">
        <v>56</v>
      </c>
      <c r="EW86" s="17" t="s">
        <v>55</v>
      </c>
      <c r="EX86" s="17" t="s">
        <v>56</v>
      </c>
      <c r="EY86" s="17" t="s">
        <v>55</v>
      </c>
      <c r="EZ86" s="17" t="s">
        <v>56</v>
      </c>
      <c r="FA86" s="17" t="s">
        <v>55</v>
      </c>
      <c r="FB86" s="17" t="s">
        <v>56</v>
      </c>
      <c r="FC86" s="17" t="s">
        <v>55</v>
      </c>
      <c r="FD86" s="17" t="s">
        <v>56</v>
      </c>
      <c r="FE86" s="17" t="s">
        <v>55</v>
      </c>
      <c r="FF86" s="17" t="s">
        <v>56</v>
      </c>
      <c r="FG86" s="17" t="s">
        <v>55</v>
      </c>
      <c r="FH86" s="17" t="s">
        <v>56</v>
      </c>
      <c r="FI86" s="17" t="s">
        <v>55</v>
      </c>
      <c r="FJ86" s="17" t="s">
        <v>56</v>
      </c>
      <c r="FK86" s="17" t="s">
        <v>55</v>
      </c>
      <c r="FL86" s="17" t="s">
        <v>56</v>
      </c>
      <c r="FM86" s="17" t="s">
        <v>55</v>
      </c>
      <c r="FN86" s="17" t="s">
        <v>56</v>
      </c>
      <c r="FO86" s="17" t="s">
        <v>55</v>
      </c>
      <c r="FP86" s="17" t="s">
        <v>56</v>
      </c>
      <c r="FQ86" s="17" t="s">
        <v>55</v>
      </c>
      <c r="FR86" s="17" t="s">
        <v>56</v>
      </c>
      <c r="FS86" s="17" t="s">
        <v>55</v>
      </c>
      <c r="FT86" s="17" t="s">
        <v>56</v>
      </c>
      <c r="FU86" s="17" t="s">
        <v>55</v>
      </c>
      <c r="FV86" s="17" t="s">
        <v>56</v>
      </c>
      <c r="FW86" s="17" t="s">
        <v>55</v>
      </c>
      <c r="FX86" s="17" t="s">
        <v>56</v>
      </c>
      <c r="FY86" s="17" t="s">
        <v>55</v>
      </c>
      <c r="FZ86" s="17" t="s">
        <v>56</v>
      </c>
      <c r="GA86" s="17" t="s">
        <v>55</v>
      </c>
      <c r="GB86" s="17" t="s">
        <v>56</v>
      </c>
      <c r="GC86" s="17" t="s">
        <v>55</v>
      </c>
      <c r="GD86" s="17" t="s">
        <v>56</v>
      </c>
      <c r="GE86" s="17" t="s">
        <v>55</v>
      </c>
      <c r="GF86" s="17" t="s">
        <v>56</v>
      </c>
      <c r="GG86" s="17" t="s">
        <v>55</v>
      </c>
      <c r="GH86" s="17" t="s">
        <v>56</v>
      </c>
      <c r="GI86" s="17" t="s">
        <v>55</v>
      </c>
      <c r="GJ86" s="17" t="s">
        <v>56</v>
      </c>
      <c r="GK86" s="17" t="s">
        <v>55</v>
      </c>
      <c r="GL86" s="17" t="s">
        <v>56</v>
      </c>
      <c r="GM86" s="17" t="s">
        <v>55</v>
      </c>
      <c r="GN86" s="17" t="s">
        <v>56</v>
      </c>
      <c r="GO86" s="17" t="s">
        <v>55</v>
      </c>
      <c r="GP86" s="17" t="s">
        <v>56</v>
      </c>
      <c r="GQ86" s="17" t="s">
        <v>55</v>
      </c>
      <c r="GR86" s="17" t="s">
        <v>56</v>
      </c>
      <c r="GS86" s="17" t="s">
        <v>55</v>
      </c>
      <c r="GT86" s="17" t="s">
        <v>56</v>
      </c>
      <c r="GU86" s="17" t="s">
        <v>55</v>
      </c>
      <c r="GV86" s="17" t="s">
        <v>56</v>
      </c>
      <c r="GW86" s="17" t="s">
        <v>55</v>
      </c>
      <c r="GX86" s="17" t="s">
        <v>56</v>
      </c>
      <c r="GY86" s="17" t="s">
        <v>55</v>
      </c>
      <c r="GZ86" s="17" t="s">
        <v>56</v>
      </c>
      <c r="HA86" s="17" t="s">
        <v>55</v>
      </c>
      <c r="HB86" s="17" t="s">
        <v>56</v>
      </c>
      <c r="HC86" s="17" t="s">
        <v>55</v>
      </c>
      <c r="HD86" s="17" t="s">
        <v>56</v>
      </c>
      <c r="HE86" s="17" t="s">
        <v>55</v>
      </c>
      <c r="HF86" s="17" t="s">
        <v>56</v>
      </c>
      <c r="HG86" s="17" t="s">
        <v>55</v>
      </c>
      <c r="HH86" s="17" t="s">
        <v>56</v>
      </c>
      <c r="HI86" s="17" t="s">
        <v>55</v>
      </c>
      <c r="HJ86" s="17" t="s">
        <v>56</v>
      </c>
      <c r="HK86" s="17" t="s">
        <v>55</v>
      </c>
      <c r="HL86" s="17" t="s">
        <v>56</v>
      </c>
      <c r="HM86" s="17" t="s">
        <v>55</v>
      </c>
      <c r="HN86" s="17" t="s">
        <v>56</v>
      </c>
      <c r="HO86" s="17" t="s">
        <v>55</v>
      </c>
      <c r="HP86" s="17" t="s">
        <v>56</v>
      </c>
      <c r="HQ86" s="17" t="s">
        <v>55</v>
      </c>
      <c r="HR86" s="17" t="s">
        <v>56</v>
      </c>
      <c r="HS86" s="17" t="s">
        <v>55</v>
      </c>
      <c r="HT86" s="17" t="s">
        <v>56</v>
      </c>
      <c r="HU86" s="17" t="s">
        <v>55</v>
      </c>
      <c r="HV86" s="17" t="s">
        <v>56</v>
      </c>
      <c r="HW86" s="17" t="s">
        <v>55</v>
      </c>
      <c r="HX86" s="17" t="s">
        <v>56</v>
      </c>
      <c r="HY86" s="17" t="s">
        <v>55</v>
      </c>
      <c r="HZ86" s="17" t="s">
        <v>56</v>
      </c>
      <c r="IA86" s="17" t="s">
        <v>55</v>
      </c>
      <c r="IB86" s="17" t="s">
        <v>56</v>
      </c>
      <c r="IC86" s="17" t="s">
        <v>55</v>
      </c>
      <c r="ID86" s="17" t="s">
        <v>56</v>
      </c>
      <c r="IE86" s="17" t="s">
        <v>55</v>
      </c>
      <c r="IF86" s="17" t="s">
        <v>56</v>
      </c>
      <c r="IG86" s="17" t="s">
        <v>55</v>
      </c>
      <c r="IH86" s="17" t="s">
        <v>56</v>
      </c>
      <c r="II86" s="17" t="s">
        <v>55</v>
      </c>
      <c r="IJ86" s="17" t="s">
        <v>56</v>
      </c>
      <c r="IK86" s="17" t="s">
        <v>55</v>
      </c>
      <c r="IL86" s="17" t="s">
        <v>56</v>
      </c>
      <c r="IM86" s="17" t="s">
        <v>55</v>
      </c>
      <c r="IN86" s="17" t="s">
        <v>56</v>
      </c>
      <c r="IO86" s="17" t="s">
        <v>55</v>
      </c>
      <c r="IP86" s="17" t="s">
        <v>56</v>
      </c>
      <c r="IQ86" s="17" t="s">
        <v>55</v>
      </c>
      <c r="IR86" s="17" t="s">
        <v>56</v>
      </c>
      <c r="IS86" s="17" t="s">
        <v>55</v>
      </c>
      <c r="IT86" s="17" t="s">
        <v>56</v>
      </c>
      <c r="IU86" s="17" t="s">
        <v>55</v>
      </c>
      <c r="IV86" s="17" t="s">
        <v>56</v>
      </c>
      <c r="IW86" s="17" t="s">
        <v>55</v>
      </c>
      <c r="IX86" s="17" t="s">
        <v>56</v>
      </c>
      <c r="IY86" s="17" t="s">
        <v>55</v>
      </c>
      <c r="IZ86" s="17" t="s">
        <v>56</v>
      </c>
      <c r="JA86" s="17" t="s">
        <v>55</v>
      </c>
      <c r="JB86" s="17" t="s">
        <v>56</v>
      </c>
      <c r="JC86" s="17" t="s">
        <v>55</v>
      </c>
      <c r="JD86" s="17" t="s">
        <v>56</v>
      </c>
      <c r="JE86" s="17" t="s">
        <v>55</v>
      </c>
      <c r="JF86" s="17" t="s">
        <v>56</v>
      </c>
      <c r="JG86" s="17" t="s">
        <v>55</v>
      </c>
      <c r="JH86" s="17" t="s">
        <v>56</v>
      </c>
      <c r="JI86" s="17" t="s">
        <v>55</v>
      </c>
      <c r="JJ86" s="17" t="s">
        <v>56</v>
      </c>
      <c r="JK86" s="17" t="s">
        <v>55</v>
      </c>
      <c r="JL86" s="17" t="s">
        <v>56</v>
      </c>
      <c r="JM86" s="17" t="s">
        <v>55</v>
      </c>
      <c r="JN86" s="17" t="s">
        <v>56</v>
      </c>
      <c r="JO86" s="17" t="s">
        <v>55</v>
      </c>
      <c r="JP86" s="17" t="s">
        <v>56</v>
      </c>
      <c r="JQ86" s="17" t="s">
        <v>55</v>
      </c>
      <c r="JR86" s="17" t="s">
        <v>56</v>
      </c>
      <c r="JS86" s="17" t="s">
        <v>55</v>
      </c>
      <c r="JT86" s="17" t="s">
        <v>56</v>
      </c>
      <c r="JU86" s="17" t="s">
        <v>55</v>
      </c>
      <c r="JV86" s="17" t="s">
        <v>56</v>
      </c>
      <c r="JW86" s="17" t="s">
        <v>55</v>
      </c>
      <c r="JX86" s="17" t="s">
        <v>56</v>
      </c>
      <c r="JY86" s="17" t="s">
        <v>55</v>
      </c>
      <c r="JZ86" s="17" t="s">
        <v>56</v>
      </c>
      <c r="KA86" s="17" t="s">
        <v>55</v>
      </c>
      <c r="KB86" s="17" t="s">
        <v>56</v>
      </c>
      <c r="KC86" s="17" t="s">
        <v>55</v>
      </c>
      <c r="KD86" s="17" t="s">
        <v>56</v>
      </c>
      <c r="KE86" s="17" t="s">
        <v>55</v>
      </c>
      <c r="KF86" s="17" t="s">
        <v>56</v>
      </c>
      <c r="KG86" s="17" t="s">
        <v>55</v>
      </c>
      <c r="KH86" s="17" t="s">
        <v>56</v>
      </c>
      <c r="KI86" s="17" t="s">
        <v>55</v>
      </c>
      <c r="KJ86" s="17" t="s">
        <v>56</v>
      </c>
      <c r="KK86" s="17" t="s">
        <v>55</v>
      </c>
      <c r="KL86" s="17" t="s">
        <v>56</v>
      </c>
      <c r="KM86" s="17" t="s">
        <v>55</v>
      </c>
      <c r="KN86" s="17" t="s">
        <v>56</v>
      </c>
      <c r="KO86" s="17" t="s">
        <v>55</v>
      </c>
      <c r="KP86" s="17" t="s">
        <v>56</v>
      </c>
      <c r="KQ86" s="17" t="s">
        <v>55</v>
      </c>
      <c r="KR86" s="17" t="s">
        <v>56</v>
      </c>
      <c r="KS86" s="17" t="s">
        <v>55</v>
      </c>
      <c r="KT86" s="17" t="s">
        <v>56</v>
      </c>
      <c r="KU86" s="17" t="s">
        <v>55</v>
      </c>
      <c r="KV86" s="17" t="s">
        <v>56</v>
      </c>
      <c r="KW86" s="17" t="s">
        <v>55</v>
      </c>
      <c r="KX86" s="17" t="s">
        <v>56</v>
      </c>
      <c r="KY86" s="17" t="s">
        <v>55</v>
      </c>
      <c r="KZ86" s="17" t="s">
        <v>56</v>
      </c>
      <c r="LA86" s="17" t="s">
        <v>55</v>
      </c>
      <c r="LB86" s="17" t="s">
        <v>56</v>
      </c>
      <c r="LC86" s="17" t="s">
        <v>55</v>
      </c>
      <c r="LD86" s="17" t="s">
        <v>56</v>
      </c>
      <c r="LE86" s="17" t="s">
        <v>55</v>
      </c>
      <c r="LF86" s="17" t="s">
        <v>56</v>
      </c>
      <c r="LG86" s="17" t="s">
        <v>55</v>
      </c>
      <c r="LH86" s="17" t="s">
        <v>56</v>
      </c>
      <c r="LI86" s="17" t="s">
        <v>55</v>
      </c>
      <c r="LJ86" s="17" t="s">
        <v>56</v>
      </c>
      <c r="LK86" s="17" t="s">
        <v>55</v>
      </c>
      <c r="LL86" s="17" t="s">
        <v>56</v>
      </c>
      <c r="LM86" s="17" t="s">
        <v>55</v>
      </c>
      <c r="LN86" s="17" t="s">
        <v>56</v>
      </c>
      <c r="LO86" s="17" t="s">
        <v>55</v>
      </c>
      <c r="LP86" s="17" t="s">
        <v>56</v>
      </c>
      <c r="LQ86" s="17" t="s">
        <v>55</v>
      </c>
      <c r="LR86" s="17" t="s">
        <v>56</v>
      </c>
      <c r="LS86" s="17" t="s">
        <v>55</v>
      </c>
      <c r="LT86" s="17" t="s">
        <v>56</v>
      </c>
      <c r="LU86" s="17" t="s">
        <v>55</v>
      </c>
      <c r="LV86" s="17" t="s">
        <v>56</v>
      </c>
      <c r="LW86" s="17" t="s">
        <v>55</v>
      </c>
      <c r="LX86" s="17" t="s">
        <v>56</v>
      </c>
      <c r="LY86" s="17" t="s">
        <v>55</v>
      </c>
      <c r="LZ86" s="17" t="s">
        <v>56</v>
      </c>
      <c r="MA86" s="17" t="s">
        <v>55</v>
      </c>
      <c r="MB86" s="17" t="s">
        <v>56</v>
      </c>
      <c r="MC86" s="17" t="s">
        <v>55</v>
      </c>
      <c r="MD86" s="4">
        <v>809</v>
      </c>
      <c r="ME86" s="4" t="s">
        <v>55</v>
      </c>
      <c r="MF86" s="4">
        <v>328</v>
      </c>
      <c r="MG86" s="4" t="s">
        <v>55</v>
      </c>
      <c r="MH86" s="4">
        <v>580</v>
      </c>
      <c r="MI86" s="4" t="s">
        <v>55</v>
      </c>
      <c r="MJ86" s="4">
        <v>498</v>
      </c>
      <c r="MK86" s="4" t="s">
        <v>55</v>
      </c>
      <c r="ML86" s="4">
        <v>572</v>
      </c>
      <c r="MM86" s="4" t="s">
        <v>55</v>
      </c>
      <c r="MN86" s="4">
        <v>598</v>
      </c>
      <c r="MO86" s="4" t="s">
        <v>55</v>
      </c>
      <c r="MP86" s="4">
        <v>1202</v>
      </c>
      <c r="MQ86" s="4" t="s">
        <v>55</v>
      </c>
      <c r="MR86" s="4">
        <v>420</v>
      </c>
      <c r="MS86" s="4" t="s">
        <v>55</v>
      </c>
      <c r="MT86" s="4">
        <v>616</v>
      </c>
      <c r="MU86" s="4" t="s">
        <v>55</v>
      </c>
      <c r="MV86" s="4">
        <v>546</v>
      </c>
      <c r="MW86" s="4" t="s">
        <v>55</v>
      </c>
      <c r="MX86" s="4">
        <v>508</v>
      </c>
      <c r="MY86" s="4" t="s">
        <v>55</v>
      </c>
      <c r="MZ86" s="4">
        <v>1056</v>
      </c>
      <c r="NA86" s="17" t="s">
        <v>55</v>
      </c>
      <c r="NB86" s="10" t="s">
        <v>56</v>
      </c>
      <c r="NC86" s="17" t="s">
        <v>55</v>
      </c>
      <c r="ND86" s="10" t="s">
        <v>56</v>
      </c>
      <c r="NE86" s="17" t="s">
        <v>55</v>
      </c>
      <c r="NF86" s="10" t="s">
        <v>56</v>
      </c>
      <c r="NG86" s="17" t="s">
        <v>55</v>
      </c>
      <c r="NH86" s="10" t="s">
        <v>56</v>
      </c>
      <c r="NI86" s="17" t="s">
        <v>55</v>
      </c>
      <c r="NJ86" s="10" t="s">
        <v>56</v>
      </c>
      <c r="NK86" s="17" t="s">
        <v>55</v>
      </c>
      <c r="NL86" s="10" t="s">
        <v>56</v>
      </c>
      <c r="NM86" s="17" t="s">
        <v>55</v>
      </c>
      <c r="NN86" s="10" t="s">
        <v>56</v>
      </c>
      <c r="NO86" s="17" t="s">
        <v>55</v>
      </c>
      <c r="NP86" s="10" t="s">
        <v>56</v>
      </c>
      <c r="NQ86" s="17" t="s">
        <v>55</v>
      </c>
      <c r="NR86" s="10" t="s">
        <v>56</v>
      </c>
      <c r="NS86" s="17" t="s">
        <v>55</v>
      </c>
      <c r="NT86" s="10" t="s">
        <v>56</v>
      </c>
      <c r="NU86" s="17" t="s">
        <v>55</v>
      </c>
    </row>
    <row r="87" spans="1:385" x14ac:dyDescent="0.2">
      <c r="A87" t="s">
        <v>592</v>
      </c>
      <c r="B87" s="32" t="s">
        <v>1037</v>
      </c>
      <c r="C87" s="1" t="s">
        <v>859</v>
      </c>
      <c r="D87" s="39" cm="1">
        <f t="array" ref="D87">SUMPRODUCT((ISNUMBER(F87:NU87))*(MOD(COLUMN(F87:NU87),2)=0))</f>
        <v>12</v>
      </c>
      <c r="E87" s="1">
        <v>145.16</v>
      </c>
      <c r="F87" s="17" t="s">
        <v>56</v>
      </c>
      <c r="G87" s="17" t="s">
        <v>55</v>
      </c>
      <c r="H87" s="17" t="s">
        <v>56</v>
      </c>
      <c r="I87" s="17" t="s">
        <v>55</v>
      </c>
      <c r="J87" s="17" t="s">
        <v>56</v>
      </c>
      <c r="K87" s="17" t="s">
        <v>55</v>
      </c>
      <c r="L87" s="17" t="s">
        <v>56</v>
      </c>
      <c r="M87" s="17" t="s">
        <v>55</v>
      </c>
      <c r="N87" s="17" t="s">
        <v>56</v>
      </c>
      <c r="O87" s="17" t="s">
        <v>55</v>
      </c>
      <c r="P87" s="17" t="s">
        <v>56</v>
      </c>
      <c r="Q87" s="17" t="s">
        <v>55</v>
      </c>
      <c r="R87" s="17" t="s">
        <v>56</v>
      </c>
      <c r="S87" s="17" t="s">
        <v>55</v>
      </c>
      <c r="T87" s="17" t="s">
        <v>56</v>
      </c>
      <c r="U87" s="17" t="s">
        <v>55</v>
      </c>
      <c r="V87" s="17" t="s">
        <v>56</v>
      </c>
      <c r="W87" s="17" t="s">
        <v>55</v>
      </c>
      <c r="X87" s="17" t="s">
        <v>56</v>
      </c>
      <c r="Y87" s="17" t="s">
        <v>55</v>
      </c>
      <c r="Z87" s="17" t="s">
        <v>56</v>
      </c>
      <c r="AA87" s="17" t="s">
        <v>55</v>
      </c>
      <c r="AB87" s="17" t="s">
        <v>56</v>
      </c>
      <c r="AC87" s="17" t="s">
        <v>55</v>
      </c>
      <c r="AD87" s="17" t="s">
        <v>56</v>
      </c>
      <c r="AE87" s="17" t="s">
        <v>55</v>
      </c>
      <c r="AF87" s="17" t="s">
        <v>56</v>
      </c>
      <c r="AG87" s="17" t="s">
        <v>55</v>
      </c>
      <c r="AH87" s="17" t="s">
        <v>56</v>
      </c>
      <c r="AI87" s="17" t="s">
        <v>55</v>
      </c>
      <c r="AJ87" s="17" t="s">
        <v>56</v>
      </c>
      <c r="AK87" s="17" t="s">
        <v>55</v>
      </c>
      <c r="AL87" s="17" t="s">
        <v>56</v>
      </c>
      <c r="AM87" s="17" t="s">
        <v>55</v>
      </c>
      <c r="AN87" s="17" t="s">
        <v>56</v>
      </c>
      <c r="AO87" s="17" t="s">
        <v>55</v>
      </c>
      <c r="AP87" s="17" t="s">
        <v>56</v>
      </c>
      <c r="AQ87" s="17" t="s">
        <v>55</v>
      </c>
      <c r="AR87" s="19" t="s">
        <v>56</v>
      </c>
      <c r="AS87" s="19" t="s">
        <v>55</v>
      </c>
      <c r="AT87" s="17" t="s">
        <v>56</v>
      </c>
      <c r="AU87" s="17" t="s">
        <v>55</v>
      </c>
      <c r="AV87" s="17" t="s">
        <v>56</v>
      </c>
      <c r="AW87" s="17" t="s">
        <v>55</v>
      </c>
      <c r="AX87" s="17" t="s">
        <v>56</v>
      </c>
      <c r="AY87" s="17" t="s">
        <v>55</v>
      </c>
      <c r="AZ87" s="17" t="s">
        <v>56</v>
      </c>
      <c r="BA87" s="17" t="s">
        <v>55</v>
      </c>
      <c r="BB87" s="17" t="s">
        <v>56</v>
      </c>
      <c r="BC87" s="17" t="s">
        <v>55</v>
      </c>
      <c r="BD87" s="17" t="s">
        <v>56</v>
      </c>
      <c r="BE87" s="17" t="s">
        <v>55</v>
      </c>
      <c r="BF87" s="17" t="s">
        <v>56</v>
      </c>
      <c r="BG87" s="17" t="s">
        <v>55</v>
      </c>
      <c r="BH87" s="17" t="s">
        <v>56</v>
      </c>
      <c r="BI87" s="17" t="s">
        <v>55</v>
      </c>
      <c r="BJ87" s="17" t="s">
        <v>56</v>
      </c>
      <c r="BK87" s="17" t="s">
        <v>55</v>
      </c>
      <c r="BL87" s="17" t="s">
        <v>56</v>
      </c>
      <c r="BM87" s="17" t="s">
        <v>55</v>
      </c>
      <c r="BN87" s="17" t="s">
        <v>56</v>
      </c>
      <c r="BO87" s="17" t="s">
        <v>55</v>
      </c>
      <c r="BP87" s="17" t="s">
        <v>56</v>
      </c>
      <c r="BQ87" s="17" t="s">
        <v>55</v>
      </c>
      <c r="BR87" s="17" t="s">
        <v>56</v>
      </c>
      <c r="BS87" s="17" t="s">
        <v>55</v>
      </c>
      <c r="BT87" s="17" t="s">
        <v>56</v>
      </c>
      <c r="BU87" s="17" t="s">
        <v>55</v>
      </c>
      <c r="BV87" s="17" t="s">
        <v>56</v>
      </c>
      <c r="BW87" s="17" t="s">
        <v>55</v>
      </c>
      <c r="BX87" s="17" t="s">
        <v>56</v>
      </c>
      <c r="BY87" s="17" t="s">
        <v>55</v>
      </c>
      <c r="BZ87" s="17" t="s">
        <v>56</v>
      </c>
      <c r="CA87" s="17" t="s">
        <v>55</v>
      </c>
      <c r="CB87" s="17" t="s">
        <v>56</v>
      </c>
      <c r="CC87" s="17" t="s">
        <v>55</v>
      </c>
      <c r="CD87" s="17" t="s">
        <v>56</v>
      </c>
      <c r="CE87" s="17" t="s">
        <v>55</v>
      </c>
      <c r="CF87" s="17" t="s">
        <v>56</v>
      </c>
      <c r="CG87" s="17" t="s">
        <v>55</v>
      </c>
      <c r="CH87" s="17" t="s">
        <v>56</v>
      </c>
      <c r="CI87" s="17" t="s">
        <v>55</v>
      </c>
      <c r="CJ87" s="17" t="s">
        <v>56</v>
      </c>
      <c r="CK87" s="17" t="s">
        <v>55</v>
      </c>
      <c r="CL87" s="17" t="s">
        <v>56</v>
      </c>
      <c r="CM87" s="17" t="s">
        <v>55</v>
      </c>
      <c r="CN87" s="17" t="s">
        <v>56</v>
      </c>
      <c r="CO87" s="17" t="s">
        <v>55</v>
      </c>
      <c r="CP87" s="17" t="s">
        <v>56</v>
      </c>
      <c r="CQ87" s="17" t="s">
        <v>55</v>
      </c>
      <c r="CR87" s="17" t="s">
        <v>56</v>
      </c>
      <c r="CS87" s="17" t="s">
        <v>55</v>
      </c>
      <c r="CT87" s="17" t="s">
        <v>56</v>
      </c>
      <c r="CU87" s="17" t="s">
        <v>55</v>
      </c>
      <c r="CV87" s="17" t="s">
        <v>56</v>
      </c>
      <c r="CW87" s="17" t="s">
        <v>55</v>
      </c>
      <c r="CX87" s="17" t="s">
        <v>56</v>
      </c>
      <c r="CY87" s="17" t="s">
        <v>55</v>
      </c>
      <c r="CZ87" s="17" t="s">
        <v>56</v>
      </c>
      <c r="DA87" s="17" t="s">
        <v>55</v>
      </c>
      <c r="DB87" s="17" t="s">
        <v>56</v>
      </c>
      <c r="DC87" s="17" t="s">
        <v>55</v>
      </c>
      <c r="DD87" s="17" t="s">
        <v>56</v>
      </c>
      <c r="DE87" s="17" t="s">
        <v>55</v>
      </c>
      <c r="DF87" s="17" t="s">
        <v>56</v>
      </c>
      <c r="DG87" s="17" t="s">
        <v>55</v>
      </c>
      <c r="DH87" s="17" t="s">
        <v>56</v>
      </c>
      <c r="DI87" s="17" t="s">
        <v>55</v>
      </c>
      <c r="DJ87" s="17" t="s">
        <v>56</v>
      </c>
      <c r="DK87" s="17" t="s">
        <v>55</v>
      </c>
      <c r="DL87" s="17" t="s">
        <v>56</v>
      </c>
      <c r="DM87" s="17" t="s">
        <v>55</v>
      </c>
      <c r="DN87" s="17" t="s">
        <v>56</v>
      </c>
      <c r="DO87" s="17" t="s">
        <v>55</v>
      </c>
      <c r="DP87" s="17" t="s">
        <v>56</v>
      </c>
      <c r="DQ87" s="17" t="s">
        <v>55</v>
      </c>
      <c r="DR87" s="17" t="s">
        <v>56</v>
      </c>
      <c r="DS87" s="17" t="s">
        <v>55</v>
      </c>
      <c r="DT87" s="17" t="s">
        <v>56</v>
      </c>
      <c r="DU87" s="17" t="s">
        <v>55</v>
      </c>
      <c r="DV87" s="17" t="s">
        <v>56</v>
      </c>
      <c r="DW87" s="17" t="s">
        <v>55</v>
      </c>
      <c r="DX87" s="17" t="s">
        <v>56</v>
      </c>
      <c r="DY87" s="17" t="s">
        <v>55</v>
      </c>
      <c r="DZ87" s="17" t="s">
        <v>56</v>
      </c>
      <c r="EA87" s="17" t="s">
        <v>55</v>
      </c>
      <c r="EB87" s="17" t="s">
        <v>56</v>
      </c>
      <c r="EC87" s="17" t="s">
        <v>55</v>
      </c>
      <c r="ED87" s="17" t="s">
        <v>56</v>
      </c>
      <c r="EE87" s="17" t="s">
        <v>55</v>
      </c>
      <c r="EF87" s="17" t="s">
        <v>56</v>
      </c>
      <c r="EG87" s="17" t="s">
        <v>55</v>
      </c>
      <c r="EH87" s="17" t="s">
        <v>56</v>
      </c>
      <c r="EI87" s="17" t="s">
        <v>55</v>
      </c>
      <c r="EJ87" s="17" t="s">
        <v>56</v>
      </c>
      <c r="EK87" s="17" t="s">
        <v>55</v>
      </c>
      <c r="EL87" s="17" t="s">
        <v>56</v>
      </c>
      <c r="EM87" s="17" t="s">
        <v>55</v>
      </c>
      <c r="EN87" s="17" t="s">
        <v>56</v>
      </c>
      <c r="EO87" s="17" t="s">
        <v>55</v>
      </c>
      <c r="EP87" s="17" t="s">
        <v>56</v>
      </c>
      <c r="EQ87" s="17" t="s">
        <v>55</v>
      </c>
      <c r="ER87" s="17" t="s">
        <v>56</v>
      </c>
      <c r="ES87" s="17" t="s">
        <v>55</v>
      </c>
      <c r="ET87" s="17" t="s">
        <v>56</v>
      </c>
      <c r="EU87" s="17" t="s">
        <v>55</v>
      </c>
      <c r="EV87" s="17" t="s">
        <v>56</v>
      </c>
      <c r="EW87" s="17" t="s">
        <v>55</v>
      </c>
      <c r="EX87" s="17" t="s">
        <v>56</v>
      </c>
      <c r="EY87" s="17" t="s">
        <v>55</v>
      </c>
      <c r="EZ87" s="17" t="s">
        <v>56</v>
      </c>
      <c r="FA87" s="17" t="s">
        <v>55</v>
      </c>
      <c r="FB87" s="17" t="s">
        <v>56</v>
      </c>
      <c r="FC87" s="17" t="s">
        <v>55</v>
      </c>
      <c r="FD87" s="17" t="s">
        <v>56</v>
      </c>
      <c r="FE87" s="17" t="s">
        <v>55</v>
      </c>
      <c r="FF87" s="17" t="s">
        <v>56</v>
      </c>
      <c r="FG87" s="17" t="s">
        <v>55</v>
      </c>
      <c r="FH87" s="17" t="s">
        <v>56</v>
      </c>
      <c r="FI87" s="17" t="s">
        <v>55</v>
      </c>
      <c r="FJ87" s="17" t="s">
        <v>56</v>
      </c>
      <c r="FK87" s="17" t="s">
        <v>55</v>
      </c>
      <c r="FL87" s="17" t="s">
        <v>56</v>
      </c>
      <c r="FM87" s="17" t="s">
        <v>55</v>
      </c>
      <c r="FN87" s="17" t="s">
        <v>56</v>
      </c>
      <c r="FO87" s="17" t="s">
        <v>55</v>
      </c>
      <c r="FP87" s="17" t="s">
        <v>56</v>
      </c>
      <c r="FQ87" s="17" t="s">
        <v>55</v>
      </c>
      <c r="FR87" s="17" t="s">
        <v>56</v>
      </c>
      <c r="FS87" s="17" t="s">
        <v>55</v>
      </c>
      <c r="FT87" s="17" t="s">
        <v>56</v>
      </c>
      <c r="FU87" s="17" t="s">
        <v>55</v>
      </c>
      <c r="FV87" s="17" t="s">
        <v>56</v>
      </c>
      <c r="FW87" s="17" t="s">
        <v>55</v>
      </c>
      <c r="FX87" s="17" t="s">
        <v>56</v>
      </c>
      <c r="FY87" s="17" t="s">
        <v>55</v>
      </c>
      <c r="FZ87" s="17" t="s">
        <v>56</v>
      </c>
      <c r="GA87" s="17" t="s">
        <v>55</v>
      </c>
      <c r="GB87" s="17" t="s">
        <v>56</v>
      </c>
      <c r="GC87" s="17" t="s">
        <v>55</v>
      </c>
      <c r="GD87" s="17" t="s">
        <v>56</v>
      </c>
      <c r="GE87" s="17" t="s">
        <v>55</v>
      </c>
      <c r="GF87" s="17" t="s">
        <v>56</v>
      </c>
      <c r="GG87" s="17" t="s">
        <v>55</v>
      </c>
      <c r="GH87" s="17" t="s">
        <v>56</v>
      </c>
      <c r="GI87" s="17" t="s">
        <v>55</v>
      </c>
      <c r="GJ87" s="17" t="s">
        <v>56</v>
      </c>
      <c r="GK87" s="17" t="s">
        <v>55</v>
      </c>
      <c r="GL87" s="17" t="s">
        <v>56</v>
      </c>
      <c r="GM87" s="17" t="s">
        <v>55</v>
      </c>
      <c r="GN87" s="17" t="s">
        <v>56</v>
      </c>
      <c r="GO87" s="17" t="s">
        <v>55</v>
      </c>
      <c r="GP87" s="17" t="s">
        <v>56</v>
      </c>
      <c r="GQ87" s="17" t="s">
        <v>55</v>
      </c>
      <c r="GR87" s="17" t="s">
        <v>56</v>
      </c>
      <c r="GS87" s="17" t="s">
        <v>55</v>
      </c>
      <c r="GT87" s="17" t="s">
        <v>56</v>
      </c>
      <c r="GU87" s="17" t="s">
        <v>55</v>
      </c>
      <c r="GV87" s="17" t="s">
        <v>56</v>
      </c>
      <c r="GW87" s="17" t="s">
        <v>55</v>
      </c>
      <c r="GX87" s="10" t="s">
        <v>56</v>
      </c>
      <c r="GY87" s="10" t="s">
        <v>55</v>
      </c>
      <c r="GZ87" s="17" t="s">
        <v>56</v>
      </c>
      <c r="HA87" s="17" t="s">
        <v>55</v>
      </c>
      <c r="HB87" s="17" t="s">
        <v>56</v>
      </c>
      <c r="HC87" s="17" t="s">
        <v>55</v>
      </c>
      <c r="HD87" s="17" t="s">
        <v>56</v>
      </c>
      <c r="HE87" s="17" t="s">
        <v>55</v>
      </c>
      <c r="HF87" s="17" t="s">
        <v>56</v>
      </c>
      <c r="HG87" s="17" t="s">
        <v>55</v>
      </c>
      <c r="HH87" s="17" t="s">
        <v>56</v>
      </c>
      <c r="HI87" s="17" t="s">
        <v>55</v>
      </c>
      <c r="HJ87" s="17" t="s">
        <v>56</v>
      </c>
      <c r="HK87" s="17" t="s">
        <v>55</v>
      </c>
      <c r="HL87" s="17" t="s">
        <v>56</v>
      </c>
      <c r="HM87" s="17" t="s">
        <v>55</v>
      </c>
      <c r="HN87" s="17" t="s">
        <v>56</v>
      </c>
      <c r="HO87" s="17" t="s">
        <v>55</v>
      </c>
      <c r="HP87" s="17" t="s">
        <v>56</v>
      </c>
      <c r="HQ87" s="17" t="s">
        <v>55</v>
      </c>
      <c r="HR87" s="17" t="s">
        <v>56</v>
      </c>
      <c r="HS87" s="17" t="s">
        <v>55</v>
      </c>
      <c r="HT87" s="17" t="s">
        <v>56</v>
      </c>
      <c r="HU87" s="17" t="s">
        <v>55</v>
      </c>
      <c r="HV87" s="17" t="s">
        <v>56</v>
      </c>
      <c r="HW87" s="17" t="s">
        <v>55</v>
      </c>
      <c r="HX87" s="17" t="s">
        <v>56</v>
      </c>
      <c r="HY87" s="17" t="s">
        <v>55</v>
      </c>
      <c r="HZ87" s="17" t="s">
        <v>56</v>
      </c>
      <c r="IA87" s="17" t="s">
        <v>55</v>
      </c>
      <c r="IB87" s="17" t="s">
        <v>56</v>
      </c>
      <c r="IC87" s="17" t="s">
        <v>55</v>
      </c>
      <c r="ID87" s="17" t="s">
        <v>56</v>
      </c>
      <c r="IE87" s="17" t="s">
        <v>55</v>
      </c>
      <c r="IF87" s="17" t="s">
        <v>56</v>
      </c>
      <c r="IG87" s="17" t="s">
        <v>55</v>
      </c>
      <c r="IH87" s="17" t="s">
        <v>56</v>
      </c>
      <c r="II87" s="17" t="s">
        <v>55</v>
      </c>
      <c r="IJ87" s="17" t="s">
        <v>56</v>
      </c>
      <c r="IK87" s="17" t="s">
        <v>55</v>
      </c>
      <c r="IL87" s="17" t="s">
        <v>56</v>
      </c>
      <c r="IM87" s="17" t="s">
        <v>55</v>
      </c>
      <c r="IN87" s="17" t="s">
        <v>56</v>
      </c>
      <c r="IO87" s="17" t="s">
        <v>55</v>
      </c>
      <c r="IP87" s="17" t="s">
        <v>56</v>
      </c>
      <c r="IQ87" s="17" t="s">
        <v>55</v>
      </c>
      <c r="IR87" s="17" t="s">
        <v>56</v>
      </c>
      <c r="IS87" s="17" t="s">
        <v>55</v>
      </c>
      <c r="IT87" s="17" t="s">
        <v>56</v>
      </c>
      <c r="IU87" s="17" t="s">
        <v>55</v>
      </c>
      <c r="IV87" s="17" t="s">
        <v>56</v>
      </c>
      <c r="IW87" s="17" t="s">
        <v>55</v>
      </c>
      <c r="IX87" s="17" t="s">
        <v>56</v>
      </c>
      <c r="IY87" s="17" t="s">
        <v>55</v>
      </c>
      <c r="IZ87" s="17" t="s">
        <v>56</v>
      </c>
      <c r="JA87" s="17" t="s">
        <v>55</v>
      </c>
      <c r="JB87" s="17" t="s">
        <v>56</v>
      </c>
      <c r="JC87" s="17" t="s">
        <v>55</v>
      </c>
      <c r="JD87" s="17" t="s">
        <v>56</v>
      </c>
      <c r="JE87" s="17" t="s">
        <v>55</v>
      </c>
      <c r="JF87" s="17" t="s">
        <v>56</v>
      </c>
      <c r="JG87" s="17" t="s">
        <v>55</v>
      </c>
      <c r="JH87" s="17" t="s">
        <v>56</v>
      </c>
      <c r="JI87" s="17" t="s">
        <v>55</v>
      </c>
      <c r="JJ87" s="17" t="s">
        <v>56</v>
      </c>
      <c r="JK87" s="17" t="s">
        <v>55</v>
      </c>
      <c r="JL87" s="17" t="s">
        <v>56</v>
      </c>
      <c r="JM87" s="17" t="s">
        <v>55</v>
      </c>
      <c r="JN87" s="17" t="s">
        <v>56</v>
      </c>
      <c r="JO87" s="17" t="s">
        <v>55</v>
      </c>
      <c r="JP87" s="17" t="s">
        <v>56</v>
      </c>
      <c r="JQ87" s="17" t="s">
        <v>55</v>
      </c>
      <c r="JR87" s="17" t="s">
        <v>56</v>
      </c>
      <c r="JS87" s="17" t="s">
        <v>55</v>
      </c>
      <c r="JT87" s="17" t="s">
        <v>56</v>
      </c>
      <c r="JU87" s="17" t="s">
        <v>55</v>
      </c>
      <c r="JV87" s="4" t="s">
        <v>56</v>
      </c>
      <c r="JW87" s="17" t="s">
        <v>55</v>
      </c>
      <c r="JX87" s="17" t="s">
        <v>56</v>
      </c>
      <c r="JY87" s="17" t="s">
        <v>55</v>
      </c>
      <c r="JZ87" s="17" t="s">
        <v>56</v>
      </c>
      <c r="KA87" s="17" t="s">
        <v>55</v>
      </c>
      <c r="KB87" s="17" t="s">
        <v>56</v>
      </c>
      <c r="KC87" s="17" t="s">
        <v>55</v>
      </c>
      <c r="KD87" s="17" t="s">
        <v>56</v>
      </c>
      <c r="KE87" s="17" t="s">
        <v>55</v>
      </c>
      <c r="KF87" s="17" t="s">
        <v>56</v>
      </c>
      <c r="KG87" s="17" t="s">
        <v>55</v>
      </c>
      <c r="KH87" s="17" t="s">
        <v>56</v>
      </c>
      <c r="KI87" s="17" t="s">
        <v>55</v>
      </c>
      <c r="KJ87" s="17" t="s">
        <v>56</v>
      </c>
      <c r="KK87" s="17" t="s">
        <v>55</v>
      </c>
      <c r="KL87" s="17" t="s">
        <v>56</v>
      </c>
      <c r="KM87" s="17" t="s">
        <v>55</v>
      </c>
      <c r="KN87" s="17" t="s">
        <v>56</v>
      </c>
      <c r="KO87" s="17" t="s">
        <v>55</v>
      </c>
      <c r="KP87" s="17" t="s">
        <v>56</v>
      </c>
      <c r="KQ87" s="17" t="s">
        <v>55</v>
      </c>
      <c r="KR87" s="17" t="s">
        <v>56</v>
      </c>
      <c r="KS87" s="17" t="s">
        <v>55</v>
      </c>
      <c r="KT87" s="17" t="s">
        <v>56</v>
      </c>
      <c r="KU87" s="17" t="s">
        <v>55</v>
      </c>
      <c r="KV87" s="4" t="s">
        <v>56</v>
      </c>
      <c r="KW87" s="4" t="s">
        <v>55</v>
      </c>
      <c r="KX87" s="4" t="s">
        <v>56</v>
      </c>
      <c r="KY87" s="4" t="s">
        <v>55</v>
      </c>
      <c r="KZ87" s="4" t="s">
        <v>56</v>
      </c>
      <c r="LA87" s="4" t="s">
        <v>55</v>
      </c>
      <c r="LB87" s="10" t="s">
        <v>56</v>
      </c>
      <c r="LC87" s="10" t="s">
        <v>55</v>
      </c>
      <c r="LD87" s="10" t="s">
        <v>56</v>
      </c>
      <c r="LE87" s="10" t="s">
        <v>55</v>
      </c>
      <c r="LF87" s="10" t="s">
        <v>56</v>
      </c>
      <c r="LG87" s="10" t="s">
        <v>55</v>
      </c>
      <c r="LH87" s="10" t="s">
        <v>56</v>
      </c>
      <c r="LI87" s="10" t="s">
        <v>55</v>
      </c>
      <c r="LJ87" s="10" t="s">
        <v>56</v>
      </c>
      <c r="LK87" s="10" t="s">
        <v>162</v>
      </c>
      <c r="LL87" s="10" t="s">
        <v>56</v>
      </c>
      <c r="LM87" s="10" t="s">
        <v>162</v>
      </c>
      <c r="LN87" s="10" t="s">
        <v>56</v>
      </c>
      <c r="LO87" s="10" t="s">
        <v>162</v>
      </c>
      <c r="LP87" s="10" t="s">
        <v>56</v>
      </c>
      <c r="LQ87" s="10" t="s">
        <v>162</v>
      </c>
      <c r="LR87" s="10" t="s">
        <v>56</v>
      </c>
      <c r="LS87" s="10" t="s">
        <v>162</v>
      </c>
      <c r="LT87" s="10" t="s">
        <v>56</v>
      </c>
      <c r="LU87" s="10" t="s">
        <v>162</v>
      </c>
      <c r="LV87" s="10" t="s">
        <v>56</v>
      </c>
      <c r="LW87" s="10" t="s">
        <v>55</v>
      </c>
      <c r="LX87" s="10" t="s">
        <v>56</v>
      </c>
      <c r="LY87" s="10" t="s">
        <v>55</v>
      </c>
      <c r="LZ87" s="10" t="s">
        <v>56</v>
      </c>
      <c r="MA87" s="10" t="s">
        <v>55</v>
      </c>
      <c r="MB87" s="10" t="s">
        <v>56</v>
      </c>
      <c r="MC87" s="10" t="s">
        <v>55</v>
      </c>
      <c r="MD87" s="4">
        <v>22532</v>
      </c>
      <c r="ME87" s="4" t="s">
        <v>55</v>
      </c>
      <c r="MF87" s="4">
        <v>13074</v>
      </c>
      <c r="MG87" s="4" t="s">
        <v>55</v>
      </c>
      <c r="MH87" s="4">
        <v>18600</v>
      </c>
      <c r="MI87" s="4" t="s">
        <v>55</v>
      </c>
      <c r="MJ87" s="4">
        <v>23316</v>
      </c>
      <c r="MK87" s="4" t="s">
        <v>55</v>
      </c>
      <c r="ML87" s="4">
        <v>21256</v>
      </c>
      <c r="MM87" s="4" t="s">
        <v>55</v>
      </c>
      <c r="MN87" s="4">
        <v>26854</v>
      </c>
      <c r="MO87" s="4" t="s">
        <v>55</v>
      </c>
      <c r="MP87" s="4">
        <v>19287</v>
      </c>
      <c r="MQ87" s="4" t="s">
        <v>55</v>
      </c>
      <c r="MR87" s="4">
        <v>27678</v>
      </c>
      <c r="MS87" s="4" t="s">
        <v>55</v>
      </c>
      <c r="MT87" s="4">
        <v>9661</v>
      </c>
      <c r="MU87" s="4" t="s">
        <v>55</v>
      </c>
      <c r="MV87" s="4">
        <v>23625</v>
      </c>
      <c r="MW87" s="4" t="s">
        <v>55</v>
      </c>
      <c r="MX87" s="4">
        <v>16729</v>
      </c>
      <c r="MY87" s="4" t="s">
        <v>55</v>
      </c>
      <c r="MZ87" s="4">
        <v>9806</v>
      </c>
      <c r="NA87" s="4" t="s">
        <v>55</v>
      </c>
      <c r="NB87" s="10" t="s">
        <v>56</v>
      </c>
      <c r="NC87" s="10" t="s">
        <v>55</v>
      </c>
      <c r="ND87" s="10" t="s">
        <v>56</v>
      </c>
      <c r="NE87" s="10" t="s">
        <v>55</v>
      </c>
      <c r="NF87" s="10" t="s">
        <v>56</v>
      </c>
      <c r="NG87" s="10" t="s">
        <v>55</v>
      </c>
      <c r="NH87" s="10" t="s">
        <v>56</v>
      </c>
      <c r="NI87" s="10" t="s">
        <v>55</v>
      </c>
      <c r="NJ87" s="10" t="s">
        <v>56</v>
      </c>
      <c r="NK87" s="10" t="s">
        <v>55</v>
      </c>
      <c r="NL87" s="10" t="s">
        <v>56</v>
      </c>
      <c r="NM87" s="4" t="s">
        <v>55</v>
      </c>
      <c r="NN87" s="10" t="s">
        <v>56</v>
      </c>
      <c r="NO87" s="4" t="s">
        <v>55</v>
      </c>
      <c r="NP87" s="10" t="s">
        <v>56</v>
      </c>
      <c r="NQ87" s="4" t="s">
        <v>55</v>
      </c>
      <c r="NR87" s="10" t="s">
        <v>56</v>
      </c>
      <c r="NS87" s="10" t="s">
        <v>55</v>
      </c>
      <c r="NT87" s="10" t="s">
        <v>56</v>
      </c>
      <c r="NU87" s="10" t="s">
        <v>55</v>
      </c>
    </row>
    <row r="88" spans="1:385" x14ac:dyDescent="0.2">
      <c r="A88" t="s">
        <v>27</v>
      </c>
      <c r="B88" s="1" t="s">
        <v>1054</v>
      </c>
      <c r="C88" s="1" t="s">
        <v>843</v>
      </c>
      <c r="D88" s="39" cm="1">
        <f t="array" ref="D88">SUMPRODUCT((ISNUMBER(F88:NU88))*(MOD(COLUMN(F88:NU88),2)=0))</f>
        <v>83</v>
      </c>
      <c r="E88" s="1">
        <v>131.16999999999999</v>
      </c>
      <c r="F88" s="1" t="s">
        <v>54</v>
      </c>
      <c r="G88" s="1" t="s">
        <v>55</v>
      </c>
      <c r="H88" s="1">
        <v>5.0000000000000001E-3</v>
      </c>
      <c r="I88" s="1" t="s">
        <v>58</v>
      </c>
      <c r="J88" s="1" t="s">
        <v>54</v>
      </c>
      <c r="K88" s="1" t="s">
        <v>55</v>
      </c>
      <c r="L88" s="1">
        <v>2.8E-3</v>
      </c>
      <c r="M88" s="1" t="s">
        <v>55</v>
      </c>
      <c r="N88" s="1" t="s">
        <v>57</v>
      </c>
      <c r="O88" s="1" t="s">
        <v>55</v>
      </c>
      <c r="P88" s="1" t="s">
        <v>56</v>
      </c>
      <c r="Q88" s="1" t="s">
        <v>55</v>
      </c>
      <c r="R88" s="1">
        <v>30</v>
      </c>
      <c r="S88" s="1">
        <v>5</v>
      </c>
      <c r="T88" s="1">
        <v>4.1100000000000003</v>
      </c>
      <c r="U88" s="1">
        <v>0.9</v>
      </c>
      <c r="V88" s="1" t="s">
        <v>61</v>
      </c>
      <c r="W88" s="1" t="s">
        <v>55</v>
      </c>
      <c r="X88" s="1" t="s">
        <v>56</v>
      </c>
      <c r="Y88" s="1" t="s">
        <v>55</v>
      </c>
      <c r="Z88" s="1" t="s">
        <v>56</v>
      </c>
      <c r="AA88" s="1" t="s">
        <v>55</v>
      </c>
      <c r="AB88" s="1">
        <v>392</v>
      </c>
      <c r="AC88" s="1">
        <v>103</v>
      </c>
      <c r="AD88" s="1">
        <v>19.3</v>
      </c>
      <c r="AE88" s="1">
        <v>2.4</v>
      </c>
      <c r="AF88" s="11">
        <f>2014/E88</f>
        <v>15.354120606846079</v>
      </c>
      <c r="AG88" s="11">
        <f>86/E88</f>
        <v>0.65563772204010073</v>
      </c>
      <c r="AH88" s="11">
        <f>954/E88</f>
        <v>7.2730044979797217</v>
      </c>
      <c r="AI88" s="11">
        <f>147/E88</f>
        <v>1.1206830830220327</v>
      </c>
      <c r="AJ88" s="11">
        <f>490/E88</f>
        <v>3.7356102767401085</v>
      </c>
      <c r="AK88" s="11">
        <f>148/E88</f>
        <v>1.1283067774643594</v>
      </c>
      <c r="AL88" s="4">
        <v>2.2000000000000002</v>
      </c>
      <c r="AM88" s="4">
        <v>0.6</v>
      </c>
      <c r="AN88" s="11">
        <v>2.2000000000000002</v>
      </c>
      <c r="AO88" s="11">
        <v>0.2</v>
      </c>
      <c r="AP88" s="11">
        <v>5</v>
      </c>
      <c r="AQ88" s="11">
        <v>1.7</v>
      </c>
      <c r="AR88" s="19" t="s">
        <v>56</v>
      </c>
      <c r="AS88" s="19" t="s">
        <v>55</v>
      </c>
      <c r="AT88" s="11">
        <f>268/E88</f>
        <v>2.0431501105435697</v>
      </c>
      <c r="AU88" s="11">
        <f>123/E88</f>
        <v>0.93771441640619058</v>
      </c>
      <c r="AV88" s="11">
        <f>386/E88</f>
        <v>2.9427460547381266</v>
      </c>
      <c r="AW88" s="11">
        <f>169/E88</f>
        <v>1.2884043607532212</v>
      </c>
      <c r="AX88" s="11">
        <f>9265/E88</f>
        <v>70.633529008157353</v>
      </c>
      <c r="AY88" s="11">
        <f>370/E88</f>
        <v>2.8207669436608982</v>
      </c>
      <c r="AZ88" s="4">
        <v>2</v>
      </c>
      <c r="BA88" s="4">
        <v>0.04</v>
      </c>
      <c r="BB88" s="4">
        <v>2.5000000000000001E-2</v>
      </c>
      <c r="BC88" s="4">
        <v>1E-3</v>
      </c>
      <c r="BD88" s="4" t="s">
        <v>56</v>
      </c>
      <c r="BE88" s="1" t="s">
        <v>55</v>
      </c>
      <c r="BF88" s="1">
        <v>0.74</v>
      </c>
      <c r="BG88" s="1">
        <v>0.2</v>
      </c>
      <c r="BH88" s="1">
        <v>1.5</v>
      </c>
      <c r="BI88" s="1">
        <v>0.65</v>
      </c>
      <c r="BJ88" s="1">
        <v>1.65</v>
      </c>
      <c r="BK88" s="1">
        <v>0.55000000000000004</v>
      </c>
      <c r="BL88" s="4" t="s">
        <v>91</v>
      </c>
      <c r="BM88" s="4" t="s">
        <v>55</v>
      </c>
      <c r="BN88" s="4" t="s">
        <v>56</v>
      </c>
      <c r="BO88" s="4" t="s">
        <v>55</v>
      </c>
      <c r="BP88" s="4" t="s">
        <v>56</v>
      </c>
      <c r="BQ88" s="4" t="s">
        <v>55</v>
      </c>
      <c r="BR88" s="11">
        <f>108/E88</f>
        <v>0.82335899977128923</v>
      </c>
      <c r="BS88" s="11">
        <f>103/E88</f>
        <v>0.78524052755965545</v>
      </c>
      <c r="BT88" s="4" t="s">
        <v>57</v>
      </c>
      <c r="BU88" s="4" t="s">
        <v>55</v>
      </c>
      <c r="BV88" s="4">
        <v>0.08</v>
      </c>
      <c r="BW88" s="4">
        <v>0.03</v>
      </c>
      <c r="BX88" s="4">
        <v>0.95</v>
      </c>
      <c r="BY88" s="4">
        <v>0.5</v>
      </c>
      <c r="BZ88" s="10">
        <f>1368/E88</f>
        <v>10.429213997102996</v>
      </c>
      <c r="CA88" s="10">
        <f>23/E88</f>
        <v>0.1753449721735153</v>
      </c>
      <c r="CB88" s="10">
        <f>1060/E88</f>
        <v>8.0811161088663575</v>
      </c>
      <c r="CC88" s="10">
        <f>130/E88</f>
        <v>0.99108027750247785</v>
      </c>
      <c r="CD88" s="10">
        <f>960/E88</f>
        <v>7.3187466646336823</v>
      </c>
      <c r="CE88" s="10">
        <f>227/E88</f>
        <v>1.7305786384081727</v>
      </c>
      <c r="CF88" s="10">
        <f>1317/E88</f>
        <v>10.040405580544332</v>
      </c>
      <c r="CG88" s="10">
        <f>70/E88</f>
        <v>0.5336586109628727</v>
      </c>
      <c r="CH88" s="10">
        <f>710/E88</f>
        <v>5.4128230540519944</v>
      </c>
      <c r="CI88" s="10">
        <f>234/E88</f>
        <v>1.78394449950446</v>
      </c>
      <c r="CJ88" s="10" t="s">
        <v>486</v>
      </c>
      <c r="CK88" s="10" t="s">
        <v>55</v>
      </c>
      <c r="CL88" s="10">
        <f>611/E88</f>
        <v>4.6580773042616457</v>
      </c>
      <c r="CM88" s="10">
        <f>262/E88</f>
        <v>1.9974079438896091</v>
      </c>
      <c r="CN88" s="10">
        <f>1880/E88</f>
        <v>14.332545551574293</v>
      </c>
      <c r="CO88" s="10">
        <f>338/E88</f>
        <v>2.5768087215064424</v>
      </c>
      <c r="CP88" s="10">
        <f>1560/E88</f>
        <v>11.892963330029733</v>
      </c>
      <c r="CQ88" s="10">
        <f>429/E88</f>
        <v>3.2705649157581766</v>
      </c>
      <c r="CR88" s="10">
        <f>315/E88</f>
        <v>2.4014637493329269</v>
      </c>
      <c r="CS88" s="10">
        <f>81/E88</f>
        <v>0.61751924982846695</v>
      </c>
      <c r="CT88" s="10">
        <f>211/E88</f>
        <v>1.6085995273309448</v>
      </c>
      <c r="CU88" s="10">
        <f>68/E88</f>
        <v>0.5184112220782191</v>
      </c>
      <c r="CV88" s="10">
        <f>50/E88</f>
        <v>0.38118472211633764</v>
      </c>
      <c r="CW88" s="10">
        <f>9/E88</f>
        <v>6.8613249980940774E-2</v>
      </c>
      <c r="CX88" s="10">
        <f>1290/E88</f>
        <v>9.8345658306015107</v>
      </c>
      <c r="CY88" s="10">
        <f>281/E88</f>
        <v>2.1422581382938173</v>
      </c>
      <c r="CZ88" s="10">
        <f>190/E88</f>
        <v>1.448501944042083</v>
      </c>
      <c r="DA88" s="10">
        <f>34/E88</f>
        <v>0.25920561103910955</v>
      </c>
      <c r="DB88" s="10">
        <f>550/E88</f>
        <v>4.1930319432797134</v>
      </c>
      <c r="DC88" s="10">
        <f>213/E88</f>
        <v>1.6238469162155982</v>
      </c>
      <c r="DD88" s="10">
        <f>181.9/E88</f>
        <v>1.3867500190592363</v>
      </c>
      <c r="DE88" s="10">
        <f>2.4/E88</f>
        <v>1.8296866661584206E-2</v>
      </c>
      <c r="DF88" s="10">
        <f>470.4/E88</f>
        <v>3.5861858656705041</v>
      </c>
      <c r="DG88" s="10">
        <f>13/E88</f>
        <v>9.9108027750247782E-2</v>
      </c>
      <c r="DH88" s="10">
        <f>3879/E88</f>
        <v>29.572310741785472</v>
      </c>
      <c r="DI88" s="10">
        <f>203/E88</f>
        <v>1.5476099717923306</v>
      </c>
      <c r="DJ88" s="10">
        <f>2446/E88</f>
        <v>18.647556605931236</v>
      </c>
      <c r="DK88" s="10">
        <f>896/E88</f>
        <v>6.8308302203247697</v>
      </c>
      <c r="DL88" s="10">
        <f>5702/E88</f>
        <v>43.470305710147144</v>
      </c>
      <c r="DM88" s="8">
        <f>2478/E88</f>
        <v>18.891514828085693</v>
      </c>
      <c r="DN88" s="10">
        <f>532/E88</f>
        <v>4.0558054433178325</v>
      </c>
      <c r="DO88" s="10">
        <f>86/E88</f>
        <v>0.65563772204010073</v>
      </c>
      <c r="DP88" s="10">
        <f>2811/E88</f>
        <v>21.430205077380499</v>
      </c>
      <c r="DQ88" s="10">
        <f>915/E88</f>
        <v>6.9756804147289779</v>
      </c>
      <c r="DR88" s="10">
        <f>249/E88</f>
        <v>1.8982999161393612</v>
      </c>
      <c r="DS88" s="10">
        <f>22/E88</f>
        <v>0.16772127773118856</v>
      </c>
      <c r="DT88" s="10">
        <f>41/E88</f>
        <v>0.31257147213539682</v>
      </c>
      <c r="DU88" s="10">
        <f>10/E88</f>
        <v>7.6236944423267519E-2</v>
      </c>
      <c r="DV88" s="10">
        <f>15/E88</f>
        <v>0.11435541663490129</v>
      </c>
      <c r="DW88" s="10">
        <f>1/E88</f>
        <v>7.6236944423267519E-3</v>
      </c>
      <c r="DX88" s="10">
        <f>358/E88</f>
        <v>2.7292826103529775</v>
      </c>
      <c r="DY88" s="10">
        <f>3/E88</f>
        <v>2.2871083326980256E-2</v>
      </c>
      <c r="DZ88" s="10">
        <f>459/E88</f>
        <v>3.4992757490279791</v>
      </c>
      <c r="EA88" s="10">
        <f>19/E88</f>
        <v>0.14485019440420829</v>
      </c>
      <c r="EB88" s="10">
        <f>14/E88</f>
        <v>0.10673172219257453</v>
      </c>
      <c r="EC88" s="10">
        <f>4/E88</f>
        <v>3.0494777769307008E-2</v>
      </c>
      <c r="ED88" s="10">
        <f>434/E88</f>
        <v>3.3086833879698103</v>
      </c>
      <c r="EE88" s="10">
        <f>54/E88</f>
        <v>0.41167949988564462</v>
      </c>
      <c r="EF88" s="10">
        <f>127/E88</f>
        <v>0.96820919417549756</v>
      </c>
      <c r="EG88" s="10">
        <f>33/E88</f>
        <v>0.25158191659678281</v>
      </c>
      <c r="EH88" s="10">
        <f>59.9/1000</f>
        <v>5.9900000000000002E-2</v>
      </c>
      <c r="EI88" s="10">
        <f>0.2/1000</f>
        <v>2.0000000000000001E-4</v>
      </c>
      <c r="EJ88" s="10">
        <f>27.6/1000</f>
        <v>2.7600000000000003E-2</v>
      </c>
      <c r="EK88" s="10">
        <f>3/1000</f>
        <v>3.0000000000000001E-3</v>
      </c>
      <c r="EL88" s="10">
        <f>215.9/1000</f>
        <v>0.21590000000000001</v>
      </c>
      <c r="EM88" s="10">
        <f>0.1/1000</f>
        <v>1E-4</v>
      </c>
      <c r="EN88" s="10" t="s">
        <v>57</v>
      </c>
      <c r="EO88" s="10" t="s">
        <v>55</v>
      </c>
      <c r="EP88" s="10" t="s">
        <v>57</v>
      </c>
      <c r="EQ88" s="10" t="s">
        <v>55</v>
      </c>
      <c r="ER88" s="10">
        <f>25/E88</f>
        <v>0.19059236105816882</v>
      </c>
      <c r="ES88" s="10">
        <f>8/E88</f>
        <v>6.0989555538614015E-2</v>
      </c>
      <c r="ET88" s="10">
        <f>11/E88</f>
        <v>8.3860638865594278E-2</v>
      </c>
      <c r="EU88" s="10">
        <f>2/E88</f>
        <v>1.5247388884653504E-2</v>
      </c>
      <c r="EV88" s="10">
        <f>55/E88</f>
        <v>0.41930319432797136</v>
      </c>
      <c r="EW88" s="10">
        <f>6/E88</f>
        <v>4.5742166653960512E-2</v>
      </c>
      <c r="EX88" s="10">
        <f>390/E88</f>
        <v>2.9732408325074333</v>
      </c>
      <c r="EY88" s="10">
        <f>77/E88</f>
        <v>0.58702447205915997</v>
      </c>
      <c r="EZ88" s="10">
        <f>28/E88</f>
        <v>0.21346344438514905</v>
      </c>
      <c r="FA88" s="10">
        <f>5/E88</f>
        <v>3.811847221163376E-2</v>
      </c>
      <c r="FB88" s="10">
        <f>28/E88</f>
        <v>0.21346344438514905</v>
      </c>
      <c r="FC88" s="10">
        <f>4/E88</f>
        <v>3.0494777769307008E-2</v>
      </c>
      <c r="FD88" s="10">
        <f>4.4/E88</f>
        <v>3.354425554623771E-2</v>
      </c>
      <c r="FE88" s="10">
        <f>2.6/E88</f>
        <v>1.9821605550049557E-2</v>
      </c>
      <c r="FF88" s="10">
        <f>453/E88</f>
        <v>3.453533582374019</v>
      </c>
      <c r="FG88" s="10">
        <f>128/E88</f>
        <v>0.97583288861782425</v>
      </c>
      <c r="FH88" s="10">
        <f>1369/E88</f>
        <v>10.436837691545325</v>
      </c>
      <c r="FI88" s="10">
        <f>636/E88</f>
        <v>4.8486696653198145</v>
      </c>
      <c r="FJ88" s="10">
        <f>544/E88</f>
        <v>4.1472897766257528</v>
      </c>
      <c r="FK88" s="10">
        <f>202/E88</f>
        <v>1.5399862773500039</v>
      </c>
      <c r="FL88" s="10">
        <f>571/E88</f>
        <v>4.3531295265685754</v>
      </c>
      <c r="FM88" s="10">
        <f>163/E88</f>
        <v>1.2426621940992606</v>
      </c>
      <c r="FN88" s="10">
        <f>371/E88</f>
        <v>2.8283906381032251</v>
      </c>
      <c r="FO88" s="10">
        <f>66/E88</f>
        <v>0.50316383319356561</v>
      </c>
      <c r="FP88" s="10">
        <f>365/E88</f>
        <v>2.7826484714492645</v>
      </c>
      <c r="FQ88" s="10">
        <f>124/E88</f>
        <v>0.94533811084851727</v>
      </c>
      <c r="FR88" s="10">
        <f>260/E88</f>
        <v>1.9821605550049557</v>
      </c>
      <c r="FS88" s="10">
        <f>60/E88</f>
        <v>0.45742166653960514</v>
      </c>
      <c r="FT88" s="10" t="s">
        <v>157</v>
      </c>
      <c r="FU88" s="10" t="s">
        <v>55</v>
      </c>
      <c r="FV88" s="10" t="s">
        <v>157</v>
      </c>
      <c r="FW88" s="10" t="s">
        <v>55</v>
      </c>
      <c r="FX88" s="10">
        <v>3.63</v>
      </c>
      <c r="FY88" s="10">
        <v>1.07</v>
      </c>
      <c r="FZ88" s="10">
        <v>0.45</v>
      </c>
      <c r="GA88" s="10">
        <v>0.01</v>
      </c>
      <c r="GB88" s="10" t="s">
        <v>157</v>
      </c>
      <c r="GC88" s="10" t="s">
        <v>55</v>
      </c>
      <c r="GD88" s="10">
        <v>0.11</v>
      </c>
      <c r="GE88" s="10">
        <v>0.01</v>
      </c>
      <c r="GF88" s="10">
        <v>14.28</v>
      </c>
      <c r="GG88" s="10">
        <v>0.36</v>
      </c>
      <c r="GH88" s="10">
        <v>18.07</v>
      </c>
      <c r="GI88" s="10">
        <v>1.0900000000000001</v>
      </c>
      <c r="GJ88" s="10">
        <v>15.39</v>
      </c>
      <c r="GK88" s="10">
        <v>2.86</v>
      </c>
      <c r="GL88" s="10">
        <v>63.52</v>
      </c>
      <c r="GM88" s="10">
        <v>1.18</v>
      </c>
      <c r="GN88" s="10">
        <v>58.86</v>
      </c>
      <c r="GO88" s="10">
        <v>0.46</v>
      </c>
      <c r="GP88" s="10">
        <v>8.25</v>
      </c>
      <c r="GQ88" s="10">
        <v>0.28999999999999998</v>
      </c>
      <c r="GR88" s="10">
        <v>4.5</v>
      </c>
      <c r="GS88" s="10">
        <v>2.6</v>
      </c>
      <c r="GT88" s="10" t="s">
        <v>514</v>
      </c>
      <c r="GU88" s="10" t="s">
        <v>55</v>
      </c>
      <c r="GV88" s="10">
        <v>0.19</v>
      </c>
      <c r="GW88" s="10">
        <v>7.0000000000000007E-2</v>
      </c>
      <c r="GX88" s="10">
        <f>683/E88</f>
        <v>5.2069833041091718</v>
      </c>
      <c r="GY88" s="10">
        <f>12/E88</f>
        <v>9.1484333307921023E-2</v>
      </c>
      <c r="GZ88" s="10" t="s">
        <v>56</v>
      </c>
      <c r="HA88" s="10" t="s">
        <v>55</v>
      </c>
      <c r="HB88" s="10" t="s">
        <v>56</v>
      </c>
      <c r="HC88" s="10" t="s">
        <v>55</v>
      </c>
      <c r="HD88" s="10" t="s">
        <v>56</v>
      </c>
      <c r="HE88" s="10" t="s">
        <v>55</v>
      </c>
      <c r="HF88" s="10" t="s">
        <v>56</v>
      </c>
      <c r="HG88" s="10" t="s">
        <v>55</v>
      </c>
      <c r="HH88" s="10" t="s">
        <v>56</v>
      </c>
      <c r="HI88" s="10" t="s">
        <v>55</v>
      </c>
      <c r="HJ88" s="10" t="s">
        <v>56</v>
      </c>
      <c r="HK88" s="10" t="s">
        <v>55</v>
      </c>
      <c r="HL88" s="10" t="s">
        <v>56</v>
      </c>
      <c r="HM88" s="10" t="s">
        <v>55</v>
      </c>
      <c r="HN88" s="10" t="s">
        <v>56</v>
      </c>
      <c r="HO88" s="10" t="s">
        <v>55</v>
      </c>
      <c r="HP88" s="10" t="s">
        <v>56</v>
      </c>
      <c r="HQ88" s="10" t="s">
        <v>55</v>
      </c>
      <c r="HR88" s="10" t="s">
        <v>56</v>
      </c>
      <c r="HS88" s="10" t="s">
        <v>55</v>
      </c>
      <c r="HT88" s="10" t="s">
        <v>56</v>
      </c>
      <c r="HU88" s="10" t="s">
        <v>55</v>
      </c>
      <c r="HV88" s="10" t="s">
        <v>56</v>
      </c>
      <c r="HW88" s="10" t="s">
        <v>55</v>
      </c>
      <c r="HX88" s="10" t="s">
        <v>56</v>
      </c>
      <c r="HY88" s="10" t="s">
        <v>55</v>
      </c>
      <c r="HZ88" s="10" t="s">
        <v>56</v>
      </c>
      <c r="IA88" s="10" t="s">
        <v>55</v>
      </c>
      <c r="IB88" s="10" t="s">
        <v>56</v>
      </c>
      <c r="IC88" s="10" t="s">
        <v>55</v>
      </c>
      <c r="ID88" s="1">
        <v>13.386100000000001</v>
      </c>
      <c r="IE88" s="1">
        <v>1.8122</v>
      </c>
      <c r="IF88" s="4">
        <v>1.974</v>
      </c>
      <c r="IG88" s="4">
        <v>0.56920000000000004</v>
      </c>
      <c r="IH88" s="4" t="s">
        <v>56</v>
      </c>
      <c r="II88" s="4" t="s">
        <v>55</v>
      </c>
      <c r="IJ88" s="4" t="s">
        <v>56</v>
      </c>
      <c r="IK88" s="4" t="s">
        <v>55</v>
      </c>
      <c r="IL88" s="4" t="s">
        <v>56</v>
      </c>
      <c r="IM88" s="4" t="s">
        <v>55</v>
      </c>
      <c r="IN88" s="4" t="s">
        <v>56</v>
      </c>
      <c r="IO88" s="4" t="s">
        <v>55</v>
      </c>
      <c r="IP88" s="4" t="s">
        <v>56</v>
      </c>
      <c r="IQ88" s="4" t="s">
        <v>55</v>
      </c>
      <c r="IR88" s="4" t="s">
        <v>56</v>
      </c>
      <c r="IS88" s="4" t="s">
        <v>55</v>
      </c>
      <c r="IT88" s="18" t="s">
        <v>56</v>
      </c>
      <c r="IU88" s="18" t="s">
        <v>55</v>
      </c>
      <c r="IV88" s="4" t="s">
        <v>556</v>
      </c>
      <c r="IW88" s="4" t="s">
        <v>55</v>
      </c>
      <c r="IX88" s="4" t="s">
        <v>56</v>
      </c>
      <c r="IY88" s="4" t="s">
        <v>55</v>
      </c>
      <c r="IZ88" s="4" t="s">
        <v>56</v>
      </c>
      <c r="JA88" s="4" t="s">
        <v>55</v>
      </c>
      <c r="JB88" s="4" t="s">
        <v>56</v>
      </c>
      <c r="JC88" s="4" t="s">
        <v>55</v>
      </c>
      <c r="JD88" s="4" t="s">
        <v>56</v>
      </c>
      <c r="JE88" s="4" t="s">
        <v>55</v>
      </c>
      <c r="JF88" s="4" t="s">
        <v>56</v>
      </c>
      <c r="JG88" s="4" t="s">
        <v>55</v>
      </c>
      <c r="JH88" s="4" t="s">
        <v>56</v>
      </c>
      <c r="JI88" s="4" t="s">
        <v>55</v>
      </c>
      <c r="JJ88" s="4" t="s">
        <v>56</v>
      </c>
      <c r="JK88" s="4" t="s">
        <v>55</v>
      </c>
      <c r="JL88" s="4" t="s">
        <v>56</v>
      </c>
      <c r="JM88" s="4" t="s">
        <v>55</v>
      </c>
      <c r="JN88" s="4" t="s">
        <v>56</v>
      </c>
      <c r="JO88" s="4" t="s">
        <v>55</v>
      </c>
      <c r="JP88" s="4" t="s">
        <v>56</v>
      </c>
      <c r="JQ88" s="4" t="s">
        <v>55</v>
      </c>
      <c r="JR88" s="4" t="s">
        <v>56</v>
      </c>
      <c r="JS88" s="4" t="s">
        <v>55</v>
      </c>
      <c r="JT88" s="4" t="s">
        <v>56</v>
      </c>
      <c r="JU88" s="4" t="s">
        <v>55</v>
      </c>
      <c r="JV88" s="4" t="s">
        <v>56</v>
      </c>
      <c r="JW88" s="4" t="s">
        <v>55</v>
      </c>
      <c r="JX88" s="26" t="s">
        <v>56</v>
      </c>
      <c r="JY88" s="26" t="s">
        <v>55</v>
      </c>
      <c r="JZ88" s="26" t="s">
        <v>56</v>
      </c>
      <c r="KA88" s="26" t="s">
        <v>55</v>
      </c>
      <c r="KB88" s="26" t="s">
        <v>56</v>
      </c>
      <c r="KC88" s="26" t="s">
        <v>55</v>
      </c>
      <c r="KD88" s="26" t="s">
        <v>56</v>
      </c>
      <c r="KE88" s="26" t="s">
        <v>55</v>
      </c>
      <c r="KF88" s="26" t="s">
        <v>56</v>
      </c>
      <c r="KG88" s="26" t="s">
        <v>55</v>
      </c>
      <c r="KH88" s="4" t="s">
        <v>56</v>
      </c>
      <c r="KI88" s="4" t="s">
        <v>55</v>
      </c>
      <c r="KJ88" s="4" t="s">
        <v>56</v>
      </c>
      <c r="KK88" s="4" t="s">
        <v>55</v>
      </c>
      <c r="KL88" s="4" t="s">
        <v>56</v>
      </c>
      <c r="KM88" s="4" t="s">
        <v>55</v>
      </c>
      <c r="KN88" s="4" t="s">
        <v>56</v>
      </c>
      <c r="KO88" s="4" t="s">
        <v>55</v>
      </c>
      <c r="KP88" s="4" t="s">
        <v>56</v>
      </c>
      <c r="KQ88" s="4" t="s">
        <v>55</v>
      </c>
      <c r="KR88" s="17" t="s">
        <v>56</v>
      </c>
      <c r="KS88" s="17" t="s">
        <v>55</v>
      </c>
      <c r="KT88" s="17" t="s">
        <v>56</v>
      </c>
      <c r="KU88" s="17" t="s">
        <v>55</v>
      </c>
      <c r="KV88" s="4" t="s">
        <v>56</v>
      </c>
      <c r="KW88" s="4" t="s">
        <v>55</v>
      </c>
      <c r="KX88" s="4" t="s">
        <v>56</v>
      </c>
      <c r="KY88" s="4" t="s">
        <v>55</v>
      </c>
      <c r="KZ88" s="4" t="s">
        <v>56</v>
      </c>
      <c r="LA88" s="4" t="s">
        <v>55</v>
      </c>
      <c r="LB88" s="10" t="s">
        <v>56</v>
      </c>
      <c r="LC88" s="10" t="s">
        <v>55</v>
      </c>
      <c r="LD88" s="10" t="s">
        <v>56</v>
      </c>
      <c r="LE88" s="10" t="s">
        <v>55</v>
      </c>
      <c r="LF88" s="10" t="s">
        <v>56</v>
      </c>
      <c r="LG88" s="10" t="s">
        <v>55</v>
      </c>
      <c r="LH88" s="10" t="s">
        <v>56</v>
      </c>
      <c r="LI88" s="10" t="s">
        <v>55</v>
      </c>
      <c r="LJ88" s="10" t="s">
        <v>56</v>
      </c>
      <c r="LK88" s="10" t="s">
        <v>162</v>
      </c>
      <c r="LL88" s="10" t="s">
        <v>56</v>
      </c>
      <c r="LM88" s="10" t="s">
        <v>162</v>
      </c>
      <c r="LN88" s="10" t="s">
        <v>56</v>
      </c>
      <c r="LO88" s="10" t="s">
        <v>162</v>
      </c>
      <c r="LP88" s="10" t="s">
        <v>56</v>
      </c>
      <c r="LQ88" s="10" t="s">
        <v>162</v>
      </c>
      <c r="LR88" s="10" t="s">
        <v>56</v>
      </c>
      <c r="LS88" s="10" t="s">
        <v>162</v>
      </c>
      <c r="LT88" s="10" t="s">
        <v>56</v>
      </c>
      <c r="LU88" s="10" t="s">
        <v>162</v>
      </c>
      <c r="LV88" s="10" t="s">
        <v>56</v>
      </c>
      <c r="LW88" s="10" t="s">
        <v>55</v>
      </c>
      <c r="LX88" s="10" t="s">
        <v>56</v>
      </c>
      <c r="LY88" s="10" t="s">
        <v>55</v>
      </c>
      <c r="LZ88" s="10" t="s">
        <v>56</v>
      </c>
      <c r="MA88" s="10" t="s">
        <v>55</v>
      </c>
      <c r="MB88" s="10" t="s">
        <v>56</v>
      </c>
      <c r="MC88" s="10" t="s">
        <v>55</v>
      </c>
      <c r="MD88" s="4" t="s">
        <v>56</v>
      </c>
      <c r="ME88" s="4" t="s">
        <v>55</v>
      </c>
      <c r="MF88" s="4" t="s">
        <v>56</v>
      </c>
      <c r="MG88" s="4" t="s">
        <v>55</v>
      </c>
      <c r="MH88" s="4" t="s">
        <v>56</v>
      </c>
      <c r="MI88" s="4" t="s">
        <v>55</v>
      </c>
      <c r="MJ88" s="4" t="s">
        <v>56</v>
      </c>
      <c r="MK88" s="4" t="s">
        <v>55</v>
      </c>
      <c r="ML88" s="4" t="s">
        <v>56</v>
      </c>
      <c r="MM88" s="4" t="s">
        <v>55</v>
      </c>
      <c r="MN88" s="4" t="s">
        <v>56</v>
      </c>
      <c r="MO88" s="4" t="s">
        <v>55</v>
      </c>
      <c r="MP88" s="4" t="s">
        <v>56</v>
      </c>
      <c r="MQ88" s="4" t="s">
        <v>55</v>
      </c>
      <c r="MR88" s="4" t="s">
        <v>56</v>
      </c>
      <c r="MS88" s="4" t="s">
        <v>55</v>
      </c>
      <c r="MT88" s="4" t="s">
        <v>56</v>
      </c>
      <c r="MU88" s="4" t="s">
        <v>55</v>
      </c>
      <c r="MV88" s="4" t="s">
        <v>56</v>
      </c>
      <c r="MW88" s="4" t="s">
        <v>55</v>
      </c>
      <c r="MX88" s="4" t="s">
        <v>56</v>
      </c>
      <c r="MY88" s="4" t="s">
        <v>55</v>
      </c>
      <c r="MZ88" s="4" t="s">
        <v>56</v>
      </c>
      <c r="NA88" s="4" t="s">
        <v>55</v>
      </c>
      <c r="NB88" s="10" t="s">
        <v>56</v>
      </c>
      <c r="NC88" s="10" t="s">
        <v>55</v>
      </c>
      <c r="ND88" s="10" t="s">
        <v>56</v>
      </c>
      <c r="NE88" s="10" t="s">
        <v>55</v>
      </c>
      <c r="NF88" s="10" t="s">
        <v>56</v>
      </c>
      <c r="NG88" s="10" t="s">
        <v>55</v>
      </c>
      <c r="NH88" s="10" t="s">
        <v>56</v>
      </c>
      <c r="NI88" s="10" t="s">
        <v>55</v>
      </c>
      <c r="NJ88" s="10" t="s">
        <v>56</v>
      </c>
      <c r="NK88" s="10" t="s">
        <v>55</v>
      </c>
      <c r="NL88" s="10" t="s">
        <v>56</v>
      </c>
      <c r="NM88" s="4" t="s">
        <v>55</v>
      </c>
      <c r="NN88" s="10" t="s">
        <v>56</v>
      </c>
      <c r="NO88" s="4" t="s">
        <v>55</v>
      </c>
      <c r="NP88" s="10" t="s">
        <v>56</v>
      </c>
      <c r="NQ88" s="4" t="s">
        <v>55</v>
      </c>
      <c r="NR88" s="10" t="s">
        <v>56</v>
      </c>
      <c r="NS88" s="10" t="s">
        <v>55</v>
      </c>
      <c r="NT88" s="10" t="s">
        <v>56</v>
      </c>
      <c r="NU88" s="10" t="s">
        <v>55</v>
      </c>
    </row>
    <row r="89" spans="1:385" x14ac:dyDescent="0.2">
      <c r="A89" t="s">
        <v>28</v>
      </c>
      <c r="B89" s="1" t="s">
        <v>1037</v>
      </c>
      <c r="C89" s="1" t="s">
        <v>858</v>
      </c>
      <c r="D89" s="39" cm="1">
        <f t="array" ref="D89">SUMPRODUCT((ISNUMBER(F89:NU89))*(MOD(COLUMN(F89:NU89),2)=0))</f>
        <v>15</v>
      </c>
      <c r="E89" s="1">
        <v>131.16999999999999</v>
      </c>
      <c r="F89" s="1" t="s">
        <v>54</v>
      </c>
      <c r="G89" s="1" t="s">
        <v>55</v>
      </c>
      <c r="H89" s="1" t="s">
        <v>54</v>
      </c>
      <c r="I89" s="1" t="s">
        <v>55</v>
      </c>
      <c r="J89" s="1" t="s">
        <v>75</v>
      </c>
      <c r="K89" s="1" t="s">
        <v>55</v>
      </c>
      <c r="L89" s="1" t="s">
        <v>54</v>
      </c>
      <c r="M89" s="1" t="s">
        <v>55</v>
      </c>
      <c r="N89" s="1" t="s">
        <v>54</v>
      </c>
      <c r="O89" s="1" t="s">
        <v>55</v>
      </c>
      <c r="P89" s="1" t="s">
        <v>56</v>
      </c>
      <c r="Q89" s="1" t="s">
        <v>55</v>
      </c>
      <c r="R89" s="1" t="s">
        <v>56</v>
      </c>
      <c r="S89" s="1" t="s">
        <v>55</v>
      </c>
      <c r="T89" s="1" t="s">
        <v>56</v>
      </c>
      <c r="U89" s="1" t="s">
        <v>55</v>
      </c>
      <c r="V89" s="1" t="s">
        <v>56</v>
      </c>
      <c r="W89" s="1" t="s">
        <v>55</v>
      </c>
      <c r="X89" s="1" t="s">
        <v>56</v>
      </c>
      <c r="Y89" s="1" t="s">
        <v>55</v>
      </c>
      <c r="Z89" s="1" t="s">
        <v>56</v>
      </c>
      <c r="AA89" s="1" t="s">
        <v>55</v>
      </c>
      <c r="AB89" s="1" t="s">
        <v>56</v>
      </c>
      <c r="AC89" s="1" t="s">
        <v>55</v>
      </c>
      <c r="AD89" s="1" t="s">
        <v>56</v>
      </c>
      <c r="AE89" s="1" t="s">
        <v>55</v>
      </c>
      <c r="AF89" s="4" t="s">
        <v>56</v>
      </c>
      <c r="AG89" s="4" t="s">
        <v>55</v>
      </c>
      <c r="AH89" s="4" t="s">
        <v>56</v>
      </c>
      <c r="AI89" s="4" t="s">
        <v>55</v>
      </c>
      <c r="AJ89" s="4" t="s">
        <v>56</v>
      </c>
      <c r="AK89" s="4" t="s">
        <v>55</v>
      </c>
      <c r="AL89" s="4" t="s">
        <v>56</v>
      </c>
      <c r="AM89" s="4" t="s">
        <v>55</v>
      </c>
      <c r="AN89" s="17" t="s">
        <v>56</v>
      </c>
      <c r="AO89" s="1" t="s">
        <v>55</v>
      </c>
      <c r="AP89" s="11" t="s">
        <v>56</v>
      </c>
      <c r="AQ89" s="11" t="s">
        <v>55</v>
      </c>
      <c r="AR89" s="10">
        <f>17/E89</f>
        <v>0.12960280551955478</v>
      </c>
      <c r="AS89" s="10">
        <f>1/E89</f>
        <v>7.6236944423267519E-3</v>
      </c>
      <c r="AT89" s="4" t="s">
        <v>56</v>
      </c>
      <c r="AU89" s="4" t="s">
        <v>55</v>
      </c>
      <c r="AV89" s="4" t="s">
        <v>56</v>
      </c>
      <c r="AW89" s="4" t="s">
        <v>55</v>
      </c>
      <c r="AX89" s="4" t="s">
        <v>56</v>
      </c>
      <c r="AY89" s="4" t="s">
        <v>55</v>
      </c>
      <c r="AZ89" s="4" t="s">
        <v>56</v>
      </c>
      <c r="BA89" s="4" t="s">
        <v>55</v>
      </c>
      <c r="BB89" s="4" t="s">
        <v>56</v>
      </c>
      <c r="BC89" s="4" t="s">
        <v>55</v>
      </c>
      <c r="BD89" s="4" t="s">
        <v>56</v>
      </c>
      <c r="BE89" s="1" t="s">
        <v>55</v>
      </c>
      <c r="BF89" s="1" t="s">
        <v>56</v>
      </c>
      <c r="BG89" s="1" t="s">
        <v>55</v>
      </c>
      <c r="BH89" s="1" t="s">
        <v>56</v>
      </c>
      <c r="BI89" s="1" t="s">
        <v>55</v>
      </c>
      <c r="BJ89" s="1" t="s">
        <v>56</v>
      </c>
      <c r="BK89" s="1" t="s">
        <v>55</v>
      </c>
      <c r="BL89" s="1" t="s">
        <v>56</v>
      </c>
      <c r="BM89" s="1" t="s">
        <v>55</v>
      </c>
      <c r="BN89" s="4" t="s">
        <v>56</v>
      </c>
      <c r="BO89" s="4" t="s">
        <v>55</v>
      </c>
      <c r="BP89" s="4" t="s">
        <v>56</v>
      </c>
      <c r="BQ89" s="4" t="s">
        <v>55</v>
      </c>
      <c r="BR89" s="4" t="s">
        <v>56</v>
      </c>
      <c r="BS89" s="4" t="s">
        <v>162</v>
      </c>
      <c r="BT89" s="4" t="s">
        <v>56</v>
      </c>
      <c r="BU89" s="4" t="s">
        <v>55</v>
      </c>
      <c r="BV89" s="4" t="s">
        <v>56</v>
      </c>
      <c r="BW89" s="4" t="s">
        <v>55</v>
      </c>
      <c r="BX89" s="4" t="s">
        <v>56</v>
      </c>
      <c r="BY89" s="4" t="s">
        <v>55</v>
      </c>
      <c r="BZ89" s="4" t="s">
        <v>56</v>
      </c>
      <c r="CA89" s="4" t="s">
        <v>55</v>
      </c>
      <c r="CB89" s="4" t="s">
        <v>56</v>
      </c>
      <c r="CC89" s="4" t="s">
        <v>55</v>
      </c>
      <c r="CD89" s="4" t="s">
        <v>56</v>
      </c>
      <c r="CE89" s="4" t="s">
        <v>55</v>
      </c>
      <c r="CF89" s="4" t="s">
        <v>56</v>
      </c>
      <c r="CG89" s="4" t="s">
        <v>55</v>
      </c>
      <c r="CH89" s="4" t="s">
        <v>56</v>
      </c>
      <c r="CI89" s="4" t="s">
        <v>55</v>
      </c>
      <c r="CJ89" s="4" t="s">
        <v>56</v>
      </c>
      <c r="CK89" s="4" t="s">
        <v>55</v>
      </c>
      <c r="CL89" s="4" t="s">
        <v>56</v>
      </c>
      <c r="CM89" s="4" t="s">
        <v>55</v>
      </c>
      <c r="CN89" s="4" t="s">
        <v>56</v>
      </c>
      <c r="CO89" s="4" t="s">
        <v>55</v>
      </c>
      <c r="CP89" s="4" t="s">
        <v>56</v>
      </c>
      <c r="CQ89" s="4" t="s">
        <v>55</v>
      </c>
      <c r="CR89" s="4" t="s">
        <v>56</v>
      </c>
      <c r="CS89" s="4" t="s">
        <v>55</v>
      </c>
      <c r="CT89" s="4" t="s">
        <v>56</v>
      </c>
      <c r="CU89" s="4" t="s">
        <v>55</v>
      </c>
      <c r="CV89" s="4" t="s">
        <v>56</v>
      </c>
      <c r="CW89" s="4" t="s">
        <v>55</v>
      </c>
      <c r="CX89" s="4" t="s">
        <v>56</v>
      </c>
      <c r="CY89" s="4" t="s">
        <v>55</v>
      </c>
      <c r="CZ89" s="4" t="s">
        <v>56</v>
      </c>
      <c r="DA89" s="4" t="s">
        <v>55</v>
      </c>
      <c r="DB89" s="4" t="s">
        <v>56</v>
      </c>
      <c r="DC89" s="4" t="s">
        <v>55</v>
      </c>
      <c r="DD89" s="4" t="s">
        <v>56</v>
      </c>
      <c r="DE89" s="4" t="s">
        <v>55</v>
      </c>
      <c r="DF89" s="4" t="s">
        <v>56</v>
      </c>
      <c r="DG89" s="4" t="s">
        <v>55</v>
      </c>
      <c r="DH89" s="10" t="s">
        <v>56</v>
      </c>
      <c r="DI89" s="10" t="s">
        <v>55</v>
      </c>
      <c r="DJ89" s="10" t="s">
        <v>56</v>
      </c>
      <c r="DK89" s="10" t="s">
        <v>55</v>
      </c>
      <c r="DL89" s="10" t="s">
        <v>56</v>
      </c>
      <c r="DM89" s="10" t="s">
        <v>55</v>
      </c>
      <c r="DN89" s="10" t="s">
        <v>56</v>
      </c>
      <c r="DO89" s="10" t="s">
        <v>55</v>
      </c>
      <c r="DP89" s="10" t="s">
        <v>56</v>
      </c>
      <c r="DQ89" s="10" t="s">
        <v>55</v>
      </c>
      <c r="DR89" s="10" t="s">
        <v>56</v>
      </c>
      <c r="DS89" s="10" t="s">
        <v>55</v>
      </c>
      <c r="DT89" s="10" t="s">
        <v>56</v>
      </c>
      <c r="DU89" s="10" t="s">
        <v>55</v>
      </c>
      <c r="DV89" s="10" t="s">
        <v>56</v>
      </c>
      <c r="DW89" s="10" t="s">
        <v>55</v>
      </c>
      <c r="DX89" s="10" t="s">
        <v>56</v>
      </c>
      <c r="DY89" s="10" t="s">
        <v>55</v>
      </c>
      <c r="DZ89" s="10" t="s">
        <v>56</v>
      </c>
      <c r="EA89" s="10" t="s">
        <v>55</v>
      </c>
      <c r="EB89" s="10" t="s">
        <v>56</v>
      </c>
      <c r="EC89" s="10" t="s">
        <v>55</v>
      </c>
      <c r="ED89" s="10" t="s">
        <v>56</v>
      </c>
      <c r="EE89" s="10" t="s">
        <v>55</v>
      </c>
      <c r="EF89" s="10" t="s">
        <v>56</v>
      </c>
      <c r="EG89" s="10" t="s">
        <v>55</v>
      </c>
      <c r="EH89" s="10" t="s">
        <v>56</v>
      </c>
      <c r="EI89" s="10" t="s">
        <v>55</v>
      </c>
      <c r="EJ89" s="10" t="s">
        <v>56</v>
      </c>
      <c r="EK89" s="10" t="s">
        <v>55</v>
      </c>
      <c r="EL89" s="10" t="s">
        <v>56</v>
      </c>
      <c r="EM89" s="10" t="s">
        <v>55</v>
      </c>
      <c r="EN89" s="10" t="s">
        <v>56</v>
      </c>
      <c r="EO89" s="10" t="s">
        <v>55</v>
      </c>
      <c r="EP89" s="10" t="s">
        <v>56</v>
      </c>
      <c r="EQ89" s="10" t="s">
        <v>55</v>
      </c>
      <c r="ER89" s="10" t="s">
        <v>56</v>
      </c>
      <c r="ES89" s="10" t="s">
        <v>55</v>
      </c>
      <c r="ET89" s="10" t="s">
        <v>56</v>
      </c>
      <c r="EU89" s="10" t="s">
        <v>55</v>
      </c>
      <c r="EV89" s="10" t="s">
        <v>56</v>
      </c>
      <c r="EW89" s="10" t="s">
        <v>55</v>
      </c>
      <c r="EX89" s="10" t="s">
        <v>56</v>
      </c>
      <c r="EY89" s="10" t="s">
        <v>55</v>
      </c>
      <c r="EZ89" s="10" t="s">
        <v>56</v>
      </c>
      <c r="FA89" s="10" t="s">
        <v>55</v>
      </c>
      <c r="FB89" s="10" t="s">
        <v>56</v>
      </c>
      <c r="FC89" s="10" t="s">
        <v>55</v>
      </c>
      <c r="FD89" s="10" t="s">
        <v>56</v>
      </c>
      <c r="FE89" s="10" t="s">
        <v>55</v>
      </c>
      <c r="FF89" s="10" t="s">
        <v>56</v>
      </c>
      <c r="FG89" s="10" t="s">
        <v>55</v>
      </c>
      <c r="FH89" s="10" t="s">
        <v>56</v>
      </c>
      <c r="FI89" s="10" t="s">
        <v>55</v>
      </c>
      <c r="FJ89" s="10" t="s">
        <v>56</v>
      </c>
      <c r="FK89" s="10" t="s">
        <v>55</v>
      </c>
      <c r="FL89" s="10" t="s">
        <v>56</v>
      </c>
      <c r="FM89" s="10" t="s">
        <v>55</v>
      </c>
      <c r="FN89" s="10" t="s">
        <v>56</v>
      </c>
      <c r="FO89" s="10" t="s">
        <v>55</v>
      </c>
      <c r="FP89" s="10" t="s">
        <v>56</v>
      </c>
      <c r="FQ89" s="10" t="s">
        <v>55</v>
      </c>
      <c r="FR89" s="10" t="s">
        <v>56</v>
      </c>
      <c r="FS89" s="10" t="s">
        <v>55</v>
      </c>
      <c r="FT89" s="10" t="s">
        <v>56</v>
      </c>
      <c r="FU89" s="10" t="s">
        <v>55</v>
      </c>
      <c r="FV89" s="10" t="s">
        <v>56</v>
      </c>
      <c r="FW89" s="10" t="s">
        <v>55</v>
      </c>
      <c r="FX89" s="10" t="s">
        <v>56</v>
      </c>
      <c r="FY89" s="10" t="s">
        <v>55</v>
      </c>
      <c r="FZ89" s="10" t="s">
        <v>56</v>
      </c>
      <c r="GA89" s="10" t="s">
        <v>55</v>
      </c>
      <c r="GB89" s="10" t="s">
        <v>56</v>
      </c>
      <c r="GC89" s="10" t="s">
        <v>55</v>
      </c>
      <c r="GD89" s="10" t="s">
        <v>56</v>
      </c>
      <c r="GE89" s="10" t="s">
        <v>55</v>
      </c>
      <c r="GF89" s="10" t="s">
        <v>56</v>
      </c>
      <c r="GG89" s="10" t="s">
        <v>55</v>
      </c>
      <c r="GH89" s="10" t="s">
        <v>56</v>
      </c>
      <c r="GI89" s="10" t="s">
        <v>55</v>
      </c>
      <c r="GJ89" s="10" t="s">
        <v>56</v>
      </c>
      <c r="GK89" s="10" t="s">
        <v>55</v>
      </c>
      <c r="GL89" s="10" t="s">
        <v>56</v>
      </c>
      <c r="GM89" s="10" t="s">
        <v>55</v>
      </c>
      <c r="GN89" s="10" t="s">
        <v>56</v>
      </c>
      <c r="GO89" s="10" t="s">
        <v>55</v>
      </c>
      <c r="GP89" s="10" t="s">
        <v>56</v>
      </c>
      <c r="GQ89" s="10" t="s">
        <v>55</v>
      </c>
      <c r="GR89" s="10" t="s">
        <v>112</v>
      </c>
      <c r="GS89" s="10" t="s">
        <v>55</v>
      </c>
      <c r="GT89" s="10" t="s">
        <v>112</v>
      </c>
      <c r="GU89" s="10" t="s">
        <v>55</v>
      </c>
      <c r="GV89" s="10">
        <v>0.09</v>
      </c>
      <c r="GW89" s="10">
        <v>0.01</v>
      </c>
      <c r="GX89" s="10" t="s">
        <v>56</v>
      </c>
      <c r="GY89" s="10" t="s">
        <v>55</v>
      </c>
      <c r="GZ89" s="10" t="s">
        <v>56</v>
      </c>
      <c r="HA89" s="10" t="s">
        <v>55</v>
      </c>
      <c r="HB89" s="10" t="s">
        <v>56</v>
      </c>
      <c r="HC89" s="10" t="s">
        <v>55</v>
      </c>
      <c r="HD89" s="10" t="s">
        <v>56</v>
      </c>
      <c r="HE89" s="10" t="s">
        <v>55</v>
      </c>
      <c r="HF89" s="10" t="s">
        <v>56</v>
      </c>
      <c r="HG89" s="10" t="s">
        <v>55</v>
      </c>
      <c r="HH89" s="10" t="s">
        <v>56</v>
      </c>
      <c r="HI89" s="10" t="s">
        <v>55</v>
      </c>
      <c r="HJ89" s="10" t="s">
        <v>56</v>
      </c>
      <c r="HK89" s="10" t="s">
        <v>55</v>
      </c>
      <c r="HL89" s="10" t="s">
        <v>56</v>
      </c>
      <c r="HM89" s="10" t="s">
        <v>55</v>
      </c>
      <c r="HN89" s="10" t="s">
        <v>56</v>
      </c>
      <c r="HO89" s="10" t="s">
        <v>55</v>
      </c>
      <c r="HP89" s="10">
        <v>7.7</v>
      </c>
      <c r="HQ89" s="10">
        <v>0.5</v>
      </c>
      <c r="HR89" s="10" t="s">
        <v>320</v>
      </c>
      <c r="HS89" s="10">
        <v>0.5</v>
      </c>
      <c r="HT89" s="10">
        <v>0.77</v>
      </c>
      <c r="HU89" s="10">
        <v>0.06</v>
      </c>
      <c r="HV89" s="10">
        <v>0.56000000000000005</v>
      </c>
      <c r="HW89" s="10">
        <v>7.0000000000000007E-2</v>
      </c>
      <c r="HX89" s="10" t="s">
        <v>317</v>
      </c>
      <c r="HY89" s="10" t="s">
        <v>55</v>
      </c>
      <c r="HZ89" s="10">
        <v>3.7</v>
      </c>
      <c r="IA89" s="10">
        <v>0.3</v>
      </c>
      <c r="IB89" s="10">
        <v>0.85</v>
      </c>
      <c r="IC89" s="10">
        <v>0.06</v>
      </c>
      <c r="ID89" s="1">
        <v>0.1497</v>
      </c>
      <c r="IE89" s="1">
        <v>3.5000000000000003E-2</v>
      </c>
      <c r="IF89" s="4" t="s">
        <v>372</v>
      </c>
      <c r="IG89" s="4" t="s">
        <v>55</v>
      </c>
      <c r="IH89" s="4" t="s">
        <v>56</v>
      </c>
      <c r="II89" s="4" t="s">
        <v>55</v>
      </c>
      <c r="IJ89" s="4" t="s">
        <v>56</v>
      </c>
      <c r="IK89" s="4" t="s">
        <v>55</v>
      </c>
      <c r="IL89" s="4" t="s">
        <v>56</v>
      </c>
      <c r="IM89" s="4" t="s">
        <v>55</v>
      </c>
      <c r="IN89" s="4" t="s">
        <v>56</v>
      </c>
      <c r="IO89" s="4" t="s">
        <v>55</v>
      </c>
      <c r="IP89" s="4" t="s">
        <v>56</v>
      </c>
      <c r="IQ89" s="4" t="s">
        <v>55</v>
      </c>
      <c r="IR89" s="4" t="s">
        <v>56</v>
      </c>
      <c r="IS89" s="4" t="s">
        <v>55</v>
      </c>
      <c r="IT89" s="4" t="s">
        <v>56</v>
      </c>
      <c r="IU89" s="4" t="s">
        <v>55</v>
      </c>
      <c r="IV89" s="4" t="s">
        <v>56</v>
      </c>
      <c r="IW89" s="4" t="s">
        <v>55</v>
      </c>
      <c r="IX89" s="4" t="s">
        <v>56</v>
      </c>
      <c r="IY89" s="4" t="s">
        <v>55</v>
      </c>
      <c r="IZ89" s="4" t="s">
        <v>56</v>
      </c>
      <c r="JA89" s="4" t="s">
        <v>55</v>
      </c>
      <c r="JB89" s="4" t="s">
        <v>56</v>
      </c>
      <c r="JC89" s="4" t="s">
        <v>55</v>
      </c>
      <c r="JD89" s="4" t="s">
        <v>56</v>
      </c>
      <c r="JE89" s="4" t="s">
        <v>55</v>
      </c>
      <c r="JF89" s="4" t="s">
        <v>56</v>
      </c>
      <c r="JG89" s="4" t="s">
        <v>55</v>
      </c>
      <c r="JH89" s="4" t="s">
        <v>56</v>
      </c>
      <c r="JI89" s="4" t="s">
        <v>55</v>
      </c>
      <c r="JJ89" s="4" t="s">
        <v>56</v>
      </c>
      <c r="JK89" s="4" t="s">
        <v>55</v>
      </c>
      <c r="JL89" s="4" t="s">
        <v>56</v>
      </c>
      <c r="JM89" s="4" t="s">
        <v>55</v>
      </c>
      <c r="JN89" s="4" t="s">
        <v>56</v>
      </c>
      <c r="JO89" s="4" t="s">
        <v>55</v>
      </c>
      <c r="JP89" s="4" t="s">
        <v>56</v>
      </c>
      <c r="JQ89" s="4" t="s">
        <v>55</v>
      </c>
      <c r="JR89" s="4" t="s">
        <v>56</v>
      </c>
      <c r="JS89" s="4" t="s">
        <v>55</v>
      </c>
      <c r="JT89" s="4" t="s">
        <v>56</v>
      </c>
      <c r="JU89" s="4" t="s">
        <v>55</v>
      </c>
      <c r="JV89" s="4" t="s">
        <v>56</v>
      </c>
      <c r="JW89" s="4" t="s">
        <v>55</v>
      </c>
      <c r="JX89" s="26">
        <v>220.85292875209555</v>
      </c>
      <c r="JY89" s="26">
        <v>93.545398203345044</v>
      </c>
      <c r="JZ89" s="26">
        <v>341.39732279830332</v>
      </c>
      <c r="KA89" s="26">
        <v>84.517749324657032</v>
      </c>
      <c r="KB89" s="26">
        <v>279.20834971217909</v>
      </c>
      <c r="KC89" s="26">
        <v>7.8685297703769166</v>
      </c>
      <c r="KD89" s="26">
        <v>257.57327938182726</v>
      </c>
      <c r="KE89" s="26">
        <v>57.697363702426443</v>
      </c>
      <c r="KF89" s="26">
        <v>240.52999817092132</v>
      </c>
      <c r="KG89" s="26">
        <v>28.279063405008127</v>
      </c>
      <c r="KH89" s="4" t="s">
        <v>56</v>
      </c>
      <c r="KI89" s="4" t="s">
        <v>55</v>
      </c>
      <c r="KJ89" s="4" t="s">
        <v>56</v>
      </c>
      <c r="KK89" s="4" t="s">
        <v>55</v>
      </c>
      <c r="KL89" s="4" t="s">
        <v>56</v>
      </c>
      <c r="KM89" s="4" t="s">
        <v>55</v>
      </c>
      <c r="KN89" s="4" t="s">
        <v>56</v>
      </c>
      <c r="KO89" s="4" t="s">
        <v>55</v>
      </c>
      <c r="KP89" s="4" t="s">
        <v>56</v>
      </c>
      <c r="KQ89" s="4" t="s">
        <v>55</v>
      </c>
      <c r="KR89" s="4">
        <v>9.11</v>
      </c>
      <c r="KS89" s="4">
        <v>1.34</v>
      </c>
      <c r="KT89" s="4">
        <v>9.85</v>
      </c>
      <c r="KU89" s="4">
        <v>1.75</v>
      </c>
      <c r="KV89" s="4" t="s">
        <v>57</v>
      </c>
      <c r="KW89" s="4" t="s">
        <v>55</v>
      </c>
      <c r="KX89" s="4" t="s">
        <v>57</v>
      </c>
      <c r="KY89" s="4" t="s">
        <v>55</v>
      </c>
      <c r="KZ89" s="4" t="s">
        <v>57</v>
      </c>
      <c r="LA89" s="4" t="s">
        <v>55</v>
      </c>
      <c r="LB89" s="10" t="s">
        <v>56</v>
      </c>
      <c r="LC89" s="10" t="s">
        <v>55</v>
      </c>
      <c r="LD89" s="10" t="s">
        <v>56</v>
      </c>
      <c r="LE89" s="10" t="s">
        <v>55</v>
      </c>
      <c r="LF89" s="10" t="s">
        <v>56</v>
      </c>
      <c r="LG89" s="10" t="s">
        <v>55</v>
      </c>
      <c r="LH89" s="10" t="s">
        <v>56</v>
      </c>
      <c r="LI89" s="10" t="s">
        <v>55</v>
      </c>
      <c r="LJ89" s="10" t="s">
        <v>56</v>
      </c>
      <c r="LK89" s="10" t="s">
        <v>162</v>
      </c>
      <c r="LL89" s="10" t="s">
        <v>56</v>
      </c>
      <c r="LM89" s="10" t="s">
        <v>162</v>
      </c>
      <c r="LN89" s="10" t="s">
        <v>56</v>
      </c>
      <c r="LO89" s="10" t="s">
        <v>162</v>
      </c>
      <c r="LP89" s="10" t="s">
        <v>56</v>
      </c>
      <c r="LQ89" s="10" t="s">
        <v>162</v>
      </c>
      <c r="LR89" s="10" t="s">
        <v>56</v>
      </c>
      <c r="LS89" s="10" t="s">
        <v>162</v>
      </c>
      <c r="LT89" s="10" t="s">
        <v>56</v>
      </c>
      <c r="LU89" s="10" t="s">
        <v>162</v>
      </c>
      <c r="LV89" s="10" t="s">
        <v>56</v>
      </c>
      <c r="LW89" s="10" t="s">
        <v>162</v>
      </c>
      <c r="LX89" s="10" t="s">
        <v>56</v>
      </c>
      <c r="LY89" s="10" t="s">
        <v>162</v>
      </c>
      <c r="LZ89" s="10" t="s">
        <v>56</v>
      </c>
      <c r="MA89" s="10" t="s">
        <v>162</v>
      </c>
      <c r="MB89" s="10" t="s">
        <v>56</v>
      </c>
      <c r="MC89" s="10" t="s">
        <v>162</v>
      </c>
      <c r="MD89" s="10" t="s">
        <v>56</v>
      </c>
      <c r="ME89" s="10" t="s">
        <v>162</v>
      </c>
      <c r="MF89" s="10" t="s">
        <v>56</v>
      </c>
      <c r="MG89" s="10" t="s">
        <v>162</v>
      </c>
      <c r="MH89" s="10" t="s">
        <v>56</v>
      </c>
      <c r="MI89" s="10" t="s">
        <v>162</v>
      </c>
      <c r="MJ89" s="10" t="s">
        <v>56</v>
      </c>
      <c r="MK89" s="10" t="s">
        <v>162</v>
      </c>
      <c r="ML89" s="10" t="s">
        <v>56</v>
      </c>
      <c r="MM89" s="10" t="s">
        <v>162</v>
      </c>
      <c r="MN89" s="10" t="s">
        <v>56</v>
      </c>
      <c r="MO89" s="10" t="s">
        <v>162</v>
      </c>
      <c r="MP89" s="10" t="s">
        <v>56</v>
      </c>
      <c r="MQ89" s="10" t="s">
        <v>162</v>
      </c>
      <c r="MR89" s="10" t="s">
        <v>56</v>
      </c>
      <c r="MS89" s="10" t="s">
        <v>162</v>
      </c>
      <c r="MT89" s="10" t="s">
        <v>56</v>
      </c>
      <c r="MU89" s="10" t="s">
        <v>162</v>
      </c>
      <c r="MV89" s="10" t="s">
        <v>56</v>
      </c>
      <c r="MW89" s="10" t="s">
        <v>162</v>
      </c>
      <c r="MX89" s="10" t="s">
        <v>56</v>
      </c>
      <c r="MY89" s="10" t="s">
        <v>162</v>
      </c>
      <c r="MZ89" s="10" t="s">
        <v>56</v>
      </c>
      <c r="NA89" s="10" t="s">
        <v>162</v>
      </c>
      <c r="NB89" s="10" t="s">
        <v>56</v>
      </c>
      <c r="NC89" s="10" t="s">
        <v>162</v>
      </c>
      <c r="ND89" s="10" t="s">
        <v>56</v>
      </c>
      <c r="NE89" s="10" t="s">
        <v>162</v>
      </c>
      <c r="NF89" s="10" t="s">
        <v>56</v>
      </c>
      <c r="NG89" s="10" t="s">
        <v>162</v>
      </c>
      <c r="NH89" s="10" t="s">
        <v>56</v>
      </c>
      <c r="NI89" s="10" t="s">
        <v>162</v>
      </c>
      <c r="NJ89" s="10" t="s">
        <v>56</v>
      </c>
      <c r="NK89" s="10" t="s">
        <v>162</v>
      </c>
      <c r="NL89" s="10" t="s">
        <v>56</v>
      </c>
      <c r="NM89" s="10" t="s">
        <v>162</v>
      </c>
      <c r="NN89" s="10" t="s">
        <v>56</v>
      </c>
      <c r="NO89" s="10" t="s">
        <v>162</v>
      </c>
      <c r="NP89" s="10" t="s">
        <v>56</v>
      </c>
      <c r="NQ89" s="10" t="s">
        <v>162</v>
      </c>
      <c r="NR89" s="10" t="s">
        <v>57</v>
      </c>
      <c r="NS89" s="10" t="s">
        <v>55</v>
      </c>
      <c r="NT89" s="10" t="s">
        <v>57</v>
      </c>
      <c r="NU89" s="10" t="s">
        <v>55</v>
      </c>
    </row>
    <row r="90" spans="1:385" x14ac:dyDescent="0.2">
      <c r="A90" t="s">
        <v>29</v>
      </c>
      <c r="B90" s="1" t="s">
        <v>1037</v>
      </c>
      <c r="C90" s="1" t="s">
        <v>859</v>
      </c>
      <c r="D90" s="39" cm="1">
        <f t="array" ref="D90">SUMPRODUCT((ISNUMBER(F90:NU90))*(MOD(COLUMN(F90:NU90),2)=0))</f>
        <v>34</v>
      </c>
      <c r="E90" s="1">
        <v>131.16999999999999</v>
      </c>
      <c r="F90" s="1">
        <v>1.6000000000000001E-3</v>
      </c>
      <c r="G90" s="1" t="s">
        <v>58</v>
      </c>
      <c r="H90" s="1">
        <v>9.5999999999999992E-3</v>
      </c>
      <c r="I90" s="1" t="s">
        <v>58</v>
      </c>
      <c r="J90" s="1">
        <v>8.0999999999999996E-3</v>
      </c>
      <c r="K90" s="1">
        <v>1E-4</v>
      </c>
      <c r="L90" s="1">
        <v>8.9999999999999998E-4</v>
      </c>
      <c r="M90" s="1" t="s">
        <v>58</v>
      </c>
      <c r="N90" s="1" t="s">
        <v>54</v>
      </c>
      <c r="O90" s="1" t="s">
        <v>55</v>
      </c>
      <c r="P90" s="1" t="s">
        <v>56</v>
      </c>
      <c r="Q90" s="1" t="s">
        <v>55</v>
      </c>
      <c r="R90" s="1" t="s">
        <v>56</v>
      </c>
      <c r="S90" s="1" t="s">
        <v>55</v>
      </c>
      <c r="T90" s="1" t="s">
        <v>56</v>
      </c>
      <c r="U90" s="1" t="s">
        <v>55</v>
      </c>
      <c r="V90" s="1" t="s">
        <v>56</v>
      </c>
      <c r="W90" s="1" t="s">
        <v>55</v>
      </c>
      <c r="X90" s="1" t="s">
        <v>56</v>
      </c>
      <c r="Y90" s="1" t="s">
        <v>55</v>
      </c>
      <c r="Z90" s="1" t="s">
        <v>56</v>
      </c>
      <c r="AA90" s="1" t="s">
        <v>55</v>
      </c>
      <c r="AB90" s="1" t="s">
        <v>56</v>
      </c>
      <c r="AC90" s="1" t="s">
        <v>55</v>
      </c>
      <c r="AD90" s="1" t="s">
        <v>56</v>
      </c>
      <c r="AE90" s="1" t="s">
        <v>55</v>
      </c>
      <c r="AF90" s="4" t="s">
        <v>56</v>
      </c>
      <c r="AG90" s="4" t="s">
        <v>55</v>
      </c>
      <c r="AH90" s="4" t="s">
        <v>56</v>
      </c>
      <c r="AI90" s="4" t="s">
        <v>55</v>
      </c>
      <c r="AJ90" s="4" t="s">
        <v>56</v>
      </c>
      <c r="AK90" s="4" t="s">
        <v>55</v>
      </c>
      <c r="AL90" s="4" t="s">
        <v>56</v>
      </c>
      <c r="AM90" s="4" t="s">
        <v>55</v>
      </c>
      <c r="AN90" s="17" t="s">
        <v>56</v>
      </c>
      <c r="AO90" s="1" t="s">
        <v>55</v>
      </c>
      <c r="AP90" s="11" t="s">
        <v>56</v>
      </c>
      <c r="AQ90" s="11" t="s">
        <v>55</v>
      </c>
      <c r="AR90" s="10">
        <f>170/E89</f>
        <v>1.2960280551955479</v>
      </c>
      <c r="AS90" s="10">
        <f>34/E89</f>
        <v>0.25920561103910955</v>
      </c>
      <c r="AT90" s="4" t="s">
        <v>56</v>
      </c>
      <c r="AU90" s="4" t="s">
        <v>55</v>
      </c>
      <c r="AV90" s="4" t="s">
        <v>56</v>
      </c>
      <c r="AW90" s="4" t="s">
        <v>55</v>
      </c>
      <c r="AX90" s="4" t="s">
        <v>56</v>
      </c>
      <c r="AY90" s="4" t="s">
        <v>55</v>
      </c>
      <c r="AZ90" s="4" t="s">
        <v>56</v>
      </c>
      <c r="BA90" s="4" t="s">
        <v>55</v>
      </c>
      <c r="BB90" s="4" t="s">
        <v>56</v>
      </c>
      <c r="BC90" s="4" t="s">
        <v>55</v>
      </c>
      <c r="BD90" s="4">
        <v>2.7</v>
      </c>
      <c r="BE90" s="1" t="s">
        <v>55</v>
      </c>
      <c r="BF90" s="1" t="s">
        <v>56</v>
      </c>
      <c r="BG90" s="1" t="s">
        <v>55</v>
      </c>
      <c r="BH90" s="1" t="s">
        <v>56</v>
      </c>
      <c r="BI90" s="1" t="s">
        <v>55</v>
      </c>
      <c r="BJ90" s="1" t="s">
        <v>56</v>
      </c>
      <c r="BK90" s="1" t="s">
        <v>55</v>
      </c>
      <c r="BL90" s="1" t="s">
        <v>56</v>
      </c>
      <c r="BM90" s="1" t="s">
        <v>55</v>
      </c>
      <c r="BN90" s="4" t="s">
        <v>56</v>
      </c>
      <c r="BO90" s="4" t="s">
        <v>55</v>
      </c>
      <c r="BP90" s="4" t="s">
        <v>56</v>
      </c>
      <c r="BQ90" s="4" t="s">
        <v>55</v>
      </c>
      <c r="BR90" s="4" t="s">
        <v>56</v>
      </c>
      <c r="BS90" s="4" t="s">
        <v>162</v>
      </c>
      <c r="BT90" s="4" t="s">
        <v>56</v>
      </c>
      <c r="BU90" s="4" t="s">
        <v>55</v>
      </c>
      <c r="BV90" s="4" t="s">
        <v>56</v>
      </c>
      <c r="BW90" s="4" t="s">
        <v>55</v>
      </c>
      <c r="BX90" s="4" t="s">
        <v>56</v>
      </c>
      <c r="BY90" s="4" t="s">
        <v>55</v>
      </c>
      <c r="BZ90" s="4" t="s">
        <v>56</v>
      </c>
      <c r="CA90" s="4" t="s">
        <v>55</v>
      </c>
      <c r="CB90" s="4" t="s">
        <v>56</v>
      </c>
      <c r="CC90" s="4" t="s">
        <v>55</v>
      </c>
      <c r="CD90" s="4" t="s">
        <v>56</v>
      </c>
      <c r="CE90" s="4" t="s">
        <v>55</v>
      </c>
      <c r="CF90" s="4" t="s">
        <v>56</v>
      </c>
      <c r="CG90" s="4" t="s">
        <v>55</v>
      </c>
      <c r="CH90" s="4" t="s">
        <v>56</v>
      </c>
      <c r="CI90" s="4" t="s">
        <v>55</v>
      </c>
      <c r="CJ90" s="4" t="s">
        <v>56</v>
      </c>
      <c r="CK90" s="4" t="s">
        <v>55</v>
      </c>
      <c r="CL90" s="4" t="s">
        <v>56</v>
      </c>
      <c r="CM90" s="4" t="s">
        <v>55</v>
      </c>
      <c r="CN90" s="4" t="s">
        <v>56</v>
      </c>
      <c r="CO90" s="4" t="s">
        <v>55</v>
      </c>
      <c r="CP90" s="4" t="s">
        <v>56</v>
      </c>
      <c r="CQ90" s="4" t="s">
        <v>55</v>
      </c>
      <c r="CR90" s="4" t="s">
        <v>56</v>
      </c>
      <c r="CS90" s="4" t="s">
        <v>55</v>
      </c>
      <c r="CT90" s="4" t="s">
        <v>56</v>
      </c>
      <c r="CU90" s="4" t="s">
        <v>55</v>
      </c>
      <c r="CV90" s="4" t="s">
        <v>56</v>
      </c>
      <c r="CW90" s="4" t="s">
        <v>55</v>
      </c>
      <c r="CX90" s="4" t="s">
        <v>56</v>
      </c>
      <c r="CY90" s="4" t="s">
        <v>55</v>
      </c>
      <c r="CZ90" s="4" t="s">
        <v>56</v>
      </c>
      <c r="DA90" s="4" t="s">
        <v>55</v>
      </c>
      <c r="DB90" s="4" t="s">
        <v>56</v>
      </c>
      <c r="DC90" s="4" t="s">
        <v>55</v>
      </c>
      <c r="DD90" s="4" t="s">
        <v>56</v>
      </c>
      <c r="DE90" s="4" t="s">
        <v>55</v>
      </c>
      <c r="DF90" s="4" t="s">
        <v>56</v>
      </c>
      <c r="DG90" s="4" t="s">
        <v>55</v>
      </c>
      <c r="DH90" s="10" t="s">
        <v>56</v>
      </c>
      <c r="DI90" s="10" t="s">
        <v>55</v>
      </c>
      <c r="DJ90" s="10" t="s">
        <v>56</v>
      </c>
      <c r="DK90" s="10" t="s">
        <v>55</v>
      </c>
      <c r="DL90" s="10" t="s">
        <v>56</v>
      </c>
      <c r="DM90" s="10" t="s">
        <v>55</v>
      </c>
      <c r="DN90" s="10" t="s">
        <v>56</v>
      </c>
      <c r="DO90" s="10" t="s">
        <v>55</v>
      </c>
      <c r="DP90" s="10" t="s">
        <v>56</v>
      </c>
      <c r="DQ90" s="10" t="s">
        <v>55</v>
      </c>
      <c r="DR90" s="10" t="s">
        <v>56</v>
      </c>
      <c r="DS90" s="10" t="s">
        <v>55</v>
      </c>
      <c r="DT90" s="10" t="s">
        <v>56</v>
      </c>
      <c r="DU90" s="10" t="s">
        <v>55</v>
      </c>
      <c r="DV90" s="10" t="s">
        <v>56</v>
      </c>
      <c r="DW90" s="10" t="s">
        <v>55</v>
      </c>
      <c r="DX90" s="10" t="s">
        <v>56</v>
      </c>
      <c r="DY90" s="10" t="s">
        <v>55</v>
      </c>
      <c r="DZ90" s="10" t="s">
        <v>56</v>
      </c>
      <c r="EA90" s="10" t="s">
        <v>55</v>
      </c>
      <c r="EB90" s="10" t="s">
        <v>56</v>
      </c>
      <c r="EC90" s="10" t="s">
        <v>55</v>
      </c>
      <c r="ED90" s="10" t="s">
        <v>56</v>
      </c>
      <c r="EE90" s="10" t="s">
        <v>55</v>
      </c>
      <c r="EF90" s="10" t="s">
        <v>56</v>
      </c>
      <c r="EG90" s="10" t="s">
        <v>55</v>
      </c>
      <c r="EH90" s="10" t="s">
        <v>56</v>
      </c>
      <c r="EI90" s="10" t="s">
        <v>55</v>
      </c>
      <c r="EJ90" s="10" t="s">
        <v>56</v>
      </c>
      <c r="EK90" s="10" t="s">
        <v>55</v>
      </c>
      <c r="EL90" s="10" t="s">
        <v>56</v>
      </c>
      <c r="EM90" s="10" t="s">
        <v>55</v>
      </c>
      <c r="EN90" s="10" t="s">
        <v>56</v>
      </c>
      <c r="EO90" s="10" t="s">
        <v>55</v>
      </c>
      <c r="EP90" s="10" t="s">
        <v>56</v>
      </c>
      <c r="EQ90" s="10" t="s">
        <v>55</v>
      </c>
      <c r="ER90" s="10" t="s">
        <v>56</v>
      </c>
      <c r="ES90" s="10" t="s">
        <v>55</v>
      </c>
      <c r="ET90" s="10" t="s">
        <v>56</v>
      </c>
      <c r="EU90" s="10" t="s">
        <v>55</v>
      </c>
      <c r="EV90" s="10" t="s">
        <v>56</v>
      </c>
      <c r="EW90" s="10" t="s">
        <v>55</v>
      </c>
      <c r="EX90" s="10" t="s">
        <v>56</v>
      </c>
      <c r="EY90" s="10" t="s">
        <v>55</v>
      </c>
      <c r="EZ90" s="10" t="s">
        <v>56</v>
      </c>
      <c r="FA90" s="10" t="s">
        <v>55</v>
      </c>
      <c r="FB90" s="10" t="s">
        <v>56</v>
      </c>
      <c r="FC90" s="10" t="s">
        <v>55</v>
      </c>
      <c r="FD90" s="10" t="s">
        <v>56</v>
      </c>
      <c r="FE90" s="10" t="s">
        <v>55</v>
      </c>
      <c r="FF90" s="10" t="s">
        <v>56</v>
      </c>
      <c r="FG90" s="10" t="s">
        <v>55</v>
      </c>
      <c r="FH90" s="10" t="s">
        <v>56</v>
      </c>
      <c r="FI90" s="10" t="s">
        <v>55</v>
      </c>
      <c r="FJ90" s="10" t="s">
        <v>56</v>
      </c>
      <c r="FK90" s="10" t="s">
        <v>55</v>
      </c>
      <c r="FL90" s="10" t="s">
        <v>56</v>
      </c>
      <c r="FM90" s="10" t="s">
        <v>55</v>
      </c>
      <c r="FN90" s="10" t="s">
        <v>56</v>
      </c>
      <c r="FO90" s="10" t="s">
        <v>55</v>
      </c>
      <c r="FP90" s="10" t="s">
        <v>56</v>
      </c>
      <c r="FQ90" s="10" t="s">
        <v>55</v>
      </c>
      <c r="FR90" s="10" t="s">
        <v>56</v>
      </c>
      <c r="FS90" s="10" t="s">
        <v>55</v>
      </c>
      <c r="FT90" s="10" t="s">
        <v>56</v>
      </c>
      <c r="FU90" s="10" t="s">
        <v>55</v>
      </c>
      <c r="FV90" s="10" t="s">
        <v>56</v>
      </c>
      <c r="FW90" s="10" t="s">
        <v>55</v>
      </c>
      <c r="FX90" s="10" t="s">
        <v>56</v>
      </c>
      <c r="FY90" s="10" t="s">
        <v>55</v>
      </c>
      <c r="FZ90" s="10" t="s">
        <v>56</v>
      </c>
      <c r="GA90" s="10" t="s">
        <v>55</v>
      </c>
      <c r="GB90" s="10" t="s">
        <v>56</v>
      </c>
      <c r="GC90" s="10" t="s">
        <v>55</v>
      </c>
      <c r="GD90" s="10" t="s">
        <v>56</v>
      </c>
      <c r="GE90" s="10" t="s">
        <v>55</v>
      </c>
      <c r="GF90" s="10" t="s">
        <v>56</v>
      </c>
      <c r="GG90" s="10" t="s">
        <v>55</v>
      </c>
      <c r="GH90" s="10" t="s">
        <v>56</v>
      </c>
      <c r="GI90" s="10" t="s">
        <v>55</v>
      </c>
      <c r="GJ90" s="10" t="s">
        <v>56</v>
      </c>
      <c r="GK90" s="10" t="s">
        <v>55</v>
      </c>
      <c r="GL90" s="10" t="s">
        <v>56</v>
      </c>
      <c r="GM90" s="10" t="s">
        <v>55</v>
      </c>
      <c r="GN90" s="10" t="s">
        <v>56</v>
      </c>
      <c r="GO90" s="10" t="s">
        <v>55</v>
      </c>
      <c r="GP90" s="10" t="s">
        <v>56</v>
      </c>
      <c r="GQ90" s="10" t="s">
        <v>55</v>
      </c>
      <c r="GR90" s="10" t="s">
        <v>89</v>
      </c>
      <c r="GS90" s="10" t="s">
        <v>55</v>
      </c>
      <c r="GT90" s="10" t="s">
        <v>511</v>
      </c>
      <c r="GU90" s="10" t="s">
        <v>55</v>
      </c>
      <c r="GV90" s="10" t="s">
        <v>199</v>
      </c>
      <c r="GW90" s="10" t="s">
        <v>55</v>
      </c>
      <c r="GX90" s="10" t="s">
        <v>56</v>
      </c>
      <c r="GY90" s="10" t="s">
        <v>55</v>
      </c>
      <c r="GZ90" s="10">
        <v>25.4313</v>
      </c>
      <c r="HA90" s="10" t="s">
        <v>55</v>
      </c>
      <c r="HB90" s="10">
        <v>40.970199999999998</v>
      </c>
      <c r="HC90" s="10" t="s">
        <v>55</v>
      </c>
      <c r="HD90" s="10">
        <v>70.5916</v>
      </c>
      <c r="HE90" s="10" t="s">
        <v>55</v>
      </c>
      <c r="HF90" s="10">
        <v>49.627299999999998</v>
      </c>
      <c r="HG90" s="10" t="s">
        <v>55</v>
      </c>
      <c r="HH90" s="10">
        <v>27.464099999999998</v>
      </c>
      <c r="HI90" s="10" t="s">
        <v>55</v>
      </c>
      <c r="HJ90" s="10" t="s">
        <v>75</v>
      </c>
      <c r="HK90" s="10" t="s">
        <v>55</v>
      </c>
      <c r="HL90" s="10">
        <v>22.084800000000001</v>
      </c>
      <c r="HM90" s="10" t="s">
        <v>55</v>
      </c>
      <c r="HN90" s="10">
        <v>12.010999999999999</v>
      </c>
      <c r="HO90" s="10" t="s">
        <v>55</v>
      </c>
      <c r="HP90" s="10">
        <v>237</v>
      </c>
      <c r="HQ90" s="10">
        <v>16</v>
      </c>
      <c r="HR90" s="10">
        <v>237</v>
      </c>
      <c r="HS90" s="10">
        <v>17</v>
      </c>
      <c r="HT90" s="10">
        <v>25</v>
      </c>
      <c r="HU90" s="10">
        <v>2</v>
      </c>
      <c r="HV90" s="10">
        <v>19.8</v>
      </c>
      <c r="HW90" s="10">
        <v>1.1000000000000001</v>
      </c>
      <c r="HX90" s="10">
        <v>1.69</v>
      </c>
      <c r="HY90" s="10">
        <v>0.2</v>
      </c>
      <c r="HZ90" s="10">
        <v>113</v>
      </c>
      <c r="IA90" s="10">
        <v>8</v>
      </c>
      <c r="IB90" s="10">
        <v>26.1</v>
      </c>
      <c r="IC90" s="10">
        <v>1.8</v>
      </c>
      <c r="ID90" s="1">
        <v>2.1057000000000001</v>
      </c>
      <c r="IE90" s="1">
        <v>0.87290000000000001</v>
      </c>
      <c r="IF90" s="4" t="s">
        <v>75</v>
      </c>
      <c r="IG90" s="4" t="s">
        <v>55</v>
      </c>
      <c r="IH90" s="4" t="s">
        <v>56</v>
      </c>
      <c r="II90" s="4" t="s">
        <v>55</v>
      </c>
      <c r="IJ90" s="4" t="s">
        <v>56</v>
      </c>
      <c r="IK90" s="4" t="s">
        <v>55</v>
      </c>
      <c r="IL90" s="4" t="s">
        <v>56</v>
      </c>
      <c r="IM90" s="4" t="s">
        <v>55</v>
      </c>
      <c r="IN90" s="4" t="s">
        <v>56</v>
      </c>
      <c r="IO90" s="4" t="s">
        <v>55</v>
      </c>
      <c r="IP90" s="4" t="s">
        <v>56</v>
      </c>
      <c r="IQ90" s="4" t="s">
        <v>55</v>
      </c>
      <c r="IR90" s="4" t="s">
        <v>56</v>
      </c>
      <c r="IS90" s="4" t="s">
        <v>55</v>
      </c>
      <c r="IT90" s="4" t="s">
        <v>56</v>
      </c>
      <c r="IU90" s="4" t="s">
        <v>55</v>
      </c>
      <c r="IV90" s="4" t="s">
        <v>56</v>
      </c>
      <c r="IW90" s="4" t="s">
        <v>55</v>
      </c>
      <c r="IX90" s="4" t="s">
        <v>56</v>
      </c>
      <c r="IY90" s="4" t="s">
        <v>55</v>
      </c>
      <c r="IZ90" s="4" t="s">
        <v>56</v>
      </c>
      <c r="JA90" s="4" t="s">
        <v>55</v>
      </c>
      <c r="JB90" s="4" t="s">
        <v>56</v>
      </c>
      <c r="JC90" s="4" t="s">
        <v>55</v>
      </c>
      <c r="JD90" s="4" t="s">
        <v>56</v>
      </c>
      <c r="JE90" s="4" t="s">
        <v>55</v>
      </c>
      <c r="JF90" s="4" t="s">
        <v>56</v>
      </c>
      <c r="JG90" s="4" t="s">
        <v>55</v>
      </c>
      <c r="JH90" s="4" t="s">
        <v>56</v>
      </c>
      <c r="JI90" s="4" t="s">
        <v>55</v>
      </c>
      <c r="JJ90" s="4" t="s">
        <v>56</v>
      </c>
      <c r="JK90" s="4" t="s">
        <v>55</v>
      </c>
      <c r="JL90" s="4" t="s">
        <v>56</v>
      </c>
      <c r="JM90" s="4" t="s">
        <v>55</v>
      </c>
      <c r="JN90" s="4" t="s">
        <v>56</v>
      </c>
      <c r="JO90" s="4" t="s">
        <v>55</v>
      </c>
      <c r="JP90" s="4" t="s">
        <v>56</v>
      </c>
      <c r="JQ90" s="4" t="s">
        <v>55</v>
      </c>
      <c r="JR90" s="4" t="s">
        <v>56</v>
      </c>
      <c r="JS90" s="4" t="s">
        <v>55</v>
      </c>
      <c r="JT90" s="4" t="s">
        <v>56</v>
      </c>
      <c r="JU90" s="4" t="s">
        <v>55</v>
      </c>
      <c r="JV90" s="4" t="s">
        <v>56</v>
      </c>
      <c r="JW90" s="4" t="s">
        <v>55</v>
      </c>
      <c r="JX90" s="26">
        <v>45239.035636269349</v>
      </c>
      <c r="JY90" s="26">
        <v>4669.8716895347625</v>
      </c>
      <c r="JZ90" s="26">
        <v>44860.983101398357</v>
      </c>
      <c r="KA90" s="26">
        <v>6839.6045983346366</v>
      </c>
      <c r="KB90" s="26">
        <v>41996.377224002565</v>
      </c>
      <c r="KC90" s="26">
        <v>6930.7294061036464</v>
      </c>
      <c r="KD90" s="26">
        <v>27061.272423764265</v>
      </c>
      <c r="KE90" s="26">
        <v>4302.5285194749185</v>
      </c>
      <c r="KF90" s="26">
        <v>40636.664918038216</v>
      </c>
      <c r="KG90" s="26">
        <v>1967.9679392133512</v>
      </c>
      <c r="KH90" s="4" t="s">
        <v>56</v>
      </c>
      <c r="KI90" s="4" t="s">
        <v>55</v>
      </c>
      <c r="KJ90" s="4" t="s">
        <v>56</v>
      </c>
      <c r="KK90" s="4" t="s">
        <v>55</v>
      </c>
      <c r="KL90" s="4" t="s">
        <v>56</v>
      </c>
      <c r="KM90" s="4" t="s">
        <v>55</v>
      </c>
      <c r="KN90" s="4" t="s">
        <v>56</v>
      </c>
      <c r="KO90" s="4" t="s">
        <v>55</v>
      </c>
      <c r="KP90" s="4" t="s">
        <v>56</v>
      </c>
      <c r="KQ90" s="4" t="s">
        <v>55</v>
      </c>
      <c r="KR90" s="4">
        <v>121</v>
      </c>
      <c r="KS90" s="4">
        <v>28</v>
      </c>
      <c r="KT90" s="4">
        <v>61.9</v>
      </c>
      <c r="KU90" s="4">
        <v>15</v>
      </c>
      <c r="KV90" s="4">
        <v>1686.4</v>
      </c>
      <c r="KW90" s="4">
        <v>303.8</v>
      </c>
      <c r="KX90" s="4">
        <v>4093.9</v>
      </c>
      <c r="KY90" s="4">
        <v>494.8</v>
      </c>
      <c r="KZ90" s="4">
        <v>3037.6</v>
      </c>
      <c r="LA90" s="4">
        <v>376.2</v>
      </c>
      <c r="LB90" s="10" t="s">
        <v>56</v>
      </c>
      <c r="LC90" s="10" t="s">
        <v>55</v>
      </c>
      <c r="LD90" s="10">
        <f>0.7*1000</f>
        <v>700</v>
      </c>
      <c r="LE90" s="10">
        <f>0.2*1000</f>
        <v>200</v>
      </c>
      <c r="LF90" s="10">
        <f>0.3*1000</f>
        <v>300</v>
      </c>
      <c r="LG90" s="10">
        <f>0.15*1000</f>
        <v>150</v>
      </c>
      <c r="LH90" s="10">
        <f>0.68*1000</f>
        <v>680</v>
      </c>
      <c r="LI90" s="10">
        <f>0.12*1000</f>
        <v>120</v>
      </c>
      <c r="LJ90" s="10" t="s">
        <v>56</v>
      </c>
      <c r="LK90" s="10" t="s">
        <v>162</v>
      </c>
      <c r="LL90" s="10" t="s">
        <v>56</v>
      </c>
      <c r="LM90" s="10" t="s">
        <v>162</v>
      </c>
      <c r="LN90" s="10" t="s">
        <v>56</v>
      </c>
      <c r="LO90" s="10" t="s">
        <v>162</v>
      </c>
      <c r="LP90" s="10" t="s">
        <v>56</v>
      </c>
      <c r="LQ90" s="10" t="s">
        <v>162</v>
      </c>
      <c r="LR90" s="10" t="s">
        <v>56</v>
      </c>
      <c r="LS90" s="10" t="s">
        <v>162</v>
      </c>
      <c r="LT90" s="10" t="s">
        <v>56</v>
      </c>
      <c r="LU90" s="10" t="s">
        <v>162</v>
      </c>
      <c r="LV90" s="10" t="s">
        <v>56</v>
      </c>
      <c r="LW90" s="10" t="s">
        <v>162</v>
      </c>
      <c r="LX90" s="10" t="s">
        <v>56</v>
      </c>
      <c r="LY90" s="10" t="s">
        <v>162</v>
      </c>
      <c r="LZ90" s="10" t="s">
        <v>56</v>
      </c>
      <c r="MA90" s="10" t="s">
        <v>162</v>
      </c>
      <c r="MB90" s="10" t="s">
        <v>56</v>
      </c>
      <c r="MC90" s="10" t="s">
        <v>162</v>
      </c>
      <c r="MD90" s="10" t="s">
        <v>56</v>
      </c>
      <c r="ME90" s="10" t="s">
        <v>162</v>
      </c>
      <c r="MF90" s="10" t="s">
        <v>56</v>
      </c>
      <c r="MG90" s="10" t="s">
        <v>162</v>
      </c>
      <c r="MH90" s="10" t="s">
        <v>56</v>
      </c>
      <c r="MI90" s="10" t="s">
        <v>162</v>
      </c>
      <c r="MJ90" s="10" t="s">
        <v>56</v>
      </c>
      <c r="MK90" s="10" t="s">
        <v>162</v>
      </c>
      <c r="ML90" s="10" t="s">
        <v>56</v>
      </c>
      <c r="MM90" s="10" t="s">
        <v>162</v>
      </c>
      <c r="MN90" s="10" t="s">
        <v>56</v>
      </c>
      <c r="MO90" s="10" t="s">
        <v>162</v>
      </c>
      <c r="MP90" s="10" t="s">
        <v>56</v>
      </c>
      <c r="MQ90" s="10" t="s">
        <v>162</v>
      </c>
      <c r="MR90" s="10" t="s">
        <v>56</v>
      </c>
      <c r="MS90" s="10" t="s">
        <v>162</v>
      </c>
      <c r="MT90" s="10" t="s">
        <v>56</v>
      </c>
      <c r="MU90" s="10" t="s">
        <v>162</v>
      </c>
      <c r="MV90" s="10" t="s">
        <v>56</v>
      </c>
      <c r="MW90" s="10" t="s">
        <v>162</v>
      </c>
      <c r="MX90" s="10" t="s">
        <v>56</v>
      </c>
      <c r="MY90" s="10" t="s">
        <v>162</v>
      </c>
      <c r="MZ90" s="10" t="s">
        <v>56</v>
      </c>
      <c r="NA90" s="10" t="s">
        <v>162</v>
      </c>
      <c r="NB90" s="10" t="s">
        <v>56</v>
      </c>
      <c r="NC90" s="10" t="s">
        <v>162</v>
      </c>
      <c r="ND90" s="10" t="s">
        <v>56</v>
      </c>
      <c r="NE90" s="10" t="s">
        <v>162</v>
      </c>
      <c r="NF90" s="10" t="s">
        <v>56</v>
      </c>
      <c r="NG90" s="10" t="s">
        <v>162</v>
      </c>
      <c r="NH90" s="10" t="s">
        <v>56</v>
      </c>
      <c r="NI90" s="10" t="s">
        <v>162</v>
      </c>
      <c r="NJ90" s="10" t="s">
        <v>56</v>
      </c>
      <c r="NK90" s="10" t="s">
        <v>162</v>
      </c>
      <c r="NL90" s="10" t="s">
        <v>56</v>
      </c>
      <c r="NM90" s="10" t="s">
        <v>162</v>
      </c>
      <c r="NN90" s="10" t="s">
        <v>56</v>
      </c>
      <c r="NO90" s="10" t="s">
        <v>162</v>
      </c>
      <c r="NP90" s="10" t="s">
        <v>56</v>
      </c>
      <c r="NQ90" s="10" t="s">
        <v>162</v>
      </c>
      <c r="NR90" s="10" t="s">
        <v>57</v>
      </c>
      <c r="NS90" s="10" t="s">
        <v>55</v>
      </c>
      <c r="NT90" s="10" t="s">
        <v>620</v>
      </c>
      <c r="NU90" s="10" t="s">
        <v>55</v>
      </c>
    </row>
    <row r="91" spans="1:385" x14ac:dyDescent="0.2">
      <c r="A91" t="s">
        <v>879</v>
      </c>
      <c r="B91" s="1" t="s">
        <v>1037</v>
      </c>
      <c r="C91" s="1" t="s">
        <v>1053</v>
      </c>
      <c r="D91" s="39" cm="1">
        <f t="array" ref="D91">SUMPRODUCT((ISNUMBER(F91:NU91))*(MOD(COLUMN(F91:NU91),2)=0))</f>
        <v>54</v>
      </c>
      <c r="E91" s="1">
        <v>131.16999999999999</v>
      </c>
      <c r="F91" s="17" t="s">
        <v>56</v>
      </c>
      <c r="G91" s="17" t="s">
        <v>55</v>
      </c>
      <c r="H91" s="17" t="s">
        <v>56</v>
      </c>
      <c r="I91" s="17" t="s">
        <v>55</v>
      </c>
      <c r="J91" s="17" t="s">
        <v>56</v>
      </c>
      <c r="K91" s="17" t="s">
        <v>55</v>
      </c>
      <c r="L91" s="17" t="s">
        <v>56</v>
      </c>
      <c r="M91" s="17" t="s">
        <v>55</v>
      </c>
      <c r="N91" s="17" t="s">
        <v>56</v>
      </c>
      <c r="O91" s="17" t="s">
        <v>55</v>
      </c>
      <c r="P91" s="17" t="s">
        <v>56</v>
      </c>
      <c r="Q91" s="17" t="s">
        <v>55</v>
      </c>
      <c r="R91" s="17" t="s">
        <v>56</v>
      </c>
      <c r="S91" s="17" t="s">
        <v>55</v>
      </c>
      <c r="T91" s="17" t="s">
        <v>56</v>
      </c>
      <c r="U91" s="17" t="s">
        <v>55</v>
      </c>
      <c r="V91" s="17" t="s">
        <v>56</v>
      </c>
      <c r="W91" s="17" t="s">
        <v>55</v>
      </c>
      <c r="X91" s="17" t="s">
        <v>56</v>
      </c>
      <c r="Y91" s="17" t="s">
        <v>55</v>
      </c>
      <c r="Z91" s="17" t="s">
        <v>56</v>
      </c>
      <c r="AA91" s="17" t="s">
        <v>55</v>
      </c>
      <c r="AB91" s="17" t="s">
        <v>56</v>
      </c>
      <c r="AC91" s="17" t="s">
        <v>55</v>
      </c>
      <c r="AD91" s="17" t="s">
        <v>56</v>
      </c>
      <c r="AE91" s="17" t="s">
        <v>55</v>
      </c>
      <c r="AF91" s="17" t="s">
        <v>56</v>
      </c>
      <c r="AG91" s="17" t="s">
        <v>55</v>
      </c>
      <c r="AH91" s="17" t="s">
        <v>56</v>
      </c>
      <c r="AI91" s="17" t="s">
        <v>55</v>
      </c>
      <c r="AJ91" s="17" t="s">
        <v>56</v>
      </c>
      <c r="AK91" s="17" t="s">
        <v>55</v>
      </c>
      <c r="AL91" s="4" t="s">
        <v>57</v>
      </c>
      <c r="AM91" s="4" t="s">
        <v>55</v>
      </c>
      <c r="AN91" s="17" t="s">
        <v>56</v>
      </c>
      <c r="AO91" s="17" t="s">
        <v>55</v>
      </c>
      <c r="AP91" s="17" t="s">
        <v>56</v>
      </c>
      <c r="AQ91" s="17" t="s">
        <v>55</v>
      </c>
      <c r="AR91" s="17" t="s">
        <v>56</v>
      </c>
      <c r="AS91" s="17" t="s">
        <v>55</v>
      </c>
      <c r="AT91" s="17" t="s">
        <v>56</v>
      </c>
      <c r="AU91" s="17" t="s">
        <v>55</v>
      </c>
      <c r="AV91" s="17" t="s">
        <v>56</v>
      </c>
      <c r="AW91" s="17" t="s">
        <v>55</v>
      </c>
      <c r="AX91" s="17" t="s">
        <v>56</v>
      </c>
      <c r="AY91" s="17" t="s">
        <v>55</v>
      </c>
      <c r="AZ91" s="4" t="s">
        <v>57</v>
      </c>
      <c r="BA91" s="4" t="s">
        <v>55</v>
      </c>
      <c r="BB91" s="4" t="s">
        <v>57</v>
      </c>
      <c r="BC91" s="4" t="s">
        <v>55</v>
      </c>
      <c r="BD91" s="4" t="s">
        <v>56</v>
      </c>
      <c r="BE91" s="1" t="s">
        <v>55</v>
      </c>
      <c r="BF91" s="4" t="s">
        <v>56</v>
      </c>
      <c r="BG91" s="1" t="s">
        <v>55</v>
      </c>
      <c r="BH91" s="4" t="s">
        <v>56</v>
      </c>
      <c r="BI91" s="1" t="s">
        <v>55</v>
      </c>
      <c r="BJ91" s="4" t="s">
        <v>56</v>
      </c>
      <c r="BK91" s="1" t="s">
        <v>55</v>
      </c>
      <c r="BL91" s="4" t="s">
        <v>91</v>
      </c>
      <c r="BM91" s="4" t="s">
        <v>55</v>
      </c>
      <c r="BN91" s="4" t="s">
        <v>56</v>
      </c>
      <c r="BO91" s="4" t="s">
        <v>55</v>
      </c>
      <c r="BP91" s="4" t="s">
        <v>56</v>
      </c>
      <c r="BQ91" s="4" t="s">
        <v>55</v>
      </c>
      <c r="BR91" s="4" t="s">
        <v>56</v>
      </c>
      <c r="BS91" s="4" t="s">
        <v>162</v>
      </c>
      <c r="BT91" s="4" t="s">
        <v>56</v>
      </c>
      <c r="BU91" s="4" t="s">
        <v>162</v>
      </c>
      <c r="BV91" s="4" t="s">
        <v>56</v>
      </c>
      <c r="BW91" s="4" t="s">
        <v>162</v>
      </c>
      <c r="BX91" s="4" t="s">
        <v>56</v>
      </c>
      <c r="BY91" s="4" t="s">
        <v>162</v>
      </c>
      <c r="BZ91" s="4" t="s">
        <v>56</v>
      </c>
      <c r="CA91" s="4" t="s">
        <v>162</v>
      </c>
      <c r="CB91" s="4" t="s">
        <v>56</v>
      </c>
      <c r="CC91" s="4" t="s">
        <v>162</v>
      </c>
      <c r="CD91" s="4" t="s">
        <v>56</v>
      </c>
      <c r="CE91" s="4" t="s">
        <v>162</v>
      </c>
      <c r="CF91" s="4" t="s">
        <v>56</v>
      </c>
      <c r="CG91" s="4" t="s">
        <v>162</v>
      </c>
      <c r="CH91" s="4" t="s">
        <v>56</v>
      </c>
      <c r="CI91" s="4" t="s">
        <v>162</v>
      </c>
      <c r="CJ91" s="4" t="s">
        <v>56</v>
      </c>
      <c r="CK91" s="4" t="s">
        <v>162</v>
      </c>
      <c r="CL91" s="4" t="s">
        <v>56</v>
      </c>
      <c r="CM91" s="4" t="s">
        <v>162</v>
      </c>
      <c r="CN91" s="4" t="s">
        <v>56</v>
      </c>
      <c r="CO91" s="4" t="s">
        <v>162</v>
      </c>
      <c r="CP91" s="4" t="s">
        <v>56</v>
      </c>
      <c r="CQ91" s="4" t="s">
        <v>162</v>
      </c>
      <c r="CR91" s="4" t="s">
        <v>56</v>
      </c>
      <c r="CS91" s="4" t="s">
        <v>162</v>
      </c>
      <c r="CT91" s="4" t="s">
        <v>56</v>
      </c>
      <c r="CU91" s="4" t="s">
        <v>162</v>
      </c>
      <c r="CV91" s="4" t="s">
        <v>56</v>
      </c>
      <c r="CW91" s="4" t="s">
        <v>162</v>
      </c>
      <c r="CX91" s="4" t="s">
        <v>56</v>
      </c>
      <c r="CY91" s="4" t="s">
        <v>162</v>
      </c>
      <c r="CZ91" s="4" t="s">
        <v>56</v>
      </c>
      <c r="DA91" s="4" t="s">
        <v>162</v>
      </c>
      <c r="DB91" s="4" t="s">
        <v>56</v>
      </c>
      <c r="DC91" s="4" t="s">
        <v>162</v>
      </c>
      <c r="DD91" s="4" t="s">
        <v>56</v>
      </c>
      <c r="DE91" s="4" t="s">
        <v>162</v>
      </c>
      <c r="DF91" s="4" t="s">
        <v>56</v>
      </c>
      <c r="DG91" s="4" t="s">
        <v>162</v>
      </c>
      <c r="DH91" s="4" t="s">
        <v>56</v>
      </c>
      <c r="DI91" s="4" t="s">
        <v>162</v>
      </c>
      <c r="DJ91" s="4" t="s">
        <v>56</v>
      </c>
      <c r="DK91" s="4" t="s">
        <v>162</v>
      </c>
      <c r="DL91" s="4" t="s">
        <v>56</v>
      </c>
      <c r="DM91" s="4" t="s">
        <v>162</v>
      </c>
      <c r="DN91" s="4" t="s">
        <v>56</v>
      </c>
      <c r="DO91" s="4" t="s">
        <v>162</v>
      </c>
      <c r="DP91" s="4" t="s">
        <v>56</v>
      </c>
      <c r="DQ91" s="4" t="s">
        <v>162</v>
      </c>
      <c r="DR91" s="4" t="s">
        <v>56</v>
      </c>
      <c r="DS91" s="4" t="s">
        <v>162</v>
      </c>
      <c r="DT91" s="4" t="s">
        <v>56</v>
      </c>
      <c r="DU91" s="4" t="s">
        <v>162</v>
      </c>
      <c r="DV91" s="4" t="s">
        <v>56</v>
      </c>
      <c r="DW91" s="4" t="s">
        <v>162</v>
      </c>
      <c r="DX91" s="4" t="s">
        <v>56</v>
      </c>
      <c r="DY91" s="4" t="s">
        <v>162</v>
      </c>
      <c r="DZ91" s="4" t="s">
        <v>56</v>
      </c>
      <c r="EA91" s="4" t="s">
        <v>162</v>
      </c>
      <c r="EB91" s="4" t="s">
        <v>56</v>
      </c>
      <c r="EC91" s="4" t="s">
        <v>162</v>
      </c>
      <c r="ED91" s="4" t="s">
        <v>56</v>
      </c>
      <c r="EE91" s="4" t="s">
        <v>162</v>
      </c>
      <c r="EF91" s="4" t="s">
        <v>56</v>
      </c>
      <c r="EG91" s="4" t="s">
        <v>162</v>
      </c>
      <c r="EH91" s="4" t="s">
        <v>56</v>
      </c>
      <c r="EI91" s="4" t="s">
        <v>162</v>
      </c>
      <c r="EJ91" s="4" t="s">
        <v>56</v>
      </c>
      <c r="EK91" s="4" t="s">
        <v>162</v>
      </c>
      <c r="EL91" s="4" t="s">
        <v>56</v>
      </c>
      <c r="EM91" s="4" t="s">
        <v>162</v>
      </c>
      <c r="EN91" s="4" t="s">
        <v>56</v>
      </c>
      <c r="EO91" s="4" t="s">
        <v>162</v>
      </c>
      <c r="EP91" s="4" t="s">
        <v>56</v>
      </c>
      <c r="EQ91" s="4" t="s">
        <v>162</v>
      </c>
      <c r="ER91" s="4" t="s">
        <v>56</v>
      </c>
      <c r="ES91" s="4" t="s">
        <v>162</v>
      </c>
      <c r="ET91" s="4" t="s">
        <v>56</v>
      </c>
      <c r="EU91" s="4" t="s">
        <v>162</v>
      </c>
      <c r="EV91" s="4" t="s">
        <v>56</v>
      </c>
      <c r="EW91" s="4" t="s">
        <v>162</v>
      </c>
      <c r="EX91" s="4" t="s">
        <v>56</v>
      </c>
      <c r="EY91" s="4" t="s">
        <v>162</v>
      </c>
      <c r="EZ91" s="4" t="s">
        <v>56</v>
      </c>
      <c r="FA91" s="4" t="s">
        <v>162</v>
      </c>
      <c r="FB91" s="4" t="s">
        <v>56</v>
      </c>
      <c r="FC91" s="4" t="s">
        <v>162</v>
      </c>
      <c r="FD91" s="4" t="s">
        <v>56</v>
      </c>
      <c r="FE91" s="4" t="s">
        <v>162</v>
      </c>
      <c r="FF91" s="4" t="s">
        <v>56</v>
      </c>
      <c r="FG91" s="4" t="s">
        <v>162</v>
      </c>
      <c r="FH91" s="4" t="s">
        <v>56</v>
      </c>
      <c r="FI91" s="4" t="s">
        <v>162</v>
      </c>
      <c r="FJ91" s="4" t="s">
        <v>56</v>
      </c>
      <c r="FK91" s="4" t="s">
        <v>162</v>
      </c>
      <c r="FL91" s="4" t="s">
        <v>56</v>
      </c>
      <c r="FM91" s="4" t="s">
        <v>162</v>
      </c>
      <c r="FN91" s="4" t="s">
        <v>56</v>
      </c>
      <c r="FO91" s="4" t="s">
        <v>162</v>
      </c>
      <c r="FP91" s="4" t="s">
        <v>56</v>
      </c>
      <c r="FQ91" s="4" t="s">
        <v>162</v>
      </c>
      <c r="FR91" s="4" t="s">
        <v>56</v>
      </c>
      <c r="FS91" s="4" t="s">
        <v>162</v>
      </c>
      <c r="FT91" s="10" t="s">
        <v>157</v>
      </c>
      <c r="FU91" s="10" t="s">
        <v>55</v>
      </c>
      <c r="FV91" s="10" t="s">
        <v>157</v>
      </c>
      <c r="FW91" s="10" t="s">
        <v>55</v>
      </c>
      <c r="FX91" s="36" t="s">
        <v>157</v>
      </c>
      <c r="FY91" s="36" t="s">
        <v>55</v>
      </c>
      <c r="FZ91" s="36" t="s">
        <v>157</v>
      </c>
      <c r="GA91" s="36" t="s">
        <v>55</v>
      </c>
      <c r="GB91" s="36" t="s">
        <v>157</v>
      </c>
      <c r="GC91" s="36" t="s">
        <v>55</v>
      </c>
      <c r="GD91" s="36" t="s">
        <v>157</v>
      </c>
      <c r="GE91" s="36" t="s">
        <v>55</v>
      </c>
      <c r="GF91" s="10" t="s">
        <v>157</v>
      </c>
      <c r="GG91" s="10" t="s">
        <v>55</v>
      </c>
      <c r="GH91" s="10" t="s">
        <v>157</v>
      </c>
      <c r="GI91" s="10" t="s">
        <v>55</v>
      </c>
      <c r="GJ91" s="10">
        <v>0.21</v>
      </c>
      <c r="GK91" s="10">
        <v>0.05</v>
      </c>
      <c r="GL91" s="10" t="s">
        <v>157</v>
      </c>
      <c r="GM91" s="10" t="s">
        <v>55</v>
      </c>
      <c r="GN91" s="10" t="s">
        <v>157</v>
      </c>
      <c r="GO91" s="10" t="s">
        <v>55</v>
      </c>
      <c r="GP91" s="10" t="s">
        <v>157</v>
      </c>
      <c r="GQ91" s="10" t="s">
        <v>55</v>
      </c>
      <c r="GR91" s="17" t="s">
        <v>56</v>
      </c>
      <c r="GS91" s="17" t="s">
        <v>55</v>
      </c>
      <c r="GT91" s="17" t="s">
        <v>56</v>
      </c>
      <c r="GU91" s="17" t="s">
        <v>55</v>
      </c>
      <c r="GV91" s="17" t="s">
        <v>56</v>
      </c>
      <c r="GW91" s="17" t="s">
        <v>55</v>
      </c>
      <c r="GX91" s="10" t="s">
        <v>56</v>
      </c>
      <c r="GY91" s="10" t="s">
        <v>55</v>
      </c>
      <c r="GZ91" s="10" t="s">
        <v>56</v>
      </c>
      <c r="HA91" s="10" t="s">
        <v>55</v>
      </c>
      <c r="HB91" s="10" t="s">
        <v>56</v>
      </c>
      <c r="HC91" s="10" t="s">
        <v>55</v>
      </c>
      <c r="HD91" s="10" t="s">
        <v>56</v>
      </c>
      <c r="HE91" s="10" t="s">
        <v>55</v>
      </c>
      <c r="HF91" s="10" t="s">
        <v>56</v>
      </c>
      <c r="HG91" s="10" t="s">
        <v>55</v>
      </c>
      <c r="HH91" s="10" t="s">
        <v>56</v>
      </c>
      <c r="HI91" s="10" t="s">
        <v>55</v>
      </c>
      <c r="HJ91" s="10" t="s">
        <v>56</v>
      </c>
      <c r="HK91" s="10" t="s">
        <v>55</v>
      </c>
      <c r="HL91" s="10" t="s">
        <v>56</v>
      </c>
      <c r="HM91" s="10" t="s">
        <v>55</v>
      </c>
      <c r="HN91" s="10" t="s">
        <v>56</v>
      </c>
      <c r="HO91" s="10" t="s">
        <v>55</v>
      </c>
      <c r="HP91" s="10" t="s">
        <v>56</v>
      </c>
      <c r="HQ91" s="10" t="s">
        <v>55</v>
      </c>
      <c r="HR91" s="10" t="s">
        <v>56</v>
      </c>
      <c r="HS91" s="10" t="s">
        <v>55</v>
      </c>
      <c r="HT91" s="10" t="s">
        <v>56</v>
      </c>
      <c r="HU91" s="10" t="s">
        <v>55</v>
      </c>
      <c r="HV91" s="10" t="s">
        <v>56</v>
      </c>
      <c r="HW91" s="10" t="s">
        <v>55</v>
      </c>
      <c r="HX91" s="10" t="s">
        <v>56</v>
      </c>
      <c r="HY91" s="10" t="s">
        <v>55</v>
      </c>
      <c r="HZ91" s="10" t="s">
        <v>56</v>
      </c>
      <c r="IA91" s="10" t="s">
        <v>55</v>
      </c>
      <c r="IB91" s="10" t="s">
        <v>56</v>
      </c>
      <c r="IC91" s="10" t="s">
        <v>55</v>
      </c>
      <c r="ID91" s="10" t="s">
        <v>56</v>
      </c>
      <c r="IE91" s="10" t="s">
        <v>55</v>
      </c>
      <c r="IF91" s="10" t="s">
        <v>56</v>
      </c>
      <c r="IG91" s="10" t="s">
        <v>55</v>
      </c>
      <c r="IH91" s="4">
        <v>3.3</v>
      </c>
      <c r="II91" s="4" t="s">
        <v>55</v>
      </c>
      <c r="IJ91" s="4">
        <v>3.3</v>
      </c>
      <c r="IK91" s="4" t="s">
        <v>55</v>
      </c>
      <c r="IL91" s="4">
        <v>1.3</v>
      </c>
      <c r="IM91" s="4" t="s">
        <v>55</v>
      </c>
      <c r="IN91" s="4">
        <v>6.1</v>
      </c>
      <c r="IO91" s="4" t="s">
        <v>55</v>
      </c>
      <c r="IP91" s="4">
        <v>125</v>
      </c>
      <c r="IQ91" s="4" t="s">
        <v>55</v>
      </c>
      <c r="IR91" s="4">
        <v>2.9</v>
      </c>
      <c r="IS91" s="4">
        <v>0.24</v>
      </c>
      <c r="IT91" s="18" t="s">
        <v>56</v>
      </c>
      <c r="IU91" s="18" t="s">
        <v>55</v>
      </c>
      <c r="IV91" s="4">
        <v>12.31</v>
      </c>
      <c r="IW91" s="4" t="s">
        <v>55</v>
      </c>
      <c r="IX91" s="4">
        <f>0.01*1000</f>
        <v>10</v>
      </c>
      <c r="IY91" s="4" t="s">
        <v>55</v>
      </c>
      <c r="IZ91" s="4">
        <f>0.02*1000</f>
        <v>20</v>
      </c>
      <c r="JA91" s="4" t="s">
        <v>55</v>
      </c>
      <c r="JB91" s="4">
        <f>0.35*1000</f>
        <v>350</v>
      </c>
      <c r="JC91" s="4" t="s">
        <v>55</v>
      </c>
      <c r="JD91" s="4">
        <f>0.07*1000</f>
        <v>70</v>
      </c>
      <c r="JE91" s="4" t="s">
        <v>55</v>
      </c>
      <c r="JF91" s="4">
        <v>0.13600000000000001</v>
      </c>
      <c r="JG91" s="4" t="s">
        <v>55</v>
      </c>
      <c r="JH91" s="4">
        <v>0.11700000000000001</v>
      </c>
      <c r="JI91" s="4" t="s">
        <v>55</v>
      </c>
      <c r="JJ91" s="4">
        <v>0.158</v>
      </c>
      <c r="JK91" s="4" t="s">
        <v>55</v>
      </c>
      <c r="JL91" s="4">
        <v>0.55000000000000004</v>
      </c>
      <c r="JM91" s="4" t="s">
        <v>55</v>
      </c>
      <c r="JN91" s="4">
        <v>0.439</v>
      </c>
      <c r="JO91" s="4" t="s">
        <v>55</v>
      </c>
      <c r="JP91" s="4">
        <v>0.32900000000000001</v>
      </c>
      <c r="JQ91" s="4" t="s">
        <v>55</v>
      </c>
      <c r="JR91" s="4">
        <v>0.41</v>
      </c>
      <c r="JS91" s="4" t="s">
        <v>55</v>
      </c>
      <c r="JT91" s="4">
        <v>0.39300000000000002</v>
      </c>
      <c r="JU91" s="4" t="s">
        <v>55</v>
      </c>
      <c r="JV91" s="4">
        <v>30.05</v>
      </c>
      <c r="JW91" s="4" t="s">
        <v>55</v>
      </c>
      <c r="JX91" s="26" t="s">
        <v>56</v>
      </c>
      <c r="JY91" s="26" t="s">
        <v>55</v>
      </c>
      <c r="JZ91" s="26" t="s">
        <v>56</v>
      </c>
      <c r="KA91" s="26" t="s">
        <v>55</v>
      </c>
      <c r="KB91" s="26" t="s">
        <v>56</v>
      </c>
      <c r="KC91" s="26" t="s">
        <v>55</v>
      </c>
      <c r="KD91" s="26" t="s">
        <v>56</v>
      </c>
      <c r="KE91" s="26" t="s">
        <v>55</v>
      </c>
      <c r="KF91" s="26" t="s">
        <v>56</v>
      </c>
      <c r="KG91" s="26" t="s">
        <v>55</v>
      </c>
      <c r="KH91" s="4">
        <f>90.3*1000</f>
        <v>90300</v>
      </c>
      <c r="KI91" s="4">
        <f>9*1000</f>
        <v>9000</v>
      </c>
      <c r="KJ91" s="4">
        <f>966.8*1000</f>
        <v>966800</v>
      </c>
      <c r="KK91" s="4">
        <f>61.9*1000</f>
        <v>61900</v>
      </c>
      <c r="KL91" s="4">
        <f>107.6*1000</f>
        <v>107600</v>
      </c>
      <c r="KM91" s="4">
        <f>11.4*1000</f>
        <v>11400</v>
      </c>
      <c r="KN91" s="4">
        <f>46*1000</f>
        <v>46000</v>
      </c>
      <c r="KO91" s="4">
        <f>5.2*1000</f>
        <v>5200</v>
      </c>
      <c r="KP91" s="4">
        <f>360.2*1000</f>
        <v>360200</v>
      </c>
      <c r="KQ91" s="4">
        <f>30.3*1000</f>
        <v>30300</v>
      </c>
      <c r="KR91" s="17" t="s">
        <v>56</v>
      </c>
      <c r="KS91" s="17" t="s">
        <v>55</v>
      </c>
      <c r="KT91" s="17" t="s">
        <v>56</v>
      </c>
      <c r="KU91" s="17" t="s">
        <v>55</v>
      </c>
      <c r="KV91" s="17" t="s">
        <v>56</v>
      </c>
      <c r="KW91" s="17" t="s">
        <v>55</v>
      </c>
      <c r="KX91" s="17" t="s">
        <v>56</v>
      </c>
      <c r="KY91" s="17" t="s">
        <v>55</v>
      </c>
      <c r="KZ91" s="17" t="s">
        <v>56</v>
      </c>
      <c r="LA91" s="17" t="s">
        <v>55</v>
      </c>
      <c r="LB91" s="10">
        <f>((2.7/100)*1000000000)/E91</f>
        <v>205839.74994282235</v>
      </c>
      <c r="LC91" s="10">
        <f>((0.1/100)*1000000000)/E91</f>
        <v>7623.6944423267523</v>
      </c>
      <c r="LD91" s="10" t="s">
        <v>56</v>
      </c>
      <c r="LE91" s="10" t="s">
        <v>55</v>
      </c>
      <c r="LF91" s="10" t="s">
        <v>56</v>
      </c>
      <c r="LG91" s="10" t="s">
        <v>55</v>
      </c>
      <c r="LH91" s="10" t="s">
        <v>56</v>
      </c>
      <c r="LI91" s="10" t="s">
        <v>55</v>
      </c>
      <c r="LJ91" s="10">
        <f>((8.42/100)*1000000000)/E91</f>
        <v>641915.07204391249</v>
      </c>
      <c r="LK91" s="10" t="s">
        <v>162</v>
      </c>
      <c r="LL91" s="10">
        <f>(68.9*1000000)/E91</f>
        <v>525272.54707631317</v>
      </c>
      <c r="LM91" s="10">
        <f>(0.11*1000000)/E91</f>
        <v>838.60638865594274</v>
      </c>
      <c r="LN91" s="10">
        <f>((0.77/100)*1000000000)/E91</f>
        <v>58702.447205915989</v>
      </c>
      <c r="LO91" s="10" t="s">
        <v>162</v>
      </c>
      <c r="LP91" s="10">
        <f>((8.18/100)*1000000000)/E91</f>
        <v>623618.20538232836</v>
      </c>
      <c r="LQ91" s="10" t="s">
        <v>55</v>
      </c>
      <c r="LR91" s="10">
        <f>((7.49/100)*1000000000)/E91</f>
        <v>571014.71373027388</v>
      </c>
      <c r="LS91" s="10" t="s">
        <v>55</v>
      </c>
      <c r="LT91" s="10">
        <f>((5.69/100)*1000000000)/E91</f>
        <v>433788.21376839228</v>
      </c>
      <c r="LU91" s="10" t="s">
        <v>55</v>
      </c>
      <c r="LV91" s="10">
        <f>((139/100)*1000000)/E91</f>
        <v>10596.935274834186</v>
      </c>
      <c r="LW91" s="10" t="s">
        <v>55</v>
      </c>
      <c r="LX91" s="10">
        <f>((142/100)*1000000)/E91</f>
        <v>10825.646108103989</v>
      </c>
      <c r="LY91" s="10" t="s">
        <v>55</v>
      </c>
      <c r="LZ91" s="10">
        <f>((153/100)*1000000)/E91</f>
        <v>11664.252496759931</v>
      </c>
      <c r="MA91" s="10" t="s">
        <v>55</v>
      </c>
      <c r="MB91" s="10">
        <f>((133/100)*1000000)/E91</f>
        <v>10139.513608294581</v>
      </c>
      <c r="MC91" s="10" t="s">
        <v>55</v>
      </c>
      <c r="MD91" s="4">
        <v>8604</v>
      </c>
      <c r="ME91" s="4" t="s">
        <v>55</v>
      </c>
      <c r="MF91" s="4">
        <v>7654</v>
      </c>
      <c r="MG91" s="4" t="s">
        <v>55</v>
      </c>
      <c r="MH91" s="4">
        <v>7066</v>
      </c>
      <c r="MI91" s="4" t="s">
        <v>55</v>
      </c>
      <c r="MJ91" s="4">
        <v>6807</v>
      </c>
      <c r="MK91" s="4" t="s">
        <v>55</v>
      </c>
      <c r="ML91" s="4">
        <v>8462</v>
      </c>
      <c r="MM91" s="4" t="s">
        <v>55</v>
      </c>
      <c r="MN91" s="4">
        <v>8572</v>
      </c>
      <c r="MO91" s="4" t="s">
        <v>55</v>
      </c>
      <c r="MP91" s="4">
        <v>9381</v>
      </c>
      <c r="MQ91" s="4" t="s">
        <v>55</v>
      </c>
      <c r="MR91" s="4">
        <v>9078</v>
      </c>
      <c r="MS91" s="4" t="s">
        <v>55</v>
      </c>
      <c r="MT91" s="4">
        <v>10084</v>
      </c>
      <c r="MU91" s="4" t="s">
        <v>55</v>
      </c>
      <c r="MV91" s="4">
        <v>8683</v>
      </c>
      <c r="MW91" s="4" t="s">
        <v>55</v>
      </c>
      <c r="MX91" s="4">
        <v>8218</v>
      </c>
      <c r="MY91" s="4" t="s">
        <v>55</v>
      </c>
      <c r="MZ91" s="4">
        <v>9554</v>
      </c>
      <c r="NA91" s="4" t="s">
        <v>55</v>
      </c>
      <c r="NB91" s="10" t="s">
        <v>317</v>
      </c>
      <c r="NC91" s="10" t="s">
        <v>55</v>
      </c>
      <c r="ND91" s="10" t="s">
        <v>317</v>
      </c>
      <c r="NE91" s="10" t="s">
        <v>55</v>
      </c>
      <c r="NF91" s="10">
        <f>(1.07*1000000)/E91</f>
        <v>8157.3530532896248</v>
      </c>
      <c r="NG91" s="10" t="s">
        <v>55</v>
      </c>
      <c r="NH91" s="10">
        <f>(0.205*1000000)/E91</f>
        <v>1562.8573606769842</v>
      </c>
      <c r="NI91" s="10" t="s">
        <v>55</v>
      </c>
      <c r="NJ91" s="10">
        <f>(8.02*1000000)/E91</f>
        <v>61142.029427460555</v>
      </c>
      <c r="NK91" s="10" t="s">
        <v>55</v>
      </c>
      <c r="NL91" s="10" t="s">
        <v>658</v>
      </c>
      <c r="NM91" s="4" t="s">
        <v>55</v>
      </c>
      <c r="NN91" s="4">
        <f>((3.77/100)*1000000)/E91</f>
        <v>287.41328047571858</v>
      </c>
      <c r="NO91" s="4" t="s">
        <v>55</v>
      </c>
      <c r="NP91" s="4">
        <f>(61*1000000)/E91</f>
        <v>465045.36098193191</v>
      </c>
      <c r="NQ91" s="4">
        <f>(1.38*1000000)/E91</f>
        <v>10520.698330410918</v>
      </c>
      <c r="NR91" s="10" t="s">
        <v>56</v>
      </c>
      <c r="NS91" s="10" t="s">
        <v>55</v>
      </c>
      <c r="NT91" s="10" t="s">
        <v>56</v>
      </c>
      <c r="NU91" s="10" t="s">
        <v>55</v>
      </c>
    </row>
    <row r="92" spans="1:385" x14ac:dyDescent="0.2">
      <c r="A92" t="s">
        <v>30</v>
      </c>
      <c r="B92" s="1" t="s">
        <v>1037</v>
      </c>
      <c r="C92" s="1" t="s">
        <v>858</v>
      </c>
      <c r="D92" s="39" cm="1">
        <f t="array" ref="D92">SUMPRODUCT((ISNUMBER(F92:NU92))*(MOD(COLUMN(F92:NU92),2)=0))</f>
        <v>8</v>
      </c>
      <c r="E92" s="1">
        <v>131.16999999999999</v>
      </c>
      <c r="F92" s="1" t="s">
        <v>54</v>
      </c>
      <c r="G92" s="1" t="s">
        <v>55</v>
      </c>
      <c r="H92" s="1" t="s">
        <v>54</v>
      </c>
      <c r="I92" s="1" t="s">
        <v>55</v>
      </c>
      <c r="J92" s="1" t="s">
        <v>75</v>
      </c>
      <c r="K92" s="1" t="s">
        <v>55</v>
      </c>
      <c r="L92" s="1" t="s">
        <v>54</v>
      </c>
      <c r="M92" s="1" t="s">
        <v>55</v>
      </c>
      <c r="N92" s="1" t="s">
        <v>75</v>
      </c>
      <c r="O92" s="1" t="s">
        <v>55</v>
      </c>
      <c r="P92" s="1" t="s">
        <v>56</v>
      </c>
      <c r="Q92" s="1" t="s">
        <v>55</v>
      </c>
      <c r="R92" s="1" t="s">
        <v>56</v>
      </c>
      <c r="S92" s="1" t="s">
        <v>55</v>
      </c>
      <c r="T92" s="1" t="s">
        <v>56</v>
      </c>
      <c r="U92" s="1" t="s">
        <v>55</v>
      </c>
      <c r="V92" s="1" t="s">
        <v>56</v>
      </c>
      <c r="W92" s="1" t="s">
        <v>55</v>
      </c>
      <c r="X92" s="1" t="s">
        <v>56</v>
      </c>
      <c r="Y92" s="1" t="s">
        <v>55</v>
      </c>
      <c r="Z92" s="1" t="s">
        <v>56</v>
      </c>
      <c r="AA92" s="1" t="s">
        <v>55</v>
      </c>
      <c r="AB92" s="1" t="s">
        <v>56</v>
      </c>
      <c r="AC92" s="1" t="s">
        <v>55</v>
      </c>
      <c r="AD92" s="1" t="s">
        <v>56</v>
      </c>
      <c r="AE92" s="1" t="s">
        <v>55</v>
      </c>
      <c r="AF92" s="4" t="s">
        <v>56</v>
      </c>
      <c r="AG92" s="4" t="s">
        <v>55</v>
      </c>
      <c r="AH92" s="4" t="s">
        <v>56</v>
      </c>
      <c r="AI92" s="4" t="s">
        <v>55</v>
      </c>
      <c r="AJ92" s="4" t="s">
        <v>56</v>
      </c>
      <c r="AK92" s="4" t="s">
        <v>55</v>
      </c>
      <c r="AL92" s="4" t="s">
        <v>56</v>
      </c>
      <c r="AM92" s="4" t="s">
        <v>55</v>
      </c>
      <c r="AN92" s="17" t="s">
        <v>56</v>
      </c>
      <c r="AO92" s="1" t="s">
        <v>55</v>
      </c>
      <c r="AP92" s="11" t="s">
        <v>56</v>
      </c>
      <c r="AQ92" s="11" t="s">
        <v>55</v>
      </c>
      <c r="AR92" s="10">
        <f>101/E92</f>
        <v>0.76999313867500196</v>
      </c>
      <c r="AS92" s="10">
        <f>9/E92</f>
        <v>6.8613249980940774E-2</v>
      </c>
      <c r="AT92" s="4" t="s">
        <v>56</v>
      </c>
      <c r="AU92" s="4" t="s">
        <v>55</v>
      </c>
      <c r="AV92" s="4" t="s">
        <v>56</v>
      </c>
      <c r="AW92" s="4" t="s">
        <v>55</v>
      </c>
      <c r="AX92" s="4" t="s">
        <v>56</v>
      </c>
      <c r="AY92" s="4" t="s">
        <v>55</v>
      </c>
      <c r="AZ92" s="4" t="s">
        <v>56</v>
      </c>
      <c r="BA92" s="4" t="s">
        <v>55</v>
      </c>
      <c r="BB92" s="4" t="s">
        <v>56</v>
      </c>
      <c r="BC92" s="4" t="s">
        <v>55</v>
      </c>
      <c r="BD92" s="4" t="s">
        <v>56</v>
      </c>
      <c r="BE92" s="1" t="s">
        <v>55</v>
      </c>
      <c r="BF92" s="1" t="s">
        <v>56</v>
      </c>
      <c r="BG92" s="1" t="s">
        <v>55</v>
      </c>
      <c r="BH92" s="1" t="s">
        <v>56</v>
      </c>
      <c r="BI92" s="1" t="s">
        <v>55</v>
      </c>
      <c r="BJ92" s="1" t="s">
        <v>56</v>
      </c>
      <c r="BK92" s="1" t="s">
        <v>55</v>
      </c>
      <c r="BL92" s="1" t="s">
        <v>56</v>
      </c>
      <c r="BM92" s="1" t="s">
        <v>55</v>
      </c>
      <c r="BN92" s="4" t="s">
        <v>56</v>
      </c>
      <c r="BO92" s="4" t="s">
        <v>55</v>
      </c>
      <c r="BP92" s="4" t="s">
        <v>56</v>
      </c>
      <c r="BQ92" s="4" t="s">
        <v>55</v>
      </c>
      <c r="BR92" s="4" t="s">
        <v>56</v>
      </c>
      <c r="BS92" s="4" t="s">
        <v>162</v>
      </c>
      <c r="BT92" s="4" t="s">
        <v>56</v>
      </c>
      <c r="BU92" s="4" t="s">
        <v>55</v>
      </c>
      <c r="BV92" s="4" t="s">
        <v>56</v>
      </c>
      <c r="BW92" s="4" t="s">
        <v>55</v>
      </c>
      <c r="BX92" s="4" t="s">
        <v>56</v>
      </c>
      <c r="BY92" s="4" t="s">
        <v>55</v>
      </c>
      <c r="BZ92" s="4" t="s">
        <v>56</v>
      </c>
      <c r="CA92" s="4" t="s">
        <v>55</v>
      </c>
      <c r="CB92" s="4" t="s">
        <v>56</v>
      </c>
      <c r="CC92" s="4" t="s">
        <v>55</v>
      </c>
      <c r="CD92" s="4" t="s">
        <v>56</v>
      </c>
      <c r="CE92" s="4" t="s">
        <v>55</v>
      </c>
      <c r="CF92" s="4" t="s">
        <v>56</v>
      </c>
      <c r="CG92" s="4" t="s">
        <v>55</v>
      </c>
      <c r="CH92" s="4" t="s">
        <v>56</v>
      </c>
      <c r="CI92" s="4" t="s">
        <v>55</v>
      </c>
      <c r="CJ92" s="4" t="s">
        <v>56</v>
      </c>
      <c r="CK92" s="4" t="s">
        <v>55</v>
      </c>
      <c r="CL92" s="4" t="s">
        <v>56</v>
      </c>
      <c r="CM92" s="4" t="s">
        <v>55</v>
      </c>
      <c r="CN92" s="4" t="s">
        <v>56</v>
      </c>
      <c r="CO92" s="4" t="s">
        <v>55</v>
      </c>
      <c r="CP92" s="4" t="s">
        <v>56</v>
      </c>
      <c r="CQ92" s="4" t="s">
        <v>55</v>
      </c>
      <c r="CR92" s="4" t="s">
        <v>56</v>
      </c>
      <c r="CS92" s="4" t="s">
        <v>55</v>
      </c>
      <c r="CT92" s="4" t="s">
        <v>56</v>
      </c>
      <c r="CU92" s="4" t="s">
        <v>55</v>
      </c>
      <c r="CV92" s="4" t="s">
        <v>56</v>
      </c>
      <c r="CW92" s="4" t="s">
        <v>55</v>
      </c>
      <c r="CX92" s="4" t="s">
        <v>56</v>
      </c>
      <c r="CY92" s="4" t="s">
        <v>55</v>
      </c>
      <c r="CZ92" s="4" t="s">
        <v>56</v>
      </c>
      <c r="DA92" s="4" t="s">
        <v>55</v>
      </c>
      <c r="DB92" s="4" t="s">
        <v>56</v>
      </c>
      <c r="DC92" s="4" t="s">
        <v>55</v>
      </c>
      <c r="DD92" s="4" t="s">
        <v>56</v>
      </c>
      <c r="DE92" s="4" t="s">
        <v>55</v>
      </c>
      <c r="DF92" s="4" t="s">
        <v>56</v>
      </c>
      <c r="DG92" s="4" t="s">
        <v>55</v>
      </c>
      <c r="DH92" s="10" t="s">
        <v>56</v>
      </c>
      <c r="DI92" s="10" t="s">
        <v>55</v>
      </c>
      <c r="DJ92" s="10" t="s">
        <v>56</v>
      </c>
      <c r="DK92" s="10" t="s">
        <v>55</v>
      </c>
      <c r="DL92" s="10" t="s">
        <v>56</v>
      </c>
      <c r="DM92" s="10" t="s">
        <v>55</v>
      </c>
      <c r="DN92" s="10" t="s">
        <v>56</v>
      </c>
      <c r="DO92" s="10" t="s">
        <v>55</v>
      </c>
      <c r="DP92" s="10" t="s">
        <v>56</v>
      </c>
      <c r="DQ92" s="10" t="s">
        <v>55</v>
      </c>
      <c r="DR92" s="10" t="s">
        <v>56</v>
      </c>
      <c r="DS92" s="10" t="s">
        <v>55</v>
      </c>
      <c r="DT92" s="10" t="s">
        <v>56</v>
      </c>
      <c r="DU92" s="10" t="s">
        <v>55</v>
      </c>
      <c r="DV92" s="10" t="s">
        <v>56</v>
      </c>
      <c r="DW92" s="10" t="s">
        <v>55</v>
      </c>
      <c r="DX92" s="10" t="s">
        <v>56</v>
      </c>
      <c r="DY92" s="10" t="s">
        <v>55</v>
      </c>
      <c r="DZ92" s="10" t="s">
        <v>56</v>
      </c>
      <c r="EA92" s="10" t="s">
        <v>55</v>
      </c>
      <c r="EB92" s="10" t="s">
        <v>56</v>
      </c>
      <c r="EC92" s="10" t="s">
        <v>55</v>
      </c>
      <c r="ED92" s="10" t="s">
        <v>56</v>
      </c>
      <c r="EE92" s="10" t="s">
        <v>55</v>
      </c>
      <c r="EF92" s="10" t="s">
        <v>56</v>
      </c>
      <c r="EG92" s="10" t="s">
        <v>55</v>
      </c>
      <c r="EH92" s="10" t="s">
        <v>56</v>
      </c>
      <c r="EI92" s="10" t="s">
        <v>55</v>
      </c>
      <c r="EJ92" s="10" t="s">
        <v>56</v>
      </c>
      <c r="EK92" s="10" t="s">
        <v>55</v>
      </c>
      <c r="EL92" s="10" t="s">
        <v>56</v>
      </c>
      <c r="EM92" s="10" t="s">
        <v>55</v>
      </c>
      <c r="EN92" s="10" t="s">
        <v>56</v>
      </c>
      <c r="EO92" s="10" t="s">
        <v>55</v>
      </c>
      <c r="EP92" s="10" t="s">
        <v>56</v>
      </c>
      <c r="EQ92" s="10" t="s">
        <v>55</v>
      </c>
      <c r="ER92" s="10" t="s">
        <v>56</v>
      </c>
      <c r="ES92" s="10" t="s">
        <v>55</v>
      </c>
      <c r="ET92" s="10" t="s">
        <v>56</v>
      </c>
      <c r="EU92" s="10" t="s">
        <v>55</v>
      </c>
      <c r="EV92" s="10" t="s">
        <v>56</v>
      </c>
      <c r="EW92" s="10" t="s">
        <v>55</v>
      </c>
      <c r="EX92" s="10" t="s">
        <v>56</v>
      </c>
      <c r="EY92" s="10" t="s">
        <v>55</v>
      </c>
      <c r="EZ92" s="10" t="s">
        <v>56</v>
      </c>
      <c r="FA92" s="10" t="s">
        <v>55</v>
      </c>
      <c r="FB92" s="10" t="s">
        <v>56</v>
      </c>
      <c r="FC92" s="10" t="s">
        <v>55</v>
      </c>
      <c r="FD92" s="10" t="s">
        <v>56</v>
      </c>
      <c r="FE92" s="10" t="s">
        <v>55</v>
      </c>
      <c r="FF92" s="10" t="s">
        <v>56</v>
      </c>
      <c r="FG92" s="10" t="s">
        <v>55</v>
      </c>
      <c r="FH92" s="10" t="s">
        <v>56</v>
      </c>
      <c r="FI92" s="10" t="s">
        <v>55</v>
      </c>
      <c r="FJ92" s="10" t="s">
        <v>56</v>
      </c>
      <c r="FK92" s="10" t="s">
        <v>55</v>
      </c>
      <c r="FL92" s="10" t="s">
        <v>56</v>
      </c>
      <c r="FM92" s="10" t="s">
        <v>55</v>
      </c>
      <c r="FN92" s="10" t="s">
        <v>56</v>
      </c>
      <c r="FO92" s="10" t="s">
        <v>55</v>
      </c>
      <c r="FP92" s="10" t="s">
        <v>56</v>
      </c>
      <c r="FQ92" s="10" t="s">
        <v>55</v>
      </c>
      <c r="FR92" s="10" t="s">
        <v>56</v>
      </c>
      <c r="FS92" s="10" t="s">
        <v>55</v>
      </c>
      <c r="FT92" s="10" t="s">
        <v>56</v>
      </c>
      <c r="FU92" s="10" t="s">
        <v>55</v>
      </c>
      <c r="FV92" s="10" t="s">
        <v>56</v>
      </c>
      <c r="FW92" s="10" t="s">
        <v>55</v>
      </c>
      <c r="FX92" s="10" t="s">
        <v>56</v>
      </c>
      <c r="FY92" s="10" t="s">
        <v>55</v>
      </c>
      <c r="FZ92" s="10" t="s">
        <v>56</v>
      </c>
      <c r="GA92" s="10" t="s">
        <v>55</v>
      </c>
      <c r="GB92" s="10" t="s">
        <v>56</v>
      </c>
      <c r="GC92" s="10" t="s">
        <v>55</v>
      </c>
      <c r="GD92" s="10" t="s">
        <v>56</v>
      </c>
      <c r="GE92" s="10" t="s">
        <v>55</v>
      </c>
      <c r="GF92" s="10" t="s">
        <v>56</v>
      </c>
      <c r="GG92" s="10" t="s">
        <v>55</v>
      </c>
      <c r="GH92" s="10" t="s">
        <v>56</v>
      </c>
      <c r="GI92" s="10" t="s">
        <v>55</v>
      </c>
      <c r="GJ92" s="10" t="s">
        <v>56</v>
      </c>
      <c r="GK92" s="10" t="s">
        <v>55</v>
      </c>
      <c r="GL92" s="10" t="s">
        <v>56</v>
      </c>
      <c r="GM92" s="10" t="s">
        <v>55</v>
      </c>
      <c r="GN92" s="10" t="s">
        <v>56</v>
      </c>
      <c r="GO92" s="10" t="s">
        <v>55</v>
      </c>
      <c r="GP92" s="10" t="s">
        <v>56</v>
      </c>
      <c r="GQ92" s="10" t="s">
        <v>55</v>
      </c>
      <c r="GR92" s="10" t="s">
        <v>87</v>
      </c>
      <c r="GS92" s="10" t="s">
        <v>55</v>
      </c>
      <c r="GT92" s="10" t="s">
        <v>87</v>
      </c>
      <c r="GU92" s="10" t="s">
        <v>55</v>
      </c>
      <c r="GV92" s="10">
        <v>6.9000000000000006E-2</v>
      </c>
      <c r="GW92" s="10">
        <v>5.0000000000000001E-3</v>
      </c>
      <c r="GX92" s="10" t="s">
        <v>56</v>
      </c>
      <c r="GY92" s="10" t="s">
        <v>55</v>
      </c>
      <c r="GZ92" s="10" t="s">
        <v>56</v>
      </c>
      <c r="HA92" s="10" t="s">
        <v>55</v>
      </c>
      <c r="HB92" s="10" t="s">
        <v>56</v>
      </c>
      <c r="HC92" s="10" t="s">
        <v>55</v>
      </c>
      <c r="HD92" s="10" t="s">
        <v>56</v>
      </c>
      <c r="HE92" s="10" t="s">
        <v>55</v>
      </c>
      <c r="HF92" s="10" t="s">
        <v>56</v>
      </c>
      <c r="HG92" s="10" t="s">
        <v>55</v>
      </c>
      <c r="HH92" s="10" t="s">
        <v>56</v>
      </c>
      <c r="HI92" s="10" t="s">
        <v>55</v>
      </c>
      <c r="HJ92" s="10" t="s">
        <v>56</v>
      </c>
      <c r="HK92" s="10" t="s">
        <v>55</v>
      </c>
      <c r="HL92" s="10" t="s">
        <v>56</v>
      </c>
      <c r="HM92" s="10" t="s">
        <v>55</v>
      </c>
      <c r="HN92" s="10" t="s">
        <v>56</v>
      </c>
      <c r="HO92" s="10" t="s">
        <v>55</v>
      </c>
      <c r="HP92" s="10">
        <v>5</v>
      </c>
      <c r="HQ92" s="10">
        <v>0.3</v>
      </c>
      <c r="HR92" s="10">
        <v>4.9000000000000004</v>
      </c>
      <c r="HS92" s="10">
        <v>0.3</v>
      </c>
      <c r="HT92" s="10">
        <v>0.65</v>
      </c>
      <c r="HU92" s="10">
        <v>0.05</v>
      </c>
      <c r="HV92" s="10">
        <v>0.4</v>
      </c>
      <c r="HW92" s="10">
        <v>0.04</v>
      </c>
      <c r="HX92" s="10" t="s">
        <v>317</v>
      </c>
      <c r="HY92" s="10" t="s">
        <v>55</v>
      </c>
      <c r="HZ92" s="10">
        <v>2.44</v>
      </c>
      <c r="IA92" s="10">
        <v>0.12</v>
      </c>
      <c r="IB92" s="10" t="s">
        <v>317</v>
      </c>
      <c r="IC92" s="10" t="s">
        <v>55</v>
      </c>
      <c r="ID92" s="1">
        <v>9.8299999999999998E-2</v>
      </c>
      <c r="IE92" s="1">
        <v>2.5899999999999999E-2</v>
      </c>
      <c r="IF92" s="4" t="s">
        <v>372</v>
      </c>
      <c r="IG92" s="4" t="s">
        <v>55</v>
      </c>
      <c r="IH92" s="4" t="s">
        <v>56</v>
      </c>
      <c r="II92" s="4" t="s">
        <v>55</v>
      </c>
      <c r="IJ92" s="4" t="s">
        <v>56</v>
      </c>
      <c r="IK92" s="4" t="s">
        <v>55</v>
      </c>
      <c r="IL92" s="4" t="s">
        <v>56</v>
      </c>
      <c r="IM92" s="4" t="s">
        <v>55</v>
      </c>
      <c r="IN92" s="4" t="s">
        <v>56</v>
      </c>
      <c r="IO92" s="4" t="s">
        <v>55</v>
      </c>
      <c r="IP92" s="4" t="s">
        <v>56</v>
      </c>
      <c r="IQ92" s="4" t="s">
        <v>55</v>
      </c>
      <c r="IR92" s="4" t="s">
        <v>56</v>
      </c>
      <c r="IS92" s="4" t="s">
        <v>55</v>
      </c>
      <c r="IT92" s="4" t="s">
        <v>56</v>
      </c>
      <c r="IU92" s="4" t="s">
        <v>55</v>
      </c>
      <c r="IV92" s="4" t="s">
        <v>56</v>
      </c>
      <c r="IW92" s="4" t="s">
        <v>55</v>
      </c>
      <c r="IX92" s="4" t="s">
        <v>56</v>
      </c>
      <c r="IY92" s="4" t="s">
        <v>55</v>
      </c>
      <c r="IZ92" s="4" t="s">
        <v>56</v>
      </c>
      <c r="JA92" s="4" t="s">
        <v>55</v>
      </c>
      <c r="JB92" s="4" t="s">
        <v>56</v>
      </c>
      <c r="JC92" s="4" t="s">
        <v>55</v>
      </c>
      <c r="JD92" s="4" t="s">
        <v>56</v>
      </c>
      <c r="JE92" s="4" t="s">
        <v>55</v>
      </c>
      <c r="JF92" s="4" t="s">
        <v>56</v>
      </c>
      <c r="JG92" s="4" t="s">
        <v>55</v>
      </c>
      <c r="JH92" s="4" t="s">
        <v>56</v>
      </c>
      <c r="JI92" s="4" t="s">
        <v>55</v>
      </c>
      <c r="JJ92" s="4" t="s">
        <v>56</v>
      </c>
      <c r="JK92" s="4" t="s">
        <v>55</v>
      </c>
      <c r="JL92" s="4" t="s">
        <v>56</v>
      </c>
      <c r="JM92" s="4" t="s">
        <v>55</v>
      </c>
      <c r="JN92" s="4" t="s">
        <v>56</v>
      </c>
      <c r="JO92" s="4" t="s">
        <v>55</v>
      </c>
      <c r="JP92" s="4" t="s">
        <v>56</v>
      </c>
      <c r="JQ92" s="4" t="s">
        <v>55</v>
      </c>
      <c r="JR92" s="4" t="s">
        <v>56</v>
      </c>
      <c r="JS92" s="4" t="s">
        <v>55</v>
      </c>
      <c r="JT92" s="4" t="s">
        <v>56</v>
      </c>
      <c r="JU92" s="4" t="s">
        <v>55</v>
      </c>
      <c r="JV92" s="4" t="s">
        <v>56</v>
      </c>
      <c r="JW92" s="4" t="s">
        <v>55</v>
      </c>
      <c r="JX92" s="26" t="s">
        <v>61</v>
      </c>
      <c r="JY92" s="26" t="s">
        <v>55</v>
      </c>
      <c r="JZ92" s="26" t="s">
        <v>61</v>
      </c>
      <c r="KA92" s="26" t="s">
        <v>55</v>
      </c>
      <c r="KB92" s="26" t="s">
        <v>61</v>
      </c>
      <c r="KC92" s="26" t="s">
        <v>55</v>
      </c>
      <c r="KD92" s="26" t="s">
        <v>61</v>
      </c>
      <c r="KE92" s="26" t="s">
        <v>55</v>
      </c>
      <c r="KF92" s="26" t="s">
        <v>61</v>
      </c>
      <c r="KG92" s="26" t="s">
        <v>55</v>
      </c>
      <c r="KH92" s="4" t="s">
        <v>56</v>
      </c>
      <c r="KI92" s="4" t="s">
        <v>55</v>
      </c>
      <c r="KJ92" s="4" t="s">
        <v>56</v>
      </c>
      <c r="KK92" s="4" t="s">
        <v>55</v>
      </c>
      <c r="KL92" s="4" t="s">
        <v>56</v>
      </c>
      <c r="KM92" s="4" t="s">
        <v>55</v>
      </c>
      <c r="KN92" s="4" t="s">
        <v>56</v>
      </c>
      <c r="KO92" s="4" t="s">
        <v>55</v>
      </c>
      <c r="KP92" s="4" t="s">
        <v>56</v>
      </c>
      <c r="KQ92" s="4" t="s">
        <v>55</v>
      </c>
      <c r="KR92" s="17" t="s">
        <v>56</v>
      </c>
      <c r="KS92" s="17" t="s">
        <v>55</v>
      </c>
      <c r="KT92" s="17" t="s">
        <v>56</v>
      </c>
      <c r="KU92" s="17" t="s">
        <v>55</v>
      </c>
      <c r="KV92" s="4" t="s">
        <v>57</v>
      </c>
      <c r="KW92" s="4" t="s">
        <v>55</v>
      </c>
      <c r="KX92" s="4" t="s">
        <v>57</v>
      </c>
      <c r="KY92" s="4" t="s">
        <v>55</v>
      </c>
      <c r="KZ92" s="4" t="s">
        <v>57</v>
      </c>
      <c r="LA92" s="4" t="s">
        <v>55</v>
      </c>
      <c r="LB92" s="10" t="s">
        <v>56</v>
      </c>
      <c r="LC92" s="10" t="s">
        <v>55</v>
      </c>
      <c r="LD92" s="10" t="s">
        <v>56</v>
      </c>
      <c r="LE92" s="10" t="s">
        <v>55</v>
      </c>
      <c r="LF92" s="10" t="s">
        <v>56</v>
      </c>
      <c r="LG92" s="10" t="s">
        <v>55</v>
      </c>
      <c r="LH92" s="10" t="s">
        <v>56</v>
      </c>
      <c r="LI92" s="10" t="s">
        <v>55</v>
      </c>
      <c r="LJ92" s="10" t="s">
        <v>56</v>
      </c>
      <c r="LK92" s="10" t="s">
        <v>162</v>
      </c>
      <c r="LL92" s="10" t="s">
        <v>56</v>
      </c>
      <c r="LM92" s="10" t="s">
        <v>162</v>
      </c>
      <c r="LN92" s="10" t="s">
        <v>56</v>
      </c>
      <c r="LO92" s="10" t="s">
        <v>162</v>
      </c>
      <c r="LP92" s="10" t="s">
        <v>56</v>
      </c>
      <c r="LQ92" s="10" t="s">
        <v>162</v>
      </c>
      <c r="LR92" s="10" t="s">
        <v>56</v>
      </c>
      <c r="LS92" s="10" t="s">
        <v>162</v>
      </c>
      <c r="LT92" s="10" t="s">
        <v>56</v>
      </c>
      <c r="LU92" s="10" t="s">
        <v>162</v>
      </c>
      <c r="LV92" s="10" t="s">
        <v>56</v>
      </c>
      <c r="LW92" s="10" t="s">
        <v>162</v>
      </c>
      <c r="LX92" s="10" t="s">
        <v>56</v>
      </c>
      <c r="LY92" s="10" t="s">
        <v>162</v>
      </c>
      <c r="LZ92" s="10" t="s">
        <v>56</v>
      </c>
      <c r="MA92" s="10" t="s">
        <v>162</v>
      </c>
      <c r="MB92" s="10" t="s">
        <v>56</v>
      </c>
      <c r="MC92" s="10" t="s">
        <v>162</v>
      </c>
      <c r="MD92" s="10" t="s">
        <v>56</v>
      </c>
      <c r="ME92" s="10" t="s">
        <v>162</v>
      </c>
      <c r="MF92" s="10" t="s">
        <v>56</v>
      </c>
      <c r="MG92" s="10" t="s">
        <v>162</v>
      </c>
      <c r="MH92" s="10" t="s">
        <v>56</v>
      </c>
      <c r="MI92" s="10" t="s">
        <v>162</v>
      </c>
      <c r="MJ92" s="10" t="s">
        <v>56</v>
      </c>
      <c r="MK92" s="10" t="s">
        <v>162</v>
      </c>
      <c r="ML92" s="10" t="s">
        <v>56</v>
      </c>
      <c r="MM92" s="10" t="s">
        <v>162</v>
      </c>
      <c r="MN92" s="10" t="s">
        <v>56</v>
      </c>
      <c r="MO92" s="10" t="s">
        <v>162</v>
      </c>
      <c r="MP92" s="10" t="s">
        <v>56</v>
      </c>
      <c r="MQ92" s="10" t="s">
        <v>162</v>
      </c>
      <c r="MR92" s="10" t="s">
        <v>56</v>
      </c>
      <c r="MS92" s="10" t="s">
        <v>162</v>
      </c>
      <c r="MT92" s="10" t="s">
        <v>56</v>
      </c>
      <c r="MU92" s="10" t="s">
        <v>162</v>
      </c>
      <c r="MV92" s="10" t="s">
        <v>56</v>
      </c>
      <c r="MW92" s="10" t="s">
        <v>162</v>
      </c>
      <c r="MX92" s="10" t="s">
        <v>56</v>
      </c>
      <c r="MY92" s="10" t="s">
        <v>162</v>
      </c>
      <c r="MZ92" s="10" t="s">
        <v>56</v>
      </c>
      <c r="NA92" s="10" t="s">
        <v>162</v>
      </c>
      <c r="NB92" s="10" t="s">
        <v>56</v>
      </c>
      <c r="NC92" s="10" t="s">
        <v>162</v>
      </c>
      <c r="ND92" s="10" t="s">
        <v>56</v>
      </c>
      <c r="NE92" s="10" t="s">
        <v>162</v>
      </c>
      <c r="NF92" s="10" t="s">
        <v>56</v>
      </c>
      <c r="NG92" s="10" t="s">
        <v>162</v>
      </c>
      <c r="NH92" s="10" t="s">
        <v>56</v>
      </c>
      <c r="NI92" s="10" t="s">
        <v>162</v>
      </c>
      <c r="NJ92" s="10" t="s">
        <v>56</v>
      </c>
      <c r="NK92" s="10" t="s">
        <v>162</v>
      </c>
      <c r="NL92" s="10" t="s">
        <v>56</v>
      </c>
      <c r="NM92" s="10" t="s">
        <v>162</v>
      </c>
      <c r="NN92" s="10" t="s">
        <v>56</v>
      </c>
      <c r="NO92" s="10" t="s">
        <v>162</v>
      </c>
      <c r="NP92" s="10" t="s">
        <v>56</v>
      </c>
      <c r="NQ92" s="10" t="s">
        <v>162</v>
      </c>
      <c r="NR92" s="10" t="s">
        <v>57</v>
      </c>
      <c r="NS92" s="10" t="s">
        <v>55</v>
      </c>
      <c r="NT92" s="10" t="s">
        <v>56</v>
      </c>
      <c r="NU92" s="10" t="s">
        <v>55</v>
      </c>
    </row>
    <row r="93" spans="1:385" x14ac:dyDescent="0.2">
      <c r="A93" t="s">
        <v>31</v>
      </c>
      <c r="B93" s="1" t="s">
        <v>1037</v>
      </c>
      <c r="C93" s="1" t="s">
        <v>859</v>
      </c>
      <c r="D93" s="39" cm="1">
        <f t="array" ref="D93">SUMPRODUCT((ISNUMBER(F93:NU93))*(MOD(COLUMN(F93:NU93),2)=0))</f>
        <v>25</v>
      </c>
      <c r="E93" s="1">
        <v>131.16999999999999</v>
      </c>
      <c r="F93" s="1">
        <v>1.8E-3</v>
      </c>
      <c r="G93" s="1" t="s">
        <v>58</v>
      </c>
      <c r="H93" s="1">
        <v>1.49E-2</v>
      </c>
      <c r="I93" s="1" t="s">
        <v>58</v>
      </c>
      <c r="J93" s="1">
        <v>1.3100000000000001E-2</v>
      </c>
      <c r="K93" s="1">
        <v>1E-4</v>
      </c>
      <c r="L93" s="1">
        <v>1.4E-3</v>
      </c>
      <c r="M93" s="1" t="s">
        <v>58</v>
      </c>
      <c r="N93" s="1" t="s">
        <v>54</v>
      </c>
      <c r="O93" s="1" t="s">
        <v>55</v>
      </c>
      <c r="P93" s="1" t="s">
        <v>56</v>
      </c>
      <c r="Q93" s="1" t="s">
        <v>55</v>
      </c>
      <c r="R93" s="1" t="s">
        <v>56</v>
      </c>
      <c r="S93" s="1" t="s">
        <v>55</v>
      </c>
      <c r="T93" s="1" t="s">
        <v>56</v>
      </c>
      <c r="U93" s="1" t="s">
        <v>55</v>
      </c>
      <c r="V93" s="1" t="s">
        <v>56</v>
      </c>
      <c r="W93" s="1" t="s">
        <v>55</v>
      </c>
      <c r="X93" s="1" t="s">
        <v>56</v>
      </c>
      <c r="Y93" s="1" t="s">
        <v>55</v>
      </c>
      <c r="Z93" s="1" t="s">
        <v>56</v>
      </c>
      <c r="AA93" s="1" t="s">
        <v>55</v>
      </c>
      <c r="AB93" s="1" t="s">
        <v>56</v>
      </c>
      <c r="AC93" s="1" t="s">
        <v>55</v>
      </c>
      <c r="AD93" s="1" t="s">
        <v>56</v>
      </c>
      <c r="AE93" s="1" t="s">
        <v>55</v>
      </c>
      <c r="AF93" s="4" t="s">
        <v>56</v>
      </c>
      <c r="AG93" s="4" t="s">
        <v>55</v>
      </c>
      <c r="AH93" s="4" t="s">
        <v>56</v>
      </c>
      <c r="AI93" s="4" t="s">
        <v>55</v>
      </c>
      <c r="AJ93" s="4" t="s">
        <v>56</v>
      </c>
      <c r="AK93" s="4" t="s">
        <v>55</v>
      </c>
      <c r="AL93" s="4" t="s">
        <v>56</v>
      </c>
      <c r="AM93" s="4" t="s">
        <v>55</v>
      </c>
      <c r="AN93" s="17" t="s">
        <v>56</v>
      </c>
      <c r="AO93" s="1" t="s">
        <v>55</v>
      </c>
      <c r="AP93" s="11" t="s">
        <v>56</v>
      </c>
      <c r="AQ93" s="11" t="s">
        <v>55</v>
      </c>
      <c r="AR93" s="10">
        <f>251/E93</f>
        <v>1.9135473050240148</v>
      </c>
      <c r="AS93" s="10">
        <f>60/E93</f>
        <v>0.45742166653960514</v>
      </c>
      <c r="AT93" s="4" t="s">
        <v>56</v>
      </c>
      <c r="AU93" s="4" t="s">
        <v>55</v>
      </c>
      <c r="AV93" s="4" t="s">
        <v>56</v>
      </c>
      <c r="AW93" s="4" t="s">
        <v>55</v>
      </c>
      <c r="AX93" s="4" t="s">
        <v>56</v>
      </c>
      <c r="AY93" s="4" t="s">
        <v>55</v>
      </c>
      <c r="AZ93" s="4" t="s">
        <v>56</v>
      </c>
      <c r="BA93" s="4" t="s">
        <v>55</v>
      </c>
      <c r="BB93" s="4" t="s">
        <v>56</v>
      </c>
      <c r="BC93" s="4" t="s">
        <v>55</v>
      </c>
      <c r="BD93" s="4">
        <v>2</v>
      </c>
      <c r="BE93" s="1" t="s">
        <v>55</v>
      </c>
      <c r="BF93" s="1" t="s">
        <v>56</v>
      </c>
      <c r="BG93" s="1" t="s">
        <v>55</v>
      </c>
      <c r="BH93" s="1" t="s">
        <v>56</v>
      </c>
      <c r="BI93" s="1" t="s">
        <v>55</v>
      </c>
      <c r="BJ93" s="1" t="s">
        <v>56</v>
      </c>
      <c r="BK93" s="1" t="s">
        <v>55</v>
      </c>
      <c r="BL93" s="1" t="s">
        <v>56</v>
      </c>
      <c r="BM93" s="1" t="s">
        <v>55</v>
      </c>
      <c r="BN93" s="4" t="s">
        <v>56</v>
      </c>
      <c r="BO93" s="4" t="s">
        <v>55</v>
      </c>
      <c r="BP93" s="4" t="s">
        <v>56</v>
      </c>
      <c r="BQ93" s="4" t="s">
        <v>55</v>
      </c>
      <c r="BR93" s="4" t="s">
        <v>56</v>
      </c>
      <c r="BS93" s="4" t="s">
        <v>162</v>
      </c>
      <c r="BT93" s="4" t="s">
        <v>56</v>
      </c>
      <c r="BU93" s="4" t="s">
        <v>55</v>
      </c>
      <c r="BV93" s="4" t="s">
        <v>56</v>
      </c>
      <c r="BW93" s="4" t="s">
        <v>55</v>
      </c>
      <c r="BX93" s="4" t="s">
        <v>56</v>
      </c>
      <c r="BY93" s="4" t="s">
        <v>55</v>
      </c>
      <c r="BZ93" s="4" t="s">
        <v>56</v>
      </c>
      <c r="CA93" s="4" t="s">
        <v>55</v>
      </c>
      <c r="CB93" s="4" t="s">
        <v>56</v>
      </c>
      <c r="CC93" s="4" t="s">
        <v>55</v>
      </c>
      <c r="CD93" s="4" t="s">
        <v>56</v>
      </c>
      <c r="CE93" s="4" t="s">
        <v>55</v>
      </c>
      <c r="CF93" s="4" t="s">
        <v>56</v>
      </c>
      <c r="CG93" s="4" t="s">
        <v>55</v>
      </c>
      <c r="CH93" s="4" t="s">
        <v>56</v>
      </c>
      <c r="CI93" s="4" t="s">
        <v>55</v>
      </c>
      <c r="CJ93" s="4" t="s">
        <v>56</v>
      </c>
      <c r="CK93" s="4" t="s">
        <v>55</v>
      </c>
      <c r="CL93" s="4" t="s">
        <v>56</v>
      </c>
      <c r="CM93" s="4" t="s">
        <v>55</v>
      </c>
      <c r="CN93" s="4" t="s">
        <v>56</v>
      </c>
      <c r="CO93" s="4" t="s">
        <v>55</v>
      </c>
      <c r="CP93" s="4" t="s">
        <v>56</v>
      </c>
      <c r="CQ93" s="4" t="s">
        <v>55</v>
      </c>
      <c r="CR93" s="4" t="s">
        <v>56</v>
      </c>
      <c r="CS93" s="4" t="s">
        <v>55</v>
      </c>
      <c r="CT93" s="4" t="s">
        <v>56</v>
      </c>
      <c r="CU93" s="4" t="s">
        <v>55</v>
      </c>
      <c r="CV93" s="4" t="s">
        <v>56</v>
      </c>
      <c r="CW93" s="4" t="s">
        <v>55</v>
      </c>
      <c r="CX93" s="4" t="s">
        <v>56</v>
      </c>
      <c r="CY93" s="4" t="s">
        <v>55</v>
      </c>
      <c r="CZ93" s="4" t="s">
        <v>56</v>
      </c>
      <c r="DA93" s="4" t="s">
        <v>55</v>
      </c>
      <c r="DB93" s="4" t="s">
        <v>56</v>
      </c>
      <c r="DC93" s="4" t="s">
        <v>55</v>
      </c>
      <c r="DD93" s="4" t="s">
        <v>56</v>
      </c>
      <c r="DE93" s="4" t="s">
        <v>55</v>
      </c>
      <c r="DF93" s="4" t="s">
        <v>56</v>
      </c>
      <c r="DG93" s="4" t="s">
        <v>55</v>
      </c>
      <c r="DH93" s="10" t="s">
        <v>56</v>
      </c>
      <c r="DI93" s="10" t="s">
        <v>55</v>
      </c>
      <c r="DJ93" s="10" t="s">
        <v>56</v>
      </c>
      <c r="DK93" s="10" t="s">
        <v>55</v>
      </c>
      <c r="DL93" s="10" t="s">
        <v>56</v>
      </c>
      <c r="DM93" s="10" t="s">
        <v>55</v>
      </c>
      <c r="DN93" s="10" t="s">
        <v>56</v>
      </c>
      <c r="DO93" s="10" t="s">
        <v>55</v>
      </c>
      <c r="DP93" s="10" t="s">
        <v>56</v>
      </c>
      <c r="DQ93" s="10" t="s">
        <v>55</v>
      </c>
      <c r="DR93" s="10" t="s">
        <v>56</v>
      </c>
      <c r="DS93" s="10" t="s">
        <v>55</v>
      </c>
      <c r="DT93" s="10" t="s">
        <v>56</v>
      </c>
      <c r="DU93" s="10" t="s">
        <v>55</v>
      </c>
      <c r="DV93" s="10" t="s">
        <v>56</v>
      </c>
      <c r="DW93" s="10" t="s">
        <v>55</v>
      </c>
      <c r="DX93" s="10" t="s">
        <v>56</v>
      </c>
      <c r="DY93" s="10" t="s">
        <v>55</v>
      </c>
      <c r="DZ93" s="10" t="s">
        <v>56</v>
      </c>
      <c r="EA93" s="10" t="s">
        <v>55</v>
      </c>
      <c r="EB93" s="10" t="s">
        <v>56</v>
      </c>
      <c r="EC93" s="10" t="s">
        <v>55</v>
      </c>
      <c r="ED93" s="10" t="s">
        <v>56</v>
      </c>
      <c r="EE93" s="10" t="s">
        <v>55</v>
      </c>
      <c r="EF93" s="10" t="s">
        <v>56</v>
      </c>
      <c r="EG93" s="10" t="s">
        <v>55</v>
      </c>
      <c r="EH93" s="10" t="s">
        <v>56</v>
      </c>
      <c r="EI93" s="10" t="s">
        <v>55</v>
      </c>
      <c r="EJ93" s="10" t="s">
        <v>56</v>
      </c>
      <c r="EK93" s="10" t="s">
        <v>55</v>
      </c>
      <c r="EL93" s="10" t="s">
        <v>56</v>
      </c>
      <c r="EM93" s="10" t="s">
        <v>55</v>
      </c>
      <c r="EN93" s="10" t="s">
        <v>56</v>
      </c>
      <c r="EO93" s="10" t="s">
        <v>55</v>
      </c>
      <c r="EP93" s="10" t="s">
        <v>56</v>
      </c>
      <c r="EQ93" s="10" t="s">
        <v>55</v>
      </c>
      <c r="ER93" s="10" t="s">
        <v>56</v>
      </c>
      <c r="ES93" s="10" t="s">
        <v>55</v>
      </c>
      <c r="ET93" s="10" t="s">
        <v>56</v>
      </c>
      <c r="EU93" s="10" t="s">
        <v>55</v>
      </c>
      <c r="EV93" s="10" t="s">
        <v>56</v>
      </c>
      <c r="EW93" s="10" t="s">
        <v>55</v>
      </c>
      <c r="EX93" s="10" t="s">
        <v>56</v>
      </c>
      <c r="EY93" s="10" t="s">
        <v>55</v>
      </c>
      <c r="EZ93" s="10" t="s">
        <v>56</v>
      </c>
      <c r="FA93" s="10" t="s">
        <v>55</v>
      </c>
      <c r="FB93" s="10" t="s">
        <v>56</v>
      </c>
      <c r="FC93" s="10" t="s">
        <v>55</v>
      </c>
      <c r="FD93" s="10" t="s">
        <v>56</v>
      </c>
      <c r="FE93" s="10" t="s">
        <v>55</v>
      </c>
      <c r="FF93" s="10" t="s">
        <v>56</v>
      </c>
      <c r="FG93" s="10" t="s">
        <v>55</v>
      </c>
      <c r="FH93" s="10" t="s">
        <v>56</v>
      </c>
      <c r="FI93" s="10" t="s">
        <v>55</v>
      </c>
      <c r="FJ93" s="10" t="s">
        <v>56</v>
      </c>
      <c r="FK93" s="10" t="s">
        <v>55</v>
      </c>
      <c r="FL93" s="10" t="s">
        <v>56</v>
      </c>
      <c r="FM93" s="10" t="s">
        <v>55</v>
      </c>
      <c r="FN93" s="10" t="s">
        <v>56</v>
      </c>
      <c r="FO93" s="10" t="s">
        <v>55</v>
      </c>
      <c r="FP93" s="10" t="s">
        <v>56</v>
      </c>
      <c r="FQ93" s="10" t="s">
        <v>55</v>
      </c>
      <c r="FR93" s="10" t="s">
        <v>56</v>
      </c>
      <c r="FS93" s="10" t="s">
        <v>55</v>
      </c>
      <c r="FT93" s="10" t="s">
        <v>56</v>
      </c>
      <c r="FU93" s="10" t="s">
        <v>55</v>
      </c>
      <c r="FV93" s="10" t="s">
        <v>56</v>
      </c>
      <c r="FW93" s="10" t="s">
        <v>55</v>
      </c>
      <c r="FX93" s="10" t="s">
        <v>56</v>
      </c>
      <c r="FY93" s="10" t="s">
        <v>55</v>
      </c>
      <c r="FZ93" s="10" t="s">
        <v>56</v>
      </c>
      <c r="GA93" s="10" t="s">
        <v>55</v>
      </c>
      <c r="GB93" s="10" t="s">
        <v>56</v>
      </c>
      <c r="GC93" s="10" t="s">
        <v>55</v>
      </c>
      <c r="GD93" s="10" t="s">
        <v>56</v>
      </c>
      <c r="GE93" s="10" t="s">
        <v>55</v>
      </c>
      <c r="GF93" s="10" t="s">
        <v>56</v>
      </c>
      <c r="GG93" s="10" t="s">
        <v>55</v>
      </c>
      <c r="GH93" s="10" t="s">
        <v>56</v>
      </c>
      <c r="GI93" s="10" t="s">
        <v>55</v>
      </c>
      <c r="GJ93" s="10" t="s">
        <v>56</v>
      </c>
      <c r="GK93" s="10" t="s">
        <v>55</v>
      </c>
      <c r="GL93" s="10" t="s">
        <v>56</v>
      </c>
      <c r="GM93" s="10" t="s">
        <v>55</v>
      </c>
      <c r="GN93" s="10" t="s">
        <v>56</v>
      </c>
      <c r="GO93" s="10" t="s">
        <v>55</v>
      </c>
      <c r="GP93" s="10" t="s">
        <v>56</v>
      </c>
      <c r="GQ93" s="10" t="s">
        <v>55</v>
      </c>
      <c r="GR93" s="10" t="s">
        <v>87</v>
      </c>
      <c r="GS93" s="10" t="s">
        <v>55</v>
      </c>
      <c r="GT93" s="10" t="s">
        <v>87</v>
      </c>
      <c r="GU93" s="10" t="s">
        <v>55</v>
      </c>
      <c r="GV93" s="10" t="s">
        <v>202</v>
      </c>
      <c r="GW93" s="10" t="s">
        <v>55</v>
      </c>
      <c r="GX93" s="10" t="s">
        <v>56</v>
      </c>
      <c r="GY93" s="10" t="s">
        <v>55</v>
      </c>
      <c r="GZ93" s="10">
        <v>30.1724</v>
      </c>
      <c r="HA93" s="10" t="s">
        <v>55</v>
      </c>
      <c r="HB93" s="10" t="s">
        <v>317</v>
      </c>
      <c r="HC93" s="10" t="s">
        <v>55</v>
      </c>
      <c r="HD93" s="10">
        <v>22.8995</v>
      </c>
      <c r="HE93" s="10" t="s">
        <v>55</v>
      </c>
      <c r="HF93" s="10">
        <v>21.241700000000002</v>
      </c>
      <c r="HG93" s="10" t="s">
        <v>55</v>
      </c>
      <c r="HH93" s="10" t="s">
        <v>75</v>
      </c>
      <c r="HI93" s="10" t="s">
        <v>55</v>
      </c>
      <c r="HJ93" s="10">
        <v>27.811199999999999</v>
      </c>
      <c r="HK93" s="10" t="s">
        <v>55</v>
      </c>
      <c r="HL93" s="10" t="s">
        <v>75</v>
      </c>
      <c r="HM93" s="10" t="s">
        <v>55</v>
      </c>
      <c r="HN93" s="10">
        <v>28.4878</v>
      </c>
      <c r="HO93" s="10" t="s">
        <v>55</v>
      </c>
      <c r="HP93" s="10">
        <v>159</v>
      </c>
      <c r="HQ93" s="10">
        <v>14</v>
      </c>
      <c r="HR93" s="10">
        <v>159</v>
      </c>
      <c r="HS93" s="10">
        <v>14</v>
      </c>
      <c r="HT93" s="10">
        <v>20</v>
      </c>
      <c r="HU93" s="10">
        <v>2</v>
      </c>
      <c r="HV93" s="10">
        <v>14.1</v>
      </c>
      <c r="HW93" s="10">
        <v>0.8</v>
      </c>
      <c r="HX93" s="10">
        <v>3.7</v>
      </c>
      <c r="HY93" s="10">
        <v>0.2</v>
      </c>
      <c r="HZ93" s="10">
        <v>96</v>
      </c>
      <c r="IA93" s="10">
        <v>9</v>
      </c>
      <c r="IB93" s="10">
        <v>20.7</v>
      </c>
      <c r="IC93" s="10">
        <v>1.6</v>
      </c>
      <c r="ID93" s="1">
        <v>2.5284</v>
      </c>
      <c r="IE93" s="1">
        <v>1.0201</v>
      </c>
      <c r="IF93" s="4" t="s">
        <v>75</v>
      </c>
      <c r="IG93" s="4" t="s">
        <v>55</v>
      </c>
      <c r="IH93" s="4" t="s">
        <v>56</v>
      </c>
      <c r="II93" s="4" t="s">
        <v>55</v>
      </c>
      <c r="IJ93" s="4" t="s">
        <v>56</v>
      </c>
      <c r="IK93" s="4" t="s">
        <v>55</v>
      </c>
      <c r="IL93" s="4" t="s">
        <v>56</v>
      </c>
      <c r="IM93" s="4" t="s">
        <v>55</v>
      </c>
      <c r="IN93" s="4" t="s">
        <v>56</v>
      </c>
      <c r="IO93" s="4" t="s">
        <v>55</v>
      </c>
      <c r="IP93" s="4" t="s">
        <v>56</v>
      </c>
      <c r="IQ93" s="4" t="s">
        <v>55</v>
      </c>
      <c r="IR93" s="4" t="s">
        <v>56</v>
      </c>
      <c r="IS93" s="4" t="s">
        <v>55</v>
      </c>
      <c r="IT93" s="4" t="s">
        <v>56</v>
      </c>
      <c r="IU93" s="4" t="s">
        <v>55</v>
      </c>
      <c r="IV93" s="4" t="s">
        <v>56</v>
      </c>
      <c r="IW93" s="4" t="s">
        <v>55</v>
      </c>
      <c r="IX93" s="4" t="s">
        <v>56</v>
      </c>
      <c r="IY93" s="4" t="s">
        <v>55</v>
      </c>
      <c r="IZ93" s="4" t="s">
        <v>56</v>
      </c>
      <c r="JA93" s="4" t="s">
        <v>55</v>
      </c>
      <c r="JB93" s="4" t="s">
        <v>56</v>
      </c>
      <c r="JC93" s="4" t="s">
        <v>55</v>
      </c>
      <c r="JD93" s="4" t="s">
        <v>56</v>
      </c>
      <c r="JE93" s="4" t="s">
        <v>55</v>
      </c>
      <c r="JF93" s="4" t="s">
        <v>56</v>
      </c>
      <c r="JG93" s="4" t="s">
        <v>55</v>
      </c>
      <c r="JH93" s="4" t="s">
        <v>56</v>
      </c>
      <c r="JI93" s="4" t="s">
        <v>55</v>
      </c>
      <c r="JJ93" s="4" t="s">
        <v>56</v>
      </c>
      <c r="JK93" s="4" t="s">
        <v>55</v>
      </c>
      <c r="JL93" s="4" t="s">
        <v>56</v>
      </c>
      <c r="JM93" s="4" t="s">
        <v>55</v>
      </c>
      <c r="JN93" s="4" t="s">
        <v>56</v>
      </c>
      <c r="JO93" s="4" t="s">
        <v>55</v>
      </c>
      <c r="JP93" s="4" t="s">
        <v>56</v>
      </c>
      <c r="JQ93" s="4" t="s">
        <v>55</v>
      </c>
      <c r="JR93" s="4" t="s">
        <v>56</v>
      </c>
      <c r="JS93" s="4" t="s">
        <v>55</v>
      </c>
      <c r="JT93" s="4" t="s">
        <v>56</v>
      </c>
      <c r="JU93" s="4" t="s">
        <v>55</v>
      </c>
      <c r="JV93" s="4" t="s">
        <v>56</v>
      </c>
      <c r="JW93" s="4" t="s">
        <v>55</v>
      </c>
      <c r="JX93" s="26" t="s">
        <v>61</v>
      </c>
      <c r="JY93" s="26" t="s">
        <v>55</v>
      </c>
      <c r="JZ93" s="26" t="s">
        <v>61</v>
      </c>
      <c r="KA93" s="26" t="s">
        <v>55</v>
      </c>
      <c r="KB93" s="26" t="s">
        <v>61</v>
      </c>
      <c r="KC93" s="26" t="s">
        <v>55</v>
      </c>
      <c r="KD93" s="26" t="s">
        <v>61</v>
      </c>
      <c r="KE93" s="26" t="s">
        <v>55</v>
      </c>
      <c r="KF93" s="26" t="s">
        <v>61</v>
      </c>
      <c r="KG93" s="26" t="s">
        <v>55</v>
      </c>
      <c r="KH93" s="4" t="s">
        <v>56</v>
      </c>
      <c r="KI93" s="4" t="s">
        <v>55</v>
      </c>
      <c r="KJ93" s="4" t="s">
        <v>56</v>
      </c>
      <c r="KK93" s="4" t="s">
        <v>55</v>
      </c>
      <c r="KL93" s="4" t="s">
        <v>56</v>
      </c>
      <c r="KM93" s="4" t="s">
        <v>55</v>
      </c>
      <c r="KN93" s="4" t="s">
        <v>56</v>
      </c>
      <c r="KO93" s="4" t="s">
        <v>55</v>
      </c>
      <c r="KP93" s="4" t="s">
        <v>56</v>
      </c>
      <c r="KQ93" s="4" t="s">
        <v>55</v>
      </c>
      <c r="KR93" s="17" t="s">
        <v>56</v>
      </c>
      <c r="KS93" s="17" t="s">
        <v>55</v>
      </c>
      <c r="KT93" s="17" t="s">
        <v>56</v>
      </c>
      <c r="KU93" s="17" t="s">
        <v>55</v>
      </c>
      <c r="KV93" s="17">
        <v>363.1</v>
      </c>
      <c r="KW93" s="17">
        <v>15.3</v>
      </c>
      <c r="KX93" s="17">
        <v>1641.5</v>
      </c>
      <c r="KY93" s="17">
        <v>361.5</v>
      </c>
      <c r="KZ93" s="17">
        <v>1266.5999999999999</v>
      </c>
      <c r="LA93" s="17">
        <v>249</v>
      </c>
      <c r="LB93" s="10" t="s">
        <v>56</v>
      </c>
      <c r="LC93" s="10" t="s">
        <v>55</v>
      </c>
      <c r="LD93" s="10">
        <f>0.6*1000</f>
        <v>600</v>
      </c>
      <c r="LE93" s="10">
        <f>0.2*1000</f>
        <v>200</v>
      </c>
      <c r="LF93" s="10">
        <f>0.23*1000</f>
        <v>230</v>
      </c>
      <c r="LG93" s="10">
        <f>0.02*1000</f>
        <v>20</v>
      </c>
      <c r="LH93" s="10">
        <f>0.31*1000</f>
        <v>310</v>
      </c>
      <c r="LI93" s="10">
        <f>0.05*1000</f>
        <v>50</v>
      </c>
      <c r="LJ93" s="10" t="s">
        <v>56</v>
      </c>
      <c r="LK93" s="10" t="s">
        <v>162</v>
      </c>
      <c r="LL93" s="10" t="s">
        <v>56</v>
      </c>
      <c r="LM93" s="10" t="s">
        <v>162</v>
      </c>
      <c r="LN93" s="10" t="s">
        <v>56</v>
      </c>
      <c r="LO93" s="10" t="s">
        <v>162</v>
      </c>
      <c r="LP93" s="10" t="s">
        <v>56</v>
      </c>
      <c r="LQ93" s="10" t="s">
        <v>162</v>
      </c>
      <c r="LR93" s="10" t="s">
        <v>56</v>
      </c>
      <c r="LS93" s="10" t="s">
        <v>162</v>
      </c>
      <c r="LT93" s="10" t="s">
        <v>56</v>
      </c>
      <c r="LU93" s="10" t="s">
        <v>162</v>
      </c>
      <c r="LV93" s="10" t="s">
        <v>56</v>
      </c>
      <c r="LW93" s="10" t="s">
        <v>162</v>
      </c>
      <c r="LX93" s="10" t="s">
        <v>56</v>
      </c>
      <c r="LY93" s="10" t="s">
        <v>162</v>
      </c>
      <c r="LZ93" s="10" t="s">
        <v>56</v>
      </c>
      <c r="MA93" s="10" t="s">
        <v>162</v>
      </c>
      <c r="MB93" s="10" t="s">
        <v>56</v>
      </c>
      <c r="MC93" s="10" t="s">
        <v>162</v>
      </c>
      <c r="MD93" s="10" t="s">
        <v>56</v>
      </c>
      <c r="ME93" s="10" t="s">
        <v>162</v>
      </c>
      <c r="MF93" s="10" t="s">
        <v>56</v>
      </c>
      <c r="MG93" s="10" t="s">
        <v>162</v>
      </c>
      <c r="MH93" s="10" t="s">
        <v>56</v>
      </c>
      <c r="MI93" s="10" t="s">
        <v>162</v>
      </c>
      <c r="MJ93" s="10" t="s">
        <v>56</v>
      </c>
      <c r="MK93" s="10" t="s">
        <v>162</v>
      </c>
      <c r="ML93" s="10" t="s">
        <v>56</v>
      </c>
      <c r="MM93" s="10" t="s">
        <v>162</v>
      </c>
      <c r="MN93" s="10" t="s">
        <v>56</v>
      </c>
      <c r="MO93" s="10" t="s">
        <v>162</v>
      </c>
      <c r="MP93" s="10" t="s">
        <v>56</v>
      </c>
      <c r="MQ93" s="10" t="s">
        <v>162</v>
      </c>
      <c r="MR93" s="10" t="s">
        <v>56</v>
      </c>
      <c r="MS93" s="10" t="s">
        <v>162</v>
      </c>
      <c r="MT93" s="10" t="s">
        <v>56</v>
      </c>
      <c r="MU93" s="10" t="s">
        <v>162</v>
      </c>
      <c r="MV93" s="10" t="s">
        <v>56</v>
      </c>
      <c r="MW93" s="10" t="s">
        <v>162</v>
      </c>
      <c r="MX93" s="10" t="s">
        <v>56</v>
      </c>
      <c r="MY93" s="10" t="s">
        <v>162</v>
      </c>
      <c r="MZ93" s="10" t="s">
        <v>56</v>
      </c>
      <c r="NA93" s="10" t="s">
        <v>162</v>
      </c>
      <c r="NB93" s="10" t="s">
        <v>56</v>
      </c>
      <c r="NC93" s="10" t="s">
        <v>162</v>
      </c>
      <c r="ND93" s="10" t="s">
        <v>56</v>
      </c>
      <c r="NE93" s="10" t="s">
        <v>162</v>
      </c>
      <c r="NF93" s="10" t="s">
        <v>56</v>
      </c>
      <c r="NG93" s="10" t="s">
        <v>162</v>
      </c>
      <c r="NH93" s="10" t="s">
        <v>56</v>
      </c>
      <c r="NI93" s="10" t="s">
        <v>162</v>
      </c>
      <c r="NJ93" s="10" t="s">
        <v>56</v>
      </c>
      <c r="NK93" s="10" t="s">
        <v>162</v>
      </c>
      <c r="NL93" s="10" t="s">
        <v>56</v>
      </c>
      <c r="NM93" s="10" t="s">
        <v>162</v>
      </c>
      <c r="NN93" s="10" t="s">
        <v>56</v>
      </c>
      <c r="NO93" s="10" t="s">
        <v>162</v>
      </c>
      <c r="NP93" s="10" t="s">
        <v>56</v>
      </c>
      <c r="NQ93" s="10" t="s">
        <v>162</v>
      </c>
      <c r="NR93" s="10" t="s">
        <v>57</v>
      </c>
      <c r="NS93" s="10" t="s">
        <v>55</v>
      </c>
      <c r="NT93" s="10" t="s">
        <v>620</v>
      </c>
      <c r="NU93" s="10" t="s">
        <v>55</v>
      </c>
    </row>
    <row r="94" spans="1:385" x14ac:dyDescent="0.2">
      <c r="A94" t="s">
        <v>880</v>
      </c>
      <c r="B94" s="1" t="s">
        <v>1037</v>
      </c>
      <c r="C94" s="1" t="s">
        <v>1053</v>
      </c>
      <c r="D94" s="39" cm="1">
        <f t="array" ref="D94">SUMPRODUCT((ISNUMBER(F94:NU94))*(MOD(COLUMN(F94:NU94),2)=0))</f>
        <v>57</v>
      </c>
      <c r="E94" s="1">
        <v>131.16999999999999</v>
      </c>
      <c r="F94" s="17" t="s">
        <v>56</v>
      </c>
      <c r="G94" s="1" t="s">
        <v>55</v>
      </c>
      <c r="H94" s="17" t="s">
        <v>56</v>
      </c>
      <c r="I94" s="1" t="s">
        <v>55</v>
      </c>
      <c r="J94" s="17" t="s">
        <v>56</v>
      </c>
      <c r="K94" s="1" t="s">
        <v>55</v>
      </c>
      <c r="L94" s="17" t="s">
        <v>56</v>
      </c>
      <c r="M94" s="1" t="s">
        <v>55</v>
      </c>
      <c r="N94" s="17" t="s">
        <v>56</v>
      </c>
      <c r="O94" s="1" t="s">
        <v>55</v>
      </c>
      <c r="P94" s="17" t="s">
        <v>56</v>
      </c>
      <c r="Q94" s="1" t="s">
        <v>55</v>
      </c>
      <c r="R94" s="17" t="s">
        <v>56</v>
      </c>
      <c r="S94" s="1" t="s">
        <v>55</v>
      </c>
      <c r="T94" s="17" t="s">
        <v>56</v>
      </c>
      <c r="U94" s="1" t="s">
        <v>55</v>
      </c>
      <c r="V94" s="17" t="s">
        <v>56</v>
      </c>
      <c r="W94" s="1" t="s">
        <v>55</v>
      </c>
      <c r="X94" s="17" t="s">
        <v>56</v>
      </c>
      <c r="Y94" s="1" t="s">
        <v>55</v>
      </c>
      <c r="Z94" s="17" t="s">
        <v>56</v>
      </c>
      <c r="AA94" s="1" t="s">
        <v>55</v>
      </c>
      <c r="AB94" s="17" t="s">
        <v>56</v>
      </c>
      <c r="AC94" s="1" t="s">
        <v>55</v>
      </c>
      <c r="AD94" s="17" t="s">
        <v>56</v>
      </c>
      <c r="AE94" s="1" t="s">
        <v>55</v>
      </c>
      <c r="AF94" s="17" t="s">
        <v>56</v>
      </c>
      <c r="AG94" s="1" t="s">
        <v>55</v>
      </c>
      <c r="AH94" s="17" t="s">
        <v>56</v>
      </c>
      <c r="AI94" s="1" t="s">
        <v>55</v>
      </c>
      <c r="AJ94" s="17" t="s">
        <v>56</v>
      </c>
      <c r="AK94" s="1" t="s">
        <v>55</v>
      </c>
      <c r="AL94" s="4" t="s">
        <v>57</v>
      </c>
      <c r="AM94" s="4" t="s">
        <v>55</v>
      </c>
      <c r="AN94" s="17" t="s">
        <v>56</v>
      </c>
      <c r="AO94" s="1" t="s">
        <v>55</v>
      </c>
      <c r="AP94" s="17" t="s">
        <v>56</v>
      </c>
      <c r="AQ94" s="1" t="s">
        <v>55</v>
      </c>
      <c r="AR94" s="17" t="s">
        <v>56</v>
      </c>
      <c r="AS94" s="1" t="s">
        <v>55</v>
      </c>
      <c r="AT94" s="17" t="s">
        <v>56</v>
      </c>
      <c r="AU94" s="1" t="s">
        <v>55</v>
      </c>
      <c r="AV94" s="17" t="s">
        <v>56</v>
      </c>
      <c r="AW94" s="1" t="s">
        <v>55</v>
      </c>
      <c r="AX94" s="17" t="s">
        <v>56</v>
      </c>
      <c r="AY94" s="1" t="s">
        <v>55</v>
      </c>
      <c r="AZ94" s="4" t="s">
        <v>57</v>
      </c>
      <c r="BA94" s="4" t="s">
        <v>55</v>
      </c>
      <c r="BB94" s="4" t="s">
        <v>57</v>
      </c>
      <c r="BC94" s="4" t="s">
        <v>55</v>
      </c>
      <c r="BD94" s="17" t="s">
        <v>56</v>
      </c>
      <c r="BE94" s="1" t="s">
        <v>55</v>
      </c>
      <c r="BF94" s="17" t="s">
        <v>56</v>
      </c>
      <c r="BG94" s="1" t="s">
        <v>55</v>
      </c>
      <c r="BH94" s="17" t="s">
        <v>56</v>
      </c>
      <c r="BI94" s="1" t="s">
        <v>55</v>
      </c>
      <c r="BJ94" s="17" t="s">
        <v>56</v>
      </c>
      <c r="BK94" s="1" t="s">
        <v>55</v>
      </c>
      <c r="BL94" s="17" t="s">
        <v>56</v>
      </c>
      <c r="BM94" s="1" t="s">
        <v>55</v>
      </c>
      <c r="BN94" s="17" t="s">
        <v>56</v>
      </c>
      <c r="BO94" s="1" t="s">
        <v>55</v>
      </c>
      <c r="BP94" s="17" t="s">
        <v>56</v>
      </c>
      <c r="BQ94" s="1" t="s">
        <v>55</v>
      </c>
      <c r="BR94" s="4" t="s">
        <v>56</v>
      </c>
      <c r="BS94" s="4" t="s">
        <v>162</v>
      </c>
      <c r="BT94" s="4" t="s">
        <v>56</v>
      </c>
      <c r="BU94" s="4" t="s">
        <v>162</v>
      </c>
      <c r="BV94" s="4" t="s">
        <v>56</v>
      </c>
      <c r="BW94" s="4" t="s">
        <v>162</v>
      </c>
      <c r="BX94" s="4" t="s">
        <v>56</v>
      </c>
      <c r="BY94" s="4" t="s">
        <v>162</v>
      </c>
      <c r="BZ94" s="4" t="s">
        <v>56</v>
      </c>
      <c r="CA94" s="4" t="s">
        <v>162</v>
      </c>
      <c r="CB94" s="4" t="s">
        <v>56</v>
      </c>
      <c r="CC94" s="4" t="s">
        <v>162</v>
      </c>
      <c r="CD94" s="4" t="s">
        <v>56</v>
      </c>
      <c r="CE94" s="4" t="s">
        <v>162</v>
      </c>
      <c r="CF94" s="4" t="s">
        <v>56</v>
      </c>
      <c r="CG94" s="4" t="s">
        <v>162</v>
      </c>
      <c r="CH94" s="4" t="s">
        <v>56</v>
      </c>
      <c r="CI94" s="4" t="s">
        <v>162</v>
      </c>
      <c r="CJ94" s="4" t="s">
        <v>56</v>
      </c>
      <c r="CK94" s="4" t="s">
        <v>162</v>
      </c>
      <c r="CL94" s="4" t="s">
        <v>56</v>
      </c>
      <c r="CM94" s="4" t="s">
        <v>162</v>
      </c>
      <c r="CN94" s="4" t="s">
        <v>56</v>
      </c>
      <c r="CO94" s="4" t="s">
        <v>162</v>
      </c>
      <c r="CP94" s="4" t="s">
        <v>56</v>
      </c>
      <c r="CQ94" s="4" t="s">
        <v>162</v>
      </c>
      <c r="CR94" s="4" t="s">
        <v>56</v>
      </c>
      <c r="CS94" s="4" t="s">
        <v>162</v>
      </c>
      <c r="CT94" s="4" t="s">
        <v>56</v>
      </c>
      <c r="CU94" s="4" t="s">
        <v>162</v>
      </c>
      <c r="CV94" s="4" t="s">
        <v>56</v>
      </c>
      <c r="CW94" s="4" t="s">
        <v>162</v>
      </c>
      <c r="CX94" s="4" t="s">
        <v>56</v>
      </c>
      <c r="CY94" s="4" t="s">
        <v>162</v>
      </c>
      <c r="CZ94" s="4" t="s">
        <v>56</v>
      </c>
      <c r="DA94" s="4" t="s">
        <v>162</v>
      </c>
      <c r="DB94" s="4" t="s">
        <v>56</v>
      </c>
      <c r="DC94" s="4" t="s">
        <v>162</v>
      </c>
      <c r="DD94" s="4" t="s">
        <v>56</v>
      </c>
      <c r="DE94" s="4" t="s">
        <v>162</v>
      </c>
      <c r="DF94" s="4" t="s">
        <v>56</v>
      </c>
      <c r="DG94" s="4" t="s">
        <v>162</v>
      </c>
      <c r="DH94" s="4" t="s">
        <v>56</v>
      </c>
      <c r="DI94" s="4" t="s">
        <v>162</v>
      </c>
      <c r="DJ94" s="4" t="s">
        <v>56</v>
      </c>
      <c r="DK94" s="4" t="s">
        <v>162</v>
      </c>
      <c r="DL94" s="4" t="s">
        <v>56</v>
      </c>
      <c r="DM94" s="4" t="s">
        <v>162</v>
      </c>
      <c r="DN94" s="4" t="s">
        <v>56</v>
      </c>
      <c r="DO94" s="4" t="s">
        <v>162</v>
      </c>
      <c r="DP94" s="4" t="s">
        <v>56</v>
      </c>
      <c r="DQ94" s="4" t="s">
        <v>162</v>
      </c>
      <c r="DR94" s="4" t="s">
        <v>56</v>
      </c>
      <c r="DS94" s="4" t="s">
        <v>162</v>
      </c>
      <c r="DT94" s="4" t="s">
        <v>56</v>
      </c>
      <c r="DU94" s="4" t="s">
        <v>162</v>
      </c>
      <c r="DV94" s="4" t="s">
        <v>56</v>
      </c>
      <c r="DW94" s="4" t="s">
        <v>162</v>
      </c>
      <c r="DX94" s="4" t="s">
        <v>56</v>
      </c>
      <c r="DY94" s="4" t="s">
        <v>162</v>
      </c>
      <c r="DZ94" s="4" t="s">
        <v>56</v>
      </c>
      <c r="EA94" s="4" t="s">
        <v>162</v>
      </c>
      <c r="EB94" s="4" t="s">
        <v>56</v>
      </c>
      <c r="EC94" s="4" t="s">
        <v>162</v>
      </c>
      <c r="ED94" s="4" t="s">
        <v>56</v>
      </c>
      <c r="EE94" s="4" t="s">
        <v>162</v>
      </c>
      <c r="EF94" s="4" t="s">
        <v>56</v>
      </c>
      <c r="EG94" s="4" t="s">
        <v>162</v>
      </c>
      <c r="EH94" s="4" t="s">
        <v>56</v>
      </c>
      <c r="EI94" s="4" t="s">
        <v>162</v>
      </c>
      <c r="EJ94" s="4" t="s">
        <v>56</v>
      </c>
      <c r="EK94" s="4" t="s">
        <v>162</v>
      </c>
      <c r="EL94" s="4" t="s">
        <v>56</v>
      </c>
      <c r="EM94" s="4" t="s">
        <v>162</v>
      </c>
      <c r="EN94" s="4" t="s">
        <v>56</v>
      </c>
      <c r="EO94" s="4" t="s">
        <v>162</v>
      </c>
      <c r="EP94" s="4" t="s">
        <v>56</v>
      </c>
      <c r="EQ94" s="4" t="s">
        <v>162</v>
      </c>
      <c r="ER94" s="4" t="s">
        <v>56</v>
      </c>
      <c r="ES94" s="4" t="s">
        <v>162</v>
      </c>
      <c r="ET94" s="4" t="s">
        <v>56</v>
      </c>
      <c r="EU94" s="4" t="s">
        <v>162</v>
      </c>
      <c r="EV94" s="4" t="s">
        <v>56</v>
      </c>
      <c r="EW94" s="4" t="s">
        <v>162</v>
      </c>
      <c r="EX94" s="4" t="s">
        <v>56</v>
      </c>
      <c r="EY94" s="4" t="s">
        <v>162</v>
      </c>
      <c r="EZ94" s="4" t="s">
        <v>56</v>
      </c>
      <c r="FA94" s="4" t="s">
        <v>162</v>
      </c>
      <c r="FB94" s="4" t="s">
        <v>56</v>
      </c>
      <c r="FC94" s="4" t="s">
        <v>162</v>
      </c>
      <c r="FD94" s="4" t="s">
        <v>56</v>
      </c>
      <c r="FE94" s="4" t="s">
        <v>162</v>
      </c>
      <c r="FF94" s="4" t="s">
        <v>56</v>
      </c>
      <c r="FG94" s="4" t="s">
        <v>162</v>
      </c>
      <c r="FH94" s="4" t="s">
        <v>56</v>
      </c>
      <c r="FI94" s="4" t="s">
        <v>162</v>
      </c>
      <c r="FJ94" s="4" t="s">
        <v>56</v>
      </c>
      <c r="FK94" s="4" t="s">
        <v>162</v>
      </c>
      <c r="FL94" s="4" t="s">
        <v>56</v>
      </c>
      <c r="FM94" s="4" t="s">
        <v>162</v>
      </c>
      <c r="FN94" s="4" t="s">
        <v>56</v>
      </c>
      <c r="FO94" s="4" t="s">
        <v>162</v>
      </c>
      <c r="FP94" s="4" t="s">
        <v>56</v>
      </c>
      <c r="FQ94" s="4" t="s">
        <v>162</v>
      </c>
      <c r="FR94" s="4" t="s">
        <v>56</v>
      </c>
      <c r="FS94" s="4" t="s">
        <v>162</v>
      </c>
      <c r="FT94" s="10" t="s">
        <v>157</v>
      </c>
      <c r="FU94" s="10" t="s">
        <v>55</v>
      </c>
      <c r="FV94" s="10" t="s">
        <v>157</v>
      </c>
      <c r="FW94" s="10" t="s">
        <v>55</v>
      </c>
      <c r="FX94" s="36" t="s">
        <v>157</v>
      </c>
      <c r="FY94" s="36" t="s">
        <v>55</v>
      </c>
      <c r="FZ94" s="36" t="s">
        <v>157</v>
      </c>
      <c r="GA94" s="36" t="s">
        <v>55</v>
      </c>
      <c r="GB94" s="36" t="s">
        <v>157</v>
      </c>
      <c r="GC94" s="36" t="s">
        <v>55</v>
      </c>
      <c r="GD94" s="36" t="s">
        <v>157</v>
      </c>
      <c r="GE94" s="36" t="s">
        <v>55</v>
      </c>
      <c r="GF94" s="10" t="s">
        <v>157</v>
      </c>
      <c r="GG94" s="10" t="s">
        <v>55</v>
      </c>
      <c r="GH94" s="10" t="s">
        <v>157</v>
      </c>
      <c r="GI94" s="10" t="s">
        <v>55</v>
      </c>
      <c r="GJ94" s="10">
        <v>2.91</v>
      </c>
      <c r="GK94" s="10">
        <v>0.46</v>
      </c>
      <c r="GL94" s="10" t="s">
        <v>157</v>
      </c>
      <c r="GM94" s="10" t="s">
        <v>55</v>
      </c>
      <c r="GN94" s="10" t="s">
        <v>157</v>
      </c>
      <c r="GO94" s="10" t="s">
        <v>55</v>
      </c>
      <c r="GP94" s="10" t="s">
        <v>157</v>
      </c>
      <c r="GQ94" s="10" t="s">
        <v>55</v>
      </c>
      <c r="GR94" s="10" t="s">
        <v>87</v>
      </c>
      <c r="GS94" s="10" t="s">
        <v>55</v>
      </c>
      <c r="GT94" s="10" t="s">
        <v>87</v>
      </c>
      <c r="GU94" s="10" t="s">
        <v>55</v>
      </c>
      <c r="GV94" s="17" t="s">
        <v>56</v>
      </c>
      <c r="GW94" s="17" t="s">
        <v>55</v>
      </c>
      <c r="GX94" s="10" t="s">
        <v>56</v>
      </c>
      <c r="GY94" s="10" t="s">
        <v>55</v>
      </c>
      <c r="GZ94" s="17" t="s">
        <v>56</v>
      </c>
      <c r="HA94" s="1" t="s">
        <v>55</v>
      </c>
      <c r="HB94" s="17" t="s">
        <v>56</v>
      </c>
      <c r="HC94" s="1" t="s">
        <v>55</v>
      </c>
      <c r="HD94" s="17" t="s">
        <v>56</v>
      </c>
      <c r="HE94" s="1" t="s">
        <v>55</v>
      </c>
      <c r="HF94" s="17" t="s">
        <v>56</v>
      </c>
      <c r="HG94" s="1" t="s">
        <v>55</v>
      </c>
      <c r="HH94" s="17" t="s">
        <v>56</v>
      </c>
      <c r="HI94" s="1" t="s">
        <v>55</v>
      </c>
      <c r="HJ94" s="17" t="s">
        <v>56</v>
      </c>
      <c r="HK94" s="1" t="s">
        <v>55</v>
      </c>
      <c r="HL94" s="17" t="s">
        <v>56</v>
      </c>
      <c r="HM94" s="1" t="s">
        <v>55</v>
      </c>
      <c r="HN94" s="17" t="s">
        <v>56</v>
      </c>
      <c r="HO94" s="1" t="s">
        <v>55</v>
      </c>
      <c r="HP94" s="17" t="s">
        <v>56</v>
      </c>
      <c r="HQ94" s="1" t="s">
        <v>55</v>
      </c>
      <c r="HR94" s="17" t="s">
        <v>56</v>
      </c>
      <c r="HS94" s="1" t="s">
        <v>55</v>
      </c>
      <c r="HT94" s="17" t="s">
        <v>56</v>
      </c>
      <c r="HU94" s="1" t="s">
        <v>55</v>
      </c>
      <c r="HV94" s="17" t="s">
        <v>56</v>
      </c>
      <c r="HW94" s="1" t="s">
        <v>55</v>
      </c>
      <c r="HX94" s="17" t="s">
        <v>56</v>
      </c>
      <c r="HY94" s="1" t="s">
        <v>55</v>
      </c>
      <c r="HZ94" s="17" t="s">
        <v>56</v>
      </c>
      <c r="IA94" s="1" t="s">
        <v>55</v>
      </c>
      <c r="IB94" s="17" t="s">
        <v>56</v>
      </c>
      <c r="IC94" s="1" t="s">
        <v>55</v>
      </c>
      <c r="ID94" s="17" t="s">
        <v>56</v>
      </c>
      <c r="IE94" s="1" t="s">
        <v>55</v>
      </c>
      <c r="IF94" s="17" t="s">
        <v>56</v>
      </c>
      <c r="IG94" s="1" t="s">
        <v>55</v>
      </c>
      <c r="IH94" s="4">
        <v>1.6</v>
      </c>
      <c r="II94" s="4" t="s">
        <v>55</v>
      </c>
      <c r="IJ94" s="4">
        <v>1.3</v>
      </c>
      <c r="IK94" s="4" t="s">
        <v>55</v>
      </c>
      <c r="IL94" s="4">
        <v>0.5</v>
      </c>
      <c r="IM94" s="4" t="s">
        <v>55</v>
      </c>
      <c r="IN94" s="4">
        <v>1.3</v>
      </c>
      <c r="IO94" s="4" t="s">
        <v>55</v>
      </c>
      <c r="IP94" s="4">
        <v>67</v>
      </c>
      <c r="IQ94" s="4" t="s">
        <v>55</v>
      </c>
      <c r="IR94" s="4">
        <v>1.8</v>
      </c>
      <c r="IS94" s="4">
        <v>0.14000000000000001</v>
      </c>
      <c r="IT94" s="18" t="s">
        <v>56</v>
      </c>
      <c r="IU94" s="18" t="s">
        <v>55</v>
      </c>
      <c r="IV94" s="4">
        <v>7.7</v>
      </c>
      <c r="IW94" s="4" t="s">
        <v>55</v>
      </c>
      <c r="IX94" s="4">
        <f>0.87*1000</f>
        <v>870</v>
      </c>
      <c r="IY94" s="4" t="s">
        <v>55</v>
      </c>
      <c r="IZ94" s="4">
        <f>0.68*1000</f>
        <v>680</v>
      </c>
      <c r="JA94" s="4" t="s">
        <v>55</v>
      </c>
      <c r="JB94" s="4">
        <f>0.4*1000</f>
        <v>400</v>
      </c>
      <c r="JC94" s="4" t="s">
        <v>55</v>
      </c>
      <c r="JD94" s="4">
        <f>0.05*1000</f>
        <v>50</v>
      </c>
      <c r="JE94" s="4" t="s">
        <v>55</v>
      </c>
      <c r="JF94" s="4">
        <v>8.3000000000000004E-2</v>
      </c>
      <c r="JG94" s="4" t="s">
        <v>55</v>
      </c>
      <c r="JH94" s="4">
        <v>7.8E-2</v>
      </c>
      <c r="JI94" s="4" t="s">
        <v>55</v>
      </c>
      <c r="JJ94" s="4">
        <v>9.9000000000000005E-2</v>
      </c>
      <c r="JK94" s="4" t="s">
        <v>55</v>
      </c>
      <c r="JL94" s="4">
        <v>0.316</v>
      </c>
      <c r="JM94" s="4" t="s">
        <v>55</v>
      </c>
      <c r="JN94" s="4">
        <v>0.28999999999999998</v>
      </c>
      <c r="JO94" s="4" t="s">
        <v>55</v>
      </c>
      <c r="JP94" s="4">
        <v>0.214</v>
      </c>
      <c r="JQ94" s="4" t="s">
        <v>55</v>
      </c>
      <c r="JR94" s="4">
        <v>0.34699999999999998</v>
      </c>
      <c r="JS94" s="4" t="s">
        <v>55</v>
      </c>
      <c r="JT94" s="4">
        <v>0.23599999999999999</v>
      </c>
      <c r="JU94" s="4" t="s">
        <v>55</v>
      </c>
      <c r="JV94" s="4">
        <v>18.18</v>
      </c>
      <c r="JW94" s="4" t="s">
        <v>55</v>
      </c>
      <c r="JX94" s="17" t="s">
        <v>56</v>
      </c>
      <c r="JY94" s="1" t="s">
        <v>55</v>
      </c>
      <c r="JZ94" s="17" t="s">
        <v>56</v>
      </c>
      <c r="KA94" s="1" t="s">
        <v>55</v>
      </c>
      <c r="KB94" s="17" t="s">
        <v>56</v>
      </c>
      <c r="KC94" s="1" t="s">
        <v>55</v>
      </c>
      <c r="KD94" s="17" t="s">
        <v>56</v>
      </c>
      <c r="KE94" s="1" t="s">
        <v>55</v>
      </c>
      <c r="KF94" s="17" t="s">
        <v>56</v>
      </c>
      <c r="KG94" s="1" t="s">
        <v>55</v>
      </c>
      <c r="KH94" s="4">
        <f>43.6*1000</f>
        <v>43600</v>
      </c>
      <c r="KI94" s="4">
        <f>1.7*1000</f>
        <v>1700</v>
      </c>
      <c r="KJ94" s="4">
        <f>498*1000</f>
        <v>498000</v>
      </c>
      <c r="KK94" s="4">
        <f>30.9*1000</f>
        <v>30900</v>
      </c>
      <c r="KL94" s="4">
        <f>33.7*1000</f>
        <v>33700</v>
      </c>
      <c r="KM94" s="4">
        <f>3.8*1000</f>
        <v>3800</v>
      </c>
      <c r="KN94" s="4">
        <f>112*1000</f>
        <v>112000</v>
      </c>
      <c r="KO94" s="4">
        <f>8.3*1000</f>
        <v>8300</v>
      </c>
      <c r="KP94" s="4">
        <f>156.4*1000</f>
        <v>156400</v>
      </c>
      <c r="KQ94" s="4">
        <f>9.7*1000</f>
        <v>9700</v>
      </c>
      <c r="KR94" s="17" t="s">
        <v>56</v>
      </c>
      <c r="KS94" s="17" t="s">
        <v>55</v>
      </c>
      <c r="KT94" s="17" t="s">
        <v>56</v>
      </c>
      <c r="KU94" s="17" t="s">
        <v>55</v>
      </c>
      <c r="KV94" s="17" t="s">
        <v>56</v>
      </c>
      <c r="KW94" s="17" t="s">
        <v>55</v>
      </c>
      <c r="KX94" s="17" t="s">
        <v>56</v>
      </c>
      <c r="KY94" s="17" t="s">
        <v>55</v>
      </c>
      <c r="KZ94" s="17" t="s">
        <v>56</v>
      </c>
      <c r="LA94" s="17" t="s">
        <v>55</v>
      </c>
      <c r="LB94" s="10">
        <f>((1.47/100)*1000000000)/E94</f>
        <v>112068.30830220325</v>
      </c>
      <c r="LC94" s="10">
        <f>((0.09/100)*1000000000)/E94</f>
        <v>6861.3249980940773</v>
      </c>
      <c r="LD94" s="10" t="s">
        <v>56</v>
      </c>
      <c r="LE94" s="10" t="s">
        <v>55</v>
      </c>
      <c r="LF94" s="10" t="s">
        <v>56</v>
      </c>
      <c r="LG94" s="10" t="s">
        <v>55</v>
      </c>
      <c r="LH94" s="10" t="s">
        <v>56</v>
      </c>
      <c r="LI94" s="10" t="s">
        <v>55</v>
      </c>
      <c r="LJ94" s="10">
        <f>((3.15/100)*1000000000)/E94</f>
        <v>240146.37493329271</v>
      </c>
      <c r="LK94" s="10" t="s">
        <v>162</v>
      </c>
      <c r="LL94" s="10">
        <f>(33.6*1000000)/E94</f>
        <v>256156.13326217889</v>
      </c>
      <c r="LM94" s="10">
        <f>(1.26*1000000)/E94</f>
        <v>9605.8549973317076</v>
      </c>
      <c r="LN94" s="10">
        <f>((0.35/100)*1000000000)/E94</f>
        <v>26682.930548143628</v>
      </c>
      <c r="LO94" s="10" t="s">
        <v>162</v>
      </c>
      <c r="LP94" s="10">
        <f>((4.19/100)*1000000000)/E94</f>
        <v>319432.79713349097</v>
      </c>
      <c r="LQ94" s="10" t="s">
        <v>55</v>
      </c>
      <c r="LR94" s="10">
        <f>((4.25/100)*1000000000)/E94</f>
        <v>324007.01379888697</v>
      </c>
      <c r="LS94" s="10" t="s">
        <v>55</v>
      </c>
      <c r="LT94" s="10">
        <f>((2.99/100)*1000000000)/E94</f>
        <v>227948.46382556992</v>
      </c>
      <c r="LU94" s="10" t="s">
        <v>55</v>
      </c>
      <c r="LV94" s="10">
        <f>((82/100)*1000000)/E94</f>
        <v>6251.4294427079367</v>
      </c>
      <c r="LW94" s="10" t="s">
        <v>55</v>
      </c>
      <c r="LX94" s="10">
        <f>((85/100)*1000000)/E94</f>
        <v>6480.1402759777393</v>
      </c>
      <c r="LY94" s="10" t="s">
        <v>55</v>
      </c>
      <c r="LZ94" s="10">
        <f>((91/100)*1000000)/E94</f>
        <v>6937.5619425173445</v>
      </c>
      <c r="MA94" s="10" t="s">
        <v>55</v>
      </c>
      <c r="MB94" s="10">
        <f>((79/100)*1000000)/E94</f>
        <v>6022.7186094381341</v>
      </c>
      <c r="MC94" s="10" t="s">
        <v>55</v>
      </c>
      <c r="MD94" s="4">
        <v>5403</v>
      </c>
      <c r="ME94" s="4" t="s">
        <v>55</v>
      </c>
      <c r="MF94" s="4">
        <v>4615</v>
      </c>
      <c r="MG94" s="4" t="s">
        <v>55</v>
      </c>
      <c r="MH94" s="4">
        <v>4382</v>
      </c>
      <c r="MI94" s="4" t="s">
        <v>55</v>
      </c>
      <c r="MJ94" s="4">
        <v>4217</v>
      </c>
      <c r="MK94" s="4" t="s">
        <v>55</v>
      </c>
      <c r="ML94" s="4">
        <v>5164</v>
      </c>
      <c r="MM94" s="4" t="s">
        <v>55</v>
      </c>
      <c r="MN94" s="4">
        <v>4564</v>
      </c>
      <c r="MO94" s="4" t="s">
        <v>55</v>
      </c>
      <c r="MP94" s="4">
        <v>5181</v>
      </c>
      <c r="MQ94" s="4" t="s">
        <v>55</v>
      </c>
      <c r="MR94" s="4">
        <v>5511</v>
      </c>
      <c r="MS94" s="4" t="s">
        <v>55</v>
      </c>
      <c r="MT94" s="4">
        <v>6076</v>
      </c>
      <c r="MU94" s="4" t="s">
        <v>55</v>
      </c>
      <c r="MV94" s="4">
        <v>5229</v>
      </c>
      <c r="MW94" s="4" t="s">
        <v>55</v>
      </c>
      <c r="MX94" s="4">
        <v>4736</v>
      </c>
      <c r="MY94" s="4" t="s">
        <v>55</v>
      </c>
      <c r="MZ94" s="4">
        <v>5733</v>
      </c>
      <c r="NA94" s="4" t="s">
        <v>55</v>
      </c>
      <c r="NB94" s="10">
        <f>(0.473*1000000)/E94</f>
        <v>3606.0074712205537</v>
      </c>
      <c r="NC94" s="10" t="s">
        <v>55</v>
      </c>
      <c r="ND94" s="10">
        <f>(2.82*1000000)/E94</f>
        <v>21498.818327361441</v>
      </c>
      <c r="NE94" s="10" t="s">
        <v>55</v>
      </c>
      <c r="NF94" s="10">
        <f>(1.32*1000000)/E94</f>
        <v>10063.276663871313</v>
      </c>
      <c r="NG94" s="10" t="s">
        <v>55</v>
      </c>
      <c r="NH94" s="10">
        <f>(0.654*1000000)/E94</f>
        <v>4985.8961652816961</v>
      </c>
      <c r="NI94" s="10" t="s">
        <v>55</v>
      </c>
      <c r="NJ94" s="10">
        <f>(3.23*1000000)/E94</f>
        <v>24624.53304871541</v>
      </c>
      <c r="NK94" s="10" t="s">
        <v>55</v>
      </c>
      <c r="NL94" s="10">
        <f>(0.461*1000000)/E94</f>
        <v>3514.5231379126326</v>
      </c>
      <c r="NM94" s="4" t="s">
        <v>55</v>
      </c>
      <c r="NN94" s="4">
        <f>((0.18/100)*1000000)/E94</f>
        <v>13.722649996188155</v>
      </c>
      <c r="NO94" s="4" t="s">
        <v>55</v>
      </c>
      <c r="NP94" s="4">
        <f>(35*1000000)/E94</f>
        <v>266829.30548143631</v>
      </c>
      <c r="NQ94" s="4">
        <f>(0.73*1000000)/E94</f>
        <v>5565.2969428985289</v>
      </c>
      <c r="NR94" s="10" t="s">
        <v>56</v>
      </c>
      <c r="NS94" s="10" t="s">
        <v>55</v>
      </c>
      <c r="NT94" s="10" t="s">
        <v>56</v>
      </c>
      <c r="NU94" s="10" t="s">
        <v>55</v>
      </c>
    </row>
    <row r="95" spans="1:385" x14ac:dyDescent="0.2">
      <c r="A95" t="s">
        <v>881</v>
      </c>
      <c r="B95" s="1" t="s">
        <v>1037</v>
      </c>
      <c r="C95" s="1" t="s">
        <v>843</v>
      </c>
      <c r="D95" s="39" cm="1">
        <f t="array" ref="D95">SUMPRODUCT((ISNUMBER(F95:NU95))*(MOD(COLUMN(F95:NU95),2)=0))</f>
        <v>9</v>
      </c>
      <c r="E95" s="1">
        <v>131.16999999999999</v>
      </c>
      <c r="F95" s="17" t="s">
        <v>56</v>
      </c>
      <c r="G95" s="1" t="s">
        <v>55</v>
      </c>
      <c r="H95" s="17" t="s">
        <v>56</v>
      </c>
      <c r="I95" s="1" t="s">
        <v>55</v>
      </c>
      <c r="J95" s="17" t="s">
        <v>56</v>
      </c>
      <c r="K95" s="1" t="s">
        <v>55</v>
      </c>
      <c r="L95" s="17" t="s">
        <v>56</v>
      </c>
      <c r="M95" s="1" t="s">
        <v>55</v>
      </c>
      <c r="N95" s="17" t="s">
        <v>56</v>
      </c>
      <c r="O95" s="1" t="s">
        <v>55</v>
      </c>
      <c r="P95" s="17" t="s">
        <v>56</v>
      </c>
      <c r="Q95" s="1" t="s">
        <v>55</v>
      </c>
      <c r="R95" s="17" t="s">
        <v>56</v>
      </c>
      <c r="S95" s="1" t="s">
        <v>55</v>
      </c>
      <c r="T95" s="17" t="s">
        <v>56</v>
      </c>
      <c r="U95" s="1" t="s">
        <v>55</v>
      </c>
      <c r="V95" s="17" t="s">
        <v>56</v>
      </c>
      <c r="W95" s="1" t="s">
        <v>55</v>
      </c>
      <c r="X95" s="17" t="s">
        <v>56</v>
      </c>
      <c r="Y95" s="1" t="s">
        <v>55</v>
      </c>
      <c r="Z95" s="17" t="s">
        <v>56</v>
      </c>
      <c r="AA95" s="1" t="s">
        <v>55</v>
      </c>
      <c r="AB95" s="17" t="s">
        <v>56</v>
      </c>
      <c r="AC95" s="1" t="s">
        <v>55</v>
      </c>
      <c r="AD95" s="17" t="s">
        <v>56</v>
      </c>
      <c r="AE95" s="1" t="s">
        <v>55</v>
      </c>
      <c r="AF95" s="17" t="s">
        <v>56</v>
      </c>
      <c r="AG95" s="1" t="s">
        <v>55</v>
      </c>
      <c r="AH95" s="17" t="s">
        <v>56</v>
      </c>
      <c r="AI95" s="1" t="s">
        <v>55</v>
      </c>
      <c r="AJ95" s="17" t="s">
        <v>56</v>
      </c>
      <c r="AK95" s="1" t="s">
        <v>55</v>
      </c>
      <c r="AL95" s="17" t="s">
        <v>56</v>
      </c>
      <c r="AM95" s="1" t="s">
        <v>55</v>
      </c>
      <c r="AN95" s="17" t="s">
        <v>56</v>
      </c>
      <c r="AO95" s="1" t="s">
        <v>55</v>
      </c>
      <c r="AP95" s="17" t="s">
        <v>56</v>
      </c>
      <c r="AQ95" s="1" t="s">
        <v>55</v>
      </c>
      <c r="AR95" s="17" t="s">
        <v>56</v>
      </c>
      <c r="AS95" s="1" t="s">
        <v>55</v>
      </c>
      <c r="AT95" s="17" t="s">
        <v>56</v>
      </c>
      <c r="AU95" s="1" t="s">
        <v>55</v>
      </c>
      <c r="AV95" s="17" t="s">
        <v>56</v>
      </c>
      <c r="AW95" s="1" t="s">
        <v>55</v>
      </c>
      <c r="AX95" s="17" t="s">
        <v>56</v>
      </c>
      <c r="AY95" s="1" t="s">
        <v>55</v>
      </c>
      <c r="AZ95" s="17" t="s">
        <v>56</v>
      </c>
      <c r="BA95" s="1" t="s">
        <v>55</v>
      </c>
      <c r="BB95" s="17" t="s">
        <v>56</v>
      </c>
      <c r="BC95" s="1" t="s">
        <v>55</v>
      </c>
      <c r="BD95" s="17" t="s">
        <v>56</v>
      </c>
      <c r="BE95" s="1" t="s">
        <v>55</v>
      </c>
      <c r="BF95" s="17" t="s">
        <v>56</v>
      </c>
      <c r="BG95" s="1" t="s">
        <v>55</v>
      </c>
      <c r="BH95" s="17" t="s">
        <v>56</v>
      </c>
      <c r="BI95" s="1" t="s">
        <v>55</v>
      </c>
      <c r="BJ95" s="17" t="s">
        <v>56</v>
      </c>
      <c r="BK95" s="1" t="s">
        <v>55</v>
      </c>
      <c r="BL95" s="17" t="s">
        <v>56</v>
      </c>
      <c r="BM95" s="1" t="s">
        <v>55</v>
      </c>
      <c r="BN95" s="17" t="s">
        <v>56</v>
      </c>
      <c r="BO95" s="1" t="s">
        <v>55</v>
      </c>
      <c r="BP95" s="17" t="s">
        <v>56</v>
      </c>
      <c r="BQ95" s="1" t="s">
        <v>55</v>
      </c>
      <c r="BR95" s="17" t="s">
        <v>56</v>
      </c>
      <c r="BS95" s="1" t="s">
        <v>55</v>
      </c>
      <c r="BT95" s="17" t="s">
        <v>56</v>
      </c>
      <c r="BU95" s="1" t="s">
        <v>55</v>
      </c>
      <c r="BV95" s="17" t="s">
        <v>56</v>
      </c>
      <c r="BW95" s="1" t="s">
        <v>55</v>
      </c>
      <c r="BX95" s="17" t="s">
        <v>56</v>
      </c>
      <c r="BY95" s="1" t="s">
        <v>55</v>
      </c>
      <c r="BZ95" s="17" t="s">
        <v>56</v>
      </c>
      <c r="CA95" s="1" t="s">
        <v>55</v>
      </c>
      <c r="CB95" s="17" t="s">
        <v>56</v>
      </c>
      <c r="CC95" s="1" t="s">
        <v>55</v>
      </c>
      <c r="CD95" s="17" t="s">
        <v>56</v>
      </c>
      <c r="CE95" s="1" t="s">
        <v>55</v>
      </c>
      <c r="CF95" s="17" t="s">
        <v>56</v>
      </c>
      <c r="CG95" s="1" t="s">
        <v>55</v>
      </c>
      <c r="CH95" s="17" t="s">
        <v>56</v>
      </c>
      <c r="CI95" s="1" t="s">
        <v>55</v>
      </c>
      <c r="CJ95" s="17" t="s">
        <v>56</v>
      </c>
      <c r="CK95" s="1" t="s">
        <v>55</v>
      </c>
      <c r="CL95" s="17" t="s">
        <v>56</v>
      </c>
      <c r="CM95" s="1" t="s">
        <v>55</v>
      </c>
      <c r="CN95" s="17" t="s">
        <v>56</v>
      </c>
      <c r="CO95" s="1" t="s">
        <v>55</v>
      </c>
      <c r="CP95" s="17" t="s">
        <v>56</v>
      </c>
      <c r="CQ95" s="1" t="s">
        <v>55</v>
      </c>
      <c r="CR95" s="17" t="s">
        <v>56</v>
      </c>
      <c r="CS95" s="1" t="s">
        <v>55</v>
      </c>
      <c r="CT95" s="17" t="s">
        <v>56</v>
      </c>
      <c r="CU95" s="1" t="s">
        <v>55</v>
      </c>
      <c r="CV95" s="17" t="s">
        <v>56</v>
      </c>
      <c r="CW95" s="1" t="s">
        <v>55</v>
      </c>
      <c r="CX95" s="17" t="s">
        <v>56</v>
      </c>
      <c r="CY95" s="1" t="s">
        <v>55</v>
      </c>
      <c r="CZ95" s="17" t="s">
        <v>56</v>
      </c>
      <c r="DA95" s="1" t="s">
        <v>55</v>
      </c>
      <c r="DB95" s="17" t="s">
        <v>56</v>
      </c>
      <c r="DC95" s="1" t="s">
        <v>55</v>
      </c>
      <c r="DD95" s="17" t="s">
        <v>56</v>
      </c>
      <c r="DE95" s="1" t="s">
        <v>55</v>
      </c>
      <c r="DF95" s="17" t="s">
        <v>56</v>
      </c>
      <c r="DG95" s="1" t="s">
        <v>55</v>
      </c>
      <c r="DH95" s="17" t="s">
        <v>56</v>
      </c>
      <c r="DI95" s="1" t="s">
        <v>55</v>
      </c>
      <c r="DJ95" s="17" t="s">
        <v>56</v>
      </c>
      <c r="DK95" s="1" t="s">
        <v>55</v>
      </c>
      <c r="DL95" s="17" t="s">
        <v>56</v>
      </c>
      <c r="DM95" s="1" t="s">
        <v>55</v>
      </c>
      <c r="DN95" s="17" t="s">
        <v>56</v>
      </c>
      <c r="DO95" s="1" t="s">
        <v>55</v>
      </c>
      <c r="DP95" s="17" t="s">
        <v>56</v>
      </c>
      <c r="DQ95" s="1" t="s">
        <v>55</v>
      </c>
      <c r="DR95" s="17" t="s">
        <v>56</v>
      </c>
      <c r="DS95" s="1" t="s">
        <v>55</v>
      </c>
      <c r="DT95" s="17" t="s">
        <v>56</v>
      </c>
      <c r="DU95" s="1" t="s">
        <v>55</v>
      </c>
      <c r="DV95" s="17" t="s">
        <v>56</v>
      </c>
      <c r="DW95" s="1" t="s">
        <v>55</v>
      </c>
      <c r="DX95" s="17" t="s">
        <v>56</v>
      </c>
      <c r="DY95" s="1" t="s">
        <v>55</v>
      </c>
      <c r="DZ95" s="17" t="s">
        <v>56</v>
      </c>
      <c r="EA95" s="1" t="s">
        <v>55</v>
      </c>
      <c r="EB95" s="17" t="s">
        <v>56</v>
      </c>
      <c r="EC95" s="1" t="s">
        <v>55</v>
      </c>
      <c r="ED95" s="17" t="s">
        <v>56</v>
      </c>
      <c r="EE95" s="1" t="s">
        <v>55</v>
      </c>
      <c r="EF95" s="17" t="s">
        <v>56</v>
      </c>
      <c r="EG95" s="1" t="s">
        <v>55</v>
      </c>
      <c r="EH95" s="17" t="s">
        <v>56</v>
      </c>
      <c r="EI95" s="1" t="s">
        <v>55</v>
      </c>
      <c r="EJ95" s="17" t="s">
        <v>56</v>
      </c>
      <c r="EK95" s="1" t="s">
        <v>55</v>
      </c>
      <c r="EL95" s="17" t="s">
        <v>56</v>
      </c>
      <c r="EM95" s="1" t="s">
        <v>55</v>
      </c>
      <c r="EN95" s="17" t="s">
        <v>56</v>
      </c>
      <c r="EO95" s="1" t="s">
        <v>55</v>
      </c>
      <c r="EP95" s="17" t="s">
        <v>56</v>
      </c>
      <c r="EQ95" s="1" t="s">
        <v>55</v>
      </c>
      <c r="ER95" s="17" t="s">
        <v>56</v>
      </c>
      <c r="ES95" s="1" t="s">
        <v>55</v>
      </c>
      <c r="ET95" s="17" t="s">
        <v>56</v>
      </c>
      <c r="EU95" s="1" t="s">
        <v>55</v>
      </c>
      <c r="EV95" s="17" t="s">
        <v>56</v>
      </c>
      <c r="EW95" s="1" t="s">
        <v>55</v>
      </c>
      <c r="EX95" s="17" t="s">
        <v>56</v>
      </c>
      <c r="EY95" s="1" t="s">
        <v>55</v>
      </c>
      <c r="EZ95" s="17" t="s">
        <v>56</v>
      </c>
      <c r="FA95" s="1" t="s">
        <v>55</v>
      </c>
      <c r="FB95" s="17" t="s">
        <v>56</v>
      </c>
      <c r="FC95" s="1" t="s">
        <v>55</v>
      </c>
      <c r="FD95" s="17" t="s">
        <v>56</v>
      </c>
      <c r="FE95" s="1" t="s">
        <v>55</v>
      </c>
      <c r="FF95" s="17" t="s">
        <v>56</v>
      </c>
      <c r="FG95" s="1" t="s">
        <v>55</v>
      </c>
      <c r="FH95" s="17" t="s">
        <v>56</v>
      </c>
      <c r="FI95" s="1" t="s">
        <v>55</v>
      </c>
      <c r="FJ95" s="17" t="s">
        <v>56</v>
      </c>
      <c r="FK95" s="1" t="s">
        <v>55</v>
      </c>
      <c r="FL95" s="17" t="s">
        <v>56</v>
      </c>
      <c r="FM95" s="1" t="s">
        <v>55</v>
      </c>
      <c r="FN95" s="17" t="s">
        <v>56</v>
      </c>
      <c r="FO95" s="1" t="s">
        <v>55</v>
      </c>
      <c r="FP95" s="17" t="s">
        <v>56</v>
      </c>
      <c r="FQ95" s="1" t="s">
        <v>55</v>
      </c>
      <c r="FR95" s="17" t="s">
        <v>56</v>
      </c>
      <c r="FS95" s="1" t="s">
        <v>55</v>
      </c>
      <c r="FT95" s="17" t="s">
        <v>56</v>
      </c>
      <c r="FU95" s="1" t="s">
        <v>55</v>
      </c>
      <c r="FV95" s="17" t="s">
        <v>56</v>
      </c>
      <c r="FW95" s="1" t="s">
        <v>55</v>
      </c>
      <c r="FX95" s="17" t="s">
        <v>56</v>
      </c>
      <c r="FY95" s="1" t="s">
        <v>55</v>
      </c>
      <c r="FZ95" s="17" t="s">
        <v>56</v>
      </c>
      <c r="GA95" s="1" t="s">
        <v>55</v>
      </c>
      <c r="GB95" s="17" t="s">
        <v>56</v>
      </c>
      <c r="GC95" s="1" t="s">
        <v>55</v>
      </c>
      <c r="GD95" s="17" t="s">
        <v>56</v>
      </c>
      <c r="GE95" s="1" t="s">
        <v>55</v>
      </c>
      <c r="GF95" s="17" t="s">
        <v>56</v>
      </c>
      <c r="GG95" s="1" t="s">
        <v>55</v>
      </c>
      <c r="GH95" s="17" t="s">
        <v>56</v>
      </c>
      <c r="GI95" s="1" t="s">
        <v>55</v>
      </c>
      <c r="GJ95" s="17" t="s">
        <v>56</v>
      </c>
      <c r="GK95" s="1" t="s">
        <v>55</v>
      </c>
      <c r="GL95" s="17" t="s">
        <v>56</v>
      </c>
      <c r="GM95" s="1" t="s">
        <v>55</v>
      </c>
      <c r="GN95" s="17" t="s">
        <v>56</v>
      </c>
      <c r="GO95" s="1" t="s">
        <v>55</v>
      </c>
      <c r="GP95" s="17" t="s">
        <v>56</v>
      </c>
      <c r="GQ95" s="1" t="s">
        <v>55</v>
      </c>
      <c r="GR95" s="17" t="s">
        <v>56</v>
      </c>
      <c r="GS95" s="1" t="s">
        <v>55</v>
      </c>
      <c r="GT95" s="17" t="s">
        <v>56</v>
      </c>
      <c r="GU95" s="1" t="s">
        <v>55</v>
      </c>
      <c r="GV95" s="17" t="s">
        <v>56</v>
      </c>
      <c r="GW95" s="17" t="s">
        <v>55</v>
      </c>
      <c r="GX95" s="17" t="s">
        <v>56</v>
      </c>
      <c r="GY95" s="1" t="s">
        <v>55</v>
      </c>
      <c r="GZ95" s="17" t="s">
        <v>56</v>
      </c>
      <c r="HA95" s="1" t="s">
        <v>55</v>
      </c>
      <c r="HB95" s="17" t="s">
        <v>56</v>
      </c>
      <c r="HC95" s="1" t="s">
        <v>55</v>
      </c>
      <c r="HD95" s="17" t="s">
        <v>56</v>
      </c>
      <c r="HE95" s="1" t="s">
        <v>55</v>
      </c>
      <c r="HF95" s="17" t="s">
        <v>56</v>
      </c>
      <c r="HG95" s="1" t="s">
        <v>55</v>
      </c>
      <c r="HH95" s="17" t="s">
        <v>56</v>
      </c>
      <c r="HI95" s="1" t="s">
        <v>55</v>
      </c>
      <c r="HJ95" s="17" t="s">
        <v>56</v>
      </c>
      <c r="HK95" s="1" t="s">
        <v>55</v>
      </c>
      <c r="HL95" s="17" t="s">
        <v>56</v>
      </c>
      <c r="HM95" s="1" t="s">
        <v>55</v>
      </c>
      <c r="HN95" s="17" t="s">
        <v>56</v>
      </c>
      <c r="HO95" s="1" t="s">
        <v>55</v>
      </c>
      <c r="HP95" s="17" t="s">
        <v>56</v>
      </c>
      <c r="HQ95" s="1" t="s">
        <v>55</v>
      </c>
      <c r="HR95" s="17" t="s">
        <v>56</v>
      </c>
      <c r="HS95" s="1" t="s">
        <v>55</v>
      </c>
      <c r="HT95" s="17" t="s">
        <v>56</v>
      </c>
      <c r="HU95" s="1" t="s">
        <v>55</v>
      </c>
      <c r="HV95" s="17" t="s">
        <v>56</v>
      </c>
      <c r="HW95" s="1" t="s">
        <v>55</v>
      </c>
      <c r="HX95" s="17" t="s">
        <v>56</v>
      </c>
      <c r="HY95" s="1" t="s">
        <v>55</v>
      </c>
      <c r="HZ95" s="17" t="s">
        <v>56</v>
      </c>
      <c r="IA95" s="1" t="s">
        <v>55</v>
      </c>
      <c r="IB95" s="17" t="s">
        <v>56</v>
      </c>
      <c r="IC95" s="1" t="s">
        <v>55</v>
      </c>
      <c r="ID95" s="17" t="s">
        <v>56</v>
      </c>
      <c r="IE95" s="1" t="s">
        <v>55</v>
      </c>
      <c r="IF95" s="17" t="s">
        <v>56</v>
      </c>
      <c r="IG95" s="1" t="s">
        <v>55</v>
      </c>
      <c r="IH95" s="17" t="s">
        <v>56</v>
      </c>
      <c r="II95" s="1" t="s">
        <v>55</v>
      </c>
      <c r="IJ95" s="17" t="s">
        <v>56</v>
      </c>
      <c r="IK95" s="1" t="s">
        <v>55</v>
      </c>
      <c r="IL95" s="17" t="s">
        <v>56</v>
      </c>
      <c r="IM95" s="1" t="s">
        <v>55</v>
      </c>
      <c r="IN95" s="17" t="s">
        <v>56</v>
      </c>
      <c r="IO95" s="1" t="s">
        <v>55</v>
      </c>
      <c r="IP95" s="17" t="s">
        <v>56</v>
      </c>
      <c r="IQ95" s="1" t="s">
        <v>55</v>
      </c>
      <c r="IR95" s="17" t="s">
        <v>56</v>
      </c>
      <c r="IS95" s="1" t="s">
        <v>55</v>
      </c>
      <c r="IT95" s="17" t="s">
        <v>56</v>
      </c>
      <c r="IU95" s="1" t="s">
        <v>55</v>
      </c>
      <c r="IV95" s="17" t="s">
        <v>56</v>
      </c>
      <c r="IW95" s="1" t="s">
        <v>55</v>
      </c>
      <c r="IX95" s="17" t="s">
        <v>56</v>
      </c>
      <c r="IY95" s="1" t="s">
        <v>55</v>
      </c>
      <c r="IZ95" s="17" t="s">
        <v>56</v>
      </c>
      <c r="JA95" s="1" t="s">
        <v>55</v>
      </c>
      <c r="JB95" s="17" t="s">
        <v>56</v>
      </c>
      <c r="JC95" s="1" t="s">
        <v>55</v>
      </c>
      <c r="JD95" s="17" t="s">
        <v>56</v>
      </c>
      <c r="JE95" s="1" t="s">
        <v>55</v>
      </c>
      <c r="JF95" s="17" t="s">
        <v>56</v>
      </c>
      <c r="JG95" s="1" t="s">
        <v>55</v>
      </c>
      <c r="JH95" s="17" t="s">
        <v>56</v>
      </c>
      <c r="JI95" s="1" t="s">
        <v>55</v>
      </c>
      <c r="JJ95" s="17" t="s">
        <v>56</v>
      </c>
      <c r="JK95" s="1" t="s">
        <v>55</v>
      </c>
      <c r="JL95" s="17" t="s">
        <v>56</v>
      </c>
      <c r="JM95" s="1" t="s">
        <v>55</v>
      </c>
      <c r="JN95" s="17" t="s">
        <v>56</v>
      </c>
      <c r="JO95" s="1" t="s">
        <v>55</v>
      </c>
      <c r="JP95" s="17" t="s">
        <v>56</v>
      </c>
      <c r="JQ95" s="1" t="s">
        <v>55</v>
      </c>
      <c r="JR95" s="17" t="s">
        <v>56</v>
      </c>
      <c r="JS95" s="1" t="s">
        <v>55</v>
      </c>
      <c r="JT95" s="17" t="s">
        <v>56</v>
      </c>
      <c r="JU95" s="1" t="s">
        <v>55</v>
      </c>
      <c r="JV95" s="17" t="s">
        <v>56</v>
      </c>
      <c r="JW95" s="1" t="s">
        <v>55</v>
      </c>
      <c r="JX95" s="17" t="s">
        <v>56</v>
      </c>
      <c r="JY95" s="1" t="s">
        <v>55</v>
      </c>
      <c r="JZ95" s="17" t="s">
        <v>56</v>
      </c>
      <c r="KA95" s="1" t="s">
        <v>55</v>
      </c>
      <c r="KB95" s="17" t="s">
        <v>56</v>
      </c>
      <c r="KC95" s="1" t="s">
        <v>55</v>
      </c>
      <c r="KD95" s="17" t="s">
        <v>56</v>
      </c>
      <c r="KE95" s="1" t="s">
        <v>55</v>
      </c>
      <c r="KF95" s="17" t="s">
        <v>56</v>
      </c>
      <c r="KG95" s="1" t="s">
        <v>55</v>
      </c>
      <c r="KH95" s="17" t="s">
        <v>56</v>
      </c>
      <c r="KI95" s="1" t="s">
        <v>55</v>
      </c>
      <c r="KJ95" s="17" t="s">
        <v>56</v>
      </c>
      <c r="KK95" s="1" t="s">
        <v>55</v>
      </c>
      <c r="KL95" s="17" t="s">
        <v>56</v>
      </c>
      <c r="KM95" s="1" t="s">
        <v>55</v>
      </c>
      <c r="KN95" s="17" t="s">
        <v>56</v>
      </c>
      <c r="KO95" s="1" t="s">
        <v>55</v>
      </c>
      <c r="KP95" s="17" t="s">
        <v>56</v>
      </c>
      <c r="KQ95" s="1" t="s">
        <v>55</v>
      </c>
      <c r="KR95" s="17" t="s">
        <v>56</v>
      </c>
      <c r="KS95" s="1" t="s">
        <v>55</v>
      </c>
      <c r="KT95" s="17" t="s">
        <v>56</v>
      </c>
      <c r="KU95" s="1" t="s">
        <v>55</v>
      </c>
      <c r="KV95" s="17" t="s">
        <v>56</v>
      </c>
      <c r="KW95" s="1" t="s">
        <v>55</v>
      </c>
      <c r="KX95" s="17" t="s">
        <v>56</v>
      </c>
      <c r="KY95" s="1" t="s">
        <v>55</v>
      </c>
      <c r="KZ95" s="17" t="s">
        <v>56</v>
      </c>
      <c r="LA95" s="1" t="s">
        <v>55</v>
      </c>
      <c r="LB95" s="17" t="s">
        <v>56</v>
      </c>
      <c r="LC95" s="1" t="s">
        <v>55</v>
      </c>
      <c r="LD95" s="17" t="s">
        <v>56</v>
      </c>
      <c r="LE95" s="1" t="s">
        <v>55</v>
      </c>
      <c r="LF95" s="17" t="s">
        <v>56</v>
      </c>
      <c r="LG95" s="1" t="s">
        <v>55</v>
      </c>
      <c r="LH95" s="17" t="s">
        <v>56</v>
      </c>
      <c r="LI95" s="1" t="s">
        <v>55</v>
      </c>
      <c r="LJ95" s="17" t="s">
        <v>56</v>
      </c>
      <c r="LK95" s="1" t="s">
        <v>55</v>
      </c>
      <c r="LL95" s="17" t="s">
        <v>56</v>
      </c>
      <c r="LM95" s="1" t="s">
        <v>55</v>
      </c>
      <c r="LN95" s="17" t="s">
        <v>56</v>
      </c>
      <c r="LO95" s="1" t="s">
        <v>55</v>
      </c>
      <c r="LP95" s="17" t="s">
        <v>56</v>
      </c>
      <c r="LQ95" s="1" t="s">
        <v>55</v>
      </c>
      <c r="LR95" s="17" t="s">
        <v>56</v>
      </c>
      <c r="LS95" s="1" t="s">
        <v>55</v>
      </c>
      <c r="LT95" s="17" t="s">
        <v>56</v>
      </c>
      <c r="LU95" s="1" t="s">
        <v>55</v>
      </c>
      <c r="LV95" s="17" t="s">
        <v>56</v>
      </c>
      <c r="LW95" s="1" t="s">
        <v>55</v>
      </c>
      <c r="LX95" s="17" t="s">
        <v>56</v>
      </c>
      <c r="LY95" s="1" t="s">
        <v>55</v>
      </c>
      <c r="LZ95" s="17" t="s">
        <v>56</v>
      </c>
      <c r="MA95" s="1" t="s">
        <v>55</v>
      </c>
      <c r="MB95" s="17" t="s">
        <v>56</v>
      </c>
      <c r="MC95" s="1" t="s">
        <v>55</v>
      </c>
      <c r="MD95" s="4" t="s">
        <v>319</v>
      </c>
      <c r="ME95" s="4" t="s">
        <v>55</v>
      </c>
      <c r="MF95" s="4" t="s">
        <v>319</v>
      </c>
      <c r="MG95" s="4" t="s">
        <v>55</v>
      </c>
      <c r="MH95" s="4" t="s">
        <v>319</v>
      </c>
      <c r="MI95" s="4" t="s">
        <v>55</v>
      </c>
      <c r="MJ95" s="4">
        <v>53</v>
      </c>
      <c r="MK95" s="4" t="s">
        <v>55</v>
      </c>
      <c r="ML95" s="4">
        <v>80</v>
      </c>
      <c r="MM95" s="4" t="s">
        <v>55</v>
      </c>
      <c r="MN95" s="4">
        <v>55</v>
      </c>
      <c r="MO95" s="4" t="s">
        <v>55</v>
      </c>
      <c r="MP95" s="4">
        <v>57</v>
      </c>
      <c r="MQ95" s="4" t="s">
        <v>55</v>
      </c>
      <c r="MR95" s="4">
        <v>83</v>
      </c>
      <c r="MS95" s="4" t="s">
        <v>55</v>
      </c>
      <c r="MT95" s="4">
        <v>83</v>
      </c>
      <c r="MU95" s="4" t="s">
        <v>55</v>
      </c>
      <c r="MV95" s="4">
        <v>71</v>
      </c>
      <c r="MW95" s="4" t="s">
        <v>55</v>
      </c>
      <c r="MX95" s="4">
        <v>76</v>
      </c>
      <c r="MY95" s="4" t="s">
        <v>55</v>
      </c>
      <c r="MZ95" s="4">
        <v>67</v>
      </c>
      <c r="NA95" s="4" t="s">
        <v>55</v>
      </c>
      <c r="NB95" s="10" t="s">
        <v>56</v>
      </c>
      <c r="NC95" s="10" t="s">
        <v>55</v>
      </c>
      <c r="ND95" s="10" t="s">
        <v>56</v>
      </c>
      <c r="NE95" s="10" t="s">
        <v>55</v>
      </c>
      <c r="NF95" s="10" t="s">
        <v>56</v>
      </c>
      <c r="NG95" s="10" t="s">
        <v>55</v>
      </c>
      <c r="NH95" s="10" t="s">
        <v>56</v>
      </c>
      <c r="NI95" s="10" t="s">
        <v>55</v>
      </c>
      <c r="NJ95" s="10" t="s">
        <v>56</v>
      </c>
      <c r="NK95" s="10" t="s">
        <v>55</v>
      </c>
      <c r="NL95" s="10" t="s">
        <v>56</v>
      </c>
      <c r="NM95" s="10" t="s">
        <v>55</v>
      </c>
      <c r="NN95" s="10" t="s">
        <v>56</v>
      </c>
      <c r="NO95" s="10" t="s">
        <v>55</v>
      </c>
      <c r="NP95" s="10" t="s">
        <v>56</v>
      </c>
      <c r="NQ95" s="10" t="s">
        <v>55</v>
      </c>
      <c r="NR95" s="10" t="s">
        <v>56</v>
      </c>
      <c r="NS95" s="10" t="s">
        <v>55</v>
      </c>
      <c r="NT95" s="10" t="s">
        <v>56</v>
      </c>
      <c r="NU95" s="10" t="s">
        <v>55</v>
      </c>
    </row>
    <row r="96" spans="1:385" x14ac:dyDescent="0.2">
      <c r="A96" t="s">
        <v>373</v>
      </c>
      <c r="B96" s="1" t="s">
        <v>1037</v>
      </c>
      <c r="C96" s="1" t="s">
        <v>858</v>
      </c>
      <c r="D96" s="39" cm="1">
        <f t="array" ref="D96">SUMPRODUCT((ISNUMBER(F96:NU96))*(MOD(COLUMN(F96:NU96),2)=0))</f>
        <v>5</v>
      </c>
      <c r="E96" s="1">
        <v>146.19</v>
      </c>
      <c r="F96" s="1" t="s">
        <v>56</v>
      </c>
      <c r="G96" s="1" t="s">
        <v>55</v>
      </c>
      <c r="H96" s="1" t="s">
        <v>56</v>
      </c>
      <c r="I96" s="1" t="s">
        <v>55</v>
      </c>
      <c r="J96" s="1" t="s">
        <v>56</v>
      </c>
      <c r="K96" s="1" t="s">
        <v>55</v>
      </c>
      <c r="L96" s="1" t="s">
        <v>56</v>
      </c>
      <c r="M96" s="1" t="s">
        <v>55</v>
      </c>
      <c r="N96" s="1" t="s">
        <v>56</v>
      </c>
      <c r="O96" s="1" t="s">
        <v>55</v>
      </c>
      <c r="P96" s="1" t="s">
        <v>56</v>
      </c>
      <c r="Q96" s="1" t="s">
        <v>55</v>
      </c>
      <c r="R96" s="1" t="s">
        <v>56</v>
      </c>
      <c r="S96" s="1" t="s">
        <v>55</v>
      </c>
      <c r="T96" s="1" t="s">
        <v>56</v>
      </c>
      <c r="U96" s="1" t="s">
        <v>55</v>
      </c>
      <c r="V96" s="1" t="s">
        <v>56</v>
      </c>
      <c r="W96" s="1" t="s">
        <v>55</v>
      </c>
      <c r="X96" s="1" t="s">
        <v>56</v>
      </c>
      <c r="Y96" s="1" t="s">
        <v>55</v>
      </c>
      <c r="Z96" s="1" t="s">
        <v>56</v>
      </c>
      <c r="AA96" s="1" t="s">
        <v>55</v>
      </c>
      <c r="AB96" s="1" t="s">
        <v>56</v>
      </c>
      <c r="AC96" s="1" t="s">
        <v>55</v>
      </c>
      <c r="AD96" s="1" t="s">
        <v>56</v>
      </c>
      <c r="AE96" s="1" t="s">
        <v>55</v>
      </c>
      <c r="AF96" s="1" t="s">
        <v>56</v>
      </c>
      <c r="AG96" s="1" t="s">
        <v>55</v>
      </c>
      <c r="AH96" s="1" t="s">
        <v>56</v>
      </c>
      <c r="AI96" s="1" t="s">
        <v>55</v>
      </c>
      <c r="AJ96" s="1" t="s">
        <v>56</v>
      </c>
      <c r="AK96" s="1" t="s">
        <v>55</v>
      </c>
      <c r="AL96" s="1" t="s">
        <v>56</v>
      </c>
      <c r="AM96" s="1" t="s">
        <v>55</v>
      </c>
      <c r="AN96" s="17" t="s">
        <v>56</v>
      </c>
      <c r="AO96" s="1" t="s">
        <v>55</v>
      </c>
      <c r="AP96" s="11" t="s">
        <v>56</v>
      </c>
      <c r="AQ96" s="11" t="s">
        <v>55</v>
      </c>
      <c r="AR96" s="10" t="s">
        <v>56</v>
      </c>
      <c r="AS96" s="10" t="s">
        <v>55</v>
      </c>
      <c r="AT96" s="1" t="s">
        <v>56</v>
      </c>
      <c r="AU96" s="1" t="s">
        <v>55</v>
      </c>
      <c r="AV96" s="1" t="s">
        <v>56</v>
      </c>
      <c r="AW96" s="1" t="s">
        <v>55</v>
      </c>
      <c r="AX96" s="1" t="s">
        <v>56</v>
      </c>
      <c r="AY96" s="1" t="s">
        <v>55</v>
      </c>
      <c r="AZ96" s="1" t="s">
        <v>56</v>
      </c>
      <c r="BA96" s="1" t="s">
        <v>55</v>
      </c>
      <c r="BB96" s="1" t="s">
        <v>56</v>
      </c>
      <c r="BC96" s="1" t="s">
        <v>55</v>
      </c>
      <c r="BD96" s="4" t="s">
        <v>56</v>
      </c>
      <c r="BE96" s="1" t="s">
        <v>55</v>
      </c>
      <c r="BF96" s="1" t="s">
        <v>56</v>
      </c>
      <c r="BG96" s="1" t="s">
        <v>55</v>
      </c>
      <c r="BH96" s="1" t="s">
        <v>56</v>
      </c>
      <c r="BI96" s="1" t="s">
        <v>55</v>
      </c>
      <c r="BJ96" s="1" t="s">
        <v>56</v>
      </c>
      <c r="BK96" s="1" t="s">
        <v>55</v>
      </c>
      <c r="BL96" s="1" t="s">
        <v>56</v>
      </c>
      <c r="BM96" s="1" t="s">
        <v>55</v>
      </c>
      <c r="BN96" s="1" t="s">
        <v>56</v>
      </c>
      <c r="BO96" s="1" t="s">
        <v>55</v>
      </c>
      <c r="BP96" s="1" t="s">
        <v>56</v>
      </c>
      <c r="BQ96" s="1" t="s">
        <v>55</v>
      </c>
      <c r="BR96" s="1" t="s">
        <v>56</v>
      </c>
      <c r="BS96" s="1" t="s">
        <v>55</v>
      </c>
      <c r="BT96" s="1" t="s">
        <v>56</v>
      </c>
      <c r="BU96" s="1" t="s">
        <v>55</v>
      </c>
      <c r="BV96" s="1" t="s">
        <v>56</v>
      </c>
      <c r="BW96" s="1" t="s">
        <v>55</v>
      </c>
      <c r="BX96" s="1" t="s">
        <v>56</v>
      </c>
      <c r="BY96" s="1" t="s">
        <v>55</v>
      </c>
      <c r="BZ96" s="1" t="s">
        <v>56</v>
      </c>
      <c r="CA96" s="1" t="s">
        <v>55</v>
      </c>
      <c r="CB96" s="1" t="s">
        <v>56</v>
      </c>
      <c r="CC96" s="1" t="s">
        <v>55</v>
      </c>
      <c r="CD96" s="1" t="s">
        <v>56</v>
      </c>
      <c r="CE96" s="1" t="s">
        <v>55</v>
      </c>
      <c r="CF96" s="1" t="s">
        <v>56</v>
      </c>
      <c r="CG96" s="1" t="s">
        <v>55</v>
      </c>
      <c r="CH96" s="1" t="s">
        <v>56</v>
      </c>
      <c r="CI96" s="1" t="s">
        <v>55</v>
      </c>
      <c r="CJ96" s="1" t="s">
        <v>56</v>
      </c>
      <c r="CK96" s="1" t="s">
        <v>55</v>
      </c>
      <c r="CL96" s="1" t="s">
        <v>56</v>
      </c>
      <c r="CM96" s="1" t="s">
        <v>55</v>
      </c>
      <c r="CN96" s="1" t="s">
        <v>56</v>
      </c>
      <c r="CO96" s="1" t="s">
        <v>55</v>
      </c>
      <c r="CP96" s="1" t="s">
        <v>56</v>
      </c>
      <c r="CQ96" s="1" t="s">
        <v>55</v>
      </c>
      <c r="CR96" s="1" t="s">
        <v>56</v>
      </c>
      <c r="CS96" s="1" t="s">
        <v>55</v>
      </c>
      <c r="CT96" s="1" t="s">
        <v>56</v>
      </c>
      <c r="CU96" s="1" t="s">
        <v>55</v>
      </c>
      <c r="CV96" s="1" t="s">
        <v>56</v>
      </c>
      <c r="CW96" s="1" t="s">
        <v>55</v>
      </c>
      <c r="CX96" s="1" t="s">
        <v>56</v>
      </c>
      <c r="CY96" s="1" t="s">
        <v>55</v>
      </c>
      <c r="CZ96" s="1" t="s">
        <v>56</v>
      </c>
      <c r="DA96" s="1" t="s">
        <v>55</v>
      </c>
      <c r="DB96" s="1" t="s">
        <v>56</v>
      </c>
      <c r="DC96" s="1" t="s">
        <v>55</v>
      </c>
      <c r="DD96" s="1" t="s">
        <v>56</v>
      </c>
      <c r="DE96" s="1" t="s">
        <v>55</v>
      </c>
      <c r="DF96" s="1" t="s">
        <v>56</v>
      </c>
      <c r="DG96" s="1" t="s">
        <v>55</v>
      </c>
      <c r="DH96" s="1" t="s">
        <v>56</v>
      </c>
      <c r="DI96" s="1" t="s">
        <v>55</v>
      </c>
      <c r="DJ96" s="1" t="s">
        <v>56</v>
      </c>
      <c r="DK96" s="1" t="s">
        <v>55</v>
      </c>
      <c r="DL96" s="1" t="s">
        <v>56</v>
      </c>
      <c r="DM96" s="1" t="s">
        <v>55</v>
      </c>
      <c r="DN96" s="1" t="s">
        <v>56</v>
      </c>
      <c r="DO96" s="1" t="s">
        <v>55</v>
      </c>
      <c r="DP96" s="1" t="s">
        <v>56</v>
      </c>
      <c r="DQ96" s="1" t="s">
        <v>55</v>
      </c>
      <c r="DR96" s="1" t="s">
        <v>56</v>
      </c>
      <c r="DS96" s="1" t="s">
        <v>55</v>
      </c>
      <c r="DT96" s="1" t="s">
        <v>56</v>
      </c>
      <c r="DU96" s="1" t="s">
        <v>55</v>
      </c>
      <c r="DV96" s="1" t="s">
        <v>56</v>
      </c>
      <c r="DW96" s="1" t="s">
        <v>55</v>
      </c>
      <c r="DX96" s="1" t="s">
        <v>56</v>
      </c>
      <c r="DY96" s="1" t="s">
        <v>55</v>
      </c>
      <c r="DZ96" s="1" t="s">
        <v>56</v>
      </c>
      <c r="EA96" s="1" t="s">
        <v>55</v>
      </c>
      <c r="EB96" s="1" t="s">
        <v>56</v>
      </c>
      <c r="EC96" s="1" t="s">
        <v>55</v>
      </c>
      <c r="ED96" s="1" t="s">
        <v>56</v>
      </c>
      <c r="EE96" s="1" t="s">
        <v>55</v>
      </c>
      <c r="EF96" s="1" t="s">
        <v>56</v>
      </c>
      <c r="EG96" s="1" t="s">
        <v>55</v>
      </c>
      <c r="EH96" s="1" t="s">
        <v>56</v>
      </c>
      <c r="EI96" s="1" t="s">
        <v>55</v>
      </c>
      <c r="EJ96" s="1" t="s">
        <v>56</v>
      </c>
      <c r="EK96" s="1" t="s">
        <v>55</v>
      </c>
      <c r="EL96" s="1" t="s">
        <v>56</v>
      </c>
      <c r="EM96" s="1" t="s">
        <v>55</v>
      </c>
      <c r="EN96" s="1" t="s">
        <v>56</v>
      </c>
      <c r="EO96" s="1" t="s">
        <v>55</v>
      </c>
      <c r="EP96" s="1" t="s">
        <v>56</v>
      </c>
      <c r="EQ96" s="1" t="s">
        <v>55</v>
      </c>
      <c r="ER96" s="1" t="s">
        <v>56</v>
      </c>
      <c r="ES96" s="1" t="s">
        <v>55</v>
      </c>
      <c r="ET96" s="1" t="s">
        <v>56</v>
      </c>
      <c r="EU96" s="1" t="s">
        <v>55</v>
      </c>
      <c r="EV96" s="1" t="s">
        <v>56</v>
      </c>
      <c r="EW96" s="1" t="s">
        <v>55</v>
      </c>
      <c r="EX96" s="1" t="s">
        <v>56</v>
      </c>
      <c r="EY96" s="1" t="s">
        <v>55</v>
      </c>
      <c r="EZ96" s="1" t="s">
        <v>56</v>
      </c>
      <c r="FA96" s="1" t="s">
        <v>55</v>
      </c>
      <c r="FB96" s="1" t="s">
        <v>56</v>
      </c>
      <c r="FC96" s="1" t="s">
        <v>55</v>
      </c>
      <c r="FD96" s="1" t="s">
        <v>56</v>
      </c>
      <c r="FE96" s="1" t="s">
        <v>55</v>
      </c>
      <c r="FF96" s="4" t="s">
        <v>56</v>
      </c>
      <c r="FG96" s="4" t="s">
        <v>55</v>
      </c>
      <c r="FH96" s="4" t="s">
        <v>56</v>
      </c>
      <c r="FI96" s="4" t="s">
        <v>55</v>
      </c>
      <c r="FJ96" s="4" t="s">
        <v>56</v>
      </c>
      <c r="FK96" s="4" t="s">
        <v>55</v>
      </c>
      <c r="FL96" s="4" t="s">
        <v>56</v>
      </c>
      <c r="FM96" s="4" t="s">
        <v>55</v>
      </c>
      <c r="FN96" s="4" t="s">
        <v>56</v>
      </c>
      <c r="FO96" s="4" t="s">
        <v>55</v>
      </c>
      <c r="FP96" s="4" t="s">
        <v>56</v>
      </c>
      <c r="FQ96" s="4" t="s">
        <v>55</v>
      </c>
      <c r="FR96" s="4" t="s">
        <v>56</v>
      </c>
      <c r="FS96" s="4" t="s">
        <v>55</v>
      </c>
      <c r="FT96" s="4" t="s">
        <v>56</v>
      </c>
      <c r="FU96" s="4" t="s">
        <v>55</v>
      </c>
      <c r="FV96" s="4" t="s">
        <v>56</v>
      </c>
      <c r="FW96" s="4" t="s">
        <v>55</v>
      </c>
      <c r="FX96" s="4" t="s">
        <v>56</v>
      </c>
      <c r="FY96" s="4" t="s">
        <v>55</v>
      </c>
      <c r="FZ96" s="4" t="s">
        <v>56</v>
      </c>
      <c r="GA96" s="4" t="s">
        <v>55</v>
      </c>
      <c r="GB96" s="4" t="s">
        <v>56</v>
      </c>
      <c r="GC96" s="4" t="s">
        <v>55</v>
      </c>
      <c r="GD96" s="4" t="s">
        <v>56</v>
      </c>
      <c r="GE96" s="4" t="s">
        <v>55</v>
      </c>
      <c r="GF96" s="4" t="s">
        <v>56</v>
      </c>
      <c r="GG96" s="4" t="s">
        <v>55</v>
      </c>
      <c r="GH96" s="4" t="s">
        <v>56</v>
      </c>
      <c r="GI96" s="4" t="s">
        <v>55</v>
      </c>
      <c r="GJ96" s="4" t="s">
        <v>56</v>
      </c>
      <c r="GK96" s="4" t="s">
        <v>55</v>
      </c>
      <c r="GL96" s="4" t="s">
        <v>56</v>
      </c>
      <c r="GM96" s="4" t="s">
        <v>55</v>
      </c>
      <c r="GN96" s="4" t="s">
        <v>56</v>
      </c>
      <c r="GO96" s="4" t="s">
        <v>55</v>
      </c>
      <c r="GP96" s="4" t="s">
        <v>56</v>
      </c>
      <c r="GQ96" s="4" t="s">
        <v>55</v>
      </c>
      <c r="GR96" s="4" t="s">
        <v>56</v>
      </c>
      <c r="GS96" s="4" t="s">
        <v>55</v>
      </c>
      <c r="GT96" s="4" t="s">
        <v>56</v>
      </c>
      <c r="GU96" s="10" t="s">
        <v>55</v>
      </c>
      <c r="GV96" s="17" t="s">
        <v>56</v>
      </c>
      <c r="GW96" s="17" t="s">
        <v>55</v>
      </c>
      <c r="GX96" s="10" t="s">
        <v>56</v>
      </c>
      <c r="GY96" s="10" t="s">
        <v>55</v>
      </c>
      <c r="GZ96" s="1" t="s">
        <v>56</v>
      </c>
      <c r="HA96" s="1" t="s">
        <v>55</v>
      </c>
      <c r="HB96" s="1" t="s">
        <v>56</v>
      </c>
      <c r="HC96" s="1" t="s">
        <v>55</v>
      </c>
      <c r="HD96" s="1" t="s">
        <v>56</v>
      </c>
      <c r="HE96" s="1" t="s">
        <v>55</v>
      </c>
      <c r="HF96" s="1" t="s">
        <v>56</v>
      </c>
      <c r="HG96" s="1" t="s">
        <v>55</v>
      </c>
      <c r="HH96" s="1" t="s">
        <v>56</v>
      </c>
      <c r="HI96" s="1" t="s">
        <v>55</v>
      </c>
      <c r="HJ96" s="1" t="s">
        <v>56</v>
      </c>
      <c r="HK96" s="1" t="s">
        <v>55</v>
      </c>
      <c r="HL96" s="1" t="s">
        <v>56</v>
      </c>
      <c r="HM96" s="1" t="s">
        <v>55</v>
      </c>
      <c r="HN96" s="1" t="s">
        <v>56</v>
      </c>
      <c r="HO96" s="1" t="s">
        <v>55</v>
      </c>
      <c r="HP96" s="1" t="s">
        <v>56</v>
      </c>
      <c r="HQ96" s="1" t="s">
        <v>55</v>
      </c>
      <c r="HR96" s="1" t="s">
        <v>56</v>
      </c>
      <c r="HS96" s="1" t="s">
        <v>55</v>
      </c>
      <c r="HT96" s="1" t="s">
        <v>56</v>
      </c>
      <c r="HU96" s="1" t="s">
        <v>55</v>
      </c>
      <c r="HV96" s="1" t="s">
        <v>56</v>
      </c>
      <c r="HW96" s="1" t="s">
        <v>55</v>
      </c>
      <c r="HX96" s="1" t="s">
        <v>56</v>
      </c>
      <c r="HY96" s="1" t="s">
        <v>55</v>
      </c>
      <c r="HZ96" s="1" t="s">
        <v>56</v>
      </c>
      <c r="IA96" s="1" t="s">
        <v>55</v>
      </c>
      <c r="IB96" s="1" t="s">
        <v>56</v>
      </c>
      <c r="IC96" s="1" t="s">
        <v>55</v>
      </c>
      <c r="ID96" s="1" t="s">
        <v>56</v>
      </c>
      <c r="IE96" s="1" t="s">
        <v>55</v>
      </c>
      <c r="IF96" s="1" t="s">
        <v>56</v>
      </c>
      <c r="IG96" s="1" t="s">
        <v>55</v>
      </c>
      <c r="IH96" s="1" t="s">
        <v>56</v>
      </c>
      <c r="II96" s="1" t="s">
        <v>55</v>
      </c>
      <c r="IJ96" s="1" t="s">
        <v>56</v>
      </c>
      <c r="IK96" s="1" t="s">
        <v>55</v>
      </c>
      <c r="IL96" s="1" t="s">
        <v>56</v>
      </c>
      <c r="IM96" s="1" t="s">
        <v>55</v>
      </c>
      <c r="IN96" s="1" t="s">
        <v>56</v>
      </c>
      <c r="IO96" s="1" t="s">
        <v>55</v>
      </c>
      <c r="IP96" s="1" t="s">
        <v>56</v>
      </c>
      <c r="IQ96" s="1" t="s">
        <v>55</v>
      </c>
      <c r="IR96" s="1" t="s">
        <v>56</v>
      </c>
      <c r="IS96" s="1" t="s">
        <v>55</v>
      </c>
      <c r="IT96" s="1" t="s">
        <v>56</v>
      </c>
      <c r="IU96" s="1" t="s">
        <v>55</v>
      </c>
      <c r="IV96" s="1" t="s">
        <v>56</v>
      </c>
      <c r="IW96" s="1" t="s">
        <v>55</v>
      </c>
      <c r="IX96" s="1" t="s">
        <v>56</v>
      </c>
      <c r="IY96" s="1" t="s">
        <v>55</v>
      </c>
      <c r="IZ96" s="1" t="s">
        <v>56</v>
      </c>
      <c r="JA96" s="1" t="s">
        <v>55</v>
      </c>
      <c r="JB96" s="1" t="s">
        <v>56</v>
      </c>
      <c r="JC96" s="1" t="s">
        <v>55</v>
      </c>
      <c r="JD96" s="1" t="s">
        <v>56</v>
      </c>
      <c r="JE96" s="1" t="s">
        <v>55</v>
      </c>
      <c r="JF96" s="1" t="s">
        <v>56</v>
      </c>
      <c r="JG96" s="1" t="s">
        <v>55</v>
      </c>
      <c r="JH96" s="1" t="s">
        <v>56</v>
      </c>
      <c r="JI96" s="1" t="s">
        <v>55</v>
      </c>
      <c r="JJ96" s="1" t="s">
        <v>56</v>
      </c>
      <c r="JK96" s="1" t="s">
        <v>55</v>
      </c>
      <c r="JL96" s="1" t="s">
        <v>56</v>
      </c>
      <c r="JM96" s="1" t="s">
        <v>55</v>
      </c>
      <c r="JN96" s="1" t="s">
        <v>56</v>
      </c>
      <c r="JO96" s="1" t="s">
        <v>55</v>
      </c>
      <c r="JP96" s="1" t="s">
        <v>56</v>
      </c>
      <c r="JQ96" s="1" t="s">
        <v>55</v>
      </c>
      <c r="JR96" s="1" t="s">
        <v>56</v>
      </c>
      <c r="JS96" s="1" t="s">
        <v>55</v>
      </c>
      <c r="JT96" s="1" t="s">
        <v>56</v>
      </c>
      <c r="JU96" s="1" t="s">
        <v>55</v>
      </c>
      <c r="JV96" s="1" t="s">
        <v>56</v>
      </c>
      <c r="JW96" s="1" t="s">
        <v>55</v>
      </c>
      <c r="JX96" s="26">
        <v>215.54518632857591</v>
      </c>
      <c r="JY96" s="26">
        <v>115.44502576189446</v>
      </c>
      <c r="JZ96" s="26">
        <v>225.48687508130649</v>
      </c>
      <c r="KA96" s="26">
        <v>131.21392486630157</v>
      </c>
      <c r="KB96" s="26">
        <v>341.3220052849922</v>
      </c>
      <c r="KC96" s="26">
        <v>158.06122030385907</v>
      </c>
      <c r="KD96" s="26">
        <v>100.98109928412522</v>
      </c>
      <c r="KE96" s="26">
        <v>26.450671036762618</v>
      </c>
      <c r="KF96" s="26">
        <v>225.60314048960754</v>
      </c>
      <c r="KG96" s="26">
        <v>93.867281386501844</v>
      </c>
      <c r="KH96" s="17" t="s">
        <v>56</v>
      </c>
      <c r="KI96" s="1" t="s">
        <v>55</v>
      </c>
      <c r="KJ96" s="17" t="s">
        <v>56</v>
      </c>
      <c r="KK96" s="1" t="s">
        <v>55</v>
      </c>
      <c r="KL96" s="17" t="s">
        <v>56</v>
      </c>
      <c r="KM96" s="1" t="s">
        <v>55</v>
      </c>
      <c r="KN96" s="17" t="s">
        <v>56</v>
      </c>
      <c r="KO96" s="1" t="s">
        <v>55</v>
      </c>
      <c r="KP96" s="17" t="s">
        <v>56</v>
      </c>
      <c r="KQ96" s="1" t="s">
        <v>55</v>
      </c>
      <c r="KR96" s="4" t="s">
        <v>587</v>
      </c>
      <c r="KS96" s="4" t="s">
        <v>55</v>
      </c>
      <c r="KT96" s="4" t="s">
        <v>57</v>
      </c>
      <c r="KU96" s="4" t="s">
        <v>55</v>
      </c>
      <c r="KV96" s="4" t="s">
        <v>57</v>
      </c>
      <c r="KW96" s="4" t="s">
        <v>55</v>
      </c>
      <c r="KX96" s="4" t="s">
        <v>57</v>
      </c>
      <c r="KY96" s="4" t="s">
        <v>55</v>
      </c>
      <c r="KZ96" s="4" t="s">
        <v>57</v>
      </c>
      <c r="LA96" s="4" t="s">
        <v>55</v>
      </c>
      <c r="LB96" s="17" t="s">
        <v>56</v>
      </c>
      <c r="LC96" s="1" t="s">
        <v>55</v>
      </c>
      <c r="LD96" s="10" t="s">
        <v>56</v>
      </c>
      <c r="LE96" s="10" t="s">
        <v>55</v>
      </c>
      <c r="LF96" s="10" t="s">
        <v>56</v>
      </c>
      <c r="LG96" s="10" t="s">
        <v>55</v>
      </c>
      <c r="LH96" s="10" t="s">
        <v>56</v>
      </c>
      <c r="LI96" s="10" t="s">
        <v>55</v>
      </c>
      <c r="LJ96" s="17" t="s">
        <v>56</v>
      </c>
      <c r="LK96" s="1" t="s">
        <v>55</v>
      </c>
      <c r="LL96" s="17" t="s">
        <v>56</v>
      </c>
      <c r="LM96" s="1" t="s">
        <v>55</v>
      </c>
      <c r="LN96" s="17" t="s">
        <v>56</v>
      </c>
      <c r="LO96" s="1" t="s">
        <v>55</v>
      </c>
      <c r="LP96" s="17" t="s">
        <v>56</v>
      </c>
      <c r="LQ96" s="1" t="s">
        <v>55</v>
      </c>
      <c r="LR96" s="17" t="s">
        <v>56</v>
      </c>
      <c r="LS96" s="1" t="s">
        <v>55</v>
      </c>
      <c r="LT96" s="17" t="s">
        <v>56</v>
      </c>
      <c r="LU96" s="1" t="s">
        <v>55</v>
      </c>
      <c r="LV96" s="17" t="s">
        <v>56</v>
      </c>
      <c r="LW96" s="1" t="s">
        <v>55</v>
      </c>
      <c r="LX96" s="17" t="s">
        <v>56</v>
      </c>
      <c r="LY96" s="1" t="s">
        <v>55</v>
      </c>
      <c r="LZ96" s="17" t="s">
        <v>56</v>
      </c>
      <c r="MA96" s="1" t="s">
        <v>55</v>
      </c>
      <c r="MB96" s="17" t="s">
        <v>56</v>
      </c>
      <c r="MC96" s="1" t="s">
        <v>55</v>
      </c>
      <c r="MD96" s="17" t="s">
        <v>56</v>
      </c>
      <c r="ME96" s="1" t="s">
        <v>55</v>
      </c>
      <c r="MF96" s="17" t="s">
        <v>56</v>
      </c>
      <c r="MG96" s="1" t="s">
        <v>55</v>
      </c>
      <c r="MH96" s="17" t="s">
        <v>56</v>
      </c>
      <c r="MI96" s="1" t="s">
        <v>55</v>
      </c>
      <c r="MJ96" s="17" t="s">
        <v>56</v>
      </c>
      <c r="MK96" s="1" t="s">
        <v>55</v>
      </c>
      <c r="ML96" s="17" t="s">
        <v>56</v>
      </c>
      <c r="MM96" s="1" t="s">
        <v>55</v>
      </c>
      <c r="MN96" s="17" t="s">
        <v>56</v>
      </c>
      <c r="MO96" s="1" t="s">
        <v>55</v>
      </c>
      <c r="MP96" s="17" t="s">
        <v>56</v>
      </c>
      <c r="MQ96" s="1" t="s">
        <v>55</v>
      </c>
      <c r="MR96" s="17" t="s">
        <v>56</v>
      </c>
      <c r="MS96" s="1" t="s">
        <v>55</v>
      </c>
      <c r="MT96" s="17" t="s">
        <v>56</v>
      </c>
      <c r="MU96" s="1" t="s">
        <v>55</v>
      </c>
      <c r="MV96" s="17" t="s">
        <v>56</v>
      </c>
      <c r="MW96" s="1" t="s">
        <v>55</v>
      </c>
      <c r="MX96" s="17" t="s">
        <v>56</v>
      </c>
      <c r="MY96" s="1" t="s">
        <v>55</v>
      </c>
      <c r="MZ96" s="17" t="s">
        <v>56</v>
      </c>
      <c r="NA96" s="1" t="s">
        <v>55</v>
      </c>
      <c r="NB96" s="17" t="s">
        <v>56</v>
      </c>
      <c r="NC96" s="1" t="s">
        <v>55</v>
      </c>
      <c r="ND96" s="17" t="s">
        <v>56</v>
      </c>
      <c r="NE96" s="1" t="s">
        <v>55</v>
      </c>
      <c r="NF96" s="17" t="s">
        <v>56</v>
      </c>
      <c r="NG96" s="1" t="s">
        <v>55</v>
      </c>
      <c r="NH96" s="17" t="s">
        <v>56</v>
      </c>
      <c r="NI96" s="1" t="s">
        <v>55</v>
      </c>
      <c r="NJ96" s="17" t="s">
        <v>56</v>
      </c>
      <c r="NK96" s="1" t="s">
        <v>55</v>
      </c>
      <c r="NL96" s="17" t="s">
        <v>56</v>
      </c>
      <c r="NM96" s="1" t="s">
        <v>55</v>
      </c>
      <c r="NN96" s="17" t="s">
        <v>56</v>
      </c>
      <c r="NO96" s="1" t="s">
        <v>55</v>
      </c>
      <c r="NP96" s="17" t="s">
        <v>56</v>
      </c>
      <c r="NQ96" s="1" t="s">
        <v>55</v>
      </c>
      <c r="NR96" s="10" t="s">
        <v>56</v>
      </c>
      <c r="NS96" s="10" t="s">
        <v>55</v>
      </c>
      <c r="NT96" s="10" t="s">
        <v>56</v>
      </c>
      <c r="NU96" s="10" t="s">
        <v>55</v>
      </c>
    </row>
    <row r="97" spans="1:385" x14ac:dyDescent="0.2">
      <c r="A97" t="s">
        <v>321</v>
      </c>
      <c r="B97" s="1" t="s">
        <v>1037</v>
      </c>
      <c r="C97" s="1" t="s">
        <v>859</v>
      </c>
      <c r="D97" s="39" cm="1">
        <f t="array" ref="D97">SUMPRODUCT((ISNUMBER(F97:NU97))*(MOD(COLUMN(F97:NU97),2)=0))</f>
        <v>19</v>
      </c>
      <c r="E97" s="1">
        <v>146.19</v>
      </c>
      <c r="F97" s="1" t="s">
        <v>56</v>
      </c>
      <c r="G97" s="1" t="s">
        <v>55</v>
      </c>
      <c r="H97" s="1" t="s">
        <v>56</v>
      </c>
      <c r="I97" s="1" t="s">
        <v>55</v>
      </c>
      <c r="J97" s="1" t="s">
        <v>56</v>
      </c>
      <c r="K97" s="1" t="s">
        <v>55</v>
      </c>
      <c r="L97" s="1" t="s">
        <v>56</v>
      </c>
      <c r="M97" s="1" t="s">
        <v>55</v>
      </c>
      <c r="N97" s="1" t="s">
        <v>56</v>
      </c>
      <c r="O97" s="1" t="s">
        <v>55</v>
      </c>
      <c r="P97" s="1" t="s">
        <v>56</v>
      </c>
      <c r="Q97" s="1" t="s">
        <v>55</v>
      </c>
      <c r="R97" s="1" t="s">
        <v>56</v>
      </c>
      <c r="S97" s="1" t="s">
        <v>55</v>
      </c>
      <c r="T97" s="1" t="s">
        <v>56</v>
      </c>
      <c r="U97" s="1" t="s">
        <v>55</v>
      </c>
      <c r="V97" s="1" t="s">
        <v>56</v>
      </c>
      <c r="W97" s="1" t="s">
        <v>55</v>
      </c>
      <c r="X97" s="1" t="s">
        <v>56</v>
      </c>
      <c r="Y97" s="1" t="s">
        <v>55</v>
      </c>
      <c r="Z97" s="1" t="s">
        <v>56</v>
      </c>
      <c r="AA97" s="1" t="s">
        <v>55</v>
      </c>
      <c r="AB97" s="1" t="s">
        <v>56</v>
      </c>
      <c r="AC97" s="1" t="s">
        <v>55</v>
      </c>
      <c r="AD97" s="1" t="s">
        <v>56</v>
      </c>
      <c r="AE97" s="1" t="s">
        <v>55</v>
      </c>
      <c r="AF97" s="1" t="s">
        <v>56</v>
      </c>
      <c r="AG97" s="1" t="s">
        <v>55</v>
      </c>
      <c r="AH97" s="1" t="s">
        <v>56</v>
      </c>
      <c r="AI97" s="1" t="s">
        <v>55</v>
      </c>
      <c r="AJ97" s="1" t="s">
        <v>56</v>
      </c>
      <c r="AK97" s="1" t="s">
        <v>55</v>
      </c>
      <c r="AL97" s="1" t="s">
        <v>56</v>
      </c>
      <c r="AM97" s="1" t="s">
        <v>55</v>
      </c>
      <c r="AN97" s="17" t="s">
        <v>56</v>
      </c>
      <c r="AO97" s="1" t="s">
        <v>55</v>
      </c>
      <c r="AP97" s="11" t="s">
        <v>56</v>
      </c>
      <c r="AQ97" s="11" t="s">
        <v>55</v>
      </c>
      <c r="AR97" s="10" t="s">
        <v>56</v>
      </c>
      <c r="AS97" s="10" t="s">
        <v>55</v>
      </c>
      <c r="AT97" s="1" t="s">
        <v>56</v>
      </c>
      <c r="AU97" s="1" t="s">
        <v>55</v>
      </c>
      <c r="AV97" s="1" t="s">
        <v>56</v>
      </c>
      <c r="AW97" s="1" t="s">
        <v>55</v>
      </c>
      <c r="AX97" s="1" t="s">
        <v>56</v>
      </c>
      <c r="AY97" s="1" t="s">
        <v>55</v>
      </c>
      <c r="AZ97" s="1" t="s">
        <v>56</v>
      </c>
      <c r="BA97" s="1" t="s">
        <v>55</v>
      </c>
      <c r="BB97" s="1" t="s">
        <v>56</v>
      </c>
      <c r="BC97" s="1" t="s">
        <v>55</v>
      </c>
      <c r="BD97" s="4" t="s">
        <v>56</v>
      </c>
      <c r="BE97" s="1" t="s">
        <v>55</v>
      </c>
      <c r="BF97" s="1" t="s">
        <v>56</v>
      </c>
      <c r="BG97" s="1" t="s">
        <v>55</v>
      </c>
      <c r="BH97" s="1" t="s">
        <v>56</v>
      </c>
      <c r="BI97" s="1" t="s">
        <v>55</v>
      </c>
      <c r="BJ97" s="1" t="s">
        <v>56</v>
      </c>
      <c r="BK97" s="1" t="s">
        <v>55</v>
      </c>
      <c r="BL97" s="1" t="s">
        <v>56</v>
      </c>
      <c r="BM97" s="1" t="s">
        <v>55</v>
      </c>
      <c r="BN97" s="1" t="s">
        <v>56</v>
      </c>
      <c r="BO97" s="1" t="s">
        <v>55</v>
      </c>
      <c r="BP97" s="1" t="s">
        <v>56</v>
      </c>
      <c r="BQ97" s="1" t="s">
        <v>55</v>
      </c>
      <c r="BR97" s="1" t="s">
        <v>56</v>
      </c>
      <c r="BS97" s="1" t="s">
        <v>55</v>
      </c>
      <c r="BT97" s="1" t="s">
        <v>56</v>
      </c>
      <c r="BU97" s="1" t="s">
        <v>55</v>
      </c>
      <c r="BV97" s="1" t="s">
        <v>56</v>
      </c>
      <c r="BW97" s="1" t="s">
        <v>55</v>
      </c>
      <c r="BX97" s="1" t="s">
        <v>56</v>
      </c>
      <c r="BY97" s="1" t="s">
        <v>55</v>
      </c>
      <c r="BZ97" s="1" t="s">
        <v>56</v>
      </c>
      <c r="CA97" s="1" t="s">
        <v>55</v>
      </c>
      <c r="CB97" s="1" t="s">
        <v>56</v>
      </c>
      <c r="CC97" s="1" t="s">
        <v>55</v>
      </c>
      <c r="CD97" s="1" t="s">
        <v>56</v>
      </c>
      <c r="CE97" s="1" t="s">
        <v>55</v>
      </c>
      <c r="CF97" s="1" t="s">
        <v>56</v>
      </c>
      <c r="CG97" s="1" t="s">
        <v>55</v>
      </c>
      <c r="CH97" s="1" t="s">
        <v>56</v>
      </c>
      <c r="CI97" s="1" t="s">
        <v>55</v>
      </c>
      <c r="CJ97" s="1" t="s">
        <v>56</v>
      </c>
      <c r="CK97" s="1" t="s">
        <v>55</v>
      </c>
      <c r="CL97" s="1" t="s">
        <v>56</v>
      </c>
      <c r="CM97" s="1" t="s">
        <v>55</v>
      </c>
      <c r="CN97" s="1" t="s">
        <v>56</v>
      </c>
      <c r="CO97" s="1" t="s">
        <v>55</v>
      </c>
      <c r="CP97" s="1" t="s">
        <v>56</v>
      </c>
      <c r="CQ97" s="1" t="s">
        <v>55</v>
      </c>
      <c r="CR97" s="1" t="s">
        <v>56</v>
      </c>
      <c r="CS97" s="1" t="s">
        <v>55</v>
      </c>
      <c r="CT97" s="1" t="s">
        <v>56</v>
      </c>
      <c r="CU97" s="1" t="s">
        <v>55</v>
      </c>
      <c r="CV97" s="1" t="s">
        <v>56</v>
      </c>
      <c r="CW97" s="1" t="s">
        <v>55</v>
      </c>
      <c r="CX97" s="1" t="s">
        <v>56</v>
      </c>
      <c r="CY97" s="1" t="s">
        <v>55</v>
      </c>
      <c r="CZ97" s="1" t="s">
        <v>56</v>
      </c>
      <c r="DA97" s="1" t="s">
        <v>55</v>
      </c>
      <c r="DB97" s="1" t="s">
        <v>56</v>
      </c>
      <c r="DC97" s="1" t="s">
        <v>55</v>
      </c>
      <c r="DD97" s="1" t="s">
        <v>56</v>
      </c>
      <c r="DE97" s="1" t="s">
        <v>55</v>
      </c>
      <c r="DF97" s="1" t="s">
        <v>56</v>
      </c>
      <c r="DG97" s="1" t="s">
        <v>55</v>
      </c>
      <c r="DH97" s="1" t="s">
        <v>56</v>
      </c>
      <c r="DI97" s="1" t="s">
        <v>55</v>
      </c>
      <c r="DJ97" s="1" t="s">
        <v>56</v>
      </c>
      <c r="DK97" s="1" t="s">
        <v>55</v>
      </c>
      <c r="DL97" s="1" t="s">
        <v>56</v>
      </c>
      <c r="DM97" s="1" t="s">
        <v>55</v>
      </c>
      <c r="DN97" s="1" t="s">
        <v>56</v>
      </c>
      <c r="DO97" s="1" t="s">
        <v>55</v>
      </c>
      <c r="DP97" s="1" t="s">
        <v>56</v>
      </c>
      <c r="DQ97" s="1" t="s">
        <v>55</v>
      </c>
      <c r="DR97" s="1" t="s">
        <v>56</v>
      </c>
      <c r="DS97" s="1" t="s">
        <v>55</v>
      </c>
      <c r="DT97" s="1" t="s">
        <v>56</v>
      </c>
      <c r="DU97" s="1" t="s">
        <v>55</v>
      </c>
      <c r="DV97" s="1" t="s">
        <v>56</v>
      </c>
      <c r="DW97" s="1" t="s">
        <v>55</v>
      </c>
      <c r="DX97" s="1" t="s">
        <v>56</v>
      </c>
      <c r="DY97" s="1" t="s">
        <v>55</v>
      </c>
      <c r="DZ97" s="1" t="s">
        <v>56</v>
      </c>
      <c r="EA97" s="1" t="s">
        <v>55</v>
      </c>
      <c r="EB97" s="1" t="s">
        <v>56</v>
      </c>
      <c r="EC97" s="1" t="s">
        <v>55</v>
      </c>
      <c r="ED97" s="1" t="s">
        <v>56</v>
      </c>
      <c r="EE97" s="1" t="s">
        <v>55</v>
      </c>
      <c r="EF97" s="1" t="s">
        <v>56</v>
      </c>
      <c r="EG97" s="1" t="s">
        <v>55</v>
      </c>
      <c r="EH97" s="1" t="s">
        <v>56</v>
      </c>
      <c r="EI97" s="1" t="s">
        <v>55</v>
      </c>
      <c r="EJ97" s="1" t="s">
        <v>56</v>
      </c>
      <c r="EK97" s="1" t="s">
        <v>55</v>
      </c>
      <c r="EL97" s="1" t="s">
        <v>56</v>
      </c>
      <c r="EM97" s="1" t="s">
        <v>55</v>
      </c>
      <c r="EN97" s="1" t="s">
        <v>56</v>
      </c>
      <c r="EO97" s="1" t="s">
        <v>55</v>
      </c>
      <c r="EP97" s="1" t="s">
        <v>56</v>
      </c>
      <c r="EQ97" s="1" t="s">
        <v>55</v>
      </c>
      <c r="ER97" s="1" t="s">
        <v>56</v>
      </c>
      <c r="ES97" s="1" t="s">
        <v>55</v>
      </c>
      <c r="ET97" s="1" t="s">
        <v>56</v>
      </c>
      <c r="EU97" s="1" t="s">
        <v>55</v>
      </c>
      <c r="EV97" s="1" t="s">
        <v>56</v>
      </c>
      <c r="EW97" s="1" t="s">
        <v>55</v>
      </c>
      <c r="EX97" s="1" t="s">
        <v>56</v>
      </c>
      <c r="EY97" s="1" t="s">
        <v>55</v>
      </c>
      <c r="EZ97" s="1" t="s">
        <v>56</v>
      </c>
      <c r="FA97" s="1" t="s">
        <v>55</v>
      </c>
      <c r="FB97" s="1" t="s">
        <v>56</v>
      </c>
      <c r="FC97" s="1" t="s">
        <v>55</v>
      </c>
      <c r="FD97" s="1" t="s">
        <v>56</v>
      </c>
      <c r="FE97" s="1" t="s">
        <v>55</v>
      </c>
      <c r="FF97" s="4" t="s">
        <v>56</v>
      </c>
      <c r="FG97" s="4" t="s">
        <v>55</v>
      </c>
      <c r="FH97" s="4" t="s">
        <v>56</v>
      </c>
      <c r="FI97" s="4" t="s">
        <v>55</v>
      </c>
      <c r="FJ97" s="4" t="s">
        <v>56</v>
      </c>
      <c r="FK97" s="4" t="s">
        <v>55</v>
      </c>
      <c r="FL97" s="4" t="s">
        <v>56</v>
      </c>
      <c r="FM97" s="4" t="s">
        <v>55</v>
      </c>
      <c r="FN97" s="4" t="s">
        <v>56</v>
      </c>
      <c r="FO97" s="4" t="s">
        <v>55</v>
      </c>
      <c r="FP97" s="4" t="s">
        <v>56</v>
      </c>
      <c r="FQ97" s="4" t="s">
        <v>55</v>
      </c>
      <c r="FR97" s="4" t="s">
        <v>56</v>
      </c>
      <c r="FS97" s="4" t="s">
        <v>55</v>
      </c>
      <c r="FT97" s="4" t="s">
        <v>56</v>
      </c>
      <c r="FU97" s="4" t="s">
        <v>55</v>
      </c>
      <c r="FV97" s="4" t="s">
        <v>56</v>
      </c>
      <c r="FW97" s="4" t="s">
        <v>55</v>
      </c>
      <c r="FX97" s="4" t="s">
        <v>56</v>
      </c>
      <c r="FY97" s="4" t="s">
        <v>55</v>
      </c>
      <c r="FZ97" s="4" t="s">
        <v>56</v>
      </c>
      <c r="GA97" s="4" t="s">
        <v>55</v>
      </c>
      <c r="GB97" s="4" t="s">
        <v>56</v>
      </c>
      <c r="GC97" s="4" t="s">
        <v>55</v>
      </c>
      <c r="GD97" s="4" t="s">
        <v>56</v>
      </c>
      <c r="GE97" s="4" t="s">
        <v>55</v>
      </c>
      <c r="GF97" s="4" t="s">
        <v>56</v>
      </c>
      <c r="GG97" s="4" t="s">
        <v>55</v>
      </c>
      <c r="GH97" s="4" t="s">
        <v>56</v>
      </c>
      <c r="GI97" s="4" t="s">
        <v>55</v>
      </c>
      <c r="GJ97" s="4" t="s">
        <v>56</v>
      </c>
      <c r="GK97" s="4" t="s">
        <v>55</v>
      </c>
      <c r="GL97" s="4" t="s">
        <v>56</v>
      </c>
      <c r="GM97" s="4" t="s">
        <v>55</v>
      </c>
      <c r="GN97" s="4" t="s">
        <v>56</v>
      </c>
      <c r="GO97" s="4" t="s">
        <v>55</v>
      </c>
      <c r="GP97" s="4" t="s">
        <v>56</v>
      </c>
      <c r="GQ97" s="4" t="s">
        <v>55</v>
      </c>
      <c r="GR97" s="4" t="s">
        <v>56</v>
      </c>
      <c r="GS97" s="4" t="s">
        <v>55</v>
      </c>
      <c r="GT97" s="4" t="s">
        <v>56</v>
      </c>
      <c r="GU97" s="10" t="s">
        <v>55</v>
      </c>
      <c r="GV97" s="17" t="s">
        <v>56</v>
      </c>
      <c r="GW97" s="17" t="s">
        <v>55</v>
      </c>
      <c r="GX97" s="10" t="s">
        <v>56</v>
      </c>
      <c r="GY97" s="10" t="s">
        <v>55</v>
      </c>
      <c r="GZ97" s="10">
        <v>26.9343</v>
      </c>
      <c r="HA97" s="10" t="s">
        <v>55</v>
      </c>
      <c r="HB97" s="10">
        <v>179.667</v>
      </c>
      <c r="HC97" s="10" t="s">
        <v>55</v>
      </c>
      <c r="HD97" s="10">
        <v>183.37819999999999</v>
      </c>
      <c r="HE97" s="10" t="s">
        <v>55</v>
      </c>
      <c r="HF97" s="10">
        <v>6.3372000000000002</v>
      </c>
      <c r="HG97" s="10" t="s">
        <v>55</v>
      </c>
      <c r="HH97" s="10">
        <v>92.419399999999996</v>
      </c>
      <c r="HI97" s="10" t="s">
        <v>55</v>
      </c>
      <c r="HJ97" s="10" t="s">
        <v>75</v>
      </c>
      <c r="HK97" s="10" t="s">
        <v>55</v>
      </c>
      <c r="HL97" s="10" t="s">
        <v>75</v>
      </c>
      <c r="HM97" s="10" t="s">
        <v>55</v>
      </c>
      <c r="HN97" s="10">
        <v>61.966000000000001</v>
      </c>
      <c r="HO97" s="10" t="s">
        <v>55</v>
      </c>
      <c r="HP97" s="10" t="s">
        <v>56</v>
      </c>
      <c r="HQ97" s="10" t="s">
        <v>55</v>
      </c>
      <c r="HR97" s="10" t="s">
        <v>56</v>
      </c>
      <c r="HS97" s="10" t="s">
        <v>55</v>
      </c>
      <c r="HT97" s="10" t="s">
        <v>56</v>
      </c>
      <c r="HU97" s="10" t="s">
        <v>55</v>
      </c>
      <c r="HV97" s="10" t="s">
        <v>56</v>
      </c>
      <c r="HW97" s="10" t="s">
        <v>55</v>
      </c>
      <c r="HX97" s="10" t="s">
        <v>56</v>
      </c>
      <c r="HY97" s="10" t="s">
        <v>55</v>
      </c>
      <c r="HZ97" s="10" t="s">
        <v>56</v>
      </c>
      <c r="IA97" s="10" t="s">
        <v>55</v>
      </c>
      <c r="IB97" s="10" t="s">
        <v>56</v>
      </c>
      <c r="IC97" s="10" t="s">
        <v>55</v>
      </c>
      <c r="ID97" s="1" t="s">
        <v>56</v>
      </c>
      <c r="IE97" s="1" t="s">
        <v>55</v>
      </c>
      <c r="IF97" s="4" t="s">
        <v>56</v>
      </c>
      <c r="IG97" s="4" t="s">
        <v>55</v>
      </c>
      <c r="IH97" s="4" t="s">
        <v>56</v>
      </c>
      <c r="II97" s="4" t="s">
        <v>55</v>
      </c>
      <c r="IJ97" s="4" t="s">
        <v>56</v>
      </c>
      <c r="IK97" s="4" t="s">
        <v>55</v>
      </c>
      <c r="IL97" s="4" t="s">
        <v>56</v>
      </c>
      <c r="IM97" s="4" t="s">
        <v>55</v>
      </c>
      <c r="IN97" s="4" t="s">
        <v>56</v>
      </c>
      <c r="IO97" s="4" t="s">
        <v>55</v>
      </c>
      <c r="IP97" s="4" t="s">
        <v>56</v>
      </c>
      <c r="IQ97" s="4" t="s">
        <v>55</v>
      </c>
      <c r="IR97" s="4" t="s">
        <v>56</v>
      </c>
      <c r="IS97" s="4" t="s">
        <v>55</v>
      </c>
      <c r="IT97" s="4" t="s">
        <v>56</v>
      </c>
      <c r="IU97" s="4" t="s">
        <v>55</v>
      </c>
      <c r="IV97" s="4" t="s">
        <v>56</v>
      </c>
      <c r="IW97" s="4" t="s">
        <v>55</v>
      </c>
      <c r="IX97" s="4" t="s">
        <v>56</v>
      </c>
      <c r="IY97" s="4" t="s">
        <v>55</v>
      </c>
      <c r="IZ97" s="4" t="s">
        <v>56</v>
      </c>
      <c r="JA97" s="4" t="s">
        <v>55</v>
      </c>
      <c r="JB97" s="4" t="s">
        <v>56</v>
      </c>
      <c r="JC97" s="4" t="s">
        <v>55</v>
      </c>
      <c r="JD97" s="4" t="s">
        <v>56</v>
      </c>
      <c r="JE97" s="4" t="s">
        <v>55</v>
      </c>
      <c r="JF97" s="4" t="s">
        <v>56</v>
      </c>
      <c r="JG97" s="4" t="s">
        <v>55</v>
      </c>
      <c r="JH97" s="4" t="s">
        <v>56</v>
      </c>
      <c r="JI97" s="4" t="s">
        <v>55</v>
      </c>
      <c r="JJ97" s="4" t="s">
        <v>56</v>
      </c>
      <c r="JK97" s="4" t="s">
        <v>55</v>
      </c>
      <c r="JL97" s="4" t="s">
        <v>56</v>
      </c>
      <c r="JM97" s="4" t="s">
        <v>55</v>
      </c>
      <c r="JN97" s="4" t="s">
        <v>56</v>
      </c>
      <c r="JO97" s="4" t="s">
        <v>55</v>
      </c>
      <c r="JP97" s="4" t="s">
        <v>56</v>
      </c>
      <c r="JQ97" s="4" t="s">
        <v>55</v>
      </c>
      <c r="JR97" s="4" t="s">
        <v>56</v>
      </c>
      <c r="JS97" s="4" t="s">
        <v>55</v>
      </c>
      <c r="JT97" s="4" t="s">
        <v>56</v>
      </c>
      <c r="JU97" s="4" t="s">
        <v>55</v>
      </c>
      <c r="JV97" s="4" t="s">
        <v>56</v>
      </c>
      <c r="JW97" s="4" t="s">
        <v>55</v>
      </c>
      <c r="JX97" s="26">
        <v>23178.91974502524</v>
      </c>
      <c r="JY97" s="26">
        <v>5313.8630187321605</v>
      </c>
      <c r="JZ97" s="26">
        <v>21972.30235985135</v>
      </c>
      <c r="KA97" s="26">
        <v>8454.3055501968101</v>
      </c>
      <c r="KB97" s="26">
        <v>36762.685894716436</v>
      </c>
      <c r="KC97" s="26">
        <v>15533.008054511538</v>
      </c>
      <c r="KD97" s="26">
        <v>18543.354496000498</v>
      </c>
      <c r="KE97" s="26">
        <v>4448.0561019738425</v>
      </c>
      <c r="KF97" s="26">
        <v>37659.930684994761</v>
      </c>
      <c r="KG97" s="26">
        <v>9166.4732758195423</v>
      </c>
      <c r="KH97" s="17" t="s">
        <v>56</v>
      </c>
      <c r="KI97" s="1" t="s">
        <v>55</v>
      </c>
      <c r="KJ97" s="17" t="s">
        <v>56</v>
      </c>
      <c r="KK97" s="1" t="s">
        <v>55</v>
      </c>
      <c r="KL97" s="17" t="s">
        <v>56</v>
      </c>
      <c r="KM97" s="1" t="s">
        <v>55</v>
      </c>
      <c r="KN97" s="17" t="s">
        <v>56</v>
      </c>
      <c r="KO97" s="1" t="s">
        <v>55</v>
      </c>
      <c r="KP97" s="17" t="s">
        <v>56</v>
      </c>
      <c r="KQ97" s="1" t="s">
        <v>55</v>
      </c>
      <c r="KR97" s="4">
        <v>91.4</v>
      </c>
      <c r="KS97" s="4">
        <v>47.8</v>
      </c>
      <c r="KT97" s="4">
        <v>21.2</v>
      </c>
      <c r="KU97" s="4">
        <v>3</v>
      </c>
      <c r="KV97" s="4">
        <v>1153.9000000000001</v>
      </c>
      <c r="KW97" s="4">
        <v>92.1</v>
      </c>
      <c r="KX97" s="4">
        <v>2197.1999999999998</v>
      </c>
      <c r="KY97" s="4">
        <v>413</v>
      </c>
      <c r="KZ97" s="4">
        <v>2263.1</v>
      </c>
      <c r="LA97" s="4">
        <v>231.4</v>
      </c>
      <c r="LB97" s="17" t="s">
        <v>56</v>
      </c>
      <c r="LC97" s="1" t="s">
        <v>55</v>
      </c>
      <c r="LD97" s="10">
        <f>0.4*1000</f>
        <v>400</v>
      </c>
      <c r="LE97" s="10">
        <f>0.1*1000</f>
        <v>100</v>
      </c>
      <c r="LF97" s="10">
        <f>0.35*1000</f>
        <v>350</v>
      </c>
      <c r="LG97" s="10">
        <f>0.04*1000</f>
        <v>40</v>
      </c>
      <c r="LH97" s="10">
        <f>0.44*1000</f>
        <v>440</v>
      </c>
      <c r="LI97" s="10">
        <f>0.07*1000</f>
        <v>70</v>
      </c>
      <c r="LJ97" s="17" t="s">
        <v>56</v>
      </c>
      <c r="LK97" s="1" t="s">
        <v>55</v>
      </c>
      <c r="LL97" s="17" t="s">
        <v>56</v>
      </c>
      <c r="LM97" s="1" t="s">
        <v>55</v>
      </c>
      <c r="LN97" s="17" t="s">
        <v>56</v>
      </c>
      <c r="LO97" s="1" t="s">
        <v>55</v>
      </c>
      <c r="LP97" s="17" t="s">
        <v>56</v>
      </c>
      <c r="LQ97" s="1" t="s">
        <v>55</v>
      </c>
      <c r="LR97" s="17" t="s">
        <v>56</v>
      </c>
      <c r="LS97" s="1" t="s">
        <v>55</v>
      </c>
      <c r="LT97" s="17" t="s">
        <v>56</v>
      </c>
      <c r="LU97" s="1" t="s">
        <v>55</v>
      </c>
      <c r="LV97" s="17" t="s">
        <v>56</v>
      </c>
      <c r="LW97" s="1" t="s">
        <v>55</v>
      </c>
      <c r="LX97" s="17" t="s">
        <v>56</v>
      </c>
      <c r="LY97" s="1" t="s">
        <v>55</v>
      </c>
      <c r="LZ97" s="17" t="s">
        <v>56</v>
      </c>
      <c r="MA97" s="1" t="s">
        <v>55</v>
      </c>
      <c r="MB97" s="17" t="s">
        <v>56</v>
      </c>
      <c r="MC97" s="1" t="s">
        <v>55</v>
      </c>
      <c r="MD97" s="17" t="s">
        <v>56</v>
      </c>
      <c r="ME97" s="1" t="s">
        <v>55</v>
      </c>
      <c r="MF97" s="17" t="s">
        <v>56</v>
      </c>
      <c r="MG97" s="1" t="s">
        <v>55</v>
      </c>
      <c r="MH97" s="17" t="s">
        <v>56</v>
      </c>
      <c r="MI97" s="1" t="s">
        <v>55</v>
      </c>
      <c r="MJ97" s="17" t="s">
        <v>56</v>
      </c>
      <c r="MK97" s="1" t="s">
        <v>55</v>
      </c>
      <c r="ML97" s="17" t="s">
        <v>56</v>
      </c>
      <c r="MM97" s="1" t="s">
        <v>55</v>
      </c>
      <c r="MN97" s="17" t="s">
        <v>56</v>
      </c>
      <c r="MO97" s="1" t="s">
        <v>55</v>
      </c>
      <c r="MP97" s="17" t="s">
        <v>56</v>
      </c>
      <c r="MQ97" s="1" t="s">
        <v>55</v>
      </c>
      <c r="MR97" s="17" t="s">
        <v>56</v>
      </c>
      <c r="MS97" s="1" t="s">
        <v>55</v>
      </c>
      <c r="MT97" s="17" t="s">
        <v>56</v>
      </c>
      <c r="MU97" s="1" t="s">
        <v>55</v>
      </c>
      <c r="MV97" s="17" t="s">
        <v>56</v>
      </c>
      <c r="MW97" s="1" t="s">
        <v>55</v>
      </c>
      <c r="MX97" s="17" t="s">
        <v>56</v>
      </c>
      <c r="MY97" s="1" t="s">
        <v>55</v>
      </c>
      <c r="MZ97" s="17" t="s">
        <v>56</v>
      </c>
      <c r="NA97" s="1" t="s">
        <v>55</v>
      </c>
      <c r="NB97" s="17" t="s">
        <v>56</v>
      </c>
      <c r="NC97" s="1" t="s">
        <v>55</v>
      </c>
      <c r="ND97" s="17" t="s">
        <v>56</v>
      </c>
      <c r="NE97" s="1" t="s">
        <v>55</v>
      </c>
      <c r="NF97" s="17" t="s">
        <v>56</v>
      </c>
      <c r="NG97" s="1" t="s">
        <v>55</v>
      </c>
      <c r="NH97" s="17" t="s">
        <v>56</v>
      </c>
      <c r="NI97" s="1" t="s">
        <v>55</v>
      </c>
      <c r="NJ97" s="17" t="s">
        <v>56</v>
      </c>
      <c r="NK97" s="1" t="s">
        <v>55</v>
      </c>
      <c r="NL97" s="17" t="s">
        <v>56</v>
      </c>
      <c r="NM97" s="1" t="s">
        <v>55</v>
      </c>
      <c r="NN97" s="17" t="s">
        <v>56</v>
      </c>
      <c r="NO97" s="1" t="s">
        <v>55</v>
      </c>
      <c r="NP97" s="17" t="s">
        <v>56</v>
      </c>
      <c r="NQ97" s="1" t="s">
        <v>55</v>
      </c>
      <c r="NR97" s="10" t="s">
        <v>56</v>
      </c>
      <c r="NS97" s="10" t="s">
        <v>55</v>
      </c>
      <c r="NT97" s="10" t="s">
        <v>56</v>
      </c>
      <c r="NU97" s="10" t="s">
        <v>55</v>
      </c>
    </row>
    <row r="98" spans="1:385" x14ac:dyDescent="0.2">
      <c r="A98" t="s">
        <v>882</v>
      </c>
      <c r="B98" s="1" t="s">
        <v>1037</v>
      </c>
      <c r="C98" s="1" t="s">
        <v>843</v>
      </c>
      <c r="D98" s="39" cm="1">
        <f t="array" ref="D98">SUMPRODUCT((ISNUMBER(F98:NU98))*(MOD(COLUMN(F98:NU98),2)=0))</f>
        <v>49</v>
      </c>
      <c r="E98" s="1">
        <v>146.19</v>
      </c>
      <c r="F98" s="1" t="s">
        <v>56</v>
      </c>
      <c r="G98" s="1" t="s">
        <v>55</v>
      </c>
      <c r="H98" s="1" t="s">
        <v>56</v>
      </c>
      <c r="I98" s="1" t="s">
        <v>55</v>
      </c>
      <c r="J98" s="1" t="s">
        <v>56</v>
      </c>
      <c r="K98" s="1" t="s">
        <v>55</v>
      </c>
      <c r="L98" s="1" t="s">
        <v>56</v>
      </c>
      <c r="M98" s="1" t="s">
        <v>55</v>
      </c>
      <c r="N98" s="1" t="s">
        <v>56</v>
      </c>
      <c r="O98" s="1" t="s">
        <v>55</v>
      </c>
      <c r="P98" s="1" t="s">
        <v>56</v>
      </c>
      <c r="Q98" s="1" t="s">
        <v>55</v>
      </c>
      <c r="R98" s="1" t="s">
        <v>56</v>
      </c>
      <c r="S98" s="1" t="s">
        <v>55</v>
      </c>
      <c r="T98" s="1" t="s">
        <v>56</v>
      </c>
      <c r="U98" s="1" t="s">
        <v>55</v>
      </c>
      <c r="V98" s="1" t="s">
        <v>56</v>
      </c>
      <c r="W98" s="1" t="s">
        <v>55</v>
      </c>
      <c r="X98" s="1" t="s">
        <v>56</v>
      </c>
      <c r="Y98" s="1" t="s">
        <v>55</v>
      </c>
      <c r="Z98" s="1" t="s">
        <v>56</v>
      </c>
      <c r="AA98" s="1" t="s">
        <v>55</v>
      </c>
      <c r="AB98" s="1" t="s">
        <v>56</v>
      </c>
      <c r="AC98" s="1" t="s">
        <v>55</v>
      </c>
      <c r="AD98" s="1" t="s">
        <v>56</v>
      </c>
      <c r="AE98" s="1" t="s">
        <v>55</v>
      </c>
      <c r="AF98" s="1" t="s">
        <v>56</v>
      </c>
      <c r="AG98" s="1" t="s">
        <v>55</v>
      </c>
      <c r="AH98" s="1" t="s">
        <v>56</v>
      </c>
      <c r="AI98" s="1" t="s">
        <v>55</v>
      </c>
      <c r="AJ98" s="1" t="s">
        <v>56</v>
      </c>
      <c r="AK98" s="1" t="s">
        <v>55</v>
      </c>
      <c r="AL98" s="1" t="s">
        <v>56</v>
      </c>
      <c r="AM98" s="1" t="s">
        <v>55</v>
      </c>
      <c r="AN98" s="1" t="s">
        <v>56</v>
      </c>
      <c r="AO98" s="1" t="s">
        <v>55</v>
      </c>
      <c r="AP98" s="1" t="s">
        <v>56</v>
      </c>
      <c r="AQ98" s="1" t="s">
        <v>55</v>
      </c>
      <c r="AR98" s="1" t="s">
        <v>56</v>
      </c>
      <c r="AS98" s="1" t="s">
        <v>55</v>
      </c>
      <c r="AT98" s="1" t="s">
        <v>56</v>
      </c>
      <c r="AU98" s="1" t="s">
        <v>55</v>
      </c>
      <c r="AV98" s="1" t="s">
        <v>56</v>
      </c>
      <c r="AW98" s="1" t="s">
        <v>55</v>
      </c>
      <c r="AX98" s="1" t="s">
        <v>56</v>
      </c>
      <c r="AY98" s="1" t="s">
        <v>55</v>
      </c>
      <c r="AZ98" s="1" t="s">
        <v>56</v>
      </c>
      <c r="BA98" s="1" t="s">
        <v>55</v>
      </c>
      <c r="BB98" s="1" t="s">
        <v>56</v>
      </c>
      <c r="BC98" s="1" t="s">
        <v>55</v>
      </c>
      <c r="BD98" s="1" t="s">
        <v>56</v>
      </c>
      <c r="BE98" s="1" t="s">
        <v>55</v>
      </c>
      <c r="BF98" s="1" t="s">
        <v>56</v>
      </c>
      <c r="BG98" s="1" t="s">
        <v>55</v>
      </c>
      <c r="BH98" s="1" t="s">
        <v>56</v>
      </c>
      <c r="BI98" s="1" t="s">
        <v>55</v>
      </c>
      <c r="BJ98" s="1" t="s">
        <v>56</v>
      </c>
      <c r="BK98" s="1" t="s">
        <v>55</v>
      </c>
      <c r="BL98" s="1" t="s">
        <v>56</v>
      </c>
      <c r="BM98" s="1" t="s">
        <v>55</v>
      </c>
      <c r="BN98" s="1" t="s">
        <v>56</v>
      </c>
      <c r="BO98" s="1" t="s">
        <v>55</v>
      </c>
      <c r="BP98" s="1" t="s">
        <v>56</v>
      </c>
      <c r="BQ98" s="1" t="s">
        <v>55</v>
      </c>
      <c r="BR98" s="1" t="s">
        <v>56</v>
      </c>
      <c r="BS98" s="1" t="s">
        <v>55</v>
      </c>
      <c r="BT98" s="1" t="s">
        <v>56</v>
      </c>
      <c r="BU98" s="1" t="s">
        <v>55</v>
      </c>
      <c r="BV98" s="1" t="s">
        <v>56</v>
      </c>
      <c r="BW98" s="1" t="s">
        <v>55</v>
      </c>
      <c r="BX98" s="1" t="s">
        <v>56</v>
      </c>
      <c r="BY98" s="1" t="s">
        <v>55</v>
      </c>
      <c r="BZ98" s="1" t="s">
        <v>56</v>
      </c>
      <c r="CA98" s="1" t="s">
        <v>55</v>
      </c>
      <c r="CB98" s="1" t="s">
        <v>56</v>
      </c>
      <c r="CC98" s="1" t="s">
        <v>55</v>
      </c>
      <c r="CD98" s="1" t="s">
        <v>56</v>
      </c>
      <c r="CE98" s="1" t="s">
        <v>55</v>
      </c>
      <c r="CF98" s="1" t="s">
        <v>56</v>
      </c>
      <c r="CG98" s="1" t="s">
        <v>55</v>
      </c>
      <c r="CH98" s="1" t="s">
        <v>56</v>
      </c>
      <c r="CI98" s="1" t="s">
        <v>55</v>
      </c>
      <c r="CJ98" s="1" t="s">
        <v>56</v>
      </c>
      <c r="CK98" s="1" t="s">
        <v>55</v>
      </c>
      <c r="CL98" s="1" t="s">
        <v>56</v>
      </c>
      <c r="CM98" s="1" t="s">
        <v>55</v>
      </c>
      <c r="CN98" s="1" t="s">
        <v>56</v>
      </c>
      <c r="CO98" s="1" t="s">
        <v>55</v>
      </c>
      <c r="CP98" s="1" t="s">
        <v>56</v>
      </c>
      <c r="CQ98" s="1" t="s">
        <v>55</v>
      </c>
      <c r="CR98" s="1" t="s">
        <v>56</v>
      </c>
      <c r="CS98" s="1" t="s">
        <v>55</v>
      </c>
      <c r="CT98" s="1" t="s">
        <v>56</v>
      </c>
      <c r="CU98" s="1" t="s">
        <v>55</v>
      </c>
      <c r="CV98" s="1" t="s">
        <v>56</v>
      </c>
      <c r="CW98" s="1" t="s">
        <v>55</v>
      </c>
      <c r="CX98" s="1" t="s">
        <v>56</v>
      </c>
      <c r="CY98" s="1" t="s">
        <v>55</v>
      </c>
      <c r="CZ98" s="1" t="s">
        <v>56</v>
      </c>
      <c r="DA98" s="1" t="s">
        <v>55</v>
      </c>
      <c r="DB98" s="1" t="s">
        <v>56</v>
      </c>
      <c r="DC98" s="1" t="s">
        <v>55</v>
      </c>
      <c r="DD98" s="1" t="s">
        <v>56</v>
      </c>
      <c r="DE98" s="1" t="s">
        <v>55</v>
      </c>
      <c r="DF98" s="1" t="s">
        <v>56</v>
      </c>
      <c r="DG98" s="1" t="s">
        <v>55</v>
      </c>
      <c r="DH98" s="1" t="s">
        <v>56</v>
      </c>
      <c r="DI98" s="1" t="s">
        <v>55</v>
      </c>
      <c r="DJ98" s="1" t="s">
        <v>56</v>
      </c>
      <c r="DK98" s="1" t="s">
        <v>55</v>
      </c>
      <c r="DL98" s="1" t="s">
        <v>56</v>
      </c>
      <c r="DM98" s="1" t="s">
        <v>55</v>
      </c>
      <c r="DN98" s="1" t="s">
        <v>56</v>
      </c>
      <c r="DO98" s="1" t="s">
        <v>55</v>
      </c>
      <c r="DP98" s="1" t="s">
        <v>56</v>
      </c>
      <c r="DQ98" s="1" t="s">
        <v>55</v>
      </c>
      <c r="DR98" s="1" t="s">
        <v>56</v>
      </c>
      <c r="DS98" s="1" t="s">
        <v>55</v>
      </c>
      <c r="DT98" s="1" t="s">
        <v>56</v>
      </c>
      <c r="DU98" s="1" t="s">
        <v>55</v>
      </c>
      <c r="DV98" s="1" t="s">
        <v>56</v>
      </c>
      <c r="DW98" s="1" t="s">
        <v>55</v>
      </c>
      <c r="DX98" s="1" t="s">
        <v>56</v>
      </c>
      <c r="DY98" s="1" t="s">
        <v>55</v>
      </c>
      <c r="DZ98" s="1" t="s">
        <v>56</v>
      </c>
      <c r="EA98" s="1" t="s">
        <v>55</v>
      </c>
      <c r="EB98" s="1" t="s">
        <v>56</v>
      </c>
      <c r="EC98" s="1" t="s">
        <v>55</v>
      </c>
      <c r="ED98" s="1" t="s">
        <v>56</v>
      </c>
      <c r="EE98" s="1" t="s">
        <v>55</v>
      </c>
      <c r="EF98" s="1" t="s">
        <v>56</v>
      </c>
      <c r="EG98" s="1" t="s">
        <v>55</v>
      </c>
      <c r="EH98" s="1" t="s">
        <v>56</v>
      </c>
      <c r="EI98" s="1" t="s">
        <v>55</v>
      </c>
      <c r="EJ98" s="1" t="s">
        <v>56</v>
      </c>
      <c r="EK98" s="1" t="s">
        <v>55</v>
      </c>
      <c r="EL98" s="1" t="s">
        <v>56</v>
      </c>
      <c r="EM98" s="1" t="s">
        <v>55</v>
      </c>
      <c r="EN98" s="1" t="s">
        <v>56</v>
      </c>
      <c r="EO98" s="1" t="s">
        <v>55</v>
      </c>
      <c r="EP98" s="1" t="s">
        <v>56</v>
      </c>
      <c r="EQ98" s="1" t="s">
        <v>55</v>
      </c>
      <c r="ER98" s="1" t="s">
        <v>56</v>
      </c>
      <c r="ES98" s="1" t="s">
        <v>55</v>
      </c>
      <c r="ET98" s="1" t="s">
        <v>56</v>
      </c>
      <c r="EU98" s="1" t="s">
        <v>55</v>
      </c>
      <c r="EV98" s="1" t="s">
        <v>56</v>
      </c>
      <c r="EW98" s="1" t="s">
        <v>55</v>
      </c>
      <c r="EX98" s="1" t="s">
        <v>56</v>
      </c>
      <c r="EY98" s="1" t="s">
        <v>55</v>
      </c>
      <c r="EZ98" s="1" t="s">
        <v>56</v>
      </c>
      <c r="FA98" s="1" t="s">
        <v>55</v>
      </c>
      <c r="FB98" s="1" t="s">
        <v>56</v>
      </c>
      <c r="FC98" s="1" t="s">
        <v>55</v>
      </c>
      <c r="FD98" s="1" t="s">
        <v>56</v>
      </c>
      <c r="FE98" s="1" t="s">
        <v>55</v>
      </c>
      <c r="FF98" s="1" t="s">
        <v>56</v>
      </c>
      <c r="FG98" s="1" t="s">
        <v>55</v>
      </c>
      <c r="FH98" s="1" t="s">
        <v>56</v>
      </c>
      <c r="FI98" s="1" t="s">
        <v>55</v>
      </c>
      <c r="FJ98" s="1" t="s">
        <v>56</v>
      </c>
      <c r="FK98" s="1" t="s">
        <v>55</v>
      </c>
      <c r="FL98" s="1" t="s">
        <v>56</v>
      </c>
      <c r="FM98" s="1" t="s">
        <v>55</v>
      </c>
      <c r="FN98" s="1" t="s">
        <v>56</v>
      </c>
      <c r="FO98" s="1" t="s">
        <v>55</v>
      </c>
      <c r="FP98" s="1" t="s">
        <v>56</v>
      </c>
      <c r="FQ98" s="1" t="s">
        <v>55</v>
      </c>
      <c r="FR98" s="1" t="s">
        <v>56</v>
      </c>
      <c r="FS98" s="1" t="s">
        <v>55</v>
      </c>
      <c r="FT98" s="1" t="s">
        <v>56</v>
      </c>
      <c r="FU98" s="1" t="s">
        <v>55</v>
      </c>
      <c r="FV98" s="1" t="s">
        <v>56</v>
      </c>
      <c r="FW98" s="1" t="s">
        <v>55</v>
      </c>
      <c r="FX98" s="1" t="s">
        <v>56</v>
      </c>
      <c r="FY98" s="1" t="s">
        <v>55</v>
      </c>
      <c r="FZ98" s="1" t="s">
        <v>56</v>
      </c>
      <c r="GA98" s="1" t="s">
        <v>55</v>
      </c>
      <c r="GB98" s="1" t="s">
        <v>56</v>
      </c>
      <c r="GC98" s="1" t="s">
        <v>55</v>
      </c>
      <c r="GD98" s="1" t="s">
        <v>56</v>
      </c>
      <c r="GE98" s="1" t="s">
        <v>55</v>
      </c>
      <c r="GF98" s="1" t="s">
        <v>56</v>
      </c>
      <c r="GG98" s="1" t="s">
        <v>55</v>
      </c>
      <c r="GH98" s="1" t="s">
        <v>56</v>
      </c>
      <c r="GI98" s="1" t="s">
        <v>55</v>
      </c>
      <c r="GJ98" s="1" t="s">
        <v>56</v>
      </c>
      <c r="GK98" s="1" t="s">
        <v>55</v>
      </c>
      <c r="GL98" s="1" t="s">
        <v>56</v>
      </c>
      <c r="GM98" s="1" t="s">
        <v>55</v>
      </c>
      <c r="GN98" s="1" t="s">
        <v>56</v>
      </c>
      <c r="GO98" s="1" t="s">
        <v>55</v>
      </c>
      <c r="GP98" s="1" t="s">
        <v>56</v>
      </c>
      <c r="GQ98" s="1" t="s">
        <v>55</v>
      </c>
      <c r="GR98" s="1" t="s">
        <v>56</v>
      </c>
      <c r="GS98" s="1" t="s">
        <v>55</v>
      </c>
      <c r="GT98" s="1" t="s">
        <v>56</v>
      </c>
      <c r="GU98" s="1" t="s">
        <v>55</v>
      </c>
      <c r="GV98" s="17" t="s">
        <v>56</v>
      </c>
      <c r="GW98" s="17" t="s">
        <v>55</v>
      </c>
      <c r="GX98" s="1" t="s">
        <v>56</v>
      </c>
      <c r="GY98" s="1" t="s">
        <v>55</v>
      </c>
      <c r="GZ98" s="1" t="s">
        <v>56</v>
      </c>
      <c r="HA98" s="1" t="s">
        <v>55</v>
      </c>
      <c r="HB98" s="1" t="s">
        <v>56</v>
      </c>
      <c r="HC98" s="1" t="s">
        <v>55</v>
      </c>
      <c r="HD98" s="1" t="s">
        <v>56</v>
      </c>
      <c r="HE98" s="1" t="s">
        <v>55</v>
      </c>
      <c r="HF98" s="1" t="s">
        <v>56</v>
      </c>
      <c r="HG98" s="1" t="s">
        <v>55</v>
      </c>
      <c r="HH98" s="1" t="s">
        <v>56</v>
      </c>
      <c r="HI98" s="1" t="s">
        <v>55</v>
      </c>
      <c r="HJ98" s="1" t="s">
        <v>56</v>
      </c>
      <c r="HK98" s="1" t="s">
        <v>55</v>
      </c>
      <c r="HL98" s="1" t="s">
        <v>56</v>
      </c>
      <c r="HM98" s="1" t="s">
        <v>55</v>
      </c>
      <c r="HN98" s="1" t="s">
        <v>56</v>
      </c>
      <c r="HO98" s="1" t="s">
        <v>55</v>
      </c>
      <c r="HP98" s="1" t="s">
        <v>56</v>
      </c>
      <c r="HQ98" s="1" t="s">
        <v>55</v>
      </c>
      <c r="HR98" s="1" t="s">
        <v>56</v>
      </c>
      <c r="HS98" s="1" t="s">
        <v>55</v>
      </c>
      <c r="HT98" s="1" t="s">
        <v>56</v>
      </c>
      <c r="HU98" s="1" t="s">
        <v>55</v>
      </c>
      <c r="HV98" s="1" t="s">
        <v>56</v>
      </c>
      <c r="HW98" s="1" t="s">
        <v>55</v>
      </c>
      <c r="HX98" s="1" t="s">
        <v>56</v>
      </c>
      <c r="HY98" s="1" t="s">
        <v>55</v>
      </c>
      <c r="HZ98" s="1" t="s">
        <v>56</v>
      </c>
      <c r="IA98" s="1" t="s">
        <v>55</v>
      </c>
      <c r="IB98" s="1" t="s">
        <v>56</v>
      </c>
      <c r="IC98" s="1" t="s">
        <v>55</v>
      </c>
      <c r="ID98" s="1" t="s">
        <v>56</v>
      </c>
      <c r="IE98" s="1" t="s">
        <v>55</v>
      </c>
      <c r="IF98" s="1" t="s">
        <v>56</v>
      </c>
      <c r="IG98" s="1" t="s">
        <v>55</v>
      </c>
      <c r="IH98" s="1" t="s">
        <v>56</v>
      </c>
      <c r="II98" s="1" t="s">
        <v>55</v>
      </c>
      <c r="IJ98" s="1" t="s">
        <v>56</v>
      </c>
      <c r="IK98" s="1" t="s">
        <v>55</v>
      </c>
      <c r="IL98" s="1" t="s">
        <v>56</v>
      </c>
      <c r="IM98" s="1" t="s">
        <v>55</v>
      </c>
      <c r="IN98" s="1" t="s">
        <v>56</v>
      </c>
      <c r="IO98" s="1" t="s">
        <v>55</v>
      </c>
      <c r="IP98" s="1" t="s">
        <v>56</v>
      </c>
      <c r="IQ98" s="1" t="s">
        <v>55</v>
      </c>
      <c r="IR98" s="4">
        <v>0.8</v>
      </c>
      <c r="IS98" s="4">
        <v>0.14000000000000001</v>
      </c>
      <c r="IT98" s="18" t="s">
        <v>56</v>
      </c>
      <c r="IU98" s="18" t="s">
        <v>55</v>
      </c>
      <c r="IV98" s="4">
        <v>2.95</v>
      </c>
      <c r="IW98" s="4" t="s">
        <v>55</v>
      </c>
      <c r="IX98" s="4">
        <f>0.81*1000</f>
        <v>810</v>
      </c>
      <c r="IY98" s="4" t="s">
        <v>55</v>
      </c>
      <c r="IZ98" s="4">
        <f>0.2*1000</f>
        <v>200</v>
      </c>
      <c r="JA98" s="4" t="s">
        <v>55</v>
      </c>
      <c r="JB98" s="4">
        <f>0.4*1000</f>
        <v>400</v>
      </c>
      <c r="JC98" s="4" t="s">
        <v>55</v>
      </c>
      <c r="JD98" s="4">
        <f>0.11*1000</f>
        <v>110</v>
      </c>
      <c r="JE98" s="4" t="s">
        <v>55</v>
      </c>
      <c r="JF98" s="4">
        <v>0.115</v>
      </c>
      <c r="JG98" s="4" t="s">
        <v>55</v>
      </c>
      <c r="JH98" s="4">
        <v>8.7999999999999995E-2</v>
      </c>
      <c r="JI98" s="4" t="s">
        <v>55</v>
      </c>
      <c r="JJ98" s="4">
        <v>0.14799999999999999</v>
      </c>
      <c r="JK98" s="4" t="s">
        <v>55</v>
      </c>
      <c r="JL98" s="4">
        <v>0.40600000000000003</v>
      </c>
      <c r="JM98" s="4" t="s">
        <v>55</v>
      </c>
      <c r="JN98" s="4">
        <v>0.28199999999999997</v>
      </c>
      <c r="JO98" s="4" t="s">
        <v>55</v>
      </c>
      <c r="JP98" s="4">
        <v>0.20499999999999999</v>
      </c>
      <c r="JQ98" s="4" t="s">
        <v>55</v>
      </c>
      <c r="JR98" s="4">
        <v>0.45200000000000001</v>
      </c>
      <c r="JS98" s="4" t="s">
        <v>55</v>
      </c>
      <c r="JT98" s="4">
        <v>0.28100000000000003</v>
      </c>
      <c r="JU98" s="4" t="s">
        <v>55</v>
      </c>
      <c r="JV98" s="4">
        <v>18.32</v>
      </c>
      <c r="JW98" s="4" t="s">
        <v>55</v>
      </c>
      <c r="JX98" s="17" t="s">
        <v>56</v>
      </c>
      <c r="JY98" s="17" t="s">
        <v>55</v>
      </c>
      <c r="JZ98" s="17" t="s">
        <v>56</v>
      </c>
      <c r="KA98" s="17" t="s">
        <v>55</v>
      </c>
      <c r="KB98" s="17" t="s">
        <v>56</v>
      </c>
      <c r="KC98" s="17" t="s">
        <v>55</v>
      </c>
      <c r="KD98" s="17" t="s">
        <v>56</v>
      </c>
      <c r="KE98" s="17" t="s">
        <v>55</v>
      </c>
      <c r="KF98" s="17" t="s">
        <v>56</v>
      </c>
      <c r="KG98" s="17" t="s">
        <v>55</v>
      </c>
      <c r="KH98" s="4">
        <f>144.6*1000</f>
        <v>144600</v>
      </c>
      <c r="KI98" s="4">
        <f>14.2*1000</f>
        <v>14200</v>
      </c>
      <c r="KJ98" s="4">
        <f>228.3*1000</f>
        <v>228300</v>
      </c>
      <c r="KK98" s="4">
        <f>17.8*1000</f>
        <v>17800</v>
      </c>
      <c r="KL98" s="4">
        <f>96.2*1000</f>
        <v>96200</v>
      </c>
      <c r="KM98" s="4">
        <f>12.1*1000</f>
        <v>12100</v>
      </c>
      <c r="KN98" s="4">
        <f>137.3*1000</f>
        <v>137300</v>
      </c>
      <c r="KO98" s="4">
        <f>8.5*1000</f>
        <v>8500</v>
      </c>
      <c r="KP98" s="4">
        <f>351.5*1000</f>
        <v>351500</v>
      </c>
      <c r="KQ98" s="4">
        <f>24.6*1000</f>
        <v>24600</v>
      </c>
      <c r="KR98" s="17" t="s">
        <v>56</v>
      </c>
      <c r="KS98" s="17" t="s">
        <v>55</v>
      </c>
      <c r="KT98" s="17" t="s">
        <v>56</v>
      </c>
      <c r="KU98" s="17" t="s">
        <v>55</v>
      </c>
      <c r="KV98" s="17" t="s">
        <v>56</v>
      </c>
      <c r="KW98" s="17" t="s">
        <v>55</v>
      </c>
      <c r="KX98" s="17" t="s">
        <v>56</v>
      </c>
      <c r="KY98" s="17" t="s">
        <v>55</v>
      </c>
      <c r="KZ98" s="17" t="s">
        <v>56</v>
      </c>
      <c r="LA98" s="17" t="s">
        <v>55</v>
      </c>
      <c r="LB98" s="10">
        <f>((2.3/100)*1000000000)/E98</f>
        <v>157329.50270196321</v>
      </c>
      <c r="LC98" s="10">
        <f>((0.2/100)*1000000000)/E98</f>
        <v>13680.826321909844</v>
      </c>
      <c r="LD98" s="10" t="s">
        <v>56</v>
      </c>
      <c r="LE98" s="10" t="s">
        <v>55</v>
      </c>
      <c r="LF98" s="10" t="s">
        <v>56</v>
      </c>
      <c r="LG98" s="10" t="s">
        <v>55</v>
      </c>
      <c r="LH98" s="10" t="s">
        <v>56</v>
      </c>
      <c r="LI98" s="10" t="s">
        <v>55</v>
      </c>
      <c r="LJ98" s="10">
        <f>((8.46/100)*1000000000)/E98</f>
        <v>578698.95341678651</v>
      </c>
      <c r="LK98" s="10" t="s">
        <v>162</v>
      </c>
      <c r="LL98" s="10">
        <f>(75.9*1000000)/E98</f>
        <v>519187.35891647858</v>
      </c>
      <c r="LM98" s="10">
        <f>(1.11*1000000)/E98</f>
        <v>7592.8586086599635</v>
      </c>
      <c r="LN98" s="10">
        <f>((0.54/100)*1000000000)/E98</f>
        <v>36938.23106915658</v>
      </c>
      <c r="LO98" s="10" t="s">
        <v>162</v>
      </c>
      <c r="LP98" s="10">
        <f>((2.26/100)*1000000000)/E98</f>
        <v>154593.33743758124</v>
      </c>
      <c r="LQ98" s="10" t="s">
        <v>55</v>
      </c>
      <c r="LR98" s="10">
        <f>((7.63/100)*1000000000)/E98</f>
        <v>521923.52418086055</v>
      </c>
      <c r="LS98" s="10" t="s">
        <v>55</v>
      </c>
      <c r="LT98" s="10">
        <f>((5.41/100)*1000000000)/E98</f>
        <v>370066.35200766125</v>
      </c>
      <c r="LU98" s="10" t="s">
        <v>55</v>
      </c>
      <c r="LV98" s="10">
        <f>((126/100)*1000000)/E98</f>
        <v>8618.9205828032009</v>
      </c>
      <c r="LW98" s="10" t="s">
        <v>55</v>
      </c>
      <c r="LX98" s="10">
        <f>((127/100)*1000000)/E98</f>
        <v>8687.3247144127508</v>
      </c>
      <c r="LY98" s="10" t="s">
        <v>55</v>
      </c>
      <c r="LZ98" s="10">
        <f>((143/100)*1000000)/E98</f>
        <v>9781.7908201655373</v>
      </c>
      <c r="MA98" s="10" t="s">
        <v>55</v>
      </c>
      <c r="MB98" s="10">
        <f>((122/100)*1000000)/E98</f>
        <v>8345.3040563650047</v>
      </c>
      <c r="MC98" s="10" t="s">
        <v>55</v>
      </c>
      <c r="MD98" s="4">
        <v>5862</v>
      </c>
      <c r="ME98" s="4" t="s">
        <v>55</v>
      </c>
      <c r="MF98" s="4">
        <v>6706</v>
      </c>
      <c r="MG98" s="4" t="s">
        <v>55</v>
      </c>
      <c r="MH98" s="4">
        <v>6267</v>
      </c>
      <c r="MI98" s="4" t="s">
        <v>55</v>
      </c>
      <c r="MJ98" s="4">
        <v>5494</v>
      </c>
      <c r="MK98" s="4" t="s">
        <v>55</v>
      </c>
      <c r="ML98" s="4">
        <v>6918</v>
      </c>
      <c r="MM98" s="4" t="s">
        <v>55</v>
      </c>
      <c r="MN98" s="4">
        <v>7821</v>
      </c>
      <c r="MO98" s="4" t="s">
        <v>55</v>
      </c>
      <c r="MP98" s="4">
        <v>7628</v>
      </c>
      <c r="MQ98" s="4" t="s">
        <v>55</v>
      </c>
      <c r="MR98" s="4">
        <v>7103</v>
      </c>
      <c r="MS98" s="4" t="s">
        <v>55</v>
      </c>
      <c r="MT98" s="4">
        <v>7184</v>
      </c>
      <c r="MU98" s="4" t="s">
        <v>55</v>
      </c>
      <c r="MV98" s="4">
        <v>5839</v>
      </c>
      <c r="MW98" s="4" t="s">
        <v>55</v>
      </c>
      <c r="MX98" s="4">
        <v>5150</v>
      </c>
      <c r="MY98" s="4" t="s">
        <v>55</v>
      </c>
      <c r="MZ98" s="4">
        <v>6070</v>
      </c>
      <c r="NA98" s="4" t="s">
        <v>55</v>
      </c>
      <c r="NB98" s="10" t="s">
        <v>317</v>
      </c>
      <c r="NC98" s="10" t="s">
        <v>55</v>
      </c>
      <c r="ND98" s="10">
        <f>(0.473*1000000)/E98</f>
        <v>3235.5154251316781</v>
      </c>
      <c r="NE98" s="10" t="s">
        <v>55</v>
      </c>
      <c r="NF98" s="10">
        <f>(1.77*1000000)/E98</f>
        <v>12107.531294890212</v>
      </c>
      <c r="NG98" s="10" t="s">
        <v>55</v>
      </c>
      <c r="NH98" s="10">
        <f>(1.03*1000000)/E98</f>
        <v>7045.6255557835693</v>
      </c>
      <c r="NI98" s="10" t="s">
        <v>55</v>
      </c>
      <c r="NJ98" s="10">
        <f>(9.1*1000000)/E98</f>
        <v>62247.759764689785</v>
      </c>
      <c r="NK98" s="10" t="s">
        <v>55</v>
      </c>
      <c r="NL98" s="10" t="s">
        <v>317</v>
      </c>
      <c r="NM98" s="4" t="s">
        <v>55</v>
      </c>
      <c r="NN98" s="4">
        <f>((10.56/100)*1000000)/E98</f>
        <v>722.34762979683978</v>
      </c>
      <c r="NO98" s="4" t="s">
        <v>55</v>
      </c>
      <c r="NP98" s="4">
        <f>(17*1000000)/E98</f>
        <v>116287.02373623368</v>
      </c>
      <c r="NQ98" s="4">
        <f>(0.04*1000000)/E98</f>
        <v>273.6165264381969</v>
      </c>
      <c r="NR98" s="10" t="s">
        <v>56</v>
      </c>
      <c r="NS98" s="10" t="s">
        <v>55</v>
      </c>
      <c r="NT98" s="10" t="s">
        <v>56</v>
      </c>
      <c r="NU98" s="10" t="s">
        <v>55</v>
      </c>
    </row>
    <row r="99" spans="1:385" x14ac:dyDescent="0.2">
      <c r="A99" t="s">
        <v>883</v>
      </c>
      <c r="B99" s="1" t="s">
        <v>1037</v>
      </c>
      <c r="C99" s="1" t="s">
        <v>843</v>
      </c>
      <c r="D99" s="39" cm="1">
        <f t="array" ref="D99">SUMPRODUCT((ISNUMBER(F99:NU99))*(MOD(COLUMN(F99:NU99),2)=0))</f>
        <v>12</v>
      </c>
      <c r="E99" s="1">
        <v>162.19</v>
      </c>
      <c r="F99" s="17" t="s">
        <v>56</v>
      </c>
      <c r="G99" s="17" t="s">
        <v>55</v>
      </c>
      <c r="H99" s="17" t="s">
        <v>56</v>
      </c>
      <c r="I99" s="17" t="s">
        <v>55</v>
      </c>
      <c r="J99" s="17" t="s">
        <v>56</v>
      </c>
      <c r="K99" s="17" t="s">
        <v>55</v>
      </c>
      <c r="L99" s="17" t="s">
        <v>56</v>
      </c>
      <c r="M99" s="17" t="s">
        <v>55</v>
      </c>
      <c r="N99" s="17" t="s">
        <v>56</v>
      </c>
      <c r="O99" s="17" t="s">
        <v>55</v>
      </c>
      <c r="P99" s="17" t="s">
        <v>56</v>
      </c>
      <c r="Q99" s="17" t="s">
        <v>55</v>
      </c>
      <c r="R99" s="17" t="s">
        <v>56</v>
      </c>
      <c r="S99" s="17" t="s">
        <v>55</v>
      </c>
      <c r="T99" s="17" t="s">
        <v>56</v>
      </c>
      <c r="U99" s="17" t="s">
        <v>55</v>
      </c>
      <c r="V99" s="17" t="s">
        <v>56</v>
      </c>
      <c r="W99" s="17" t="s">
        <v>55</v>
      </c>
      <c r="X99" s="17" t="s">
        <v>56</v>
      </c>
      <c r="Y99" s="17" t="s">
        <v>55</v>
      </c>
      <c r="Z99" s="17" t="s">
        <v>56</v>
      </c>
      <c r="AA99" s="17" t="s">
        <v>55</v>
      </c>
      <c r="AB99" s="17" t="s">
        <v>56</v>
      </c>
      <c r="AC99" s="17" t="s">
        <v>55</v>
      </c>
      <c r="AD99" s="17" t="s">
        <v>56</v>
      </c>
      <c r="AE99" s="17" t="s">
        <v>55</v>
      </c>
      <c r="AF99" s="17" t="s">
        <v>56</v>
      </c>
      <c r="AG99" s="17" t="s">
        <v>55</v>
      </c>
      <c r="AH99" s="17" t="s">
        <v>56</v>
      </c>
      <c r="AI99" s="17" t="s">
        <v>55</v>
      </c>
      <c r="AJ99" s="17" t="s">
        <v>56</v>
      </c>
      <c r="AK99" s="17" t="s">
        <v>55</v>
      </c>
      <c r="AL99" s="17" t="s">
        <v>56</v>
      </c>
      <c r="AM99" s="17" t="s">
        <v>55</v>
      </c>
      <c r="AN99" s="17" t="s">
        <v>56</v>
      </c>
      <c r="AO99" s="17" t="s">
        <v>55</v>
      </c>
      <c r="AP99" s="17" t="s">
        <v>56</v>
      </c>
      <c r="AQ99" s="17" t="s">
        <v>55</v>
      </c>
      <c r="AR99" s="17" t="s">
        <v>56</v>
      </c>
      <c r="AS99" s="17" t="s">
        <v>55</v>
      </c>
      <c r="AT99" s="17" t="s">
        <v>56</v>
      </c>
      <c r="AU99" s="17" t="s">
        <v>55</v>
      </c>
      <c r="AV99" s="17" t="s">
        <v>56</v>
      </c>
      <c r="AW99" s="17" t="s">
        <v>55</v>
      </c>
      <c r="AX99" s="17" t="s">
        <v>56</v>
      </c>
      <c r="AY99" s="17" t="s">
        <v>55</v>
      </c>
      <c r="AZ99" s="17" t="s">
        <v>56</v>
      </c>
      <c r="BA99" s="17" t="s">
        <v>55</v>
      </c>
      <c r="BB99" s="17" t="s">
        <v>56</v>
      </c>
      <c r="BC99" s="17" t="s">
        <v>55</v>
      </c>
      <c r="BD99" s="17" t="s">
        <v>56</v>
      </c>
      <c r="BE99" s="17" t="s">
        <v>55</v>
      </c>
      <c r="BF99" s="17" t="s">
        <v>56</v>
      </c>
      <c r="BG99" s="17" t="s">
        <v>55</v>
      </c>
      <c r="BH99" s="17" t="s">
        <v>56</v>
      </c>
      <c r="BI99" s="17" t="s">
        <v>55</v>
      </c>
      <c r="BJ99" s="17" t="s">
        <v>56</v>
      </c>
      <c r="BK99" s="17" t="s">
        <v>55</v>
      </c>
      <c r="BL99" s="17" t="s">
        <v>56</v>
      </c>
      <c r="BM99" s="17" t="s">
        <v>55</v>
      </c>
      <c r="BN99" s="17" t="s">
        <v>56</v>
      </c>
      <c r="BO99" s="17" t="s">
        <v>55</v>
      </c>
      <c r="BP99" s="17" t="s">
        <v>56</v>
      </c>
      <c r="BQ99" s="17" t="s">
        <v>55</v>
      </c>
      <c r="BR99" s="17" t="s">
        <v>56</v>
      </c>
      <c r="BS99" s="17" t="s">
        <v>55</v>
      </c>
      <c r="BT99" s="17" t="s">
        <v>56</v>
      </c>
      <c r="BU99" s="17" t="s">
        <v>55</v>
      </c>
      <c r="BV99" s="17" t="s">
        <v>56</v>
      </c>
      <c r="BW99" s="17" t="s">
        <v>55</v>
      </c>
      <c r="BX99" s="17" t="s">
        <v>56</v>
      </c>
      <c r="BY99" s="17" t="s">
        <v>55</v>
      </c>
      <c r="BZ99" s="17" t="s">
        <v>56</v>
      </c>
      <c r="CA99" s="17" t="s">
        <v>55</v>
      </c>
      <c r="CB99" s="17" t="s">
        <v>56</v>
      </c>
      <c r="CC99" s="17" t="s">
        <v>55</v>
      </c>
      <c r="CD99" s="17" t="s">
        <v>56</v>
      </c>
      <c r="CE99" s="17" t="s">
        <v>55</v>
      </c>
      <c r="CF99" s="17" t="s">
        <v>56</v>
      </c>
      <c r="CG99" s="17" t="s">
        <v>55</v>
      </c>
      <c r="CH99" s="17" t="s">
        <v>56</v>
      </c>
      <c r="CI99" s="17" t="s">
        <v>55</v>
      </c>
      <c r="CJ99" s="17" t="s">
        <v>56</v>
      </c>
      <c r="CK99" s="17" t="s">
        <v>55</v>
      </c>
      <c r="CL99" s="17" t="s">
        <v>56</v>
      </c>
      <c r="CM99" s="17" t="s">
        <v>55</v>
      </c>
      <c r="CN99" s="17" t="s">
        <v>56</v>
      </c>
      <c r="CO99" s="17" t="s">
        <v>55</v>
      </c>
      <c r="CP99" s="17" t="s">
        <v>56</v>
      </c>
      <c r="CQ99" s="17" t="s">
        <v>55</v>
      </c>
      <c r="CR99" s="17" t="s">
        <v>56</v>
      </c>
      <c r="CS99" s="17" t="s">
        <v>55</v>
      </c>
      <c r="CT99" s="17" t="s">
        <v>56</v>
      </c>
      <c r="CU99" s="17" t="s">
        <v>55</v>
      </c>
      <c r="CV99" s="17" t="s">
        <v>56</v>
      </c>
      <c r="CW99" s="17" t="s">
        <v>55</v>
      </c>
      <c r="CX99" s="17" t="s">
        <v>56</v>
      </c>
      <c r="CY99" s="17" t="s">
        <v>55</v>
      </c>
      <c r="CZ99" s="17" t="s">
        <v>56</v>
      </c>
      <c r="DA99" s="17" t="s">
        <v>55</v>
      </c>
      <c r="DB99" s="17" t="s">
        <v>56</v>
      </c>
      <c r="DC99" s="17" t="s">
        <v>55</v>
      </c>
      <c r="DD99" s="17" t="s">
        <v>56</v>
      </c>
      <c r="DE99" s="17" t="s">
        <v>55</v>
      </c>
      <c r="DF99" s="17" t="s">
        <v>56</v>
      </c>
      <c r="DG99" s="17" t="s">
        <v>55</v>
      </c>
      <c r="DH99" s="17" t="s">
        <v>56</v>
      </c>
      <c r="DI99" s="17" t="s">
        <v>55</v>
      </c>
      <c r="DJ99" s="17" t="s">
        <v>56</v>
      </c>
      <c r="DK99" s="17" t="s">
        <v>55</v>
      </c>
      <c r="DL99" s="17" t="s">
        <v>56</v>
      </c>
      <c r="DM99" s="17" t="s">
        <v>55</v>
      </c>
      <c r="DN99" s="17" t="s">
        <v>56</v>
      </c>
      <c r="DO99" s="17" t="s">
        <v>55</v>
      </c>
      <c r="DP99" s="17" t="s">
        <v>56</v>
      </c>
      <c r="DQ99" s="17" t="s">
        <v>55</v>
      </c>
      <c r="DR99" s="17" t="s">
        <v>56</v>
      </c>
      <c r="DS99" s="17" t="s">
        <v>55</v>
      </c>
      <c r="DT99" s="17" t="s">
        <v>56</v>
      </c>
      <c r="DU99" s="17" t="s">
        <v>55</v>
      </c>
      <c r="DV99" s="17" t="s">
        <v>56</v>
      </c>
      <c r="DW99" s="17" t="s">
        <v>55</v>
      </c>
      <c r="DX99" s="17" t="s">
        <v>56</v>
      </c>
      <c r="DY99" s="17" t="s">
        <v>55</v>
      </c>
      <c r="DZ99" s="17" t="s">
        <v>56</v>
      </c>
      <c r="EA99" s="17" t="s">
        <v>55</v>
      </c>
      <c r="EB99" s="17" t="s">
        <v>56</v>
      </c>
      <c r="EC99" s="17" t="s">
        <v>55</v>
      </c>
      <c r="ED99" s="17" t="s">
        <v>56</v>
      </c>
      <c r="EE99" s="17" t="s">
        <v>55</v>
      </c>
      <c r="EF99" s="17" t="s">
        <v>56</v>
      </c>
      <c r="EG99" s="17" t="s">
        <v>55</v>
      </c>
      <c r="EH99" s="17" t="s">
        <v>56</v>
      </c>
      <c r="EI99" s="17" t="s">
        <v>55</v>
      </c>
      <c r="EJ99" s="17" t="s">
        <v>56</v>
      </c>
      <c r="EK99" s="17" t="s">
        <v>55</v>
      </c>
      <c r="EL99" s="17" t="s">
        <v>56</v>
      </c>
      <c r="EM99" s="17" t="s">
        <v>55</v>
      </c>
      <c r="EN99" s="17" t="s">
        <v>56</v>
      </c>
      <c r="EO99" s="17" t="s">
        <v>55</v>
      </c>
      <c r="EP99" s="17" t="s">
        <v>56</v>
      </c>
      <c r="EQ99" s="17" t="s">
        <v>55</v>
      </c>
      <c r="ER99" s="17" t="s">
        <v>56</v>
      </c>
      <c r="ES99" s="17" t="s">
        <v>55</v>
      </c>
      <c r="ET99" s="17" t="s">
        <v>56</v>
      </c>
      <c r="EU99" s="17" t="s">
        <v>55</v>
      </c>
      <c r="EV99" s="17" t="s">
        <v>56</v>
      </c>
      <c r="EW99" s="17" t="s">
        <v>55</v>
      </c>
      <c r="EX99" s="17" t="s">
        <v>56</v>
      </c>
      <c r="EY99" s="17" t="s">
        <v>55</v>
      </c>
      <c r="EZ99" s="17" t="s">
        <v>56</v>
      </c>
      <c r="FA99" s="17" t="s">
        <v>55</v>
      </c>
      <c r="FB99" s="17" t="s">
        <v>56</v>
      </c>
      <c r="FC99" s="17" t="s">
        <v>55</v>
      </c>
      <c r="FD99" s="17" t="s">
        <v>56</v>
      </c>
      <c r="FE99" s="17" t="s">
        <v>55</v>
      </c>
      <c r="FF99" s="17" t="s">
        <v>56</v>
      </c>
      <c r="FG99" s="17" t="s">
        <v>55</v>
      </c>
      <c r="FH99" s="17" t="s">
        <v>56</v>
      </c>
      <c r="FI99" s="17" t="s">
        <v>55</v>
      </c>
      <c r="FJ99" s="17" t="s">
        <v>56</v>
      </c>
      <c r="FK99" s="17" t="s">
        <v>55</v>
      </c>
      <c r="FL99" s="17" t="s">
        <v>56</v>
      </c>
      <c r="FM99" s="17" t="s">
        <v>55</v>
      </c>
      <c r="FN99" s="17" t="s">
        <v>56</v>
      </c>
      <c r="FO99" s="17" t="s">
        <v>55</v>
      </c>
      <c r="FP99" s="17" t="s">
        <v>56</v>
      </c>
      <c r="FQ99" s="17" t="s">
        <v>55</v>
      </c>
      <c r="FR99" s="17" t="s">
        <v>56</v>
      </c>
      <c r="FS99" s="17" t="s">
        <v>55</v>
      </c>
      <c r="FT99" s="17" t="s">
        <v>56</v>
      </c>
      <c r="FU99" s="17" t="s">
        <v>55</v>
      </c>
      <c r="FV99" s="17" t="s">
        <v>56</v>
      </c>
      <c r="FW99" s="17" t="s">
        <v>55</v>
      </c>
      <c r="FX99" s="17" t="s">
        <v>56</v>
      </c>
      <c r="FY99" s="17" t="s">
        <v>55</v>
      </c>
      <c r="FZ99" s="17" t="s">
        <v>56</v>
      </c>
      <c r="GA99" s="17" t="s">
        <v>55</v>
      </c>
      <c r="GB99" s="17" t="s">
        <v>56</v>
      </c>
      <c r="GC99" s="17" t="s">
        <v>55</v>
      </c>
      <c r="GD99" s="17" t="s">
        <v>56</v>
      </c>
      <c r="GE99" s="17" t="s">
        <v>55</v>
      </c>
      <c r="GF99" s="17" t="s">
        <v>56</v>
      </c>
      <c r="GG99" s="17" t="s">
        <v>55</v>
      </c>
      <c r="GH99" s="17" t="s">
        <v>56</v>
      </c>
      <c r="GI99" s="17" t="s">
        <v>55</v>
      </c>
      <c r="GJ99" s="17" t="s">
        <v>56</v>
      </c>
      <c r="GK99" s="17" t="s">
        <v>55</v>
      </c>
      <c r="GL99" s="17" t="s">
        <v>56</v>
      </c>
      <c r="GM99" s="17" t="s">
        <v>55</v>
      </c>
      <c r="GN99" s="17" t="s">
        <v>56</v>
      </c>
      <c r="GO99" s="17" t="s">
        <v>55</v>
      </c>
      <c r="GP99" s="17" t="s">
        <v>56</v>
      </c>
      <c r="GQ99" s="17" t="s">
        <v>55</v>
      </c>
      <c r="GR99" s="17" t="s">
        <v>56</v>
      </c>
      <c r="GS99" s="17" t="s">
        <v>55</v>
      </c>
      <c r="GT99" s="17" t="s">
        <v>56</v>
      </c>
      <c r="GU99" s="17" t="s">
        <v>55</v>
      </c>
      <c r="GV99" s="17" t="s">
        <v>56</v>
      </c>
      <c r="GW99" s="17" t="s">
        <v>55</v>
      </c>
      <c r="GX99" s="17" t="s">
        <v>56</v>
      </c>
      <c r="GY99" s="17" t="s">
        <v>55</v>
      </c>
      <c r="GZ99" s="17" t="s">
        <v>56</v>
      </c>
      <c r="HA99" s="17" t="s">
        <v>55</v>
      </c>
      <c r="HB99" s="17" t="s">
        <v>56</v>
      </c>
      <c r="HC99" s="17" t="s">
        <v>55</v>
      </c>
      <c r="HD99" s="17" t="s">
        <v>56</v>
      </c>
      <c r="HE99" s="17" t="s">
        <v>55</v>
      </c>
      <c r="HF99" s="17" t="s">
        <v>56</v>
      </c>
      <c r="HG99" s="17" t="s">
        <v>55</v>
      </c>
      <c r="HH99" s="17" t="s">
        <v>56</v>
      </c>
      <c r="HI99" s="17" t="s">
        <v>55</v>
      </c>
      <c r="HJ99" s="17" t="s">
        <v>56</v>
      </c>
      <c r="HK99" s="17" t="s">
        <v>55</v>
      </c>
      <c r="HL99" s="17" t="s">
        <v>56</v>
      </c>
      <c r="HM99" s="17" t="s">
        <v>55</v>
      </c>
      <c r="HN99" s="17" t="s">
        <v>56</v>
      </c>
      <c r="HO99" s="17" t="s">
        <v>55</v>
      </c>
      <c r="HP99" s="17" t="s">
        <v>56</v>
      </c>
      <c r="HQ99" s="17" t="s">
        <v>55</v>
      </c>
      <c r="HR99" s="17" t="s">
        <v>56</v>
      </c>
      <c r="HS99" s="17" t="s">
        <v>55</v>
      </c>
      <c r="HT99" s="17" t="s">
        <v>56</v>
      </c>
      <c r="HU99" s="17" t="s">
        <v>55</v>
      </c>
      <c r="HV99" s="17" t="s">
        <v>56</v>
      </c>
      <c r="HW99" s="17" t="s">
        <v>55</v>
      </c>
      <c r="HX99" s="17" t="s">
        <v>56</v>
      </c>
      <c r="HY99" s="17" t="s">
        <v>55</v>
      </c>
      <c r="HZ99" s="17" t="s">
        <v>56</v>
      </c>
      <c r="IA99" s="17" t="s">
        <v>55</v>
      </c>
      <c r="IB99" s="17" t="s">
        <v>56</v>
      </c>
      <c r="IC99" s="17" t="s">
        <v>55</v>
      </c>
      <c r="ID99" s="17" t="s">
        <v>56</v>
      </c>
      <c r="IE99" s="17" t="s">
        <v>55</v>
      </c>
      <c r="IF99" s="17" t="s">
        <v>56</v>
      </c>
      <c r="IG99" s="17" t="s">
        <v>55</v>
      </c>
      <c r="IH99" s="17" t="s">
        <v>56</v>
      </c>
      <c r="II99" s="17" t="s">
        <v>55</v>
      </c>
      <c r="IJ99" s="17" t="s">
        <v>56</v>
      </c>
      <c r="IK99" s="17" t="s">
        <v>55</v>
      </c>
      <c r="IL99" s="17" t="s">
        <v>56</v>
      </c>
      <c r="IM99" s="17" t="s">
        <v>55</v>
      </c>
      <c r="IN99" s="17" t="s">
        <v>56</v>
      </c>
      <c r="IO99" s="17" t="s">
        <v>55</v>
      </c>
      <c r="IP99" s="17" t="s">
        <v>56</v>
      </c>
      <c r="IQ99" s="17" t="s">
        <v>55</v>
      </c>
      <c r="IR99" s="17" t="s">
        <v>56</v>
      </c>
      <c r="IS99" s="17" t="s">
        <v>55</v>
      </c>
      <c r="IT99" s="17" t="s">
        <v>56</v>
      </c>
      <c r="IU99" s="17" t="s">
        <v>55</v>
      </c>
      <c r="IV99" s="17" t="s">
        <v>56</v>
      </c>
      <c r="IW99" s="17" t="s">
        <v>55</v>
      </c>
      <c r="IX99" s="17" t="s">
        <v>56</v>
      </c>
      <c r="IY99" s="17" t="s">
        <v>55</v>
      </c>
      <c r="IZ99" s="17" t="s">
        <v>56</v>
      </c>
      <c r="JA99" s="17" t="s">
        <v>55</v>
      </c>
      <c r="JB99" s="17" t="s">
        <v>56</v>
      </c>
      <c r="JC99" s="17" t="s">
        <v>55</v>
      </c>
      <c r="JD99" s="17" t="s">
        <v>56</v>
      </c>
      <c r="JE99" s="17" t="s">
        <v>55</v>
      </c>
      <c r="JF99" s="17" t="s">
        <v>56</v>
      </c>
      <c r="JG99" s="17" t="s">
        <v>55</v>
      </c>
      <c r="JH99" s="17" t="s">
        <v>56</v>
      </c>
      <c r="JI99" s="17" t="s">
        <v>55</v>
      </c>
      <c r="JJ99" s="17" t="s">
        <v>56</v>
      </c>
      <c r="JK99" s="17" t="s">
        <v>55</v>
      </c>
      <c r="JL99" s="17" t="s">
        <v>56</v>
      </c>
      <c r="JM99" s="17" t="s">
        <v>55</v>
      </c>
      <c r="JN99" s="17" t="s">
        <v>56</v>
      </c>
      <c r="JO99" s="17" t="s">
        <v>55</v>
      </c>
      <c r="JP99" s="17" t="s">
        <v>56</v>
      </c>
      <c r="JQ99" s="17" t="s">
        <v>55</v>
      </c>
      <c r="JR99" s="17" t="s">
        <v>56</v>
      </c>
      <c r="JS99" s="17" t="s">
        <v>55</v>
      </c>
      <c r="JT99" s="17" t="s">
        <v>56</v>
      </c>
      <c r="JU99" s="17" t="s">
        <v>55</v>
      </c>
      <c r="JV99" s="17" t="s">
        <v>56</v>
      </c>
      <c r="JW99" s="17" t="s">
        <v>55</v>
      </c>
      <c r="JX99" s="17" t="s">
        <v>56</v>
      </c>
      <c r="JY99" s="17" t="s">
        <v>55</v>
      </c>
      <c r="JZ99" s="17" t="s">
        <v>56</v>
      </c>
      <c r="KA99" s="17" t="s">
        <v>55</v>
      </c>
      <c r="KB99" s="17" t="s">
        <v>56</v>
      </c>
      <c r="KC99" s="17" t="s">
        <v>55</v>
      </c>
      <c r="KD99" s="17" t="s">
        <v>56</v>
      </c>
      <c r="KE99" s="17" t="s">
        <v>55</v>
      </c>
      <c r="KF99" s="17" t="s">
        <v>56</v>
      </c>
      <c r="KG99" s="17" t="s">
        <v>55</v>
      </c>
      <c r="KH99" s="17" t="s">
        <v>56</v>
      </c>
      <c r="KI99" s="17" t="s">
        <v>55</v>
      </c>
      <c r="KJ99" s="17" t="s">
        <v>56</v>
      </c>
      <c r="KK99" s="17" t="s">
        <v>55</v>
      </c>
      <c r="KL99" s="17" t="s">
        <v>56</v>
      </c>
      <c r="KM99" s="17" t="s">
        <v>55</v>
      </c>
      <c r="KN99" s="17" t="s">
        <v>56</v>
      </c>
      <c r="KO99" s="17" t="s">
        <v>55</v>
      </c>
      <c r="KP99" s="17" t="s">
        <v>56</v>
      </c>
      <c r="KQ99" s="17" t="s">
        <v>55</v>
      </c>
      <c r="KR99" s="17" t="s">
        <v>56</v>
      </c>
      <c r="KS99" s="17" t="s">
        <v>55</v>
      </c>
      <c r="KT99" s="17" t="s">
        <v>56</v>
      </c>
      <c r="KU99" s="17" t="s">
        <v>55</v>
      </c>
      <c r="KV99" s="17" t="s">
        <v>56</v>
      </c>
      <c r="KW99" s="17" t="s">
        <v>55</v>
      </c>
      <c r="KX99" s="17" t="s">
        <v>56</v>
      </c>
      <c r="KY99" s="17" t="s">
        <v>55</v>
      </c>
      <c r="KZ99" s="17" t="s">
        <v>56</v>
      </c>
      <c r="LA99" s="17" t="s">
        <v>55</v>
      </c>
      <c r="LB99" s="17" t="s">
        <v>56</v>
      </c>
      <c r="LC99" s="17" t="s">
        <v>55</v>
      </c>
      <c r="LD99" s="17" t="s">
        <v>56</v>
      </c>
      <c r="LE99" s="17" t="s">
        <v>55</v>
      </c>
      <c r="LF99" s="17" t="s">
        <v>56</v>
      </c>
      <c r="LG99" s="17" t="s">
        <v>55</v>
      </c>
      <c r="LH99" s="17" t="s">
        <v>56</v>
      </c>
      <c r="LI99" s="17" t="s">
        <v>55</v>
      </c>
      <c r="LJ99" s="17" t="s">
        <v>56</v>
      </c>
      <c r="LK99" s="17" t="s">
        <v>55</v>
      </c>
      <c r="LL99" s="17" t="s">
        <v>56</v>
      </c>
      <c r="LM99" s="17" t="s">
        <v>55</v>
      </c>
      <c r="LN99" s="17" t="s">
        <v>56</v>
      </c>
      <c r="LO99" s="17" t="s">
        <v>55</v>
      </c>
      <c r="LP99" s="17" t="s">
        <v>56</v>
      </c>
      <c r="LQ99" s="17" t="s">
        <v>55</v>
      </c>
      <c r="LR99" s="17" t="s">
        <v>56</v>
      </c>
      <c r="LS99" s="17" t="s">
        <v>55</v>
      </c>
      <c r="LT99" s="17" t="s">
        <v>56</v>
      </c>
      <c r="LU99" s="17" t="s">
        <v>55</v>
      </c>
      <c r="LV99" s="17" t="s">
        <v>56</v>
      </c>
      <c r="LW99" s="17" t="s">
        <v>55</v>
      </c>
      <c r="LX99" s="17" t="s">
        <v>56</v>
      </c>
      <c r="LY99" s="17" t="s">
        <v>55</v>
      </c>
      <c r="LZ99" s="17" t="s">
        <v>56</v>
      </c>
      <c r="MA99" s="17" t="s">
        <v>55</v>
      </c>
      <c r="MB99" s="17" t="s">
        <v>56</v>
      </c>
      <c r="MC99" s="17" t="s">
        <v>55</v>
      </c>
      <c r="MD99" s="4">
        <v>153</v>
      </c>
      <c r="ME99" s="4" t="s">
        <v>55</v>
      </c>
      <c r="MF99" s="4">
        <v>178</v>
      </c>
      <c r="MG99" s="4" t="s">
        <v>55</v>
      </c>
      <c r="MH99" s="4">
        <v>155</v>
      </c>
      <c r="MI99" s="4" t="s">
        <v>55</v>
      </c>
      <c r="MJ99" s="4">
        <v>166</v>
      </c>
      <c r="MK99" s="4" t="s">
        <v>55</v>
      </c>
      <c r="ML99" s="4">
        <v>240</v>
      </c>
      <c r="MM99" s="4" t="s">
        <v>55</v>
      </c>
      <c r="MN99" s="4">
        <v>366</v>
      </c>
      <c r="MO99" s="4" t="s">
        <v>55</v>
      </c>
      <c r="MP99" s="4">
        <v>266</v>
      </c>
      <c r="MQ99" s="4" t="s">
        <v>55</v>
      </c>
      <c r="MR99" s="4">
        <v>256</v>
      </c>
      <c r="MS99" s="4" t="s">
        <v>55</v>
      </c>
      <c r="MT99" s="4">
        <v>252</v>
      </c>
      <c r="MU99" s="4" t="s">
        <v>55</v>
      </c>
      <c r="MV99" s="4">
        <v>186</v>
      </c>
      <c r="MW99" s="4" t="s">
        <v>55</v>
      </c>
      <c r="MX99" s="4">
        <v>146</v>
      </c>
      <c r="MY99" s="4" t="s">
        <v>55</v>
      </c>
      <c r="MZ99" s="4">
        <v>225</v>
      </c>
      <c r="NA99" s="4" t="s">
        <v>55</v>
      </c>
      <c r="NB99" s="10" t="s">
        <v>56</v>
      </c>
      <c r="NC99" s="10" t="s">
        <v>55</v>
      </c>
      <c r="ND99" s="10" t="s">
        <v>56</v>
      </c>
      <c r="NE99" s="10" t="s">
        <v>55</v>
      </c>
      <c r="NF99" s="10" t="s">
        <v>56</v>
      </c>
      <c r="NG99" s="10" t="s">
        <v>55</v>
      </c>
      <c r="NH99" s="10" t="s">
        <v>56</v>
      </c>
      <c r="NI99" s="10" t="s">
        <v>55</v>
      </c>
      <c r="NJ99" s="10" t="s">
        <v>56</v>
      </c>
      <c r="NK99" s="10" t="s">
        <v>55</v>
      </c>
      <c r="NL99" s="10" t="s">
        <v>56</v>
      </c>
      <c r="NM99" s="10" t="s">
        <v>55</v>
      </c>
      <c r="NN99" s="10" t="s">
        <v>56</v>
      </c>
      <c r="NO99" s="10" t="s">
        <v>55</v>
      </c>
      <c r="NP99" s="10" t="s">
        <v>56</v>
      </c>
      <c r="NQ99" s="10" t="s">
        <v>55</v>
      </c>
      <c r="NR99" s="10" t="s">
        <v>56</v>
      </c>
      <c r="NS99" s="10" t="s">
        <v>55</v>
      </c>
      <c r="NT99" s="10" t="s">
        <v>56</v>
      </c>
      <c r="NU99" s="10" t="s">
        <v>55</v>
      </c>
    </row>
    <row r="100" spans="1:385" x14ac:dyDescent="0.2">
      <c r="A100" t="s">
        <v>33</v>
      </c>
      <c r="B100" s="1" t="s">
        <v>1037</v>
      </c>
      <c r="C100" s="1" t="s">
        <v>859</v>
      </c>
      <c r="D100" s="39" cm="1">
        <f t="array" ref="D100">SUMPRODUCT((ISNUMBER(F100:NU100))*(MOD(COLUMN(F100:NU100),2)=0))</f>
        <v>6</v>
      </c>
      <c r="E100" s="1">
        <v>155.15</v>
      </c>
      <c r="F100" s="1" t="s">
        <v>56</v>
      </c>
      <c r="G100" s="1" t="s">
        <v>55</v>
      </c>
      <c r="H100" s="1" t="s">
        <v>56</v>
      </c>
      <c r="I100" s="1" t="s">
        <v>55</v>
      </c>
      <c r="J100" s="1" t="s">
        <v>56</v>
      </c>
      <c r="K100" s="1" t="s">
        <v>55</v>
      </c>
      <c r="L100" s="1" t="s">
        <v>56</v>
      </c>
      <c r="M100" s="1" t="s">
        <v>55</v>
      </c>
      <c r="N100" s="1" t="s">
        <v>56</v>
      </c>
      <c r="O100" s="1" t="s">
        <v>55</v>
      </c>
      <c r="P100" s="1" t="s">
        <v>56</v>
      </c>
      <c r="Q100" s="1" t="s">
        <v>55</v>
      </c>
      <c r="R100" s="1" t="s">
        <v>56</v>
      </c>
      <c r="S100" s="1" t="s">
        <v>55</v>
      </c>
      <c r="T100" s="1" t="s">
        <v>56</v>
      </c>
      <c r="U100" s="1" t="s">
        <v>55</v>
      </c>
      <c r="V100" s="1" t="s">
        <v>56</v>
      </c>
      <c r="W100" s="1" t="s">
        <v>55</v>
      </c>
      <c r="X100" s="1" t="s">
        <v>56</v>
      </c>
      <c r="Y100" s="1" t="s">
        <v>55</v>
      </c>
      <c r="Z100" s="1" t="s">
        <v>56</v>
      </c>
      <c r="AA100" s="1" t="s">
        <v>55</v>
      </c>
      <c r="AB100" s="1" t="s">
        <v>56</v>
      </c>
      <c r="AC100" s="1" t="s">
        <v>55</v>
      </c>
      <c r="AD100" s="1" t="s">
        <v>56</v>
      </c>
      <c r="AE100" s="1" t="s">
        <v>55</v>
      </c>
      <c r="AF100" s="4" t="s">
        <v>56</v>
      </c>
      <c r="AG100" s="4" t="s">
        <v>55</v>
      </c>
      <c r="AH100" s="4" t="s">
        <v>56</v>
      </c>
      <c r="AI100" s="4" t="s">
        <v>55</v>
      </c>
      <c r="AJ100" s="4" t="s">
        <v>56</v>
      </c>
      <c r="AK100" s="4" t="s">
        <v>55</v>
      </c>
      <c r="AL100" s="4" t="s">
        <v>56</v>
      </c>
      <c r="AM100" s="4" t="s">
        <v>55</v>
      </c>
      <c r="AN100" s="17" t="s">
        <v>56</v>
      </c>
      <c r="AO100" s="1" t="s">
        <v>55</v>
      </c>
      <c r="AP100" s="11" t="s">
        <v>56</v>
      </c>
      <c r="AQ100" s="11" t="s">
        <v>55</v>
      </c>
      <c r="AR100" s="10" t="s">
        <v>56</v>
      </c>
      <c r="AS100" s="10" t="s">
        <v>55</v>
      </c>
      <c r="AT100" s="4" t="s">
        <v>56</v>
      </c>
      <c r="AU100" s="4" t="s">
        <v>55</v>
      </c>
      <c r="AV100" s="4" t="s">
        <v>56</v>
      </c>
      <c r="AW100" s="4" t="s">
        <v>55</v>
      </c>
      <c r="AX100" s="4" t="s">
        <v>56</v>
      </c>
      <c r="AY100" s="4" t="s">
        <v>55</v>
      </c>
      <c r="AZ100" s="4" t="s">
        <v>56</v>
      </c>
      <c r="BA100" s="4" t="s">
        <v>55</v>
      </c>
      <c r="BB100" s="4" t="s">
        <v>56</v>
      </c>
      <c r="BC100" s="4" t="s">
        <v>55</v>
      </c>
      <c r="BD100" s="4" t="s">
        <v>56</v>
      </c>
      <c r="BE100" s="1" t="s">
        <v>55</v>
      </c>
      <c r="BF100" s="1" t="s">
        <v>56</v>
      </c>
      <c r="BG100" s="1" t="s">
        <v>55</v>
      </c>
      <c r="BH100" s="1" t="s">
        <v>56</v>
      </c>
      <c r="BI100" s="1" t="s">
        <v>55</v>
      </c>
      <c r="BJ100" s="1" t="s">
        <v>56</v>
      </c>
      <c r="BK100" s="1" t="s">
        <v>55</v>
      </c>
      <c r="BL100" s="4" t="s">
        <v>56</v>
      </c>
      <c r="BM100" s="4" t="s">
        <v>55</v>
      </c>
      <c r="BN100" s="4" t="s">
        <v>56</v>
      </c>
      <c r="BO100" s="4" t="s">
        <v>55</v>
      </c>
      <c r="BP100" s="4" t="s">
        <v>56</v>
      </c>
      <c r="BQ100" s="4" t="s">
        <v>55</v>
      </c>
      <c r="BR100" s="4" t="s">
        <v>56</v>
      </c>
      <c r="BS100" s="4" t="s">
        <v>162</v>
      </c>
      <c r="BT100" s="4" t="s">
        <v>56</v>
      </c>
      <c r="BU100" s="4" t="s">
        <v>55</v>
      </c>
      <c r="BV100" s="4" t="s">
        <v>56</v>
      </c>
      <c r="BW100" s="4" t="s">
        <v>55</v>
      </c>
      <c r="BX100" s="4" t="s">
        <v>56</v>
      </c>
      <c r="BY100" s="4" t="s">
        <v>55</v>
      </c>
      <c r="BZ100" s="4" t="s">
        <v>56</v>
      </c>
      <c r="CA100" s="4" t="s">
        <v>55</v>
      </c>
      <c r="CB100" s="4" t="s">
        <v>56</v>
      </c>
      <c r="CC100" s="4" t="s">
        <v>55</v>
      </c>
      <c r="CD100" s="4" t="s">
        <v>56</v>
      </c>
      <c r="CE100" s="4" t="s">
        <v>55</v>
      </c>
      <c r="CF100" s="4" t="s">
        <v>56</v>
      </c>
      <c r="CG100" s="4" t="s">
        <v>55</v>
      </c>
      <c r="CH100" s="4" t="s">
        <v>56</v>
      </c>
      <c r="CI100" s="4" t="s">
        <v>55</v>
      </c>
      <c r="CJ100" s="4" t="s">
        <v>56</v>
      </c>
      <c r="CK100" s="4" t="s">
        <v>55</v>
      </c>
      <c r="CL100" s="4" t="s">
        <v>56</v>
      </c>
      <c r="CM100" s="4" t="s">
        <v>55</v>
      </c>
      <c r="CN100" s="4" t="s">
        <v>56</v>
      </c>
      <c r="CO100" s="4" t="s">
        <v>55</v>
      </c>
      <c r="CP100" s="4" t="s">
        <v>56</v>
      </c>
      <c r="CQ100" s="4" t="s">
        <v>55</v>
      </c>
      <c r="CR100" s="4" t="s">
        <v>56</v>
      </c>
      <c r="CS100" s="4" t="s">
        <v>55</v>
      </c>
      <c r="CT100" s="4" t="s">
        <v>56</v>
      </c>
      <c r="CU100" s="4" t="s">
        <v>55</v>
      </c>
      <c r="CV100" s="4" t="s">
        <v>56</v>
      </c>
      <c r="CW100" s="4" t="s">
        <v>55</v>
      </c>
      <c r="CX100" s="4" t="s">
        <v>56</v>
      </c>
      <c r="CY100" s="4" t="s">
        <v>55</v>
      </c>
      <c r="CZ100" s="4" t="s">
        <v>56</v>
      </c>
      <c r="DA100" s="4" t="s">
        <v>55</v>
      </c>
      <c r="DB100" s="4" t="s">
        <v>56</v>
      </c>
      <c r="DC100" s="4" t="s">
        <v>55</v>
      </c>
      <c r="DD100" s="4" t="s">
        <v>56</v>
      </c>
      <c r="DE100" s="4" t="s">
        <v>55</v>
      </c>
      <c r="DF100" s="4" t="s">
        <v>56</v>
      </c>
      <c r="DG100" s="4" t="s">
        <v>55</v>
      </c>
      <c r="DH100" s="10" t="s">
        <v>56</v>
      </c>
      <c r="DI100" s="10" t="s">
        <v>55</v>
      </c>
      <c r="DJ100" s="10" t="s">
        <v>56</v>
      </c>
      <c r="DK100" s="10" t="s">
        <v>55</v>
      </c>
      <c r="DL100" s="10" t="s">
        <v>56</v>
      </c>
      <c r="DM100" s="10" t="s">
        <v>55</v>
      </c>
      <c r="DN100" s="10" t="s">
        <v>56</v>
      </c>
      <c r="DO100" s="10" t="s">
        <v>55</v>
      </c>
      <c r="DP100" s="10" t="s">
        <v>56</v>
      </c>
      <c r="DQ100" s="10" t="s">
        <v>55</v>
      </c>
      <c r="DR100" s="10" t="s">
        <v>56</v>
      </c>
      <c r="DS100" s="10" t="s">
        <v>55</v>
      </c>
      <c r="DT100" s="10" t="s">
        <v>56</v>
      </c>
      <c r="DU100" s="10" t="s">
        <v>55</v>
      </c>
      <c r="DV100" s="10" t="s">
        <v>56</v>
      </c>
      <c r="DW100" s="10" t="s">
        <v>55</v>
      </c>
      <c r="DX100" s="10" t="s">
        <v>56</v>
      </c>
      <c r="DY100" s="10" t="s">
        <v>55</v>
      </c>
      <c r="DZ100" s="10" t="s">
        <v>56</v>
      </c>
      <c r="EA100" s="10" t="s">
        <v>55</v>
      </c>
      <c r="EB100" s="10" t="s">
        <v>56</v>
      </c>
      <c r="EC100" s="10" t="s">
        <v>55</v>
      </c>
      <c r="ED100" s="10" t="s">
        <v>56</v>
      </c>
      <c r="EE100" s="10" t="s">
        <v>55</v>
      </c>
      <c r="EF100" s="10" t="s">
        <v>56</v>
      </c>
      <c r="EG100" s="10" t="s">
        <v>55</v>
      </c>
      <c r="EH100" s="10" t="s">
        <v>56</v>
      </c>
      <c r="EI100" s="10" t="s">
        <v>55</v>
      </c>
      <c r="EJ100" s="10" t="s">
        <v>56</v>
      </c>
      <c r="EK100" s="10" t="s">
        <v>55</v>
      </c>
      <c r="EL100" s="10" t="s">
        <v>56</v>
      </c>
      <c r="EM100" s="10" t="s">
        <v>55</v>
      </c>
      <c r="EN100" s="10" t="s">
        <v>56</v>
      </c>
      <c r="EO100" s="10" t="s">
        <v>55</v>
      </c>
      <c r="EP100" s="10" t="s">
        <v>56</v>
      </c>
      <c r="EQ100" s="10" t="s">
        <v>55</v>
      </c>
      <c r="ER100" s="10" t="s">
        <v>56</v>
      </c>
      <c r="ES100" s="10" t="s">
        <v>55</v>
      </c>
      <c r="ET100" s="10" t="s">
        <v>56</v>
      </c>
      <c r="EU100" s="10" t="s">
        <v>55</v>
      </c>
      <c r="EV100" s="10" t="s">
        <v>56</v>
      </c>
      <c r="EW100" s="10" t="s">
        <v>55</v>
      </c>
      <c r="EX100" s="10" t="s">
        <v>56</v>
      </c>
      <c r="EY100" s="10" t="s">
        <v>55</v>
      </c>
      <c r="EZ100" s="10" t="s">
        <v>56</v>
      </c>
      <c r="FA100" s="10" t="s">
        <v>55</v>
      </c>
      <c r="FB100" s="10" t="s">
        <v>56</v>
      </c>
      <c r="FC100" s="10" t="s">
        <v>55</v>
      </c>
      <c r="FD100" s="10" t="s">
        <v>56</v>
      </c>
      <c r="FE100" s="10" t="s">
        <v>55</v>
      </c>
      <c r="FF100" s="10" t="s">
        <v>56</v>
      </c>
      <c r="FG100" s="10" t="s">
        <v>55</v>
      </c>
      <c r="FH100" s="10" t="s">
        <v>56</v>
      </c>
      <c r="FI100" s="10" t="s">
        <v>55</v>
      </c>
      <c r="FJ100" s="10" t="s">
        <v>56</v>
      </c>
      <c r="FK100" s="10" t="s">
        <v>55</v>
      </c>
      <c r="FL100" s="10" t="s">
        <v>56</v>
      </c>
      <c r="FM100" s="10" t="s">
        <v>55</v>
      </c>
      <c r="FN100" s="10" t="s">
        <v>56</v>
      </c>
      <c r="FO100" s="10" t="s">
        <v>55</v>
      </c>
      <c r="FP100" s="10" t="s">
        <v>56</v>
      </c>
      <c r="FQ100" s="10" t="s">
        <v>55</v>
      </c>
      <c r="FR100" s="10" t="s">
        <v>56</v>
      </c>
      <c r="FS100" s="10" t="s">
        <v>55</v>
      </c>
      <c r="FT100" s="10" t="s">
        <v>56</v>
      </c>
      <c r="FU100" s="10" t="s">
        <v>55</v>
      </c>
      <c r="FV100" s="10" t="s">
        <v>56</v>
      </c>
      <c r="FW100" s="10" t="s">
        <v>55</v>
      </c>
      <c r="FX100" s="10" t="s">
        <v>56</v>
      </c>
      <c r="FY100" s="10" t="s">
        <v>55</v>
      </c>
      <c r="FZ100" s="10" t="s">
        <v>56</v>
      </c>
      <c r="GA100" s="10" t="s">
        <v>55</v>
      </c>
      <c r="GB100" s="10" t="s">
        <v>56</v>
      </c>
      <c r="GC100" s="10" t="s">
        <v>55</v>
      </c>
      <c r="GD100" s="10" t="s">
        <v>56</v>
      </c>
      <c r="GE100" s="10" t="s">
        <v>55</v>
      </c>
      <c r="GF100" s="10" t="s">
        <v>56</v>
      </c>
      <c r="GG100" s="10" t="s">
        <v>55</v>
      </c>
      <c r="GH100" s="10" t="s">
        <v>56</v>
      </c>
      <c r="GI100" s="10" t="s">
        <v>55</v>
      </c>
      <c r="GJ100" s="10" t="s">
        <v>56</v>
      </c>
      <c r="GK100" s="10" t="s">
        <v>55</v>
      </c>
      <c r="GL100" s="10" t="s">
        <v>56</v>
      </c>
      <c r="GM100" s="10" t="s">
        <v>55</v>
      </c>
      <c r="GN100" s="10" t="s">
        <v>56</v>
      </c>
      <c r="GO100" s="10" t="s">
        <v>55</v>
      </c>
      <c r="GP100" s="10" t="s">
        <v>56</v>
      </c>
      <c r="GQ100" s="10" t="s">
        <v>55</v>
      </c>
      <c r="GR100" s="10" t="s">
        <v>56</v>
      </c>
      <c r="GS100" s="10" t="s">
        <v>55</v>
      </c>
      <c r="GT100" s="10" t="s">
        <v>56</v>
      </c>
      <c r="GU100" s="10" t="s">
        <v>55</v>
      </c>
      <c r="GV100" s="17" t="s">
        <v>56</v>
      </c>
      <c r="GW100" s="17" t="s">
        <v>55</v>
      </c>
      <c r="GX100" s="10" t="s">
        <v>56</v>
      </c>
      <c r="GY100" s="10" t="s">
        <v>55</v>
      </c>
      <c r="GZ100" s="10" t="s">
        <v>56</v>
      </c>
      <c r="HA100" s="10" t="s">
        <v>55</v>
      </c>
      <c r="HB100" s="10" t="s">
        <v>56</v>
      </c>
      <c r="HC100" s="10" t="s">
        <v>55</v>
      </c>
      <c r="HD100" s="10" t="s">
        <v>56</v>
      </c>
      <c r="HE100" s="10" t="s">
        <v>55</v>
      </c>
      <c r="HF100" s="10" t="s">
        <v>56</v>
      </c>
      <c r="HG100" s="10" t="s">
        <v>55</v>
      </c>
      <c r="HH100" s="10" t="s">
        <v>56</v>
      </c>
      <c r="HI100" s="10" t="s">
        <v>55</v>
      </c>
      <c r="HJ100" s="10" t="s">
        <v>56</v>
      </c>
      <c r="HK100" s="10" t="s">
        <v>55</v>
      </c>
      <c r="HL100" s="10" t="s">
        <v>56</v>
      </c>
      <c r="HM100" s="10" t="s">
        <v>55</v>
      </c>
      <c r="HN100" s="10" t="s">
        <v>56</v>
      </c>
      <c r="HO100" s="10" t="s">
        <v>55</v>
      </c>
      <c r="HP100" s="10" t="s">
        <v>56</v>
      </c>
      <c r="HQ100" s="10" t="s">
        <v>55</v>
      </c>
      <c r="HR100" s="10" t="s">
        <v>56</v>
      </c>
      <c r="HS100" s="10" t="s">
        <v>55</v>
      </c>
      <c r="HT100" s="10" t="s">
        <v>56</v>
      </c>
      <c r="HU100" s="10" t="s">
        <v>55</v>
      </c>
      <c r="HV100" s="10" t="s">
        <v>56</v>
      </c>
      <c r="HW100" s="10" t="s">
        <v>55</v>
      </c>
      <c r="HX100" s="10" t="s">
        <v>56</v>
      </c>
      <c r="HY100" s="10" t="s">
        <v>55</v>
      </c>
      <c r="HZ100" s="10" t="s">
        <v>56</v>
      </c>
      <c r="IA100" s="10" t="s">
        <v>55</v>
      </c>
      <c r="IB100" s="10" t="s">
        <v>56</v>
      </c>
      <c r="IC100" s="10" t="s">
        <v>55</v>
      </c>
      <c r="ID100" s="1" t="s">
        <v>56</v>
      </c>
      <c r="IE100" s="1" t="s">
        <v>55</v>
      </c>
      <c r="IF100" s="4" t="s">
        <v>56</v>
      </c>
      <c r="IG100" s="4" t="s">
        <v>55</v>
      </c>
      <c r="IH100" s="4" t="s">
        <v>56</v>
      </c>
      <c r="II100" s="4" t="s">
        <v>55</v>
      </c>
      <c r="IJ100" s="4" t="s">
        <v>56</v>
      </c>
      <c r="IK100" s="4" t="s">
        <v>55</v>
      </c>
      <c r="IL100" s="4" t="s">
        <v>56</v>
      </c>
      <c r="IM100" s="4" t="s">
        <v>55</v>
      </c>
      <c r="IN100" s="4" t="s">
        <v>56</v>
      </c>
      <c r="IO100" s="4" t="s">
        <v>55</v>
      </c>
      <c r="IP100" s="4" t="s">
        <v>56</v>
      </c>
      <c r="IQ100" s="4" t="s">
        <v>55</v>
      </c>
      <c r="IR100" s="4" t="s">
        <v>56</v>
      </c>
      <c r="IS100" s="4" t="s">
        <v>55</v>
      </c>
      <c r="IT100" s="18" t="s">
        <v>56</v>
      </c>
      <c r="IU100" s="18" t="s">
        <v>55</v>
      </c>
      <c r="IV100" s="4" t="s">
        <v>56</v>
      </c>
      <c r="IW100" s="4" t="s">
        <v>55</v>
      </c>
      <c r="IX100" s="4" t="s">
        <v>56</v>
      </c>
      <c r="IY100" s="4" t="s">
        <v>55</v>
      </c>
      <c r="IZ100" s="4" t="s">
        <v>56</v>
      </c>
      <c r="JA100" s="4" t="s">
        <v>55</v>
      </c>
      <c r="JB100" s="4" t="s">
        <v>56</v>
      </c>
      <c r="JC100" s="4" t="s">
        <v>55</v>
      </c>
      <c r="JD100" s="4" t="s">
        <v>56</v>
      </c>
      <c r="JE100" s="4" t="s">
        <v>55</v>
      </c>
      <c r="JF100" s="4" t="s">
        <v>56</v>
      </c>
      <c r="JG100" s="4" t="s">
        <v>55</v>
      </c>
      <c r="JH100" s="4" t="s">
        <v>56</v>
      </c>
      <c r="JI100" s="4" t="s">
        <v>55</v>
      </c>
      <c r="JJ100" s="4" t="s">
        <v>56</v>
      </c>
      <c r="JK100" s="4" t="s">
        <v>55</v>
      </c>
      <c r="JL100" s="4" t="s">
        <v>56</v>
      </c>
      <c r="JM100" s="4" t="s">
        <v>55</v>
      </c>
      <c r="JN100" s="4" t="s">
        <v>56</v>
      </c>
      <c r="JO100" s="4" t="s">
        <v>55</v>
      </c>
      <c r="JP100" s="4" t="s">
        <v>56</v>
      </c>
      <c r="JQ100" s="4" t="s">
        <v>55</v>
      </c>
      <c r="JR100" s="4" t="s">
        <v>56</v>
      </c>
      <c r="JS100" s="4" t="s">
        <v>55</v>
      </c>
      <c r="JT100" s="4" t="s">
        <v>56</v>
      </c>
      <c r="JU100" s="4" t="s">
        <v>55</v>
      </c>
      <c r="JV100" s="4" t="s">
        <v>56</v>
      </c>
      <c r="JW100" s="4" t="s">
        <v>55</v>
      </c>
      <c r="JX100" s="4" t="s">
        <v>56</v>
      </c>
      <c r="JY100" s="4" t="s">
        <v>55</v>
      </c>
      <c r="JZ100" s="4" t="s">
        <v>56</v>
      </c>
      <c r="KA100" s="4" t="s">
        <v>55</v>
      </c>
      <c r="KB100" s="4" t="s">
        <v>56</v>
      </c>
      <c r="KC100" s="4" t="s">
        <v>55</v>
      </c>
      <c r="KD100" s="4" t="s">
        <v>56</v>
      </c>
      <c r="KE100" s="4" t="s">
        <v>55</v>
      </c>
      <c r="KF100" s="4" t="s">
        <v>56</v>
      </c>
      <c r="KG100" s="4" t="s">
        <v>55</v>
      </c>
      <c r="KH100" s="4" t="s">
        <v>56</v>
      </c>
      <c r="KI100" s="4" t="s">
        <v>55</v>
      </c>
      <c r="KJ100" s="4" t="s">
        <v>56</v>
      </c>
      <c r="KK100" s="4" t="s">
        <v>55</v>
      </c>
      <c r="KL100" s="4" t="s">
        <v>56</v>
      </c>
      <c r="KM100" s="4" t="s">
        <v>55</v>
      </c>
      <c r="KN100" s="4" t="s">
        <v>56</v>
      </c>
      <c r="KO100" s="4" t="s">
        <v>55</v>
      </c>
      <c r="KP100" s="4" t="s">
        <v>56</v>
      </c>
      <c r="KQ100" s="4" t="s">
        <v>55</v>
      </c>
      <c r="KR100" s="17" t="s">
        <v>56</v>
      </c>
      <c r="KS100" s="17" t="s">
        <v>55</v>
      </c>
      <c r="KT100" s="17" t="s">
        <v>56</v>
      </c>
      <c r="KU100" s="17" t="s">
        <v>55</v>
      </c>
      <c r="KV100" s="4">
        <v>406.2</v>
      </c>
      <c r="KW100" s="4">
        <v>76.3</v>
      </c>
      <c r="KX100" s="4">
        <v>751.8</v>
      </c>
      <c r="KY100" s="4">
        <v>110.8</v>
      </c>
      <c r="KZ100" s="4">
        <v>582.29999999999995</v>
      </c>
      <c r="LA100" s="4">
        <v>86.3</v>
      </c>
      <c r="LB100" s="17" t="s">
        <v>56</v>
      </c>
      <c r="LC100" s="17" t="s">
        <v>55</v>
      </c>
      <c r="LD100" s="10">
        <f>2.6*1000</f>
        <v>2600</v>
      </c>
      <c r="LE100" s="10">
        <f>0.7*1000</f>
        <v>700</v>
      </c>
      <c r="LF100" s="10">
        <f>0.3*1000</f>
        <v>300</v>
      </c>
      <c r="LG100" s="10">
        <f>0.02*1000</f>
        <v>20</v>
      </c>
      <c r="LH100" s="10">
        <f>0.41*1000</f>
        <v>410</v>
      </c>
      <c r="LI100" s="10">
        <f>0.06*1000</f>
        <v>60</v>
      </c>
      <c r="LJ100" s="17" t="s">
        <v>56</v>
      </c>
      <c r="LK100" s="17" t="s">
        <v>55</v>
      </c>
      <c r="LL100" s="17" t="s">
        <v>56</v>
      </c>
      <c r="LM100" s="17" t="s">
        <v>55</v>
      </c>
      <c r="LN100" s="17" t="s">
        <v>56</v>
      </c>
      <c r="LO100" s="17" t="s">
        <v>55</v>
      </c>
      <c r="LP100" s="17" t="s">
        <v>56</v>
      </c>
      <c r="LQ100" s="17" t="s">
        <v>55</v>
      </c>
      <c r="LR100" s="17" t="s">
        <v>56</v>
      </c>
      <c r="LS100" s="17" t="s">
        <v>55</v>
      </c>
      <c r="LT100" s="17" t="s">
        <v>56</v>
      </c>
      <c r="LU100" s="17" t="s">
        <v>55</v>
      </c>
      <c r="LV100" s="17" t="s">
        <v>56</v>
      </c>
      <c r="LW100" s="17" t="s">
        <v>55</v>
      </c>
      <c r="LX100" s="17" t="s">
        <v>56</v>
      </c>
      <c r="LY100" s="17" t="s">
        <v>55</v>
      </c>
      <c r="LZ100" s="17" t="s">
        <v>56</v>
      </c>
      <c r="MA100" s="17" t="s">
        <v>55</v>
      </c>
      <c r="MB100" s="17" t="s">
        <v>56</v>
      </c>
      <c r="MC100" s="17" t="s">
        <v>55</v>
      </c>
      <c r="MD100" s="17" t="s">
        <v>56</v>
      </c>
      <c r="ME100" s="17" t="s">
        <v>55</v>
      </c>
      <c r="MF100" s="17" t="s">
        <v>56</v>
      </c>
      <c r="MG100" s="17" t="s">
        <v>55</v>
      </c>
      <c r="MH100" s="17" t="s">
        <v>56</v>
      </c>
      <c r="MI100" s="17" t="s">
        <v>55</v>
      </c>
      <c r="MJ100" s="17" t="s">
        <v>56</v>
      </c>
      <c r="MK100" s="17" t="s">
        <v>55</v>
      </c>
      <c r="ML100" s="17" t="s">
        <v>56</v>
      </c>
      <c r="MM100" s="17" t="s">
        <v>55</v>
      </c>
      <c r="MN100" s="17" t="s">
        <v>56</v>
      </c>
      <c r="MO100" s="17" t="s">
        <v>55</v>
      </c>
      <c r="MP100" s="17" t="s">
        <v>56</v>
      </c>
      <c r="MQ100" s="17" t="s">
        <v>55</v>
      </c>
      <c r="MR100" s="17" t="s">
        <v>56</v>
      </c>
      <c r="MS100" s="17" t="s">
        <v>55</v>
      </c>
      <c r="MT100" s="17" t="s">
        <v>56</v>
      </c>
      <c r="MU100" s="17" t="s">
        <v>55</v>
      </c>
      <c r="MV100" s="17" t="s">
        <v>56</v>
      </c>
      <c r="MW100" s="17" t="s">
        <v>55</v>
      </c>
      <c r="MX100" s="17" t="s">
        <v>56</v>
      </c>
      <c r="MY100" s="17" t="s">
        <v>55</v>
      </c>
      <c r="MZ100" s="17" t="s">
        <v>56</v>
      </c>
      <c r="NA100" s="17" t="s">
        <v>55</v>
      </c>
      <c r="NB100" s="17" t="s">
        <v>56</v>
      </c>
      <c r="NC100" s="17" t="s">
        <v>55</v>
      </c>
      <c r="ND100" s="17" t="s">
        <v>56</v>
      </c>
      <c r="NE100" s="17" t="s">
        <v>55</v>
      </c>
      <c r="NF100" s="17" t="s">
        <v>56</v>
      </c>
      <c r="NG100" s="17" t="s">
        <v>55</v>
      </c>
      <c r="NH100" s="17" t="s">
        <v>56</v>
      </c>
      <c r="NI100" s="17" t="s">
        <v>55</v>
      </c>
      <c r="NJ100" s="17" t="s">
        <v>56</v>
      </c>
      <c r="NK100" s="17" t="s">
        <v>55</v>
      </c>
      <c r="NL100" s="17" t="s">
        <v>56</v>
      </c>
      <c r="NM100" s="17" t="s">
        <v>55</v>
      </c>
      <c r="NN100" s="17" t="s">
        <v>56</v>
      </c>
      <c r="NO100" s="17" t="s">
        <v>55</v>
      </c>
      <c r="NP100" s="17" t="s">
        <v>56</v>
      </c>
      <c r="NQ100" s="17" t="s">
        <v>55</v>
      </c>
      <c r="NR100" s="10" t="s">
        <v>56</v>
      </c>
      <c r="NS100" s="10" t="s">
        <v>55</v>
      </c>
      <c r="NT100" s="10" t="s">
        <v>56</v>
      </c>
      <c r="NU100" s="10" t="s">
        <v>55</v>
      </c>
    </row>
    <row r="101" spans="1:385" x14ac:dyDescent="0.2">
      <c r="A101" t="s">
        <v>884</v>
      </c>
      <c r="B101" s="1" t="s">
        <v>1037</v>
      </c>
      <c r="C101" s="1" t="s">
        <v>843</v>
      </c>
      <c r="D101" s="39" cm="1">
        <f t="array" ref="D101">SUMPRODUCT((ISNUMBER(F101:NU101))*(MOD(COLUMN(F101:NU101),2)=0))</f>
        <v>52</v>
      </c>
      <c r="E101" s="1">
        <v>155.15</v>
      </c>
      <c r="F101" s="1" t="s">
        <v>56</v>
      </c>
      <c r="G101" s="1" t="s">
        <v>55</v>
      </c>
      <c r="H101" s="1" t="s">
        <v>56</v>
      </c>
      <c r="I101" s="1" t="s">
        <v>55</v>
      </c>
      <c r="J101" s="1" t="s">
        <v>56</v>
      </c>
      <c r="K101" s="1" t="s">
        <v>55</v>
      </c>
      <c r="L101" s="1" t="s">
        <v>56</v>
      </c>
      <c r="M101" s="1" t="s">
        <v>55</v>
      </c>
      <c r="N101" s="1" t="s">
        <v>56</v>
      </c>
      <c r="O101" s="1" t="s">
        <v>55</v>
      </c>
      <c r="P101" s="1" t="s">
        <v>56</v>
      </c>
      <c r="Q101" s="1" t="s">
        <v>55</v>
      </c>
      <c r="R101" s="1" t="s">
        <v>56</v>
      </c>
      <c r="S101" s="1" t="s">
        <v>55</v>
      </c>
      <c r="T101" s="1" t="s">
        <v>56</v>
      </c>
      <c r="U101" s="1" t="s">
        <v>55</v>
      </c>
      <c r="V101" s="1" t="s">
        <v>56</v>
      </c>
      <c r="W101" s="1" t="s">
        <v>55</v>
      </c>
      <c r="X101" s="1" t="s">
        <v>56</v>
      </c>
      <c r="Y101" s="1" t="s">
        <v>55</v>
      </c>
      <c r="Z101" s="1" t="s">
        <v>56</v>
      </c>
      <c r="AA101" s="1" t="s">
        <v>55</v>
      </c>
      <c r="AB101" s="1" t="s">
        <v>56</v>
      </c>
      <c r="AC101" s="1" t="s">
        <v>55</v>
      </c>
      <c r="AD101" s="1" t="s">
        <v>56</v>
      </c>
      <c r="AE101" s="1" t="s">
        <v>55</v>
      </c>
      <c r="AF101" s="1" t="s">
        <v>56</v>
      </c>
      <c r="AG101" s="1" t="s">
        <v>55</v>
      </c>
      <c r="AH101" s="1" t="s">
        <v>56</v>
      </c>
      <c r="AI101" s="1" t="s">
        <v>55</v>
      </c>
      <c r="AJ101" s="1" t="s">
        <v>56</v>
      </c>
      <c r="AK101" s="1" t="s">
        <v>55</v>
      </c>
      <c r="AL101" s="1" t="s">
        <v>56</v>
      </c>
      <c r="AM101" s="1" t="s">
        <v>55</v>
      </c>
      <c r="AN101" s="1" t="s">
        <v>56</v>
      </c>
      <c r="AO101" s="1" t="s">
        <v>55</v>
      </c>
      <c r="AP101" s="1" t="s">
        <v>56</v>
      </c>
      <c r="AQ101" s="1" t="s">
        <v>55</v>
      </c>
      <c r="AR101" s="1" t="s">
        <v>56</v>
      </c>
      <c r="AS101" s="1" t="s">
        <v>55</v>
      </c>
      <c r="AT101" s="1" t="s">
        <v>56</v>
      </c>
      <c r="AU101" s="1" t="s">
        <v>55</v>
      </c>
      <c r="AV101" s="1" t="s">
        <v>56</v>
      </c>
      <c r="AW101" s="1" t="s">
        <v>55</v>
      </c>
      <c r="AX101" s="1" t="s">
        <v>56</v>
      </c>
      <c r="AY101" s="1" t="s">
        <v>55</v>
      </c>
      <c r="AZ101" s="1" t="s">
        <v>56</v>
      </c>
      <c r="BA101" s="1" t="s">
        <v>55</v>
      </c>
      <c r="BB101" s="1" t="s">
        <v>56</v>
      </c>
      <c r="BC101" s="1" t="s">
        <v>55</v>
      </c>
      <c r="BD101" s="1" t="s">
        <v>56</v>
      </c>
      <c r="BE101" s="1" t="s">
        <v>55</v>
      </c>
      <c r="BF101" s="1" t="s">
        <v>56</v>
      </c>
      <c r="BG101" s="1" t="s">
        <v>55</v>
      </c>
      <c r="BH101" s="1" t="s">
        <v>56</v>
      </c>
      <c r="BI101" s="1" t="s">
        <v>55</v>
      </c>
      <c r="BJ101" s="1" t="s">
        <v>56</v>
      </c>
      <c r="BK101" s="1" t="s">
        <v>55</v>
      </c>
      <c r="BL101" s="1" t="s">
        <v>56</v>
      </c>
      <c r="BM101" s="1" t="s">
        <v>55</v>
      </c>
      <c r="BN101" s="1" t="s">
        <v>56</v>
      </c>
      <c r="BO101" s="1" t="s">
        <v>55</v>
      </c>
      <c r="BP101" s="1" t="s">
        <v>56</v>
      </c>
      <c r="BQ101" s="1" t="s">
        <v>55</v>
      </c>
      <c r="BR101" s="1" t="s">
        <v>56</v>
      </c>
      <c r="BS101" s="1" t="s">
        <v>55</v>
      </c>
      <c r="BT101" s="1" t="s">
        <v>56</v>
      </c>
      <c r="BU101" s="1" t="s">
        <v>55</v>
      </c>
      <c r="BV101" s="1" t="s">
        <v>56</v>
      </c>
      <c r="BW101" s="1" t="s">
        <v>55</v>
      </c>
      <c r="BX101" s="1" t="s">
        <v>56</v>
      </c>
      <c r="BY101" s="1" t="s">
        <v>55</v>
      </c>
      <c r="BZ101" s="1" t="s">
        <v>56</v>
      </c>
      <c r="CA101" s="1" t="s">
        <v>55</v>
      </c>
      <c r="CB101" s="1" t="s">
        <v>56</v>
      </c>
      <c r="CC101" s="1" t="s">
        <v>55</v>
      </c>
      <c r="CD101" s="1" t="s">
        <v>56</v>
      </c>
      <c r="CE101" s="1" t="s">
        <v>55</v>
      </c>
      <c r="CF101" s="1" t="s">
        <v>56</v>
      </c>
      <c r="CG101" s="1" t="s">
        <v>55</v>
      </c>
      <c r="CH101" s="1" t="s">
        <v>56</v>
      </c>
      <c r="CI101" s="1" t="s">
        <v>55</v>
      </c>
      <c r="CJ101" s="1" t="s">
        <v>56</v>
      </c>
      <c r="CK101" s="1" t="s">
        <v>55</v>
      </c>
      <c r="CL101" s="1" t="s">
        <v>56</v>
      </c>
      <c r="CM101" s="1" t="s">
        <v>55</v>
      </c>
      <c r="CN101" s="1" t="s">
        <v>56</v>
      </c>
      <c r="CO101" s="1" t="s">
        <v>55</v>
      </c>
      <c r="CP101" s="1" t="s">
        <v>56</v>
      </c>
      <c r="CQ101" s="1" t="s">
        <v>55</v>
      </c>
      <c r="CR101" s="1" t="s">
        <v>56</v>
      </c>
      <c r="CS101" s="1" t="s">
        <v>55</v>
      </c>
      <c r="CT101" s="1" t="s">
        <v>56</v>
      </c>
      <c r="CU101" s="1" t="s">
        <v>55</v>
      </c>
      <c r="CV101" s="1" t="s">
        <v>56</v>
      </c>
      <c r="CW101" s="1" t="s">
        <v>55</v>
      </c>
      <c r="CX101" s="1" t="s">
        <v>56</v>
      </c>
      <c r="CY101" s="1" t="s">
        <v>55</v>
      </c>
      <c r="CZ101" s="1" t="s">
        <v>56</v>
      </c>
      <c r="DA101" s="1" t="s">
        <v>55</v>
      </c>
      <c r="DB101" s="1" t="s">
        <v>56</v>
      </c>
      <c r="DC101" s="1" t="s">
        <v>55</v>
      </c>
      <c r="DD101" s="1" t="s">
        <v>56</v>
      </c>
      <c r="DE101" s="1" t="s">
        <v>55</v>
      </c>
      <c r="DF101" s="1" t="s">
        <v>56</v>
      </c>
      <c r="DG101" s="1" t="s">
        <v>55</v>
      </c>
      <c r="DH101" s="1" t="s">
        <v>56</v>
      </c>
      <c r="DI101" s="1" t="s">
        <v>55</v>
      </c>
      <c r="DJ101" s="1" t="s">
        <v>56</v>
      </c>
      <c r="DK101" s="1" t="s">
        <v>55</v>
      </c>
      <c r="DL101" s="1" t="s">
        <v>56</v>
      </c>
      <c r="DM101" s="1" t="s">
        <v>55</v>
      </c>
      <c r="DN101" s="1" t="s">
        <v>56</v>
      </c>
      <c r="DO101" s="1" t="s">
        <v>55</v>
      </c>
      <c r="DP101" s="1" t="s">
        <v>56</v>
      </c>
      <c r="DQ101" s="1" t="s">
        <v>55</v>
      </c>
      <c r="DR101" s="1" t="s">
        <v>56</v>
      </c>
      <c r="DS101" s="1" t="s">
        <v>55</v>
      </c>
      <c r="DT101" s="1" t="s">
        <v>56</v>
      </c>
      <c r="DU101" s="1" t="s">
        <v>55</v>
      </c>
      <c r="DV101" s="1" t="s">
        <v>56</v>
      </c>
      <c r="DW101" s="1" t="s">
        <v>55</v>
      </c>
      <c r="DX101" s="1" t="s">
        <v>56</v>
      </c>
      <c r="DY101" s="1" t="s">
        <v>55</v>
      </c>
      <c r="DZ101" s="1" t="s">
        <v>56</v>
      </c>
      <c r="EA101" s="1" t="s">
        <v>55</v>
      </c>
      <c r="EB101" s="1" t="s">
        <v>56</v>
      </c>
      <c r="EC101" s="1" t="s">
        <v>55</v>
      </c>
      <c r="ED101" s="1" t="s">
        <v>56</v>
      </c>
      <c r="EE101" s="1" t="s">
        <v>55</v>
      </c>
      <c r="EF101" s="1" t="s">
        <v>56</v>
      </c>
      <c r="EG101" s="1" t="s">
        <v>55</v>
      </c>
      <c r="EH101" s="1" t="s">
        <v>56</v>
      </c>
      <c r="EI101" s="1" t="s">
        <v>55</v>
      </c>
      <c r="EJ101" s="1" t="s">
        <v>56</v>
      </c>
      <c r="EK101" s="1" t="s">
        <v>55</v>
      </c>
      <c r="EL101" s="1" t="s">
        <v>56</v>
      </c>
      <c r="EM101" s="1" t="s">
        <v>55</v>
      </c>
      <c r="EN101" s="1" t="s">
        <v>56</v>
      </c>
      <c r="EO101" s="1" t="s">
        <v>55</v>
      </c>
      <c r="EP101" s="1" t="s">
        <v>56</v>
      </c>
      <c r="EQ101" s="1" t="s">
        <v>55</v>
      </c>
      <c r="ER101" s="1" t="s">
        <v>56</v>
      </c>
      <c r="ES101" s="1" t="s">
        <v>55</v>
      </c>
      <c r="ET101" s="1" t="s">
        <v>56</v>
      </c>
      <c r="EU101" s="1" t="s">
        <v>55</v>
      </c>
      <c r="EV101" s="1" t="s">
        <v>56</v>
      </c>
      <c r="EW101" s="1" t="s">
        <v>55</v>
      </c>
      <c r="EX101" s="1" t="s">
        <v>56</v>
      </c>
      <c r="EY101" s="1" t="s">
        <v>55</v>
      </c>
      <c r="EZ101" s="1" t="s">
        <v>56</v>
      </c>
      <c r="FA101" s="1" t="s">
        <v>55</v>
      </c>
      <c r="FB101" s="1" t="s">
        <v>56</v>
      </c>
      <c r="FC101" s="1" t="s">
        <v>55</v>
      </c>
      <c r="FD101" s="1" t="s">
        <v>56</v>
      </c>
      <c r="FE101" s="1" t="s">
        <v>55</v>
      </c>
      <c r="FF101" s="1" t="s">
        <v>56</v>
      </c>
      <c r="FG101" s="1" t="s">
        <v>55</v>
      </c>
      <c r="FH101" s="1" t="s">
        <v>56</v>
      </c>
      <c r="FI101" s="1" t="s">
        <v>55</v>
      </c>
      <c r="FJ101" s="1" t="s">
        <v>56</v>
      </c>
      <c r="FK101" s="1" t="s">
        <v>55</v>
      </c>
      <c r="FL101" s="1" t="s">
        <v>56</v>
      </c>
      <c r="FM101" s="1" t="s">
        <v>55</v>
      </c>
      <c r="FN101" s="1" t="s">
        <v>56</v>
      </c>
      <c r="FO101" s="1" t="s">
        <v>55</v>
      </c>
      <c r="FP101" s="1" t="s">
        <v>56</v>
      </c>
      <c r="FQ101" s="1" t="s">
        <v>55</v>
      </c>
      <c r="FR101" s="1" t="s">
        <v>56</v>
      </c>
      <c r="FS101" s="1" t="s">
        <v>55</v>
      </c>
      <c r="FT101" s="1" t="s">
        <v>56</v>
      </c>
      <c r="FU101" s="1" t="s">
        <v>55</v>
      </c>
      <c r="FV101" s="1" t="s">
        <v>56</v>
      </c>
      <c r="FW101" s="1" t="s">
        <v>55</v>
      </c>
      <c r="FX101" s="1" t="s">
        <v>56</v>
      </c>
      <c r="FY101" s="1" t="s">
        <v>55</v>
      </c>
      <c r="FZ101" s="1" t="s">
        <v>56</v>
      </c>
      <c r="GA101" s="1" t="s">
        <v>55</v>
      </c>
      <c r="GB101" s="1" t="s">
        <v>56</v>
      </c>
      <c r="GC101" s="1" t="s">
        <v>55</v>
      </c>
      <c r="GD101" s="1" t="s">
        <v>56</v>
      </c>
      <c r="GE101" s="1" t="s">
        <v>55</v>
      </c>
      <c r="GF101" s="1" t="s">
        <v>56</v>
      </c>
      <c r="GG101" s="1" t="s">
        <v>55</v>
      </c>
      <c r="GH101" s="1" t="s">
        <v>56</v>
      </c>
      <c r="GI101" s="1" t="s">
        <v>55</v>
      </c>
      <c r="GJ101" s="1" t="s">
        <v>56</v>
      </c>
      <c r="GK101" s="1" t="s">
        <v>55</v>
      </c>
      <c r="GL101" s="1" t="s">
        <v>56</v>
      </c>
      <c r="GM101" s="1" t="s">
        <v>55</v>
      </c>
      <c r="GN101" s="1" t="s">
        <v>56</v>
      </c>
      <c r="GO101" s="1" t="s">
        <v>55</v>
      </c>
      <c r="GP101" s="1" t="s">
        <v>56</v>
      </c>
      <c r="GQ101" s="1" t="s">
        <v>55</v>
      </c>
      <c r="GR101" s="1" t="s">
        <v>56</v>
      </c>
      <c r="GS101" s="1" t="s">
        <v>55</v>
      </c>
      <c r="GT101" s="1" t="s">
        <v>56</v>
      </c>
      <c r="GU101" s="1" t="s">
        <v>55</v>
      </c>
      <c r="GV101" s="17" t="s">
        <v>56</v>
      </c>
      <c r="GW101" s="17" t="s">
        <v>55</v>
      </c>
      <c r="GX101" s="1" t="s">
        <v>56</v>
      </c>
      <c r="GY101" s="1" t="s">
        <v>55</v>
      </c>
      <c r="GZ101" s="17" t="s">
        <v>56</v>
      </c>
      <c r="HA101" s="17" t="s">
        <v>55</v>
      </c>
      <c r="HB101" s="17" t="s">
        <v>56</v>
      </c>
      <c r="HC101" s="17" t="s">
        <v>55</v>
      </c>
      <c r="HD101" s="17" t="s">
        <v>56</v>
      </c>
      <c r="HE101" s="17" t="s">
        <v>55</v>
      </c>
      <c r="HF101" s="17" t="s">
        <v>56</v>
      </c>
      <c r="HG101" s="17" t="s">
        <v>55</v>
      </c>
      <c r="HH101" s="17" t="s">
        <v>56</v>
      </c>
      <c r="HI101" s="17" t="s">
        <v>55</v>
      </c>
      <c r="HJ101" s="17" t="s">
        <v>56</v>
      </c>
      <c r="HK101" s="17" t="s">
        <v>55</v>
      </c>
      <c r="HL101" s="17" t="s">
        <v>56</v>
      </c>
      <c r="HM101" s="17" t="s">
        <v>55</v>
      </c>
      <c r="HN101" s="17" t="s">
        <v>56</v>
      </c>
      <c r="HO101" s="17" t="s">
        <v>55</v>
      </c>
      <c r="HP101" s="17" t="s">
        <v>56</v>
      </c>
      <c r="HQ101" s="17" t="s">
        <v>55</v>
      </c>
      <c r="HR101" s="17" t="s">
        <v>56</v>
      </c>
      <c r="HS101" s="17" t="s">
        <v>55</v>
      </c>
      <c r="HT101" s="17" t="s">
        <v>56</v>
      </c>
      <c r="HU101" s="17" t="s">
        <v>55</v>
      </c>
      <c r="HV101" s="17" t="s">
        <v>56</v>
      </c>
      <c r="HW101" s="17" t="s">
        <v>55</v>
      </c>
      <c r="HX101" s="17" t="s">
        <v>56</v>
      </c>
      <c r="HY101" s="17" t="s">
        <v>55</v>
      </c>
      <c r="HZ101" s="17" t="s">
        <v>56</v>
      </c>
      <c r="IA101" s="17" t="s">
        <v>55</v>
      </c>
      <c r="IB101" s="17" t="s">
        <v>56</v>
      </c>
      <c r="IC101" s="17" t="s">
        <v>55</v>
      </c>
      <c r="ID101" s="17" t="s">
        <v>56</v>
      </c>
      <c r="IE101" s="17" t="s">
        <v>55</v>
      </c>
      <c r="IF101" s="17" t="s">
        <v>56</v>
      </c>
      <c r="IG101" s="17" t="s">
        <v>55</v>
      </c>
      <c r="IH101" s="17" t="s">
        <v>56</v>
      </c>
      <c r="II101" s="17" t="s">
        <v>55</v>
      </c>
      <c r="IJ101" s="17" t="s">
        <v>56</v>
      </c>
      <c r="IK101" s="17" t="s">
        <v>55</v>
      </c>
      <c r="IL101" s="17" t="s">
        <v>56</v>
      </c>
      <c r="IM101" s="17" t="s">
        <v>55</v>
      </c>
      <c r="IN101" s="17" t="s">
        <v>56</v>
      </c>
      <c r="IO101" s="17" t="s">
        <v>55</v>
      </c>
      <c r="IP101" s="17" t="s">
        <v>56</v>
      </c>
      <c r="IQ101" s="17" t="s">
        <v>55</v>
      </c>
      <c r="IR101" s="17" t="s">
        <v>56</v>
      </c>
      <c r="IS101" s="17" t="s">
        <v>55</v>
      </c>
      <c r="IT101" s="17" t="s">
        <v>56</v>
      </c>
      <c r="IU101" s="17" t="s">
        <v>55</v>
      </c>
      <c r="IV101" s="17" t="s">
        <v>56</v>
      </c>
      <c r="IW101" s="17" t="s">
        <v>55</v>
      </c>
      <c r="IX101" s="4">
        <f>0.2*1000</f>
        <v>200</v>
      </c>
      <c r="IY101" s="4" t="s">
        <v>55</v>
      </c>
      <c r="IZ101" s="4">
        <f>0.1*1000</f>
        <v>100</v>
      </c>
      <c r="JA101" s="4" t="s">
        <v>55</v>
      </c>
      <c r="JB101" s="4">
        <f>0.14*1000</f>
        <v>140</v>
      </c>
      <c r="JC101" s="4" t="s">
        <v>55</v>
      </c>
      <c r="JD101" s="4">
        <f>0.06*1000</f>
        <v>60</v>
      </c>
      <c r="JE101" s="4" t="s">
        <v>55</v>
      </c>
      <c r="JF101" s="4">
        <v>2.1000000000000001E-2</v>
      </c>
      <c r="JG101" s="4" t="s">
        <v>55</v>
      </c>
      <c r="JH101" s="4">
        <v>0.01</v>
      </c>
      <c r="JI101" s="4" t="s">
        <v>55</v>
      </c>
      <c r="JJ101" s="4">
        <v>0.02</v>
      </c>
      <c r="JK101" s="4" t="s">
        <v>55</v>
      </c>
      <c r="JL101" s="4">
        <v>3.5999999999999997E-2</v>
      </c>
      <c r="JM101" s="4" t="s">
        <v>55</v>
      </c>
      <c r="JN101" s="4">
        <v>2.4E-2</v>
      </c>
      <c r="JO101" s="4" t="s">
        <v>55</v>
      </c>
      <c r="JP101" s="4">
        <v>2.7E-2</v>
      </c>
      <c r="JQ101" s="4" t="s">
        <v>55</v>
      </c>
      <c r="JR101" s="4">
        <v>7.3999999999999996E-2</v>
      </c>
      <c r="JS101" s="4" t="s">
        <v>55</v>
      </c>
      <c r="JT101" s="4">
        <v>3.4000000000000002E-2</v>
      </c>
      <c r="JU101" s="4" t="s">
        <v>55</v>
      </c>
      <c r="JV101" s="4" t="s">
        <v>54</v>
      </c>
      <c r="JW101" s="4" t="s">
        <v>55</v>
      </c>
      <c r="JX101" s="26">
        <v>23105.049131119817</v>
      </c>
      <c r="JY101" s="26">
        <v>4642.3122641869313</v>
      </c>
      <c r="JZ101" s="26">
        <v>23753.991589397996</v>
      </c>
      <c r="KA101" s="26">
        <v>9395.6427196457207</v>
      </c>
      <c r="KB101" s="26">
        <v>48629.675708901574</v>
      </c>
      <c r="KC101" s="26">
        <v>26144.027007518464</v>
      </c>
      <c r="KD101" s="26">
        <v>37438.412623808974</v>
      </c>
      <c r="KE101" s="26">
        <v>11367.717929838493</v>
      </c>
      <c r="KF101" s="26">
        <v>108422.03912664282</v>
      </c>
      <c r="KG101" s="26">
        <v>18651.908245236438</v>
      </c>
      <c r="KH101" s="4">
        <f>40.7*1000</f>
        <v>40700</v>
      </c>
      <c r="KI101" s="4">
        <f>4.8*1000</f>
        <v>4800</v>
      </c>
      <c r="KJ101" s="4">
        <f>59.9*1000</f>
        <v>59900</v>
      </c>
      <c r="KK101" s="4">
        <f>6.1*1000</f>
        <v>6100</v>
      </c>
      <c r="KL101" s="4">
        <f>25.7*1000</f>
        <v>25700</v>
      </c>
      <c r="KM101" s="4">
        <f>2.8*1000</f>
        <v>2800</v>
      </c>
      <c r="KN101" s="4">
        <f>20.1*1000</f>
        <v>20100</v>
      </c>
      <c r="KO101" s="4">
        <f>2.7*1000</f>
        <v>2700</v>
      </c>
      <c r="KP101" s="4">
        <f>94.4*1000</f>
        <v>94400</v>
      </c>
      <c r="KQ101" s="4">
        <f>9.1*1000</f>
        <v>9100</v>
      </c>
      <c r="KR101" s="17" t="s">
        <v>56</v>
      </c>
      <c r="KS101" s="17" t="s">
        <v>55</v>
      </c>
      <c r="KT101" s="17" t="s">
        <v>56</v>
      </c>
      <c r="KU101" s="17" t="s">
        <v>55</v>
      </c>
      <c r="KV101" s="17" t="s">
        <v>56</v>
      </c>
      <c r="KW101" s="17" t="s">
        <v>55</v>
      </c>
      <c r="KX101" s="17" t="s">
        <v>56</v>
      </c>
      <c r="KY101" s="17" t="s">
        <v>55</v>
      </c>
      <c r="KZ101" s="17" t="s">
        <v>56</v>
      </c>
      <c r="LA101" s="17" t="s">
        <v>55</v>
      </c>
      <c r="LB101" s="10">
        <f>((1.17/100)*1000000000)/E101</f>
        <v>75410.89268449886</v>
      </c>
      <c r="LC101" s="10">
        <f>((0.04/100)*1000000000)/E101</f>
        <v>2578.1501772478246</v>
      </c>
      <c r="LD101" s="10" t="s">
        <v>56</v>
      </c>
      <c r="LE101" s="10" t="s">
        <v>55</v>
      </c>
      <c r="LF101" s="10" t="s">
        <v>56</v>
      </c>
      <c r="LG101" s="10" t="s">
        <v>55</v>
      </c>
      <c r="LH101" s="10" t="s">
        <v>56</v>
      </c>
      <c r="LI101" s="10" t="s">
        <v>55</v>
      </c>
      <c r="LJ101" s="10">
        <f>((1.22/100)*1000000000)/E101</f>
        <v>78633.580406058638</v>
      </c>
      <c r="LK101" s="10" t="s">
        <v>162</v>
      </c>
      <c r="LL101" s="10" t="s">
        <v>57</v>
      </c>
      <c r="LM101" s="10" t="s">
        <v>55</v>
      </c>
      <c r="LN101" s="10">
        <f>((2.06/100)*1000000000)/E101</f>
        <v>132774.73412826296</v>
      </c>
      <c r="LO101" s="10" t="s">
        <v>162</v>
      </c>
      <c r="LP101" s="10">
        <f>((15.6/100)*1000000000)/E101</f>
        <v>1005478.5691266516</v>
      </c>
      <c r="LQ101" s="10" t="s">
        <v>55</v>
      </c>
      <c r="LR101" s="10">
        <f>((2.72/100)*1000000000)/E101</f>
        <v>175314.21205285209</v>
      </c>
      <c r="LS101" s="10" t="s">
        <v>55</v>
      </c>
      <c r="LT101" s="10">
        <f>((1.44/100)*1000000000)/E101</f>
        <v>92813.40638092169</v>
      </c>
      <c r="LU101" s="10" t="s">
        <v>55</v>
      </c>
      <c r="LV101" s="10">
        <f>((65/100)*1000000)/E101</f>
        <v>4189.4940380277149</v>
      </c>
      <c r="LW101" s="10" t="s">
        <v>55</v>
      </c>
      <c r="LX101" s="10">
        <f>((54/100)*1000000)/E101</f>
        <v>3480.5027392845632</v>
      </c>
      <c r="LY101" s="10" t="s">
        <v>55</v>
      </c>
      <c r="LZ101" s="10">
        <f>((58/100)*1000000)/E101</f>
        <v>3738.3177570093458</v>
      </c>
      <c r="MA101" s="10" t="s">
        <v>55</v>
      </c>
      <c r="MB101" s="10">
        <f>((56/100)*1000000)/E101</f>
        <v>3609.4102481469545</v>
      </c>
      <c r="MC101" s="10" t="s">
        <v>55</v>
      </c>
      <c r="MD101" s="4">
        <v>2487</v>
      </c>
      <c r="ME101" s="4" t="s">
        <v>55</v>
      </c>
      <c r="MF101" s="4">
        <v>2765</v>
      </c>
      <c r="MG101" s="4" t="s">
        <v>55</v>
      </c>
      <c r="MH101" s="4">
        <v>2714</v>
      </c>
      <c r="MI101" s="4" t="s">
        <v>55</v>
      </c>
      <c r="MJ101" s="4">
        <v>2604</v>
      </c>
      <c r="MK101" s="4" t="s">
        <v>55</v>
      </c>
      <c r="ML101" s="4">
        <v>2847</v>
      </c>
      <c r="MM101" s="4" t="s">
        <v>55</v>
      </c>
      <c r="MN101" s="4">
        <v>3438</v>
      </c>
      <c r="MO101" s="4" t="s">
        <v>55</v>
      </c>
      <c r="MP101" s="4">
        <v>3462</v>
      </c>
      <c r="MQ101" s="4" t="s">
        <v>55</v>
      </c>
      <c r="MR101" s="4">
        <v>3144</v>
      </c>
      <c r="MS101" s="4" t="s">
        <v>55</v>
      </c>
      <c r="MT101" s="4">
        <v>3250</v>
      </c>
      <c r="MU101" s="4" t="s">
        <v>55</v>
      </c>
      <c r="MV101" s="4">
        <v>2540</v>
      </c>
      <c r="MW101" s="4" t="s">
        <v>55</v>
      </c>
      <c r="MX101" s="4">
        <v>2320</v>
      </c>
      <c r="MY101" s="4" t="s">
        <v>55</v>
      </c>
      <c r="MZ101" s="4">
        <v>2646</v>
      </c>
      <c r="NA101" s="4" t="s">
        <v>55</v>
      </c>
      <c r="NB101" s="10">
        <f>(0.12*1000000)/E101</f>
        <v>773.44505317434732</v>
      </c>
      <c r="NC101" s="10" t="s">
        <v>55</v>
      </c>
      <c r="ND101" s="10">
        <f>(0.235*1000000)/E101</f>
        <v>1514.663229133097</v>
      </c>
      <c r="NE101" s="10" t="s">
        <v>55</v>
      </c>
      <c r="NF101" s="10">
        <f>(0.18*1000000)/E101</f>
        <v>1160.167579761521</v>
      </c>
      <c r="NG101" s="10" t="s">
        <v>55</v>
      </c>
      <c r="NH101" s="10">
        <f>(2.84*1000000)/E101</f>
        <v>18304.866258459555</v>
      </c>
      <c r="NI101" s="10" t="s">
        <v>55</v>
      </c>
      <c r="NJ101" s="10">
        <f>(22.2*1000000)/E101</f>
        <v>143087.33483725425</v>
      </c>
      <c r="NK101" s="10" t="s">
        <v>55</v>
      </c>
      <c r="NL101" s="10">
        <f>(1.44*1000000)/E101</f>
        <v>9281.3406380921679</v>
      </c>
      <c r="NM101" s="4" t="s">
        <v>55</v>
      </c>
      <c r="NN101" s="4">
        <f>((2.84/100)*1000000)/E101</f>
        <v>183.04866258459552</v>
      </c>
      <c r="NO101" s="4" t="s">
        <v>55</v>
      </c>
      <c r="NP101" s="4">
        <f>(5.7*1000000)/E101</f>
        <v>36738.640025781504</v>
      </c>
      <c r="NQ101" s="4">
        <f>(0.85*1000000)/E101</f>
        <v>5478.5691266516269</v>
      </c>
      <c r="NR101" s="10" t="s">
        <v>56</v>
      </c>
      <c r="NS101" s="10" t="s">
        <v>55</v>
      </c>
      <c r="NT101" s="10" t="s">
        <v>56</v>
      </c>
      <c r="NU101" s="10" t="s">
        <v>55</v>
      </c>
    </row>
    <row r="102" spans="1:385" x14ac:dyDescent="0.2">
      <c r="A102" t="s">
        <v>34</v>
      </c>
      <c r="B102" s="1" t="s">
        <v>1037</v>
      </c>
      <c r="C102" s="1" t="s">
        <v>858</v>
      </c>
      <c r="D102" s="39" cm="1">
        <f t="array" ref="D102">SUMPRODUCT((ISNUMBER(F102:NU102))*(MOD(COLUMN(F102:NU102),2)=0))</f>
        <v>5</v>
      </c>
      <c r="E102" s="1">
        <v>174.2</v>
      </c>
      <c r="F102" s="1" t="s">
        <v>56</v>
      </c>
      <c r="G102" s="1" t="s">
        <v>55</v>
      </c>
      <c r="H102" s="1" t="s">
        <v>56</v>
      </c>
      <c r="I102" s="1" t="s">
        <v>55</v>
      </c>
      <c r="J102" s="1" t="s">
        <v>56</v>
      </c>
      <c r="K102" s="1" t="s">
        <v>55</v>
      </c>
      <c r="L102" s="1" t="s">
        <v>56</v>
      </c>
      <c r="M102" s="1" t="s">
        <v>55</v>
      </c>
      <c r="N102" s="1" t="s">
        <v>56</v>
      </c>
      <c r="O102" s="1" t="s">
        <v>55</v>
      </c>
      <c r="P102" s="1" t="s">
        <v>56</v>
      </c>
      <c r="Q102" s="1" t="s">
        <v>55</v>
      </c>
      <c r="R102" s="1" t="s">
        <v>56</v>
      </c>
      <c r="S102" s="1" t="s">
        <v>55</v>
      </c>
      <c r="T102" s="1" t="s">
        <v>56</v>
      </c>
      <c r="U102" s="1" t="s">
        <v>55</v>
      </c>
      <c r="V102" s="1" t="s">
        <v>56</v>
      </c>
      <c r="W102" s="1" t="s">
        <v>55</v>
      </c>
      <c r="X102" s="1" t="s">
        <v>56</v>
      </c>
      <c r="Y102" s="1" t="s">
        <v>55</v>
      </c>
      <c r="Z102" s="1" t="s">
        <v>56</v>
      </c>
      <c r="AA102" s="1" t="s">
        <v>55</v>
      </c>
      <c r="AB102" s="1" t="s">
        <v>56</v>
      </c>
      <c r="AC102" s="1" t="s">
        <v>55</v>
      </c>
      <c r="AD102" s="1" t="s">
        <v>56</v>
      </c>
      <c r="AE102" s="1" t="s">
        <v>55</v>
      </c>
      <c r="AF102" s="4" t="s">
        <v>56</v>
      </c>
      <c r="AG102" s="4" t="s">
        <v>55</v>
      </c>
      <c r="AH102" s="4" t="s">
        <v>56</v>
      </c>
      <c r="AI102" s="4" t="s">
        <v>55</v>
      </c>
      <c r="AJ102" s="4" t="s">
        <v>56</v>
      </c>
      <c r="AK102" s="4" t="s">
        <v>55</v>
      </c>
      <c r="AL102" s="4" t="s">
        <v>56</v>
      </c>
      <c r="AM102" s="4" t="s">
        <v>55</v>
      </c>
      <c r="AN102" s="17" t="s">
        <v>56</v>
      </c>
      <c r="AO102" s="1" t="s">
        <v>55</v>
      </c>
      <c r="AP102" s="11" t="s">
        <v>56</v>
      </c>
      <c r="AQ102" s="11" t="s">
        <v>55</v>
      </c>
      <c r="AR102" s="10" t="s">
        <v>56</v>
      </c>
      <c r="AS102" s="10" t="s">
        <v>55</v>
      </c>
      <c r="AT102" s="4" t="s">
        <v>56</v>
      </c>
      <c r="AU102" s="4" t="s">
        <v>55</v>
      </c>
      <c r="AV102" s="4" t="s">
        <v>56</v>
      </c>
      <c r="AW102" s="4" t="s">
        <v>55</v>
      </c>
      <c r="AX102" s="4" t="s">
        <v>56</v>
      </c>
      <c r="AY102" s="4" t="s">
        <v>55</v>
      </c>
      <c r="AZ102" s="4" t="s">
        <v>56</v>
      </c>
      <c r="BA102" s="4" t="s">
        <v>55</v>
      </c>
      <c r="BB102" s="4" t="s">
        <v>56</v>
      </c>
      <c r="BC102" s="4" t="s">
        <v>55</v>
      </c>
      <c r="BD102" s="4" t="s">
        <v>56</v>
      </c>
      <c r="BE102" s="1" t="s">
        <v>55</v>
      </c>
      <c r="BF102" s="1" t="s">
        <v>56</v>
      </c>
      <c r="BG102" s="1" t="s">
        <v>55</v>
      </c>
      <c r="BH102" s="1" t="s">
        <v>56</v>
      </c>
      <c r="BI102" s="1" t="s">
        <v>55</v>
      </c>
      <c r="BJ102" s="1" t="s">
        <v>56</v>
      </c>
      <c r="BK102" s="1" t="s">
        <v>55</v>
      </c>
      <c r="BL102" s="4" t="s">
        <v>56</v>
      </c>
      <c r="BM102" s="4" t="s">
        <v>55</v>
      </c>
      <c r="BN102" s="4" t="s">
        <v>56</v>
      </c>
      <c r="BO102" s="4" t="s">
        <v>55</v>
      </c>
      <c r="BP102" s="4" t="s">
        <v>56</v>
      </c>
      <c r="BQ102" s="4" t="s">
        <v>55</v>
      </c>
      <c r="BR102" s="4" t="s">
        <v>56</v>
      </c>
      <c r="BS102" s="4" t="s">
        <v>162</v>
      </c>
      <c r="BT102" s="4" t="s">
        <v>56</v>
      </c>
      <c r="BU102" s="4" t="s">
        <v>55</v>
      </c>
      <c r="BV102" s="4" t="s">
        <v>56</v>
      </c>
      <c r="BW102" s="4" t="s">
        <v>55</v>
      </c>
      <c r="BX102" s="4" t="s">
        <v>56</v>
      </c>
      <c r="BY102" s="4" t="s">
        <v>55</v>
      </c>
      <c r="BZ102" s="4" t="s">
        <v>56</v>
      </c>
      <c r="CA102" s="4" t="s">
        <v>55</v>
      </c>
      <c r="CB102" s="4" t="s">
        <v>56</v>
      </c>
      <c r="CC102" s="4" t="s">
        <v>55</v>
      </c>
      <c r="CD102" s="4" t="s">
        <v>56</v>
      </c>
      <c r="CE102" s="4" t="s">
        <v>55</v>
      </c>
      <c r="CF102" s="4" t="s">
        <v>56</v>
      </c>
      <c r="CG102" s="4" t="s">
        <v>55</v>
      </c>
      <c r="CH102" s="4" t="s">
        <v>56</v>
      </c>
      <c r="CI102" s="4" t="s">
        <v>55</v>
      </c>
      <c r="CJ102" s="4" t="s">
        <v>56</v>
      </c>
      <c r="CK102" s="4" t="s">
        <v>55</v>
      </c>
      <c r="CL102" s="4" t="s">
        <v>56</v>
      </c>
      <c r="CM102" s="4" t="s">
        <v>55</v>
      </c>
      <c r="CN102" s="4" t="s">
        <v>56</v>
      </c>
      <c r="CO102" s="4" t="s">
        <v>55</v>
      </c>
      <c r="CP102" s="4" t="s">
        <v>56</v>
      </c>
      <c r="CQ102" s="4" t="s">
        <v>55</v>
      </c>
      <c r="CR102" s="4" t="s">
        <v>56</v>
      </c>
      <c r="CS102" s="4" t="s">
        <v>55</v>
      </c>
      <c r="CT102" s="4" t="s">
        <v>56</v>
      </c>
      <c r="CU102" s="4" t="s">
        <v>55</v>
      </c>
      <c r="CV102" s="4" t="s">
        <v>56</v>
      </c>
      <c r="CW102" s="4" t="s">
        <v>55</v>
      </c>
      <c r="CX102" s="4" t="s">
        <v>56</v>
      </c>
      <c r="CY102" s="4" t="s">
        <v>55</v>
      </c>
      <c r="CZ102" s="4" t="s">
        <v>56</v>
      </c>
      <c r="DA102" s="4" t="s">
        <v>55</v>
      </c>
      <c r="DB102" s="4" t="s">
        <v>56</v>
      </c>
      <c r="DC102" s="4" t="s">
        <v>55</v>
      </c>
      <c r="DD102" s="4" t="s">
        <v>56</v>
      </c>
      <c r="DE102" s="4" t="s">
        <v>55</v>
      </c>
      <c r="DF102" s="4" t="s">
        <v>56</v>
      </c>
      <c r="DG102" s="4" t="s">
        <v>55</v>
      </c>
      <c r="DH102" s="10" t="s">
        <v>56</v>
      </c>
      <c r="DI102" s="10" t="s">
        <v>55</v>
      </c>
      <c r="DJ102" s="10" t="s">
        <v>56</v>
      </c>
      <c r="DK102" s="10" t="s">
        <v>55</v>
      </c>
      <c r="DL102" s="10" t="s">
        <v>56</v>
      </c>
      <c r="DM102" s="10" t="s">
        <v>55</v>
      </c>
      <c r="DN102" s="10" t="s">
        <v>56</v>
      </c>
      <c r="DO102" s="10" t="s">
        <v>55</v>
      </c>
      <c r="DP102" s="10" t="s">
        <v>56</v>
      </c>
      <c r="DQ102" s="10" t="s">
        <v>55</v>
      </c>
      <c r="DR102" s="10" t="s">
        <v>56</v>
      </c>
      <c r="DS102" s="10" t="s">
        <v>55</v>
      </c>
      <c r="DT102" s="10" t="s">
        <v>56</v>
      </c>
      <c r="DU102" s="10" t="s">
        <v>55</v>
      </c>
      <c r="DV102" s="10" t="s">
        <v>56</v>
      </c>
      <c r="DW102" s="10" t="s">
        <v>55</v>
      </c>
      <c r="DX102" s="10" t="s">
        <v>56</v>
      </c>
      <c r="DY102" s="10" t="s">
        <v>55</v>
      </c>
      <c r="DZ102" s="10" t="s">
        <v>56</v>
      </c>
      <c r="EA102" s="10" t="s">
        <v>55</v>
      </c>
      <c r="EB102" s="10" t="s">
        <v>56</v>
      </c>
      <c r="EC102" s="10" t="s">
        <v>55</v>
      </c>
      <c r="ED102" s="10" t="s">
        <v>56</v>
      </c>
      <c r="EE102" s="10" t="s">
        <v>55</v>
      </c>
      <c r="EF102" s="10" t="s">
        <v>56</v>
      </c>
      <c r="EG102" s="10" t="s">
        <v>55</v>
      </c>
      <c r="EH102" s="10" t="s">
        <v>56</v>
      </c>
      <c r="EI102" s="10" t="s">
        <v>55</v>
      </c>
      <c r="EJ102" s="10" t="s">
        <v>56</v>
      </c>
      <c r="EK102" s="10" t="s">
        <v>55</v>
      </c>
      <c r="EL102" s="10" t="s">
        <v>56</v>
      </c>
      <c r="EM102" s="10" t="s">
        <v>55</v>
      </c>
      <c r="EN102" s="10" t="s">
        <v>56</v>
      </c>
      <c r="EO102" s="10" t="s">
        <v>55</v>
      </c>
      <c r="EP102" s="10" t="s">
        <v>56</v>
      </c>
      <c r="EQ102" s="10" t="s">
        <v>55</v>
      </c>
      <c r="ER102" s="10" t="s">
        <v>56</v>
      </c>
      <c r="ES102" s="10" t="s">
        <v>55</v>
      </c>
      <c r="ET102" s="10" t="s">
        <v>56</v>
      </c>
      <c r="EU102" s="10" t="s">
        <v>55</v>
      </c>
      <c r="EV102" s="10" t="s">
        <v>56</v>
      </c>
      <c r="EW102" s="10" t="s">
        <v>55</v>
      </c>
      <c r="EX102" s="10" t="s">
        <v>56</v>
      </c>
      <c r="EY102" s="10" t="s">
        <v>55</v>
      </c>
      <c r="EZ102" s="10" t="s">
        <v>56</v>
      </c>
      <c r="FA102" s="10" t="s">
        <v>55</v>
      </c>
      <c r="FB102" s="10" t="s">
        <v>56</v>
      </c>
      <c r="FC102" s="10" t="s">
        <v>55</v>
      </c>
      <c r="FD102" s="10" t="s">
        <v>56</v>
      </c>
      <c r="FE102" s="10" t="s">
        <v>55</v>
      </c>
      <c r="FF102" s="10" t="s">
        <v>56</v>
      </c>
      <c r="FG102" s="10" t="s">
        <v>55</v>
      </c>
      <c r="FH102" s="10" t="s">
        <v>56</v>
      </c>
      <c r="FI102" s="10" t="s">
        <v>55</v>
      </c>
      <c r="FJ102" s="10" t="s">
        <v>56</v>
      </c>
      <c r="FK102" s="10" t="s">
        <v>55</v>
      </c>
      <c r="FL102" s="10" t="s">
        <v>56</v>
      </c>
      <c r="FM102" s="10" t="s">
        <v>55</v>
      </c>
      <c r="FN102" s="10" t="s">
        <v>56</v>
      </c>
      <c r="FO102" s="10" t="s">
        <v>55</v>
      </c>
      <c r="FP102" s="10" t="s">
        <v>56</v>
      </c>
      <c r="FQ102" s="10" t="s">
        <v>55</v>
      </c>
      <c r="FR102" s="10" t="s">
        <v>56</v>
      </c>
      <c r="FS102" s="10" t="s">
        <v>55</v>
      </c>
      <c r="FT102" s="10" t="s">
        <v>56</v>
      </c>
      <c r="FU102" s="10" t="s">
        <v>55</v>
      </c>
      <c r="FV102" s="10" t="s">
        <v>56</v>
      </c>
      <c r="FW102" s="10" t="s">
        <v>55</v>
      </c>
      <c r="FX102" s="10" t="s">
        <v>56</v>
      </c>
      <c r="FY102" s="10" t="s">
        <v>55</v>
      </c>
      <c r="FZ102" s="10" t="s">
        <v>56</v>
      </c>
      <c r="GA102" s="10" t="s">
        <v>55</v>
      </c>
      <c r="GB102" s="10" t="s">
        <v>56</v>
      </c>
      <c r="GC102" s="10" t="s">
        <v>55</v>
      </c>
      <c r="GD102" s="10" t="s">
        <v>56</v>
      </c>
      <c r="GE102" s="10" t="s">
        <v>55</v>
      </c>
      <c r="GF102" s="10" t="s">
        <v>56</v>
      </c>
      <c r="GG102" s="10" t="s">
        <v>55</v>
      </c>
      <c r="GH102" s="10" t="s">
        <v>56</v>
      </c>
      <c r="GI102" s="10" t="s">
        <v>55</v>
      </c>
      <c r="GJ102" s="10" t="s">
        <v>56</v>
      </c>
      <c r="GK102" s="10" t="s">
        <v>55</v>
      </c>
      <c r="GL102" s="10" t="s">
        <v>56</v>
      </c>
      <c r="GM102" s="10" t="s">
        <v>55</v>
      </c>
      <c r="GN102" s="10" t="s">
        <v>56</v>
      </c>
      <c r="GO102" s="10" t="s">
        <v>55</v>
      </c>
      <c r="GP102" s="10" t="s">
        <v>56</v>
      </c>
      <c r="GQ102" s="10" t="s">
        <v>55</v>
      </c>
      <c r="GR102" s="10" t="s">
        <v>56</v>
      </c>
      <c r="GS102" s="10" t="s">
        <v>55</v>
      </c>
      <c r="GT102" s="10" t="s">
        <v>56</v>
      </c>
      <c r="GU102" s="10" t="s">
        <v>55</v>
      </c>
      <c r="GV102" s="17" t="s">
        <v>56</v>
      </c>
      <c r="GW102" s="17" t="s">
        <v>55</v>
      </c>
      <c r="GX102" s="10" t="s">
        <v>56</v>
      </c>
      <c r="GY102" s="10" t="s">
        <v>55</v>
      </c>
      <c r="GZ102" s="10" t="s">
        <v>56</v>
      </c>
      <c r="HA102" s="10" t="s">
        <v>55</v>
      </c>
      <c r="HB102" s="10" t="s">
        <v>56</v>
      </c>
      <c r="HC102" s="10" t="s">
        <v>55</v>
      </c>
      <c r="HD102" s="10" t="s">
        <v>56</v>
      </c>
      <c r="HE102" s="10" t="s">
        <v>55</v>
      </c>
      <c r="HF102" s="10" t="s">
        <v>56</v>
      </c>
      <c r="HG102" s="10" t="s">
        <v>55</v>
      </c>
      <c r="HH102" s="10" t="s">
        <v>56</v>
      </c>
      <c r="HI102" s="10" t="s">
        <v>55</v>
      </c>
      <c r="HJ102" s="10" t="s">
        <v>56</v>
      </c>
      <c r="HK102" s="10" t="s">
        <v>55</v>
      </c>
      <c r="HL102" s="10" t="s">
        <v>56</v>
      </c>
      <c r="HM102" s="10" t="s">
        <v>55</v>
      </c>
      <c r="HN102" s="10" t="s">
        <v>56</v>
      </c>
      <c r="HO102" s="10" t="s">
        <v>55</v>
      </c>
      <c r="HP102" s="10" t="s">
        <v>56</v>
      </c>
      <c r="HQ102" s="10" t="s">
        <v>55</v>
      </c>
      <c r="HR102" s="10" t="s">
        <v>56</v>
      </c>
      <c r="HS102" s="10" t="s">
        <v>55</v>
      </c>
      <c r="HT102" s="10" t="s">
        <v>56</v>
      </c>
      <c r="HU102" s="10" t="s">
        <v>55</v>
      </c>
      <c r="HV102" s="10" t="s">
        <v>56</v>
      </c>
      <c r="HW102" s="10" t="s">
        <v>55</v>
      </c>
      <c r="HX102" s="10" t="s">
        <v>56</v>
      </c>
      <c r="HY102" s="10" t="s">
        <v>55</v>
      </c>
      <c r="HZ102" s="10" t="s">
        <v>56</v>
      </c>
      <c r="IA102" s="10" t="s">
        <v>55</v>
      </c>
      <c r="IB102" s="10" t="s">
        <v>56</v>
      </c>
      <c r="IC102" s="10" t="s">
        <v>55</v>
      </c>
      <c r="ID102" s="1" t="s">
        <v>56</v>
      </c>
      <c r="IE102" s="1" t="s">
        <v>55</v>
      </c>
      <c r="IF102" s="4" t="s">
        <v>56</v>
      </c>
      <c r="IG102" s="4" t="s">
        <v>55</v>
      </c>
      <c r="IH102" s="4" t="s">
        <v>56</v>
      </c>
      <c r="II102" s="4" t="s">
        <v>55</v>
      </c>
      <c r="IJ102" s="4" t="s">
        <v>56</v>
      </c>
      <c r="IK102" s="4" t="s">
        <v>55</v>
      </c>
      <c r="IL102" s="4" t="s">
        <v>56</v>
      </c>
      <c r="IM102" s="4" t="s">
        <v>55</v>
      </c>
      <c r="IN102" s="4" t="s">
        <v>56</v>
      </c>
      <c r="IO102" s="4" t="s">
        <v>55</v>
      </c>
      <c r="IP102" s="4" t="s">
        <v>56</v>
      </c>
      <c r="IQ102" s="4" t="s">
        <v>55</v>
      </c>
      <c r="IR102" s="4" t="s">
        <v>56</v>
      </c>
      <c r="IS102" s="4" t="s">
        <v>55</v>
      </c>
      <c r="IT102" s="18" t="s">
        <v>56</v>
      </c>
      <c r="IU102" s="18" t="s">
        <v>55</v>
      </c>
      <c r="IV102" s="18" t="s">
        <v>56</v>
      </c>
      <c r="IW102" s="18" t="s">
        <v>55</v>
      </c>
      <c r="IX102" s="18" t="s">
        <v>56</v>
      </c>
      <c r="IY102" s="18" t="s">
        <v>55</v>
      </c>
      <c r="IZ102" s="18" t="s">
        <v>56</v>
      </c>
      <c r="JA102" s="18" t="s">
        <v>55</v>
      </c>
      <c r="JB102" s="18" t="s">
        <v>56</v>
      </c>
      <c r="JC102" s="18" t="s">
        <v>55</v>
      </c>
      <c r="JD102" s="18" t="s">
        <v>56</v>
      </c>
      <c r="JE102" s="18" t="s">
        <v>55</v>
      </c>
      <c r="JF102" s="18" t="s">
        <v>56</v>
      </c>
      <c r="JG102" s="18" t="s">
        <v>55</v>
      </c>
      <c r="JH102" s="18" t="s">
        <v>56</v>
      </c>
      <c r="JI102" s="18" t="s">
        <v>55</v>
      </c>
      <c r="JJ102" s="18" t="s">
        <v>56</v>
      </c>
      <c r="JK102" s="18" t="s">
        <v>55</v>
      </c>
      <c r="JL102" s="18" t="s">
        <v>56</v>
      </c>
      <c r="JM102" s="18" t="s">
        <v>55</v>
      </c>
      <c r="JN102" s="18" t="s">
        <v>56</v>
      </c>
      <c r="JO102" s="18" t="s">
        <v>55</v>
      </c>
      <c r="JP102" s="18" t="s">
        <v>56</v>
      </c>
      <c r="JQ102" s="18" t="s">
        <v>55</v>
      </c>
      <c r="JR102" s="18" t="s">
        <v>56</v>
      </c>
      <c r="JS102" s="18" t="s">
        <v>55</v>
      </c>
      <c r="JT102" s="18" t="s">
        <v>56</v>
      </c>
      <c r="JU102" s="18" t="s">
        <v>55</v>
      </c>
      <c r="JV102" s="18" t="s">
        <v>56</v>
      </c>
      <c r="JW102" s="18" t="s">
        <v>55</v>
      </c>
      <c r="JX102" s="26">
        <v>450.04099324351336</v>
      </c>
      <c r="JY102" s="26">
        <v>15.453173969755259</v>
      </c>
      <c r="JZ102" s="26">
        <v>384.02839184163503</v>
      </c>
      <c r="KA102" s="26">
        <v>144.40089379808691</v>
      </c>
      <c r="KB102" s="26">
        <v>701.1690295629254</v>
      </c>
      <c r="KC102" s="26">
        <v>263.2715861582451</v>
      </c>
      <c r="KD102" s="26">
        <v>335.19283051832434</v>
      </c>
      <c r="KE102" s="26">
        <v>276.97966384463325</v>
      </c>
      <c r="KF102" s="26">
        <v>534.71693937645284</v>
      </c>
      <c r="KG102" s="26">
        <v>115.23188030781931</v>
      </c>
      <c r="KH102" s="4" t="s">
        <v>556</v>
      </c>
      <c r="KI102" s="4" t="s">
        <v>55</v>
      </c>
      <c r="KJ102" s="4" t="s">
        <v>556</v>
      </c>
      <c r="KK102" s="4" t="s">
        <v>55</v>
      </c>
      <c r="KL102" s="4" t="s">
        <v>556</v>
      </c>
      <c r="KM102" s="4" t="s">
        <v>55</v>
      </c>
      <c r="KN102" s="4" t="s">
        <v>556</v>
      </c>
      <c r="KO102" s="4" t="s">
        <v>55</v>
      </c>
      <c r="KP102" s="4" t="s">
        <v>556</v>
      </c>
      <c r="KQ102" s="4" t="s">
        <v>55</v>
      </c>
      <c r="KR102" s="17" t="s">
        <v>56</v>
      </c>
      <c r="KS102" s="17" t="s">
        <v>55</v>
      </c>
      <c r="KT102" s="17" t="s">
        <v>56</v>
      </c>
      <c r="KU102" s="17" t="s">
        <v>55</v>
      </c>
      <c r="KV102" s="4" t="s">
        <v>54</v>
      </c>
      <c r="KW102" s="4" t="s">
        <v>55</v>
      </c>
      <c r="KX102" s="4" t="s">
        <v>54</v>
      </c>
      <c r="KY102" s="4" t="s">
        <v>55</v>
      </c>
      <c r="KZ102" s="4" t="s">
        <v>54</v>
      </c>
      <c r="LA102" s="4" t="s">
        <v>55</v>
      </c>
      <c r="LB102" s="17" t="s">
        <v>56</v>
      </c>
      <c r="LC102" s="17" t="s">
        <v>55</v>
      </c>
      <c r="LD102" s="10" t="s">
        <v>56</v>
      </c>
      <c r="LE102" s="10" t="s">
        <v>55</v>
      </c>
      <c r="LF102" s="10" t="s">
        <v>56</v>
      </c>
      <c r="LG102" s="10" t="s">
        <v>55</v>
      </c>
      <c r="LH102" s="10" t="s">
        <v>56</v>
      </c>
      <c r="LI102" s="10" t="s">
        <v>55</v>
      </c>
      <c r="LJ102" s="17" t="s">
        <v>56</v>
      </c>
      <c r="LK102" s="17" t="s">
        <v>55</v>
      </c>
      <c r="LL102" s="17" t="s">
        <v>56</v>
      </c>
      <c r="LM102" s="17" t="s">
        <v>55</v>
      </c>
      <c r="LN102" s="17" t="s">
        <v>56</v>
      </c>
      <c r="LO102" s="17" t="s">
        <v>55</v>
      </c>
      <c r="LP102" s="17" t="s">
        <v>56</v>
      </c>
      <c r="LQ102" s="17" t="s">
        <v>55</v>
      </c>
      <c r="LR102" s="17" t="s">
        <v>56</v>
      </c>
      <c r="LS102" s="17" t="s">
        <v>55</v>
      </c>
      <c r="LT102" s="17" t="s">
        <v>56</v>
      </c>
      <c r="LU102" s="17" t="s">
        <v>55</v>
      </c>
      <c r="LV102" s="17" t="s">
        <v>56</v>
      </c>
      <c r="LW102" s="17" t="s">
        <v>55</v>
      </c>
      <c r="LX102" s="17" t="s">
        <v>56</v>
      </c>
      <c r="LY102" s="17" t="s">
        <v>55</v>
      </c>
      <c r="LZ102" s="17" t="s">
        <v>56</v>
      </c>
      <c r="MA102" s="17" t="s">
        <v>55</v>
      </c>
      <c r="MB102" s="17" t="s">
        <v>56</v>
      </c>
      <c r="MC102" s="17" t="s">
        <v>55</v>
      </c>
      <c r="MD102" s="17" t="s">
        <v>56</v>
      </c>
      <c r="ME102" s="17" t="s">
        <v>55</v>
      </c>
      <c r="MF102" s="17" t="s">
        <v>56</v>
      </c>
      <c r="MG102" s="17" t="s">
        <v>55</v>
      </c>
      <c r="MH102" s="17" t="s">
        <v>56</v>
      </c>
      <c r="MI102" s="17" t="s">
        <v>55</v>
      </c>
      <c r="MJ102" s="17" t="s">
        <v>56</v>
      </c>
      <c r="MK102" s="17" t="s">
        <v>55</v>
      </c>
      <c r="ML102" s="17" t="s">
        <v>56</v>
      </c>
      <c r="MM102" s="17" t="s">
        <v>55</v>
      </c>
      <c r="MN102" s="17" t="s">
        <v>56</v>
      </c>
      <c r="MO102" s="17" t="s">
        <v>55</v>
      </c>
      <c r="MP102" s="17" t="s">
        <v>56</v>
      </c>
      <c r="MQ102" s="17" t="s">
        <v>55</v>
      </c>
      <c r="MR102" s="17" t="s">
        <v>56</v>
      </c>
      <c r="MS102" s="17" t="s">
        <v>55</v>
      </c>
      <c r="MT102" s="17" t="s">
        <v>56</v>
      </c>
      <c r="MU102" s="17" t="s">
        <v>55</v>
      </c>
      <c r="MV102" s="17" t="s">
        <v>56</v>
      </c>
      <c r="MW102" s="17" t="s">
        <v>55</v>
      </c>
      <c r="MX102" s="17" t="s">
        <v>56</v>
      </c>
      <c r="MY102" s="17" t="s">
        <v>55</v>
      </c>
      <c r="MZ102" s="17" t="s">
        <v>56</v>
      </c>
      <c r="NA102" s="17" t="s">
        <v>55</v>
      </c>
      <c r="NB102" s="17" t="s">
        <v>56</v>
      </c>
      <c r="NC102" s="17" t="s">
        <v>55</v>
      </c>
      <c r="ND102" s="17" t="s">
        <v>56</v>
      </c>
      <c r="NE102" s="17" t="s">
        <v>55</v>
      </c>
      <c r="NF102" s="17" t="s">
        <v>56</v>
      </c>
      <c r="NG102" s="17" t="s">
        <v>55</v>
      </c>
      <c r="NH102" s="17" t="s">
        <v>56</v>
      </c>
      <c r="NI102" s="17" t="s">
        <v>55</v>
      </c>
      <c r="NJ102" s="17" t="s">
        <v>56</v>
      </c>
      <c r="NK102" s="17" t="s">
        <v>55</v>
      </c>
      <c r="NL102" s="17" t="s">
        <v>56</v>
      </c>
      <c r="NM102" s="17" t="s">
        <v>55</v>
      </c>
      <c r="NN102" s="17" t="s">
        <v>56</v>
      </c>
      <c r="NO102" s="17" t="s">
        <v>55</v>
      </c>
      <c r="NP102" s="17" t="s">
        <v>56</v>
      </c>
      <c r="NQ102" s="17" t="s">
        <v>55</v>
      </c>
      <c r="NR102" s="10" t="s">
        <v>56</v>
      </c>
      <c r="NS102" s="10" t="s">
        <v>55</v>
      </c>
      <c r="NT102" s="10" t="s">
        <v>56</v>
      </c>
      <c r="NU102" s="10" t="s">
        <v>55</v>
      </c>
    </row>
    <row r="103" spans="1:385" x14ac:dyDescent="0.2">
      <c r="A103" t="s">
        <v>35</v>
      </c>
      <c r="B103" s="1" t="s">
        <v>1037</v>
      </c>
      <c r="C103" s="1" t="s">
        <v>859</v>
      </c>
      <c r="D103" s="39" cm="1">
        <f t="array" ref="D103">SUMPRODUCT((ISNUMBER(F103:NU103))*(MOD(COLUMN(F103:NU103),2)=0))</f>
        <v>11</v>
      </c>
      <c r="E103" s="1">
        <v>174.2</v>
      </c>
      <c r="F103" s="1" t="s">
        <v>56</v>
      </c>
      <c r="G103" s="1" t="s">
        <v>55</v>
      </c>
      <c r="H103" s="1" t="s">
        <v>56</v>
      </c>
      <c r="I103" s="1" t="s">
        <v>55</v>
      </c>
      <c r="J103" s="1" t="s">
        <v>56</v>
      </c>
      <c r="K103" s="1" t="s">
        <v>55</v>
      </c>
      <c r="L103" s="1" t="s">
        <v>56</v>
      </c>
      <c r="M103" s="1" t="s">
        <v>55</v>
      </c>
      <c r="N103" s="1" t="s">
        <v>56</v>
      </c>
      <c r="O103" s="1" t="s">
        <v>55</v>
      </c>
      <c r="P103" s="1" t="s">
        <v>56</v>
      </c>
      <c r="Q103" s="1" t="s">
        <v>55</v>
      </c>
      <c r="R103" s="1" t="s">
        <v>56</v>
      </c>
      <c r="S103" s="1" t="s">
        <v>55</v>
      </c>
      <c r="T103" s="1" t="s">
        <v>56</v>
      </c>
      <c r="U103" s="1" t="s">
        <v>55</v>
      </c>
      <c r="V103" s="1" t="s">
        <v>56</v>
      </c>
      <c r="W103" s="1" t="s">
        <v>55</v>
      </c>
      <c r="X103" s="1" t="s">
        <v>56</v>
      </c>
      <c r="Y103" s="1" t="s">
        <v>55</v>
      </c>
      <c r="Z103" s="1" t="s">
        <v>56</v>
      </c>
      <c r="AA103" s="1" t="s">
        <v>55</v>
      </c>
      <c r="AB103" s="1" t="s">
        <v>56</v>
      </c>
      <c r="AC103" s="1" t="s">
        <v>55</v>
      </c>
      <c r="AD103" s="1" t="s">
        <v>56</v>
      </c>
      <c r="AE103" s="1" t="s">
        <v>55</v>
      </c>
      <c r="AF103" s="4" t="s">
        <v>56</v>
      </c>
      <c r="AG103" s="4" t="s">
        <v>55</v>
      </c>
      <c r="AH103" s="4" t="s">
        <v>56</v>
      </c>
      <c r="AI103" s="4" t="s">
        <v>55</v>
      </c>
      <c r="AJ103" s="4" t="s">
        <v>56</v>
      </c>
      <c r="AK103" s="4" t="s">
        <v>55</v>
      </c>
      <c r="AL103" s="4" t="s">
        <v>56</v>
      </c>
      <c r="AM103" s="4" t="s">
        <v>55</v>
      </c>
      <c r="AN103" s="17" t="s">
        <v>56</v>
      </c>
      <c r="AO103" s="1" t="s">
        <v>55</v>
      </c>
      <c r="AP103" s="11" t="s">
        <v>56</v>
      </c>
      <c r="AQ103" s="11" t="s">
        <v>55</v>
      </c>
      <c r="AR103" s="10" t="s">
        <v>56</v>
      </c>
      <c r="AS103" s="10" t="s">
        <v>55</v>
      </c>
      <c r="AT103" s="4" t="s">
        <v>56</v>
      </c>
      <c r="AU103" s="4" t="s">
        <v>55</v>
      </c>
      <c r="AV103" s="4" t="s">
        <v>56</v>
      </c>
      <c r="AW103" s="4" t="s">
        <v>55</v>
      </c>
      <c r="AX103" s="4" t="s">
        <v>56</v>
      </c>
      <c r="AY103" s="4" t="s">
        <v>55</v>
      </c>
      <c r="AZ103" s="4" t="s">
        <v>56</v>
      </c>
      <c r="BA103" s="4" t="s">
        <v>55</v>
      </c>
      <c r="BB103" s="4" t="s">
        <v>56</v>
      </c>
      <c r="BC103" s="4" t="s">
        <v>55</v>
      </c>
      <c r="BD103" s="4" t="s">
        <v>56</v>
      </c>
      <c r="BE103" s="1" t="s">
        <v>55</v>
      </c>
      <c r="BF103" s="1" t="s">
        <v>56</v>
      </c>
      <c r="BG103" s="1" t="s">
        <v>55</v>
      </c>
      <c r="BH103" s="1" t="s">
        <v>56</v>
      </c>
      <c r="BI103" s="1" t="s">
        <v>55</v>
      </c>
      <c r="BJ103" s="1" t="s">
        <v>56</v>
      </c>
      <c r="BK103" s="1" t="s">
        <v>55</v>
      </c>
      <c r="BL103" s="4" t="s">
        <v>56</v>
      </c>
      <c r="BM103" s="4" t="s">
        <v>55</v>
      </c>
      <c r="BN103" s="4" t="s">
        <v>56</v>
      </c>
      <c r="BO103" s="4" t="s">
        <v>55</v>
      </c>
      <c r="BP103" s="4" t="s">
        <v>56</v>
      </c>
      <c r="BQ103" s="4" t="s">
        <v>55</v>
      </c>
      <c r="BR103" s="4" t="s">
        <v>56</v>
      </c>
      <c r="BS103" s="4" t="s">
        <v>162</v>
      </c>
      <c r="BT103" s="4" t="s">
        <v>56</v>
      </c>
      <c r="BU103" s="4" t="s">
        <v>55</v>
      </c>
      <c r="BV103" s="4" t="s">
        <v>56</v>
      </c>
      <c r="BW103" s="4" t="s">
        <v>55</v>
      </c>
      <c r="BX103" s="4" t="s">
        <v>56</v>
      </c>
      <c r="BY103" s="4" t="s">
        <v>55</v>
      </c>
      <c r="BZ103" s="4" t="s">
        <v>56</v>
      </c>
      <c r="CA103" s="4" t="s">
        <v>55</v>
      </c>
      <c r="CB103" s="4" t="s">
        <v>56</v>
      </c>
      <c r="CC103" s="4" t="s">
        <v>55</v>
      </c>
      <c r="CD103" s="4" t="s">
        <v>56</v>
      </c>
      <c r="CE103" s="4" t="s">
        <v>55</v>
      </c>
      <c r="CF103" s="4" t="s">
        <v>56</v>
      </c>
      <c r="CG103" s="4" t="s">
        <v>55</v>
      </c>
      <c r="CH103" s="4" t="s">
        <v>56</v>
      </c>
      <c r="CI103" s="4" t="s">
        <v>55</v>
      </c>
      <c r="CJ103" s="4" t="s">
        <v>56</v>
      </c>
      <c r="CK103" s="4" t="s">
        <v>55</v>
      </c>
      <c r="CL103" s="4" t="s">
        <v>56</v>
      </c>
      <c r="CM103" s="4" t="s">
        <v>55</v>
      </c>
      <c r="CN103" s="4" t="s">
        <v>56</v>
      </c>
      <c r="CO103" s="4" t="s">
        <v>55</v>
      </c>
      <c r="CP103" s="4" t="s">
        <v>56</v>
      </c>
      <c r="CQ103" s="4" t="s">
        <v>55</v>
      </c>
      <c r="CR103" s="4" t="s">
        <v>56</v>
      </c>
      <c r="CS103" s="4" t="s">
        <v>55</v>
      </c>
      <c r="CT103" s="4" t="s">
        <v>56</v>
      </c>
      <c r="CU103" s="4" t="s">
        <v>55</v>
      </c>
      <c r="CV103" s="4" t="s">
        <v>56</v>
      </c>
      <c r="CW103" s="4" t="s">
        <v>55</v>
      </c>
      <c r="CX103" s="4" t="s">
        <v>56</v>
      </c>
      <c r="CY103" s="4" t="s">
        <v>55</v>
      </c>
      <c r="CZ103" s="4" t="s">
        <v>56</v>
      </c>
      <c r="DA103" s="4" t="s">
        <v>55</v>
      </c>
      <c r="DB103" s="4" t="s">
        <v>56</v>
      </c>
      <c r="DC103" s="4" t="s">
        <v>55</v>
      </c>
      <c r="DD103" s="4" t="s">
        <v>56</v>
      </c>
      <c r="DE103" s="4" t="s">
        <v>55</v>
      </c>
      <c r="DF103" s="4" t="s">
        <v>56</v>
      </c>
      <c r="DG103" s="4" t="s">
        <v>55</v>
      </c>
      <c r="DH103" s="10" t="s">
        <v>56</v>
      </c>
      <c r="DI103" s="10" t="s">
        <v>55</v>
      </c>
      <c r="DJ103" s="10" t="s">
        <v>56</v>
      </c>
      <c r="DK103" s="10" t="s">
        <v>55</v>
      </c>
      <c r="DL103" s="10" t="s">
        <v>56</v>
      </c>
      <c r="DM103" s="10" t="s">
        <v>55</v>
      </c>
      <c r="DN103" s="10" t="s">
        <v>56</v>
      </c>
      <c r="DO103" s="10" t="s">
        <v>55</v>
      </c>
      <c r="DP103" s="10" t="s">
        <v>56</v>
      </c>
      <c r="DQ103" s="10" t="s">
        <v>55</v>
      </c>
      <c r="DR103" s="10" t="s">
        <v>56</v>
      </c>
      <c r="DS103" s="10" t="s">
        <v>55</v>
      </c>
      <c r="DT103" s="10" t="s">
        <v>56</v>
      </c>
      <c r="DU103" s="10" t="s">
        <v>55</v>
      </c>
      <c r="DV103" s="10" t="s">
        <v>56</v>
      </c>
      <c r="DW103" s="10" t="s">
        <v>55</v>
      </c>
      <c r="DX103" s="10" t="s">
        <v>56</v>
      </c>
      <c r="DY103" s="10" t="s">
        <v>55</v>
      </c>
      <c r="DZ103" s="10" t="s">
        <v>56</v>
      </c>
      <c r="EA103" s="10" t="s">
        <v>55</v>
      </c>
      <c r="EB103" s="10" t="s">
        <v>56</v>
      </c>
      <c r="EC103" s="10" t="s">
        <v>55</v>
      </c>
      <c r="ED103" s="10" t="s">
        <v>56</v>
      </c>
      <c r="EE103" s="10" t="s">
        <v>55</v>
      </c>
      <c r="EF103" s="10" t="s">
        <v>56</v>
      </c>
      <c r="EG103" s="10" t="s">
        <v>55</v>
      </c>
      <c r="EH103" s="10" t="s">
        <v>56</v>
      </c>
      <c r="EI103" s="10" t="s">
        <v>55</v>
      </c>
      <c r="EJ103" s="10" t="s">
        <v>56</v>
      </c>
      <c r="EK103" s="10" t="s">
        <v>55</v>
      </c>
      <c r="EL103" s="10" t="s">
        <v>56</v>
      </c>
      <c r="EM103" s="10" t="s">
        <v>55</v>
      </c>
      <c r="EN103" s="10" t="s">
        <v>56</v>
      </c>
      <c r="EO103" s="10" t="s">
        <v>55</v>
      </c>
      <c r="EP103" s="10" t="s">
        <v>56</v>
      </c>
      <c r="EQ103" s="10" t="s">
        <v>55</v>
      </c>
      <c r="ER103" s="10" t="s">
        <v>56</v>
      </c>
      <c r="ES103" s="10" t="s">
        <v>55</v>
      </c>
      <c r="ET103" s="10" t="s">
        <v>56</v>
      </c>
      <c r="EU103" s="10" t="s">
        <v>55</v>
      </c>
      <c r="EV103" s="10" t="s">
        <v>56</v>
      </c>
      <c r="EW103" s="10" t="s">
        <v>55</v>
      </c>
      <c r="EX103" s="10" t="s">
        <v>56</v>
      </c>
      <c r="EY103" s="10" t="s">
        <v>55</v>
      </c>
      <c r="EZ103" s="10" t="s">
        <v>56</v>
      </c>
      <c r="FA103" s="10" t="s">
        <v>55</v>
      </c>
      <c r="FB103" s="10" t="s">
        <v>56</v>
      </c>
      <c r="FC103" s="10" t="s">
        <v>55</v>
      </c>
      <c r="FD103" s="10" t="s">
        <v>56</v>
      </c>
      <c r="FE103" s="10" t="s">
        <v>55</v>
      </c>
      <c r="FF103" s="10" t="s">
        <v>56</v>
      </c>
      <c r="FG103" s="10" t="s">
        <v>55</v>
      </c>
      <c r="FH103" s="10" t="s">
        <v>56</v>
      </c>
      <c r="FI103" s="10" t="s">
        <v>55</v>
      </c>
      <c r="FJ103" s="10" t="s">
        <v>56</v>
      </c>
      <c r="FK103" s="10" t="s">
        <v>55</v>
      </c>
      <c r="FL103" s="10" t="s">
        <v>56</v>
      </c>
      <c r="FM103" s="10" t="s">
        <v>55</v>
      </c>
      <c r="FN103" s="10" t="s">
        <v>56</v>
      </c>
      <c r="FO103" s="10" t="s">
        <v>55</v>
      </c>
      <c r="FP103" s="10" t="s">
        <v>56</v>
      </c>
      <c r="FQ103" s="10" t="s">
        <v>55</v>
      </c>
      <c r="FR103" s="10" t="s">
        <v>56</v>
      </c>
      <c r="FS103" s="10" t="s">
        <v>55</v>
      </c>
      <c r="FT103" s="10" t="s">
        <v>56</v>
      </c>
      <c r="FU103" s="10" t="s">
        <v>55</v>
      </c>
      <c r="FV103" s="10" t="s">
        <v>56</v>
      </c>
      <c r="FW103" s="10" t="s">
        <v>55</v>
      </c>
      <c r="FX103" s="10" t="s">
        <v>56</v>
      </c>
      <c r="FY103" s="10" t="s">
        <v>55</v>
      </c>
      <c r="FZ103" s="10" t="s">
        <v>56</v>
      </c>
      <c r="GA103" s="10" t="s">
        <v>55</v>
      </c>
      <c r="GB103" s="10" t="s">
        <v>56</v>
      </c>
      <c r="GC103" s="10" t="s">
        <v>55</v>
      </c>
      <c r="GD103" s="10" t="s">
        <v>56</v>
      </c>
      <c r="GE103" s="10" t="s">
        <v>55</v>
      </c>
      <c r="GF103" s="10" t="s">
        <v>56</v>
      </c>
      <c r="GG103" s="10" t="s">
        <v>55</v>
      </c>
      <c r="GH103" s="10" t="s">
        <v>56</v>
      </c>
      <c r="GI103" s="10" t="s">
        <v>55</v>
      </c>
      <c r="GJ103" s="10" t="s">
        <v>56</v>
      </c>
      <c r="GK103" s="10" t="s">
        <v>55</v>
      </c>
      <c r="GL103" s="10" t="s">
        <v>56</v>
      </c>
      <c r="GM103" s="10" t="s">
        <v>55</v>
      </c>
      <c r="GN103" s="10" t="s">
        <v>56</v>
      </c>
      <c r="GO103" s="10" t="s">
        <v>55</v>
      </c>
      <c r="GP103" s="10" t="s">
        <v>56</v>
      </c>
      <c r="GQ103" s="10" t="s">
        <v>55</v>
      </c>
      <c r="GR103" s="10" t="s">
        <v>56</v>
      </c>
      <c r="GS103" s="10" t="s">
        <v>55</v>
      </c>
      <c r="GT103" s="10" t="s">
        <v>56</v>
      </c>
      <c r="GU103" s="10" t="s">
        <v>55</v>
      </c>
      <c r="GV103" s="17" t="s">
        <v>56</v>
      </c>
      <c r="GW103" s="17" t="s">
        <v>55</v>
      </c>
      <c r="GX103" s="10" t="s">
        <v>56</v>
      </c>
      <c r="GY103" s="10" t="s">
        <v>55</v>
      </c>
      <c r="GZ103" s="10" t="s">
        <v>56</v>
      </c>
      <c r="HA103" s="10" t="s">
        <v>55</v>
      </c>
      <c r="HB103" s="10" t="s">
        <v>56</v>
      </c>
      <c r="HC103" s="10" t="s">
        <v>55</v>
      </c>
      <c r="HD103" s="10" t="s">
        <v>56</v>
      </c>
      <c r="HE103" s="10" t="s">
        <v>55</v>
      </c>
      <c r="HF103" s="10" t="s">
        <v>56</v>
      </c>
      <c r="HG103" s="10" t="s">
        <v>55</v>
      </c>
      <c r="HH103" s="10" t="s">
        <v>56</v>
      </c>
      <c r="HI103" s="10" t="s">
        <v>55</v>
      </c>
      <c r="HJ103" s="10" t="s">
        <v>56</v>
      </c>
      <c r="HK103" s="10" t="s">
        <v>55</v>
      </c>
      <c r="HL103" s="10" t="s">
        <v>56</v>
      </c>
      <c r="HM103" s="10" t="s">
        <v>55</v>
      </c>
      <c r="HN103" s="10" t="s">
        <v>56</v>
      </c>
      <c r="HO103" s="10" t="s">
        <v>55</v>
      </c>
      <c r="HP103" s="10" t="s">
        <v>56</v>
      </c>
      <c r="HQ103" s="10" t="s">
        <v>55</v>
      </c>
      <c r="HR103" s="10" t="s">
        <v>56</v>
      </c>
      <c r="HS103" s="10" t="s">
        <v>55</v>
      </c>
      <c r="HT103" s="10" t="s">
        <v>56</v>
      </c>
      <c r="HU103" s="10" t="s">
        <v>55</v>
      </c>
      <c r="HV103" s="10" t="s">
        <v>56</v>
      </c>
      <c r="HW103" s="10" t="s">
        <v>55</v>
      </c>
      <c r="HX103" s="10" t="s">
        <v>56</v>
      </c>
      <c r="HY103" s="10" t="s">
        <v>55</v>
      </c>
      <c r="HZ103" s="10" t="s">
        <v>56</v>
      </c>
      <c r="IA103" s="10" t="s">
        <v>55</v>
      </c>
      <c r="IB103" s="10" t="s">
        <v>56</v>
      </c>
      <c r="IC103" s="10" t="s">
        <v>55</v>
      </c>
      <c r="ID103" s="1" t="s">
        <v>56</v>
      </c>
      <c r="IE103" s="1" t="s">
        <v>55</v>
      </c>
      <c r="IF103" s="4" t="s">
        <v>56</v>
      </c>
      <c r="IG103" s="4" t="s">
        <v>55</v>
      </c>
      <c r="IH103" s="4" t="s">
        <v>56</v>
      </c>
      <c r="II103" s="4" t="s">
        <v>55</v>
      </c>
      <c r="IJ103" s="4" t="s">
        <v>56</v>
      </c>
      <c r="IK103" s="4" t="s">
        <v>55</v>
      </c>
      <c r="IL103" s="4" t="s">
        <v>56</v>
      </c>
      <c r="IM103" s="4" t="s">
        <v>55</v>
      </c>
      <c r="IN103" s="4" t="s">
        <v>56</v>
      </c>
      <c r="IO103" s="4" t="s">
        <v>55</v>
      </c>
      <c r="IP103" s="4" t="s">
        <v>56</v>
      </c>
      <c r="IQ103" s="4" t="s">
        <v>55</v>
      </c>
      <c r="IR103" s="4" t="s">
        <v>56</v>
      </c>
      <c r="IS103" s="4" t="s">
        <v>55</v>
      </c>
      <c r="IT103" s="18" t="s">
        <v>56</v>
      </c>
      <c r="IU103" s="18" t="s">
        <v>55</v>
      </c>
      <c r="IV103" s="18" t="s">
        <v>56</v>
      </c>
      <c r="IW103" s="18" t="s">
        <v>55</v>
      </c>
      <c r="IX103" s="18" t="s">
        <v>56</v>
      </c>
      <c r="IY103" s="18" t="s">
        <v>55</v>
      </c>
      <c r="IZ103" s="18" t="s">
        <v>56</v>
      </c>
      <c r="JA103" s="18" t="s">
        <v>55</v>
      </c>
      <c r="JB103" s="18" t="s">
        <v>56</v>
      </c>
      <c r="JC103" s="18" t="s">
        <v>55</v>
      </c>
      <c r="JD103" s="18" t="s">
        <v>56</v>
      </c>
      <c r="JE103" s="18" t="s">
        <v>55</v>
      </c>
      <c r="JF103" s="18" t="s">
        <v>56</v>
      </c>
      <c r="JG103" s="18" t="s">
        <v>55</v>
      </c>
      <c r="JH103" s="18" t="s">
        <v>56</v>
      </c>
      <c r="JI103" s="18" t="s">
        <v>55</v>
      </c>
      <c r="JJ103" s="18" t="s">
        <v>56</v>
      </c>
      <c r="JK103" s="18" t="s">
        <v>55</v>
      </c>
      <c r="JL103" s="18" t="s">
        <v>56</v>
      </c>
      <c r="JM103" s="18" t="s">
        <v>55</v>
      </c>
      <c r="JN103" s="18" t="s">
        <v>56</v>
      </c>
      <c r="JO103" s="18" t="s">
        <v>55</v>
      </c>
      <c r="JP103" s="18" t="s">
        <v>56</v>
      </c>
      <c r="JQ103" s="18" t="s">
        <v>55</v>
      </c>
      <c r="JR103" s="18" t="s">
        <v>56</v>
      </c>
      <c r="JS103" s="18" t="s">
        <v>55</v>
      </c>
      <c r="JT103" s="18" t="s">
        <v>56</v>
      </c>
      <c r="JU103" s="18" t="s">
        <v>55</v>
      </c>
      <c r="JV103" s="18" t="s">
        <v>56</v>
      </c>
      <c r="JW103" s="18" t="s">
        <v>55</v>
      </c>
      <c r="JX103" s="26">
        <v>10556.239611533218</v>
      </c>
      <c r="JY103" s="26">
        <v>3011.2856299497266</v>
      </c>
      <c r="JZ103" s="26">
        <v>11160.395778985578</v>
      </c>
      <c r="KA103" s="26">
        <v>6704.8547807196328</v>
      </c>
      <c r="KB103" s="26">
        <v>19469.469394286371</v>
      </c>
      <c r="KC103" s="26">
        <v>12479.3877356102</v>
      </c>
      <c r="KD103" s="26">
        <v>10994.03856325444</v>
      </c>
      <c r="KE103" s="26">
        <v>2336.4792134840809</v>
      </c>
      <c r="KF103" s="26">
        <v>23509.438654726498</v>
      </c>
      <c r="KG103" s="26">
        <v>7816.1209943578897</v>
      </c>
      <c r="KH103" s="4" t="s">
        <v>56</v>
      </c>
      <c r="KI103" s="4" t="s">
        <v>55</v>
      </c>
      <c r="KJ103" s="4" t="s">
        <v>56</v>
      </c>
      <c r="KK103" s="4" t="s">
        <v>55</v>
      </c>
      <c r="KL103" s="4" t="s">
        <v>56</v>
      </c>
      <c r="KM103" s="4" t="s">
        <v>55</v>
      </c>
      <c r="KN103" s="4" t="s">
        <v>56</v>
      </c>
      <c r="KO103" s="4" t="s">
        <v>55</v>
      </c>
      <c r="KP103" s="4" t="s">
        <v>56</v>
      </c>
      <c r="KQ103" s="4" t="s">
        <v>55</v>
      </c>
      <c r="KR103" s="17" t="s">
        <v>56</v>
      </c>
      <c r="KS103" s="17" t="s">
        <v>55</v>
      </c>
      <c r="KT103" s="17" t="s">
        <v>56</v>
      </c>
      <c r="KU103" s="17" t="s">
        <v>55</v>
      </c>
      <c r="KV103" s="17">
        <v>309.60000000000002</v>
      </c>
      <c r="KW103" s="17">
        <v>99.1</v>
      </c>
      <c r="KX103" s="17">
        <v>4547.1000000000004</v>
      </c>
      <c r="KY103" s="17">
        <v>1321.9</v>
      </c>
      <c r="KZ103" s="17">
        <v>2678.5</v>
      </c>
      <c r="LA103" s="17">
        <v>689.1</v>
      </c>
      <c r="LB103" s="17" t="s">
        <v>56</v>
      </c>
      <c r="LC103" s="17" t="s">
        <v>55</v>
      </c>
      <c r="LD103" s="10">
        <f>2.8*1000</f>
        <v>2800</v>
      </c>
      <c r="LE103" s="10">
        <f>0.7*1000</f>
        <v>700</v>
      </c>
      <c r="LF103" s="10">
        <f>0.38*1000</f>
        <v>380</v>
      </c>
      <c r="LG103" s="10">
        <f>0.05*1000</f>
        <v>50</v>
      </c>
      <c r="LH103" s="10">
        <f>0.33*1000</f>
        <v>330</v>
      </c>
      <c r="LI103" s="10">
        <f>0.07*1000</f>
        <v>70</v>
      </c>
      <c r="LJ103" s="17" t="s">
        <v>56</v>
      </c>
      <c r="LK103" s="17" t="s">
        <v>55</v>
      </c>
      <c r="LL103" s="17" t="s">
        <v>56</v>
      </c>
      <c r="LM103" s="17" t="s">
        <v>55</v>
      </c>
      <c r="LN103" s="17" t="s">
        <v>56</v>
      </c>
      <c r="LO103" s="17" t="s">
        <v>55</v>
      </c>
      <c r="LP103" s="17" t="s">
        <v>56</v>
      </c>
      <c r="LQ103" s="17" t="s">
        <v>55</v>
      </c>
      <c r="LR103" s="17" t="s">
        <v>56</v>
      </c>
      <c r="LS103" s="17" t="s">
        <v>55</v>
      </c>
      <c r="LT103" s="17" t="s">
        <v>56</v>
      </c>
      <c r="LU103" s="17" t="s">
        <v>55</v>
      </c>
      <c r="LV103" s="17" t="s">
        <v>56</v>
      </c>
      <c r="LW103" s="17" t="s">
        <v>55</v>
      </c>
      <c r="LX103" s="17" t="s">
        <v>56</v>
      </c>
      <c r="LY103" s="17" t="s">
        <v>55</v>
      </c>
      <c r="LZ103" s="17" t="s">
        <v>56</v>
      </c>
      <c r="MA103" s="17" t="s">
        <v>55</v>
      </c>
      <c r="MB103" s="17" t="s">
        <v>56</v>
      </c>
      <c r="MC103" s="17" t="s">
        <v>55</v>
      </c>
      <c r="MD103" s="17" t="s">
        <v>56</v>
      </c>
      <c r="ME103" s="17" t="s">
        <v>55</v>
      </c>
      <c r="MF103" s="17" t="s">
        <v>56</v>
      </c>
      <c r="MG103" s="17" t="s">
        <v>55</v>
      </c>
      <c r="MH103" s="17" t="s">
        <v>56</v>
      </c>
      <c r="MI103" s="17" t="s">
        <v>55</v>
      </c>
      <c r="MJ103" s="17" t="s">
        <v>56</v>
      </c>
      <c r="MK103" s="17" t="s">
        <v>55</v>
      </c>
      <c r="ML103" s="17" t="s">
        <v>56</v>
      </c>
      <c r="MM103" s="17" t="s">
        <v>55</v>
      </c>
      <c r="MN103" s="17" t="s">
        <v>56</v>
      </c>
      <c r="MO103" s="17" t="s">
        <v>55</v>
      </c>
      <c r="MP103" s="17" t="s">
        <v>56</v>
      </c>
      <c r="MQ103" s="17" t="s">
        <v>55</v>
      </c>
      <c r="MR103" s="17" t="s">
        <v>56</v>
      </c>
      <c r="MS103" s="17" t="s">
        <v>55</v>
      </c>
      <c r="MT103" s="17" t="s">
        <v>56</v>
      </c>
      <c r="MU103" s="17" t="s">
        <v>55</v>
      </c>
      <c r="MV103" s="17" t="s">
        <v>56</v>
      </c>
      <c r="MW103" s="17" t="s">
        <v>55</v>
      </c>
      <c r="MX103" s="17" t="s">
        <v>56</v>
      </c>
      <c r="MY103" s="17" t="s">
        <v>55</v>
      </c>
      <c r="MZ103" s="17" t="s">
        <v>56</v>
      </c>
      <c r="NA103" s="17" t="s">
        <v>55</v>
      </c>
      <c r="NB103" s="17" t="s">
        <v>56</v>
      </c>
      <c r="NC103" s="17" t="s">
        <v>55</v>
      </c>
      <c r="ND103" s="17" t="s">
        <v>56</v>
      </c>
      <c r="NE103" s="17" t="s">
        <v>55</v>
      </c>
      <c r="NF103" s="17" t="s">
        <v>56</v>
      </c>
      <c r="NG103" s="17" t="s">
        <v>55</v>
      </c>
      <c r="NH103" s="17" t="s">
        <v>56</v>
      </c>
      <c r="NI103" s="17" t="s">
        <v>55</v>
      </c>
      <c r="NJ103" s="17" t="s">
        <v>56</v>
      </c>
      <c r="NK103" s="17" t="s">
        <v>55</v>
      </c>
      <c r="NL103" s="17" t="s">
        <v>56</v>
      </c>
      <c r="NM103" s="17" t="s">
        <v>55</v>
      </c>
      <c r="NN103" s="17" t="s">
        <v>56</v>
      </c>
      <c r="NO103" s="17" t="s">
        <v>55</v>
      </c>
      <c r="NP103" s="17" t="s">
        <v>56</v>
      </c>
      <c r="NQ103" s="17" t="s">
        <v>55</v>
      </c>
      <c r="NR103" s="10" t="s">
        <v>56</v>
      </c>
      <c r="NS103" s="10" t="s">
        <v>55</v>
      </c>
      <c r="NT103" s="10" t="s">
        <v>56</v>
      </c>
      <c r="NU103" s="10" t="s">
        <v>55</v>
      </c>
    </row>
    <row r="104" spans="1:385" x14ac:dyDescent="0.2">
      <c r="A104" t="s">
        <v>885</v>
      </c>
      <c r="B104" s="1" t="s">
        <v>1037</v>
      </c>
      <c r="C104" s="1" t="s">
        <v>843</v>
      </c>
      <c r="D104" s="39" cm="1">
        <f t="array" ref="D104">SUMPRODUCT((ISNUMBER(F104:NU104))*(MOD(COLUMN(F104:NU104),2)=0))</f>
        <v>48</v>
      </c>
      <c r="E104" s="1">
        <v>174.2</v>
      </c>
      <c r="F104" s="1" t="s">
        <v>56</v>
      </c>
      <c r="G104" s="1" t="s">
        <v>55</v>
      </c>
      <c r="H104" s="1" t="s">
        <v>56</v>
      </c>
      <c r="I104" s="1" t="s">
        <v>55</v>
      </c>
      <c r="J104" s="1" t="s">
        <v>56</v>
      </c>
      <c r="K104" s="1" t="s">
        <v>55</v>
      </c>
      <c r="L104" s="1" t="s">
        <v>56</v>
      </c>
      <c r="M104" s="1" t="s">
        <v>55</v>
      </c>
      <c r="N104" s="1" t="s">
        <v>56</v>
      </c>
      <c r="O104" s="1" t="s">
        <v>55</v>
      </c>
      <c r="P104" s="1" t="s">
        <v>56</v>
      </c>
      <c r="Q104" s="1" t="s">
        <v>55</v>
      </c>
      <c r="R104" s="1" t="s">
        <v>56</v>
      </c>
      <c r="S104" s="1" t="s">
        <v>55</v>
      </c>
      <c r="T104" s="1" t="s">
        <v>56</v>
      </c>
      <c r="U104" s="1" t="s">
        <v>55</v>
      </c>
      <c r="V104" s="1" t="s">
        <v>56</v>
      </c>
      <c r="W104" s="1" t="s">
        <v>55</v>
      </c>
      <c r="X104" s="1" t="s">
        <v>56</v>
      </c>
      <c r="Y104" s="1" t="s">
        <v>55</v>
      </c>
      <c r="Z104" s="1" t="s">
        <v>56</v>
      </c>
      <c r="AA104" s="1" t="s">
        <v>55</v>
      </c>
      <c r="AB104" s="1" t="s">
        <v>56</v>
      </c>
      <c r="AC104" s="1" t="s">
        <v>55</v>
      </c>
      <c r="AD104" s="1" t="s">
        <v>56</v>
      </c>
      <c r="AE104" s="1" t="s">
        <v>55</v>
      </c>
      <c r="AF104" s="1" t="s">
        <v>56</v>
      </c>
      <c r="AG104" s="1" t="s">
        <v>55</v>
      </c>
      <c r="AH104" s="1" t="s">
        <v>56</v>
      </c>
      <c r="AI104" s="1" t="s">
        <v>55</v>
      </c>
      <c r="AJ104" s="1" t="s">
        <v>56</v>
      </c>
      <c r="AK104" s="1" t="s">
        <v>55</v>
      </c>
      <c r="AL104" s="1" t="s">
        <v>56</v>
      </c>
      <c r="AM104" s="1" t="s">
        <v>55</v>
      </c>
      <c r="AN104" s="1" t="s">
        <v>56</v>
      </c>
      <c r="AO104" s="1" t="s">
        <v>55</v>
      </c>
      <c r="AP104" s="1" t="s">
        <v>56</v>
      </c>
      <c r="AQ104" s="1" t="s">
        <v>55</v>
      </c>
      <c r="AR104" s="1" t="s">
        <v>56</v>
      </c>
      <c r="AS104" s="1" t="s">
        <v>55</v>
      </c>
      <c r="AT104" s="1" t="s">
        <v>56</v>
      </c>
      <c r="AU104" s="1" t="s">
        <v>55</v>
      </c>
      <c r="AV104" s="1" t="s">
        <v>56</v>
      </c>
      <c r="AW104" s="1" t="s">
        <v>55</v>
      </c>
      <c r="AX104" s="1" t="s">
        <v>56</v>
      </c>
      <c r="AY104" s="1" t="s">
        <v>55</v>
      </c>
      <c r="AZ104" s="1" t="s">
        <v>56</v>
      </c>
      <c r="BA104" s="1" t="s">
        <v>55</v>
      </c>
      <c r="BB104" s="1" t="s">
        <v>56</v>
      </c>
      <c r="BC104" s="1" t="s">
        <v>55</v>
      </c>
      <c r="BD104" s="1" t="s">
        <v>56</v>
      </c>
      <c r="BE104" s="1" t="s">
        <v>55</v>
      </c>
      <c r="BF104" s="1" t="s">
        <v>56</v>
      </c>
      <c r="BG104" s="1" t="s">
        <v>55</v>
      </c>
      <c r="BH104" s="1" t="s">
        <v>56</v>
      </c>
      <c r="BI104" s="1" t="s">
        <v>55</v>
      </c>
      <c r="BJ104" s="1" t="s">
        <v>56</v>
      </c>
      <c r="BK104" s="1" t="s">
        <v>55</v>
      </c>
      <c r="BL104" s="1" t="s">
        <v>56</v>
      </c>
      <c r="BM104" s="1" t="s">
        <v>55</v>
      </c>
      <c r="BN104" s="1" t="s">
        <v>56</v>
      </c>
      <c r="BO104" s="1" t="s">
        <v>55</v>
      </c>
      <c r="BP104" s="1" t="s">
        <v>56</v>
      </c>
      <c r="BQ104" s="1" t="s">
        <v>55</v>
      </c>
      <c r="BR104" s="1" t="s">
        <v>56</v>
      </c>
      <c r="BS104" s="1" t="s">
        <v>55</v>
      </c>
      <c r="BT104" s="1" t="s">
        <v>56</v>
      </c>
      <c r="BU104" s="1" t="s">
        <v>55</v>
      </c>
      <c r="BV104" s="1" t="s">
        <v>56</v>
      </c>
      <c r="BW104" s="1" t="s">
        <v>55</v>
      </c>
      <c r="BX104" s="1" t="s">
        <v>56</v>
      </c>
      <c r="BY104" s="1" t="s">
        <v>55</v>
      </c>
      <c r="BZ104" s="1" t="s">
        <v>56</v>
      </c>
      <c r="CA104" s="1" t="s">
        <v>55</v>
      </c>
      <c r="CB104" s="1" t="s">
        <v>56</v>
      </c>
      <c r="CC104" s="1" t="s">
        <v>55</v>
      </c>
      <c r="CD104" s="1" t="s">
        <v>56</v>
      </c>
      <c r="CE104" s="1" t="s">
        <v>55</v>
      </c>
      <c r="CF104" s="1" t="s">
        <v>56</v>
      </c>
      <c r="CG104" s="1" t="s">
        <v>55</v>
      </c>
      <c r="CH104" s="1" t="s">
        <v>56</v>
      </c>
      <c r="CI104" s="1" t="s">
        <v>55</v>
      </c>
      <c r="CJ104" s="1" t="s">
        <v>56</v>
      </c>
      <c r="CK104" s="1" t="s">
        <v>55</v>
      </c>
      <c r="CL104" s="1" t="s">
        <v>56</v>
      </c>
      <c r="CM104" s="1" t="s">
        <v>55</v>
      </c>
      <c r="CN104" s="1" t="s">
        <v>56</v>
      </c>
      <c r="CO104" s="1" t="s">
        <v>55</v>
      </c>
      <c r="CP104" s="1" t="s">
        <v>56</v>
      </c>
      <c r="CQ104" s="1" t="s">
        <v>55</v>
      </c>
      <c r="CR104" s="1" t="s">
        <v>56</v>
      </c>
      <c r="CS104" s="1" t="s">
        <v>55</v>
      </c>
      <c r="CT104" s="1" t="s">
        <v>56</v>
      </c>
      <c r="CU104" s="1" t="s">
        <v>55</v>
      </c>
      <c r="CV104" s="1" t="s">
        <v>56</v>
      </c>
      <c r="CW104" s="1" t="s">
        <v>55</v>
      </c>
      <c r="CX104" s="1" t="s">
        <v>56</v>
      </c>
      <c r="CY104" s="1" t="s">
        <v>55</v>
      </c>
      <c r="CZ104" s="1" t="s">
        <v>56</v>
      </c>
      <c r="DA104" s="1" t="s">
        <v>55</v>
      </c>
      <c r="DB104" s="1" t="s">
        <v>56</v>
      </c>
      <c r="DC104" s="1" t="s">
        <v>55</v>
      </c>
      <c r="DD104" s="1" t="s">
        <v>56</v>
      </c>
      <c r="DE104" s="1" t="s">
        <v>55</v>
      </c>
      <c r="DF104" s="1" t="s">
        <v>56</v>
      </c>
      <c r="DG104" s="1" t="s">
        <v>55</v>
      </c>
      <c r="DH104" s="1" t="s">
        <v>56</v>
      </c>
      <c r="DI104" s="1" t="s">
        <v>55</v>
      </c>
      <c r="DJ104" s="1" t="s">
        <v>56</v>
      </c>
      <c r="DK104" s="1" t="s">
        <v>55</v>
      </c>
      <c r="DL104" s="1" t="s">
        <v>56</v>
      </c>
      <c r="DM104" s="1" t="s">
        <v>55</v>
      </c>
      <c r="DN104" s="1" t="s">
        <v>56</v>
      </c>
      <c r="DO104" s="1" t="s">
        <v>55</v>
      </c>
      <c r="DP104" s="1" t="s">
        <v>56</v>
      </c>
      <c r="DQ104" s="1" t="s">
        <v>55</v>
      </c>
      <c r="DR104" s="1" t="s">
        <v>56</v>
      </c>
      <c r="DS104" s="1" t="s">
        <v>55</v>
      </c>
      <c r="DT104" s="1" t="s">
        <v>56</v>
      </c>
      <c r="DU104" s="1" t="s">
        <v>55</v>
      </c>
      <c r="DV104" s="1" t="s">
        <v>56</v>
      </c>
      <c r="DW104" s="1" t="s">
        <v>55</v>
      </c>
      <c r="DX104" s="1" t="s">
        <v>56</v>
      </c>
      <c r="DY104" s="1" t="s">
        <v>55</v>
      </c>
      <c r="DZ104" s="1" t="s">
        <v>56</v>
      </c>
      <c r="EA104" s="1" t="s">
        <v>55</v>
      </c>
      <c r="EB104" s="1" t="s">
        <v>56</v>
      </c>
      <c r="EC104" s="1" t="s">
        <v>55</v>
      </c>
      <c r="ED104" s="1" t="s">
        <v>56</v>
      </c>
      <c r="EE104" s="1" t="s">
        <v>55</v>
      </c>
      <c r="EF104" s="1" t="s">
        <v>56</v>
      </c>
      <c r="EG104" s="1" t="s">
        <v>55</v>
      </c>
      <c r="EH104" s="1" t="s">
        <v>56</v>
      </c>
      <c r="EI104" s="1" t="s">
        <v>55</v>
      </c>
      <c r="EJ104" s="1" t="s">
        <v>56</v>
      </c>
      <c r="EK104" s="1" t="s">
        <v>55</v>
      </c>
      <c r="EL104" s="1" t="s">
        <v>56</v>
      </c>
      <c r="EM104" s="1" t="s">
        <v>55</v>
      </c>
      <c r="EN104" s="1" t="s">
        <v>56</v>
      </c>
      <c r="EO104" s="1" t="s">
        <v>55</v>
      </c>
      <c r="EP104" s="1" t="s">
        <v>56</v>
      </c>
      <c r="EQ104" s="1" t="s">
        <v>55</v>
      </c>
      <c r="ER104" s="1" t="s">
        <v>56</v>
      </c>
      <c r="ES104" s="1" t="s">
        <v>55</v>
      </c>
      <c r="ET104" s="1" t="s">
        <v>56</v>
      </c>
      <c r="EU104" s="1" t="s">
        <v>55</v>
      </c>
      <c r="EV104" s="1" t="s">
        <v>56</v>
      </c>
      <c r="EW104" s="1" t="s">
        <v>55</v>
      </c>
      <c r="EX104" s="1" t="s">
        <v>56</v>
      </c>
      <c r="EY104" s="1" t="s">
        <v>55</v>
      </c>
      <c r="EZ104" s="1" t="s">
        <v>56</v>
      </c>
      <c r="FA104" s="1" t="s">
        <v>55</v>
      </c>
      <c r="FB104" s="1" t="s">
        <v>56</v>
      </c>
      <c r="FC104" s="1" t="s">
        <v>55</v>
      </c>
      <c r="FD104" s="1" t="s">
        <v>56</v>
      </c>
      <c r="FE104" s="1" t="s">
        <v>55</v>
      </c>
      <c r="FF104" s="1" t="s">
        <v>56</v>
      </c>
      <c r="FG104" s="1" t="s">
        <v>55</v>
      </c>
      <c r="FH104" s="1" t="s">
        <v>56</v>
      </c>
      <c r="FI104" s="1" t="s">
        <v>55</v>
      </c>
      <c r="FJ104" s="1" t="s">
        <v>56</v>
      </c>
      <c r="FK104" s="1" t="s">
        <v>55</v>
      </c>
      <c r="FL104" s="1" t="s">
        <v>56</v>
      </c>
      <c r="FM104" s="1" t="s">
        <v>55</v>
      </c>
      <c r="FN104" s="1" t="s">
        <v>56</v>
      </c>
      <c r="FO104" s="1" t="s">
        <v>55</v>
      </c>
      <c r="FP104" s="1" t="s">
        <v>56</v>
      </c>
      <c r="FQ104" s="1" t="s">
        <v>55</v>
      </c>
      <c r="FR104" s="1" t="s">
        <v>56</v>
      </c>
      <c r="FS104" s="1" t="s">
        <v>55</v>
      </c>
      <c r="FT104" s="1" t="s">
        <v>56</v>
      </c>
      <c r="FU104" s="1" t="s">
        <v>55</v>
      </c>
      <c r="FV104" s="1" t="s">
        <v>56</v>
      </c>
      <c r="FW104" s="1" t="s">
        <v>55</v>
      </c>
      <c r="FX104" s="1" t="s">
        <v>56</v>
      </c>
      <c r="FY104" s="1" t="s">
        <v>55</v>
      </c>
      <c r="FZ104" s="1" t="s">
        <v>56</v>
      </c>
      <c r="GA104" s="1" t="s">
        <v>55</v>
      </c>
      <c r="GB104" s="1" t="s">
        <v>56</v>
      </c>
      <c r="GC104" s="1" t="s">
        <v>55</v>
      </c>
      <c r="GD104" s="1" t="s">
        <v>56</v>
      </c>
      <c r="GE104" s="1" t="s">
        <v>55</v>
      </c>
      <c r="GF104" s="1" t="s">
        <v>56</v>
      </c>
      <c r="GG104" s="1" t="s">
        <v>55</v>
      </c>
      <c r="GH104" s="1" t="s">
        <v>56</v>
      </c>
      <c r="GI104" s="1" t="s">
        <v>55</v>
      </c>
      <c r="GJ104" s="1" t="s">
        <v>56</v>
      </c>
      <c r="GK104" s="1" t="s">
        <v>55</v>
      </c>
      <c r="GL104" s="1" t="s">
        <v>56</v>
      </c>
      <c r="GM104" s="1" t="s">
        <v>55</v>
      </c>
      <c r="GN104" s="1" t="s">
        <v>56</v>
      </c>
      <c r="GO104" s="1" t="s">
        <v>55</v>
      </c>
      <c r="GP104" s="1" t="s">
        <v>56</v>
      </c>
      <c r="GQ104" s="1" t="s">
        <v>55</v>
      </c>
      <c r="GR104" s="1" t="s">
        <v>56</v>
      </c>
      <c r="GS104" s="1" t="s">
        <v>55</v>
      </c>
      <c r="GT104" s="1" t="s">
        <v>56</v>
      </c>
      <c r="GU104" s="1" t="s">
        <v>55</v>
      </c>
      <c r="GV104" s="17" t="s">
        <v>56</v>
      </c>
      <c r="GW104" s="17" t="s">
        <v>55</v>
      </c>
      <c r="GX104" s="1" t="s">
        <v>56</v>
      </c>
      <c r="GY104" s="1" t="s">
        <v>55</v>
      </c>
      <c r="GZ104" s="10" t="s">
        <v>56</v>
      </c>
      <c r="HA104" s="10" t="s">
        <v>55</v>
      </c>
      <c r="HB104" s="10" t="s">
        <v>56</v>
      </c>
      <c r="HC104" s="10" t="s">
        <v>55</v>
      </c>
      <c r="HD104" s="10" t="s">
        <v>56</v>
      </c>
      <c r="HE104" s="10" t="s">
        <v>55</v>
      </c>
      <c r="HF104" s="10" t="s">
        <v>56</v>
      </c>
      <c r="HG104" s="10" t="s">
        <v>55</v>
      </c>
      <c r="HH104" s="10" t="s">
        <v>56</v>
      </c>
      <c r="HI104" s="10" t="s">
        <v>55</v>
      </c>
      <c r="HJ104" s="10" t="s">
        <v>56</v>
      </c>
      <c r="HK104" s="10" t="s">
        <v>55</v>
      </c>
      <c r="HL104" s="10" t="s">
        <v>56</v>
      </c>
      <c r="HM104" s="10" t="s">
        <v>55</v>
      </c>
      <c r="HN104" s="10" t="s">
        <v>56</v>
      </c>
      <c r="HO104" s="10" t="s">
        <v>55</v>
      </c>
      <c r="HP104" s="10" t="s">
        <v>56</v>
      </c>
      <c r="HQ104" s="10" t="s">
        <v>55</v>
      </c>
      <c r="HR104" s="10" t="s">
        <v>56</v>
      </c>
      <c r="HS104" s="10" t="s">
        <v>55</v>
      </c>
      <c r="HT104" s="10" t="s">
        <v>56</v>
      </c>
      <c r="HU104" s="10" t="s">
        <v>55</v>
      </c>
      <c r="HV104" s="10" t="s">
        <v>56</v>
      </c>
      <c r="HW104" s="10" t="s">
        <v>55</v>
      </c>
      <c r="HX104" s="10" t="s">
        <v>56</v>
      </c>
      <c r="HY104" s="10" t="s">
        <v>55</v>
      </c>
      <c r="HZ104" s="10" t="s">
        <v>56</v>
      </c>
      <c r="IA104" s="10" t="s">
        <v>55</v>
      </c>
      <c r="IB104" s="10" t="s">
        <v>56</v>
      </c>
      <c r="IC104" s="10" t="s">
        <v>55</v>
      </c>
      <c r="ID104" s="10" t="s">
        <v>56</v>
      </c>
      <c r="IE104" s="10" t="s">
        <v>55</v>
      </c>
      <c r="IF104" s="10" t="s">
        <v>56</v>
      </c>
      <c r="IG104" s="10" t="s">
        <v>55</v>
      </c>
      <c r="IH104" s="10" t="s">
        <v>56</v>
      </c>
      <c r="II104" s="10" t="s">
        <v>55</v>
      </c>
      <c r="IJ104" s="10" t="s">
        <v>56</v>
      </c>
      <c r="IK104" s="10" t="s">
        <v>55</v>
      </c>
      <c r="IL104" s="10" t="s">
        <v>56</v>
      </c>
      <c r="IM104" s="10" t="s">
        <v>55</v>
      </c>
      <c r="IN104" s="10" t="s">
        <v>56</v>
      </c>
      <c r="IO104" s="10" t="s">
        <v>55</v>
      </c>
      <c r="IP104" s="10" t="s">
        <v>56</v>
      </c>
      <c r="IQ104" s="10" t="s">
        <v>55</v>
      </c>
      <c r="IR104" s="10" t="s">
        <v>56</v>
      </c>
      <c r="IS104" s="10" t="s">
        <v>55</v>
      </c>
      <c r="IT104" s="10" t="s">
        <v>56</v>
      </c>
      <c r="IU104" s="10" t="s">
        <v>55</v>
      </c>
      <c r="IV104" s="4">
        <v>0.45</v>
      </c>
      <c r="IW104" s="4" t="s">
        <v>55</v>
      </c>
      <c r="IX104" s="4">
        <f>0.59*1000</f>
        <v>590</v>
      </c>
      <c r="IY104" s="4" t="s">
        <v>55</v>
      </c>
      <c r="IZ104" s="4">
        <f>0.1*1000</f>
        <v>100</v>
      </c>
      <c r="JA104" s="4" t="s">
        <v>55</v>
      </c>
      <c r="JB104" s="4">
        <f>0.28*1000</f>
        <v>280</v>
      </c>
      <c r="JC104" s="4" t="s">
        <v>55</v>
      </c>
      <c r="JD104" s="4">
        <f>0.06*1000</f>
        <v>60</v>
      </c>
      <c r="JE104" s="4" t="s">
        <v>55</v>
      </c>
      <c r="JF104" s="4">
        <v>0.13600000000000001</v>
      </c>
      <c r="JG104" s="4" t="s">
        <v>55</v>
      </c>
      <c r="JH104" s="4">
        <v>0.108</v>
      </c>
      <c r="JI104" s="4" t="s">
        <v>55</v>
      </c>
      <c r="JJ104" s="4">
        <v>0.158</v>
      </c>
      <c r="JK104" s="4" t="s">
        <v>55</v>
      </c>
      <c r="JL104" s="4">
        <v>0.63100000000000001</v>
      </c>
      <c r="JM104" s="4" t="s">
        <v>55</v>
      </c>
      <c r="JN104" s="4">
        <v>0.41099999999999998</v>
      </c>
      <c r="JO104" s="4" t="s">
        <v>55</v>
      </c>
      <c r="JP104" s="4">
        <v>0.27600000000000002</v>
      </c>
      <c r="JQ104" s="4" t="s">
        <v>55</v>
      </c>
      <c r="JR104" s="4">
        <v>0.38900000000000001</v>
      </c>
      <c r="JS104" s="4" t="s">
        <v>55</v>
      </c>
      <c r="JT104" s="4">
        <v>0.38200000000000001</v>
      </c>
      <c r="JU104" s="4" t="s">
        <v>55</v>
      </c>
      <c r="JV104" s="4">
        <v>15.36</v>
      </c>
      <c r="JW104" s="18" t="s">
        <v>55</v>
      </c>
      <c r="JX104" s="4" t="s">
        <v>56</v>
      </c>
      <c r="JY104" s="4" t="s">
        <v>55</v>
      </c>
      <c r="JZ104" s="4" t="s">
        <v>56</v>
      </c>
      <c r="KA104" s="4" t="s">
        <v>55</v>
      </c>
      <c r="KB104" s="4" t="s">
        <v>56</v>
      </c>
      <c r="KC104" s="4" t="s">
        <v>55</v>
      </c>
      <c r="KD104" s="4" t="s">
        <v>56</v>
      </c>
      <c r="KE104" s="4" t="s">
        <v>55</v>
      </c>
      <c r="KF104" s="4" t="s">
        <v>56</v>
      </c>
      <c r="KG104" s="4" t="s">
        <v>55</v>
      </c>
      <c r="KH104" s="4">
        <f>70.2*1000</f>
        <v>70200</v>
      </c>
      <c r="KI104" s="4">
        <f>7.7*1000</f>
        <v>7700</v>
      </c>
      <c r="KJ104" s="4">
        <f>226.1*1000</f>
        <v>226100</v>
      </c>
      <c r="KK104" s="4">
        <f>15.4*1000</f>
        <v>15400</v>
      </c>
      <c r="KL104" s="4">
        <f>58.5*1000</f>
        <v>58500</v>
      </c>
      <c r="KM104" s="4">
        <f>4.8*1000</f>
        <v>4800</v>
      </c>
      <c r="KN104" s="4">
        <f>98.1*1000</f>
        <v>98100</v>
      </c>
      <c r="KO104" s="4">
        <f>7.5*1000</f>
        <v>7500</v>
      </c>
      <c r="KP104" s="4">
        <f>251.5*1000</f>
        <v>251500</v>
      </c>
      <c r="KQ104" s="4">
        <f>16.6*1000</f>
        <v>16600</v>
      </c>
      <c r="KR104" s="17" t="s">
        <v>56</v>
      </c>
      <c r="KS104" s="17" t="s">
        <v>55</v>
      </c>
      <c r="KT104" s="17" t="s">
        <v>56</v>
      </c>
      <c r="KU104" s="17" t="s">
        <v>55</v>
      </c>
      <c r="KV104" s="17" t="s">
        <v>56</v>
      </c>
      <c r="KW104" s="17" t="s">
        <v>55</v>
      </c>
      <c r="KX104" s="17" t="s">
        <v>56</v>
      </c>
      <c r="KY104" s="17" t="s">
        <v>55</v>
      </c>
      <c r="KZ104" s="17" t="s">
        <v>56</v>
      </c>
      <c r="LA104" s="17" t="s">
        <v>55</v>
      </c>
      <c r="LB104" s="10">
        <f>((1.96/100)*1000000000)/E104</f>
        <v>112514.35132032148</v>
      </c>
      <c r="LC104" s="10">
        <f>((0.03/100)*1000000000)/E104</f>
        <v>1722.1584385763492</v>
      </c>
      <c r="LD104" s="10" t="s">
        <v>56</v>
      </c>
      <c r="LE104" s="10" t="s">
        <v>55</v>
      </c>
      <c r="LF104" s="10" t="s">
        <v>56</v>
      </c>
      <c r="LG104" s="10" t="s">
        <v>55</v>
      </c>
      <c r="LH104" s="10" t="s">
        <v>56</v>
      </c>
      <c r="LI104" s="10" t="s">
        <v>55</v>
      </c>
      <c r="LJ104" s="10">
        <f>((7.06/100)*1000000000)/E104</f>
        <v>405281.28587830084</v>
      </c>
      <c r="LK104" s="10" t="s">
        <v>162</v>
      </c>
      <c r="LL104" s="10">
        <f>(49.1*1000000)/E104</f>
        <v>281859.93111366249</v>
      </c>
      <c r="LM104" s="10">
        <f>(0.5*1000000)/E104</f>
        <v>2870.2640642939155</v>
      </c>
      <c r="LN104" s="10">
        <f>((2.76/100)*1000000000)/E104</f>
        <v>158438.57634902411</v>
      </c>
      <c r="LO104" s="10" t="s">
        <v>162</v>
      </c>
      <c r="LP104" s="10">
        <f>((15.6/100)*1000000000)/E104</f>
        <v>895522.38805970154</v>
      </c>
      <c r="LQ104" s="10" t="s">
        <v>55</v>
      </c>
      <c r="LR104" s="10">
        <f>((5.67/100)*1000000000)/E104</f>
        <v>325487.94489092997</v>
      </c>
      <c r="LS104" s="10" t="s">
        <v>55</v>
      </c>
      <c r="LT104" s="10">
        <f>((6.47/100)*1000000000)/E104</f>
        <v>371412.16991963261</v>
      </c>
      <c r="LU104" s="10" t="s">
        <v>55</v>
      </c>
      <c r="LV104" s="10">
        <f>((179/100)*1000000)/E104</f>
        <v>10275.545350172217</v>
      </c>
      <c r="LW104" s="10" t="s">
        <v>55</v>
      </c>
      <c r="LX104" s="10">
        <f>((108/100)*1000000)/E104</f>
        <v>6199.7703788748568</v>
      </c>
      <c r="LY104" s="10" t="s">
        <v>55</v>
      </c>
      <c r="LZ104" s="10">
        <f>((116/100)*1000000)/E104</f>
        <v>6659.0126291618835</v>
      </c>
      <c r="MA104" s="10" t="s">
        <v>55</v>
      </c>
      <c r="MB104" s="10">
        <f>((127/100)*1000000)/E104</f>
        <v>7290.4707233065446</v>
      </c>
      <c r="MC104" s="10" t="s">
        <v>55</v>
      </c>
      <c r="MD104" s="4">
        <v>4376</v>
      </c>
      <c r="ME104" s="4" t="s">
        <v>55</v>
      </c>
      <c r="MF104" s="4">
        <v>5991</v>
      </c>
      <c r="MG104" s="4" t="s">
        <v>55</v>
      </c>
      <c r="MH104" s="4">
        <v>2557</v>
      </c>
      <c r="MI104" s="4" t="s">
        <v>55</v>
      </c>
      <c r="MJ104" s="4">
        <v>5000</v>
      </c>
      <c r="MK104" s="4" t="s">
        <v>55</v>
      </c>
      <c r="ML104" s="4">
        <v>5388</v>
      </c>
      <c r="MM104" s="4" t="s">
        <v>55</v>
      </c>
      <c r="MN104" s="4">
        <v>7088</v>
      </c>
      <c r="MO104" s="4" t="s">
        <v>55</v>
      </c>
      <c r="MP104" s="4">
        <v>6701</v>
      </c>
      <c r="MQ104" s="4" t="s">
        <v>55</v>
      </c>
      <c r="MR104" s="4">
        <v>6123</v>
      </c>
      <c r="MS104" s="4" t="s">
        <v>55</v>
      </c>
      <c r="MT104" s="4">
        <v>4434</v>
      </c>
      <c r="MU104" s="4" t="s">
        <v>55</v>
      </c>
      <c r="MV104" s="4">
        <v>3808</v>
      </c>
      <c r="MW104" s="4" t="s">
        <v>55</v>
      </c>
      <c r="MX104" s="4">
        <v>3327</v>
      </c>
      <c r="MY104" s="4" t="s">
        <v>55</v>
      </c>
      <c r="MZ104" s="4">
        <v>4070</v>
      </c>
      <c r="NA104" s="4" t="s">
        <v>55</v>
      </c>
      <c r="NB104" s="10" t="s">
        <v>317</v>
      </c>
      <c r="NC104" s="10" t="s">
        <v>55</v>
      </c>
      <c r="ND104" s="10">
        <f>(0.25*1000000)/E104</f>
        <v>1435.1320321469577</v>
      </c>
      <c r="NE104" s="10" t="s">
        <v>55</v>
      </c>
      <c r="NF104" s="10">
        <f>(1.24*1000000)/E104</f>
        <v>7118.2548794489094</v>
      </c>
      <c r="NG104" s="10" t="s">
        <v>55</v>
      </c>
      <c r="NH104" s="10">
        <f>(0.934*1000000)/E104</f>
        <v>5361.6532721010335</v>
      </c>
      <c r="NI104" s="10" t="s">
        <v>55</v>
      </c>
      <c r="NJ104" s="10">
        <f>(7.52*1000000)/E104</f>
        <v>43168.771526980483</v>
      </c>
      <c r="NK104" s="10" t="s">
        <v>55</v>
      </c>
      <c r="NL104" s="10" t="s">
        <v>658</v>
      </c>
      <c r="NM104" s="4" t="s">
        <v>55</v>
      </c>
      <c r="NN104" s="4">
        <f>((62.88/100)*1000000)/E104</f>
        <v>3609.6440872560279</v>
      </c>
      <c r="NO104" s="4" t="s">
        <v>55</v>
      </c>
      <c r="NP104" s="4">
        <f>(18.3*1000000)/E104</f>
        <v>105051.6647531573</v>
      </c>
      <c r="NQ104" s="4">
        <f>(0.35*1000000)/E104</f>
        <v>2009.1848450057407</v>
      </c>
      <c r="NR104" s="10" t="s">
        <v>56</v>
      </c>
      <c r="NS104" s="10" t="s">
        <v>55</v>
      </c>
      <c r="NT104" s="10" t="s">
        <v>56</v>
      </c>
      <c r="NU104" s="10" t="s">
        <v>55</v>
      </c>
    </row>
    <row r="105" spans="1:385" x14ac:dyDescent="0.2">
      <c r="A105" t="s">
        <v>36</v>
      </c>
      <c r="B105" s="1" t="s">
        <v>1037</v>
      </c>
      <c r="C105" s="1" t="s">
        <v>858</v>
      </c>
      <c r="D105" s="39" cm="1">
        <f t="array" ref="D105">SUMPRODUCT((ISNUMBER(F105:NU105))*(MOD(COLUMN(F105:NU105),2)=0))</f>
        <v>10</v>
      </c>
      <c r="E105" s="1">
        <v>165.19</v>
      </c>
      <c r="F105" s="1" t="s">
        <v>56</v>
      </c>
      <c r="G105" s="1" t="s">
        <v>55</v>
      </c>
      <c r="H105" s="1" t="s">
        <v>56</v>
      </c>
      <c r="I105" s="1" t="s">
        <v>55</v>
      </c>
      <c r="J105" s="1" t="s">
        <v>56</v>
      </c>
      <c r="K105" s="1" t="s">
        <v>55</v>
      </c>
      <c r="L105" s="1" t="s">
        <v>56</v>
      </c>
      <c r="M105" s="1" t="s">
        <v>55</v>
      </c>
      <c r="N105" s="1" t="s">
        <v>56</v>
      </c>
      <c r="O105" s="1" t="s">
        <v>55</v>
      </c>
      <c r="P105" s="1" t="s">
        <v>56</v>
      </c>
      <c r="Q105" s="1" t="s">
        <v>55</v>
      </c>
      <c r="R105" s="1" t="s">
        <v>56</v>
      </c>
      <c r="S105" s="1" t="s">
        <v>55</v>
      </c>
      <c r="T105" s="1" t="s">
        <v>56</v>
      </c>
      <c r="U105" s="1" t="s">
        <v>55</v>
      </c>
      <c r="V105" s="1" t="s">
        <v>56</v>
      </c>
      <c r="W105" s="1" t="s">
        <v>55</v>
      </c>
      <c r="X105" s="1" t="s">
        <v>56</v>
      </c>
      <c r="Y105" s="1" t="s">
        <v>55</v>
      </c>
      <c r="Z105" s="1" t="s">
        <v>56</v>
      </c>
      <c r="AA105" s="1" t="s">
        <v>55</v>
      </c>
      <c r="AB105" s="1" t="s">
        <v>56</v>
      </c>
      <c r="AC105" s="1" t="s">
        <v>55</v>
      </c>
      <c r="AD105" s="1" t="s">
        <v>56</v>
      </c>
      <c r="AE105" s="1" t="s">
        <v>55</v>
      </c>
      <c r="AF105" s="1" t="s">
        <v>56</v>
      </c>
      <c r="AG105" s="1" t="s">
        <v>55</v>
      </c>
      <c r="AH105" s="1" t="s">
        <v>56</v>
      </c>
      <c r="AI105" s="1" t="s">
        <v>55</v>
      </c>
      <c r="AJ105" s="1" t="s">
        <v>56</v>
      </c>
      <c r="AK105" s="1" t="s">
        <v>55</v>
      </c>
      <c r="AL105" s="1" t="s">
        <v>56</v>
      </c>
      <c r="AM105" s="1" t="s">
        <v>55</v>
      </c>
      <c r="AN105" s="1" t="s">
        <v>56</v>
      </c>
      <c r="AO105" s="1" t="s">
        <v>55</v>
      </c>
      <c r="AP105" s="1" t="s">
        <v>56</v>
      </c>
      <c r="AQ105" s="1" t="s">
        <v>55</v>
      </c>
      <c r="AR105" s="1" t="s">
        <v>56</v>
      </c>
      <c r="AS105" s="1" t="s">
        <v>55</v>
      </c>
      <c r="AT105" s="1" t="s">
        <v>56</v>
      </c>
      <c r="AU105" s="1" t="s">
        <v>55</v>
      </c>
      <c r="AV105" s="1" t="s">
        <v>56</v>
      </c>
      <c r="AW105" s="1" t="s">
        <v>55</v>
      </c>
      <c r="AX105" s="1" t="s">
        <v>56</v>
      </c>
      <c r="AY105" s="1" t="s">
        <v>55</v>
      </c>
      <c r="AZ105" s="1" t="s">
        <v>56</v>
      </c>
      <c r="BA105" s="1" t="s">
        <v>55</v>
      </c>
      <c r="BB105" s="1" t="s">
        <v>56</v>
      </c>
      <c r="BC105" s="1" t="s">
        <v>55</v>
      </c>
      <c r="BD105" s="1" t="s">
        <v>56</v>
      </c>
      <c r="BE105" s="1" t="s">
        <v>55</v>
      </c>
      <c r="BF105" s="1" t="s">
        <v>56</v>
      </c>
      <c r="BG105" s="1" t="s">
        <v>55</v>
      </c>
      <c r="BH105" s="1" t="s">
        <v>56</v>
      </c>
      <c r="BI105" s="1" t="s">
        <v>55</v>
      </c>
      <c r="BJ105" s="1" t="s">
        <v>56</v>
      </c>
      <c r="BK105" s="1" t="s">
        <v>55</v>
      </c>
      <c r="BL105" s="1" t="s">
        <v>56</v>
      </c>
      <c r="BM105" s="1" t="s">
        <v>55</v>
      </c>
      <c r="BN105" s="1" t="s">
        <v>56</v>
      </c>
      <c r="BO105" s="1" t="s">
        <v>55</v>
      </c>
      <c r="BP105" s="1" t="s">
        <v>56</v>
      </c>
      <c r="BQ105" s="1" t="s">
        <v>55</v>
      </c>
      <c r="BR105" s="1" t="s">
        <v>56</v>
      </c>
      <c r="BS105" s="1" t="s">
        <v>55</v>
      </c>
      <c r="BT105" s="1" t="s">
        <v>56</v>
      </c>
      <c r="BU105" s="1" t="s">
        <v>55</v>
      </c>
      <c r="BV105" s="1" t="s">
        <v>56</v>
      </c>
      <c r="BW105" s="1" t="s">
        <v>55</v>
      </c>
      <c r="BX105" s="1" t="s">
        <v>56</v>
      </c>
      <c r="BY105" s="1" t="s">
        <v>55</v>
      </c>
      <c r="BZ105" s="1" t="s">
        <v>56</v>
      </c>
      <c r="CA105" s="1" t="s">
        <v>55</v>
      </c>
      <c r="CB105" s="1" t="s">
        <v>56</v>
      </c>
      <c r="CC105" s="1" t="s">
        <v>55</v>
      </c>
      <c r="CD105" s="1" t="s">
        <v>56</v>
      </c>
      <c r="CE105" s="1" t="s">
        <v>55</v>
      </c>
      <c r="CF105" s="1" t="s">
        <v>56</v>
      </c>
      <c r="CG105" s="1" t="s">
        <v>55</v>
      </c>
      <c r="CH105" s="1" t="s">
        <v>56</v>
      </c>
      <c r="CI105" s="1" t="s">
        <v>55</v>
      </c>
      <c r="CJ105" s="1" t="s">
        <v>56</v>
      </c>
      <c r="CK105" s="1" t="s">
        <v>55</v>
      </c>
      <c r="CL105" s="1" t="s">
        <v>56</v>
      </c>
      <c r="CM105" s="1" t="s">
        <v>55</v>
      </c>
      <c r="CN105" s="1" t="s">
        <v>56</v>
      </c>
      <c r="CO105" s="1" t="s">
        <v>55</v>
      </c>
      <c r="CP105" s="1" t="s">
        <v>56</v>
      </c>
      <c r="CQ105" s="1" t="s">
        <v>55</v>
      </c>
      <c r="CR105" s="1" t="s">
        <v>56</v>
      </c>
      <c r="CS105" s="1" t="s">
        <v>55</v>
      </c>
      <c r="CT105" s="1" t="s">
        <v>56</v>
      </c>
      <c r="CU105" s="1" t="s">
        <v>55</v>
      </c>
      <c r="CV105" s="1" t="s">
        <v>56</v>
      </c>
      <c r="CW105" s="1" t="s">
        <v>55</v>
      </c>
      <c r="CX105" s="1" t="s">
        <v>56</v>
      </c>
      <c r="CY105" s="1" t="s">
        <v>55</v>
      </c>
      <c r="CZ105" s="1" t="s">
        <v>56</v>
      </c>
      <c r="DA105" s="1" t="s">
        <v>55</v>
      </c>
      <c r="DB105" s="1" t="s">
        <v>56</v>
      </c>
      <c r="DC105" s="1" t="s">
        <v>55</v>
      </c>
      <c r="DD105" s="1" t="s">
        <v>56</v>
      </c>
      <c r="DE105" s="1" t="s">
        <v>55</v>
      </c>
      <c r="DF105" s="1" t="s">
        <v>56</v>
      </c>
      <c r="DG105" s="1" t="s">
        <v>55</v>
      </c>
      <c r="DH105" s="1" t="s">
        <v>56</v>
      </c>
      <c r="DI105" s="1" t="s">
        <v>55</v>
      </c>
      <c r="DJ105" s="1" t="s">
        <v>56</v>
      </c>
      <c r="DK105" s="1" t="s">
        <v>55</v>
      </c>
      <c r="DL105" s="1" t="s">
        <v>56</v>
      </c>
      <c r="DM105" s="1" t="s">
        <v>55</v>
      </c>
      <c r="DN105" s="1" t="s">
        <v>56</v>
      </c>
      <c r="DO105" s="1" t="s">
        <v>55</v>
      </c>
      <c r="DP105" s="1" t="s">
        <v>56</v>
      </c>
      <c r="DQ105" s="1" t="s">
        <v>55</v>
      </c>
      <c r="DR105" s="1" t="s">
        <v>56</v>
      </c>
      <c r="DS105" s="1" t="s">
        <v>55</v>
      </c>
      <c r="DT105" s="1" t="s">
        <v>56</v>
      </c>
      <c r="DU105" s="1" t="s">
        <v>55</v>
      </c>
      <c r="DV105" s="1" t="s">
        <v>56</v>
      </c>
      <c r="DW105" s="1" t="s">
        <v>55</v>
      </c>
      <c r="DX105" s="1" t="s">
        <v>56</v>
      </c>
      <c r="DY105" s="1" t="s">
        <v>55</v>
      </c>
      <c r="DZ105" s="1" t="s">
        <v>56</v>
      </c>
      <c r="EA105" s="1" t="s">
        <v>55</v>
      </c>
      <c r="EB105" s="1" t="s">
        <v>56</v>
      </c>
      <c r="EC105" s="1" t="s">
        <v>55</v>
      </c>
      <c r="ED105" s="1" t="s">
        <v>56</v>
      </c>
      <c r="EE105" s="1" t="s">
        <v>55</v>
      </c>
      <c r="EF105" s="1" t="s">
        <v>56</v>
      </c>
      <c r="EG105" s="1" t="s">
        <v>55</v>
      </c>
      <c r="EH105" s="1" t="s">
        <v>56</v>
      </c>
      <c r="EI105" s="1" t="s">
        <v>55</v>
      </c>
      <c r="EJ105" s="1" t="s">
        <v>56</v>
      </c>
      <c r="EK105" s="1" t="s">
        <v>55</v>
      </c>
      <c r="EL105" s="1" t="s">
        <v>56</v>
      </c>
      <c r="EM105" s="1" t="s">
        <v>55</v>
      </c>
      <c r="EN105" s="1" t="s">
        <v>56</v>
      </c>
      <c r="EO105" s="1" t="s">
        <v>55</v>
      </c>
      <c r="EP105" s="1" t="s">
        <v>56</v>
      </c>
      <c r="EQ105" s="1" t="s">
        <v>55</v>
      </c>
      <c r="ER105" s="1" t="s">
        <v>56</v>
      </c>
      <c r="ES105" s="1" t="s">
        <v>55</v>
      </c>
      <c r="ET105" s="1" t="s">
        <v>56</v>
      </c>
      <c r="EU105" s="1" t="s">
        <v>55</v>
      </c>
      <c r="EV105" s="1" t="s">
        <v>56</v>
      </c>
      <c r="EW105" s="1" t="s">
        <v>55</v>
      </c>
      <c r="EX105" s="1" t="s">
        <v>56</v>
      </c>
      <c r="EY105" s="1" t="s">
        <v>55</v>
      </c>
      <c r="EZ105" s="1" t="s">
        <v>56</v>
      </c>
      <c r="FA105" s="1" t="s">
        <v>55</v>
      </c>
      <c r="FB105" s="1" t="s">
        <v>56</v>
      </c>
      <c r="FC105" s="1" t="s">
        <v>55</v>
      </c>
      <c r="FD105" s="1" t="s">
        <v>56</v>
      </c>
      <c r="FE105" s="1" t="s">
        <v>55</v>
      </c>
      <c r="FF105" s="1" t="s">
        <v>56</v>
      </c>
      <c r="FG105" s="1" t="s">
        <v>55</v>
      </c>
      <c r="FH105" s="1" t="s">
        <v>56</v>
      </c>
      <c r="FI105" s="1" t="s">
        <v>55</v>
      </c>
      <c r="FJ105" s="1" t="s">
        <v>56</v>
      </c>
      <c r="FK105" s="1" t="s">
        <v>55</v>
      </c>
      <c r="FL105" s="1" t="s">
        <v>56</v>
      </c>
      <c r="FM105" s="1" t="s">
        <v>55</v>
      </c>
      <c r="FN105" s="1" t="s">
        <v>56</v>
      </c>
      <c r="FO105" s="1" t="s">
        <v>55</v>
      </c>
      <c r="FP105" s="1" t="s">
        <v>56</v>
      </c>
      <c r="FQ105" s="1" t="s">
        <v>55</v>
      </c>
      <c r="FR105" s="1" t="s">
        <v>56</v>
      </c>
      <c r="FS105" s="1" t="s">
        <v>55</v>
      </c>
      <c r="FT105" s="1" t="s">
        <v>56</v>
      </c>
      <c r="FU105" s="1" t="s">
        <v>55</v>
      </c>
      <c r="FV105" s="1" t="s">
        <v>56</v>
      </c>
      <c r="FW105" s="1" t="s">
        <v>55</v>
      </c>
      <c r="FX105" s="1" t="s">
        <v>56</v>
      </c>
      <c r="FY105" s="1" t="s">
        <v>55</v>
      </c>
      <c r="FZ105" s="1" t="s">
        <v>56</v>
      </c>
      <c r="GA105" s="1" t="s">
        <v>55</v>
      </c>
      <c r="GB105" s="1" t="s">
        <v>56</v>
      </c>
      <c r="GC105" s="1" t="s">
        <v>55</v>
      </c>
      <c r="GD105" s="1" t="s">
        <v>56</v>
      </c>
      <c r="GE105" s="1" t="s">
        <v>55</v>
      </c>
      <c r="GF105" s="1" t="s">
        <v>56</v>
      </c>
      <c r="GG105" s="1" t="s">
        <v>55</v>
      </c>
      <c r="GH105" s="1" t="s">
        <v>56</v>
      </c>
      <c r="GI105" s="1" t="s">
        <v>55</v>
      </c>
      <c r="GJ105" s="1" t="s">
        <v>56</v>
      </c>
      <c r="GK105" s="1" t="s">
        <v>55</v>
      </c>
      <c r="GL105" s="1" t="s">
        <v>56</v>
      </c>
      <c r="GM105" s="1" t="s">
        <v>55</v>
      </c>
      <c r="GN105" s="1" t="s">
        <v>56</v>
      </c>
      <c r="GO105" s="1" t="s">
        <v>55</v>
      </c>
      <c r="GP105" s="1" t="s">
        <v>56</v>
      </c>
      <c r="GQ105" s="1" t="s">
        <v>55</v>
      </c>
      <c r="GR105" s="1" t="s">
        <v>56</v>
      </c>
      <c r="GS105" s="1" t="s">
        <v>55</v>
      </c>
      <c r="GT105" s="1" t="s">
        <v>56</v>
      </c>
      <c r="GU105" s="1" t="s">
        <v>55</v>
      </c>
      <c r="GV105" s="17" t="s">
        <v>56</v>
      </c>
      <c r="GW105" s="17" t="s">
        <v>55</v>
      </c>
      <c r="GX105" s="1" t="s">
        <v>56</v>
      </c>
      <c r="GY105" s="1" t="s">
        <v>55</v>
      </c>
      <c r="GZ105" s="10" t="s">
        <v>56</v>
      </c>
      <c r="HA105" s="10" t="s">
        <v>55</v>
      </c>
      <c r="HB105" s="10" t="s">
        <v>56</v>
      </c>
      <c r="HC105" s="10" t="s">
        <v>55</v>
      </c>
      <c r="HD105" s="10" t="s">
        <v>56</v>
      </c>
      <c r="HE105" s="10" t="s">
        <v>55</v>
      </c>
      <c r="HF105" s="10" t="s">
        <v>56</v>
      </c>
      <c r="HG105" s="10" t="s">
        <v>55</v>
      </c>
      <c r="HH105" s="10" t="s">
        <v>56</v>
      </c>
      <c r="HI105" s="10" t="s">
        <v>55</v>
      </c>
      <c r="HJ105" s="10" t="s">
        <v>56</v>
      </c>
      <c r="HK105" s="10" t="s">
        <v>55</v>
      </c>
      <c r="HL105" s="10" t="s">
        <v>56</v>
      </c>
      <c r="HM105" s="10" t="s">
        <v>55</v>
      </c>
      <c r="HN105" s="10" t="s">
        <v>56</v>
      </c>
      <c r="HO105" s="10" t="s">
        <v>55</v>
      </c>
      <c r="HP105" s="10">
        <v>7</v>
      </c>
      <c r="HQ105" s="10">
        <v>0.5</v>
      </c>
      <c r="HR105" s="10">
        <v>7</v>
      </c>
      <c r="HS105" s="10">
        <v>0.5</v>
      </c>
      <c r="HT105" s="10">
        <v>0.44</v>
      </c>
      <c r="HU105" s="10">
        <v>0.08</v>
      </c>
      <c r="HV105" s="10">
        <v>0.6</v>
      </c>
      <c r="HW105" s="10">
        <v>0.08</v>
      </c>
      <c r="HX105" s="10" t="s">
        <v>319</v>
      </c>
      <c r="HY105" s="10" t="s">
        <v>55</v>
      </c>
      <c r="HZ105" s="10">
        <v>0.87</v>
      </c>
      <c r="IA105" s="10">
        <v>0.06</v>
      </c>
      <c r="IB105" s="10" t="s">
        <v>317</v>
      </c>
      <c r="IC105" s="10" t="s">
        <v>55</v>
      </c>
      <c r="ID105" s="1" t="s">
        <v>56</v>
      </c>
      <c r="IE105" s="1" t="s">
        <v>55</v>
      </c>
      <c r="IF105" s="4" t="s">
        <v>56</v>
      </c>
      <c r="IG105" s="4" t="s">
        <v>55</v>
      </c>
      <c r="IH105" s="4" t="s">
        <v>56</v>
      </c>
      <c r="II105" s="4" t="s">
        <v>55</v>
      </c>
      <c r="IJ105" s="4" t="s">
        <v>56</v>
      </c>
      <c r="IK105" s="4" t="s">
        <v>55</v>
      </c>
      <c r="IL105" s="4" t="s">
        <v>56</v>
      </c>
      <c r="IM105" s="4" t="s">
        <v>55</v>
      </c>
      <c r="IN105" s="4" t="s">
        <v>56</v>
      </c>
      <c r="IO105" s="4" t="s">
        <v>55</v>
      </c>
      <c r="IP105" s="4" t="s">
        <v>56</v>
      </c>
      <c r="IQ105" s="4" t="s">
        <v>55</v>
      </c>
      <c r="IR105" s="4" t="s">
        <v>56</v>
      </c>
      <c r="IS105" s="4" t="s">
        <v>55</v>
      </c>
      <c r="IT105" s="4" t="s">
        <v>56</v>
      </c>
      <c r="IU105" s="4" t="s">
        <v>55</v>
      </c>
      <c r="IV105" s="4" t="s">
        <v>56</v>
      </c>
      <c r="IW105" s="4" t="s">
        <v>55</v>
      </c>
      <c r="IX105" s="4" t="s">
        <v>56</v>
      </c>
      <c r="IY105" s="4" t="s">
        <v>55</v>
      </c>
      <c r="IZ105" s="4" t="s">
        <v>56</v>
      </c>
      <c r="JA105" s="4" t="s">
        <v>55</v>
      </c>
      <c r="JB105" s="4" t="s">
        <v>56</v>
      </c>
      <c r="JC105" s="4" t="s">
        <v>55</v>
      </c>
      <c r="JD105" s="4" t="s">
        <v>56</v>
      </c>
      <c r="JE105" s="4" t="s">
        <v>55</v>
      </c>
      <c r="JF105" s="4" t="s">
        <v>56</v>
      </c>
      <c r="JG105" s="4" t="s">
        <v>55</v>
      </c>
      <c r="JH105" s="4" t="s">
        <v>56</v>
      </c>
      <c r="JI105" s="4" t="s">
        <v>55</v>
      </c>
      <c r="JJ105" s="4" t="s">
        <v>56</v>
      </c>
      <c r="JK105" s="4" t="s">
        <v>55</v>
      </c>
      <c r="JL105" s="4" t="s">
        <v>56</v>
      </c>
      <c r="JM105" s="4" t="s">
        <v>55</v>
      </c>
      <c r="JN105" s="4" t="s">
        <v>56</v>
      </c>
      <c r="JO105" s="4" t="s">
        <v>55</v>
      </c>
      <c r="JP105" s="4" t="s">
        <v>56</v>
      </c>
      <c r="JQ105" s="4" t="s">
        <v>55</v>
      </c>
      <c r="JR105" s="4" t="s">
        <v>56</v>
      </c>
      <c r="JS105" s="4" t="s">
        <v>55</v>
      </c>
      <c r="JT105" s="4" t="s">
        <v>56</v>
      </c>
      <c r="JU105" s="4" t="s">
        <v>55</v>
      </c>
      <c r="JV105" s="4" t="s">
        <v>56</v>
      </c>
      <c r="JW105" s="4" t="s">
        <v>55</v>
      </c>
      <c r="JX105" s="26">
        <v>232.7170681629344</v>
      </c>
      <c r="JY105" s="26">
        <v>50.304609747688502</v>
      </c>
      <c r="JZ105" s="26">
        <v>243.0496094776253</v>
      </c>
      <c r="KA105" s="26">
        <v>69.029494683681222</v>
      </c>
      <c r="KB105" s="26">
        <v>211.0012045780849</v>
      </c>
      <c r="KC105" s="26">
        <v>63.608828339542313</v>
      </c>
      <c r="KD105" s="26">
        <v>91.931612878237729</v>
      </c>
      <c r="KE105" s="26">
        <v>29.591232401340516</v>
      </c>
      <c r="KF105" s="26">
        <v>191.5452131761507</v>
      </c>
      <c r="KG105" s="26">
        <v>7.5583758609621805</v>
      </c>
      <c r="KH105" s="4" t="s">
        <v>56</v>
      </c>
      <c r="KI105" s="4" t="s">
        <v>55</v>
      </c>
      <c r="KJ105" s="4" t="s">
        <v>56</v>
      </c>
      <c r="KK105" s="4" t="s">
        <v>55</v>
      </c>
      <c r="KL105" s="4" t="s">
        <v>56</v>
      </c>
      <c r="KM105" s="4" t="s">
        <v>55</v>
      </c>
      <c r="KN105" s="4" t="s">
        <v>56</v>
      </c>
      <c r="KO105" s="4" t="s">
        <v>55</v>
      </c>
      <c r="KP105" s="4" t="s">
        <v>56</v>
      </c>
      <c r="KQ105" s="4" t="s">
        <v>55</v>
      </c>
      <c r="KR105" s="17" t="s">
        <v>56</v>
      </c>
      <c r="KS105" s="17" t="s">
        <v>55</v>
      </c>
      <c r="KT105" s="17" t="s">
        <v>56</v>
      </c>
      <c r="KU105" s="17" t="s">
        <v>55</v>
      </c>
      <c r="KV105" s="4" t="s">
        <v>57</v>
      </c>
      <c r="KW105" s="4" t="s">
        <v>55</v>
      </c>
      <c r="KX105" s="4" t="s">
        <v>57</v>
      </c>
      <c r="KY105" s="4" t="s">
        <v>55</v>
      </c>
      <c r="KZ105" s="4" t="s">
        <v>57</v>
      </c>
      <c r="LA105" s="4" t="s">
        <v>55</v>
      </c>
      <c r="LB105" s="10" t="s">
        <v>56</v>
      </c>
      <c r="LC105" s="10" t="s">
        <v>55</v>
      </c>
      <c r="LD105" s="10" t="s">
        <v>56</v>
      </c>
      <c r="LE105" s="10" t="s">
        <v>55</v>
      </c>
      <c r="LF105" s="10" t="s">
        <v>56</v>
      </c>
      <c r="LG105" s="10" t="s">
        <v>55</v>
      </c>
      <c r="LH105" s="10" t="s">
        <v>56</v>
      </c>
      <c r="LI105" s="10" t="s">
        <v>55</v>
      </c>
      <c r="LJ105" s="10" t="s">
        <v>56</v>
      </c>
      <c r="LK105" s="10" t="s">
        <v>55</v>
      </c>
      <c r="LL105" s="10" t="s">
        <v>56</v>
      </c>
      <c r="LM105" s="10" t="s">
        <v>55</v>
      </c>
      <c r="LN105" s="10" t="s">
        <v>56</v>
      </c>
      <c r="LO105" s="10" t="s">
        <v>55</v>
      </c>
      <c r="LP105" s="10" t="s">
        <v>56</v>
      </c>
      <c r="LQ105" s="10" t="s">
        <v>55</v>
      </c>
      <c r="LR105" s="10" t="s">
        <v>56</v>
      </c>
      <c r="LS105" s="10" t="s">
        <v>55</v>
      </c>
      <c r="LT105" s="10" t="s">
        <v>56</v>
      </c>
      <c r="LU105" s="10" t="s">
        <v>55</v>
      </c>
      <c r="LV105" s="10" t="s">
        <v>56</v>
      </c>
      <c r="LW105" s="10" t="s">
        <v>55</v>
      </c>
      <c r="LX105" s="10" t="s">
        <v>56</v>
      </c>
      <c r="LY105" s="10" t="s">
        <v>55</v>
      </c>
      <c r="LZ105" s="10" t="s">
        <v>56</v>
      </c>
      <c r="MA105" s="10" t="s">
        <v>55</v>
      </c>
      <c r="MB105" s="10" t="s">
        <v>56</v>
      </c>
      <c r="MC105" s="10" t="s">
        <v>55</v>
      </c>
      <c r="MD105" s="10" t="s">
        <v>56</v>
      </c>
      <c r="ME105" s="10" t="s">
        <v>55</v>
      </c>
      <c r="MF105" s="10" t="s">
        <v>56</v>
      </c>
      <c r="MG105" s="10" t="s">
        <v>55</v>
      </c>
      <c r="MH105" s="10" t="s">
        <v>56</v>
      </c>
      <c r="MI105" s="10" t="s">
        <v>55</v>
      </c>
      <c r="MJ105" s="10" t="s">
        <v>56</v>
      </c>
      <c r="MK105" s="10" t="s">
        <v>55</v>
      </c>
      <c r="ML105" s="10" t="s">
        <v>56</v>
      </c>
      <c r="MM105" s="10" t="s">
        <v>55</v>
      </c>
      <c r="MN105" s="10" t="s">
        <v>56</v>
      </c>
      <c r="MO105" s="10" t="s">
        <v>55</v>
      </c>
      <c r="MP105" s="10" t="s">
        <v>56</v>
      </c>
      <c r="MQ105" s="10" t="s">
        <v>55</v>
      </c>
      <c r="MR105" s="10" t="s">
        <v>56</v>
      </c>
      <c r="MS105" s="10" t="s">
        <v>55</v>
      </c>
      <c r="MT105" s="10" t="s">
        <v>56</v>
      </c>
      <c r="MU105" s="10" t="s">
        <v>55</v>
      </c>
      <c r="MV105" s="10" t="s">
        <v>56</v>
      </c>
      <c r="MW105" s="10" t="s">
        <v>55</v>
      </c>
      <c r="MX105" s="10" t="s">
        <v>56</v>
      </c>
      <c r="MY105" s="10" t="s">
        <v>55</v>
      </c>
      <c r="MZ105" s="10" t="s">
        <v>56</v>
      </c>
      <c r="NA105" s="10" t="s">
        <v>55</v>
      </c>
      <c r="NB105" s="10" t="s">
        <v>56</v>
      </c>
      <c r="NC105" s="10" t="s">
        <v>55</v>
      </c>
      <c r="ND105" s="10" t="s">
        <v>56</v>
      </c>
      <c r="NE105" s="10" t="s">
        <v>55</v>
      </c>
      <c r="NF105" s="10" t="s">
        <v>56</v>
      </c>
      <c r="NG105" s="10" t="s">
        <v>55</v>
      </c>
      <c r="NH105" s="10" t="s">
        <v>56</v>
      </c>
      <c r="NI105" s="10" t="s">
        <v>55</v>
      </c>
      <c r="NJ105" s="10" t="s">
        <v>56</v>
      </c>
      <c r="NK105" s="10" t="s">
        <v>55</v>
      </c>
      <c r="NL105" s="10" t="s">
        <v>56</v>
      </c>
      <c r="NM105" s="10" t="s">
        <v>55</v>
      </c>
      <c r="NN105" s="10" t="s">
        <v>56</v>
      </c>
      <c r="NO105" s="10" t="s">
        <v>55</v>
      </c>
      <c r="NP105" s="10" t="s">
        <v>56</v>
      </c>
      <c r="NQ105" s="10" t="s">
        <v>55</v>
      </c>
      <c r="NR105" s="10" t="s">
        <v>56</v>
      </c>
      <c r="NS105" s="10" t="s">
        <v>55</v>
      </c>
      <c r="NT105" s="10" t="s">
        <v>56</v>
      </c>
      <c r="NU105" s="10" t="s">
        <v>55</v>
      </c>
    </row>
    <row r="106" spans="1:385" x14ac:dyDescent="0.2">
      <c r="A106" t="s">
        <v>37</v>
      </c>
      <c r="B106" s="1" t="s">
        <v>1037</v>
      </c>
      <c r="C106" s="1" t="s">
        <v>859</v>
      </c>
      <c r="D106" s="39" cm="1">
        <f t="array" ref="D106">SUMPRODUCT((ISNUMBER(F106:NU106))*(MOD(COLUMN(F106:NU106),2)=0))</f>
        <v>26</v>
      </c>
      <c r="E106" s="1">
        <v>165.19</v>
      </c>
      <c r="F106" s="1" t="s">
        <v>56</v>
      </c>
      <c r="G106" s="1" t="s">
        <v>55</v>
      </c>
      <c r="H106" s="1" t="s">
        <v>56</v>
      </c>
      <c r="I106" s="1" t="s">
        <v>55</v>
      </c>
      <c r="J106" s="1" t="s">
        <v>56</v>
      </c>
      <c r="K106" s="1" t="s">
        <v>55</v>
      </c>
      <c r="L106" s="1" t="s">
        <v>56</v>
      </c>
      <c r="M106" s="1" t="s">
        <v>55</v>
      </c>
      <c r="N106" s="1" t="s">
        <v>56</v>
      </c>
      <c r="O106" s="1" t="s">
        <v>55</v>
      </c>
      <c r="P106" s="1" t="s">
        <v>56</v>
      </c>
      <c r="Q106" s="1" t="s">
        <v>55</v>
      </c>
      <c r="R106" s="1" t="s">
        <v>56</v>
      </c>
      <c r="S106" s="1" t="s">
        <v>55</v>
      </c>
      <c r="T106" s="1" t="s">
        <v>56</v>
      </c>
      <c r="U106" s="1" t="s">
        <v>55</v>
      </c>
      <c r="V106" s="1" t="s">
        <v>56</v>
      </c>
      <c r="W106" s="1" t="s">
        <v>55</v>
      </c>
      <c r="X106" s="1" t="s">
        <v>56</v>
      </c>
      <c r="Y106" s="1" t="s">
        <v>55</v>
      </c>
      <c r="Z106" s="1" t="s">
        <v>56</v>
      </c>
      <c r="AA106" s="1" t="s">
        <v>55</v>
      </c>
      <c r="AB106" s="1" t="s">
        <v>56</v>
      </c>
      <c r="AC106" s="1" t="s">
        <v>55</v>
      </c>
      <c r="AD106" s="1" t="s">
        <v>56</v>
      </c>
      <c r="AE106" s="1" t="s">
        <v>55</v>
      </c>
      <c r="AF106" s="1" t="s">
        <v>56</v>
      </c>
      <c r="AG106" s="1" t="s">
        <v>55</v>
      </c>
      <c r="AH106" s="1" t="s">
        <v>56</v>
      </c>
      <c r="AI106" s="1" t="s">
        <v>55</v>
      </c>
      <c r="AJ106" s="1" t="s">
        <v>56</v>
      </c>
      <c r="AK106" s="1" t="s">
        <v>55</v>
      </c>
      <c r="AL106" s="1" t="s">
        <v>56</v>
      </c>
      <c r="AM106" s="1" t="s">
        <v>55</v>
      </c>
      <c r="AN106" s="1" t="s">
        <v>56</v>
      </c>
      <c r="AO106" s="1" t="s">
        <v>55</v>
      </c>
      <c r="AP106" s="1" t="s">
        <v>56</v>
      </c>
      <c r="AQ106" s="1" t="s">
        <v>55</v>
      </c>
      <c r="AR106" s="1" t="s">
        <v>56</v>
      </c>
      <c r="AS106" s="1" t="s">
        <v>55</v>
      </c>
      <c r="AT106" s="1" t="s">
        <v>56</v>
      </c>
      <c r="AU106" s="1" t="s">
        <v>55</v>
      </c>
      <c r="AV106" s="1" t="s">
        <v>56</v>
      </c>
      <c r="AW106" s="1" t="s">
        <v>55</v>
      </c>
      <c r="AX106" s="1" t="s">
        <v>56</v>
      </c>
      <c r="AY106" s="1" t="s">
        <v>55</v>
      </c>
      <c r="AZ106" s="1" t="s">
        <v>56</v>
      </c>
      <c r="BA106" s="1" t="s">
        <v>55</v>
      </c>
      <c r="BB106" s="1" t="s">
        <v>56</v>
      </c>
      <c r="BC106" s="1" t="s">
        <v>55</v>
      </c>
      <c r="BD106" s="1" t="s">
        <v>56</v>
      </c>
      <c r="BE106" s="1" t="s">
        <v>55</v>
      </c>
      <c r="BF106" s="1" t="s">
        <v>56</v>
      </c>
      <c r="BG106" s="1" t="s">
        <v>55</v>
      </c>
      <c r="BH106" s="1" t="s">
        <v>56</v>
      </c>
      <c r="BI106" s="1" t="s">
        <v>55</v>
      </c>
      <c r="BJ106" s="1" t="s">
        <v>56</v>
      </c>
      <c r="BK106" s="1" t="s">
        <v>55</v>
      </c>
      <c r="BL106" s="1" t="s">
        <v>56</v>
      </c>
      <c r="BM106" s="1" t="s">
        <v>55</v>
      </c>
      <c r="BN106" s="1" t="s">
        <v>56</v>
      </c>
      <c r="BO106" s="1" t="s">
        <v>55</v>
      </c>
      <c r="BP106" s="1" t="s">
        <v>56</v>
      </c>
      <c r="BQ106" s="1" t="s">
        <v>55</v>
      </c>
      <c r="BR106" s="1" t="s">
        <v>56</v>
      </c>
      <c r="BS106" s="1" t="s">
        <v>55</v>
      </c>
      <c r="BT106" s="1" t="s">
        <v>56</v>
      </c>
      <c r="BU106" s="1" t="s">
        <v>55</v>
      </c>
      <c r="BV106" s="1" t="s">
        <v>56</v>
      </c>
      <c r="BW106" s="1" t="s">
        <v>55</v>
      </c>
      <c r="BX106" s="1" t="s">
        <v>56</v>
      </c>
      <c r="BY106" s="1" t="s">
        <v>55</v>
      </c>
      <c r="BZ106" s="1" t="s">
        <v>56</v>
      </c>
      <c r="CA106" s="1" t="s">
        <v>55</v>
      </c>
      <c r="CB106" s="1" t="s">
        <v>56</v>
      </c>
      <c r="CC106" s="1" t="s">
        <v>55</v>
      </c>
      <c r="CD106" s="1" t="s">
        <v>56</v>
      </c>
      <c r="CE106" s="1" t="s">
        <v>55</v>
      </c>
      <c r="CF106" s="1" t="s">
        <v>56</v>
      </c>
      <c r="CG106" s="1" t="s">
        <v>55</v>
      </c>
      <c r="CH106" s="1" t="s">
        <v>56</v>
      </c>
      <c r="CI106" s="1" t="s">
        <v>55</v>
      </c>
      <c r="CJ106" s="1" t="s">
        <v>56</v>
      </c>
      <c r="CK106" s="1" t="s">
        <v>55</v>
      </c>
      <c r="CL106" s="1" t="s">
        <v>56</v>
      </c>
      <c r="CM106" s="1" t="s">
        <v>55</v>
      </c>
      <c r="CN106" s="1" t="s">
        <v>56</v>
      </c>
      <c r="CO106" s="1" t="s">
        <v>55</v>
      </c>
      <c r="CP106" s="1" t="s">
        <v>56</v>
      </c>
      <c r="CQ106" s="1" t="s">
        <v>55</v>
      </c>
      <c r="CR106" s="1" t="s">
        <v>56</v>
      </c>
      <c r="CS106" s="1" t="s">
        <v>55</v>
      </c>
      <c r="CT106" s="1" t="s">
        <v>56</v>
      </c>
      <c r="CU106" s="1" t="s">
        <v>55</v>
      </c>
      <c r="CV106" s="1" t="s">
        <v>56</v>
      </c>
      <c r="CW106" s="1" t="s">
        <v>55</v>
      </c>
      <c r="CX106" s="1" t="s">
        <v>56</v>
      </c>
      <c r="CY106" s="1" t="s">
        <v>55</v>
      </c>
      <c r="CZ106" s="1" t="s">
        <v>56</v>
      </c>
      <c r="DA106" s="1" t="s">
        <v>55</v>
      </c>
      <c r="DB106" s="1" t="s">
        <v>56</v>
      </c>
      <c r="DC106" s="1" t="s">
        <v>55</v>
      </c>
      <c r="DD106" s="1" t="s">
        <v>56</v>
      </c>
      <c r="DE106" s="1" t="s">
        <v>55</v>
      </c>
      <c r="DF106" s="1" t="s">
        <v>56</v>
      </c>
      <c r="DG106" s="1" t="s">
        <v>55</v>
      </c>
      <c r="DH106" s="1" t="s">
        <v>56</v>
      </c>
      <c r="DI106" s="1" t="s">
        <v>55</v>
      </c>
      <c r="DJ106" s="1" t="s">
        <v>56</v>
      </c>
      <c r="DK106" s="1" t="s">
        <v>55</v>
      </c>
      <c r="DL106" s="1" t="s">
        <v>56</v>
      </c>
      <c r="DM106" s="1" t="s">
        <v>55</v>
      </c>
      <c r="DN106" s="1" t="s">
        <v>56</v>
      </c>
      <c r="DO106" s="1" t="s">
        <v>55</v>
      </c>
      <c r="DP106" s="1" t="s">
        <v>56</v>
      </c>
      <c r="DQ106" s="1" t="s">
        <v>55</v>
      </c>
      <c r="DR106" s="1" t="s">
        <v>56</v>
      </c>
      <c r="DS106" s="1" t="s">
        <v>55</v>
      </c>
      <c r="DT106" s="1" t="s">
        <v>56</v>
      </c>
      <c r="DU106" s="1" t="s">
        <v>55</v>
      </c>
      <c r="DV106" s="1" t="s">
        <v>56</v>
      </c>
      <c r="DW106" s="1" t="s">
        <v>55</v>
      </c>
      <c r="DX106" s="1" t="s">
        <v>56</v>
      </c>
      <c r="DY106" s="1" t="s">
        <v>55</v>
      </c>
      <c r="DZ106" s="1" t="s">
        <v>56</v>
      </c>
      <c r="EA106" s="1" t="s">
        <v>55</v>
      </c>
      <c r="EB106" s="1" t="s">
        <v>56</v>
      </c>
      <c r="EC106" s="1" t="s">
        <v>55</v>
      </c>
      <c r="ED106" s="1" t="s">
        <v>56</v>
      </c>
      <c r="EE106" s="1" t="s">
        <v>55</v>
      </c>
      <c r="EF106" s="1" t="s">
        <v>56</v>
      </c>
      <c r="EG106" s="1" t="s">
        <v>55</v>
      </c>
      <c r="EH106" s="1" t="s">
        <v>56</v>
      </c>
      <c r="EI106" s="1" t="s">
        <v>55</v>
      </c>
      <c r="EJ106" s="1" t="s">
        <v>56</v>
      </c>
      <c r="EK106" s="1" t="s">
        <v>55</v>
      </c>
      <c r="EL106" s="1" t="s">
        <v>56</v>
      </c>
      <c r="EM106" s="1" t="s">
        <v>55</v>
      </c>
      <c r="EN106" s="1" t="s">
        <v>56</v>
      </c>
      <c r="EO106" s="1" t="s">
        <v>55</v>
      </c>
      <c r="EP106" s="1" t="s">
        <v>56</v>
      </c>
      <c r="EQ106" s="1" t="s">
        <v>55</v>
      </c>
      <c r="ER106" s="1" t="s">
        <v>56</v>
      </c>
      <c r="ES106" s="1" t="s">
        <v>55</v>
      </c>
      <c r="ET106" s="1" t="s">
        <v>56</v>
      </c>
      <c r="EU106" s="1" t="s">
        <v>55</v>
      </c>
      <c r="EV106" s="1" t="s">
        <v>56</v>
      </c>
      <c r="EW106" s="1" t="s">
        <v>55</v>
      </c>
      <c r="EX106" s="1" t="s">
        <v>56</v>
      </c>
      <c r="EY106" s="1" t="s">
        <v>55</v>
      </c>
      <c r="EZ106" s="1" t="s">
        <v>56</v>
      </c>
      <c r="FA106" s="1" t="s">
        <v>55</v>
      </c>
      <c r="FB106" s="1" t="s">
        <v>56</v>
      </c>
      <c r="FC106" s="1" t="s">
        <v>55</v>
      </c>
      <c r="FD106" s="1" t="s">
        <v>56</v>
      </c>
      <c r="FE106" s="1" t="s">
        <v>55</v>
      </c>
      <c r="FF106" s="1" t="s">
        <v>56</v>
      </c>
      <c r="FG106" s="1" t="s">
        <v>55</v>
      </c>
      <c r="FH106" s="1" t="s">
        <v>56</v>
      </c>
      <c r="FI106" s="1" t="s">
        <v>55</v>
      </c>
      <c r="FJ106" s="1" t="s">
        <v>56</v>
      </c>
      <c r="FK106" s="1" t="s">
        <v>55</v>
      </c>
      <c r="FL106" s="1" t="s">
        <v>56</v>
      </c>
      <c r="FM106" s="1" t="s">
        <v>55</v>
      </c>
      <c r="FN106" s="1" t="s">
        <v>56</v>
      </c>
      <c r="FO106" s="1" t="s">
        <v>55</v>
      </c>
      <c r="FP106" s="1" t="s">
        <v>56</v>
      </c>
      <c r="FQ106" s="1" t="s">
        <v>55</v>
      </c>
      <c r="FR106" s="1" t="s">
        <v>56</v>
      </c>
      <c r="FS106" s="1" t="s">
        <v>55</v>
      </c>
      <c r="FT106" s="1" t="s">
        <v>56</v>
      </c>
      <c r="FU106" s="1" t="s">
        <v>55</v>
      </c>
      <c r="FV106" s="1" t="s">
        <v>56</v>
      </c>
      <c r="FW106" s="1" t="s">
        <v>55</v>
      </c>
      <c r="FX106" s="1" t="s">
        <v>56</v>
      </c>
      <c r="FY106" s="1" t="s">
        <v>55</v>
      </c>
      <c r="FZ106" s="1" t="s">
        <v>56</v>
      </c>
      <c r="GA106" s="1" t="s">
        <v>55</v>
      </c>
      <c r="GB106" s="1" t="s">
        <v>56</v>
      </c>
      <c r="GC106" s="1" t="s">
        <v>55</v>
      </c>
      <c r="GD106" s="1" t="s">
        <v>56</v>
      </c>
      <c r="GE106" s="1" t="s">
        <v>55</v>
      </c>
      <c r="GF106" s="1" t="s">
        <v>56</v>
      </c>
      <c r="GG106" s="1" t="s">
        <v>55</v>
      </c>
      <c r="GH106" s="1" t="s">
        <v>56</v>
      </c>
      <c r="GI106" s="1" t="s">
        <v>55</v>
      </c>
      <c r="GJ106" s="1" t="s">
        <v>56</v>
      </c>
      <c r="GK106" s="1" t="s">
        <v>55</v>
      </c>
      <c r="GL106" s="1" t="s">
        <v>56</v>
      </c>
      <c r="GM106" s="1" t="s">
        <v>55</v>
      </c>
      <c r="GN106" s="1" t="s">
        <v>56</v>
      </c>
      <c r="GO106" s="1" t="s">
        <v>55</v>
      </c>
      <c r="GP106" s="1" t="s">
        <v>56</v>
      </c>
      <c r="GQ106" s="1" t="s">
        <v>55</v>
      </c>
      <c r="GR106" s="1" t="s">
        <v>56</v>
      </c>
      <c r="GS106" s="1" t="s">
        <v>55</v>
      </c>
      <c r="GT106" s="1" t="s">
        <v>56</v>
      </c>
      <c r="GU106" s="1" t="s">
        <v>55</v>
      </c>
      <c r="GV106" s="17" t="s">
        <v>56</v>
      </c>
      <c r="GW106" s="17" t="s">
        <v>55</v>
      </c>
      <c r="GX106" s="1" t="s">
        <v>56</v>
      </c>
      <c r="GY106" s="1" t="s">
        <v>55</v>
      </c>
      <c r="GZ106" s="10">
        <v>153.40989999999999</v>
      </c>
      <c r="HA106" s="10" t="s">
        <v>55</v>
      </c>
      <c r="HB106" s="10">
        <v>294.51150000000001</v>
      </c>
      <c r="HC106" s="10" t="s">
        <v>55</v>
      </c>
      <c r="HD106" s="10">
        <v>257.47710000000001</v>
      </c>
      <c r="HE106" s="10" t="s">
        <v>55</v>
      </c>
      <c r="HF106" s="10">
        <v>90.971299999999999</v>
      </c>
      <c r="HG106" s="10" t="s">
        <v>55</v>
      </c>
      <c r="HH106" s="10">
        <v>7.3643999999999998</v>
      </c>
      <c r="HI106" s="10" t="s">
        <v>55</v>
      </c>
      <c r="HJ106" s="10">
        <v>18.110199999999999</v>
      </c>
      <c r="HK106" s="10" t="s">
        <v>55</v>
      </c>
      <c r="HL106" s="10">
        <v>1.2591000000000001</v>
      </c>
      <c r="HM106" s="10" t="s">
        <v>55</v>
      </c>
      <c r="HN106" s="10">
        <v>23.0885</v>
      </c>
      <c r="HO106" s="10" t="s">
        <v>55</v>
      </c>
      <c r="HP106" s="10">
        <v>141</v>
      </c>
      <c r="HQ106" s="10">
        <v>9</v>
      </c>
      <c r="HR106" s="10">
        <v>141</v>
      </c>
      <c r="HS106" s="10">
        <v>9</v>
      </c>
      <c r="HT106" s="10">
        <v>9.6999999999999993</v>
      </c>
      <c r="HU106" s="10">
        <v>0.7</v>
      </c>
      <c r="HV106" s="10">
        <v>13.8</v>
      </c>
      <c r="HW106" s="10">
        <v>0.4</v>
      </c>
      <c r="HX106" s="10">
        <v>1.1100000000000001</v>
      </c>
      <c r="HY106" s="10">
        <v>0.08</v>
      </c>
      <c r="HZ106" s="10">
        <v>33</v>
      </c>
      <c r="IA106" s="10">
        <v>3</v>
      </c>
      <c r="IB106" s="10">
        <v>14.7</v>
      </c>
      <c r="IC106" s="10">
        <v>1.2</v>
      </c>
      <c r="ID106" s="1" t="s">
        <v>56</v>
      </c>
      <c r="IE106" s="1" t="s">
        <v>55</v>
      </c>
      <c r="IF106" s="4" t="s">
        <v>56</v>
      </c>
      <c r="IG106" s="4" t="s">
        <v>55</v>
      </c>
      <c r="IH106" s="4" t="s">
        <v>56</v>
      </c>
      <c r="II106" s="4" t="s">
        <v>55</v>
      </c>
      <c r="IJ106" s="4" t="s">
        <v>56</v>
      </c>
      <c r="IK106" s="4" t="s">
        <v>55</v>
      </c>
      <c r="IL106" s="4" t="s">
        <v>56</v>
      </c>
      <c r="IM106" s="4" t="s">
        <v>55</v>
      </c>
      <c r="IN106" s="4" t="s">
        <v>56</v>
      </c>
      <c r="IO106" s="4" t="s">
        <v>55</v>
      </c>
      <c r="IP106" s="4" t="s">
        <v>56</v>
      </c>
      <c r="IQ106" s="4" t="s">
        <v>55</v>
      </c>
      <c r="IR106" s="4" t="s">
        <v>56</v>
      </c>
      <c r="IS106" s="4" t="s">
        <v>55</v>
      </c>
      <c r="IT106" s="4" t="s">
        <v>56</v>
      </c>
      <c r="IU106" s="4" t="s">
        <v>55</v>
      </c>
      <c r="IV106" s="4" t="s">
        <v>56</v>
      </c>
      <c r="IW106" s="4" t="s">
        <v>55</v>
      </c>
      <c r="IX106" s="4" t="s">
        <v>56</v>
      </c>
      <c r="IY106" s="4" t="s">
        <v>55</v>
      </c>
      <c r="IZ106" s="4" t="s">
        <v>56</v>
      </c>
      <c r="JA106" s="4" t="s">
        <v>55</v>
      </c>
      <c r="JB106" s="4" t="s">
        <v>56</v>
      </c>
      <c r="JC106" s="4" t="s">
        <v>55</v>
      </c>
      <c r="JD106" s="4" t="s">
        <v>56</v>
      </c>
      <c r="JE106" s="4" t="s">
        <v>55</v>
      </c>
      <c r="JF106" s="4" t="s">
        <v>56</v>
      </c>
      <c r="JG106" s="4" t="s">
        <v>55</v>
      </c>
      <c r="JH106" s="4" t="s">
        <v>56</v>
      </c>
      <c r="JI106" s="4" t="s">
        <v>55</v>
      </c>
      <c r="JJ106" s="4" t="s">
        <v>56</v>
      </c>
      <c r="JK106" s="4" t="s">
        <v>55</v>
      </c>
      <c r="JL106" s="4" t="s">
        <v>56</v>
      </c>
      <c r="JM106" s="4" t="s">
        <v>55</v>
      </c>
      <c r="JN106" s="4" t="s">
        <v>56</v>
      </c>
      <c r="JO106" s="4" t="s">
        <v>55</v>
      </c>
      <c r="JP106" s="4" t="s">
        <v>56</v>
      </c>
      <c r="JQ106" s="4" t="s">
        <v>55</v>
      </c>
      <c r="JR106" s="4" t="s">
        <v>56</v>
      </c>
      <c r="JS106" s="4" t="s">
        <v>55</v>
      </c>
      <c r="JT106" s="4" t="s">
        <v>56</v>
      </c>
      <c r="JU106" s="4" t="s">
        <v>55</v>
      </c>
      <c r="JV106" s="4" t="s">
        <v>56</v>
      </c>
      <c r="JW106" s="4" t="s">
        <v>55</v>
      </c>
      <c r="JX106" s="26">
        <v>28169.310421835165</v>
      </c>
      <c r="JY106" s="26">
        <v>5245.4053295812746</v>
      </c>
      <c r="JZ106" s="26">
        <v>27864.110350208201</v>
      </c>
      <c r="KA106" s="26">
        <v>4766.427729043171</v>
      </c>
      <c r="KB106" s="26">
        <v>26215.298002609255</v>
      </c>
      <c r="KC106" s="26">
        <v>4987.6319718403838</v>
      </c>
      <c r="KD106" s="26">
        <v>11473.080008743031</v>
      </c>
      <c r="KE106" s="26">
        <v>3486.3941710643849</v>
      </c>
      <c r="KF106" s="26">
        <v>25295.845149631725</v>
      </c>
      <c r="KG106" s="26">
        <v>1294.9621143173968</v>
      </c>
      <c r="KH106" s="4" t="s">
        <v>56</v>
      </c>
      <c r="KI106" s="4" t="s">
        <v>55</v>
      </c>
      <c r="KJ106" s="4" t="s">
        <v>56</v>
      </c>
      <c r="KK106" s="4" t="s">
        <v>55</v>
      </c>
      <c r="KL106" s="4" t="s">
        <v>56</v>
      </c>
      <c r="KM106" s="4" t="s">
        <v>55</v>
      </c>
      <c r="KN106" s="4" t="s">
        <v>56</v>
      </c>
      <c r="KO106" s="4" t="s">
        <v>55</v>
      </c>
      <c r="KP106" s="4" t="s">
        <v>56</v>
      </c>
      <c r="KQ106" s="4" t="s">
        <v>55</v>
      </c>
      <c r="KR106" s="17" t="s">
        <v>56</v>
      </c>
      <c r="KS106" s="17" t="s">
        <v>55</v>
      </c>
      <c r="KT106" s="17" t="s">
        <v>56</v>
      </c>
      <c r="KU106" s="17" t="s">
        <v>55</v>
      </c>
      <c r="KV106" s="17">
        <v>791.4</v>
      </c>
      <c r="KW106" s="17">
        <v>142.19999999999999</v>
      </c>
      <c r="KX106" s="17">
        <v>2205.1999999999998</v>
      </c>
      <c r="KY106" s="17">
        <v>542.4</v>
      </c>
      <c r="KZ106" s="17">
        <v>1600.6</v>
      </c>
      <c r="LA106" s="17">
        <v>355.3</v>
      </c>
      <c r="LB106" s="10" t="s">
        <v>56</v>
      </c>
      <c r="LC106" s="10" t="s">
        <v>55</v>
      </c>
      <c r="LD106" s="10">
        <f>0.04*1000</f>
        <v>40</v>
      </c>
      <c r="LE106" s="10">
        <f>0.01*1000</f>
        <v>10</v>
      </c>
      <c r="LF106" s="10">
        <f>0.23*1000</f>
        <v>230</v>
      </c>
      <c r="LG106" s="10">
        <f>0.03*1000</f>
        <v>30</v>
      </c>
      <c r="LH106" s="10">
        <f>0.34*1000</f>
        <v>340</v>
      </c>
      <c r="LI106" s="10">
        <f>0.05*1000</f>
        <v>50</v>
      </c>
      <c r="LJ106" s="10" t="s">
        <v>56</v>
      </c>
      <c r="LK106" s="10" t="s">
        <v>55</v>
      </c>
      <c r="LL106" s="10" t="s">
        <v>56</v>
      </c>
      <c r="LM106" s="10" t="s">
        <v>55</v>
      </c>
      <c r="LN106" s="10" t="s">
        <v>56</v>
      </c>
      <c r="LO106" s="10" t="s">
        <v>55</v>
      </c>
      <c r="LP106" s="10" t="s">
        <v>56</v>
      </c>
      <c r="LQ106" s="10" t="s">
        <v>55</v>
      </c>
      <c r="LR106" s="10" t="s">
        <v>56</v>
      </c>
      <c r="LS106" s="10" t="s">
        <v>55</v>
      </c>
      <c r="LT106" s="10" t="s">
        <v>56</v>
      </c>
      <c r="LU106" s="10" t="s">
        <v>55</v>
      </c>
      <c r="LV106" s="10" t="s">
        <v>56</v>
      </c>
      <c r="LW106" s="10" t="s">
        <v>55</v>
      </c>
      <c r="LX106" s="10" t="s">
        <v>56</v>
      </c>
      <c r="LY106" s="10" t="s">
        <v>55</v>
      </c>
      <c r="LZ106" s="10" t="s">
        <v>56</v>
      </c>
      <c r="MA106" s="10" t="s">
        <v>55</v>
      </c>
      <c r="MB106" s="10" t="s">
        <v>56</v>
      </c>
      <c r="MC106" s="10" t="s">
        <v>55</v>
      </c>
      <c r="MD106" s="10" t="s">
        <v>56</v>
      </c>
      <c r="ME106" s="10" t="s">
        <v>55</v>
      </c>
      <c r="MF106" s="10" t="s">
        <v>56</v>
      </c>
      <c r="MG106" s="10" t="s">
        <v>55</v>
      </c>
      <c r="MH106" s="10" t="s">
        <v>56</v>
      </c>
      <c r="MI106" s="10" t="s">
        <v>55</v>
      </c>
      <c r="MJ106" s="10" t="s">
        <v>56</v>
      </c>
      <c r="MK106" s="10" t="s">
        <v>55</v>
      </c>
      <c r="ML106" s="10" t="s">
        <v>56</v>
      </c>
      <c r="MM106" s="10" t="s">
        <v>55</v>
      </c>
      <c r="MN106" s="10" t="s">
        <v>56</v>
      </c>
      <c r="MO106" s="10" t="s">
        <v>55</v>
      </c>
      <c r="MP106" s="10" t="s">
        <v>56</v>
      </c>
      <c r="MQ106" s="10" t="s">
        <v>55</v>
      </c>
      <c r="MR106" s="10" t="s">
        <v>56</v>
      </c>
      <c r="MS106" s="10" t="s">
        <v>55</v>
      </c>
      <c r="MT106" s="10" t="s">
        <v>56</v>
      </c>
      <c r="MU106" s="10" t="s">
        <v>55</v>
      </c>
      <c r="MV106" s="10" t="s">
        <v>56</v>
      </c>
      <c r="MW106" s="10" t="s">
        <v>55</v>
      </c>
      <c r="MX106" s="10" t="s">
        <v>56</v>
      </c>
      <c r="MY106" s="10" t="s">
        <v>55</v>
      </c>
      <c r="MZ106" s="10" t="s">
        <v>56</v>
      </c>
      <c r="NA106" s="10" t="s">
        <v>55</v>
      </c>
      <c r="NB106" s="10" t="s">
        <v>56</v>
      </c>
      <c r="NC106" s="10" t="s">
        <v>55</v>
      </c>
      <c r="ND106" s="10" t="s">
        <v>56</v>
      </c>
      <c r="NE106" s="10" t="s">
        <v>55</v>
      </c>
      <c r="NF106" s="10" t="s">
        <v>56</v>
      </c>
      <c r="NG106" s="10" t="s">
        <v>55</v>
      </c>
      <c r="NH106" s="10" t="s">
        <v>56</v>
      </c>
      <c r="NI106" s="10" t="s">
        <v>55</v>
      </c>
      <c r="NJ106" s="10" t="s">
        <v>56</v>
      </c>
      <c r="NK106" s="10" t="s">
        <v>55</v>
      </c>
      <c r="NL106" s="10" t="s">
        <v>56</v>
      </c>
      <c r="NM106" s="10" t="s">
        <v>55</v>
      </c>
      <c r="NN106" s="10" t="s">
        <v>56</v>
      </c>
      <c r="NO106" s="10" t="s">
        <v>55</v>
      </c>
      <c r="NP106" s="10" t="s">
        <v>56</v>
      </c>
      <c r="NQ106" s="10" t="s">
        <v>55</v>
      </c>
      <c r="NR106" s="10" t="s">
        <v>56</v>
      </c>
      <c r="NS106" s="10" t="s">
        <v>55</v>
      </c>
      <c r="NT106" s="10" t="s">
        <v>56</v>
      </c>
      <c r="NU106" s="10" t="s">
        <v>55</v>
      </c>
    </row>
    <row r="107" spans="1:385" x14ac:dyDescent="0.2">
      <c r="A107" t="s">
        <v>1055</v>
      </c>
      <c r="B107" s="1" t="s">
        <v>1037</v>
      </c>
      <c r="C107" s="1" t="s">
        <v>843</v>
      </c>
      <c r="D107" s="39" cm="1">
        <f t="array" ref="D107">SUMPRODUCT((ISNUMBER(F107:NU107))*(MOD(COLUMN(F107:NU107),2)=0))</f>
        <v>53</v>
      </c>
      <c r="E107" s="1">
        <v>165.19</v>
      </c>
      <c r="F107" s="1" t="s">
        <v>56</v>
      </c>
      <c r="G107" s="1" t="s">
        <v>55</v>
      </c>
      <c r="H107" s="1" t="s">
        <v>56</v>
      </c>
      <c r="I107" s="1" t="s">
        <v>55</v>
      </c>
      <c r="J107" s="1" t="s">
        <v>56</v>
      </c>
      <c r="K107" s="1" t="s">
        <v>55</v>
      </c>
      <c r="L107" s="1" t="s">
        <v>56</v>
      </c>
      <c r="M107" s="1" t="s">
        <v>55</v>
      </c>
      <c r="N107" s="1" t="s">
        <v>56</v>
      </c>
      <c r="O107" s="1" t="s">
        <v>55</v>
      </c>
      <c r="P107" s="1" t="s">
        <v>56</v>
      </c>
      <c r="Q107" s="1" t="s">
        <v>55</v>
      </c>
      <c r="R107" s="1" t="s">
        <v>56</v>
      </c>
      <c r="S107" s="1" t="s">
        <v>55</v>
      </c>
      <c r="T107" s="1" t="s">
        <v>56</v>
      </c>
      <c r="U107" s="1" t="s">
        <v>55</v>
      </c>
      <c r="V107" s="1" t="s">
        <v>56</v>
      </c>
      <c r="W107" s="1" t="s">
        <v>55</v>
      </c>
      <c r="X107" s="1" t="s">
        <v>56</v>
      </c>
      <c r="Y107" s="1" t="s">
        <v>55</v>
      </c>
      <c r="Z107" s="1" t="s">
        <v>56</v>
      </c>
      <c r="AA107" s="1" t="s">
        <v>55</v>
      </c>
      <c r="AB107" s="1" t="s">
        <v>56</v>
      </c>
      <c r="AC107" s="1" t="s">
        <v>55</v>
      </c>
      <c r="AD107" s="1" t="s">
        <v>56</v>
      </c>
      <c r="AE107" s="1" t="s">
        <v>55</v>
      </c>
      <c r="AF107" s="1" t="s">
        <v>56</v>
      </c>
      <c r="AG107" s="1" t="s">
        <v>55</v>
      </c>
      <c r="AH107" s="1" t="s">
        <v>56</v>
      </c>
      <c r="AI107" s="1" t="s">
        <v>55</v>
      </c>
      <c r="AJ107" s="1" t="s">
        <v>56</v>
      </c>
      <c r="AK107" s="1" t="s">
        <v>55</v>
      </c>
      <c r="AL107" s="1" t="s">
        <v>56</v>
      </c>
      <c r="AM107" s="1" t="s">
        <v>55</v>
      </c>
      <c r="AN107" s="1" t="s">
        <v>56</v>
      </c>
      <c r="AO107" s="1" t="s">
        <v>55</v>
      </c>
      <c r="AP107" s="1" t="s">
        <v>56</v>
      </c>
      <c r="AQ107" s="1" t="s">
        <v>55</v>
      </c>
      <c r="AR107" s="1" t="s">
        <v>56</v>
      </c>
      <c r="AS107" s="1" t="s">
        <v>55</v>
      </c>
      <c r="AT107" s="1" t="s">
        <v>56</v>
      </c>
      <c r="AU107" s="1" t="s">
        <v>55</v>
      </c>
      <c r="AV107" s="1" t="s">
        <v>56</v>
      </c>
      <c r="AW107" s="1" t="s">
        <v>55</v>
      </c>
      <c r="AX107" s="1" t="s">
        <v>56</v>
      </c>
      <c r="AY107" s="1" t="s">
        <v>55</v>
      </c>
      <c r="AZ107" s="1" t="s">
        <v>56</v>
      </c>
      <c r="BA107" s="1" t="s">
        <v>55</v>
      </c>
      <c r="BB107" s="1" t="s">
        <v>56</v>
      </c>
      <c r="BC107" s="1" t="s">
        <v>55</v>
      </c>
      <c r="BD107" s="1" t="s">
        <v>56</v>
      </c>
      <c r="BE107" s="1" t="s">
        <v>55</v>
      </c>
      <c r="BF107" s="1" t="s">
        <v>56</v>
      </c>
      <c r="BG107" s="1" t="s">
        <v>55</v>
      </c>
      <c r="BH107" s="1" t="s">
        <v>56</v>
      </c>
      <c r="BI107" s="1" t="s">
        <v>55</v>
      </c>
      <c r="BJ107" s="1" t="s">
        <v>56</v>
      </c>
      <c r="BK107" s="1" t="s">
        <v>55</v>
      </c>
      <c r="BL107" s="1" t="s">
        <v>56</v>
      </c>
      <c r="BM107" s="1" t="s">
        <v>55</v>
      </c>
      <c r="BN107" s="1" t="s">
        <v>56</v>
      </c>
      <c r="BO107" s="1" t="s">
        <v>55</v>
      </c>
      <c r="BP107" s="1" t="s">
        <v>56</v>
      </c>
      <c r="BQ107" s="1" t="s">
        <v>55</v>
      </c>
      <c r="BR107" s="1" t="s">
        <v>56</v>
      </c>
      <c r="BS107" s="1" t="s">
        <v>55</v>
      </c>
      <c r="BT107" s="1" t="s">
        <v>56</v>
      </c>
      <c r="BU107" s="1" t="s">
        <v>55</v>
      </c>
      <c r="BV107" s="1" t="s">
        <v>56</v>
      </c>
      <c r="BW107" s="1" t="s">
        <v>55</v>
      </c>
      <c r="BX107" s="1" t="s">
        <v>56</v>
      </c>
      <c r="BY107" s="1" t="s">
        <v>55</v>
      </c>
      <c r="BZ107" s="1" t="s">
        <v>56</v>
      </c>
      <c r="CA107" s="1" t="s">
        <v>55</v>
      </c>
      <c r="CB107" s="1" t="s">
        <v>56</v>
      </c>
      <c r="CC107" s="1" t="s">
        <v>55</v>
      </c>
      <c r="CD107" s="1" t="s">
        <v>56</v>
      </c>
      <c r="CE107" s="1" t="s">
        <v>55</v>
      </c>
      <c r="CF107" s="1" t="s">
        <v>56</v>
      </c>
      <c r="CG107" s="1" t="s">
        <v>55</v>
      </c>
      <c r="CH107" s="1" t="s">
        <v>56</v>
      </c>
      <c r="CI107" s="1" t="s">
        <v>55</v>
      </c>
      <c r="CJ107" s="1" t="s">
        <v>56</v>
      </c>
      <c r="CK107" s="1" t="s">
        <v>55</v>
      </c>
      <c r="CL107" s="1" t="s">
        <v>56</v>
      </c>
      <c r="CM107" s="1" t="s">
        <v>55</v>
      </c>
      <c r="CN107" s="1" t="s">
        <v>56</v>
      </c>
      <c r="CO107" s="1" t="s">
        <v>55</v>
      </c>
      <c r="CP107" s="1" t="s">
        <v>56</v>
      </c>
      <c r="CQ107" s="1" t="s">
        <v>55</v>
      </c>
      <c r="CR107" s="1" t="s">
        <v>56</v>
      </c>
      <c r="CS107" s="1" t="s">
        <v>55</v>
      </c>
      <c r="CT107" s="1" t="s">
        <v>56</v>
      </c>
      <c r="CU107" s="1" t="s">
        <v>55</v>
      </c>
      <c r="CV107" s="1" t="s">
        <v>56</v>
      </c>
      <c r="CW107" s="1" t="s">
        <v>55</v>
      </c>
      <c r="CX107" s="1" t="s">
        <v>56</v>
      </c>
      <c r="CY107" s="1" t="s">
        <v>55</v>
      </c>
      <c r="CZ107" s="1" t="s">
        <v>56</v>
      </c>
      <c r="DA107" s="1" t="s">
        <v>55</v>
      </c>
      <c r="DB107" s="1" t="s">
        <v>56</v>
      </c>
      <c r="DC107" s="1" t="s">
        <v>55</v>
      </c>
      <c r="DD107" s="1" t="s">
        <v>56</v>
      </c>
      <c r="DE107" s="1" t="s">
        <v>55</v>
      </c>
      <c r="DF107" s="1" t="s">
        <v>56</v>
      </c>
      <c r="DG107" s="1" t="s">
        <v>55</v>
      </c>
      <c r="DH107" s="1" t="s">
        <v>56</v>
      </c>
      <c r="DI107" s="1" t="s">
        <v>55</v>
      </c>
      <c r="DJ107" s="1" t="s">
        <v>56</v>
      </c>
      <c r="DK107" s="1" t="s">
        <v>55</v>
      </c>
      <c r="DL107" s="1" t="s">
        <v>56</v>
      </c>
      <c r="DM107" s="1" t="s">
        <v>55</v>
      </c>
      <c r="DN107" s="1" t="s">
        <v>56</v>
      </c>
      <c r="DO107" s="1" t="s">
        <v>55</v>
      </c>
      <c r="DP107" s="1" t="s">
        <v>56</v>
      </c>
      <c r="DQ107" s="1" t="s">
        <v>55</v>
      </c>
      <c r="DR107" s="1" t="s">
        <v>56</v>
      </c>
      <c r="DS107" s="1" t="s">
        <v>55</v>
      </c>
      <c r="DT107" s="1" t="s">
        <v>56</v>
      </c>
      <c r="DU107" s="1" t="s">
        <v>55</v>
      </c>
      <c r="DV107" s="1" t="s">
        <v>56</v>
      </c>
      <c r="DW107" s="1" t="s">
        <v>55</v>
      </c>
      <c r="DX107" s="1" t="s">
        <v>56</v>
      </c>
      <c r="DY107" s="1" t="s">
        <v>55</v>
      </c>
      <c r="DZ107" s="1" t="s">
        <v>56</v>
      </c>
      <c r="EA107" s="1" t="s">
        <v>55</v>
      </c>
      <c r="EB107" s="1" t="s">
        <v>56</v>
      </c>
      <c r="EC107" s="1" t="s">
        <v>55</v>
      </c>
      <c r="ED107" s="1" t="s">
        <v>56</v>
      </c>
      <c r="EE107" s="1" t="s">
        <v>55</v>
      </c>
      <c r="EF107" s="1" t="s">
        <v>56</v>
      </c>
      <c r="EG107" s="1" t="s">
        <v>55</v>
      </c>
      <c r="EH107" s="1" t="s">
        <v>56</v>
      </c>
      <c r="EI107" s="1" t="s">
        <v>55</v>
      </c>
      <c r="EJ107" s="1" t="s">
        <v>56</v>
      </c>
      <c r="EK107" s="1" t="s">
        <v>55</v>
      </c>
      <c r="EL107" s="1" t="s">
        <v>56</v>
      </c>
      <c r="EM107" s="1" t="s">
        <v>55</v>
      </c>
      <c r="EN107" s="1" t="s">
        <v>56</v>
      </c>
      <c r="EO107" s="1" t="s">
        <v>55</v>
      </c>
      <c r="EP107" s="1" t="s">
        <v>56</v>
      </c>
      <c r="EQ107" s="1" t="s">
        <v>55</v>
      </c>
      <c r="ER107" s="1" t="s">
        <v>56</v>
      </c>
      <c r="ES107" s="1" t="s">
        <v>55</v>
      </c>
      <c r="ET107" s="1" t="s">
        <v>56</v>
      </c>
      <c r="EU107" s="1" t="s">
        <v>55</v>
      </c>
      <c r="EV107" s="1" t="s">
        <v>56</v>
      </c>
      <c r="EW107" s="1" t="s">
        <v>55</v>
      </c>
      <c r="EX107" s="1" t="s">
        <v>56</v>
      </c>
      <c r="EY107" s="1" t="s">
        <v>55</v>
      </c>
      <c r="EZ107" s="1" t="s">
        <v>56</v>
      </c>
      <c r="FA107" s="1" t="s">
        <v>55</v>
      </c>
      <c r="FB107" s="1" t="s">
        <v>56</v>
      </c>
      <c r="FC107" s="1" t="s">
        <v>55</v>
      </c>
      <c r="FD107" s="1" t="s">
        <v>56</v>
      </c>
      <c r="FE107" s="1" t="s">
        <v>55</v>
      </c>
      <c r="FF107" s="1" t="s">
        <v>56</v>
      </c>
      <c r="FG107" s="1" t="s">
        <v>55</v>
      </c>
      <c r="FH107" s="1" t="s">
        <v>56</v>
      </c>
      <c r="FI107" s="1" t="s">
        <v>55</v>
      </c>
      <c r="FJ107" s="1" t="s">
        <v>56</v>
      </c>
      <c r="FK107" s="1" t="s">
        <v>55</v>
      </c>
      <c r="FL107" s="1" t="s">
        <v>56</v>
      </c>
      <c r="FM107" s="1" t="s">
        <v>55</v>
      </c>
      <c r="FN107" s="1" t="s">
        <v>56</v>
      </c>
      <c r="FO107" s="1" t="s">
        <v>55</v>
      </c>
      <c r="FP107" s="1" t="s">
        <v>56</v>
      </c>
      <c r="FQ107" s="1" t="s">
        <v>55</v>
      </c>
      <c r="FR107" s="1" t="s">
        <v>56</v>
      </c>
      <c r="FS107" s="1" t="s">
        <v>55</v>
      </c>
      <c r="FT107" s="1" t="s">
        <v>56</v>
      </c>
      <c r="FU107" s="1" t="s">
        <v>55</v>
      </c>
      <c r="FV107" s="1" t="s">
        <v>56</v>
      </c>
      <c r="FW107" s="1" t="s">
        <v>55</v>
      </c>
      <c r="FX107" s="1" t="s">
        <v>56</v>
      </c>
      <c r="FY107" s="1" t="s">
        <v>55</v>
      </c>
      <c r="FZ107" s="1" t="s">
        <v>56</v>
      </c>
      <c r="GA107" s="1" t="s">
        <v>55</v>
      </c>
      <c r="GB107" s="1" t="s">
        <v>56</v>
      </c>
      <c r="GC107" s="1" t="s">
        <v>55</v>
      </c>
      <c r="GD107" s="1" t="s">
        <v>56</v>
      </c>
      <c r="GE107" s="1" t="s">
        <v>55</v>
      </c>
      <c r="GF107" s="1" t="s">
        <v>56</v>
      </c>
      <c r="GG107" s="1" t="s">
        <v>55</v>
      </c>
      <c r="GH107" s="1" t="s">
        <v>56</v>
      </c>
      <c r="GI107" s="1" t="s">
        <v>55</v>
      </c>
      <c r="GJ107" s="1" t="s">
        <v>56</v>
      </c>
      <c r="GK107" s="1" t="s">
        <v>55</v>
      </c>
      <c r="GL107" s="1" t="s">
        <v>56</v>
      </c>
      <c r="GM107" s="1" t="s">
        <v>55</v>
      </c>
      <c r="GN107" s="1" t="s">
        <v>56</v>
      </c>
      <c r="GO107" s="1" t="s">
        <v>55</v>
      </c>
      <c r="GP107" s="1" t="s">
        <v>56</v>
      </c>
      <c r="GQ107" s="1" t="s">
        <v>55</v>
      </c>
      <c r="GR107" s="1" t="s">
        <v>56</v>
      </c>
      <c r="GS107" s="1" t="s">
        <v>55</v>
      </c>
      <c r="GT107" s="1" t="s">
        <v>56</v>
      </c>
      <c r="GU107" s="1" t="s">
        <v>55</v>
      </c>
      <c r="GV107" s="17" t="s">
        <v>56</v>
      </c>
      <c r="GW107" s="17" t="s">
        <v>55</v>
      </c>
      <c r="GX107" s="1" t="s">
        <v>56</v>
      </c>
      <c r="GY107" s="1" t="s">
        <v>55</v>
      </c>
      <c r="GZ107" s="10" t="s">
        <v>56</v>
      </c>
      <c r="HA107" s="10" t="s">
        <v>55</v>
      </c>
      <c r="HB107" s="10" t="s">
        <v>56</v>
      </c>
      <c r="HC107" s="10" t="s">
        <v>55</v>
      </c>
      <c r="HD107" s="10" t="s">
        <v>56</v>
      </c>
      <c r="HE107" s="10" t="s">
        <v>55</v>
      </c>
      <c r="HF107" s="10" t="s">
        <v>56</v>
      </c>
      <c r="HG107" s="10" t="s">
        <v>55</v>
      </c>
      <c r="HH107" s="10" t="s">
        <v>56</v>
      </c>
      <c r="HI107" s="10" t="s">
        <v>55</v>
      </c>
      <c r="HJ107" s="10" t="s">
        <v>56</v>
      </c>
      <c r="HK107" s="10" t="s">
        <v>55</v>
      </c>
      <c r="HL107" s="10" t="s">
        <v>56</v>
      </c>
      <c r="HM107" s="10" t="s">
        <v>55</v>
      </c>
      <c r="HN107" s="10" t="s">
        <v>56</v>
      </c>
      <c r="HO107" s="10" t="s">
        <v>55</v>
      </c>
      <c r="HP107" s="10" t="s">
        <v>56</v>
      </c>
      <c r="HQ107" s="10" t="s">
        <v>55</v>
      </c>
      <c r="HR107" s="10" t="s">
        <v>56</v>
      </c>
      <c r="HS107" s="10" t="s">
        <v>55</v>
      </c>
      <c r="HT107" s="10" t="s">
        <v>56</v>
      </c>
      <c r="HU107" s="10" t="s">
        <v>55</v>
      </c>
      <c r="HV107" s="10" t="s">
        <v>56</v>
      </c>
      <c r="HW107" s="10" t="s">
        <v>55</v>
      </c>
      <c r="HX107" s="10" t="s">
        <v>56</v>
      </c>
      <c r="HY107" s="10" t="s">
        <v>55</v>
      </c>
      <c r="HZ107" s="10" t="s">
        <v>56</v>
      </c>
      <c r="IA107" s="10" t="s">
        <v>55</v>
      </c>
      <c r="IB107" s="10" t="s">
        <v>56</v>
      </c>
      <c r="IC107" s="10" t="s">
        <v>55</v>
      </c>
      <c r="ID107" s="10" t="s">
        <v>56</v>
      </c>
      <c r="IE107" s="10" t="s">
        <v>55</v>
      </c>
      <c r="IF107" s="10" t="s">
        <v>56</v>
      </c>
      <c r="IG107" s="10" t="s">
        <v>55</v>
      </c>
      <c r="IH107" s="4">
        <v>1.4</v>
      </c>
      <c r="II107" s="4" t="s">
        <v>55</v>
      </c>
      <c r="IJ107" s="4">
        <v>0.2</v>
      </c>
      <c r="IK107" s="4" t="s">
        <v>55</v>
      </c>
      <c r="IL107" s="4">
        <v>0.3</v>
      </c>
      <c r="IM107" s="4" t="s">
        <v>55</v>
      </c>
      <c r="IN107" s="4">
        <v>2.8</v>
      </c>
      <c r="IO107" s="4" t="s">
        <v>55</v>
      </c>
      <c r="IP107" s="4">
        <v>41</v>
      </c>
      <c r="IQ107" s="4" t="s">
        <v>55</v>
      </c>
      <c r="IR107" s="4">
        <v>0.14000000000000001</v>
      </c>
      <c r="IS107" s="4">
        <v>0.04</v>
      </c>
      <c r="IT107" s="18" t="s">
        <v>56</v>
      </c>
      <c r="IU107" s="18" t="s">
        <v>55</v>
      </c>
      <c r="IV107" s="4">
        <v>4.87</v>
      </c>
      <c r="IW107" s="4" t="s">
        <v>55</v>
      </c>
      <c r="IX107" s="4">
        <f>2.42*1000</f>
        <v>2420</v>
      </c>
      <c r="IY107" s="4" t="s">
        <v>55</v>
      </c>
      <c r="IZ107" s="4">
        <f>0.93*1000</f>
        <v>930</v>
      </c>
      <c r="JA107" s="4" t="s">
        <v>55</v>
      </c>
      <c r="JB107" s="4">
        <f>0.93*1000</f>
        <v>930</v>
      </c>
      <c r="JC107" s="4" t="s">
        <v>55</v>
      </c>
      <c r="JD107" s="4">
        <f>0.07*1000</f>
        <v>70</v>
      </c>
      <c r="JE107" s="4" t="s">
        <v>55</v>
      </c>
      <c r="JF107" s="4">
        <v>6.3E-2</v>
      </c>
      <c r="JG107" s="4" t="s">
        <v>55</v>
      </c>
      <c r="JH107" s="4">
        <v>5.8999999999999997E-2</v>
      </c>
      <c r="JI107" s="4" t="s">
        <v>55</v>
      </c>
      <c r="JJ107" s="4">
        <v>8.8999999999999996E-2</v>
      </c>
      <c r="JK107" s="4" t="s">
        <v>55</v>
      </c>
      <c r="JL107" s="4">
        <v>0.32500000000000001</v>
      </c>
      <c r="JM107" s="4" t="s">
        <v>55</v>
      </c>
      <c r="JN107" s="4">
        <v>0.27400000000000002</v>
      </c>
      <c r="JO107" s="4" t="s">
        <v>55</v>
      </c>
      <c r="JP107" s="4">
        <v>0.20499999999999999</v>
      </c>
      <c r="JQ107" s="4" t="s">
        <v>55</v>
      </c>
      <c r="JR107" s="4">
        <v>0.30499999999999999</v>
      </c>
      <c r="JS107" s="4" t="s">
        <v>55</v>
      </c>
      <c r="JT107" s="4">
        <v>0.23599999999999999</v>
      </c>
      <c r="JU107" s="4" t="s">
        <v>55</v>
      </c>
      <c r="JV107" s="4">
        <v>24.82</v>
      </c>
      <c r="JW107" s="4" t="s">
        <v>55</v>
      </c>
      <c r="JX107" s="4" t="s">
        <v>56</v>
      </c>
      <c r="JY107" s="4" t="s">
        <v>55</v>
      </c>
      <c r="JZ107" s="4" t="s">
        <v>56</v>
      </c>
      <c r="KA107" s="4" t="s">
        <v>55</v>
      </c>
      <c r="KB107" s="4" t="s">
        <v>56</v>
      </c>
      <c r="KC107" s="4" t="s">
        <v>55</v>
      </c>
      <c r="KD107" s="4" t="s">
        <v>56</v>
      </c>
      <c r="KE107" s="4" t="s">
        <v>55</v>
      </c>
      <c r="KF107" s="4" t="s">
        <v>56</v>
      </c>
      <c r="KG107" s="4" t="s">
        <v>55</v>
      </c>
      <c r="KH107" s="4">
        <f>49.6*1000</f>
        <v>49600</v>
      </c>
      <c r="KI107" s="4">
        <f>6.9*1000</f>
        <v>6900</v>
      </c>
      <c r="KJ107" s="4">
        <f>580.7*1000</f>
        <v>580700</v>
      </c>
      <c r="KK107" s="4">
        <f>32.5*1000</f>
        <v>32500</v>
      </c>
      <c r="KL107" s="4">
        <f>54.8*1000</f>
        <v>54800</v>
      </c>
      <c r="KM107" s="4">
        <f>6.4*1000</f>
        <v>6400</v>
      </c>
      <c r="KN107" s="4">
        <f>109.8*1000</f>
        <v>109800</v>
      </c>
      <c r="KO107" s="4">
        <f>9*1000</f>
        <v>9000</v>
      </c>
      <c r="KP107" s="4">
        <f>223*1000</f>
        <v>223000</v>
      </c>
      <c r="KQ107" s="4">
        <f>20.5*1000</f>
        <v>20500</v>
      </c>
      <c r="KR107" s="17" t="s">
        <v>56</v>
      </c>
      <c r="KS107" s="17" t="s">
        <v>55</v>
      </c>
      <c r="KT107" s="17" t="s">
        <v>56</v>
      </c>
      <c r="KU107" s="17" t="s">
        <v>55</v>
      </c>
      <c r="KV107" s="4" t="s">
        <v>57</v>
      </c>
      <c r="KW107" s="4" t="s">
        <v>55</v>
      </c>
      <c r="KX107" s="4" t="s">
        <v>57</v>
      </c>
      <c r="KY107" s="4" t="s">
        <v>55</v>
      </c>
      <c r="KZ107" s="4" t="s">
        <v>57</v>
      </c>
      <c r="LA107" s="4" t="s">
        <v>55</v>
      </c>
      <c r="LB107" s="10">
        <f>((1.3/100)*1000000000)/E107</f>
        <v>78697.257703250812</v>
      </c>
      <c r="LC107" s="10">
        <f>((0.03/100)*1000000000)/E107</f>
        <v>1816.0905623827109</v>
      </c>
      <c r="LD107" s="10" t="s">
        <v>56</v>
      </c>
      <c r="LE107" s="10" t="s">
        <v>55</v>
      </c>
      <c r="LF107" s="10" t="s">
        <v>56</v>
      </c>
      <c r="LG107" s="10" t="s">
        <v>55</v>
      </c>
      <c r="LH107" s="10" t="s">
        <v>56</v>
      </c>
      <c r="LI107" s="10" t="s">
        <v>55</v>
      </c>
      <c r="LJ107" s="10">
        <f>((3.39/100)*1000000000)/E107</f>
        <v>205218.23354924633</v>
      </c>
      <c r="LK107" s="10" t="s">
        <v>162</v>
      </c>
      <c r="LL107" s="10">
        <f>(59.1*1000000)/E107</f>
        <v>357769.84078939405</v>
      </c>
      <c r="LM107" s="10">
        <f>(2.81*1000000)/E107</f>
        <v>17010.714934318057</v>
      </c>
      <c r="LN107" s="10">
        <f>((0.64/100)*1000000000)/E107</f>
        <v>38743.265330831164</v>
      </c>
      <c r="LO107" s="10" t="s">
        <v>162</v>
      </c>
      <c r="LP107" s="10">
        <f>((15.6/100)*1000000000)/E107</f>
        <v>944367.09243900969</v>
      </c>
      <c r="LQ107" s="10" t="s">
        <v>55</v>
      </c>
      <c r="LR107" s="10" t="s">
        <v>56</v>
      </c>
      <c r="LS107" s="10" t="s">
        <v>162</v>
      </c>
      <c r="LT107" s="10" t="s">
        <v>56</v>
      </c>
      <c r="LU107" s="10" t="s">
        <v>55</v>
      </c>
      <c r="LV107" s="10">
        <f>((111/100)*1000000)/E107</f>
        <v>6719.5350808160301</v>
      </c>
      <c r="LW107" s="10" t="s">
        <v>55</v>
      </c>
      <c r="LX107" s="10">
        <f>((97/100)*1000000)/E107</f>
        <v>5872.0261517040981</v>
      </c>
      <c r="LY107" s="10" t="s">
        <v>55</v>
      </c>
      <c r="LZ107" s="10">
        <f>((107/100)*1000000)/E107</f>
        <v>6477.3896724983351</v>
      </c>
      <c r="MA107" s="10" t="s">
        <v>55</v>
      </c>
      <c r="MB107" s="10">
        <f>((91/100)*1000000)/E107</f>
        <v>5508.808039227556</v>
      </c>
      <c r="MC107" s="10" t="s">
        <v>55</v>
      </c>
      <c r="MD107" s="4">
        <v>4558</v>
      </c>
      <c r="ME107" s="4" t="s">
        <v>55</v>
      </c>
      <c r="MF107" s="4">
        <v>3838</v>
      </c>
      <c r="MG107" s="4" t="s">
        <v>55</v>
      </c>
      <c r="MH107" s="4">
        <v>3875</v>
      </c>
      <c r="MI107" s="4" t="s">
        <v>55</v>
      </c>
      <c r="MJ107" s="4">
        <v>3726</v>
      </c>
      <c r="MK107" s="4" t="s">
        <v>55</v>
      </c>
      <c r="ML107" s="4">
        <v>4541</v>
      </c>
      <c r="MM107" s="4" t="s">
        <v>55</v>
      </c>
      <c r="MN107" s="4">
        <v>4431</v>
      </c>
      <c r="MO107" s="4" t="s">
        <v>55</v>
      </c>
      <c r="MP107" s="4">
        <v>4835</v>
      </c>
      <c r="MQ107" s="4" t="s">
        <v>55</v>
      </c>
      <c r="MR107" s="4">
        <v>4837</v>
      </c>
      <c r="MS107" s="4" t="s">
        <v>55</v>
      </c>
      <c r="MT107" s="4">
        <v>5278</v>
      </c>
      <c r="MU107" s="4" t="s">
        <v>55</v>
      </c>
      <c r="MV107" s="4">
        <v>4573</v>
      </c>
      <c r="MW107" s="4" t="s">
        <v>55</v>
      </c>
      <c r="MX107" s="4">
        <v>4283</v>
      </c>
      <c r="MY107" s="4" t="s">
        <v>55</v>
      </c>
      <c r="MZ107" s="4">
        <v>4799</v>
      </c>
      <c r="NA107" s="4" t="s">
        <v>55</v>
      </c>
      <c r="NB107" s="10" t="s">
        <v>317</v>
      </c>
      <c r="NC107" s="10" t="s">
        <v>55</v>
      </c>
      <c r="ND107" s="10">
        <f>(1.04*1000000)/E107</f>
        <v>6295.7806162600646</v>
      </c>
      <c r="NE107" s="10" t="s">
        <v>55</v>
      </c>
      <c r="NF107" s="10">
        <f>(1.18*1000000)/E107</f>
        <v>7143.2895453719957</v>
      </c>
      <c r="NG107" s="10" t="s">
        <v>55</v>
      </c>
      <c r="NH107" s="10">
        <f>(0.791*1000000)/E107</f>
        <v>4788.4254494824145</v>
      </c>
      <c r="NI107" s="10" t="s">
        <v>55</v>
      </c>
      <c r="NJ107" s="10">
        <f>(10.8*1000000)/E107</f>
        <v>65379.260245777594</v>
      </c>
      <c r="NK107" s="10" t="s">
        <v>55</v>
      </c>
      <c r="NL107" s="10">
        <f>(0.217*1000000)/E107</f>
        <v>1313.6388401234942</v>
      </c>
      <c r="NM107" s="4" t="s">
        <v>55</v>
      </c>
      <c r="NN107" s="4">
        <f>((2.65/100)*1000000)/E107</f>
        <v>160.42133301047278</v>
      </c>
      <c r="NO107" s="4" t="s">
        <v>55</v>
      </c>
      <c r="NP107" s="4">
        <f>(36.7*1000000)/E107</f>
        <v>222168.41213148495</v>
      </c>
      <c r="NQ107" s="4">
        <f>(0.49*1000000)/E107</f>
        <v>2966.2812518917613</v>
      </c>
      <c r="NR107" s="10" t="s">
        <v>56</v>
      </c>
      <c r="NS107" s="10" t="s">
        <v>55</v>
      </c>
      <c r="NT107" s="10" t="s">
        <v>56</v>
      </c>
      <c r="NU107" s="10" t="s">
        <v>55</v>
      </c>
    </row>
    <row r="108" spans="1:385" x14ac:dyDescent="0.2">
      <c r="A108" t="s">
        <v>38</v>
      </c>
      <c r="B108" s="1" t="s">
        <v>1037</v>
      </c>
      <c r="C108" s="1" t="s">
        <v>858</v>
      </c>
      <c r="D108" s="39" cm="1">
        <f t="array" ref="D108">SUMPRODUCT((ISNUMBER(F108:NU108))*(MOD(COLUMN(F108:NU108),2)=0))</f>
        <v>5</v>
      </c>
      <c r="E108" s="1">
        <v>181.19</v>
      </c>
      <c r="F108" s="1" t="s">
        <v>56</v>
      </c>
      <c r="G108" s="1" t="s">
        <v>55</v>
      </c>
      <c r="H108" s="1" t="s">
        <v>56</v>
      </c>
      <c r="I108" s="1" t="s">
        <v>55</v>
      </c>
      <c r="J108" s="1" t="s">
        <v>56</v>
      </c>
      <c r="K108" s="1" t="s">
        <v>55</v>
      </c>
      <c r="L108" s="1" t="s">
        <v>56</v>
      </c>
      <c r="M108" s="1" t="s">
        <v>55</v>
      </c>
      <c r="N108" s="1" t="s">
        <v>56</v>
      </c>
      <c r="O108" s="1" t="s">
        <v>55</v>
      </c>
      <c r="P108" s="1" t="s">
        <v>56</v>
      </c>
      <c r="Q108" s="1" t="s">
        <v>55</v>
      </c>
      <c r="R108" s="1" t="s">
        <v>56</v>
      </c>
      <c r="S108" s="1" t="s">
        <v>55</v>
      </c>
      <c r="T108" s="1" t="s">
        <v>56</v>
      </c>
      <c r="U108" s="1" t="s">
        <v>55</v>
      </c>
      <c r="V108" s="1" t="s">
        <v>56</v>
      </c>
      <c r="W108" s="1" t="s">
        <v>55</v>
      </c>
      <c r="X108" s="1" t="s">
        <v>56</v>
      </c>
      <c r="Y108" s="1" t="s">
        <v>55</v>
      </c>
      <c r="Z108" s="1" t="s">
        <v>56</v>
      </c>
      <c r="AA108" s="1" t="s">
        <v>55</v>
      </c>
      <c r="AB108" s="1" t="s">
        <v>56</v>
      </c>
      <c r="AC108" s="1" t="s">
        <v>55</v>
      </c>
      <c r="AD108" s="1" t="s">
        <v>56</v>
      </c>
      <c r="AE108" s="1" t="s">
        <v>55</v>
      </c>
      <c r="AF108" s="1" t="s">
        <v>56</v>
      </c>
      <c r="AG108" s="1" t="s">
        <v>55</v>
      </c>
      <c r="AH108" s="1" t="s">
        <v>56</v>
      </c>
      <c r="AI108" s="1" t="s">
        <v>55</v>
      </c>
      <c r="AJ108" s="1" t="s">
        <v>56</v>
      </c>
      <c r="AK108" s="1" t="s">
        <v>55</v>
      </c>
      <c r="AL108" s="1" t="s">
        <v>56</v>
      </c>
      <c r="AM108" s="1" t="s">
        <v>55</v>
      </c>
      <c r="AN108" s="1" t="s">
        <v>56</v>
      </c>
      <c r="AO108" s="1" t="s">
        <v>55</v>
      </c>
      <c r="AP108" s="1" t="s">
        <v>56</v>
      </c>
      <c r="AQ108" s="1" t="s">
        <v>55</v>
      </c>
      <c r="AR108" s="1" t="s">
        <v>56</v>
      </c>
      <c r="AS108" s="1" t="s">
        <v>55</v>
      </c>
      <c r="AT108" s="1" t="s">
        <v>56</v>
      </c>
      <c r="AU108" s="1" t="s">
        <v>55</v>
      </c>
      <c r="AV108" s="1" t="s">
        <v>56</v>
      </c>
      <c r="AW108" s="1" t="s">
        <v>55</v>
      </c>
      <c r="AX108" s="1" t="s">
        <v>56</v>
      </c>
      <c r="AY108" s="1" t="s">
        <v>55</v>
      </c>
      <c r="AZ108" s="1" t="s">
        <v>56</v>
      </c>
      <c r="BA108" s="1" t="s">
        <v>55</v>
      </c>
      <c r="BB108" s="1" t="s">
        <v>56</v>
      </c>
      <c r="BC108" s="1" t="s">
        <v>55</v>
      </c>
      <c r="BD108" s="1" t="s">
        <v>56</v>
      </c>
      <c r="BE108" s="1" t="s">
        <v>55</v>
      </c>
      <c r="BF108" s="1" t="s">
        <v>56</v>
      </c>
      <c r="BG108" s="1" t="s">
        <v>55</v>
      </c>
      <c r="BH108" s="1" t="s">
        <v>56</v>
      </c>
      <c r="BI108" s="1" t="s">
        <v>55</v>
      </c>
      <c r="BJ108" s="1" t="s">
        <v>56</v>
      </c>
      <c r="BK108" s="1" t="s">
        <v>55</v>
      </c>
      <c r="BL108" s="1" t="s">
        <v>56</v>
      </c>
      <c r="BM108" s="1" t="s">
        <v>55</v>
      </c>
      <c r="BN108" s="1" t="s">
        <v>56</v>
      </c>
      <c r="BO108" s="1" t="s">
        <v>55</v>
      </c>
      <c r="BP108" s="1" t="s">
        <v>56</v>
      </c>
      <c r="BQ108" s="1" t="s">
        <v>55</v>
      </c>
      <c r="BR108" s="1" t="s">
        <v>56</v>
      </c>
      <c r="BS108" s="1" t="s">
        <v>55</v>
      </c>
      <c r="BT108" s="1" t="s">
        <v>56</v>
      </c>
      <c r="BU108" s="1" t="s">
        <v>55</v>
      </c>
      <c r="BV108" s="1" t="s">
        <v>56</v>
      </c>
      <c r="BW108" s="1" t="s">
        <v>55</v>
      </c>
      <c r="BX108" s="1" t="s">
        <v>56</v>
      </c>
      <c r="BY108" s="1" t="s">
        <v>55</v>
      </c>
      <c r="BZ108" s="1" t="s">
        <v>56</v>
      </c>
      <c r="CA108" s="1" t="s">
        <v>55</v>
      </c>
      <c r="CB108" s="1" t="s">
        <v>56</v>
      </c>
      <c r="CC108" s="1" t="s">
        <v>55</v>
      </c>
      <c r="CD108" s="1" t="s">
        <v>56</v>
      </c>
      <c r="CE108" s="1" t="s">
        <v>55</v>
      </c>
      <c r="CF108" s="1" t="s">
        <v>56</v>
      </c>
      <c r="CG108" s="1" t="s">
        <v>55</v>
      </c>
      <c r="CH108" s="1" t="s">
        <v>56</v>
      </c>
      <c r="CI108" s="1" t="s">
        <v>55</v>
      </c>
      <c r="CJ108" s="1" t="s">
        <v>56</v>
      </c>
      <c r="CK108" s="1" t="s">
        <v>55</v>
      </c>
      <c r="CL108" s="1" t="s">
        <v>56</v>
      </c>
      <c r="CM108" s="1" t="s">
        <v>55</v>
      </c>
      <c r="CN108" s="1" t="s">
        <v>56</v>
      </c>
      <c r="CO108" s="1" t="s">
        <v>55</v>
      </c>
      <c r="CP108" s="1" t="s">
        <v>56</v>
      </c>
      <c r="CQ108" s="1" t="s">
        <v>55</v>
      </c>
      <c r="CR108" s="1" t="s">
        <v>56</v>
      </c>
      <c r="CS108" s="1" t="s">
        <v>55</v>
      </c>
      <c r="CT108" s="1" t="s">
        <v>56</v>
      </c>
      <c r="CU108" s="1" t="s">
        <v>55</v>
      </c>
      <c r="CV108" s="1" t="s">
        <v>56</v>
      </c>
      <c r="CW108" s="1" t="s">
        <v>55</v>
      </c>
      <c r="CX108" s="1" t="s">
        <v>56</v>
      </c>
      <c r="CY108" s="1" t="s">
        <v>55</v>
      </c>
      <c r="CZ108" s="1" t="s">
        <v>56</v>
      </c>
      <c r="DA108" s="1" t="s">
        <v>55</v>
      </c>
      <c r="DB108" s="1" t="s">
        <v>56</v>
      </c>
      <c r="DC108" s="1" t="s">
        <v>55</v>
      </c>
      <c r="DD108" s="1" t="s">
        <v>56</v>
      </c>
      <c r="DE108" s="1" t="s">
        <v>55</v>
      </c>
      <c r="DF108" s="1" t="s">
        <v>56</v>
      </c>
      <c r="DG108" s="1" t="s">
        <v>55</v>
      </c>
      <c r="DH108" s="1" t="s">
        <v>56</v>
      </c>
      <c r="DI108" s="1" t="s">
        <v>55</v>
      </c>
      <c r="DJ108" s="1" t="s">
        <v>56</v>
      </c>
      <c r="DK108" s="1" t="s">
        <v>55</v>
      </c>
      <c r="DL108" s="1" t="s">
        <v>56</v>
      </c>
      <c r="DM108" s="1" t="s">
        <v>55</v>
      </c>
      <c r="DN108" s="1" t="s">
        <v>56</v>
      </c>
      <c r="DO108" s="1" t="s">
        <v>55</v>
      </c>
      <c r="DP108" s="1" t="s">
        <v>56</v>
      </c>
      <c r="DQ108" s="1" t="s">
        <v>55</v>
      </c>
      <c r="DR108" s="1" t="s">
        <v>56</v>
      </c>
      <c r="DS108" s="1" t="s">
        <v>55</v>
      </c>
      <c r="DT108" s="1" t="s">
        <v>56</v>
      </c>
      <c r="DU108" s="1" t="s">
        <v>55</v>
      </c>
      <c r="DV108" s="1" t="s">
        <v>56</v>
      </c>
      <c r="DW108" s="1" t="s">
        <v>55</v>
      </c>
      <c r="DX108" s="1" t="s">
        <v>56</v>
      </c>
      <c r="DY108" s="1" t="s">
        <v>55</v>
      </c>
      <c r="DZ108" s="1" t="s">
        <v>56</v>
      </c>
      <c r="EA108" s="1" t="s">
        <v>55</v>
      </c>
      <c r="EB108" s="1" t="s">
        <v>56</v>
      </c>
      <c r="EC108" s="1" t="s">
        <v>55</v>
      </c>
      <c r="ED108" s="1" t="s">
        <v>56</v>
      </c>
      <c r="EE108" s="1" t="s">
        <v>55</v>
      </c>
      <c r="EF108" s="1" t="s">
        <v>56</v>
      </c>
      <c r="EG108" s="1" t="s">
        <v>55</v>
      </c>
      <c r="EH108" s="1" t="s">
        <v>56</v>
      </c>
      <c r="EI108" s="1" t="s">
        <v>55</v>
      </c>
      <c r="EJ108" s="1" t="s">
        <v>56</v>
      </c>
      <c r="EK108" s="1" t="s">
        <v>55</v>
      </c>
      <c r="EL108" s="1" t="s">
        <v>56</v>
      </c>
      <c r="EM108" s="1" t="s">
        <v>55</v>
      </c>
      <c r="EN108" s="1" t="s">
        <v>56</v>
      </c>
      <c r="EO108" s="1" t="s">
        <v>55</v>
      </c>
      <c r="EP108" s="1" t="s">
        <v>56</v>
      </c>
      <c r="EQ108" s="1" t="s">
        <v>55</v>
      </c>
      <c r="ER108" s="1" t="s">
        <v>56</v>
      </c>
      <c r="ES108" s="1" t="s">
        <v>55</v>
      </c>
      <c r="ET108" s="1" t="s">
        <v>56</v>
      </c>
      <c r="EU108" s="1" t="s">
        <v>55</v>
      </c>
      <c r="EV108" s="1" t="s">
        <v>56</v>
      </c>
      <c r="EW108" s="1" t="s">
        <v>55</v>
      </c>
      <c r="EX108" s="1" t="s">
        <v>56</v>
      </c>
      <c r="EY108" s="1" t="s">
        <v>55</v>
      </c>
      <c r="EZ108" s="1" t="s">
        <v>56</v>
      </c>
      <c r="FA108" s="1" t="s">
        <v>55</v>
      </c>
      <c r="FB108" s="1" t="s">
        <v>56</v>
      </c>
      <c r="FC108" s="1" t="s">
        <v>55</v>
      </c>
      <c r="FD108" s="1" t="s">
        <v>56</v>
      </c>
      <c r="FE108" s="1" t="s">
        <v>55</v>
      </c>
      <c r="FF108" s="1" t="s">
        <v>56</v>
      </c>
      <c r="FG108" s="1" t="s">
        <v>55</v>
      </c>
      <c r="FH108" s="1" t="s">
        <v>56</v>
      </c>
      <c r="FI108" s="1" t="s">
        <v>55</v>
      </c>
      <c r="FJ108" s="1" t="s">
        <v>56</v>
      </c>
      <c r="FK108" s="1" t="s">
        <v>55</v>
      </c>
      <c r="FL108" s="1" t="s">
        <v>56</v>
      </c>
      <c r="FM108" s="1" t="s">
        <v>55</v>
      </c>
      <c r="FN108" s="1" t="s">
        <v>56</v>
      </c>
      <c r="FO108" s="1" t="s">
        <v>55</v>
      </c>
      <c r="FP108" s="1" t="s">
        <v>56</v>
      </c>
      <c r="FQ108" s="1" t="s">
        <v>55</v>
      </c>
      <c r="FR108" s="1" t="s">
        <v>56</v>
      </c>
      <c r="FS108" s="1" t="s">
        <v>55</v>
      </c>
      <c r="FT108" s="1" t="s">
        <v>56</v>
      </c>
      <c r="FU108" s="1" t="s">
        <v>55</v>
      </c>
      <c r="FV108" s="1" t="s">
        <v>56</v>
      </c>
      <c r="FW108" s="1" t="s">
        <v>55</v>
      </c>
      <c r="FX108" s="1" t="s">
        <v>56</v>
      </c>
      <c r="FY108" s="1" t="s">
        <v>55</v>
      </c>
      <c r="FZ108" s="1" t="s">
        <v>56</v>
      </c>
      <c r="GA108" s="1" t="s">
        <v>55</v>
      </c>
      <c r="GB108" s="1" t="s">
        <v>56</v>
      </c>
      <c r="GC108" s="1" t="s">
        <v>55</v>
      </c>
      <c r="GD108" s="1" t="s">
        <v>56</v>
      </c>
      <c r="GE108" s="1" t="s">
        <v>55</v>
      </c>
      <c r="GF108" s="1" t="s">
        <v>56</v>
      </c>
      <c r="GG108" s="1" t="s">
        <v>55</v>
      </c>
      <c r="GH108" s="1" t="s">
        <v>56</v>
      </c>
      <c r="GI108" s="1" t="s">
        <v>55</v>
      </c>
      <c r="GJ108" s="1" t="s">
        <v>56</v>
      </c>
      <c r="GK108" s="1" t="s">
        <v>55</v>
      </c>
      <c r="GL108" s="1" t="s">
        <v>56</v>
      </c>
      <c r="GM108" s="1" t="s">
        <v>55</v>
      </c>
      <c r="GN108" s="1" t="s">
        <v>56</v>
      </c>
      <c r="GO108" s="1" t="s">
        <v>55</v>
      </c>
      <c r="GP108" s="1" t="s">
        <v>56</v>
      </c>
      <c r="GQ108" s="1" t="s">
        <v>55</v>
      </c>
      <c r="GR108" s="1" t="s">
        <v>56</v>
      </c>
      <c r="GS108" s="1" t="s">
        <v>55</v>
      </c>
      <c r="GT108" s="1" t="s">
        <v>56</v>
      </c>
      <c r="GU108" s="1" t="s">
        <v>55</v>
      </c>
      <c r="GV108" s="17" t="s">
        <v>56</v>
      </c>
      <c r="GW108" s="17" t="s">
        <v>55</v>
      </c>
      <c r="GX108" s="1" t="s">
        <v>56</v>
      </c>
      <c r="GY108" s="1" t="s">
        <v>55</v>
      </c>
      <c r="GZ108" s="10" t="s">
        <v>56</v>
      </c>
      <c r="HA108" s="10" t="s">
        <v>55</v>
      </c>
      <c r="HB108" s="10" t="s">
        <v>56</v>
      </c>
      <c r="HC108" s="10" t="s">
        <v>55</v>
      </c>
      <c r="HD108" s="10" t="s">
        <v>56</v>
      </c>
      <c r="HE108" s="10" t="s">
        <v>55</v>
      </c>
      <c r="HF108" s="10" t="s">
        <v>56</v>
      </c>
      <c r="HG108" s="10" t="s">
        <v>55</v>
      </c>
      <c r="HH108" s="10" t="s">
        <v>56</v>
      </c>
      <c r="HI108" s="10" t="s">
        <v>55</v>
      </c>
      <c r="HJ108" s="10" t="s">
        <v>56</v>
      </c>
      <c r="HK108" s="10" t="s">
        <v>55</v>
      </c>
      <c r="HL108" s="10" t="s">
        <v>56</v>
      </c>
      <c r="HM108" s="10" t="s">
        <v>55</v>
      </c>
      <c r="HN108" s="10" t="s">
        <v>56</v>
      </c>
      <c r="HO108" s="10" t="s">
        <v>55</v>
      </c>
      <c r="HP108" s="10" t="s">
        <v>56</v>
      </c>
      <c r="HQ108" s="10" t="s">
        <v>55</v>
      </c>
      <c r="HR108" s="10" t="s">
        <v>56</v>
      </c>
      <c r="HS108" s="10" t="s">
        <v>55</v>
      </c>
      <c r="HT108" s="10" t="s">
        <v>56</v>
      </c>
      <c r="HU108" s="10" t="s">
        <v>55</v>
      </c>
      <c r="HV108" s="10" t="s">
        <v>56</v>
      </c>
      <c r="HW108" s="10" t="s">
        <v>55</v>
      </c>
      <c r="HX108" s="10" t="s">
        <v>56</v>
      </c>
      <c r="HY108" s="10" t="s">
        <v>55</v>
      </c>
      <c r="HZ108" s="10" t="s">
        <v>56</v>
      </c>
      <c r="IA108" s="10" t="s">
        <v>55</v>
      </c>
      <c r="IB108" s="10" t="s">
        <v>56</v>
      </c>
      <c r="IC108" s="10" t="s">
        <v>55</v>
      </c>
      <c r="ID108" s="1" t="s">
        <v>56</v>
      </c>
      <c r="IE108" s="1" t="s">
        <v>55</v>
      </c>
      <c r="IF108" s="4" t="s">
        <v>56</v>
      </c>
      <c r="IG108" s="4" t="s">
        <v>55</v>
      </c>
      <c r="IH108" s="4" t="s">
        <v>56</v>
      </c>
      <c r="II108" s="4" t="s">
        <v>55</v>
      </c>
      <c r="IJ108" s="4" t="s">
        <v>56</v>
      </c>
      <c r="IK108" s="4" t="s">
        <v>55</v>
      </c>
      <c r="IL108" s="4" t="s">
        <v>56</v>
      </c>
      <c r="IM108" s="4" t="s">
        <v>55</v>
      </c>
      <c r="IN108" s="4" t="s">
        <v>56</v>
      </c>
      <c r="IO108" s="4" t="s">
        <v>55</v>
      </c>
      <c r="IP108" s="4" t="s">
        <v>56</v>
      </c>
      <c r="IQ108" s="4" t="s">
        <v>55</v>
      </c>
      <c r="IR108" s="4" t="s">
        <v>56</v>
      </c>
      <c r="IS108" s="4" t="s">
        <v>55</v>
      </c>
      <c r="IT108" s="18" t="s">
        <v>56</v>
      </c>
      <c r="IU108" s="18" t="s">
        <v>55</v>
      </c>
      <c r="IV108" s="18" t="s">
        <v>56</v>
      </c>
      <c r="IW108" s="18" t="s">
        <v>55</v>
      </c>
      <c r="IX108" s="18" t="s">
        <v>56</v>
      </c>
      <c r="IY108" s="18" t="s">
        <v>55</v>
      </c>
      <c r="IZ108" s="18" t="s">
        <v>56</v>
      </c>
      <c r="JA108" s="18" t="s">
        <v>55</v>
      </c>
      <c r="JB108" s="18" t="s">
        <v>56</v>
      </c>
      <c r="JC108" s="18" t="s">
        <v>55</v>
      </c>
      <c r="JD108" s="18" t="s">
        <v>56</v>
      </c>
      <c r="JE108" s="18" t="s">
        <v>55</v>
      </c>
      <c r="JF108" s="18" t="s">
        <v>56</v>
      </c>
      <c r="JG108" s="18" t="s">
        <v>55</v>
      </c>
      <c r="JH108" s="18" t="s">
        <v>56</v>
      </c>
      <c r="JI108" s="18" t="s">
        <v>55</v>
      </c>
      <c r="JJ108" s="18" t="s">
        <v>56</v>
      </c>
      <c r="JK108" s="18" t="s">
        <v>55</v>
      </c>
      <c r="JL108" s="18" t="s">
        <v>56</v>
      </c>
      <c r="JM108" s="18" t="s">
        <v>55</v>
      </c>
      <c r="JN108" s="18" t="s">
        <v>56</v>
      </c>
      <c r="JO108" s="18" t="s">
        <v>55</v>
      </c>
      <c r="JP108" s="18" t="s">
        <v>56</v>
      </c>
      <c r="JQ108" s="18" t="s">
        <v>55</v>
      </c>
      <c r="JR108" s="18" t="s">
        <v>56</v>
      </c>
      <c r="JS108" s="18" t="s">
        <v>55</v>
      </c>
      <c r="JT108" s="18" t="s">
        <v>56</v>
      </c>
      <c r="JU108" s="18" t="s">
        <v>55</v>
      </c>
      <c r="JV108" s="18" t="s">
        <v>56</v>
      </c>
      <c r="JW108" s="18" t="s">
        <v>55</v>
      </c>
      <c r="JX108" s="26">
        <v>28.971762428525029</v>
      </c>
      <c r="JY108" s="26">
        <v>40.42234699137223</v>
      </c>
      <c r="JZ108" s="26">
        <v>79.312143098455991</v>
      </c>
      <c r="KA108" s="26">
        <v>59.499835867185013</v>
      </c>
      <c r="KB108" s="26">
        <v>73.601629698130324</v>
      </c>
      <c r="KC108" s="26">
        <v>27.478364437127567</v>
      </c>
      <c r="KD108" s="26">
        <v>8.4412881105794639</v>
      </c>
      <c r="KE108" s="26">
        <v>5.311555471492686</v>
      </c>
      <c r="KF108" s="26">
        <v>16.544680359548604</v>
      </c>
      <c r="KG108" s="26">
        <v>3.1274907133362411</v>
      </c>
      <c r="KH108" s="4" t="s">
        <v>56</v>
      </c>
      <c r="KI108" s="4" t="s">
        <v>55</v>
      </c>
      <c r="KJ108" s="4" t="s">
        <v>56</v>
      </c>
      <c r="KK108" s="4" t="s">
        <v>55</v>
      </c>
      <c r="KL108" s="4" t="s">
        <v>56</v>
      </c>
      <c r="KM108" s="4" t="s">
        <v>55</v>
      </c>
      <c r="KN108" s="4" t="s">
        <v>56</v>
      </c>
      <c r="KO108" s="4" t="s">
        <v>55</v>
      </c>
      <c r="KP108" s="4" t="s">
        <v>56</v>
      </c>
      <c r="KQ108" s="4" t="s">
        <v>55</v>
      </c>
      <c r="KR108" s="17" t="s">
        <v>56</v>
      </c>
      <c r="KS108" s="17" t="s">
        <v>55</v>
      </c>
      <c r="KT108" s="17" t="s">
        <v>56</v>
      </c>
      <c r="KU108" s="17" t="s">
        <v>55</v>
      </c>
      <c r="KV108" s="4" t="s">
        <v>57</v>
      </c>
      <c r="KW108" s="4" t="s">
        <v>55</v>
      </c>
      <c r="KX108" s="4" t="s">
        <v>57</v>
      </c>
      <c r="KY108" s="4" t="s">
        <v>55</v>
      </c>
      <c r="KZ108" s="4" t="s">
        <v>57</v>
      </c>
      <c r="LA108" s="4" t="s">
        <v>55</v>
      </c>
      <c r="LB108" s="10" t="s">
        <v>56</v>
      </c>
      <c r="LC108" s="10" t="s">
        <v>55</v>
      </c>
      <c r="LD108" s="10" t="s">
        <v>56</v>
      </c>
      <c r="LE108" s="10" t="s">
        <v>55</v>
      </c>
      <c r="LF108" s="10" t="s">
        <v>56</v>
      </c>
      <c r="LG108" s="10" t="s">
        <v>55</v>
      </c>
      <c r="LH108" s="10" t="s">
        <v>56</v>
      </c>
      <c r="LI108" s="10" t="s">
        <v>55</v>
      </c>
      <c r="LJ108" s="10" t="s">
        <v>56</v>
      </c>
      <c r="LK108" s="10" t="s">
        <v>55</v>
      </c>
      <c r="LL108" s="10" t="s">
        <v>56</v>
      </c>
      <c r="LM108" s="10" t="s">
        <v>55</v>
      </c>
      <c r="LN108" s="10" t="s">
        <v>56</v>
      </c>
      <c r="LO108" s="10" t="s">
        <v>55</v>
      </c>
      <c r="LP108" s="10" t="s">
        <v>56</v>
      </c>
      <c r="LQ108" s="10" t="s">
        <v>55</v>
      </c>
      <c r="LR108" s="10" t="s">
        <v>56</v>
      </c>
      <c r="LS108" s="10" t="s">
        <v>55</v>
      </c>
      <c r="LT108" s="10" t="s">
        <v>56</v>
      </c>
      <c r="LU108" s="10" t="s">
        <v>55</v>
      </c>
      <c r="LV108" s="10" t="s">
        <v>56</v>
      </c>
      <c r="LW108" s="10" t="s">
        <v>55</v>
      </c>
      <c r="LX108" s="10" t="s">
        <v>56</v>
      </c>
      <c r="LY108" s="10" t="s">
        <v>55</v>
      </c>
      <c r="LZ108" s="10" t="s">
        <v>56</v>
      </c>
      <c r="MA108" s="10" t="s">
        <v>55</v>
      </c>
      <c r="MB108" s="10" t="s">
        <v>56</v>
      </c>
      <c r="MC108" s="10" t="s">
        <v>55</v>
      </c>
      <c r="MD108" s="10" t="s">
        <v>56</v>
      </c>
      <c r="ME108" s="10" t="s">
        <v>55</v>
      </c>
      <c r="MF108" s="10" t="s">
        <v>56</v>
      </c>
      <c r="MG108" s="10" t="s">
        <v>55</v>
      </c>
      <c r="MH108" s="10" t="s">
        <v>56</v>
      </c>
      <c r="MI108" s="10" t="s">
        <v>55</v>
      </c>
      <c r="MJ108" s="10" t="s">
        <v>56</v>
      </c>
      <c r="MK108" s="10" t="s">
        <v>55</v>
      </c>
      <c r="ML108" s="10" t="s">
        <v>56</v>
      </c>
      <c r="MM108" s="10" t="s">
        <v>55</v>
      </c>
      <c r="MN108" s="10" t="s">
        <v>56</v>
      </c>
      <c r="MO108" s="10" t="s">
        <v>55</v>
      </c>
      <c r="MP108" s="10" t="s">
        <v>56</v>
      </c>
      <c r="MQ108" s="10" t="s">
        <v>55</v>
      </c>
      <c r="MR108" s="10" t="s">
        <v>56</v>
      </c>
      <c r="MS108" s="10" t="s">
        <v>55</v>
      </c>
      <c r="MT108" s="10" t="s">
        <v>56</v>
      </c>
      <c r="MU108" s="10" t="s">
        <v>55</v>
      </c>
      <c r="MV108" s="10" t="s">
        <v>56</v>
      </c>
      <c r="MW108" s="10" t="s">
        <v>55</v>
      </c>
      <c r="MX108" s="10" t="s">
        <v>56</v>
      </c>
      <c r="MY108" s="10" t="s">
        <v>55</v>
      </c>
      <c r="MZ108" s="10" t="s">
        <v>56</v>
      </c>
      <c r="NA108" s="10" t="s">
        <v>55</v>
      </c>
      <c r="NB108" s="10" t="s">
        <v>56</v>
      </c>
      <c r="NC108" s="10" t="s">
        <v>55</v>
      </c>
      <c r="ND108" s="10" t="s">
        <v>56</v>
      </c>
      <c r="NE108" s="10" t="s">
        <v>55</v>
      </c>
      <c r="NF108" s="10" t="s">
        <v>56</v>
      </c>
      <c r="NG108" s="10" t="s">
        <v>55</v>
      </c>
      <c r="NH108" s="10" t="s">
        <v>56</v>
      </c>
      <c r="NI108" s="10" t="s">
        <v>55</v>
      </c>
      <c r="NJ108" s="10" t="s">
        <v>56</v>
      </c>
      <c r="NK108" s="10" t="s">
        <v>55</v>
      </c>
      <c r="NL108" s="10" t="s">
        <v>56</v>
      </c>
      <c r="NM108" s="10" t="s">
        <v>55</v>
      </c>
      <c r="NN108" s="10" t="s">
        <v>56</v>
      </c>
      <c r="NO108" s="10" t="s">
        <v>55</v>
      </c>
      <c r="NP108" s="10" t="s">
        <v>56</v>
      </c>
      <c r="NQ108" s="10" t="s">
        <v>55</v>
      </c>
      <c r="NR108" s="10" t="s">
        <v>56</v>
      </c>
      <c r="NS108" s="10" t="s">
        <v>55</v>
      </c>
      <c r="NT108" s="10" t="s">
        <v>56</v>
      </c>
      <c r="NU108" s="10" t="s">
        <v>55</v>
      </c>
    </row>
    <row r="109" spans="1:385" x14ac:dyDescent="0.2">
      <c r="A109" t="s">
        <v>39</v>
      </c>
      <c r="B109" s="1" t="s">
        <v>1037</v>
      </c>
      <c r="C109" s="1" t="s">
        <v>859</v>
      </c>
      <c r="D109" s="39" cm="1">
        <f t="array" ref="D109">SUMPRODUCT((ISNUMBER(F109:NU109))*(MOD(COLUMN(F109:NU109),2)=0))</f>
        <v>11</v>
      </c>
      <c r="E109" s="1">
        <v>181.19</v>
      </c>
      <c r="F109" s="1" t="s">
        <v>56</v>
      </c>
      <c r="G109" s="1" t="s">
        <v>55</v>
      </c>
      <c r="H109" s="1" t="s">
        <v>56</v>
      </c>
      <c r="I109" s="1" t="s">
        <v>55</v>
      </c>
      <c r="J109" s="1" t="s">
        <v>56</v>
      </c>
      <c r="K109" s="1" t="s">
        <v>55</v>
      </c>
      <c r="L109" s="1" t="s">
        <v>56</v>
      </c>
      <c r="M109" s="1" t="s">
        <v>55</v>
      </c>
      <c r="N109" s="1" t="s">
        <v>56</v>
      </c>
      <c r="O109" s="1" t="s">
        <v>55</v>
      </c>
      <c r="P109" s="1" t="s">
        <v>56</v>
      </c>
      <c r="Q109" s="1" t="s">
        <v>55</v>
      </c>
      <c r="R109" s="1" t="s">
        <v>56</v>
      </c>
      <c r="S109" s="1" t="s">
        <v>55</v>
      </c>
      <c r="T109" s="1" t="s">
        <v>56</v>
      </c>
      <c r="U109" s="1" t="s">
        <v>55</v>
      </c>
      <c r="V109" s="1" t="s">
        <v>56</v>
      </c>
      <c r="W109" s="1" t="s">
        <v>55</v>
      </c>
      <c r="X109" s="1" t="s">
        <v>56</v>
      </c>
      <c r="Y109" s="1" t="s">
        <v>55</v>
      </c>
      <c r="Z109" s="1" t="s">
        <v>56</v>
      </c>
      <c r="AA109" s="1" t="s">
        <v>55</v>
      </c>
      <c r="AB109" s="1" t="s">
        <v>56</v>
      </c>
      <c r="AC109" s="1" t="s">
        <v>55</v>
      </c>
      <c r="AD109" s="1" t="s">
        <v>56</v>
      </c>
      <c r="AE109" s="1" t="s">
        <v>55</v>
      </c>
      <c r="AF109" s="1" t="s">
        <v>56</v>
      </c>
      <c r="AG109" s="1" t="s">
        <v>55</v>
      </c>
      <c r="AH109" s="1" t="s">
        <v>56</v>
      </c>
      <c r="AI109" s="1" t="s">
        <v>55</v>
      </c>
      <c r="AJ109" s="1" t="s">
        <v>56</v>
      </c>
      <c r="AK109" s="1" t="s">
        <v>55</v>
      </c>
      <c r="AL109" s="1" t="s">
        <v>56</v>
      </c>
      <c r="AM109" s="1" t="s">
        <v>55</v>
      </c>
      <c r="AN109" s="1" t="s">
        <v>56</v>
      </c>
      <c r="AO109" s="1" t="s">
        <v>55</v>
      </c>
      <c r="AP109" s="1" t="s">
        <v>56</v>
      </c>
      <c r="AQ109" s="1" t="s">
        <v>55</v>
      </c>
      <c r="AR109" s="1" t="s">
        <v>56</v>
      </c>
      <c r="AS109" s="1" t="s">
        <v>55</v>
      </c>
      <c r="AT109" s="1" t="s">
        <v>56</v>
      </c>
      <c r="AU109" s="1" t="s">
        <v>55</v>
      </c>
      <c r="AV109" s="1" t="s">
        <v>56</v>
      </c>
      <c r="AW109" s="1" t="s">
        <v>55</v>
      </c>
      <c r="AX109" s="1" t="s">
        <v>56</v>
      </c>
      <c r="AY109" s="1" t="s">
        <v>55</v>
      </c>
      <c r="AZ109" s="1" t="s">
        <v>56</v>
      </c>
      <c r="BA109" s="1" t="s">
        <v>55</v>
      </c>
      <c r="BB109" s="1" t="s">
        <v>56</v>
      </c>
      <c r="BC109" s="1" t="s">
        <v>55</v>
      </c>
      <c r="BD109" s="1" t="s">
        <v>56</v>
      </c>
      <c r="BE109" s="1" t="s">
        <v>55</v>
      </c>
      <c r="BF109" s="1" t="s">
        <v>56</v>
      </c>
      <c r="BG109" s="1" t="s">
        <v>55</v>
      </c>
      <c r="BH109" s="1" t="s">
        <v>56</v>
      </c>
      <c r="BI109" s="1" t="s">
        <v>55</v>
      </c>
      <c r="BJ109" s="1" t="s">
        <v>56</v>
      </c>
      <c r="BK109" s="1" t="s">
        <v>55</v>
      </c>
      <c r="BL109" s="1" t="s">
        <v>56</v>
      </c>
      <c r="BM109" s="1" t="s">
        <v>55</v>
      </c>
      <c r="BN109" s="1" t="s">
        <v>56</v>
      </c>
      <c r="BO109" s="1" t="s">
        <v>55</v>
      </c>
      <c r="BP109" s="1" t="s">
        <v>56</v>
      </c>
      <c r="BQ109" s="1" t="s">
        <v>55</v>
      </c>
      <c r="BR109" s="1" t="s">
        <v>56</v>
      </c>
      <c r="BS109" s="1" t="s">
        <v>55</v>
      </c>
      <c r="BT109" s="1" t="s">
        <v>56</v>
      </c>
      <c r="BU109" s="1" t="s">
        <v>55</v>
      </c>
      <c r="BV109" s="1" t="s">
        <v>56</v>
      </c>
      <c r="BW109" s="1" t="s">
        <v>55</v>
      </c>
      <c r="BX109" s="1" t="s">
        <v>56</v>
      </c>
      <c r="BY109" s="1" t="s">
        <v>55</v>
      </c>
      <c r="BZ109" s="1" t="s">
        <v>56</v>
      </c>
      <c r="CA109" s="1" t="s">
        <v>55</v>
      </c>
      <c r="CB109" s="1" t="s">
        <v>56</v>
      </c>
      <c r="CC109" s="1" t="s">
        <v>55</v>
      </c>
      <c r="CD109" s="1" t="s">
        <v>56</v>
      </c>
      <c r="CE109" s="1" t="s">
        <v>55</v>
      </c>
      <c r="CF109" s="1" t="s">
        <v>56</v>
      </c>
      <c r="CG109" s="1" t="s">
        <v>55</v>
      </c>
      <c r="CH109" s="1" t="s">
        <v>56</v>
      </c>
      <c r="CI109" s="1" t="s">
        <v>55</v>
      </c>
      <c r="CJ109" s="1" t="s">
        <v>56</v>
      </c>
      <c r="CK109" s="1" t="s">
        <v>55</v>
      </c>
      <c r="CL109" s="1" t="s">
        <v>56</v>
      </c>
      <c r="CM109" s="1" t="s">
        <v>55</v>
      </c>
      <c r="CN109" s="1" t="s">
        <v>56</v>
      </c>
      <c r="CO109" s="1" t="s">
        <v>55</v>
      </c>
      <c r="CP109" s="1" t="s">
        <v>56</v>
      </c>
      <c r="CQ109" s="1" t="s">
        <v>55</v>
      </c>
      <c r="CR109" s="1" t="s">
        <v>56</v>
      </c>
      <c r="CS109" s="1" t="s">
        <v>55</v>
      </c>
      <c r="CT109" s="1" t="s">
        <v>56</v>
      </c>
      <c r="CU109" s="1" t="s">
        <v>55</v>
      </c>
      <c r="CV109" s="1" t="s">
        <v>56</v>
      </c>
      <c r="CW109" s="1" t="s">
        <v>55</v>
      </c>
      <c r="CX109" s="1" t="s">
        <v>56</v>
      </c>
      <c r="CY109" s="1" t="s">
        <v>55</v>
      </c>
      <c r="CZ109" s="1" t="s">
        <v>56</v>
      </c>
      <c r="DA109" s="1" t="s">
        <v>55</v>
      </c>
      <c r="DB109" s="1" t="s">
        <v>56</v>
      </c>
      <c r="DC109" s="1" t="s">
        <v>55</v>
      </c>
      <c r="DD109" s="1" t="s">
        <v>56</v>
      </c>
      <c r="DE109" s="1" t="s">
        <v>55</v>
      </c>
      <c r="DF109" s="1" t="s">
        <v>56</v>
      </c>
      <c r="DG109" s="1" t="s">
        <v>55</v>
      </c>
      <c r="DH109" s="1" t="s">
        <v>56</v>
      </c>
      <c r="DI109" s="1" t="s">
        <v>55</v>
      </c>
      <c r="DJ109" s="1" t="s">
        <v>56</v>
      </c>
      <c r="DK109" s="1" t="s">
        <v>55</v>
      </c>
      <c r="DL109" s="1" t="s">
        <v>56</v>
      </c>
      <c r="DM109" s="1" t="s">
        <v>55</v>
      </c>
      <c r="DN109" s="1" t="s">
        <v>56</v>
      </c>
      <c r="DO109" s="1" t="s">
        <v>55</v>
      </c>
      <c r="DP109" s="1" t="s">
        <v>56</v>
      </c>
      <c r="DQ109" s="1" t="s">
        <v>55</v>
      </c>
      <c r="DR109" s="1" t="s">
        <v>56</v>
      </c>
      <c r="DS109" s="1" t="s">
        <v>55</v>
      </c>
      <c r="DT109" s="1" t="s">
        <v>56</v>
      </c>
      <c r="DU109" s="1" t="s">
        <v>55</v>
      </c>
      <c r="DV109" s="1" t="s">
        <v>56</v>
      </c>
      <c r="DW109" s="1" t="s">
        <v>55</v>
      </c>
      <c r="DX109" s="1" t="s">
        <v>56</v>
      </c>
      <c r="DY109" s="1" t="s">
        <v>55</v>
      </c>
      <c r="DZ109" s="1" t="s">
        <v>56</v>
      </c>
      <c r="EA109" s="1" t="s">
        <v>55</v>
      </c>
      <c r="EB109" s="1" t="s">
        <v>56</v>
      </c>
      <c r="EC109" s="1" t="s">
        <v>55</v>
      </c>
      <c r="ED109" s="1" t="s">
        <v>56</v>
      </c>
      <c r="EE109" s="1" t="s">
        <v>55</v>
      </c>
      <c r="EF109" s="1" t="s">
        <v>56</v>
      </c>
      <c r="EG109" s="1" t="s">
        <v>55</v>
      </c>
      <c r="EH109" s="1" t="s">
        <v>56</v>
      </c>
      <c r="EI109" s="1" t="s">
        <v>55</v>
      </c>
      <c r="EJ109" s="1" t="s">
        <v>56</v>
      </c>
      <c r="EK109" s="1" t="s">
        <v>55</v>
      </c>
      <c r="EL109" s="1" t="s">
        <v>56</v>
      </c>
      <c r="EM109" s="1" t="s">
        <v>55</v>
      </c>
      <c r="EN109" s="1" t="s">
        <v>56</v>
      </c>
      <c r="EO109" s="1" t="s">
        <v>55</v>
      </c>
      <c r="EP109" s="1" t="s">
        <v>56</v>
      </c>
      <c r="EQ109" s="1" t="s">
        <v>55</v>
      </c>
      <c r="ER109" s="1" t="s">
        <v>56</v>
      </c>
      <c r="ES109" s="1" t="s">
        <v>55</v>
      </c>
      <c r="ET109" s="1" t="s">
        <v>56</v>
      </c>
      <c r="EU109" s="1" t="s">
        <v>55</v>
      </c>
      <c r="EV109" s="1" t="s">
        <v>56</v>
      </c>
      <c r="EW109" s="1" t="s">
        <v>55</v>
      </c>
      <c r="EX109" s="1" t="s">
        <v>56</v>
      </c>
      <c r="EY109" s="1" t="s">
        <v>55</v>
      </c>
      <c r="EZ109" s="1" t="s">
        <v>56</v>
      </c>
      <c r="FA109" s="1" t="s">
        <v>55</v>
      </c>
      <c r="FB109" s="1" t="s">
        <v>56</v>
      </c>
      <c r="FC109" s="1" t="s">
        <v>55</v>
      </c>
      <c r="FD109" s="1" t="s">
        <v>56</v>
      </c>
      <c r="FE109" s="1" t="s">
        <v>55</v>
      </c>
      <c r="FF109" s="1" t="s">
        <v>56</v>
      </c>
      <c r="FG109" s="1" t="s">
        <v>55</v>
      </c>
      <c r="FH109" s="1" t="s">
        <v>56</v>
      </c>
      <c r="FI109" s="1" t="s">
        <v>55</v>
      </c>
      <c r="FJ109" s="1" t="s">
        <v>56</v>
      </c>
      <c r="FK109" s="1" t="s">
        <v>55</v>
      </c>
      <c r="FL109" s="1" t="s">
        <v>56</v>
      </c>
      <c r="FM109" s="1" t="s">
        <v>55</v>
      </c>
      <c r="FN109" s="1" t="s">
        <v>56</v>
      </c>
      <c r="FO109" s="1" t="s">
        <v>55</v>
      </c>
      <c r="FP109" s="1" t="s">
        <v>56</v>
      </c>
      <c r="FQ109" s="1" t="s">
        <v>55</v>
      </c>
      <c r="FR109" s="1" t="s">
        <v>56</v>
      </c>
      <c r="FS109" s="1" t="s">
        <v>55</v>
      </c>
      <c r="FT109" s="1" t="s">
        <v>56</v>
      </c>
      <c r="FU109" s="1" t="s">
        <v>55</v>
      </c>
      <c r="FV109" s="1" t="s">
        <v>56</v>
      </c>
      <c r="FW109" s="1" t="s">
        <v>55</v>
      </c>
      <c r="FX109" s="1" t="s">
        <v>56</v>
      </c>
      <c r="FY109" s="1" t="s">
        <v>55</v>
      </c>
      <c r="FZ109" s="1" t="s">
        <v>56</v>
      </c>
      <c r="GA109" s="1" t="s">
        <v>55</v>
      </c>
      <c r="GB109" s="1" t="s">
        <v>56</v>
      </c>
      <c r="GC109" s="1" t="s">
        <v>55</v>
      </c>
      <c r="GD109" s="1" t="s">
        <v>56</v>
      </c>
      <c r="GE109" s="1" t="s">
        <v>55</v>
      </c>
      <c r="GF109" s="1" t="s">
        <v>56</v>
      </c>
      <c r="GG109" s="1" t="s">
        <v>55</v>
      </c>
      <c r="GH109" s="1" t="s">
        <v>56</v>
      </c>
      <c r="GI109" s="1" t="s">
        <v>55</v>
      </c>
      <c r="GJ109" s="1" t="s">
        <v>56</v>
      </c>
      <c r="GK109" s="1" t="s">
        <v>55</v>
      </c>
      <c r="GL109" s="1" t="s">
        <v>56</v>
      </c>
      <c r="GM109" s="1" t="s">
        <v>55</v>
      </c>
      <c r="GN109" s="1" t="s">
        <v>56</v>
      </c>
      <c r="GO109" s="1" t="s">
        <v>55</v>
      </c>
      <c r="GP109" s="1" t="s">
        <v>56</v>
      </c>
      <c r="GQ109" s="1" t="s">
        <v>55</v>
      </c>
      <c r="GR109" s="1" t="s">
        <v>56</v>
      </c>
      <c r="GS109" s="1" t="s">
        <v>55</v>
      </c>
      <c r="GT109" s="1" t="s">
        <v>56</v>
      </c>
      <c r="GU109" s="1" t="s">
        <v>55</v>
      </c>
      <c r="GV109" s="17" t="s">
        <v>56</v>
      </c>
      <c r="GW109" s="17" t="s">
        <v>55</v>
      </c>
      <c r="GX109" s="1" t="s">
        <v>56</v>
      </c>
      <c r="GY109" s="1" t="s">
        <v>55</v>
      </c>
      <c r="GZ109" s="10" t="s">
        <v>56</v>
      </c>
      <c r="HA109" s="10" t="s">
        <v>55</v>
      </c>
      <c r="HB109" s="10" t="s">
        <v>56</v>
      </c>
      <c r="HC109" s="10" t="s">
        <v>55</v>
      </c>
      <c r="HD109" s="10" t="s">
        <v>56</v>
      </c>
      <c r="HE109" s="10" t="s">
        <v>55</v>
      </c>
      <c r="HF109" s="10" t="s">
        <v>56</v>
      </c>
      <c r="HG109" s="10" t="s">
        <v>55</v>
      </c>
      <c r="HH109" s="10" t="s">
        <v>56</v>
      </c>
      <c r="HI109" s="10" t="s">
        <v>55</v>
      </c>
      <c r="HJ109" s="10" t="s">
        <v>56</v>
      </c>
      <c r="HK109" s="10" t="s">
        <v>55</v>
      </c>
      <c r="HL109" s="10" t="s">
        <v>56</v>
      </c>
      <c r="HM109" s="10" t="s">
        <v>55</v>
      </c>
      <c r="HN109" s="10" t="s">
        <v>56</v>
      </c>
      <c r="HO109" s="10" t="s">
        <v>55</v>
      </c>
      <c r="HP109" s="10" t="s">
        <v>56</v>
      </c>
      <c r="HQ109" s="10" t="s">
        <v>55</v>
      </c>
      <c r="HR109" s="10" t="s">
        <v>56</v>
      </c>
      <c r="HS109" s="10" t="s">
        <v>55</v>
      </c>
      <c r="HT109" s="10" t="s">
        <v>56</v>
      </c>
      <c r="HU109" s="10" t="s">
        <v>55</v>
      </c>
      <c r="HV109" s="10" t="s">
        <v>56</v>
      </c>
      <c r="HW109" s="10" t="s">
        <v>55</v>
      </c>
      <c r="HX109" s="10" t="s">
        <v>56</v>
      </c>
      <c r="HY109" s="10" t="s">
        <v>55</v>
      </c>
      <c r="HZ109" s="10" t="s">
        <v>56</v>
      </c>
      <c r="IA109" s="10" t="s">
        <v>55</v>
      </c>
      <c r="IB109" s="10" t="s">
        <v>56</v>
      </c>
      <c r="IC109" s="10" t="s">
        <v>55</v>
      </c>
      <c r="ID109" s="1" t="s">
        <v>56</v>
      </c>
      <c r="IE109" s="1" t="s">
        <v>55</v>
      </c>
      <c r="IF109" s="4" t="s">
        <v>56</v>
      </c>
      <c r="IG109" s="4" t="s">
        <v>55</v>
      </c>
      <c r="IH109" s="4" t="s">
        <v>56</v>
      </c>
      <c r="II109" s="4" t="s">
        <v>55</v>
      </c>
      <c r="IJ109" s="4" t="s">
        <v>56</v>
      </c>
      <c r="IK109" s="4" t="s">
        <v>55</v>
      </c>
      <c r="IL109" s="4" t="s">
        <v>56</v>
      </c>
      <c r="IM109" s="4" t="s">
        <v>55</v>
      </c>
      <c r="IN109" s="4" t="s">
        <v>56</v>
      </c>
      <c r="IO109" s="4" t="s">
        <v>55</v>
      </c>
      <c r="IP109" s="4" t="s">
        <v>56</v>
      </c>
      <c r="IQ109" s="4" t="s">
        <v>55</v>
      </c>
      <c r="IR109" s="4" t="s">
        <v>56</v>
      </c>
      <c r="IS109" s="4" t="s">
        <v>55</v>
      </c>
      <c r="IT109" s="18" t="s">
        <v>56</v>
      </c>
      <c r="IU109" s="18" t="s">
        <v>55</v>
      </c>
      <c r="IV109" s="18" t="s">
        <v>56</v>
      </c>
      <c r="IW109" s="18" t="s">
        <v>55</v>
      </c>
      <c r="IX109" s="18" t="s">
        <v>56</v>
      </c>
      <c r="IY109" s="18" t="s">
        <v>55</v>
      </c>
      <c r="IZ109" s="18" t="s">
        <v>56</v>
      </c>
      <c r="JA109" s="18" t="s">
        <v>55</v>
      </c>
      <c r="JB109" s="18" t="s">
        <v>56</v>
      </c>
      <c r="JC109" s="18" t="s">
        <v>55</v>
      </c>
      <c r="JD109" s="18" t="s">
        <v>56</v>
      </c>
      <c r="JE109" s="18" t="s">
        <v>55</v>
      </c>
      <c r="JF109" s="18" t="s">
        <v>56</v>
      </c>
      <c r="JG109" s="18" t="s">
        <v>55</v>
      </c>
      <c r="JH109" s="18" t="s">
        <v>56</v>
      </c>
      <c r="JI109" s="18" t="s">
        <v>55</v>
      </c>
      <c r="JJ109" s="18" t="s">
        <v>56</v>
      </c>
      <c r="JK109" s="18" t="s">
        <v>55</v>
      </c>
      <c r="JL109" s="18" t="s">
        <v>56</v>
      </c>
      <c r="JM109" s="18" t="s">
        <v>55</v>
      </c>
      <c r="JN109" s="18" t="s">
        <v>56</v>
      </c>
      <c r="JO109" s="18" t="s">
        <v>55</v>
      </c>
      <c r="JP109" s="18" t="s">
        <v>56</v>
      </c>
      <c r="JQ109" s="18" t="s">
        <v>55</v>
      </c>
      <c r="JR109" s="18" t="s">
        <v>56</v>
      </c>
      <c r="JS109" s="18" t="s">
        <v>55</v>
      </c>
      <c r="JT109" s="18" t="s">
        <v>56</v>
      </c>
      <c r="JU109" s="18" t="s">
        <v>55</v>
      </c>
      <c r="JV109" s="18" t="s">
        <v>56</v>
      </c>
      <c r="JW109" s="18" t="s">
        <v>55</v>
      </c>
      <c r="JX109" s="26">
        <v>2702.5401448409434</v>
      </c>
      <c r="JY109" s="26">
        <v>617.54171412879066</v>
      </c>
      <c r="JZ109" s="26">
        <v>3078.8038850954567</v>
      </c>
      <c r="KA109" s="26">
        <v>795.42555749113001</v>
      </c>
      <c r="KB109" s="26">
        <v>1755.4848546425328</v>
      </c>
      <c r="KC109" s="26">
        <v>339.39427265447637</v>
      </c>
      <c r="KD109" s="26">
        <v>2397.4700047639531</v>
      </c>
      <c r="KE109" s="26">
        <v>603.46018874357742</v>
      </c>
      <c r="KF109" s="26">
        <v>2236.5628019046931</v>
      </c>
      <c r="KG109" s="26">
        <v>488.76889303612666</v>
      </c>
      <c r="KH109" s="4" t="s">
        <v>56</v>
      </c>
      <c r="KI109" s="4" t="s">
        <v>55</v>
      </c>
      <c r="KJ109" s="4" t="s">
        <v>56</v>
      </c>
      <c r="KK109" s="4" t="s">
        <v>55</v>
      </c>
      <c r="KL109" s="4" t="s">
        <v>56</v>
      </c>
      <c r="KM109" s="4" t="s">
        <v>55</v>
      </c>
      <c r="KN109" s="4" t="s">
        <v>56</v>
      </c>
      <c r="KO109" s="4" t="s">
        <v>55</v>
      </c>
      <c r="KP109" s="4" t="s">
        <v>56</v>
      </c>
      <c r="KQ109" s="4" t="s">
        <v>55</v>
      </c>
      <c r="KR109" s="17" t="s">
        <v>56</v>
      </c>
      <c r="KS109" s="17" t="s">
        <v>55</v>
      </c>
      <c r="KT109" s="17" t="s">
        <v>56</v>
      </c>
      <c r="KU109" s="17" t="s">
        <v>55</v>
      </c>
      <c r="KV109" s="17">
        <v>303</v>
      </c>
      <c r="KW109" s="17">
        <v>64.7</v>
      </c>
      <c r="KX109" s="17">
        <v>877.9</v>
      </c>
      <c r="KY109" s="17">
        <v>449.9</v>
      </c>
      <c r="KZ109" s="17">
        <v>3597.1</v>
      </c>
      <c r="LA109" s="17">
        <v>514.6</v>
      </c>
      <c r="LB109" s="10" t="s">
        <v>56</v>
      </c>
      <c r="LC109" s="10" t="s">
        <v>55</v>
      </c>
      <c r="LD109" s="10">
        <f>0.5*1000</f>
        <v>500</v>
      </c>
      <c r="LE109" s="10">
        <f>0.2*1000</f>
        <v>200</v>
      </c>
      <c r="LF109" s="10">
        <f>0.15*1000</f>
        <v>150</v>
      </c>
      <c r="LG109" s="10">
        <f>0.02*1000</f>
        <v>20</v>
      </c>
      <c r="LH109" s="10">
        <f>0.26*1000</f>
        <v>260</v>
      </c>
      <c r="LI109" s="10">
        <f>0.03*1000</f>
        <v>30</v>
      </c>
      <c r="LJ109" s="10" t="s">
        <v>56</v>
      </c>
      <c r="LK109" s="10" t="s">
        <v>55</v>
      </c>
      <c r="LL109" s="10" t="s">
        <v>56</v>
      </c>
      <c r="LM109" s="10" t="s">
        <v>55</v>
      </c>
      <c r="LN109" s="10" t="s">
        <v>56</v>
      </c>
      <c r="LO109" s="10" t="s">
        <v>55</v>
      </c>
      <c r="LP109" s="10" t="s">
        <v>56</v>
      </c>
      <c r="LQ109" s="10" t="s">
        <v>55</v>
      </c>
      <c r="LR109" s="10" t="s">
        <v>56</v>
      </c>
      <c r="LS109" s="10" t="s">
        <v>55</v>
      </c>
      <c r="LT109" s="10" t="s">
        <v>56</v>
      </c>
      <c r="LU109" s="10" t="s">
        <v>55</v>
      </c>
      <c r="LV109" s="10" t="s">
        <v>56</v>
      </c>
      <c r="LW109" s="10" t="s">
        <v>55</v>
      </c>
      <c r="LX109" s="10" t="s">
        <v>56</v>
      </c>
      <c r="LY109" s="10" t="s">
        <v>55</v>
      </c>
      <c r="LZ109" s="10" t="s">
        <v>56</v>
      </c>
      <c r="MA109" s="10" t="s">
        <v>55</v>
      </c>
      <c r="MB109" s="10" t="s">
        <v>56</v>
      </c>
      <c r="MC109" s="10" t="s">
        <v>55</v>
      </c>
      <c r="MD109" s="10" t="s">
        <v>56</v>
      </c>
      <c r="ME109" s="10" t="s">
        <v>55</v>
      </c>
      <c r="MF109" s="10" t="s">
        <v>56</v>
      </c>
      <c r="MG109" s="10" t="s">
        <v>55</v>
      </c>
      <c r="MH109" s="10" t="s">
        <v>56</v>
      </c>
      <c r="MI109" s="10" t="s">
        <v>55</v>
      </c>
      <c r="MJ109" s="10" t="s">
        <v>56</v>
      </c>
      <c r="MK109" s="10" t="s">
        <v>55</v>
      </c>
      <c r="ML109" s="10" t="s">
        <v>56</v>
      </c>
      <c r="MM109" s="10" t="s">
        <v>55</v>
      </c>
      <c r="MN109" s="10" t="s">
        <v>56</v>
      </c>
      <c r="MO109" s="10" t="s">
        <v>55</v>
      </c>
      <c r="MP109" s="10" t="s">
        <v>56</v>
      </c>
      <c r="MQ109" s="10" t="s">
        <v>55</v>
      </c>
      <c r="MR109" s="10" t="s">
        <v>56</v>
      </c>
      <c r="MS109" s="10" t="s">
        <v>55</v>
      </c>
      <c r="MT109" s="10" t="s">
        <v>56</v>
      </c>
      <c r="MU109" s="10" t="s">
        <v>55</v>
      </c>
      <c r="MV109" s="10" t="s">
        <v>56</v>
      </c>
      <c r="MW109" s="10" t="s">
        <v>55</v>
      </c>
      <c r="MX109" s="10" t="s">
        <v>56</v>
      </c>
      <c r="MY109" s="10" t="s">
        <v>55</v>
      </c>
      <c r="MZ109" s="10" t="s">
        <v>56</v>
      </c>
      <c r="NA109" s="10" t="s">
        <v>55</v>
      </c>
      <c r="NB109" s="10" t="s">
        <v>56</v>
      </c>
      <c r="NC109" s="10" t="s">
        <v>55</v>
      </c>
      <c r="ND109" s="10" t="s">
        <v>56</v>
      </c>
      <c r="NE109" s="10" t="s">
        <v>55</v>
      </c>
      <c r="NF109" s="10" t="s">
        <v>56</v>
      </c>
      <c r="NG109" s="10" t="s">
        <v>55</v>
      </c>
      <c r="NH109" s="10" t="s">
        <v>56</v>
      </c>
      <c r="NI109" s="10" t="s">
        <v>55</v>
      </c>
      <c r="NJ109" s="10" t="s">
        <v>56</v>
      </c>
      <c r="NK109" s="10" t="s">
        <v>55</v>
      </c>
      <c r="NL109" s="10" t="s">
        <v>56</v>
      </c>
      <c r="NM109" s="10" t="s">
        <v>55</v>
      </c>
      <c r="NN109" s="10" t="s">
        <v>56</v>
      </c>
      <c r="NO109" s="10" t="s">
        <v>55</v>
      </c>
      <c r="NP109" s="10" t="s">
        <v>56</v>
      </c>
      <c r="NQ109" s="10" t="s">
        <v>55</v>
      </c>
      <c r="NR109" s="10" t="s">
        <v>56</v>
      </c>
      <c r="NS109" s="10" t="s">
        <v>55</v>
      </c>
      <c r="NT109" s="10" t="s">
        <v>56</v>
      </c>
      <c r="NU109" s="10" t="s">
        <v>55</v>
      </c>
    </row>
    <row r="110" spans="1:385" x14ac:dyDescent="0.2">
      <c r="A110" t="s">
        <v>886</v>
      </c>
      <c r="B110" s="1" t="s">
        <v>1037</v>
      </c>
      <c r="C110" s="1" t="s">
        <v>843</v>
      </c>
      <c r="D110" s="39" cm="1">
        <f t="array" ref="D110">SUMPRODUCT((ISNUMBER(F110:NU110))*(MOD(COLUMN(F110:NU110),2)=0))</f>
        <v>44</v>
      </c>
      <c r="E110" s="1">
        <v>181.19</v>
      </c>
      <c r="F110" s="1" t="s">
        <v>56</v>
      </c>
      <c r="G110" s="1" t="s">
        <v>55</v>
      </c>
      <c r="H110" s="1" t="s">
        <v>56</v>
      </c>
      <c r="I110" s="1" t="s">
        <v>55</v>
      </c>
      <c r="J110" s="1" t="s">
        <v>56</v>
      </c>
      <c r="K110" s="1" t="s">
        <v>55</v>
      </c>
      <c r="L110" s="1" t="s">
        <v>56</v>
      </c>
      <c r="M110" s="1" t="s">
        <v>55</v>
      </c>
      <c r="N110" s="1" t="s">
        <v>56</v>
      </c>
      <c r="O110" s="1" t="s">
        <v>55</v>
      </c>
      <c r="P110" s="1" t="s">
        <v>56</v>
      </c>
      <c r="Q110" s="1" t="s">
        <v>55</v>
      </c>
      <c r="R110" s="1" t="s">
        <v>56</v>
      </c>
      <c r="S110" s="1" t="s">
        <v>55</v>
      </c>
      <c r="T110" s="1" t="s">
        <v>56</v>
      </c>
      <c r="U110" s="1" t="s">
        <v>55</v>
      </c>
      <c r="V110" s="1" t="s">
        <v>56</v>
      </c>
      <c r="W110" s="1" t="s">
        <v>55</v>
      </c>
      <c r="X110" s="1" t="s">
        <v>56</v>
      </c>
      <c r="Y110" s="1" t="s">
        <v>55</v>
      </c>
      <c r="Z110" s="1" t="s">
        <v>56</v>
      </c>
      <c r="AA110" s="1" t="s">
        <v>55</v>
      </c>
      <c r="AB110" s="1" t="s">
        <v>56</v>
      </c>
      <c r="AC110" s="1" t="s">
        <v>55</v>
      </c>
      <c r="AD110" s="1" t="s">
        <v>56</v>
      </c>
      <c r="AE110" s="1" t="s">
        <v>55</v>
      </c>
      <c r="AF110" s="1" t="s">
        <v>56</v>
      </c>
      <c r="AG110" s="1" t="s">
        <v>55</v>
      </c>
      <c r="AH110" s="1" t="s">
        <v>56</v>
      </c>
      <c r="AI110" s="1" t="s">
        <v>55</v>
      </c>
      <c r="AJ110" s="1" t="s">
        <v>56</v>
      </c>
      <c r="AK110" s="1" t="s">
        <v>55</v>
      </c>
      <c r="AL110" s="1" t="s">
        <v>56</v>
      </c>
      <c r="AM110" s="1" t="s">
        <v>55</v>
      </c>
      <c r="AN110" s="1" t="s">
        <v>56</v>
      </c>
      <c r="AO110" s="1" t="s">
        <v>55</v>
      </c>
      <c r="AP110" s="1" t="s">
        <v>56</v>
      </c>
      <c r="AQ110" s="1" t="s">
        <v>55</v>
      </c>
      <c r="AR110" s="1" t="s">
        <v>56</v>
      </c>
      <c r="AS110" s="1" t="s">
        <v>55</v>
      </c>
      <c r="AT110" s="1" t="s">
        <v>56</v>
      </c>
      <c r="AU110" s="1" t="s">
        <v>55</v>
      </c>
      <c r="AV110" s="1" t="s">
        <v>56</v>
      </c>
      <c r="AW110" s="1" t="s">
        <v>55</v>
      </c>
      <c r="AX110" s="1" t="s">
        <v>56</v>
      </c>
      <c r="AY110" s="1" t="s">
        <v>55</v>
      </c>
      <c r="AZ110" s="1" t="s">
        <v>56</v>
      </c>
      <c r="BA110" s="1" t="s">
        <v>55</v>
      </c>
      <c r="BB110" s="1" t="s">
        <v>56</v>
      </c>
      <c r="BC110" s="1" t="s">
        <v>55</v>
      </c>
      <c r="BD110" s="1" t="s">
        <v>56</v>
      </c>
      <c r="BE110" s="1" t="s">
        <v>55</v>
      </c>
      <c r="BF110" s="1" t="s">
        <v>56</v>
      </c>
      <c r="BG110" s="1" t="s">
        <v>55</v>
      </c>
      <c r="BH110" s="1" t="s">
        <v>56</v>
      </c>
      <c r="BI110" s="1" t="s">
        <v>55</v>
      </c>
      <c r="BJ110" s="1" t="s">
        <v>56</v>
      </c>
      <c r="BK110" s="1" t="s">
        <v>55</v>
      </c>
      <c r="BL110" s="1" t="s">
        <v>56</v>
      </c>
      <c r="BM110" s="1" t="s">
        <v>55</v>
      </c>
      <c r="BN110" s="1" t="s">
        <v>56</v>
      </c>
      <c r="BO110" s="1" t="s">
        <v>55</v>
      </c>
      <c r="BP110" s="1" t="s">
        <v>56</v>
      </c>
      <c r="BQ110" s="1" t="s">
        <v>55</v>
      </c>
      <c r="BR110" s="1" t="s">
        <v>56</v>
      </c>
      <c r="BS110" s="1" t="s">
        <v>55</v>
      </c>
      <c r="BT110" s="1" t="s">
        <v>56</v>
      </c>
      <c r="BU110" s="1" t="s">
        <v>55</v>
      </c>
      <c r="BV110" s="1" t="s">
        <v>56</v>
      </c>
      <c r="BW110" s="1" t="s">
        <v>55</v>
      </c>
      <c r="BX110" s="1" t="s">
        <v>56</v>
      </c>
      <c r="BY110" s="1" t="s">
        <v>55</v>
      </c>
      <c r="BZ110" s="1" t="s">
        <v>56</v>
      </c>
      <c r="CA110" s="1" t="s">
        <v>55</v>
      </c>
      <c r="CB110" s="1" t="s">
        <v>56</v>
      </c>
      <c r="CC110" s="1" t="s">
        <v>55</v>
      </c>
      <c r="CD110" s="1" t="s">
        <v>56</v>
      </c>
      <c r="CE110" s="1" t="s">
        <v>55</v>
      </c>
      <c r="CF110" s="1" t="s">
        <v>56</v>
      </c>
      <c r="CG110" s="1" t="s">
        <v>55</v>
      </c>
      <c r="CH110" s="1" t="s">
        <v>56</v>
      </c>
      <c r="CI110" s="1" t="s">
        <v>55</v>
      </c>
      <c r="CJ110" s="1" t="s">
        <v>56</v>
      </c>
      <c r="CK110" s="1" t="s">
        <v>55</v>
      </c>
      <c r="CL110" s="1" t="s">
        <v>56</v>
      </c>
      <c r="CM110" s="1" t="s">
        <v>55</v>
      </c>
      <c r="CN110" s="1" t="s">
        <v>56</v>
      </c>
      <c r="CO110" s="1" t="s">
        <v>55</v>
      </c>
      <c r="CP110" s="1" t="s">
        <v>56</v>
      </c>
      <c r="CQ110" s="1" t="s">
        <v>55</v>
      </c>
      <c r="CR110" s="1" t="s">
        <v>56</v>
      </c>
      <c r="CS110" s="1" t="s">
        <v>55</v>
      </c>
      <c r="CT110" s="1" t="s">
        <v>56</v>
      </c>
      <c r="CU110" s="1" t="s">
        <v>55</v>
      </c>
      <c r="CV110" s="1" t="s">
        <v>56</v>
      </c>
      <c r="CW110" s="1" t="s">
        <v>55</v>
      </c>
      <c r="CX110" s="1" t="s">
        <v>56</v>
      </c>
      <c r="CY110" s="1" t="s">
        <v>55</v>
      </c>
      <c r="CZ110" s="1" t="s">
        <v>56</v>
      </c>
      <c r="DA110" s="1" t="s">
        <v>55</v>
      </c>
      <c r="DB110" s="1" t="s">
        <v>56</v>
      </c>
      <c r="DC110" s="1" t="s">
        <v>55</v>
      </c>
      <c r="DD110" s="1" t="s">
        <v>56</v>
      </c>
      <c r="DE110" s="1" t="s">
        <v>55</v>
      </c>
      <c r="DF110" s="1" t="s">
        <v>56</v>
      </c>
      <c r="DG110" s="1" t="s">
        <v>55</v>
      </c>
      <c r="DH110" s="1" t="s">
        <v>56</v>
      </c>
      <c r="DI110" s="1" t="s">
        <v>55</v>
      </c>
      <c r="DJ110" s="1" t="s">
        <v>56</v>
      </c>
      <c r="DK110" s="1" t="s">
        <v>55</v>
      </c>
      <c r="DL110" s="1" t="s">
        <v>56</v>
      </c>
      <c r="DM110" s="1" t="s">
        <v>55</v>
      </c>
      <c r="DN110" s="1" t="s">
        <v>56</v>
      </c>
      <c r="DO110" s="1" t="s">
        <v>55</v>
      </c>
      <c r="DP110" s="1" t="s">
        <v>56</v>
      </c>
      <c r="DQ110" s="1" t="s">
        <v>55</v>
      </c>
      <c r="DR110" s="1" t="s">
        <v>56</v>
      </c>
      <c r="DS110" s="1" t="s">
        <v>55</v>
      </c>
      <c r="DT110" s="1" t="s">
        <v>56</v>
      </c>
      <c r="DU110" s="1" t="s">
        <v>55</v>
      </c>
      <c r="DV110" s="1" t="s">
        <v>56</v>
      </c>
      <c r="DW110" s="1" t="s">
        <v>55</v>
      </c>
      <c r="DX110" s="1" t="s">
        <v>56</v>
      </c>
      <c r="DY110" s="1" t="s">
        <v>55</v>
      </c>
      <c r="DZ110" s="1" t="s">
        <v>56</v>
      </c>
      <c r="EA110" s="1" t="s">
        <v>55</v>
      </c>
      <c r="EB110" s="1" t="s">
        <v>56</v>
      </c>
      <c r="EC110" s="1" t="s">
        <v>55</v>
      </c>
      <c r="ED110" s="1" t="s">
        <v>56</v>
      </c>
      <c r="EE110" s="1" t="s">
        <v>55</v>
      </c>
      <c r="EF110" s="1" t="s">
        <v>56</v>
      </c>
      <c r="EG110" s="1" t="s">
        <v>55</v>
      </c>
      <c r="EH110" s="1" t="s">
        <v>56</v>
      </c>
      <c r="EI110" s="1" t="s">
        <v>55</v>
      </c>
      <c r="EJ110" s="1" t="s">
        <v>56</v>
      </c>
      <c r="EK110" s="1" t="s">
        <v>55</v>
      </c>
      <c r="EL110" s="1" t="s">
        <v>56</v>
      </c>
      <c r="EM110" s="1" t="s">
        <v>55</v>
      </c>
      <c r="EN110" s="1" t="s">
        <v>56</v>
      </c>
      <c r="EO110" s="1" t="s">
        <v>55</v>
      </c>
      <c r="EP110" s="1" t="s">
        <v>56</v>
      </c>
      <c r="EQ110" s="1" t="s">
        <v>55</v>
      </c>
      <c r="ER110" s="1" t="s">
        <v>56</v>
      </c>
      <c r="ES110" s="1" t="s">
        <v>55</v>
      </c>
      <c r="ET110" s="1" t="s">
        <v>56</v>
      </c>
      <c r="EU110" s="1" t="s">
        <v>55</v>
      </c>
      <c r="EV110" s="1" t="s">
        <v>56</v>
      </c>
      <c r="EW110" s="1" t="s">
        <v>55</v>
      </c>
      <c r="EX110" s="1" t="s">
        <v>56</v>
      </c>
      <c r="EY110" s="1" t="s">
        <v>55</v>
      </c>
      <c r="EZ110" s="1" t="s">
        <v>56</v>
      </c>
      <c r="FA110" s="1" t="s">
        <v>55</v>
      </c>
      <c r="FB110" s="1" t="s">
        <v>56</v>
      </c>
      <c r="FC110" s="1" t="s">
        <v>55</v>
      </c>
      <c r="FD110" s="1" t="s">
        <v>56</v>
      </c>
      <c r="FE110" s="1" t="s">
        <v>55</v>
      </c>
      <c r="FF110" s="1" t="s">
        <v>56</v>
      </c>
      <c r="FG110" s="1" t="s">
        <v>55</v>
      </c>
      <c r="FH110" s="1" t="s">
        <v>56</v>
      </c>
      <c r="FI110" s="1" t="s">
        <v>55</v>
      </c>
      <c r="FJ110" s="1" t="s">
        <v>56</v>
      </c>
      <c r="FK110" s="1" t="s">
        <v>55</v>
      </c>
      <c r="FL110" s="1" t="s">
        <v>56</v>
      </c>
      <c r="FM110" s="1" t="s">
        <v>55</v>
      </c>
      <c r="FN110" s="1" t="s">
        <v>56</v>
      </c>
      <c r="FO110" s="1" t="s">
        <v>55</v>
      </c>
      <c r="FP110" s="1" t="s">
        <v>56</v>
      </c>
      <c r="FQ110" s="1" t="s">
        <v>55</v>
      </c>
      <c r="FR110" s="1" t="s">
        <v>56</v>
      </c>
      <c r="FS110" s="1" t="s">
        <v>55</v>
      </c>
      <c r="FT110" s="1" t="s">
        <v>56</v>
      </c>
      <c r="FU110" s="1" t="s">
        <v>55</v>
      </c>
      <c r="FV110" s="1" t="s">
        <v>56</v>
      </c>
      <c r="FW110" s="1" t="s">
        <v>55</v>
      </c>
      <c r="FX110" s="1" t="s">
        <v>56</v>
      </c>
      <c r="FY110" s="1" t="s">
        <v>55</v>
      </c>
      <c r="FZ110" s="1" t="s">
        <v>56</v>
      </c>
      <c r="GA110" s="1" t="s">
        <v>55</v>
      </c>
      <c r="GB110" s="1" t="s">
        <v>56</v>
      </c>
      <c r="GC110" s="1" t="s">
        <v>55</v>
      </c>
      <c r="GD110" s="1" t="s">
        <v>56</v>
      </c>
      <c r="GE110" s="1" t="s">
        <v>55</v>
      </c>
      <c r="GF110" s="1" t="s">
        <v>56</v>
      </c>
      <c r="GG110" s="1" t="s">
        <v>55</v>
      </c>
      <c r="GH110" s="1" t="s">
        <v>56</v>
      </c>
      <c r="GI110" s="1" t="s">
        <v>55</v>
      </c>
      <c r="GJ110" s="1" t="s">
        <v>56</v>
      </c>
      <c r="GK110" s="1" t="s">
        <v>55</v>
      </c>
      <c r="GL110" s="1" t="s">
        <v>56</v>
      </c>
      <c r="GM110" s="1" t="s">
        <v>55</v>
      </c>
      <c r="GN110" s="1" t="s">
        <v>56</v>
      </c>
      <c r="GO110" s="1" t="s">
        <v>55</v>
      </c>
      <c r="GP110" s="1" t="s">
        <v>56</v>
      </c>
      <c r="GQ110" s="1" t="s">
        <v>55</v>
      </c>
      <c r="GR110" s="1" t="s">
        <v>56</v>
      </c>
      <c r="GS110" s="1" t="s">
        <v>55</v>
      </c>
      <c r="GT110" s="1" t="s">
        <v>56</v>
      </c>
      <c r="GU110" s="1" t="s">
        <v>55</v>
      </c>
      <c r="GV110" s="17" t="s">
        <v>56</v>
      </c>
      <c r="GW110" s="17" t="s">
        <v>55</v>
      </c>
      <c r="GX110" s="1" t="s">
        <v>56</v>
      </c>
      <c r="GY110" s="1" t="s">
        <v>55</v>
      </c>
      <c r="GZ110" s="10" t="s">
        <v>56</v>
      </c>
      <c r="HA110" s="10" t="s">
        <v>55</v>
      </c>
      <c r="HB110" s="10" t="s">
        <v>56</v>
      </c>
      <c r="HC110" s="10" t="s">
        <v>55</v>
      </c>
      <c r="HD110" s="10" t="s">
        <v>56</v>
      </c>
      <c r="HE110" s="10" t="s">
        <v>55</v>
      </c>
      <c r="HF110" s="10" t="s">
        <v>56</v>
      </c>
      <c r="HG110" s="10" t="s">
        <v>55</v>
      </c>
      <c r="HH110" s="10" t="s">
        <v>56</v>
      </c>
      <c r="HI110" s="10" t="s">
        <v>55</v>
      </c>
      <c r="HJ110" s="10" t="s">
        <v>56</v>
      </c>
      <c r="HK110" s="10" t="s">
        <v>55</v>
      </c>
      <c r="HL110" s="10" t="s">
        <v>56</v>
      </c>
      <c r="HM110" s="10" t="s">
        <v>55</v>
      </c>
      <c r="HN110" s="10" t="s">
        <v>56</v>
      </c>
      <c r="HO110" s="10" t="s">
        <v>55</v>
      </c>
      <c r="HP110" s="10" t="s">
        <v>56</v>
      </c>
      <c r="HQ110" s="10" t="s">
        <v>55</v>
      </c>
      <c r="HR110" s="10" t="s">
        <v>56</v>
      </c>
      <c r="HS110" s="10" t="s">
        <v>55</v>
      </c>
      <c r="HT110" s="10" t="s">
        <v>56</v>
      </c>
      <c r="HU110" s="10" t="s">
        <v>55</v>
      </c>
      <c r="HV110" s="10" t="s">
        <v>56</v>
      </c>
      <c r="HW110" s="10" t="s">
        <v>55</v>
      </c>
      <c r="HX110" s="10" t="s">
        <v>56</v>
      </c>
      <c r="HY110" s="10" t="s">
        <v>55</v>
      </c>
      <c r="HZ110" s="10" t="s">
        <v>56</v>
      </c>
      <c r="IA110" s="10" t="s">
        <v>55</v>
      </c>
      <c r="IB110" s="10" t="s">
        <v>56</v>
      </c>
      <c r="IC110" s="10" t="s">
        <v>55</v>
      </c>
      <c r="ID110" s="10" t="s">
        <v>56</v>
      </c>
      <c r="IE110" s="10" t="s">
        <v>55</v>
      </c>
      <c r="IF110" s="10" t="s">
        <v>56</v>
      </c>
      <c r="IG110" s="10" t="s">
        <v>55</v>
      </c>
      <c r="IH110" s="10" t="s">
        <v>56</v>
      </c>
      <c r="II110" s="10" t="s">
        <v>55</v>
      </c>
      <c r="IJ110" s="10" t="s">
        <v>56</v>
      </c>
      <c r="IK110" s="10" t="s">
        <v>55</v>
      </c>
      <c r="IL110" s="10" t="s">
        <v>56</v>
      </c>
      <c r="IM110" s="10" t="s">
        <v>55</v>
      </c>
      <c r="IN110" s="10" t="s">
        <v>56</v>
      </c>
      <c r="IO110" s="10" t="s">
        <v>55</v>
      </c>
      <c r="IP110" s="10" t="s">
        <v>56</v>
      </c>
      <c r="IQ110" s="10" t="s">
        <v>55</v>
      </c>
      <c r="IR110" s="4">
        <v>0</v>
      </c>
      <c r="IS110" s="4">
        <v>0.06</v>
      </c>
      <c r="IT110" s="18" t="s">
        <v>56</v>
      </c>
      <c r="IU110" s="18" t="s">
        <v>55</v>
      </c>
      <c r="IV110" s="4">
        <v>0.55000000000000004</v>
      </c>
      <c r="IW110" s="4" t="s">
        <v>55</v>
      </c>
      <c r="IX110" s="4" t="s">
        <v>319</v>
      </c>
      <c r="IY110" s="4" t="s">
        <v>162</v>
      </c>
      <c r="IZ110" s="4" t="s">
        <v>319</v>
      </c>
      <c r="JA110" s="4" t="s">
        <v>162</v>
      </c>
      <c r="JB110" s="4" t="s">
        <v>319</v>
      </c>
      <c r="JC110" s="4" t="s">
        <v>319</v>
      </c>
      <c r="JD110" s="4" t="s">
        <v>162</v>
      </c>
      <c r="JE110" s="4" t="s">
        <v>319</v>
      </c>
      <c r="JF110" s="4">
        <v>2.1000000000000001E-2</v>
      </c>
      <c r="JG110" s="4" t="s">
        <v>55</v>
      </c>
      <c r="JH110" s="4">
        <v>0.01</v>
      </c>
      <c r="JI110" s="4" t="s">
        <v>55</v>
      </c>
      <c r="JJ110" s="4">
        <v>0.02</v>
      </c>
      <c r="JK110" s="4" t="s">
        <v>55</v>
      </c>
      <c r="JL110" s="4">
        <v>0.153</v>
      </c>
      <c r="JM110" s="4" t="s">
        <v>55</v>
      </c>
      <c r="JN110" s="4">
        <v>0.25800000000000001</v>
      </c>
      <c r="JO110" s="4" t="s">
        <v>55</v>
      </c>
      <c r="JP110" s="4">
        <v>0.151</v>
      </c>
      <c r="JQ110" s="4" t="s">
        <v>55</v>
      </c>
      <c r="JR110" s="4">
        <v>4.2000000000000003E-2</v>
      </c>
      <c r="JS110" s="4" t="s">
        <v>55</v>
      </c>
      <c r="JT110" s="4">
        <v>3.4000000000000002E-2</v>
      </c>
      <c r="JU110" s="4" t="s">
        <v>55</v>
      </c>
      <c r="JV110" s="4">
        <v>15.31</v>
      </c>
      <c r="JW110" s="4" t="s">
        <v>55</v>
      </c>
      <c r="JX110" s="4" t="s">
        <v>56</v>
      </c>
      <c r="JY110" s="4" t="s">
        <v>55</v>
      </c>
      <c r="JZ110" s="4" t="s">
        <v>56</v>
      </c>
      <c r="KA110" s="4" t="s">
        <v>55</v>
      </c>
      <c r="KB110" s="4" t="s">
        <v>56</v>
      </c>
      <c r="KC110" s="4" t="s">
        <v>55</v>
      </c>
      <c r="KD110" s="4" t="s">
        <v>56</v>
      </c>
      <c r="KE110" s="4" t="s">
        <v>55</v>
      </c>
      <c r="KF110" s="4" t="s">
        <v>56</v>
      </c>
      <c r="KG110" s="4" t="s">
        <v>55</v>
      </c>
      <c r="KH110" s="4">
        <f>13.8*1000</f>
        <v>13800</v>
      </c>
      <c r="KI110" s="4">
        <f>1.8*1000</f>
        <v>1800</v>
      </c>
      <c r="KJ110" s="4">
        <f>215.4*1000</f>
        <v>215400</v>
      </c>
      <c r="KK110" s="4">
        <f>17.7*1000</f>
        <v>17700</v>
      </c>
      <c r="KL110" s="4">
        <f>74.3*1000</f>
        <v>74300</v>
      </c>
      <c r="KM110" s="4">
        <f>10.8*1000</f>
        <v>10800</v>
      </c>
      <c r="KN110" s="4">
        <f>76.7*1000</f>
        <v>76700</v>
      </c>
      <c r="KO110" s="4">
        <f>6.9*1000</f>
        <v>6900</v>
      </c>
      <c r="KP110" s="4">
        <f>154.1*1000</f>
        <v>154100</v>
      </c>
      <c r="KQ110" s="4">
        <f>9.9*1000</f>
        <v>9900</v>
      </c>
      <c r="KR110" s="17" t="s">
        <v>56</v>
      </c>
      <c r="KS110" s="17" t="s">
        <v>55</v>
      </c>
      <c r="KT110" s="17" t="s">
        <v>56</v>
      </c>
      <c r="KU110" s="17" t="s">
        <v>55</v>
      </c>
      <c r="KV110" s="17" t="s">
        <v>56</v>
      </c>
      <c r="KW110" s="17" t="s">
        <v>55</v>
      </c>
      <c r="KX110" s="17" t="s">
        <v>56</v>
      </c>
      <c r="KY110" s="17" t="s">
        <v>55</v>
      </c>
      <c r="KZ110" s="17" t="s">
        <v>56</v>
      </c>
      <c r="LA110" s="17" t="s">
        <v>55</v>
      </c>
      <c r="LB110" s="10">
        <f>((2.6/100)*1000000000)/E110</f>
        <v>143495.77791268835</v>
      </c>
      <c r="LC110" s="10">
        <f>((0.2/100)*1000000000)/E110</f>
        <v>11038.136762514489</v>
      </c>
      <c r="LD110" s="10" t="s">
        <v>56</v>
      </c>
      <c r="LE110" s="10" t="s">
        <v>55</v>
      </c>
      <c r="LF110" s="10" t="s">
        <v>56</v>
      </c>
      <c r="LG110" s="10" t="s">
        <v>55</v>
      </c>
      <c r="LH110" s="10" t="s">
        <v>56</v>
      </c>
      <c r="LI110" s="10" t="s">
        <v>55</v>
      </c>
      <c r="LJ110" s="10">
        <f>((2.64/100)*1000000000)/E110</f>
        <v>145703.40526519125</v>
      </c>
      <c r="LK110" s="10" t="s">
        <v>162</v>
      </c>
      <c r="LL110" s="10">
        <f>(25.8*1000000)/E110</f>
        <v>142391.96423643688</v>
      </c>
      <c r="LM110" s="10">
        <f>(1.08*1000000)/E110</f>
        <v>5960.5938517578234</v>
      </c>
      <c r="LN110" s="10">
        <f>((0.4/100)*1000000000)/E110</f>
        <v>22076.273525028977</v>
      </c>
      <c r="LO110" s="10" t="s">
        <v>162</v>
      </c>
      <c r="LP110" s="10">
        <f>((15.6/100)*1000000000)/E110</f>
        <v>860974.66747613007</v>
      </c>
      <c r="LQ110" s="10" t="s">
        <v>55</v>
      </c>
      <c r="LR110" s="10" t="s">
        <v>56</v>
      </c>
      <c r="LS110" s="10" t="s">
        <v>162</v>
      </c>
      <c r="LT110" s="10" t="s">
        <v>56</v>
      </c>
      <c r="LU110" s="10" t="s">
        <v>55</v>
      </c>
      <c r="LV110" s="10">
        <f>((219/100)*1000000)/E110</f>
        <v>12086.759754953364</v>
      </c>
      <c r="LW110" s="10" t="s">
        <v>55</v>
      </c>
      <c r="LX110" s="10">
        <f>((292/100)*1000000)/E110</f>
        <v>16115.679673271152</v>
      </c>
      <c r="LY110" s="10" t="s">
        <v>55</v>
      </c>
      <c r="LZ110" s="10">
        <f>((283/100)*1000000)/E110</f>
        <v>15618.963518958</v>
      </c>
      <c r="MA110" s="10" t="s">
        <v>55</v>
      </c>
      <c r="MB110" s="10">
        <f>((265/100)*1000000)/E110</f>
        <v>14625.531210331696</v>
      </c>
      <c r="MC110" s="10" t="s">
        <v>55</v>
      </c>
      <c r="MD110" s="4">
        <v>2558</v>
      </c>
      <c r="ME110" s="4" t="s">
        <v>55</v>
      </c>
      <c r="MF110" s="4">
        <v>2213</v>
      </c>
      <c r="MG110" s="4" t="s">
        <v>55</v>
      </c>
      <c r="MH110" s="4">
        <v>1762</v>
      </c>
      <c r="MI110" s="4" t="s">
        <v>55</v>
      </c>
      <c r="MJ110" s="4">
        <v>1207</v>
      </c>
      <c r="MK110" s="4" t="s">
        <v>55</v>
      </c>
      <c r="ML110" s="4">
        <v>1885</v>
      </c>
      <c r="MM110" s="4" t="s">
        <v>55</v>
      </c>
      <c r="MN110" s="4">
        <v>2239</v>
      </c>
      <c r="MO110" s="4" t="s">
        <v>55</v>
      </c>
      <c r="MP110" s="4">
        <v>2688</v>
      </c>
      <c r="MQ110" s="4" t="s">
        <v>55</v>
      </c>
      <c r="MR110" s="4">
        <v>2341</v>
      </c>
      <c r="MS110" s="4" t="s">
        <v>55</v>
      </c>
      <c r="MT110" s="4">
        <v>2838</v>
      </c>
      <c r="MU110" s="4" t="s">
        <v>55</v>
      </c>
      <c r="MV110" s="4">
        <v>1768</v>
      </c>
      <c r="MW110" s="4" t="s">
        <v>55</v>
      </c>
      <c r="MX110" s="4">
        <v>1720</v>
      </c>
      <c r="MY110" s="4" t="s">
        <v>55</v>
      </c>
      <c r="MZ110" s="4">
        <v>2244</v>
      </c>
      <c r="NA110" s="4" t="s">
        <v>55</v>
      </c>
      <c r="NB110" s="10" t="s">
        <v>317</v>
      </c>
      <c r="NC110" s="10" t="s">
        <v>55</v>
      </c>
      <c r="ND110" s="10">
        <f>(0.473*1000000)/E110</f>
        <v>2610.5193443346761</v>
      </c>
      <c r="NE110" s="10" t="s">
        <v>55</v>
      </c>
      <c r="NF110" s="10">
        <f>(1.79*1000000)/E110</f>
        <v>9879.1324024504665</v>
      </c>
      <c r="NG110" s="10" t="s">
        <v>55</v>
      </c>
      <c r="NH110" s="10">
        <f>(0.882*1000000)/E110</f>
        <v>4867.8183122688888</v>
      </c>
      <c r="NI110" s="10" t="s">
        <v>55</v>
      </c>
      <c r="NJ110" s="10">
        <f>(4.52*1000000)/E110</f>
        <v>24946.189083282741</v>
      </c>
      <c r="NK110" s="10" t="s">
        <v>55</v>
      </c>
      <c r="NL110" s="10">
        <f>(0.276*1000000)/E110</f>
        <v>1523.2628732269993</v>
      </c>
      <c r="NM110" s="4" t="s">
        <v>55</v>
      </c>
      <c r="NN110" s="4">
        <f>((0.58/100)*1000000)/E110</f>
        <v>32.010596611292016</v>
      </c>
      <c r="NO110" s="4" t="s">
        <v>55</v>
      </c>
      <c r="NP110" s="4">
        <f>(27.1*1000000)/E110</f>
        <v>149566.75313207132</v>
      </c>
      <c r="NQ110" s="4">
        <f>(0.74*1000000)/E110</f>
        <v>4084.1106021303603</v>
      </c>
      <c r="NR110" s="10" t="s">
        <v>56</v>
      </c>
      <c r="NS110" s="10" t="s">
        <v>55</v>
      </c>
      <c r="NT110" s="10" t="s">
        <v>56</v>
      </c>
      <c r="NU110" s="10" t="s">
        <v>55</v>
      </c>
    </row>
    <row r="111" spans="1:385" x14ac:dyDescent="0.2">
      <c r="A111" t="s">
        <v>40</v>
      </c>
      <c r="B111" s="1" t="s">
        <v>1037</v>
      </c>
      <c r="C111" s="1" t="s">
        <v>858</v>
      </c>
      <c r="D111" s="39" cm="1">
        <f t="array" ref="D111">SUMPRODUCT((ISNUMBER(F111:NU111))*(MOD(COLUMN(F111:NU111),2)=0))</f>
        <v>5</v>
      </c>
      <c r="E111" s="1">
        <v>204.23</v>
      </c>
      <c r="F111" s="1" t="s">
        <v>56</v>
      </c>
      <c r="G111" s="1" t="s">
        <v>55</v>
      </c>
      <c r="H111" s="1" t="s">
        <v>56</v>
      </c>
      <c r="I111" s="1" t="s">
        <v>55</v>
      </c>
      <c r="J111" s="1" t="s">
        <v>56</v>
      </c>
      <c r="K111" s="1" t="s">
        <v>55</v>
      </c>
      <c r="L111" s="1" t="s">
        <v>56</v>
      </c>
      <c r="M111" s="1" t="s">
        <v>55</v>
      </c>
      <c r="N111" s="1" t="s">
        <v>56</v>
      </c>
      <c r="O111" s="1" t="s">
        <v>55</v>
      </c>
      <c r="P111" s="1" t="s">
        <v>56</v>
      </c>
      <c r="Q111" s="1" t="s">
        <v>55</v>
      </c>
      <c r="R111" s="1" t="s">
        <v>56</v>
      </c>
      <c r="S111" s="1" t="s">
        <v>55</v>
      </c>
      <c r="T111" s="1" t="s">
        <v>56</v>
      </c>
      <c r="U111" s="1" t="s">
        <v>55</v>
      </c>
      <c r="V111" s="1" t="s">
        <v>56</v>
      </c>
      <c r="W111" s="1" t="s">
        <v>55</v>
      </c>
      <c r="X111" s="1" t="s">
        <v>56</v>
      </c>
      <c r="Y111" s="1" t="s">
        <v>55</v>
      </c>
      <c r="Z111" s="1" t="s">
        <v>56</v>
      </c>
      <c r="AA111" s="1" t="s">
        <v>55</v>
      </c>
      <c r="AB111" s="1" t="s">
        <v>56</v>
      </c>
      <c r="AC111" s="1" t="s">
        <v>55</v>
      </c>
      <c r="AD111" s="1" t="s">
        <v>56</v>
      </c>
      <c r="AE111" s="1" t="s">
        <v>55</v>
      </c>
      <c r="AF111" s="1" t="s">
        <v>56</v>
      </c>
      <c r="AG111" s="1" t="s">
        <v>55</v>
      </c>
      <c r="AH111" s="1" t="s">
        <v>56</v>
      </c>
      <c r="AI111" s="1" t="s">
        <v>55</v>
      </c>
      <c r="AJ111" s="1" t="s">
        <v>56</v>
      </c>
      <c r="AK111" s="1" t="s">
        <v>55</v>
      </c>
      <c r="AL111" s="1" t="s">
        <v>56</v>
      </c>
      <c r="AM111" s="1" t="s">
        <v>55</v>
      </c>
      <c r="AN111" s="1" t="s">
        <v>56</v>
      </c>
      <c r="AO111" s="1" t="s">
        <v>55</v>
      </c>
      <c r="AP111" s="1" t="s">
        <v>56</v>
      </c>
      <c r="AQ111" s="1" t="s">
        <v>55</v>
      </c>
      <c r="AR111" s="1" t="s">
        <v>56</v>
      </c>
      <c r="AS111" s="1" t="s">
        <v>55</v>
      </c>
      <c r="AT111" s="1" t="s">
        <v>56</v>
      </c>
      <c r="AU111" s="1" t="s">
        <v>55</v>
      </c>
      <c r="AV111" s="1" t="s">
        <v>56</v>
      </c>
      <c r="AW111" s="1" t="s">
        <v>55</v>
      </c>
      <c r="AX111" s="1" t="s">
        <v>56</v>
      </c>
      <c r="AY111" s="1" t="s">
        <v>55</v>
      </c>
      <c r="AZ111" s="1" t="s">
        <v>56</v>
      </c>
      <c r="BA111" s="1" t="s">
        <v>55</v>
      </c>
      <c r="BB111" s="1" t="s">
        <v>56</v>
      </c>
      <c r="BC111" s="1" t="s">
        <v>55</v>
      </c>
      <c r="BD111" s="1" t="s">
        <v>56</v>
      </c>
      <c r="BE111" s="1" t="s">
        <v>55</v>
      </c>
      <c r="BF111" s="1" t="s">
        <v>56</v>
      </c>
      <c r="BG111" s="1" t="s">
        <v>55</v>
      </c>
      <c r="BH111" s="1" t="s">
        <v>56</v>
      </c>
      <c r="BI111" s="1" t="s">
        <v>55</v>
      </c>
      <c r="BJ111" s="1" t="s">
        <v>56</v>
      </c>
      <c r="BK111" s="1" t="s">
        <v>55</v>
      </c>
      <c r="BL111" s="1" t="s">
        <v>56</v>
      </c>
      <c r="BM111" s="1" t="s">
        <v>55</v>
      </c>
      <c r="BN111" s="1" t="s">
        <v>56</v>
      </c>
      <c r="BO111" s="1" t="s">
        <v>55</v>
      </c>
      <c r="BP111" s="1" t="s">
        <v>56</v>
      </c>
      <c r="BQ111" s="1" t="s">
        <v>55</v>
      </c>
      <c r="BR111" s="1" t="s">
        <v>56</v>
      </c>
      <c r="BS111" s="1" t="s">
        <v>55</v>
      </c>
      <c r="BT111" s="1" t="s">
        <v>56</v>
      </c>
      <c r="BU111" s="1" t="s">
        <v>55</v>
      </c>
      <c r="BV111" s="1" t="s">
        <v>56</v>
      </c>
      <c r="BW111" s="1" t="s">
        <v>55</v>
      </c>
      <c r="BX111" s="1" t="s">
        <v>56</v>
      </c>
      <c r="BY111" s="1" t="s">
        <v>55</v>
      </c>
      <c r="BZ111" s="1" t="s">
        <v>56</v>
      </c>
      <c r="CA111" s="1" t="s">
        <v>55</v>
      </c>
      <c r="CB111" s="1" t="s">
        <v>56</v>
      </c>
      <c r="CC111" s="1" t="s">
        <v>55</v>
      </c>
      <c r="CD111" s="1" t="s">
        <v>56</v>
      </c>
      <c r="CE111" s="1" t="s">
        <v>55</v>
      </c>
      <c r="CF111" s="1" t="s">
        <v>56</v>
      </c>
      <c r="CG111" s="1" t="s">
        <v>55</v>
      </c>
      <c r="CH111" s="1" t="s">
        <v>56</v>
      </c>
      <c r="CI111" s="1" t="s">
        <v>55</v>
      </c>
      <c r="CJ111" s="1" t="s">
        <v>56</v>
      </c>
      <c r="CK111" s="1" t="s">
        <v>55</v>
      </c>
      <c r="CL111" s="1" t="s">
        <v>56</v>
      </c>
      <c r="CM111" s="1" t="s">
        <v>55</v>
      </c>
      <c r="CN111" s="1" t="s">
        <v>56</v>
      </c>
      <c r="CO111" s="1" t="s">
        <v>55</v>
      </c>
      <c r="CP111" s="1" t="s">
        <v>56</v>
      </c>
      <c r="CQ111" s="1" t="s">
        <v>55</v>
      </c>
      <c r="CR111" s="1" t="s">
        <v>56</v>
      </c>
      <c r="CS111" s="1" t="s">
        <v>55</v>
      </c>
      <c r="CT111" s="1" t="s">
        <v>56</v>
      </c>
      <c r="CU111" s="1" t="s">
        <v>55</v>
      </c>
      <c r="CV111" s="1" t="s">
        <v>56</v>
      </c>
      <c r="CW111" s="1" t="s">
        <v>55</v>
      </c>
      <c r="CX111" s="1" t="s">
        <v>56</v>
      </c>
      <c r="CY111" s="1" t="s">
        <v>55</v>
      </c>
      <c r="CZ111" s="1" t="s">
        <v>56</v>
      </c>
      <c r="DA111" s="1" t="s">
        <v>55</v>
      </c>
      <c r="DB111" s="1" t="s">
        <v>56</v>
      </c>
      <c r="DC111" s="1" t="s">
        <v>55</v>
      </c>
      <c r="DD111" s="1" t="s">
        <v>56</v>
      </c>
      <c r="DE111" s="1" t="s">
        <v>55</v>
      </c>
      <c r="DF111" s="1" t="s">
        <v>56</v>
      </c>
      <c r="DG111" s="1" t="s">
        <v>55</v>
      </c>
      <c r="DH111" s="1" t="s">
        <v>56</v>
      </c>
      <c r="DI111" s="1" t="s">
        <v>55</v>
      </c>
      <c r="DJ111" s="1" t="s">
        <v>56</v>
      </c>
      <c r="DK111" s="1" t="s">
        <v>55</v>
      </c>
      <c r="DL111" s="1" t="s">
        <v>56</v>
      </c>
      <c r="DM111" s="1" t="s">
        <v>55</v>
      </c>
      <c r="DN111" s="1" t="s">
        <v>56</v>
      </c>
      <c r="DO111" s="1" t="s">
        <v>55</v>
      </c>
      <c r="DP111" s="1" t="s">
        <v>56</v>
      </c>
      <c r="DQ111" s="1" t="s">
        <v>55</v>
      </c>
      <c r="DR111" s="1" t="s">
        <v>56</v>
      </c>
      <c r="DS111" s="1" t="s">
        <v>55</v>
      </c>
      <c r="DT111" s="1" t="s">
        <v>56</v>
      </c>
      <c r="DU111" s="1" t="s">
        <v>55</v>
      </c>
      <c r="DV111" s="1" t="s">
        <v>56</v>
      </c>
      <c r="DW111" s="1" t="s">
        <v>55</v>
      </c>
      <c r="DX111" s="1" t="s">
        <v>56</v>
      </c>
      <c r="DY111" s="1" t="s">
        <v>55</v>
      </c>
      <c r="DZ111" s="1" t="s">
        <v>56</v>
      </c>
      <c r="EA111" s="1" t="s">
        <v>55</v>
      </c>
      <c r="EB111" s="1" t="s">
        <v>56</v>
      </c>
      <c r="EC111" s="1" t="s">
        <v>55</v>
      </c>
      <c r="ED111" s="1" t="s">
        <v>56</v>
      </c>
      <c r="EE111" s="1" t="s">
        <v>55</v>
      </c>
      <c r="EF111" s="1" t="s">
        <v>56</v>
      </c>
      <c r="EG111" s="1" t="s">
        <v>55</v>
      </c>
      <c r="EH111" s="1" t="s">
        <v>56</v>
      </c>
      <c r="EI111" s="1" t="s">
        <v>55</v>
      </c>
      <c r="EJ111" s="1" t="s">
        <v>56</v>
      </c>
      <c r="EK111" s="1" t="s">
        <v>55</v>
      </c>
      <c r="EL111" s="1" t="s">
        <v>56</v>
      </c>
      <c r="EM111" s="1" t="s">
        <v>55</v>
      </c>
      <c r="EN111" s="1" t="s">
        <v>56</v>
      </c>
      <c r="EO111" s="1" t="s">
        <v>55</v>
      </c>
      <c r="EP111" s="1" t="s">
        <v>56</v>
      </c>
      <c r="EQ111" s="1" t="s">
        <v>55</v>
      </c>
      <c r="ER111" s="1" t="s">
        <v>56</v>
      </c>
      <c r="ES111" s="1" t="s">
        <v>55</v>
      </c>
      <c r="ET111" s="1" t="s">
        <v>56</v>
      </c>
      <c r="EU111" s="1" t="s">
        <v>55</v>
      </c>
      <c r="EV111" s="1" t="s">
        <v>56</v>
      </c>
      <c r="EW111" s="1" t="s">
        <v>55</v>
      </c>
      <c r="EX111" s="1" t="s">
        <v>56</v>
      </c>
      <c r="EY111" s="1" t="s">
        <v>55</v>
      </c>
      <c r="EZ111" s="1" t="s">
        <v>56</v>
      </c>
      <c r="FA111" s="1" t="s">
        <v>55</v>
      </c>
      <c r="FB111" s="1" t="s">
        <v>56</v>
      </c>
      <c r="FC111" s="1" t="s">
        <v>55</v>
      </c>
      <c r="FD111" s="1" t="s">
        <v>56</v>
      </c>
      <c r="FE111" s="1" t="s">
        <v>55</v>
      </c>
      <c r="FF111" s="1" t="s">
        <v>56</v>
      </c>
      <c r="FG111" s="1" t="s">
        <v>55</v>
      </c>
      <c r="FH111" s="1" t="s">
        <v>56</v>
      </c>
      <c r="FI111" s="1" t="s">
        <v>55</v>
      </c>
      <c r="FJ111" s="1" t="s">
        <v>56</v>
      </c>
      <c r="FK111" s="1" t="s">
        <v>55</v>
      </c>
      <c r="FL111" s="1" t="s">
        <v>56</v>
      </c>
      <c r="FM111" s="1" t="s">
        <v>55</v>
      </c>
      <c r="FN111" s="1" t="s">
        <v>56</v>
      </c>
      <c r="FO111" s="1" t="s">
        <v>55</v>
      </c>
      <c r="FP111" s="1" t="s">
        <v>56</v>
      </c>
      <c r="FQ111" s="1" t="s">
        <v>55</v>
      </c>
      <c r="FR111" s="1" t="s">
        <v>56</v>
      </c>
      <c r="FS111" s="1" t="s">
        <v>55</v>
      </c>
      <c r="FT111" s="1" t="s">
        <v>56</v>
      </c>
      <c r="FU111" s="1" t="s">
        <v>55</v>
      </c>
      <c r="FV111" s="1" t="s">
        <v>56</v>
      </c>
      <c r="FW111" s="1" t="s">
        <v>55</v>
      </c>
      <c r="FX111" s="1" t="s">
        <v>56</v>
      </c>
      <c r="FY111" s="1" t="s">
        <v>55</v>
      </c>
      <c r="FZ111" s="1" t="s">
        <v>56</v>
      </c>
      <c r="GA111" s="1" t="s">
        <v>55</v>
      </c>
      <c r="GB111" s="1" t="s">
        <v>56</v>
      </c>
      <c r="GC111" s="1" t="s">
        <v>55</v>
      </c>
      <c r="GD111" s="1" t="s">
        <v>56</v>
      </c>
      <c r="GE111" s="1" t="s">
        <v>55</v>
      </c>
      <c r="GF111" s="1" t="s">
        <v>56</v>
      </c>
      <c r="GG111" s="1" t="s">
        <v>55</v>
      </c>
      <c r="GH111" s="1" t="s">
        <v>56</v>
      </c>
      <c r="GI111" s="1" t="s">
        <v>55</v>
      </c>
      <c r="GJ111" s="1" t="s">
        <v>56</v>
      </c>
      <c r="GK111" s="1" t="s">
        <v>55</v>
      </c>
      <c r="GL111" s="1" t="s">
        <v>56</v>
      </c>
      <c r="GM111" s="1" t="s">
        <v>55</v>
      </c>
      <c r="GN111" s="1" t="s">
        <v>56</v>
      </c>
      <c r="GO111" s="1" t="s">
        <v>55</v>
      </c>
      <c r="GP111" s="1" t="s">
        <v>56</v>
      </c>
      <c r="GQ111" s="1" t="s">
        <v>55</v>
      </c>
      <c r="GR111" s="1" t="s">
        <v>56</v>
      </c>
      <c r="GS111" s="1" t="s">
        <v>55</v>
      </c>
      <c r="GT111" s="1" t="s">
        <v>56</v>
      </c>
      <c r="GU111" s="1" t="s">
        <v>55</v>
      </c>
      <c r="GV111" s="17" t="s">
        <v>56</v>
      </c>
      <c r="GW111" s="17" t="s">
        <v>55</v>
      </c>
      <c r="GX111" s="1" t="s">
        <v>56</v>
      </c>
      <c r="GY111" s="1" t="s">
        <v>55</v>
      </c>
      <c r="GZ111" s="10" t="s">
        <v>56</v>
      </c>
      <c r="HA111" s="10" t="s">
        <v>55</v>
      </c>
      <c r="HB111" s="10" t="s">
        <v>56</v>
      </c>
      <c r="HC111" s="10" t="s">
        <v>55</v>
      </c>
      <c r="HD111" s="10" t="s">
        <v>56</v>
      </c>
      <c r="HE111" s="10" t="s">
        <v>55</v>
      </c>
      <c r="HF111" s="10" t="s">
        <v>56</v>
      </c>
      <c r="HG111" s="10" t="s">
        <v>55</v>
      </c>
      <c r="HH111" s="10" t="s">
        <v>56</v>
      </c>
      <c r="HI111" s="10" t="s">
        <v>55</v>
      </c>
      <c r="HJ111" s="10" t="s">
        <v>56</v>
      </c>
      <c r="HK111" s="10" t="s">
        <v>55</v>
      </c>
      <c r="HL111" s="10" t="s">
        <v>56</v>
      </c>
      <c r="HM111" s="10" t="s">
        <v>55</v>
      </c>
      <c r="HN111" s="10" t="s">
        <v>56</v>
      </c>
      <c r="HO111" s="10" t="s">
        <v>55</v>
      </c>
      <c r="HP111" s="10" t="s">
        <v>56</v>
      </c>
      <c r="HQ111" s="10" t="s">
        <v>55</v>
      </c>
      <c r="HR111" s="10" t="s">
        <v>56</v>
      </c>
      <c r="HS111" s="10" t="s">
        <v>55</v>
      </c>
      <c r="HT111" s="10" t="s">
        <v>56</v>
      </c>
      <c r="HU111" s="10" t="s">
        <v>55</v>
      </c>
      <c r="HV111" s="10" t="s">
        <v>56</v>
      </c>
      <c r="HW111" s="10" t="s">
        <v>55</v>
      </c>
      <c r="HX111" s="10" t="s">
        <v>56</v>
      </c>
      <c r="HY111" s="10" t="s">
        <v>55</v>
      </c>
      <c r="HZ111" s="10" t="s">
        <v>56</v>
      </c>
      <c r="IA111" s="10" t="s">
        <v>55</v>
      </c>
      <c r="IB111" s="10" t="s">
        <v>56</v>
      </c>
      <c r="IC111" s="10" t="s">
        <v>55</v>
      </c>
      <c r="ID111" s="1" t="s">
        <v>56</v>
      </c>
      <c r="IE111" s="1" t="s">
        <v>55</v>
      </c>
      <c r="IF111" s="4" t="s">
        <v>56</v>
      </c>
      <c r="IG111" s="4" t="s">
        <v>55</v>
      </c>
      <c r="IH111" s="4" t="s">
        <v>56</v>
      </c>
      <c r="II111" s="4" t="s">
        <v>55</v>
      </c>
      <c r="IJ111" s="4" t="s">
        <v>56</v>
      </c>
      <c r="IK111" s="4" t="s">
        <v>55</v>
      </c>
      <c r="IL111" s="4" t="s">
        <v>56</v>
      </c>
      <c r="IM111" s="4" t="s">
        <v>55</v>
      </c>
      <c r="IN111" s="4" t="s">
        <v>56</v>
      </c>
      <c r="IO111" s="4" t="s">
        <v>55</v>
      </c>
      <c r="IP111" s="4" t="s">
        <v>56</v>
      </c>
      <c r="IQ111" s="4" t="s">
        <v>55</v>
      </c>
      <c r="IR111" s="18" t="s">
        <v>56</v>
      </c>
      <c r="IS111" s="18" t="s">
        <v>55</v>
      </c>
      <c r="IT111" s="18" t="s">
        <v>56</v>
      </c>
      <c r="IU111" s="18" t="s">
        <v>55</v>
      </c>
      <c r="IV111" s="17" t="s">
        <v>56</v>
      </c>
      <c r="IW111" s="18" t="s">
        <v>55</v>
      </c>
      <c r="IX111" s="4" t="s">
        <v>56</v>
      </c>
      <c r="IY111" s="4" t="s">
        <v>55</v>
      </c>
      <c r="IZ111" s="4" t="s">
        <v>56</v>
      </c>
      <c r="JA111" s="4" t="s">
        <v>55</v>
      </c>
      <c r="JB111" s="4" t="s">
        <v>56</v>
      </c>
      <c r="JC111" s="4" t="s">
        <v>55</v>
      </c>
      <c r="JD111" s="4" t="s">
        <v>56</v>
      </c>
      <c r="JE111" s="4" t="s">
        <v>55</v>
      </c>
      <c r="JF111" s="4" t="s">
        <v>56</v>
      </c>
      <c r="JG111" s="4" t="s">
        <v>55</v>
      </c>
      <c r="JH111" s="4" t="s">
        <v>56</v>
      </c>
      <c r="JI111" s="4" t="s">
        <v>55</v>
      </c>
      <c r="JJ111" s="4" t="s">
        <v>56</v>
      </c>
      <c r="JK111" s="4" t="s">
        <v>55</v>
      </c>
      <c r="JL111" s="4" t="s">
        <v>56</v>
      </c>
      <c r="JM111" s="4" t="s">
        <v>55</v>
      </c>
      <c r="JN111" s="4" t="s">
        <v>56</v>
      </c>
      <c r="JO111" s="4" t="s">
        <v>55</v>
      </c>
      <c r="JP111" s="4" t="s">
        <v>56</v>
      </c>
      <c r="JQ111" s="4" t="s">
        <v>55</v>
      </c>
      <c r="JR111" s="4" t="s">
        <v>56</v>
      </c>
      <c r="JS111" s="4" t="s">
        <v>55</v>
      </c>
      <c r="JT111" s="4" t="s">
        <v>56</v>
      </c>
      <c r="JU111" s="4" t="s">
        <v>55</v>
      </c>
      <c r="JV111" s="4" t="s">
        <v>56</v>
      </c>
      <c r="JW111" s="4" t="s">
        <v>55</v>
      </c>
      <c r="JX111" s="26">
        <v>0</v>
      </c>
      <c r="JY111" s="26">
        <v>0</v>
      </c>
      <c r="JZ111" s="26">
        <v>0</v>
      </c>
      <c r="KA111" s="26">
        <v>0</v>
      </c>
      <c r="KB111" s="26">
        <v>0</v>
      </c>
      <c r="KC111" s="26">
        <v>0</v>
      </c>
      <c r="KD111" s="26">
        <v>0</v>
      </c>
      <c r="KE111" s="26">
        <v>0</v>
      </c>
      <c r="KF111" s="26">
        <v>0</v>
      </c>
      <c r="KG111" s="26">
        <v>0</v>
      </c>
      <c r="KH111" s="4" t="s">
        <v>56</v>
      </c>
      <c r="KI111" s="4" t="s">
        <v>55</v>
      </c>
      <c r="KJ111" s="4" t="s">
        <v>56</v>
      </c>
      <c r="KK111" s="4" t="s">
        <v>55</v>
      </c>
      <c r="KL111" s="4" t="s">
        <v>56</v>
      </c>
      <c r="KM111" s="4" t="s">
        <v>55</v>
      </c>
      <c r="KN111" s="4" t="s">
        <v>56</v>
      </c>
      <c r="KO111" s="4" t="s">
        <v>55</v>
      </c>
      <c r="KP111" s="4" t="s">
        <v>56</v>
      </c>
      <c r="KQ111" s="4" t="s">
        <v>55</v>
      </c>
      <c r="KR111" s="17" t="s">
        <v>56</v>
      </c>
      <c r="KS111" s="17" t="s">
        <v>55</v>
      </c>
      <c r="KT111" s="17" t="s">
        <v>56</v>
      </c>
      <c r="KU111" s="17" t="s">
        <v>55</v>
      </c>
      <c r="KV111" s="4" t="s">
        <v>57</v>
      </c>
      <c r="KW111" s="4" t="s">
        <v>55</v>
      </c>
      <c r="KX111" s="4" t="s">
        <v>57</v>
      </c>
      <c r="KY111" s="4" t="s">
        <v>55</v>
      </c>
      <c r="KZ111" s="4" t="s">
        <v>57</v>
      </c>
      <c r="LA111" s="4" t="s">
        <v>55</v>
      </c>
      <c r="LB111" s="10" t="s">
        <v>56</v>
      </c>
      <c r="LC111" s="10" t="s">
        <v>55</v>
      </c>
      <c r="LD111" s="10" t="s">
        <v>56</v>
      </c>
      <c r="LE111" s="10" t="s">
        <v>55</v>
      </c>
      <c r="LF111" s="10" t="s">
        <v>56</v>
      </c>
      <c r="LG111" s="10" t="s">
        <v>55</v>
      </c>
      <c r="LH111" s="10" t="s">
        <v>56</v>
      </c>
      <c r="LI111" s="10" t="s">
        <v>55</v>
      </c>
      <c r="LJ111" s="10" t="s">
        <v>56</v>
      </c>
      <c r="LK111" s="10" t="s">
        <v>55</v>
      </c>
      <c r="LL111" s="10" t="s">
        <v>56</v>
      </c>
      <c r="LM111" s="10" t="s">
        <v>55</v>
      </c>
      <c r="LN111" s="10" t="s">
        <v>56</v>
      </c>
      <c r="LO111" s="10" t="s">
        <v>55</v>
      </c>
      <c r="LP111" s="10" t="s">
        <v>56</v>
      </c>
      <c r="LQ111" s="10" t="s">
        <v>55</v>
      </c>
      <c r="LR111" s="10" t="s">
        <v>56</v>
      </c>
      <c r="LS111" s="10" t="s">
        <v>162</v>
      </c>
      <c r="LT111" s="10" t="s">
        <v>56</v>
      </c>
      <c r="LU111" s="10" t="s">
        <v>55</v>
      </c>
      <c r="LV111" s="10" t="s">
        <v>56</v>
      </c>
      <c r="LW111" s="10" t="s">
        <v>55</v>
      </c>
      <c r="LX111" s="10" t="s">
        <v>56</v>
      </c>
      <c r="LY111" s="10" t="s">
        <v>55</v>
      </c>
      <c r="LZ111" s="10" t="s">
        <v>56</v>
      </c>
      <c r="MA111" s="10" t="s">
        <v>55</v>
      </c>
      <c r="MB111" s="10" t="s">
        <v>56</v>
      </c>
      <c r="MC111" s="10" t="s">
        <v>55</v>
      </c>
      <c r="MD111" s="17" t="s">
        <v>56</v>
      </c>
      <c r="ME111" s="4" t="s">
        <v>55</v>
      </c>
      <c r="MF111" s="17" t="s">
        <v>56</v>
      </c>
      <c r="MG111" s="4" t="s">
        <v>55</v>
      </c>
      <c r="MH111" s="17" t="s">
        <v>56</v>
      </c>
      <c r="MI111" s="4" t="s">
        <v>55</v>
      </c>
      <c r="MJ111" s="17" t="s">
        <v>56</v>
      </c>
      <c r="MK111" s="4" t="s">
        <v>55</v>
      </c>
      <c r="ML111" s="17" t="s">
        <v>56</v>
      </c>
      <c r="MM111" s="4" t="s">
        <v>55</v>
      </c>
      <c r="MN111" s="17" t="s">
        <v>56</v>
      </c>
      <c r="MO111" s="4" t="s">
        <v>55</v>
      </c>
      <c r="MP111" s="17" t="s">
        <v>56</v>
      </c>
      <c r="MQ111" s="4" t="s">
        <v>55</v>
      </c>
      <c r="MR111" s="17" t="s">
        <v>56</v>
      </c>
      <c r="MS111" s="4" t="s">
        <v>55</v>
      </c>
      <c r="MT111" s="17" t="s">
        <v>56</v>
      </c>
      <c r="MU111" s="4" t="s">
        <v>55</v>
      </c>
      <c r="MV111" s="17" t="s">
        <v>56</v>
      </c>
      <c r="MW111" s="4" t="s">
        <v>55</v>
      </c>
      <c r="MX111" s="17" t="s">
        <v>56</v>
      </c>
      <c r="MY111" s="4" t="s">
        <v>55</v>
      </c>
      <c r="MZ111" s="17" t="s">
        <v>56</v>
      </c>
      <c r="NA111" s="4" t="s">
        <v>55</v>
      </c>
      <c r="NB111" s="17" t="s">
        <v>56</v>
      </c>
      <c r="NC111" s="4" t="s">
        <v>55</v>
      </c>
      <c r="ND111" s="17" t="s">
        <v>56</v>
      </c>
      <c r="NE111" s="4" t="s">
        <v>55</v>
      </c>
      <c r="NF111" s="17" t="s">
        <v>56</v>
      </c>
      <c r="NG111" s="4" t="s">
        <v>55</v>
      </c>
      <c r="NH111" s="17" t="s">
        <v>56</v>
      </c>
      <c r="NI111" s="4" t="s">
        <v>55</v>
      </c>
      <c r="NJ111" s="17" t="s">
        <v>56</v>
      </c>
      <c r="NK111" s="4" t="s">
        <v>55</v>
      </c>
      <c r="NL111" s="17" t="s">
        <v>56</v>
      </c>
      <c r="NM111" s="4" t="s">
        <v>55</v>
      </c>
      <c r="NN111" s="17" t="s">
        <v>56</v>
      </c>
      <c r="NO111" s="4" t="s">
        <v>55</v>
      </c>
      <c r="NP111" s="17" t="s">
        <v>56</v>
      </c>
      <c r="NQ111" s="4" t="s">
        <v>55</v>
      </c>
      <c r="NR111" s="10" t="s">
        <v>56</v>
      </c>
      <c r="NS111" s="10" t="s">
        <v>55</v>
      </c>
      <c r="NT111" s="10" t="s">
        <v>56</v>
      </c>
      <c r="NU111" s="10" t="s">
        <v>55</v>
      </c>
    </row>
    <row r="112" spans="1:385" x14ac:dyDescent="0.2">
      <c r="A112" t="s">
        <v>41</v>
      </c>
      <c r="B112" s="1" t="s">
        <v>1037</v>
      </c>
      <c r="C112" s="1" t="s">
        <v>859</v>
      </c>
      <c r="D112" s="39" cm="1">
        <f t="array" ref="D112">SUMPRODUCT((ISNUMBER(F112:NU112))*(MOD(COLUMN(F112:NU112),2)=0))</f>
        <v>8</v>
      </c>
      <c r="E112" s="1">
        <v>204.23</v>
      </c>
      <c r="F112" s="1" t="s">
        <v>56</v>
      </c>
      <c r="G112" s="1" t="s">
        <v>55</v>
      </c>
      <c r="H112" s="1" t="s">
        <v>56</v>
      </c>
      <c r="I112" s="1" t="s">
        <v>55</v>
      </c>
      <c r="J112" s="1" t="s">
        <v>56</v>
      </c>
      <c r="K112" s="1" t="s">
        <v>55</v>
      </c>
      <c r="L112" s="1" t="s">
        <v>56</v>
      </c>
      <c r="M112" s="1" t="s">
        <v>55</v>
      </c>
      <c r="N112" s="1" t="s">
        <v>56</v>
      </c>
      <c r="O112" s="1" t="s">
        <v>55</v>
      </c>
      <c r="P112" s="1" t="s">
        <v>56</v>
      </c>
      <c r="Q112" s="1" t="s">
        <v>55</v>
      </c>
      <c r="R112" s="1" t="s">
        <v>56</v>
      </c>
      <c r="S112" s="1" t="s">
        <v>55</v>
      </c>
      <c r="T112" s="1" t="s">
        <v>56</v>
      </c>
      <c r="U112" s="1" t="s">
        <v>55</v>
      </c>
      <c r="V112" s="1" t="s">
        <v>56</v>
      </c>
      <c r="W112" s="1" t="s">
        <v>55</v>
      </c>
      <c r="X112" s="1" t="s">
        <v>56</v>
      </c>
      <c r="Y112" s="1" t="s">
        <v>55</v>
      </c>
      <c r="Z112" s="1" t="s">
        <v>56</v>
      </c>
      <c r="AA112" s="1" t="s">
        <v>55</v>
      </c>
      <c r="AB112" s="1" t="s">
        <v>56</v>
      </c>
      <c r="AC112" s="1" t="s">
        <v>55</v>
      </c>
      <c r="AD112" s="1" t="s">
        <v>56</v>
      </c>
      <c r="AE112" s="1" t="s">
        <v>55</v>
      </c>
      <c r="AF112" s="1" t="s">
        <v>56</v>
      </c>
      <c r="AG112" s="1" t="s">
        <v>55</v>
      </c>
      <c r="AH112" s="1" t="s">
        <v>56</v>
      </c>
      <c r="AI112" s="1" t="s">
        <v>55</v>
      </c>
      <c r="AJ112" s="1" t="s">
        <v>56</v>
      </c>
      <c r="AK112" s="1" t="s">
        <v>55</v>
      </c>
      <c r="AL112" s="1" t="s">
        <v>56</v>
      </c>
      <c r="AM112" s="1" t="s">
        <v>55</v>
      </c>
      <c r="AN112" s="1" t="s">
        <v>56</v>
      </c>
      <c r="AO112" s="1" t="s">
        <v>55</v>
      </c>
      <c r="AP112" s="1" t="s">
        <v>56</v>
      </c>
      <c r="AQ112" s="1" t="s">
        <v>55</v>
      </c>
      <c r="AR112" s="1" t="s">
        <v>56</v>
      </c>
      <c r="AS112" s="1" t="s">
        <v>55</v>
      </c>
      <c r="AT112" s="1" t="s">
        <v>56</v>
      </c>
      <c r="AU112" s="1" t="s">
        <v>55</v>
      </c>
      <c r="AV112" s="1" t="s">
        <v>56</v>
      </c>
      <c r="AW112" s="1" t="s">
        <v>55</v>
      </c>
      <c r="AX112" s="1" t="s">
        <v>56</v>
      </c>
      <c r="AY112" s="1" t="s">
        <v>55</v>
      </c>
      <c r="AZ112" s="1" t="s">
        <v>56</v>
      </c>
      <c r="BA112" s="1" t="s">
        <v>55</v>
      </c>
      <c r="BB112" s="1" t="s">
        <v>56</v>
      </c>
      <c r="BC112" s="1" t="s">
        <v>55</v>
      </c>
      <c r="BD112" s="1" t="s">
        <v>56</v>
      </c>
      <c r="BE112" s="1" t="s">
        <v>55</v>
      </c>
      <c r="BF112" s="1" t="s">
        <v>56</v>
      </c>
      <c r="BG112" s="1" t="s">
        <v>55</v>
      </c>
      <c r="BH112" s="1" t="s">
        <v>56</v>
      </c>
      <c r="BI112" s="1" t="s">
        <v>55</v>
      </c>
      <c r="BJ112" s="1" t="s">
        <v>56</v>
      </c>
      <c r="BK112" s="1" t="s">
        <v>55</v>
      </c>
      <c r="BL112" s="1" t="s">
        <v>56</v>
      </c>
      <c r="BM112" s="1" t="s">
        <v>55</v>
      </c>
      <c r="BN112" s="1" t="s">
        <v>56</v>
      </c>
      <c r="BO112" s="1" t="s">
        <v>55</v>
      </c>
      <c r="BP112" s="1" t="s">
        <v>56</v>
      </c>
      <c r="BQ112" s="1" t="s">
        <v>55</v>
      </c>
      <c r="BR112" s="1" t="s">
        <v>56</v>
      </c>
      <c r="BS112" s="1" t="s">
        <v>55</v>
      </c>
      <c r="BT112" s="1" t="s">
        <v>56</v>
      </c>
      <c r="BU112" s="1" t="s">
        <v>55</v>
      </c>
      <c r="BV112" s="1" t="s">
        <v>56</v>
      </c>
      <c r="BW112" s="1" t="s">
        <v>55</v>
      </c>
      <c r="BX112" s="1" t="s">
        <v>56</v>
      </c>
      <c r="BY112" s="1" t="s">
        <v>55</v>
      </c>
      <c r="BZ112" s="1" t="s">
        <v>56</v>
      </c>
      <c r="CA112" s="1" t="s">
        <v>55</v>
      </c>
      <c r="CB112" s="1" t="s">
        <v>56</v>
      </c>
      <c r="CC112" s="1" t="s">
        <v>55</v>
      </c>
      <c r="CD112" s="1" t="s">
        <v>56</v>
      </c>
      <c r="CE112" s="1" t="s">
        <v>55</v>
      </c>
      <c r="CF112" s="1" t="s">
        <v>56</v>
      </c>
      <c r="CG112" s="1" t="s">
        <v>55</v>
      </c>
      <c r="CH112" s="1" t="s">
        <v>56</v>
      </c>
      <c r="CI112" s="1" t="s">
        <v>55</v>
      </c>
      <c r="CJ112" s="1" t="s">
        <v>56</v>
      </c>
      <c r="CK112" s="1" t="s">
        <v>55</v>
      </c>
      <c r="CL112" s="1" t="s">
        <v>56</v>
      </c>
      <c r="CM112" s="1" t="s">
        <v>55</v>
      </c>
      <c r="CN112" s="1" t="s">
        <v>56</v>
      </c>
      <c r="CO112" s="1" t="s">
        <v>55</v>
      </c>
      <c r="CP112" s="1" t="s">
        <v>56</v>
      </c>
      <c r="CQ112" s="1" t="s">
        <v>55</v>
      </c>
      <c r="CR112" s="1" t="s">
        <v>56</v>
      </c>
      <c r="CS112" s="1" t="s">
        <v>55</v>
      </c>
      <c r="CT112" s="1" t="s">
        <v>56</v>
      </c>
      <c r="CU112" s="1" t="s">
        <v>55</v>
      </c>
      <c r="CV112" s="1" t="s">
        <v>56</v>
      </c>
      <c r="CW112" s="1" t="s">
        <v>55</v>
      </c>
      <c r="CX112" s="1" t="s">
        <v>56</v>
      </c>
      <c r="CY112" s="1" t="s">
        <v>55</v>
      </c>
      <c r="CZ112" s="1" t="s">
        <v>56</v>
      </c>
      <c r="DA112" s="1" t="s">
        <v>55</v>
      </c>
      <c r="DB112" s="1" t="s">
        <v>56</v>
      </c>
      <c r="DC112" s="1" t="s">
        <v>55</v>
      </c>
      <c r="DD112" s="1" t="s">
        <v>56</v>
      </c>
      <c r="DE112" s="1" t="s">
        <v>55</v>
      </c>
      <c r="DF112" s="1" t="s">
        <v>56</v>
      </c>
      <c r="DG112" s="1" t="s">
        <v>55</v>
      </c>
      <c r="DH112" s="1" t="s">
        <v>56</v>
      </c>
      <c r="DI112" s="1" t="s">
        <v>55</v>
      </c>
      <c r="DJ112" s="1" t="s">
        <v>56</v>
      </c>
      <c r="DK112" s="1" t="s">
        <v>55</v>
      </c>
      <c r="DL112" s="1" t="s">
        <v>56</v>
      </c>
      <c r="DM112" s="1" t="s">
        <v>55</v>
      </c>
      <c r="DN112" s="1" t="s">
        <v>56</v>
      </c>
      <c r="DO112" s="1" t="s">
        <v>55</v>
      </c>
      <c r="DP112" s="1" t="s">
        <v>56</v>
      </c>
      <c r="DQ112" s="1" t="s">
        <v>55</v>
      </c>
      <c r="DR112" s="1" t="s">
        <v>56</v>
      </c>
      <c r="DS112" s="1" t="s">
        <v>55</v>
      </c>
      <c r="DT112" s="1" t="s">
        <v>56</v>
      </c>
      <c r="DU112" s="1" t="s">
        <v>55</v>
      </c>
      <c r="DV112" s="1" t="s">
        <v>56</v>
      </c>
      <c r="DW112" s="1" t="s">
        <v>55</v>
      </c>
      <c r="DX112" s="1" t="s">
        <v>56</v>
      </c>
      <c r="DY112" s="1" t="s">
        <v>55</v>
      </c>
      <c r="DZ112" s="1" t="s">
        <v>56</v>
      </c>
      <c r="EA112" s="1" t="s">
        <v>55</v>
      </c>
      <c r="EB112" s="1" t="s">
        <v>56</v>
      </c>
      <c r="EC112" s="1" t="s">
        <v>55</v>
      </c>
      <c r="ED112" s="1" t="s">
        <v>56</v>
      </c>
      <c r="EE112" s="1" t="s">
        <v>55</v>
      </c>
      <c r="EF112" s="1" t="s">
        <v>56</v>
      </c>
      <c r="EG112" s="1" t="s">
        <v>55</v>
      </c>
      <c r="EH112" s="1" t="s">
        <v>56</v>
      </c>
      <c r="EI112" s="1" t="s">
        <v>55</v>
      </c>
      <c r="EJ112" s="1" t="s">
        <v>56</v>
      </c>
      <c r="EK112" s="1" t="s">
        <v>55</v>
      </c>
      <c r="EL112" s="1" t="s">
        <v>56</v>
      </c>
      <c r="EM112" s="1" t="s">
        <v>55</v>
      </c>
      <c r="EN112" s="1" t="s">
        <v>56</v>
      </c>
      <c r="EO112" s="1" t="s">
        <v>55</v>
      </c>
      <c r="EP112" s="1" t="s">
        <v>56</v>
      </c>
      <c r="EQ112" s="1" t="s">
        <v>55</v>
      </c>
      <c r="ER112" s="1" t="s">
        <v>56</v>
      </c>
      <c r="ES112" s="1" t="s">
        <v>55</v>
      </c>
      <c r="ET112" s="1" t="s">
        <v>56</v>
      </c>
      <c r="EU112" s="1" t="s">
        <v>55</v>
      </c>
      <c r="EV112" s="1" t="s">
        <v>56</v>
      </c>
      <c r="EW112" s="1" t="s">
        <v>55</v>
      </c>
      <c r="EX112" s="1" t="s">
        <v>56</v>
      </c>
      <c r="EY112" s="1" t="s">
        <v>55</v>
      </c>
      <c r="EZ112" s="1" t="s">
        <v>56</v>
      </c>
      <c r="FA112" s="1" t="s">
        <v>55</v>
      </c>
      <c r="FB112" s="1" t="s">
        <v>56</v>
      </c>
      <c r="FC112" s="1" t="s">
        <v>55</v>
      </c>
      <c r="FD112" s="1" t="s">
        <v>56</v>
      </c>
      <c r="FE112" s="1" t="s">
        <v>55</v>
      </c>
      <c r="FF112" s="1" t="s">
        <v>56</v>
      </c>
      <c r="FG112" s="1" t="s">
        <v>55</v>
      </c>
      <c r="FH112" s="1" t="s">
        <v>56</v>
      </c>
      <c r="FI112" s="1" t="s">
        <v>55</v>
      </c>
      <c r="FJ112" s="1" t="s">
        <v>56</v>
      </c>
      <c r="FK112" s="1" t="s">
        <v>55</v>
      </c>
      <c r="FL112" s="1" t="s">
        <v>56</v>
      </c>
      <c r="FM112" s="1" t="s">
        <v>55</v>
      </c>
      <c r="FN112" s="1" t="s">
        <v>56</v>
      </c>
      <c r="FO112" s="1" t="s">
        <v>55</v>
      </c>
      <c r="FP112" s="1" t="s">
        <v>56</v>
      </c>
      <c r="FQ112" s="1" t="s">
        <v>55</v>
      </c>
      <c r="FR112" s="1" t="s">
        <v>56</v>
      </c>
      <c r="FS112" s="1" t="s">
        <v>55</v>
      </c>
      <c r="FT112" s="1" t="s">
        <v>56</v>
      </c>
      <c r="FU112" s="1" t="s">
        <v>55</v>
      </c>
      <c r="FV112" s="1" t="s">
        <v>56</v>
      </c>
      <c r="FW112" s="1" t="s">
        <v>55</v>
      </c>
      <c r="FX112" s="1" t="s">
        <v>56</v>
      </c>
      <c r="FY112" s="1" t="s">
        <v>55</v>
      </c>
      <c r="FZ112" s="1" t="s">
        <v>56</v>
      </c>
      <c r="GA112" s="1" t="s">
        <v>55</v>
      </c>
      <c r="GB112" s="1" t="s">
        <v>56</v>
      </c>
      <c r="GC112" s="1" t="s">
        <v>55</v>
      </c>
      <c r="GD112" s="1" t="s">
        <v>56</v>
      </c>
      <c r="GE112" s="1" t="s">
        <v>55</v>
      </c>
      <c r="GF112" s="1" t="s">
        <v>56</v>
      </c>
      <c r="GG112" s="1" t="s">
        <v>55</v>
      </c>
      <c r="GH112" s="1" t="s">
        <v>56</v>
      </c>
      <c r="GI112" s="1" t="s">
        <v>55</v>
      </c>
      <c r="GJ112" s="1" t="s">
        <v>56</v>
      </c>
      <c r="GK112" s="1" t="s">
        <v>55</v>
      </c>
      <c r="GL112" s="1" t="s">
        <v>56</v>
      </c>
      <c r="GM112" s="1" t="s">
        <v>55</v>
      </c>
      <c r="GN112" s="1" t="s">
        <v>56</v>
      </c>
      <c r="GO112" s="1" t="s">
        <v>55</v>
      </c>
      <c r="GP112" s="1" t="s">
        <v>56</v>
      </c>
      <c r="GQ112" s="1" t="s">
        <v>55</v>
      </c>
      <c r="GR112" s="1" t="s">
        <v>56</v>
      </c>
      <c r="GS112" s="1" t="s">
        <v>55</v>
      </c>
      <c r="GT112" s="1" t="s">
        <v>56</v>
      </c>
      <c r="GU112" s="1" t="s">
        <v>55</v>
      </c>
      <c r="GV112" s="17" t="s">
        <v>56</v>
      </c>
      <c r="GW112" s="17" t="s">
        <v>55</v>
      </c>
      <c r="GX112" s="1" t="s">
        <v>56</v>
      </c>
      <c r="GY112" s="1" t="s">
        <v>55</v>
      </c>
      <c r="GZ112" s="10" t="s">
        <v>56</v>
      </c>
      <c r="HA112" s="10" t="s">
        <v>55</v>
      </c>
      <c r="HB112" s="10" t="s">
        <v>56</v>
      </c>
      <c r="HC112" s="10" t="s">
        <v>55</v>
      </c>
      <c r="HD112" s="10" t="s">
        <v>56</v>
      </c>
      <c r="HE112" s="10" t="s">
        <v>55</v>
      </c>
      <c r="HF112" s="10" t="s">
        <v>56</v>
      </c>
      <c r="HG112" s="10" t="s">
        <v>55</v>
      </c>
      <c r="HH112" s="10" t="s">
        <v>56</v>
      </c>
      <c r="HI112" s="10" t="s">
        <v>55</v>
      </c>
      <c r="HJ112" s="10" t="s">
        <v>56</v>
      </c>
      <c r="HK112" s="10" t="s">
        <v>55</v>
      </c>
      <c r="HL112" s="10" t="s">
        <v>56</v>
      </c>
      <c r="HM112" s="10" t="s">
        <v>55</v>
      </c>
      <c r="HN112" s="10" t="s">
        <v>56</v>
      </c>
      <c r="HO112" s="10" t="s">
        <v>55</v>
      </c>
      <c r="HP112" s="10" t="s">
        <v>56</v>
      </c>
      <c r="HQ112" s="10" t="s">
        <v>55</v>
      </c>
      <c r="HR112" s="10" t="s">
        <v>56</v>
      </c>
      <c r="HS112" s="10" t="s">
        <v>55</v>
      </c>
      <c r="HT112" s="10" t="s">
        <v>56</v>
      </c>
      <c r="HU112" s="10" t="s">
        <v>55</v>
      </c>
      <c r="HV112" s="10" t="s">
        <v>56</v>
      </c>
      <c r="HW112" s="10" t="s">
        <v>55</v>
      </c>
      <c r="HX112" s="10" t="s">
        <v>56</v>
      </c>
      <c r="HY112" s="10" t="s">
        <v>55</v>
      </c>
      <c r="HZ112" s="10" t="s">
        <v>56</v>
      </c>
      <c r="IA112" s="10" t="s">
        <v>55</v>
      </c>
      <c r="IB112" s="10" t="s">
        <v>56</v>
      </c>
      <c r="IC112" s="10" t="s">
        <v>55</v>
      </c>
      <c r="ID112" s="1" t="s">
        <v>56</v>
      </c>
      <c r="IE112" s="1" t="s">
        <v>55</v>
      </c>
      <c r="IF112" s="4" t="s">
        <v>56</v>
      </c>
      <c r="IG112" s="4" t="s">
        <v>55</v>
      </c>
      <c r="IH112" s="4" t="s">
        <v>56</v>
      </c>
      <c r="II112" s="4" t="s">
        <v>55</v>
      </c>
      <c r="IJ112" s="4" t="s">
        <v>56</v>
      </c>
      <c r="IK112" s="4" t="s">
        <v>55</v>
      </c>
      <c r="IL112" s="4" t="s">
        <v>56</v>
      </c>
      <c r="IM112" s="4" t="s">
        <v>55</v>
      </c>
      <c r="IN112" s="4" t="s">
        <v>56</v>
      </c>
      <c r="IO112" s="4" t="s">
        <v>55</v>
      </c>
      <c r="IP112" s="4" t="s">
        <v>56</v>
      </c>
      <c r="IQ112" s="4" t="s">
        <v>55</v>
      </c>
      <c r="IR112" s="18" t="s">
        <v>56</v>
      </c>
      <c r="IS112" s="18" t="s">
        <v>55</v>
      </c>
      <c r="IT112" s="18" t="s">
        <v>56</v>
      </c>
      <c r="IU112" s="18" t="s">
        <v>55</v>
      </c>
      <c r="IV112" s="17" t="s">
        <v>56</v>
      </c>
      <c r="IW112" s="18" t="s">
        <v>55</v>
      </c>
      <c r="IX112" s="4" t="s">
        <v>56</v>
      </c>
      <c r="IY112" s="4" t="s">
        <v>55</v>
      </c>
      <c r="IZ112" s="4" t="s">
        <v>56</v>
      </c>
      <c r="JA112" s="4" t="s">
        <v>55</v>
      </c>
      <c r="JB112" s="4" t="s">
        <v>56</v>
      </c>
      <c r="JC112" s="4" t="s">
        <v>55</v>
      </c>
      <c r="JD112" s="4" t="s">
        <v>56</v>
      </c>
      <c r="JE112" s="4" t="s">
        <v>55</v>
      </c>
      <c r="JF112" s="4" t="s">
        <v>56</v>
      </c>
      <c r="JG112" s="4" t="s">
        <v>55</v>
      </c>
      <c r="JH112" s="4" t="s">
        <v>56</v>
      </c>
      <c r="JI112" s="4" t="s">
        <v>55</v>
      </c>
      <c r="JJ112" s="4" t="s">
        <v>56</v>
      </c>
      <c r="JK112" s="4" t="s">
        <v>55</v>
      </c>
      <c r="JL112" s="4" t="s">
        <v>56</v>
      </c>
      <c r="JM112" s="4" t="s">
        <v>55</v>
      </c>
      <c r="JN112" s="4" t="s">
        <v>56</v>
      </c>
      <c r="JO112" s="4" t="s">
        <v>55</v>
      </c>
      <c r="JP112" s="4" t="s">
        <v>56</v>
      </c>
      <c r="JQ112" s="4" t="s">
        <v>55</v>
      </c>
      <c r="JR112" s="4" t="s">
        <v>56</v>
      </c>
      <c r="JS112" s="4" t="s">
        <v>55</v>
      </c>
      <c r="JT112" s="4" t="s">
        <v>56</v>
      </c>
      <c r="JU112" s="4" t="s">
        <v>55</v>
      </c>
      <c r="JV112" s="4" t="s">
        <v>56</v>
      </c>
      <c r="JW112" s="4" t="s">
        <v>55</v>
      </c>
      <c r="JX112" s="26">
        <v>0</v>
      </c>
      <c r="JY112" s="26">
        <v>0</v>
      </c>
      <c r="JZ112" s="26">
        <v>0</v>
      </c>
      <c r="KA112" s="26">
        <v>0</v>
      </c>
      <c r="KB112" s="26">
        <v>789.393958005743</v>
      </c>
      <c r="KC112" s="26">
        <v>1116.3716414670989</v>
      </c>
      <c r="KD112" s="26">
        <v>0</v>
      </c>
      <c r="KE112" s="26">
        <v>0</v>
      </c>
      <c r="KF112" s="26">
        <v>0</v>
      </c>
      <c r="KG112" s="26">
        <v>0</v>
      </c>
      <c r="KH112" s="4" t="s">
        <v>56</v>
      </c>
      <c r="KI112" s="4" t="s">
        <v>55</v>
      </c>
      <c r="KJ112" s="4" t="s">
        <v>56</v>
      </c>
      <c r="KK112" s="4" t="s">
        <v>55</v>
      </c>
      <c r="KL112" s="4" t="s">
        <v>56</v>
      </c>
      <c r="KM112" s="4" t="s">
        <v>55</v>
      </c>
      <c r="KN112" s="4" t="s">
        <v>56</v>
      </c>
      <c r="KO112" s="4" t="s">
        <v>55</v>
      </c>
      <c r="KP112" s="4" t="s">
        <v>56</v>
      </c>
      <c r="KQ112" s="4" t="s">
        <v>55</v>
      </c>
      <c r="KR112" s="17" t="s">
        <v>56</v>
      </c>
      <c r="KS112" s="17" t="s">
        <v>55</v>
      </c>
      <c r="KT112" s="17" t="s">
        <v>56</v>
      </c>
      <c r="KU112" s="17" t="s">
        <v>55</v>
      </c>
      <c r="KV112" s="17">
        <v>236.5</v>
      </c>
      <c r="KW112" s="17">
        <v>40.6</v>
      </c>
      <c r="KX112" s="17">
        <v>261.10000000000002</v>
      </c>
      <c r="KY112" s="17">
        <v>40.4</v>
      </c>
      <c r="KZ112" s="17">
        <v>222.9</v>
      </c>
      <c r="LA112" s="17">
        <v>11.4</v>
      </c>
      <c r="LB112" s="10" t="s">
        <v>56</v>
      </c>
      <c r="LC112" s="10" t="s">
        <v>55</v>
      </c>
      <c r="LD112" s="10" t="s">
        <v>56</v>
      </c>
      <c r="LE112" s="10" t="s">
        <v>55</v>
      </c>
      <c r="LF112" s="10" t="s">
        <v>56</v>
      </c>
      <c r="LG112" s="10" t="s">
        <v>55</v>
      </c>
      <c r="LH112" s="10" t="s">
        <v>56</v>
      </c>
      <c r="LI112" s="10" t="s">
        <v>55</v>
      </c>
      <c r="LJ112" s="10" t="s">
        <v>56</v>
      </c>
      <c r="LK112" s="10" t="s">
        <v>55</v>
      </c>
      <c r="LL112" s="10" t="s">
        <v>56</v>
      </c>
      <c r="LM112" s="10" t="s">
        <v>55</v>
      </c>
      <c r="LN112" s="10" t="s">
        <v>56</v>
      </c>
      <c r="LO112" s="10" t="s">
        <v>55</v>
      </c>
      <c r="LP112" s="10" t="s">
        <v>56</v>
      </c>
      <c r="LQ112" s="10" t="s">
        <v>55</v>
      </c>
      <c r="LR112" s="10" t="s">
        <v>56</v>
      </c>
      <c r="LS112" s="10" t="s">
        <v>162</v>
      </c>
      <c r="LT112" s="10" t="s">
        <v>56</v>
      </c>
      <c r="LU112" s="10" t="s">
        <v>55</v>
      </c>
      <c r="LV112" s="10" t="s">
        <v>56</v>
      </c>
      <c r="LW112" s="10" t="s">
        <v>55</v>
      </c>
      <c r="LX112" s="10" t="s">
        <v>56</v>
      </c>
      <c r="LY112" s="10" t="s">
        <v>55</v>
      </c>
      <c r="LZ112" s="10" t="s">
        <v>56</v>
      </c>
      <c r="MA112" s="10" t="s">
        <v>55</v>
      </c>
      <c r="MB112" s="10" t="s">
        <v>56</v>
      </c>
      <c r="MC112" s="10" t="s">
        <v>55</v>
      </c>
      <c r="MD112" s="17" t="s">
        <v>56</v>
      </c>
      <c r="ME112" s="4" t="s">
        <v>55</v>
      </c>
      <c r="MF112" s="17" t="s">
        <v>56</v>
      </c>
      <c r="MG112" s="4" t="s">
        <v>55</v>
      </c>
      <c r="MH112" s="17" t="s">
        <v>56</v>
      </c>
      <c r="MI112" s="4" t="s">
        <v>55</v>
      </c>
      <c r="MJ112" s="17" t="s">
        <v>56</v>
      </c>
      <c r="MK112" s="4" t="s">
        <v>55</v>
      </c>
      <c r="ML112" s="17" t="s">
        <v>56</v>
      </c>
      <c r="MM112" s="4" t="s">
        <v>55</v>
      </c>
      <c r="MN112" s="17" t="s">
        <v>56</v>
      </c>
      <c r="MO112" s="4" t="s">
        <v>55</v>
      </c>
      <c r="MP112" s="17" t="s">
        <v>56</v>
      </c>
      <c r="MQ112" s="4" t="s">
        <v>55</v>
      </c>
      <c r="MR112" s="17" t="s">
        <v>56</v>
      </c>
      <c r="MS112" s="4" t="s">
        <v>55</v>
      </c>
      <c r="MT112" s="17" t="s">
        <v>56</v>
      </c>
      <c r="MU112" s="4" t="s">
        <v>55</v>
      </c>
      <c r="MV112" s="17" t="s">
        <v>56</v>
      </c>
      <c r="MW112" s="4" t="s">
        <v>55</v>
      </c>
      <c r="MX112" s="17" t="s">
        <v>56</v>
      </c>
      <c r="MY112" s="4" t="s">
        <v>55</v>
      </c>
      <c r="MZ112" s="17" t="s">
        <v>56</v>
      </c>
      <c r="NA112" s="4" t="s">
        <v>55</v>
      </c>
      <c r="NB112" s="17" t="s">
        <v>56</v>
      </c>
      <c r="NC112" s="4" t="s">
        <v>55</v>
      </c>
      <c r="ND112" s="17" t="s">
        <v>56</v>
      </c>
      <c r="NE112" s="4" t="s">
        <v>55</v>
      </c>
      <c r="NF112" s="17" t="s">
        <v>56</v>
      </c>
      <c r="NG112" s="4" t="s">
        <v>55</v>
      </c>
      <c r="NH112" s="17" t="s">
        <v>56</v>
      </c>
      <c r="NI112" s="4" t="s">
        <v>55</v>
      </c>
      <c r="NJ112" s="17" t="s">
        <v>56</v>
      </c>
      <c r="NK112" s="4" t="s">
        <v>55</v>
      </c>
      <c r="NL112" s="17" t="s">
        <v>56</v>
      </c>
      <c r="NM112" s="4" t="s">
        <v>55</v>
      </c>
      <c r="NN112" s="17" t="s">
        <v>56</v>
      </c>
      <c r="NO112" s="4" t="s">
        <v>55</v>
      </c>
      <c r="NP112" s="17" t="s">
        <v>56</v>
      </c>
      <c r="NQ112" s="4" t="s">
        <v>55</v>
      </c>
      <c r="NR112" s="10" t="s">
        <v>56</v>
      </c>
      <c r="NS112" s="10" t="s">
        <v>55</v>
      </c>
      <c r="NT112" s="10" t="s">
        <v>56</v>
      </c>
      <c r="NU112" s="10" t="s">
        <v>55</v>
      </c>
    </row>
    <row r="113" spans="1:385" x14ac:dyDescent="0.2">
      <c r="A113" t="s">
        <v>887</v>
      </c>
      <c r="B113" s="1" t="s">
        <v>1037</v>
      </c>
      <c r="C113" s="1" t="s">
        <v>843</v>
      </c>
      <c r="D113" s="39" cm="1">
        <f t="array" ref="D113">SUMPRODUCT((ISNUMBER(F113:NU113))*(MOD(COLUMN(F113:NU113),2)=0))</f>
        <v>10</v>
      </c>
      <c r="E113" s="1">
        <v>204.23</v>
      </c>
      <c r="F113" s="1" t="s">
        <v>56</v>
      </c>
      <c r="G113" s="1" t="s">
        <v>55</v>
      </c>
      <c r="H113" s="1" t="s">
        <v>56</v>
      </c>
      <c r="I113" s="1" t="s">
        <v>55</v>
      </c>
      <c r="J113" s="1" t="s">
        <v>56</v>
      </c>
      <c r="K113" s="1" t="s">
        <v>55</v>
      </c>
      <c r="L113" s="1" t="s">
        <v>56</v>
      </c>
      <c r="M113" s="1" t="s">
        <v>55</v>
      </c>
      <c r="N113" s="1" t="s">
        <v>56</v>
      </c>
      <c r="O113" s="1" t="s">
        <v>55</v>
      </c>
      <c r="P113" s="1" t="s">
        <v>56</v>
      </c>
      <c r="Q113" s="1" t="s">
        <v>55</v>
      </c>
      <c r="R113" s="1" t="s">
        <v>56</v>
      </c>
      <c r="S113" s="1" t="s">
        <v>55</v>
      </c>
      <c r="T113" s="1" t="s">
        <v>56</v>
      </c>
      <c r="U113" s="1" t="s">
        <v>55</v>
      </c>
      <c r="V113" s="1" t="s">
        <v>56</v>
      </c>
      <c r="W113" s="1" t="s">
        <v>55</v>
      </c>
      <c r="X113" s="1" t="s">
        <v>56</v>
      </c>
      <c r="Y113" s="1" t="s">
        <v>55</v>
      </c>
      <c r="Z113" s="1" t="s">
        <v>56</v>
      </c>
      <c r="AA113" s="1" t="s">
        <v>55</v>
      </c>
      <c r="AB113" s="1" t="s">
        <v>56</v>
      </c>
      <c r="AC113" s="1" t="s">
        <v>55</v>
      </c>
      <c r="AD113" s="1" t="s">
        <v>56</v>
      </c>
      <c r="AE113" s="1" t="s">
        <v>55</v>
      </c>
      <c r="AF113" s="1" t="s">
        <v>56</v>
      </c>
      <c r="AG113" s="1" t="s">
        <v>55</v>
      </c>
      <c r="AH113" s="1" t="s">
        <v>56</v>
      </c>
      <c r="AI113" s="1" t="s">
        <v>55</v>
      </c>
      <c r="AJ113" s="1" t="s">
        <v>56</v>
      </c>
      <c r="AK113" s="1" t="s">
        <v>55</v>
      </c>
      <c r="AL113" s="1" t="s">
        <v>56</v>
      </c>
      <c r="AM113" s="1" t="s">
        <v>55</v>
      </c>
      <c r="AN113" s="1" t="s">
        <v>56</v>
      </c>
      <c r="AO113" s="1" t="s">
        <v>55</v>
      </c>
      <c r="AP113" s="1" t="s">
        <v>56</v>
      </c>
      <c r="AQ113" s="1" t="s">
        <v>55</v>
      </c>
      <c r="AR113" s="1" t="s">
        <v>56</v>
      </c>
      <c r="AS113" s="1" t="s">
        <v>55</v>
      </c>
      <c r="AT113" s="1" t="s">
        <v>56</v>
      </c>
      <c r="AU113" s="1" t="s">
        <v>55</v>
      </c>
      <c r="AV113" s="1" t="s">
        <v>56</v>
      </c>
      <c r="AW113" s="1" t="s">
        <v>55</v>
      </c>
      <c r="AX113" s="1" t="s">
        <v>56</v>
      </c>
      <c r="AY113" s="1" t="s">
        <v>55</v>
      </c>
      <c r="AZ113" s="1" t="s">
        <v>56</v>
      </c>
      <c r="BA113" s="1" t="s">
        <v>55</v>
      </c>
      <c r="BB113" s="1" t="s">
        <v>56</v>
      </c>
      <c r="BC113" s="1" t="s">
        <v>55</v>
      </c>
      <c r="BD113" s="1" t="s">
        <v>56</v>
      </c>
      <c r="BE113" s="1" t="s">
        <v>55</v>
      </c>
      <c r="BF113" s="1" t="s">
        <v>56</v>
      </c>
      <c r="BG113" s="1" t="s">
        <v>55</v>
      </c>
      <c r="BH113" s="1" t="s">
        <v>56</v>
      </c>
      <c r="BI113" s="1" t="s">
        <v>55</v>
      </c>
      <c r="BJ113" s="1" t="s">
        <v>56</v>
      </c>
      <c r="BK113" s="1" t="s">
        <v>55</v>
      </c>
      <c r="BL113" s="1" t="s">
        <v>56</v>
      </c>
      <c r="BM113" s="1" t="s">
        <v>55</v>
      </c>
      <c r="BN113" s="1" t="s">
        <v>56</v>
      </c>
      <c r="BO113" s="1" t="s">
        <v>55</v>
      </c>
      <c r="BP113" s="1" t="s">
        <v>56</v>
      </c>
      <c r="BQ113" s="1" t="s">
        <v>55</v>
      </c>
      <c r="BR113" s="1" t="s">
        <v>56</v>
      </c>
      <c r="BS113" s="1" t="s">
        <v>55</v>
      </c>
      <c r="BT113" s="1" t="s">
        <v>56</v>
      </c>
      <c r="BU113" s="1" t="s">
        <v>55</v>
      </c>
      <c r="BV113" s="1" t="s">
        <v>56</v>
      </c>
      <c r="BW113" s="1" t="s">
        <v>55</v>
      </c>
      <c r="BX113" s="1" t="s">
        <v>56</v>
      </c>
      <c r="BY113" s="1" t="s">
        <v>55</v>
      </c>
      <c r="BZ113" s="1" t="s">
        <v>56</v>
      </c>
      <c r="CA113" s="1" t="s">
        <v>55</v>
      </c>
      <c r="CB113" s="1" t="s">
        <v>56</v>
      </c>
      <c r="CC113" s="1" t="s">
        <v>55</v>
      </c>
      <c r="CD113" s="1" t="s">
        <v>56</v>
      </c>
      <c r="CE113" s="1" t="s">
        <v>55</v>
      </c>
      <c r="CF113" s="1" t="s">
        <v>56</v>
      </c>
      <c r="CG113" s="1" t="s">
        <v>55</v>
      </c>
      <c r="CH113" s="1" t="s">
        <v>56</v>
      </c>
      <c r="CI113" s="1" t="s">
        <v>55</v>
      </c>
      <c r="CJ113" s="1" t="s">
        <v>56</v>
      </c>
      <c r="CK113" s="1" t="s">
        <v>55</v>
      </c>
      <c r="CL113" s="1" t="s">
        <v>56</v>
      </c>
      <c r="CM113" s="1" t="s">
        <v>55</v>
      </c>
      <c r="CN113" s="1" t="s">
        <v>56</v>
      </c>
      <c r="CO113" s="1" t="s">
        <v>55</v>
      </c>
      <c r="CP113" s="1" t="s">
        <v>56</v>
      </c>
      <c r="CQ113" s="1" t="s">
        <v>55</v>
      </c>
      <c r="CR113" s="1" t="s">
        <v>56</v>
      </c>
      <c r="CS113" s="1" t="s">
        <v>55</v>
      </c>
      <c r="CT113" s="1" t="s">
        <v>56</v>
      </c>
      <c r="CU113" s="1" t="s">
        <v>55</v>
      </c>
      <c r="CV113" s="1" t="s">
        <v>56</v>
      </c>
      <c r="CW113" s="1" t="s">
        <v>55</v>
      </c>
      <c r="CX113" s="1" t="s">
        <v>56</v>
      </c>
      <c r="CY113" s="1" t="s">
        <v>55</v>
      </c>
      <c r="CZ113" s="1" t="s">
        <v>56</v>
      </c>
      <c r="DA113" s="1" t="s">
        <v>55</v>
      </c>
      <c r="DB113" s="1" t="s">
        <v>56</v>
      </c>
      <c r="DC113" s="1" t="s">
        <v>55</v>
      </c>
      <c r="DD113" s="1" t="s">
        <v>56</v>
      </c>
      <c r="DE113" s="1" t="s">
        <v>55</v>
      </c>
      <c r="DF113" s="1" t="s">
        <v>56</v>
      </c>
      <c r="DG113" s="1" t="s">
        <v>55</v>
      </c>
      <c r="DH113" s="1" t="s">
        <v>56</v>
      </c>
      <c r="DI113" s="1" t="s">
        <v>55</v>
      </c>
      <c r="DJ113" s="1" t="s">
        <v>56</v>
      </c>
      <c r="DK113" s="1" t="s">
        <v>55</v>
      </c>
      <c r="DL113" s="1" t="s">
        <v>56</v>
      </c>
      <c r="DM113" s="1" t="s">
        <v>55</v>
      </c>
      <c r="DN113" s="1" t="s">
        <v>56</v>
      </c>
      <c r="DO113" s="1" t="s">
        <v>55</v>
      </c>
      <c r="DP113" s="1" t="s">
        <v>56</v>
      </c>
      <c r="DQ113" s="1" t="s">
        <v>55</v>
      </c>
      <c r="DR113" s="1" t="s">
        <v>56</v>
      </c>
      <c r="DS113" s="1" t="s">
        <v>55</v>
      </c>
      <c r="DT113" s="1" t="s">
        <v>56</v>
      </c>
      <c r="DU113" s="1" t="s">
        <v>55</v>
      </c>
      <c r="DV113" s="1" t="s">
        <v>56</v>
      </c>
      <c r="DW113" s="1" t="s">
        <v>55</v>
      </c>
      <c r="DX113" s="1" t="s">
        <v>56</v>
      </c>
      <c r="DY113" s="1" t="s">
        <v>55</v>
      </c>
      <c r="DZ113" s="1" t="s">
        <v>56</v>
      </c>
      <c r="EA113" s="1" t="s">
        <v>55</v>
      </c>
      <c r="EB113" s="1" t="s">
        <v>56</v>
      </c>
      <c r="EC113" s="1" t="s">
        <v>55</v>
      </c>
      <c r="ED113" s="1" t="s">
        <v>56</v>
      </c>
      <c r="EE113" s="1" t="s">
        <v>55</v>
      </c>
      <c r="EF113" s="1" t="s">
        <v>56</v>
      </c>
      <c r="EG113" s="1" t="s">
        <v>55</v>
      </c>
      <c r="EH113" s="1" t="s">
        <v>56</v>
      </c>
      <c r="EI113" s="1" t="s">
        <v>55</v>
      </c>
      <c r="EJ113" s="1" t="s">
        <v>56</v>
      </c>
      <c r="EK113" s="1" t="s">
        <v>55</v>
      </c>
      <c r="EL113" s="1" t="s">
        <v>56</v>
      </c>
      <c r="EM113" s="1" t="s">
        <v>55</v>
      </c>
      <c r="EN113" s="1" t="s">
        <v>56</v>
      </c>
      <c r="EO113" s="1" t="s">
        <v>55</v>
      </c>
      <c r="EP113" s="1" t="s">
        <v>56</v>
      </c>
      <c r="EQ113" s="1" t="s">
        <v>55</v>
      </c>
      <c r="ER113" s="1" t="s">
        <v>56</v>
      </c>
      <c r="ES113" s="1" t="s">
        <v>55</v>
      </c>
      <c r="ET113" s="1" t="s">
        <v>56</v>
      </c>
      <c r="EU113" s="1" t="s">
        <v>55</v>
      </c>
      <c r="EV113" s="1" t="s">
        <v>56</v>
      </c>
      <c r="EW113" s="1" t="s">
        <v>55</v>
      </c>
      <c r="EX113" s="1" t="s">
        <v>56</v>
      </c>
      <c r="EY113" s="1" t="s">
        <v>55</v>
      </c>
      <c r="EZ113" s="1" t="s">
        <v>56</v>
      </c>
      <c r="FA113" s="1" t="s">
        <v>55</v>
      </c>
      <c r="FB113" s="1" t="s">
        <v>56</v>
      </c>
      <c r="FC113" s="1" t="s">
        <v>55</v>
      </c>
      <c r="FD113" s="1" t="s">
        <v>56</v>
      </c>
      <c r="FE113" s="1" t="s">
        <v>55</v>
      </c>
      <c r="FF113" s="1" t="s">
        <v>56</v>
      </c>
      <c r="FG113" s="1" t="s">
        <v>55</v>
      </c>
      <c r="FH113" s="1" t="s">
        <v>56</v>
      </c>
      <c r="FI113" s="1" t="s">
        <v>55</v>
      </c>
      <c r="FJ113" s="1" t="s">
        <v>56</v>
      </c>
      <c r="FK113" s="1" t="s">
        <v>55</v>
      </c>
      <c r="FL113" s="1" t="s">
        <v>56</v>
      </c>
      <c r="FM113" s="1" t="s">
        <v>55</v>
      </c>
      <c r="FN113" s="1" t="s">
        <v>56</v>
      </c>
      <c r="FO113" s="1" t="s">
        <v>55</v>
      </c>
      <c r="FP113" s="1" t="s">
        <v>56</v>
      </c>
      <c r="FQ113" s="1" t="s">
        <v>55</v>
      </c>
      <c r="FR113" s="1" t="s">
        <v>56</v>
      </c>
      <c r="FS113" s="1" t="s">
        <v>55</v>
      </c>
      <c r="FT113" s="1" t="s">
        <v>56</v>
      </c>
      <c r="FU113" s="1" t="s">
        <v>55</v>
      </c>
      <c r="FV113" s="1" t="s">
        <v>56</v>
      </c>
      <c r="FW113" s="1" t="s">
        <v>55</v>
      </c>
      <c r="FX113" s="1" t="s">
        <v>56</v>
      </c>
      <c r="FY113" s="1" t="s">
        <v>55</v>
      </c>
      <c r="FZ113" s="1" t="s">
        <v>56</v>
      </c>
      <c r="GA113" s="1" t="s">
        <v>55</v>
      </c>
      <c r="GB113" s="1" t="s">
        <v>56</v>
      </c>
      <c r="GC113" s="1" t="s">
        <v>55</v>
      </c>
      <c r="GD113" s="1" t="s">
        <v>56</v>
      </c>
      <c r="GE113" s="1" t="s">
        <v>55</v>
      </c>
      <c r="GF113" s="1" t="s">
        <v>56</v>
      </c>
      <c r="GG113" s="1" t="s">
        <v>55</v>
      </c>
      <c r="GH113" s="1" t="s">
        <v>56</v>
      </c>
      <c r="GI113" s="1" t="s">
        <v>55</v>
      </c>
      <c r="GJ113" s="1" t="s">
        <v>56</v>
      </c>
      <c r="GK113" s="1" t="s">
        <v>55</v>
      </c>
      <c r="GL113" s="1" t="s">
        <v>56</v>
      </c>
      <c r="GM113" s="1" t="s">
        <v>55</v>
      </c>
      <c r="GN113" s="1" t="s">
        <v>56</v>
      </c>
      <c r="GO113" s="1" t="s">
        <v>55</v>
      </c>
      <c r="GP113" s="1" t="s">
        <v>56</v>
      </c>
      <c r="GQ113" s="1" t="s">
        <v>55</v>
      </c>
      <c r="GR113" s="1" t="s">
        <v>56</v>
      </c>
      <c r="GS113" s="1" t="s">
        <v>55</v>
      </c>
      <c r="GT113" s="1" t="s">
        <v>56</v>
      </c>
      <c r="GU113" s="1" t="s">
        <v>55</v>
      </c>
      <c r="GV113" s="17" t="s">
        <v>56</v>
      </c>
      <c r="GW113" s="17" t="s">
        <v>55</v>
      </c>
      <c r="GX113" s="1" t="s">
        <v>56</v>
      </c>
      <c r="GY113" s="1" t="s">
        <v>55</v>
      </c>
      <c r="GZ113" s="10" t="s">
        <v>56</v>
      </c>
      <c r="HA113" s="10" t="s">
        <v>55</v>
      </c>
      <c r="HB113" s="10" t="s">
        <v>56</v>
      </c>
      <c r="HC113" s="10" t="s">
        <v>55</v>
      </c>
      <c r="HD113" s="10" t="s">
        <v>56</v>
      </c>
      <c r="HE113" s="10" t="s">
        <v>55</v>
      </c>
      <c r="HF113" s="10" t="s">
        <v>56</v>
      </c>
      <c r="HG113" s="10" t="s">
        <v>55</v>
      </c>
      <c r="HH113" s="10" t="s">
        <v>56</v>
      </c>
      <c r="HI113" s="10" t="s">
        <v>55</v>
      </c>
      <c r="HJ113" s="10" t="s">
        <v>56</v>
      </c>
      <c r="HK113" s="10" t="s">
        <v>55</v>
      </c>
      <c r="HL113" s="10" t="s">
        <v>56</v>
      </c>
      <c r="HM113" s="10" t="s">
        <v>55</v>
      </c>
      <c r="HN113" s="10" t="s">
        <v>56</v>
      </c>
      <c r="HO113" s="10" t="s">
        <v>55</v>
      </c>
      <c r="HP113" s="10" t="s">
        <v>56</v>
      </c>
      <c r="HQ113" s="10" t="s">
        <v>55</v>
      </c>
      <c r="HR113" s="10" t="s">
        <v>56</v>
      </c>
      <c r="HS113" s="10" t="s">
        <v>55</v>
      </c>
      <c r="HT113" s="10" t="s">
        <v>56</v>
      </c>
      <c r="HU113" s="10" t="s">
        <v>55</v>
      </c>
      <c r="HV113" s="10" t="s">
        <v>56</v>
      </c>
      <c r="HW113" s="10" t="s">
        <v>55</v>
      </c>
      <c r="HX113" s="10" t="s">
        <v>56</v>
      </c>
      <c r="HY113" s="10" t="s">
        <v>55</v>
      </c>
      <c r="HZ113" s="10" t="s">
        <v>56</v>
      </c>
      <c r="IA113" s="10" t="s">
        <v>55</v>
      </c>
      <c r="IB113" s="10" t="s">
        <v>56</v>
      </c>
      <c r="IC113" s="10" t="s">
        <v>55</v>
      </c>
      <c r="ID113" s="10" t="s">
        <v>56</v>
      </c>
      <c r="IE113" s="10" t="s">
        <v>55</v>
      </c>
      <c r="IF113" s="10" t="s">
        <v>56</v>
      </c>
      <c r="IG113" s="10" t="s">
        <v>55</v>
      </c>
      <c r="IH113" s="10" t="s">
        <v>56</v>
      </c>
      <c r="II113" s="10" t="s">
        <v>55</v>
      </c>
      <c r="IJ113" s="10" t="s">
        <v>56</v>
      </c>
      <c r="IK113" s="10" t="s">
        <v>55</v>
      </c>
      <c r="IL113" s="10" t="s">
        <v>56</v>
      </c>
      <c r="IM113" s="10" t="s">
        <v>55</v>
      </c>
      <c r="IN113" s="10" t="s">
        <v>56</v>
      </c>
      <c r="IO113" s="10" t="s">
        <v>55</v>
      </c>
      <c r="IP113" s="10" t="s">
        <v>56</v>
      </c>
      <c r="IQ113" s="10" t="s">
        <v>55</v>
      </c>
      <c r="IR113" s="10" t="s">
        <v>56</v>
      </c>
      <c r="IS113" s="10" t="s">
        <v>55</v>
      </c>
      <c r="IT113" s="10" t="s">
        <v>56</v>
      </c>
      <c r="IU113" s="10" t="s">
        <v>55</v>
      </c>
      <c r="IV113" s="10" t="s">
        <v>56</v>
      </c>
      <c r="IW113" s="10" t="s">
        <v>55</v>
      </c>
      <c r="IX113" s="10" t="s">
        <v>56</v>
      </c>
      <c r="IY113" s="10" t="s">
        <v>55</v>
      </c>
      <c r="IZ113" s="10" t="s">
        <v>56</v>
      </c>
      <c r="JA113" s="10" t="s">
        <v>55</v>
      </c>
      <c r="JB113" s="10" t="s">
        <v>56</v>
      </c>
      <c r="JC113" s="10" t="s">
        <v>55</v>
      </c>
      <c r="JD113" s="10" t="s">
        <v>56</v>
      </c>
      <c r="JE113" s="10" t="s">
        <v>55</v>
      </c>
      <c r="JF113" s="10" t="s">
        <v>56</v>
      </c>
      <c r="JG113" s="10" t="s">
        <v>55</v>
      </c>
      <c r="JH113" s="10" t="s">
        <v>56</v>
      </c>
      <c r="JI113" s="10" t="s">
        <v>55</v>
      </c>
      <c r="JJ113" s="10" t="s">
        <v>56</v>
      </c>
      <c r="JK113" s="10" t="s">
        <v>55</v>
      </c>
      <c r="JL113" s="10" t="s">
        <v>56</v>
      </c>
      <c r="JM113" s="10" t="s">
        <v>55</v>
      </c>
      <c r="JN113" s="10" t="s">
        <v>56</v>
      </c>
      <c r="JO113" s="10" t="s">
        <v>55</v>
      </c>
      <c r="JP113" s="10" t="s">
        <v>56</v>
      </c>
      <c r="JQ113" s="10" t="s">
        <v>55</v>
      </c>
      <c r="JR113" s="10" t="s">
        <v>56</v>
      </c>
      <c r="JS113" s="10" t="s">
        <v>55</v>
      </c>
      <c r="JT113" s="10" t="s">
        <v>56</v>
      </c>
      <c r="JU113" s="10" t="s">
        <v>55</v>
      </c>
      <c r="JV113" s="10" t="s">
        <v>56</v>
      </c>
      <c r="JW113" s="10" t="s">
        <v>55</v>
      </c>
      <c r="JX113" s="10" t="s">
        <v>56</v>
      </c>
      <c r="JY113" s="10" t="s">
        <v>55</v>
      </c>
      <c r="JZ113" s="10" t="s">
        <v>56</v>
      </c>
      <c r="KA113" s="10" t="s">
        <v>55</v>
      </c>
      <c r="KB113" s="10" t="s">
        <v>56</v>
      </c>
      <c r="KC113" s="10" t="s">
        <v>55</v>
      </c>
      <c r="KD113" s="10" t="s">
        <v>56</v>
      </c>
      <c r="KE113" s="10" t="s">
        <v>55</v>
      </c>
      <c r="KF113" s="10" t="s">
        <v>56</v>
      </c>
      <c r="KG113" s="10" t="s">
        <v>55</v>
      </c>
      <c r="KH113" s="10" t="s">
        <v>56</v>
      </c>
      <c r="KI113" s="10" t="s">
        <v>55</v>
      </c>
      <c r="KJ113" s="10" t="s">
        <v>56</v>
      </c>
      <c r="KK113" s="10" t="s">
        <v>55</v>
      </c>
      <c r="KL113" s="10" t="s">
        <v>56</v>
      </c>
      <c r="KM113" s="10" t="s">
        <v>55</v>
      </c>
      <c r="KN113" s="10" t="s">
        <v>56</v>
      </c>
      <c r="KO113" s="10" t="s">
        <v>55</v>
      </c>
      <c r="KP113" s="10" t="s">
        <v>56</v>
      </c>
      <c r="KQ113" s="10" t="s">
        <v>55</v>
      </c>
      <c r="KR113" s="10" t="s">
        <v>56</v>
      </c>
      <c r="KS113" s="10" t="s">
        <v>55</v>
      </c>
      <c r="KT113" s="10" t="s">
        <v>56</v>
      </c>
      <c r="KU113" s="10" t="s">
        <v>55</v>
      </c>
      <c r="KV113" s="10" t="s">
        <v>56</v>
      </c>
      <c r="KW113" s="10" t="s">
        <v>55</v>
      </c>
      <c r="KX113" s="10" t="s">
        <v>56</v>
      </c>
      <c r="KY113" s="10" t="s">
        <v>55</v>
      </c>
      <c r="KZ113" s="10" t="s">
        <v>56</v>
      </c>
      <c r="LA113" s="10" t="s">
        <v>55</v>
      </c>
      <c r="LB113" s="10">
        <f>((0.21/100)*1000000000)/E113</f>
        <v>10282.524604612447</v>
      </c>
      <c r="LC113" s="10">
        <f>((0.03/100)*1000000000)/E113</f>
        <v>1468.9320863732069</v>
      </c>
      <c r="LD113" s="10" t="s">
        <v>56</v>
      </c>
      <c r="LE113" s="10" t="s">
        <v>55</v>
      </c>
      <c r="LF113" s="10" t="s">
        <v>56</v>
      </c>
      <c r="LG113" s="10" t="s">
        <v>55</v>
      </c>
      <c r="LH113" s="10" t="s">
        <v>56</v>
      </c>
      <c r="LI113" s="10" t="s">
        <v>55</v>
      </c>
      <c r="LJ113" s="10" t="s">
        <v>57</v>
      </c>
      <c r="LK113" s="10" t="s">
        <v>162</v>
      </c>
      <c r="LL113" s="10" t="s">
        <v>57</v>
      </c>
      <c r="LM113" s="10" t="s">
        <v>55</v>
      </c>
      <c r="LN113" s="10" t="s">
        <v>57</v>
      </c>
      <c r="LO113" s="10" t="s">
        <v>162</v>
      </c>
      <c r="LP113" s="10">
        <f>((15.6/100)*1000000000)/E113</f>
        <v>763844.6849140675</v>
      </c>
      <c r="LQ113" s="10" t="s">
        <v>55</v>
      </c>
      <c r="LR113" s="10" t="s">
        <v>56</v>
      </c>
      <c r="LS113" s="10" t="s">
        <v>162</v>
      </c>
      <c r="LT113" s="10" t="s">
        <v>56</v>
      </c>
      <c r="LU113" s="10" t="s">
        <v>162</v>
      </c>
      <c r="LV113" s="10" t="s">
        <v>56</v>
      </c>
      <c r="LW113" s="10" t="s">
        <v>55</v>
      </c>
      <c r="LX113" s="10" t="s">
        <v>56</v>
      </c>
      <c r="LY113" s="10" t="s">
        <v>55</v>
      </c>
      <c r="LZ113" s="10" t="s">
        <v>56</v>
      </c>
      <c r="MA113" s="10" t="s">
        <v>55</v>
      </c>
      <c r="MB113" s="10" t="s">
        <v>56</v>
      </c>
      <c r="MC113" s="10" t="s">
        <v>55</v>
      </c>
      <c r="MD113" s="10" t="s">
        <v>56</v>
      </c>
      <c r="ME113" s="10" t="s">
        <v>55</v>
      </c>
      <c r="MF113" s="10" t="s">
        <v>56</v>
      </c>
      <c r="MG113" s="10" t="s">
        <v>55</v>
      </c>
      <c r="MH113" s="10" t="s">
        <v>56</v>
      </c>
      <c r="MI113" s="10" t="s">
        <v>55</v>
      </c>
      <c r="MJ113" s="10" t="s">
        <v>56</v>
      </c>
      <c r="MK113" s="10" t="s">
        <v>55</v>
      </c>
      <c r="ML113" s="10" t="s">
        <v>56</v>
      </c>
      <c r="MM113" s="10" t="s">
        <v>55</v>
      </c>
      <c r="MN113" s="10" t="s">
        <v>56</v>
      </c>
      <c r="MO113" s="10" t="s">
        <v>55</v>
      </c>
      <c r="MP113" s="10" t="s">
        <v>56</v>
      </c>
      <c r="MQ113" s="10" t="s">
        <v>55</v>
      </c>
      <c r="MR113" s="10" t="s">
        <v>56</v>
      </c>
      <c r="MS113" s="10" t="s">
        <v>55</v>
      </c>
      <c r="MT113" s="10" t="s">
        <v>56</v>
      </c>
      <c r="MU113" s="10" t="s">
        <v>55</v>
      </c>
      <c r="MV113" s="10" t="s">
        <v>56</v>
      </c>
      <c r="MW113" s="10" t="s">
        <v>55</v>
      </c>
      <c r="MX113" s="10" t="s">
        <v>56</v>
      </c>
      <c r="MY113" s="10" t="s">
        <v>55</v>
      </c>
      <c r="MZ113" s="10" t="s">
        <v>56</v>
      </c>
      <c r="NA113" s="10" t="s">
        <v>55</v>
      </c>
      <c r="NB113" s="10">
        <f>(0.223*1000000)/E113</f>
        <v>1091.9061842040837</v>
      </c>
      <c r="NC113" s="10" t="s">
        <v>55</v>
      </c>
      <c r="ND113" s="10">
        <f>(0.779*1000000)/E113</f>
        <v>3814.326984282427</v>
      </c>
      <c r="NE113" s="10" t="s">
        <v>55</v>
      </c>
      <c r="NF113" s="10">
        <f>(0.743*1000000)/E113</f>
        <v>3638.0551339176423</v>
      </c>
      <c r="NG113" s="10" t="s">
        <v>55</v>
      </c>
      <c r="NH113" s="10">
        <f>(0.725*1000000)/E113</f>
        <v>3549.9192087352499</v>
      </c>
      <c r="NI113" s="10" t="s">
        <v>55</v>
      </c>
      <c r="NJ113" s="10">
        <f>(1.95*1000000)/E113</f>
        <v>9548.0585614258434</v>
      </c>
      <c r="NK113" s="10" t="s">
        <v>55</v>
      </c>
      <c r="NL113" s="10">
        <f>(0.377*1000000)/E113</f>
        <v>1845.9579885423298</v>
      </c>
      <c r="NM113" s="4" t="s">
        <v>55</v>
      </c>
      <c r="NN113" s="4">
        <f>((0.24/100)*1000000)/E113</f>
        <v>11.751456690985654</v>
      </c>
      <c r="NO113" s="4" t="s">
        <v>55</v>
      </c>
      <c r="NP113" s="4">
        <f>(1.9*1000000)/E113</f>
        <v>9303.2365470303102</v>
      </c>
      <c r="NQ113" s="4">
        <f>(0.54*1000000)/E113</f>
        <v>2644.077755471772</v>
      </c>
      <c r="NR113" s="10" t="s">
        <v>56</v>
      </c>
      <c r="NS113" s="10" t="s">
        <v>55</v>
      </c>
      <c r="NT113" s="10" t="s">
        <v>56</v>
      </c>
      <c r="NU113" s="10" t="s">
        <v>55</v>
      </c>
    </row>
    <row r="114" spans="1:385" x14ac:dyDescent="0.2">
      <c r="A114" t="s">
        <v>847</v>
      </c>
      <c r="E114" t="s">
        <v>447</v>
      </c>
      <c r="F114" s="1" t="s">
        <v>989</v>
      </c>
      <c r="G114" s="1" t="s">
        <v>989</v>
      </c>
      <c r="H114" s="1" t="s">
        <v>989</v>
      </c>
      <c r="I114" s="1" t="s">
        <v>989</v>
      </c>
      <c r="J114" s="1" t="s">
        <v>990</v>
      </c>
      <c r="K114" s="1" t="s">
        <v>990</v>
      </c>
      <c r="L114" s="1" t="s">
        <v>990</v>
      </c>
      <c r="M114" s="1" t="s">
        <v>990</v>
      </c>
      <c r="N114" s="1" t="s">
        <v>990</v>
      </c>
      <c r="O114" s="1" t="s">
        <v>990</v>
      </c>
      <c r="P114" s="1" t="s">
        <v>1248</v>
      </c>
      <c r="Q114" s="1" t="s">
        <v>1248</v>
      </c>
      <c r="R114" s="1" t="s">
        <v>1248</v>
      </c>
      <c r="S114" s="1" t="s">
        <v>1248</v>
      </c>
      <c r="T114" s="1" t="s">
        <v>1248</v>
      </c>
      <c r="U114" s="1" t="s">
        <v>1248</v>
      </c>
      <c r="V114" s="1" t="s">
        <v>1248</v>
      </c>
      <c r="W114" s="1" t="s">
        <v>1248</v>
      </c>
      <c r="X114" s="1" t="s">
        <v>1248</v>
      </c>
      <c r="Y114" s="1" t="s">
        <v>1248</v>
      </c>
      <c r="Z114" s="1" t="s">
        <v>1248</v>
      </c>
      <c r="AA114" s="1" t="s">
        <v>1248</v>
      </c>
      <c r="AB114" s="1" t="s">
        <v>1248</v>
      </c>
      <c r="AC114" s="1" t="s">
        <v>1248</v>
      </c>
      <c r="AD114" s="1" t="s">
        <v>1248</v>
      </c>
      <c r="AE114" s="1" t="s">
        <v>1248</v>
      </c>
      <c r="AF114" s="1" t="s">
        <v>1246</v>
      </c>
      <c r="AG114" s="1" t="s">
        <v>1246</v>
      </c>
      <c r="AH114" s="1" t="s">
        <v>1246</v>
      </c>
      <c r="AI114" s="1" t="s">
        <v>1246</v>
      </c>
      <c r="AJ114" s="1" t="s">
        <v>1246</v>
      </c>
      <c r="AK114" s="1" t="s">
        <v>1246</v>
      </c>
      <c r="AL114" s="1" t="s">
        <v>1246</v>
      </c>
      <c r="AM114" s="1" t="s">
        <v>1246</v>
      </c>
      <c r="AN114" s="1" t="s">
        <v>1246</v>
      </c>
      <c r="AO114" s="1" t="s">
        <v>1246</v>
      </c>
      <c r="AP114" s="1" t="s">
        <v>1246</v>
      </c>
      <c r="AQ114" s="1" t="s">
        <v>1246</v>
      </c>
      <c r="AR114" s="1" t="s">
        <v>1246</v>
      </c>
      <c r="AS114" s="1" t="s">
        <v>1246</v>
      </c>
      <c r="AT114" s="1" t="s">
        <v>1246</v>
      </c>
      <c r="AU114" s="1" t="s">
        <v>1246</v>
      </c>
      <c r="AV114" s="1" t="s">
        <v>1246</v>
      </c>
      <c r="AW114" s="1" t="s">
        <v>1246</v>
      </c>
      <c r="AX114" s="1" t="s">
        <v>1246</v>
      </c>
      <c r="AY114" s="1" t="s">
        <v>1246</v>
      </c>
      <c r="AZ114" s="1" t="s">
        <v>1246</v>
      </c>
      <c r="BA114" s="1" t="s">
        <v>1246</v>
      </c>
      <c r="BB114" s="1" t="s">
        <v>1246</v>
      </c>
      <c r="BC114" s="1" t="s">
        <v>1246</v>
      </c>
      <c r="BD114" s="1" t="s">
        <v>1246</v>
      </c>
      <c r="BE114" s="1" t="s">
        <v>1246</v>
      </c>
      <c r="BF114" s="1" t="s">
        <v>1246</v>
      </c>
      <c r="BG114" s="1" t="s">
        <v>1246</v>
      </c>
      <c r="BH114" s="1" t="s">
        <v>1246</v>
      </c>
      <c r="BI114" s="1" t="s">
        <v>1246</v>
      </c>
      <c r="BJ114" s="1" t="s">
        <v>1246</v>
      </c>
      <c r="BK114" s="1" t="s">
        <v>1246</v>
      </c>
      <c r="BL114" s="1" t="s">
        <v>1246</v>
      </c>
      <c r="BM114" s="1" t="s">
        <v>1246</v>
      </c>
      <c r="BN114" s="1" t="s">
        <v>1246</v>
      </c>
      <c r="BO114" s="1" t="s">
        <v>1246</v>
      </c>
      <c r="BP114" s="1" t="s">
        <v>1246</v>
      </c>
      <c r="BQ114" s="1" t="s">
        <v>1246</v>
      </c>
      <c r="BR114" s="1" t="s">
        <v>1245</v>
      </c>
      <c r="BS114" s="1" t="s">
        <v>1245</v>
      </c>
      <c r="BT114" s="1" t="s">
        <v>1245</v>
      </c>
      <c r="BU114" s="1" t="s">
        <v>1245</v>
      </c>
      <c r="BV114" s="1" t="s">
        <v>1245</v>
      </c>
      <c r="BW114" s="1" t="s">
        <v>1245</v>
      </c>
      <c r="BX114" s="1" t="s">
        <v>1245</v>
      </c>
      <c r="BY114" s="1" t="s">
        <v>1245</v>
      </c>
      <c r="BZ114" s="4" t="s">
        <v>1227</v>
      </c>
      <c r="CA114" s="4" t="s">
        <v>1227</v>
      </c>
      <c r="CB114" s="4" t="s">
        <v>1227</v>
      </c>
      <c r="CC114" s="4" t="s">
        <v>1227</v>
      </c>
      <c r="CD114" s="4" t="s">
        <v>1227</v>
      </c>
      <c r="CE114" s="4" t="s">
        <v>1227</v>
      </c>
      <c r="CF114" s="4" t="s">
        <v>1227</v>
      </c>
      <c r="CG114" s="4" t="s">
        <v>1227</v>
      </c>
      <c r="CH114" s="4" t="s">
        <v>1227</v>
      </c>
      <c r="CI114" s="4" t="s">
        <v>1227</v>
      </c>
      <c r="CJ114" s="4" t="s">
        <v>1227</v>
      </c>
      <c r="CK114" s="4" t="s">
        <v>1227</v>
      </c>
      <c r="CL114" s="4" t="s">
        <v>1244</v>
      </c>
      <c r="CM114" s="4" t="s">
        <v>1244</v>
      </c>
      <c r="CN114" s="4" t="s">
        <v>1244</v>
      </c>
      <c r="CO114" s="4" t="s">
        <v>1244</v>
      </c>
      <c r="CP114" s="4" t="s">
        <v>1244</v>
      </c>
      <c r="CQ114" s="4" t="s">
        <v>1244</v>
      </c>
      <c r="CR114" s="4" t="s">
        <v>1244</v>
      </c>
      <c r="CS114" s="4" t="s">
        <v>1244</v>
      </c>
      <c r="CT114" s="4" t="s">
        <v>1244</v>
      </c>
      <c r="CU114" s="4" t="s">
        <v>1244</v>
      </c>
      <c r="CV114" s="4" t="s">
        <v>1244</v>
      </c>
      <c r="CW114" s="4" t="s">
        <v>1244</v>
      </c>
      <c r="CX114" s="4" t="s">
        <v>1239</v>
      </c>
      <c r="CY114" s="4" t="s">
        <v>1239</v>
      </c>
      <c r="CZ114" s="4" t="s">
        <v>1239</v>
      </c>
      <c r="DA114" s="4" t="s">
        <v>1239</v>
      </c>
      <c r="DB114" s="4" t="s">
        <v>1239</v>
      </c>
      <c r="DC114" s="4" t="s">
        <v>1239</v>
      </c>
      <c r="DD114" s="4" t="s">
        <v>1239</v>
      </c>
      <c r="DE114" s="4" t="s">
        <v>1239</v>
      </c>
      <c r="DF114" s="4" t="s">
        <v>1239</v>
      </c>
      <c r="DG114" s="4" t="s">
        <v>1239</v>
      </c>
      <c r="DH114" s="10" t="s">
        <v>1243</v>
      </c>
      <c r="DI114" s="10" t="s">
        <v>1243</v>
      </c>
      <c r="DJ114" s="10" t="s">
        <v>1243</v>
      </c>
      <c r="DK114" s="10" t="s">
        <v>1243</v>
      </c>
      <c r="DL114" s="10" t="s">
        <v>1243</v>
      </c>
      <c r="DM114" s="10" t="s">
        <v>1243</v>
      </c>
      <c r="DN114" s="10" t="s">
        <v>1242</v>
      </c>
      <c r="DO114" s="10" t="s">
        <v>1242</v>
      </c>
      <c r="DP114" s="10" t="s">
        <v>1242</v>
      </c>
      <c r="DQ114" s="10" t="s">
        <v>1242</v>
      </c>
      <c r="DR114" s="10" t="s">
        <v>1242</v>
      </c>
      <c r="DS114" s="10" t="s">
        <v>1242</v>
      </c>
      <c r="DT114" s="10" t="s">
        <v>1241</v>
      </c>
      <c r="DU114" s="10" t="s">
        <v>1241</v>
      </c>
      <c r="DV114" s="10" t="s">
        <v>1241</v>
      </c>
      <c r="DW114" s="10" t="s">
        <v>1241</v>
      </c>
      <c r="DX114" s="10" t="s">
        <v>1241</v>
      </c>
      <c r="DY114" s="10" t="s">
        <v>1241</v>
      </c>
      <c r="DZ114" s="10" t="s">
        <v>1241</v>
      </c>
      <c r="EA114" s="10" t="s">
        <v>1241</v>
      </c>
      <c r="EB114" s="10" t="s">
        <v>1241</v>
      </c>
      <c r="EC114" s="10" t="s">
        <v>1241</v>
      </c>
      <c r="ED114" s="10" t="s">
        <v>1241</v>
      </c>
      <c r="EE114" s="10" t="s">
        <v>1241</v>
      </c>
      <c r="EF114" s="10" t="s">
        <v>1241</v>
      </c>
      <c r="EG114" s="10" t="s">
        <v>1241</v>
      </c>
      <c r="EH114" s="10" t="s">
        <v>1240</v>
      </c>
      <c r="EI114" s="10" t="s">
        <v>1240</v>
      </c>
      <c r="EJ114" s="10" t="s">
        <v>1240</v>
      </c>
      <c r="EK114" s="10" t="s">
        <v>1240</v>
      </c>
      <c r="EL114" s="10" t="s">
        <v>1240</v>
      </c>
      <c r="EM114" s="10" t="s">
        <v>1240</v>
      </c>
      <c r="EN114" s="10" t="s">
        <v>1239</v>
      </c>
      <c r="EO114" s="10" t="s">
        <v>1239</v>
      </c>
      <c r="EP114" s="10" t="s">
        <v>1239</v>
      </c>
      <c r="EQ114" s="10" t="s">
        <v>1239</v>
      </c>
      <c r="ER114" s="10" t="s">
        <v>1238</v>
      </c>
      <c r="ES114" s="10" t="s">
        <v>1238</v>
      </c>
      <c r="ET114" s="10" t="s">
        <v>1238</v>
      </c>
      <c r="EU114" s="10" t="s">
        <v>1238</v>
      </c>
      <c r="EV114" s="10" t="s">
        <v>1238</v>
      </c>
      <c r="EW114" s="10" t="s">
        <v>1238</v>
      </c>
      <c r="EX114" s="10" t="s">
        <v>1238</v>
      </c>
      <c r="EY114" s="10" t="s">
        <v>1238</v>
      </c>
      <c r="EZ114" s="10" t="s">
        <v>1238</v>
      </c>
      <c r="FA114" s="10" t="s">
        <v>1238</v>
      </c>
      <c r="FB114" s="10" t="s">
        <v>1238</v>
      </c>
      <c r="FC114" s="10" t="s">
        <v>1238</v>
      </c>
      <c r="FD114" s="10" t="s">
        <v>1238</v>
      </c>
      <c r="FE114" s="10" t="s">
        <v>1238</v>
      </c>
      <c r="FF114" s="10" t="s">
        <v>1238</v>
      </c>
      <c r="FG114" s="10" t="s">
        <v>1238</v>
      </c>
      <c r="FH114" s="10" t="s">
        <v>1238</v>
      </c>
      <c r="FI114" s="10" t="s">
        <v>1238</v>
      </c>
      <c r="FJ114" s="10" t="s">
        <v>1238</v>
      </c>
      <c r="FK114" s="10" t="s">
        <v>1238</v>
      </c>
      <c r="FL114" s="10" t="s">
        <v>1238</v>
      </c>
      <c r="FM114" s="10" t="s">
        <v>1238</v>
      </c>
      <c r="FN114" s="10" t="s">
        <v>1238</v>
      </c>
      <c r="FO114" s="10" t="s">
        <v>1238</v>
      </c>
      <c r="FP114" s="10" t="s">
        <v>1238</v>
      </c>
      <c r="FQ114" s="10" t="s">
        <v>1238</v>
      </c>
      <c r="FR114" s="10" t="s">
        <v>1238</v>
      </c>
      <c r="FS114" s="10" t="s">
        <v>1238</v>
      </c>
      <c r="FT114" s="10" t="s">
        <v>1238</v>
      </c>
      <c r="FU114" s="10" t="s">
        <v>1238</v>
      </c>
      <c r="FV114" s="10" t="s">
        <v>1238</v>
      </c>
      <c r="FW114" s="10" t="s">
        <v>1238</v>
      </c>
      <c r="FX114" s="10" t="s">
        <v>1238</v>
      </c>
      <c r="FY114" s="10" t="s">
        <v>1238</v>
      </c>
      <c r="FZ114" s="10" t="s">
        <v>1238</v>
      </c>
      <c r="GA114" s="10" t="s">
        <v>1238</v>
      </c>
      <c r="GB114" s="10" t="s">
        <v>1238</v>
      </c>
      <c r="GC114" s="10" t="s">
        <v>1238</v>
      </c>
      <c r="GD114" s="10" t="s">
        <v>1238</v>
      </c>
      <c r="GE114" s="10" t="s">
        <v>1238</v>
      </c>
      <c r="GF114" s="10" t="s">
        <v>1238</v>
      </c>
      <c r="GG114" s="10" t="s">
        <v>1238</v>
      </c>
      <c r="GH114" s="10" t="s">
        <v>1238</v>
      </c>
      <c r="GI114" s="10" t="s">
        <v>1238</v>
      </c>
      <c r="GJ114" s="10" t="s">
        <v>1238</v>
      </c>
      <c r="GK114" s="10" t="s">
        <v>1238</v>
      </c>
      <c r="GL114" s="10" t="s">
        <v>1238</v>
      </c>
      <c r="GM114" s="10" t="s">
        <v>1238</v>
      </c>
      <c r="GN114" s="10" t="s">
        <v>1238</v>
      </c>
      <c r="GO114" s="10" t="s">
        <v>1238</v>
      </c>
      <c r="GP114" s="10" t="s">
        <v>1238</v>
      </c>
      <c r="GQ114" s="10" t="s">
        <v>1238</v>
      </c>
      <c r="GR114" s="10" t="s">
        <v>1237</v>
      </c>
      <c r="GS114" s="10" t="s">
        <v>1237</v>
      </c>
      <c r="GT114" s="10" t="s">
        <v>1237</v>
      </c>
      <c r="GU114" s="10" t="s">
        <v>1237</v>
      </c>
      <c r="GV114" s="10" t="s">
        <v>1254</v>
      </c>
      <c r="GW114" s="10" t="s">
        <v>1254</v>
      </c>
      <c r="GX114" s="10" t="s">
        <v>991</v>
      </c>
      <c r="GY114" s="10" t="s">
        <v>991</v>
      </c>
      <c r="GZ114" s="10" t="s">
        <v>1236</v>
      </c>
      <c r="HA114" s="10" t="s">
        <v>1236</v>
      </c>
      <c r="HB114" s="10" t="s">
        <v>1236</v>
      </c>
      <c r="HC114" s="10" t="s">
        <v>1236</v>
      </c>
      <c r="HD114" s="10" t="s">
        <v>1236</v>
      </c>
      <c r="HE114" s="10" t="s">
        <v>1236</v>
      </c>
      <c r="HF114" s="10" t="s">
        <v>1236</v>
      </c>
      <c r="HG114" s="10" t="s">
        <v>1236</v>
      </c>
      <c r="HH114" s="10" t="s">
        <v>1236</v>
      </c>
      <c r="HI114" s="10" t="s">
        <v>1236</v>
      </c>
      <c r="HJ114" s="10" t="s">
        <v>1236</v>
      </c>
      <c r="HK114" s="10" t="s">
        <v>1236</v>
      </c>
      <c r="HL114" s="10" t="s">
        <v>1236</v>
      </c>
      <c r="HM114" s="10" t="s">
        <v>1236</v>
      </c>
      <c r="HN114" s="10" t="s">
        <v>1236</v>
      </c>
      <c r="HO114" s="10" t="s">
        <v>1236</v>
      </c>
      <c r="HP114" s="10" t="s">
        <v>1236</v>
      </c>
      <c r="HQ114" s="10" t="s">
        <v>1236</v>
      </c>
      <c r="HR114" s="10" t="s">
        <v>1236</v>
      </c>
      <c r="HS114" s="10" t="s">
        <v>1236</v>
      </c>
      <c r="HT114" s="10" t="s">
        <v>1236</v>
      </c>
      <c r="HU114" s="10" t="s">
        <v>1236</v>
      </c>
      <c r="HV114" s="10" t="s">
        <v>1236</v>
      </c>
      <c r="HW114" s="10" t="s">
        <v>1236</v>
      </c>
      <c r="HX114" s="10" t="s">
        <v>1236</v>
      </c>
      <c r="HY114" s="10" t="s">
        <v>1236</v>
      </c>
      <c r="HZ114" s="10" t="s">
        <v>1236</v>
      </c>
      <c r="IA114" s="10" t="s">
        <v>1236</v>
      </c>
      <c r="IB114" s="10" t="s">
        <v>1236</v>
      </c>
      <c r="IC114" s="10" t="s">
        <v>1236</v>
      </c>
      <c r="ID114" s="10" t="s">
        <v>1236</v>
      </c>
      <c r="IE114" s="10" t="s">
        <v>1236</v>
      </c>
      <c r="IF114" s="10" t="s">
        <v>1236</v>
      </c>
      <c r="IG114" s="10" t="s">
        <v>1236</v>
      </c>
      <c r="IH114" s="10" t="s">
        <v>1236</v>
      </c>
      <c r="II114" s="10" t="s">
        <v>1236</v>
      </c>
      <c r="IJ114" s="10" t="s">
        <v>1236</v>
      </c>
      <c r="IK114" s="10" t="s">
        <v>1236</v>
      </c>
      <c r="IL114" s="10" t="s">
        <v>1236</v>
      </c>
      <c r="IM114" s="10" t="s">
        <v>1236</v>
      </c>
      <c r="IN114" s="10" t="s">
        <v>1236</v>
      </c>
      <c r="IO114" s="10" t="s">
        <v>1236</v>
      </c>
      <c r="IP114" s="10" t="s">
        <v>1236</v>
      </c>
      <c r="IQ114" s="10" t="s">
        <v>1236</v>
      </c>
      <c r="IR114" s="10" t="s">
        <v>1236</v>
      </c>
      <c r="IS114" s="10" t="s">
        <v>1236</v>
      </c>
      <c r="IT114" s="10" t="s">
        <v>1236</v>
      </c>
      <c r="IU114" s="18" t="s">
        <v>1235</v>
      </c>
      <c r="IV114" s="18" t="s">
        <v>1235</v>
      </c>
      <c r="IW114" s="18" t="s">
        <v>1235</v>
      </c>
      <c r="IX114" s="18" t="s">
        <v>387</v>
      </c>
      <c r="IY114" s="18" t="s">
        <v>387</v>
      </c>
      <c r="IZ114" s="18" t="s">
        <v>387</v>
      </c>
      <c r="JA114" s="18" t="s">
        <v>387</v>
      </c>
      <c r="JB114" s="18" t="s">
        <v>387</v>
      </c>
      <c r="JC114" s="18" t="s">
        <v>387</v>
      </c>
      <c r="JD114" s="18" t="s">
        <v>387</v>
      </c>
      <c r="JE114" s="18" t="s">
        <v>387</v>
      </c>
      <c r="JF114" s="18" t="s">
        <v>387</v>
      </c>
      <c r="JG114" s="18" t="s">
        <v>387</v>
      </c>
      <c r="JH114" s="18" t="s">
        <v>387</v>
      </c>
      <c r="JI114" s="18" t="s">
        <v>387</v>
      </c>
      <c r="JJ114" s="18" t="s">
        <v>387</v>
      </c>
      <c r="JK114" s="18" t="s">
        <v>387</v>
      </c>
      <c r="JL114" s="18" t="s">
        <v>387</v>
      </c>
      <c r="JM114" s="18" t="s">
        <v>387</v>
      </c>
      <c r="JN114" s="18" t="s">
        <v>387</v>
      </c>
      <c r="JO114" s="18" t="s">
        <v>387</v>
      </c>
      <c r="JP114" s="18" t="s">
        <v>387</v>
      </c>
      <c r="JQ114" s="18" t="s">
        <v>387</v>
      </c>
      <c r="JR114" s="18" t="s">
        <v>387</v>
      </c>
      <c r="JS114" s="18" t="s">
        <v>387</v>
      </c>
      <c r="JT114" s="18" t="s">
        <v>387</v>
      </c>
      <c r="JU114" s="18" t="s">
        <v>387</v>
      </c>
      <c r="JV114" s="18" t="s">
        <v>387</v>
      </c>
      <c r="JW114" s="18" t="s">
        <v>387</v>
      </c>
      <c r="JX114" s="35" t="s">
        <v>423</v>
      </c>
      <c r="JY114" s="35" t="s">
        <v>423</v>
      </c>
      <c r="JZ114" s="35" t="s">
        <v>423</v>
      </c>
      <c r="KA114" s="35" t="s">
        <v>423</v>
      </c>
      <c r="KB114" s="35" t="s">
        <v>392</v>
      </c>
      <c r="KC114" s="35" t="s">
        <v>392</v>
      </c>
      <c r="KD114" s="35" t="s">
        <v>424</v>
      </c>
      <c r="KE114" s="35" t="s">
        <v>424</v>
      </c>
      <c r="KF114" s="35" t="s">
        <v>424</v>
      </c>
      <c r="KG114" s="35" t="s">
        <v>424</v>
      </c>
      <c r="KH114" s="35" t="s">
        <v>382</v>
      </c>
      <c r="KI114" s="35" t="s">
        <v>382</v>
      </c>
      <c r="KJ114" s="35" t="s">
        <v>382</v>
      </c>
      <c r="KK114" s="35" t="s">
        <v>382</v>
      </c>
      <c r="KL114" s="35" t="s">
        <v>574</v>
      </c>
      <c r="KM114" s="35" t="s">
        <v>574</v>
      </c>
      <c r="KN114" s="35" t="s">
        <v>1234</v>
      </c>
      <c r="KO114" s="35" t="s">
        <v>1234</v>
      </c>
      <c r="KP114" s="35" t="s">
        <v>576</v>
      </c>
      <c r="KQ114" s="35" t="s">
        <v>576</v>
      </c>
      <c r="KR114" s="17" t="s">
        <v>643</v>
      </c>
      <c r="KS114" s="17" t="s">
        <v>643</v>
      </c>
      <c r="KT114" s="17" t="s">
        <v>643</v>
      </c>
      <c r="KU114" s="17" t="s">
        <v>643</v>
      </c>
      <c r="KV114" s="17" t="s">
        <v>643</v>
      </c>
      <c r="KW114" s="17" t="s">
        <v>643</v>
      </c>
      <c r="KX114" s="17" t="s">
        <v>643</v>
      </c>
      <c r="KY114" s="17" t="s">
        <v>643</v>
      </c>
      <c r="KZ114" s="17" t="s">
        <v>643</v>
      </c>
      <c r="LA114" s="17" t="s">
        <v>643</v>
      </c>
      <c r="LB114" s="17" t="s">
        <v>643</v>
      </c>
      <c r="LC114" s="17" t="s">
        <v>643</v>
      </c>
      <c r="LD114" s="17" t="s">
        <v>643</v>
      </c>
      <c r="LE114" s="17" t="s">
        <v>643</v>
      </c>
      <c r="LF114" s="17" t="s">
        <v>643</v>
      </c>
      <c r="LG114" s="17" t="s">
        <v>643</v>
      </c>
      <c r="LH114" s="17" t="s">
        <v>643</v>
      </c>
      <c r="LI114" s="17" t="s">
        <v>643</v>
      </c>
      <c r="LJ114" s="17" t="s">
        <v>643</v>
      </c>
      <c r="LK114" s="17" t="s">
        <v>643</v>
      </c>
      <c r="LL114" s="17" t="s">
        <v>643</v>
      </c>
      <c r="LM114" s="17" t="s">
        <v>643</v>
      </c>
      <c r="LN114" s="17" t="s">
        <v>643</v>
      </c>
      <c r="LO114" s="17" t="s">
        <v>643</v>
      </c>
      <c r="LP114" s="17" t="s">
        <v>643</v>
      </c>
      <c r="LQ114" s="17" t="s">
        <v>643</v>
      </c>
      <c r="LR114" s="17" t="s">
        <v>643</v>
      </c>
      <c r="LS114" s="17" t="s">
        <v>643</v>
      </c>
      <c r="LT114" s="17" t="s">
        <v>643</v>
      </c>
      <c r="LU114" s="17" t="s">
        <v>643</v>
      </c>
      <c r="LV114" s="17" t="s">
        <v>697</v>
      </c>
      <c r="LW114" s="17" t="s">
        <v>697</v>
      </c>
      <c r="LX114" s="17" t="s">
        <v>697</v>
      </c>
      <c r="LY114" s="17" t="s">
        <v>697</v>
      </c>
      <c r="LZ114" s="17" t="s">
        <v>697</v>
      </c>
      <c r="MA114" s="17" t="s">
        <v>697</v>
      </c>
      <c r="MB114" s="17" t="s">
        <v>697</v>
      </c>
      <c r="MC114" s="17" t="s">
        <v>697</v>
      </c>
      <c r="MD114" s="4" t="s">
        <v>644</v>
      </c>
      <c r="ME114" s="4" t="s">
        <v>644</v>
      </c>
      <c r="MF114" s="4" t="s">
        <v>644</v>
      </c>
      <c r="MG114" s="4" t="s">
        <v>644</v>
      </c>
      <c r="MH114" s="4" t="s">
        <v>644</v>
      </c>
      <c r="MI114" s="4" t="s">
        <v>644</v>
      </c>
      <c r="MJ114" s="4" t="s">
        <v>644</v>
      </c>
      <c r="MK114" s="4" t="s">
        <v>644</v>
      </c>
      <c r="ML114" s="4" t="s">
        <v>644</v>
      </c>
      <c r="MM114" s="4" t="s">
        <v>644</v>
      </c>
      <c r="MN114" s="4" t="s">
        <v>644</v>
      </c>
      <c r="MO114" s="4" t="s">
        <v>644</v>
      </c>
      <c r="MP114" s="4" t="s">
        <v>644</v>
      </c>
      <c r="MQ114" s="4" t="s">
        <v>644</v>
      </c>
      <c r="MR114" s="4" t="s">
        <v>644</v>
      </c>
      <c r="MS114" s="4" t="s">
        <v>644</v>
      </c>
      <c r="MT114" s="4" t="s">
        <v>644</v>
      </c>
      <c r="MU114" s="4" t="s">
        <v>644</v>
      </c>
      <c r="MV114" s="4" t="s">
        <v>644</v>
      </c>
      <c r="MW114" s="4" t="s">
        <v>644</v>
      </c>
      <c r="MX114" s="4" t="s">
        <v>644</v>
      </c>
      <c r="MY114" s="4" t="s">
        <v>644</v>
      </c>
      <c r="MZ114" s="4" t="s">
        <v>644</v>
      </c>
      <c r="NA114" s="4" t="s">
        <v>644</v>
      </c>
      <c r="NB114" s="4" t="s">
        <v>644</v>
      </c>
      <c r="NC114" s="4" t="s">
        <v>644</v>
      </c>
      <c r="ND114" s="4" t="s">
        <v>644</v>
      </c>
      <c r="NE114" s="4" t="s">
        <v>644</v>
      </c>
      <c r="NF114" s="4" t="s">
        <v>644</v>
      </c>
      <c r="NG114" s="4" t="s">
        <v>644</v>
      </c>
      <c r="NH114" s="4" t="s">
        <v>644</v>
      </c>
      <c r="NI114" s="4" t="s">
        <v>644</v>
      </c>
      <c r="NJ114" s="4" t="s">
        <v>644</v>
      </c>
      <c r="NK114" s="4" t="s">
        <v>644</v>
      </c>
      <c r="NL114" s="4" t="s">
        <v>644</v>
      </c>
      <c r="NM114" s="4" t="s">
        <v>644</v>
      </c>
      <c r="NN114" s="4" t="s">
        <v>644</v>
      </c>
      <c r="NO114" s="4" t="s">
        <v>644</v>
      </c>
      <c r="NP114" s="4" t="s">
        <v>661</v>
      </c>
      <c r="NQ114" s="4" t="s">
        <v>661</v>
      </c>
      <c r="NR114" s="10" t="s">
        <v>996</v>
      </c>
      <c r="NS114" s="10" t="s">
        <v>996</v>
      </c>
      <c r="NT114" s="10" t="s">
        <v>996</v>
      </c>
      <c r="NU114" s="10" t="s">
        <v>996</v>
      </c>
    </row>
    <row r="115" spans="1:385" x14ac:dyDescent="0.2">
      <c r="A115" t="s">
        <v>848</v>
      </c>
      <c r="E115" t="s">
        <v>849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 s="1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1</v>
      </c>
      <c r="HA115">
        <v>1</v>
      </c>
      <c r="HB115">
        <v>1</v>
      </c>
      <c r="HC115">
        <v>1</v>
      </c>
      <c r="HD115">
        <v>1</v>
      </c>
      <c r="HE115">
        <v>1</v>
      </c>
      <c r="HF115">
        <v>1</v>
      </c>
      <c r="HG115">
        <v>1</v>
      </c>
      <c r="HH115">
        <v>1</v>
      </c>
      <c r="HI115">
        <v>1</v>
      </c>
      <c r="HJ115">
        <v>1</v>
      </c>
      <c r="HK115">
        <v>1</v>
      </c>
      <c r="HL115">
        <v>1</v>
      </c>
      <c r="HM115">
        <v>1</v>
      </c>
      <c r="HN115">
        <v>1</v>
      </c>
      <c r="HO115">
        <v>1</v>
      </c>
      <c r="HP115">
        <v>1</v>
      </c>
      <c r="HQ115">
        <v>1</v>
      </c>
      <c r="HR115">
        <v>1</v>
      </c>
      <c r="HS115">
        <v>1</v>
      </c>
      <c r="HT115">
        <v>1</v>
      </c>
      <c r="HU115">
        <v>1</v>
      </c>
      <c r="HV115">
        <v>1</v>
      </c>
      <c r="HW115">
        <v>1</v>
      </c>
      <c r="HX115">
        <v>1</v>
      </c>
      <c r="HY115">
        <v>1</v>
      </c>
      <c r="HZ115">
        <v>1</v>
      </c>
      <c r="IA115">
        <v>1</v>
      </c>
      <c r="IB115">
        <v>1</v>
      </c>
      <c r="IC115">
        <v>1</v>
      </c>
      <c r="ID115">
        <v>1</v>
      </c>
      <c r="IE115">
        <v>1</v>
      </c>
      <c r="IF115">
        <v>1</v>
      </c>
      <c r="IG115">
        <v>1</v>
      </c>
      <c r="IH115">
        <v>1</v>
      </c>
      <c r="II115">
        <v>1</v>
      </c>
      <c r="IJ115">
        <v>1</v>
      </c>
      <c r="IK115">
        <v>1</v>
      </c>
      <c r="IL115">
        <v>1</v>
      </c>
      <c r="IM115">
        <v>1</v>
      </c>
      <c r="IN115">
        <v>1</v>
      </c>
      <c r="IO115">
        <v>1</v>
      </c>
      <c r="IP115">
        <v>1</v>
      </c>
      <c r="IQ115">
        <v>1</v>
      </c>
      <c r="IR115">
        <v>1</v>
      </c>
      <c r="IS115">
        <v>1</v>
      </c>
      <c r="IT115">
        <v>1</v>
      </c>
      <c r="IU115">
        <v>1</v>
      </c>
      <c r="IV115">
        <v>1</v>
      </c>
      <c r="IW115">
        <v>1</v>
      </c>
      <c r="IX115">
        <v>1</v>
      </c>
      <c r="IY115">
        <v>1</v>
      </c>
      <c r="IZ115">
        <v>1</v>
      </c>
      <c r="JA115">
        <v>1</v>
      </c>
      <c r="JB115">
        <v>1</v>
      </c>
      <c r="JC115">
        <v>1</v>
      </c>
      <c r="JD115">
        <v>1</v>
      </c>
      <c r="JE115">
        <v>1</v>
      </c>
      <c r="JF115">
        <v>1</v>
      </c>
      <c r="JG115">
        <v>1</v>
      </c>
      <c r="JH115">
        <v>1</v>
      </c>
      <c r="JI115">
        <v>1</v>
      </c>
      <c r="JJ115">
        <v>1</v>
      </c>
      <c r="JK115">
        <v>1</v>
      </c>
      <c r="JL115">
        <v>1</v>
      </c>
      <c r="JM115">
        <v>1</v>
      </c>
      <c r="JN115">
        <v>1</v>
      </c>
      <c r="JO115">
        <v>1</v>
      </c>
      <c r="JP115">
        <v>1</v>
      </c>
      <c r="JQ115">
        <v>1</v>
      </c>
      <c r="JR115">
        <v>1</v>
      </c>
      <c r="JS115">
        <v>1</v>
      </c>
      <c r="JT115">
        <v>1</v>
      </c>
      <c r="JU115">
        <v>1</v>
      </c>
      <c r="JV115">
        <v>1</v>
      </c>
      <c r="JW115">
        <v>1</v>
      </c>
      <c r="JX115">
        <v>1</v>
      </c>
      <c r="JY115">
        <v>1</v>
      </c>
      <c r="JZ115">
        <v>1</v>
      </c>
      <c r="KA115">
        <v>1</v>
      </c>
      <c r="KB115">
        <v>1</v>
      </c>
      <c r="KC115">
        <v>1</v>
      </c>
      <c r="KD115">
        <v>1</v>
      </c>
      <c r="KE115">
        <v>1</v>
      </c>
      <c r="KF115">
        <v>1</v>
      </c>
      <c r="KG115">
        <v>1</v>
      </c>
      <c r="KH115">
        <v>1</v>
      </c>
      <c r="KI115">
        <v>1</v>
      </c>
      <c r="KJ115">
        <v>1</v>
      </c>
      <c r="KK115">
        <v>1</v>
      </c>
      <c r="KL115">
        <v>1</v>
      </c>
      <c r="KM115">
        <v>1</v>
      </c>
      <c r="KN115">
        <v>1</v>
      </c>
      <c r="KO115">
        <v>1</v>
      </c>
      <c r="KP115">
        <v>1</v>
      </c>
      <c r="KQ115">
        <v>1</v>
      </c>
      <c r="KR115">
        <v>1</v>
      </c>
      <c r="KS115">
        <v>1</v>
      </c>
      <c r="KT115">
        <v>1</v>
      </c>
      <c r="KU115">
        <v>1</v>
      </c>
      <c r="KV115">
        <v>1</v>
      </c>
      <c r="KW115">
        <v>1</v>
      </c>
      <c r="KX115">
        <v>1</v>
      </c>
      <c r="KY115">
        <v>1</v>
      </c>
      <c r="KZ115">
        <v>1</v>
      </c>
      <c r="LA115">
        <v>1</v>
      </c>
      <c r="LB115">
        <v>1</v>
      </c>
      <c r="LC115">
        <v>1</v>
      </c>
      <c r="LD115">
        <v>1</v>
      </c>
      <c r="LE115">
        <v>1</v>
      </c>
      <c r="LF115">
        <v>1</v>
      </c>
      <c r="LG115">
        <v>1</v>
      </c>
      <c r="LH115">
        <v>1</v>
      </c>
      <c r="LI115">
        <v>1</v>
      </c>
      <c r="LJ115">
        <v>1</v>
      </c>
      <c r="LK115">
        <v>1</v>
      </c>
      <c r="LL115">
        <v>1</v>
      </c>
      <c r="LM115">
        <v>1</v>
      </c>
      <c r="LN115">
        <v>1</v>
      </c>
      <c r="LO115">
        <v>1</v>
      </c>
      <c r="LP115">
        <v>1</v>
      </c>
      <c r="LQ115">
        <v>1</v>
      </c>
      <c r="LR115">
        <v>1</v>
      </c>
      <c r="LS115">
        <v>1</v>
      </c>
      <c r="LT115">
        <v>1</v>
      </c>
      <c r="LU115">
        <v>1</v>
      </c>
      <c r="LV115">
        <v>1</v>
      </c>
      <c r="LW115">
        <v>1</v>
      </c>
      <c r="LX115">
        <v>1</v>
      </c>
      <c r="LY115">
        <v>1</v>
      </c>
      <c r="LZ115">
        <v>1</v>
      </c>
      <c r="MA115">
        <v>1</v>
      </c>
      <c r="MB115">
        <v>1</v>
      </c>
      <c r="MC115">
        <v>1</v>
      </c>
      <c r="MD115">
        <v>1</v>
      </c>
      <c r="ME115">
        <v>1</v>
      </c>
      <c r="MF115">
        <v>1</v>
      </c>
      <c r="MG115">
        <v>1</v>
      </c>
      <c r="MH115">
        <v>1</v>
      </c>
      <c r="MI115">
        <v>1</v>
      </c>
      <c r="MJ115">
        <v>1</v>
      </c>
      <c r="MK115">
        <v>1</v>
      </c>
      <c r="ML115">
        <v>1</v>
      </c>
      <c r="MM115">
        <v>1</v>
      </c>
      <c r="MN115">
        <v>1</v>
      </c>
      <c r="MO115">
        <v>1</v>
      </c>
      <c r="MP115">
        <v>1</v>
      </c>
      <c r="MQ115">
        <v>1</v>
      </c>
      <c r="MR115">
        <v>1</v>
      </c>
      <c r="MS115">
        <v>1</v>
      </c>
      <c r="MT115">
        <v>1</v>
      </c>
      <c r="MU115">
        <v>1</v>
      </c>
      <c r="MV115">
        <v>1</v>
      </c>
      <c r="MW115">
        <v>1</v>
      </c>
      <c r="MX115">
        <v>1</v>
      </c>
      <c r="MY115">
        <v>1</v>
      </c>
      <c r="MZ115">
        <v>1</v>
      </c>
      <c r="NA115">
        <v>1</v>
      </c>
      <c r="NB115">
        <v>1</v>
      </c>
      <c r="NC115">
        <v>1</v>
      </c>
      <c r="ND115">
        <v>1</v>
      </c>
      <c r="NE115">
        <v>1</v>
      </c>
      <c r="NF115">
        <v>1</v>
      </c>
      <c r="NG115">
        <v>1</v>
      </c>
      <c r="NH115">
        <v>1</v>
      </c>
      <c r="NI115">
        <v>1</v>
      </c>
      <c r="NJ115">
        <v>1</v>
      </c>
      <c r="NK115">
        <v>1</v>
      </c>
      <c r="NL115">
        <v>1</v>
      </c>
      <c r="NM115">
        <v>1</v>
      </c>
      <c r="NN115">
        <v>1</v>
      </c>
      <c r="NO115">
        <v>1</v>
      </c>
      <c r="NP115">
        <v>1</v>
      </c>
      <c r="NQ115">
        <v>1</v>
      </c>
      <c r="NR115">
        <v>0</v>
      </c>
      <c r="NS115">
        <v>0</v>
      </c>
      <c r="NT115">
        <v>0</v>
      </c>
      <c r="NU115">
        <v>0</v>
      </c>
    </row>
    <row r="116" spans="1:385" x14ac:dyDescent="0.2">
      <c r="A116" t="s">
        <v>1249</v>
      </c>
      <c r="F116" s="1">
        <f>COUNT(F4:F113)</f>
        <v>16</v>
      </c>
      <c r="G116" s="1">
        <f t="shared" ref="G116:BR116" si="0">COUNT(G4:G113)</f>
        <v>0</v>
      </c>
      <c r="H116" s="1">
        <f t="shared" si="0"/>
        <v>19</v>
      </c>
      <c r="I116" s="1">
        <f t="shared" si="0"/>
        <v>0</v>
      </c>
      <c r="J116" s="1">
        <f t="shared" si="0"/>
        <v>18</v>
      </c>
      <c r="K116" s="1">
        <f t="shared" si="0"/>
        <v>18</v>
      </c>
      <c r="L116" s="1">
        <f t="shared" si="0"/>
        <v>19</v>
      </c>
      <c r="M116" s="1">
        <f t="shared" si="0"/>
        <v>0</v>
      </c>
      <c r="N116" s="1">
        <f t="shared" si="0"/>
        <v>14</v>
      </c>
      <c r="O116" s="1">
        <f t="shared" si="0"/>
        <v>13</v>
      </c>
      <c r="P116" s="1">
        <f t="shared" si="0"/>
        <v>12</v>
      </c>
      <c r="Q116" s="1">
        <f t="shared" si="0"/>
        <v>12</v>
      </c>
      <c r="R116" s="1">
        <f t="shared" si="0"/>
        <v>23</v>
      </c>
      <c r="S116" s="1">
        <f t="shared" si="0"/>
        <v>23</v>
      </c>
      <c r="T116" s="1">
        <f t="shared" si="0"/>
        <v>29</v>
      </c>
      <c r="U116" s="1">
        <f t="shared" si="0"/>
        <v>29</v>
      </c>
      <c r="V116" s="1">
        <f t="shared" si="0"/>
        <v>29</v>
      </c>
      <c r="W116" s="1">
        <f t="shared" si="0"/>
        <v>29</v>
      </c>
      <c r="X116" s="1">
        <f t="shared" si="0"/>
        <v>15</v>
      </c>
      <c r="Y116" s="1">
        <f t="shared" si="0"/>
        <v>15</v>
      </c>
      <c r="Z116" s="1">
        <f t="shared" si="0"/>
        <v>12</v>
      </c>
      <c r="AA116" s="1">
        <f t="shared" si="0"/>
        <v>12</v>
      </c>
      <c r="AB116" s="1">
        <f t="shared" si="0"/>
        <v>29</v>
      </c>
      <c r="AC116" s="1">
        <f t="shared" si="0"/>
        <v>29</v>
      </c>
      <c r="AD116" s="1">
        <f t="shared" si="0"/>
        <v>29</v>
      </c>
      <c r="AE116" s="1">
        <f t="shared" si="0"/>
        <v>29</v>
      </c>
      <c r="AF116" s="1">
        <f t="shared" si="0"/>
        <v>17</v>
      </c>
      <c r="AG116" s="1">
        <f t="shared" si="0"/>
        <v>17</v>
      </c>
      <c r="AH116" s="1">
        <f t="shared" si="0"/>
        <v>22</v>
      </c>
      <c r="AI116" s="1">
        <f t="shared" si="0"/>
        <v>22</v>
      </c>
      <c r="AJ116" s="1">
        <f t="shared" si="0"/>
        <v>26</v>
      </c>
      <c r="AK116" s="1">
        <f t="shared" si="0"/>
        <v>26</v>
      </c>
      <c r="AL116" s="1">
        <f t="shared" si="0"/>
        <v>30</v>
      </c>
      <c r="AM116" s="1">
        <f t="shared" si="0"/>
        <v>30</v>
      </c>
      <c r="AN116" s="1">
        <f t="shared" si="0"/>
        <v>31</v>
      </c>
      <c r="AO116" s="1">
        <f t="shared" si="0"/>
        <v>31</v>
      </c>
      <c r="AP116" s="1">
        <f t="shared" si="0"/>
        <v>20</v>
      </c>
      <c r="AQ116" s="1">
        <f t="shared" si="0"/>
        <v>20</v>
      </c>
      <c r="AR116" s="1">
        <f t="shared" si="0"/>
        <v>42</v>
      </c>
      <c r="AS116" s="1">
        <f t="shared" si="0"/>
        <v>42</v>
      </c>
      <c r="AT116" s="1">
        <f t="shared" si="0"/>
        <v>29</v>
      </c>
      <c r="AU116" s="1">
        <f t="shared" si="0"/>
        <v>29</v>
      </c>
      <c r="AV116" s="1">
        <f t="shared" si="0"/>
        <v>29</v>
      </c>
      <c r="AW116" s="1">
        <f t="shared" si="0"/>
        <v>29</v>
      </c>
      <c r="AX116" s="1">
        <f t="shared" si="0"/>
        <v>29</v>
      </c>
      <c r="AY116" s="1">
        <f t="shared" si="0"/>
        <v>29</v>
      </c>
      <c r="AZ116" s="1">
        <f t="shared" si="0"/>
        <v>28</v>
      </c>
      <c r="BA116" s="1">
        <f t="shared" si="0"/>
        <v>28</v>
      </c>
      <c r="BB116" s="1">
        <f t="shared" si="0"/>
        <v>3</v>
      </c>
      <c r="BC116" s="1">
        <f t="shared" si="0"/>
        <v>3</v>
      </c>
      <c r="BD116" s="1">
        <f t="shared" si="0"/>
        <v>19</v>
      </c>
      <c r="BE116" s="1">
        <f t="shared" si="0"/>
        <v>0</v>
      </c>
      <c r="BF116" s="1">
        <f t="shared" si="0"/>
        <v>13</v>
      </c>
      <c r="BG116" s="1">
        <f t="shared" si="0"/>
        <v>13</v>
      </c>
      <c r="BH116" s="1">
        <f t="shared" si="0"/>
        <v>19</v>
      </c>
      <c r="BI116" s="1">
        <f t="shared" si="0"/>
        <v>19</v>
      </c>
      <c r="BJ116" s="1">
        <f t="shared" si="0"/>
        <v>20</v>
      </c>
      <c r="BK116" s="1">
        <f t="shared" si="0"/>
        <v>20</v>
      </c>
      <c r="BL116" s="1">
        <f t="shared" si="0"/>
        <v>17</v>
      </c>
      <c r="BM116" s="1">
        <f t="shared" si="0"/>
        <v>17</v>
      </c>
      <c r="BN116" s="1">
        <f t="shared" si="0"/>
        <v>29</v>
      </c>
      <c r="BO116" s="1">
        <f t="shared" si="0"/>
        <v>29</v>
      </c>
      <c r="BP116" s="1">
        <f t="shared" si="0"/>
        <v>29</v>
      </c>
      <c r="BQ116" s="1">
        <f t="shared" si="0"/>
        <v>29</v>
      </c>
      <c r="BR116" s="1">
        <f t="shared" si="0"/>
        <v>27</v>
      </c>
      <c r="BS116" s="1">
        <f t="shared" ref="BS116:ED116" si="1">COUNT(BS4:BS113)</f>
        <v>27</v>
      </c>
      <c r="BT116" s="1">
        <f t="shared" si="1"/>
        <v>28</v>
      </c>
      <c r="BU116" s="1">
        <f t="shared" si="1"/>
        <v>28</v>
      </c>
      <c r="BV116" s="1">
        <f t="shared" si="1"/>
        <v>16</v>
      </c>
      <c r="BW116" s="1">
        <f t="shared" si="1"/>
        <v>14</v>
      </c>
      <c r="BX116" s="1">
        <f t="shared" si="1"/>
        <v>15</v>
      </c>
      <c r="BY116" s="1">
        <f t="shared" si="1"/>
        <v>12</v>
      </c>
      <c r="BZ116" s="1">
        <f t="shared" si="1"/>
        <v>18</v>
      </c>
      <c r="CA116" s="1">
        <f t="shared" si="1"/>
        <v>17</v>
      </c>
      <c r="CB116" s="1">
        <f t="shared" si="1"/>
        <v>12</v>
      </c>
      <c r="CC116" s="1">
        <f t="shared" si="1"/>
        <v>12</v>
      </c>
      <c r="CD116" s="1">
        <f t="shared" si="1"/>
        <v>22</v>
      </c>
      <c r="CE116" s="1">
        <f t="shared" si="1"/>
        <v>22</v>
      </c>
      <c r="CF116" s="1">
        <f t="shared" si="1"/>
        <v>18</v>
      </c>
      <c r="CG116" s="1">
        <f t="shared" si="1"/>
        <v>18</v>
      </c>
      <c r="CH116" s="1">
        <f t="shared" si="1"/>
        <v>17</v>
      </c>
      <c r="CI116" s="1">
        <f t="shared" si="1"/>
        <v>17</v>
      </c>
      <c r="CJ116" s="1">
        <f t="shared" si="1"/>
        <v>25</v>
      </c>
      <c r="CK116" s="1">
        <f t="shared" si="1"/>
        <v>25</v>
      </c>
      <c r="CL116" s="1">
        <f t="shared" si="1"/>
        <v>17</v>
      </c>
      <c r="CM116" s="1">
        <f t="shared" si="1"/>
        <v>16</v>
      </c>
      <c r="CN116" s="1">
        <f t="shared" si="1"/>
        <v>19</v>
      </c>
      <c r="CO116" s="1">
        <f t="shared" si="1"/>
        <v>19</v>
      </c>
      <c r="CP116" s="1">
        <f t="shared" si="1"/>
        <v>17</v>
      </c>
      <c r="CQ116" s="1">
        <f t="shared" si="1"/>
        <v>17</v>
      </c>
      <c r="CR116" s="1">
        <f t="shared" si="1"/>
        <v>13</v>
      </c>
      <c r="CS116" s="1">
        <f t="shared" si="1"/>
        <v>13</v>
      </c>
      <c r="CT116" s="1">
        <f t="shared" si="1"/>
        <v>16</v>
      </c>
      <c r="CU116" s="1">
        <f t="shared" si="1"/>
        <v>16</v>
      </c>
      <c r="CV116" s="1">
        <f t="shared" si="1"/>
        <v>22</v>
      </c>
      <c r="CW116" s="1">
        <f t="shared" si="1"/>
        <v>23</v>
      </c>
      <c r="CX116" s="1">
        <f t="shared" si="1"/>
        <v>14</v>
      </c>
      <c r="CY116" s="1">
        <f t="shared" si="1"/>
        <v>14</v>
      </c>
      <c r="CZ116" s="1">
        <f t="shared" si="1"/>
        <v>20</v>
      </c>
      <c r="DA116" s="1">
        <f t="shared" si="1"/>
        <v>20</v>
      </c>
      <c r="DB116" s="1">
        <f t="shared" si="1"/>
        <v>23</v>
      </c>
      <c r="DC116" s="1">
        <f t="shared" si="1"/>
        <v>23</v>
      </c>
      <c r="DD116" s="1">
        <f t="shared" si="1"/>
        <v>13</v>
      </c>
      <c r="DE116" s="1">
        <f t="shared" si="1"/>
        <v>13</v>
      </c>
      <c r="DF116" s="1">
        <f t="shared" si="1"/>
        <v>11</v>
      </c>
      <c r="DG116" s="1">
        <f t="shared" si="1"/>
        <v>11</v>
      </c>
      <c r="DH116" s="1">
        <f t="shared" si="1"/>
        <v>31</v>
      </c>
      <c r="DI116" s="1">
        <f t="shared" si="1"/>
        <v>31</v>
      </c>
      <c r="DJ116" s="1">
        <f t="shared" si="1"/>
        <v>31</v>
      </c>
      <c r="DK116" s="1">
        <f t="shared" si="1"/>
        <v>31</v>
      </c>
      <c r="DL116" s="1">
        <f t="shared" si="1"/>
        <v>31</v>
      </c>
      <c r="DM116" s="1">
        <f t="shared" si="1"/>
        <v>31</v>
      </c>
      <c r="DN116" s="1">
        <f t="shared" si="1"/>
        <v>15</v>
      </c>
      <c r="DO116" s="1">
        <f t="shared" si="1"/>
        <v>15</v>
      </c>
      <c r="DP116" s="1">
        <f t="shared" si="1"/>
        <v>31</v>
      </c>
      <c r="DQ116" s="1">
        <f t="shared" si="1"/>
        <v>31</v>
      </c>
      <c r="DR116" s="1">
        <f t="shared" si="1"/>
        <v>30</v>
      </c>
      <c r="DS116" s="1">
        <f t="shared" si="1"/>
        <v>30</v>
      </c>
      <c r="DT116" s="1">
        <f t="shared" si="1"/>
        <v>21</v>
      </c>
      <c r="DU116" s="1">
        <f t="shared" si="1"/>
        <v>21</v>
      </c>
      <c r="DV116" s="1">
        <f t="shared" si="1"/>
        <v>5</v>
      </c>
      <c r="DW116" s="1">
        <f t="shared" si="1"/>
        <v>5</v>
      </c>
      <c r="DX116" s="1">
        <f t="shared" si="1"/>
        <v>5</v>
      </c>
      <c r="DY116" s="1">
        <f t="shared" si="1"/>
        <v>5</v>
      </c>
      <c r="DZ116" s="1">
        <f t="shared" si="1"/>
        <v>13</v>
      </c>
      <c r="EA116" s="1">
        <f t="shared" si="1"/>
        <v>13</v>
      </c>
      <c r="EB116" s="1">
        <f t="shared" si="1"/>
        <v>16</v>
      </c>
      <c r="EC116" s="1">
        <f t="shared" si="1"/>
        <v>14</v>
      </c>
      <c r="ED116" s="1">
        <f t="shared" si="1"/>
        <v>16</v>
      </c>
      <c r="EE116" s="1">
        <f t="shared" ref="EE116:GP116" si="2">COUNT(EE4:EE113)</f>
        <v>14</v>
      </c>
      <c r="EF116" s="1">
        <f t="shared" si="2"/>
        <v>14</v>
      </c>
      <c r="EG116" s="1">
        <f t="shared" si="2"/>
        <v>14</v>
      </c>
      <c r="EH116" s="1">
        <f t="shared" si="2"/>
        <v>3</v>
      </c>
      <c r="EI116" s="1">
        <f t="shared" si="2"/>
        <v>3</v>
      </c>
      <c r="EJ116" s="1">
        <f t="shared" si="2"/>
        <v>2</v>
      </c>
      <c r="EK116" s="1">
        <f t="shared" si="2"/>
        <v>2</v>
      </c>
      <c r="EL116" s="1">
        <f t="shared" si="2"/>
        <v>5</v>
      </c>
      <c r="EM116" s="1">
        <f t="shared" si="2"/>
        <v>5</v>
      </c>
      <c r="EN116" s="1">
        <f t="shared" si="2"/>
        <v>12</v>
      </c>
      <c r="EO116" s="1">
        <f t="shared" si="2"/>
        <v>12</v>
      </c>
      <c r="EP116" s="1">
        <f t="shared" si="2"/>
        <v>10</v>
      </c>
      <c r="EQ116" s="1">
        <f t="shared" si="2"/>
        <v>10</v>
      </c>
      <c r="ER116" s="1">
        <f t="shared" si="2"/>
        <v>10</v>
      </c>
      <c r="ES116" s="1">
        <f t="shared" si="2"/>
        <v>10</v>
      </c>
      <c r="ET116" s="1">
        <f t="shared" si="2"/>
        <v>10</v>
      </c>
      <c r="EU116" s="1">
        <f t="shared" si="2"/>
        <v>10</v>
      </c>
      <c r="EV116" s="1">
        <f t="shared" si="2"/>
        <v>13</v>
      </c>
      <c r="EW116" s="1">
        <f t="shared" si="2"/>
        <v>13</v>
      </c>
      <c r="EX116" s="1">
        <f t="shared" si="2"/>
        <v>16</v>
      </c>
      <c r="EY116" s="1">
        <f t="shared" si="2"/>
        <v>16</v>
      </c>
      <c r="EZ116" s="1">
        <f t="shared" si="2"/>
        <v>14</v>
      </c>
      <c r="FA116" s="1">
        <f t="shared" si="2"/>
        <v>14</v>
      </c>
      <c r="FB116" s="1">
        <f t="shared" si="2"/>
        <v>14</v>
      </c>
      <c r="FC116" s="1">
        <f t="shared" si="2"/>
        <v>14</v>
      </c>
      <c r="FD116" s="1">
        <f t="shared" si="2"/>
        <v>5</v>
      </c>
      <c r="FE116" s="1">
        <f t="shared" si="2"/>
        <v>5</v>
      </c>
      <c r="FF116" s="1">
        <f t="shared" si="2"/>
        <v>17</v>
      </c>
      <c r="FG116" s="1">
        <f t="shared" si="2"/>
        <v>17</v>
      </c>
      <c r="FH116" s="1">
        <f t="shared" si="2"/>
        <v>17</v>
      </c>
      <c r="FI116" s="1">
        <f t="shared" si="2"/>
        <v>17</v>
      </c>
      <c r="FJ116" s="1">
        <f t="shared" si="2"/>
        <v>17</v>
      </c>
      <c r="FK116" s="1">
        <f t="shared" si="2"/>
        <v>17</v>
      </c>
      <c r="FL116" s="1">
        <f t="shared" si="2"/>
        <v>18</v>
      </c>
      <c r="FM116" s="1">
        <f t="shared" si="2"/>
        <v>18</v>
      </c>
      <c r="FN116" s="1">
        <f t="shared" si="2"/>
        <v>17</v>
      </c>
      <c r="FO116" s="1">
        <f t="shared" si="2"/>
        <v>17</v>
      </c>
      <c r="FP116" s="1">
        <f t="shared" si="2"/>
        <v>17</v>
      </c>
      <c r="FQ116" s="1">
        <f t="shared" si="2"/>
        <v>17</v>
      </c>
      <c r="FR116" s="1">
        <f t="shared" si="2"/>
        <v>18</v>
      </c>
      <c r="FS116" s="1">
        <f t="shared" si="2"/>
        <v>18</v>
      </c>
      <c r="FT116" s="1">
        <f t="shared" si="2"/>
        <v>11</v>
      </c>
      <c r="FU116" s="1">
        <f t="shared" si="2"/>
        <v>11</v>
      </c>
      <c r="FV116" s="1">
        <f t="shared" si="2"/>
        <v>10</v>
      </c>
      <c r="FW116" s="1">
        <f t="shared" si="2"/>
        <v>10</v>
      </c>
      <c r="FX116" s="1">
        <f t="shared" si="2"/>
        <v>15</v>
      </c>
      <c r="FY116" s="1">
        <f t="shared" si="2"/>
        <v>15</v>
      </c>
      <c r="FZ116" s="1">
        <f t="shared" si="2"/>
        <v>9</v>
      </c>
      <c r="GA116" s="1">
        <f t="shared" si="2"/>
        <v>9</v>
      </c>
      <c r="GB116" s="1">
        <f t="shared" si="2"/>
        <v>1</v>
      </c>
      <c r="GC116" s="1">
        <f t="shared" si="2"/>
        <v>1</v>
      </c>
      <c r="GD116" s="1">
        <f t="shared" si="2"/>
        <v>2</v>
      </c>
      <c r="GE116" s="1">
        <f t="shared" si="2"/>
        <v>2</v>
      </c>
      <c r="GF116" s="1">
        <f t="shared" si="2"/>
        <v>5</v>
      </c>
      <c r="GG116" s="1">
        <f t="shared" si="2"/>
        <v>5</v>
      </c>
      <c r="GH116" s="1">
        <f t="shared" si="2"/>
        <v>6</v>
      </c>
      <c r="GI116" s="1">
        <f t="shared" si="2"/>
        <v>6</v>
      </c>
      <c r="GJ116" s="1">
        <f t="shared" si="2"/>
        <v>14</v>
      </c>
      <c r="GK116" s="1">
        <f t="shared" si="2"/>
        <v>14</v>
      </c>
      <c r="GL116" s="1">
        <f t="shared" si="2"/>
        <v>4</v>
      </c>
      <c r="GM116" s="1">
        <f t="shared" si="2"/>
        <v>4</v>
      </c>
      <c r="GN116" s="1">
        <f t="shared" si="2"/>
        <v>7</v>
      </c>
      <c r="GO116" s="1">
        <f t="shared" si="2"/>
        <v>7</v>
      </c>
      <c r="GP116" s="1">
        <f t="shared" si="2"/>
        <v>14</v>
      </c>
      <c r="GQ116" s="1">
        <f t="shared" ref="GQ116:JD116" si="3">COUNT(GQ4:GQ113)</f>
        <v>14</v>
      </c>
      <c r="GR116" s="1">
        <f t="shared" si="3"/>
        <v>16</v>
      </c>
      <c r="GS116" s="1">
        <f t="shared" si="3"/>
        <v>16</v>
      </c>
      <c r="GT116" s="1">
        <f t="shared" si="3"/>
        <v>16</v>
      </c>
      <c r="GU116" s="1">
        <f t="shared" si="3"/>
        <v>16</v>
      </c>
      <c r="GV116" s="1">
        <f t="shared" si="3"/>
        <v>33</v>
      </c>
      <c r="GW116" s="1">
        <f t="shared" si="3"/>
        <v>33</v>
      </c>
      <c r="GX116" s="1">
        <f t="shared" si="3"/>
        <v>7</v>
      </c>
      <c r="GY116" s="1">
        <f t="shared" si="3"/>
        <v>7</v>
      </c>
      <c r="GZ116" s="1">
        <f t="shared" si="3"/>
        <v>12</v>
      </c>
      <c r="HA116" s="1">
        <f t="shared" si="3"/>
        <v>0</v>
      </c>
      <c r="HB116" s="1">
        <f t="shared" si="3"/>
        <v>12</v>
      </c>
      <c r="HC116" s="1">
        <f t="shared" si="3"/>
        <v>0</v>
      </c>
      <c r="HD116" s="1">
        <f t="shared" si="3"/>
        <v>12</v>
      </c>
      <c r="HE116" s="1">
        <f t="shared" si="3"/>
        <v>0</v>
      </c>
      <c r="HF116" s="1">
        <f t="shared" si="3"/>
        <v>13</v>
      </c>
      <c r="HG116" s="1">
        <f t="shared" si="3"/>
        <v>0</v>
      </c>
      <c r="HH116" s="1">
        <f t="shared" si="3"/>
        <v>11</v>
      </c>
      <c r="HI116" s="1">
        <f t="shared" si="3"/>
        <v>0</v>
      </c>
      <c r="HJ116" s="1">
        <f t="shared" si="3"/>
        <v>10</v>
      </c>
      <c r="HK116" s="1">
        <f t="shared" si="3"/>
        <v>0</v>
      </c>
      <c r="HL116" s="1">
        <f t="shared" si="3"/>
        <v>9</v>
      </c>
      <c r="HM116" s="1">
        <f t="shared" si="3"/>
        <v>0</v>
      </c>
      <c r="HN116" s="1">
        <f t="shared" si="3"/>
        <v>12</v>
      </c>
      <c r="HO116" s="1">
        <f t="shared" si="3"/>
        <v>0</v>
      </c>
      <c r="HP116" s="1">
        <f t="shared" si="3"/>
        <v>19</v>
      </c>
      <c r="HQ116" s="1">
        <f t="shared" si="3"/>
        <v>19</v>
      </c>
      <c r="HR116" s="1">
        <f t="shared" si="3"/>
        <v>18</v>
      </c>
      <c r="HS116" s="1">
        <f t="shared" si="3"/>
        <v>19</v>
      </c>
      <c r="HT116" s="1">
        <f t="shared" si="3"/>
        <v>16</v>
      </c>
      <c r="HU116" s="1">
        <f t="shared" si="3"/>
        <v>16</v>
      </c>
      <c r="HV116" s="1">
        <f t="shared" si="3"/>
        <v>15</v>
      </c>
      <c r="HW116" s="1">
        <f t="shared" si="3"/>
        <v>15</v>
      </c>
      <c r="HX116" s="1">
        <f t="shared" si="3"/>
        <v>6</v>
      </c>
      <c r="HY116" s="1">
        <f t="shared" si="3"/>
        <v>6</v>
      </c>
      <c r="HZ116" s="1">
        <f t="shared" si="3"/>
        <v>14</v>
      </c>
      <c r="IA116" s="1">
        <f t="shared" si="3"/>
        <v>14</v>
      </c>
      <c r="IB116" s="1">
        <f t="shared" si="3"/>
        <v>15</v>
      </c>
      <c r="IC116" s="1">
        <f t="shared" si="3"/>
        <v>15</v>
      </c>
      <c r="ID116" s="1">
        <f t="shared" si="3"/>
        <v>25</v>
      </c>
      <c r="IE116" s="1">
        <f t="shared" si="3"/>
        <v>25</v>
      </c>
      <c r="IF116" s="1">
        <f t="shared" si="3"/>
        <v>7</v>
      </c>
      <c r="IG116" s="1">
        <f t="shared" si="3"/>
        <v>7</v>
      </c>
      <c r="IH116" s="1">
        <f t="shared" si="3"/>
        <v>12</v>
      </c>
      <c r="II116" s="1">
        <f t="shared" si="3"/>
        <v>0</v>
      </c>
      <c r="IJ116" s="1">
        <f t="shared" si="3"/>
        <v>11</v>
      </c>
      <c r="IK116" s="1">
        <f t="shared" si="3"/>
        <v>0</v>
      </c>
      <c r="IL116" s="1">
        <f t="shared" si="3"/>
        <v>12</v>
      </c>
      <c r="IM116" s="1">
        <f t="shared" si="3"/>
        <v>0</v>
      </c>
      <c r="IN116" s="1">
        <f t="shared" si="3"/>
        <v>13</v>
      </c>
      <c r="IO116" s="1">
        <f t="shared" si="3"/>
        <v>0</v>
      </c>
      <c r="IP116" s="1">
        <f t="shared" si="3"/>
        <v>13</v>
      </c>
      <c r="IQ116" s="1">
        <f t="shared" si="3"/>
        <v>0</v>
      </c>
      <c r="IR116" s="1">
        <f t="shared" si="3"/>
        <v>13</v>
      </c>
      <c r="IS116" s="1">
        <f t="shared" si="3"/>
        <v>13</v>
      </c>
      <c r="IT116" s="1">
        <f t="shared" si="3"/>
        <v>5</v>
      </c>
      <c r="IU116" s="1">
        <f t="shared" si="3"/>
        <v>5</v>
      </c>
      <c r="IV116" s="1">
        <f t="shared" si="3"/>
        <v>14</v>
      </c>
      <c r="IW116" s="1">
        <f t="shared" si="3"/>
        <v>0</v>
      </c>
      <c r="IX116" s="1">
        <f t="shared" si="3"/>
        <v>14</v>
      </c>
      <c r="IY116" s="1">
        <f t="shared" si="3"/>
        <v>0</v>
      </c>
      <c r="IZ116" s="1">
        <f t="shared" si="3"/>
        <v>13</v>
      </c>
      <c r="JA116" s="1">
        <f t="shared" si="3"/>
        <v>0</v>
      </c>
      <c r="JB116" s="1">
        <f t="shared" si="3"/>
        <v>14</v>
      </c>
      <c r="JC116" s="1">
        <f t="shared" si="3"/>
        <v>0</v>
      </c>
      <c r="JD116" s="1">
        <f t="shared" si="3"/>
        <v>13</v>
      </c>
      <c r="JE116" s="1">
        <f t="shared" ref="JE116:LP116" si="4">COUNT(JE4:JE113)</f>
        <v>0</v>
      </c>
      <c r="JF116" s="1">
        <f t="shared" si="4"/>
        <v>16</v>
      </c>
      <c r="JG116" s="1">
        <f t="shared" si="4"/>
        <v>0</v>
      </c>
      <c r="JH116" s="1">
        <f t="shared" si="4"/>
        <v>16</v>
      </c>
      <c r="JI116" s="1">
        <f t="shared" si="4"/>
        <v>0</v>
      </c>
      <c r="JJ116" s="1">
        <f t="shared" si="4"/>
        <v>16</v>
      </c>
      <c r="JK116" s="1">
        <f t="shared" si="4"/>
        <v>0</v>
      </c>
      <c r="JL116" s="1">
        <f t="shared" si="4"/>
        <v>16</v>
      </c>
      <c r="JM116" s="1">
        <f t="shared" si="4"/>
        <v>0</v>
      </c>
      <c r="JN116" s="1">
        <f t="shared" si="4"/>
        <v>16</v>
      </c>
      <c r="JO116" s="1">
        <f t="shared" si="4"/>
        <v>0</v>
      </c>
      <c r="JP116" s="1">
        <f t="shared" si="4"/>
        <v>16</v>
      </c>
      <c r="JQ116" s="1">
        <f t="shared" si="4"/>
        <v>0</v>
      </c>
      <c r="JR116" s="1">
        <f t="shared" si="4"/>
        <v>16</v>
      </c>
      <c r="JS116" s="1">
        <f t="shared" si="4"/>
        <v>0</v>
      </c>
      <c r="JT116" s="1">
        <f t="shared" si="4"/>
        <v>16</v>
      </c>
      <c r="JU116" s="1">
        <f t="shared" si="4"/>
        <v>0</v>
      </c>
      <c r="JV116" s="1">
        <f t="shared" si="4"/>
        <v>16</v>
      </c>
      <c r="JW116" s="1">
        <f t="shared" si="4"/>
        <v>0</v>
      </c>
      <c r="JX116" s="1">
        <f t="shared" si="4"/>
        <v>32</v>
      </c>
      <c r="JY116" s="1">
        <f t="shared" si="4"/>
        <v>32</v>
      </c>
      <c r="JZ116" s="1">
        <f t="shared" si="4"/>
        <v>32</v>
      </c>
      <c r="KA116" s="1">
        <f t="shared" si="4"/>
        <v>32</v>
      </c>
      <c r="KB116" s="1">
        <f t="shared" si="4"/>
        <v>32</v>
      </c>
      <c r="KC116" s="1">
        <f t="shared" si="4"/>
        <v>32</v>
      </c>
      <c r="KD116" s="1">
        <f t="shared" si="4"/>
        <v>32</v>
      </c>
      <c r="KE116" s="1">
        <f t="shared" si="4"/>
        <v>32</v>
      </c>
      <c r="KF116" s="1">
        <f t="shared" si="4"/>
        <v>32</v>
      </c>
      <c r="KG116" s="1">
        <f t="shared" si="4"/>
        <v>32</v>
      </c>
      <c r="KH116" s="1">
        <f t="shared" si="4"/>
        <v>15</v>
      </c>
      <c r="KI116" s="1">
        <f t="shared" si="4"/>
        <v>15</v>
      </c>
      <c r="KJ116" s="1">
        <f t="shared" si="4"/>
        <v>15</v>
      </c>
      <c r="KK116" s="1">
        <f t="shared" si="4"/>
        <v>15</v>
      </c>
      <c r="KL116" s="1">
        <f t="shared" si="4"/>
        <v>15</v>
      </c>
      <c r="KM116" s="1">
        <f t="shared" si="4"/>
        <v>15</v>
      </c>
      <c r="KN116" s="1">
        <f t="shared" si="4"/>
        <v>15</v>
      </c>
      <c r="KO116" s="1">
        <f t="shared" si="4"/>
        <v>15</v>
      </c>
      <c r="KP116" s="1">
        <f t="shared" si="4"/>
        <v>15</v>
      </c>
      <c r="KQ116" s="1">
        <f t="shared" si="4"/>
        <v>15</v>
      </c>
      <c r="KR116" s="1">
        <f t="shared" si="4"/>
        <v>11</v>
      </c>
      <c r="KS116" s="1">
        <f t="shared" si="4"/>
        <v>11</v>
      </c>
      <c r="KT116" s="1">
        <f t="shared" si="4"/>
        <v>10</v>
      </c>
      <c r="KU116" s="1">
        <f t="shared" si="4"/>
        <v>10</v>
      </c>
      <c r="KV116" s="1">
        <f t="shared" si="4"/>
        <v>22</v>
      </c>
      <c r="KW116" s="1">
        <f t="shared" si="4"/>
        <v>22</v>
      </c>
      <c r="KX116" s="1">
        <f t="shared" si="4"/>
        <v>22</v>
      </c>
      <c r="KY116" s="1">
        <f t="shared" si="4"/>
        <v>22</v>
      </c>
      <c r="KZ116" s="1">
        <f t="shared" si="4"/>
        <v>22</v>
      </c>
      <c r="LA116" s="1">
        <f t="shared" si="4"/>
        <v>22</v>
      </c>
      <c r="LB116" s="1">
        <f t="shared" si="4"/>
        <v>17</v>
      </c>
      <c r="LC116" s="1">
        <f t="shared" si="4"/>
        <v>17</v>
      </c>
      <c r="LD116" s="1">
        <f t="shared" si="4"/>
        <v>20</v>
      </c>
      <c r="LE116" s="1">
        <f t="shared" si="4"/>
        <v>20</v>
      </c>
      <c r="LF116" s="1">
        <f t="shared" si="4"/>
        <v>20</v>
      </c>
      <c r="LG116" s="1">
        <f t="shared" si="4"/>
        <v>20</v>
      </c>
      <c r="LH116" s="1">
        <f t="shared" si="4"/>
        <v>20</v>
      </c>
      <c r="LI116" s="1">
        <f t="shared" si="4"/>
        <v>20</v>
      </c>
      <c r="LJ116" s="1">
        <f t="shared" si="4"/>
        <v>17</v>
      </c>
      <c r="LK116" s="1">
        <f t="shared" si="4"/>
        <v>0</v>
      </c>
      <c r="LL116" s="1">
        <f t="shared" si="4"/>
        <v>15</v>
      </c>
      <c r="LM116" s="1">
        <f t="shared" si="4"/>
        <v>15</v>
      </c>
      <c r="LN116" s="1">
        <f t="shared" si="4"/>
        <v>16</v>
      </c>
      <c r="LO116" s="1">
        <f t="shared" si="4"/>
        <v>0</v>
      </c>
      <c r="LP116" s="1">
        <f t="shared" si="4"/>
        <v>18</v>
      </c>
      <c r="LQ116" s="1">
        <f t="shared" ref="LQ116:NU116" si="5">COUNT(LQ4:LQ113)</f>
        <v>0</v>
      </c>
      <c r="LR116" s="1">
        <f t="shared" si="5"/>
        <v>14</v>
      </c>
      <c r="LS116" s="1">
        <f t="shared" si="5"/>
        <v>0</v>
      </c>
      <c r="LT116" s="1">
        <f t="shared" si="5"/>
        <v>14</v>
      </c>
      <c r="LU116" s="1">
        <f t="shared" si="5"/>
        <v>0</v>
      </c>
      <c r="LV116" s="1">
        <f t="shared" si="5"/>
        <v>17</v>
      </c>
      <c r="LW116" s="1">
        <f t="shared" si="5"/>
        <v>0</v>
      </c>
      <c r="LX116" s="1">
        <f t="shared" si="5"/>
        <v>17</v>
      </c>
      <c r="LY116" s="1">
        <f t="shared" si="5"/>
        <v>0</v>
      </c>
      <c r="LZ116" s="1">
        <f t="shared" si="5"/>
        <v>17</v>
      </c>
      <c r="MA116" s="1">
        <f t="shared" si="5"/>
        <v>0</v>
      </c>
      <c r="MB116" s="1">
        <f t="shared" si="5"/>
        <v>17</v>
      </c>
      <c r="MC116" s="1">
        <f t="shared" si="5"/>
        <v>0</v>
      </c>
      <c r="MD116" s="1">
        <f t="shared" si="5"/>
        <v>26</v>
      </c>
      <c r="ME116" s="1">
        <f t="shared" si="5"/>
        <v>0</v>
      </c>
      <c r="MF116" s="1">
        <f t="shared" si="5"/>
        <v>25</v>
      </c>
      <c r="MG116" s="1">
        <f t="shared" si="5"/>
        <v>0</v>
      </c>
      <c r="MH116" s="1">
        <f t="shared" si="5"/>
        <v>26</v>
      </c>
      <c r="MI116" s="1">
        <f t="shared" si="5"/>
        <v>0</v>
      </c>
      <c r="MJ116" s="1">
        <f t="shared" si="5"/>
        <v>27</v>
      </c>
      <c r="MK116" s="1">
        <f t="shared" si="5"/>
        <v>0</v>
      </c>
      <c r="ML116" s="1">
        <f t="shared" si="5"/>
        <v>26</v>
      </c>
      <c r="MM116" s="1">
        <f t="shared" si="5"/>
        <v>0</v>
      </c>
      <c r="MN116" s="1">
        <f t="shared" si="5"/>
        <v>26</v>
      </c>
      <c r="MO116" s="1">
        <f t="shared" si="5"/>
        <v>0</v>
      </c>
      <c r="MP116" s="1">
        <f t="shared" si="5"/>
        <v>26</v>
      </c>
      <c r="MQ116" s="1">
        <f t="shared" si="5"/>
        <v>0</v>
      </c>
      <c r="MR116" s="1">
        <f t="shared" si="5"/>
        <v>27</v>
      </c>
      <c r="MS116" s="1">
        <f t="shared" si="5"/>
        <v>0</v>
      </c>
      <c r="MT116" s="1">
        <f t="shared" si="5"/>
        <v>27</v>
      </c>
      <c r="MU116" s="1">
        <f t="shared" si="5"/>
        <v>0</v>
      </c>
      <c r="MV116" s="1">
        <f t="shared" si="5"/>
        <v>27</v>
      </c>
      <c r="MW116" s="1">
        <f t="shared" si="5"/>
        <v>0</v>
      </c>
      <c r="MX116" s="1">
        <f t="shared" si="5"/>
        <v>27</v>
      </c>
      <c r="MY116" s="1">
        <f t="shared" si="5"/>
        <v>0</v>
      </c>
      <c r="MZ116" s="1">
        <f t="shared" si="5"/>
        <v>27</v>
      </c>
      <c r="NA116" s="1">
        <f t="shared" si="5"/>
        <v>0</v>
      </c>
      <c r="NB116" s="1">
        <f t="shared" si="5"/>
        <v>14</v>
      </c>
      <c r="NC116" s="1">
        <f t="shared" si="5"/>
        <v>0</v>
      </c>
      <c r="ND116" s="1">
        <f t="shared" si="5"/>
        <v>18</v>
      </c>
      <c r="NE116" s="1">
        <f t="shared" si="5"/>
        <v>0</v>
      </c>
      <c r="NF116" s="1">
        <f t="shared" si="5"/>
        <v>19</v>
      </c>
      <c r="NG116" s="1">
        <f t="shared" si="5"/>
        <v>0</v>
      </c>
      <c r="NH116" s="1">
        <f t="shared" si="5"/>
        <v>17</v>
      </c>
      <c r="NI116" s="1">
        <f t="shared" si="5"/>
        <v>0</v>
      </c>
      <c r="NJ116" s="1">
        <f t="shared" si="5"/>
        <v>18</v>
      </c>
      <c r="NK116" s="1">
        <f t="shared" si="5"/>
        <v>0</v>
      </c>
      <c r="NL116" s="1">
        <f t="shared" si="5"/>
        <v>14</v>
      </c>
      <c r="NM116" s="1">
        <f t="shared" si="5"/>
        <v>0</v>
      </c>
      <c r="NN116" s="1">
        <f t="shared" si="5"/>
        <v>17</v>
      </c>
      <c r="NO116" s="1">
        <f t="shared" si="5"/>
        <v>0</v>
      </c>
      <c r="NP116" s="1">
        <f t="shared" si="5"/>
        <v>19</v>
      </c>
      <c r="NQ116" s="1">
        <f t="shared" si="5"/>
        <v>19</v>
      </c>
      <c r="NR116" s="1">
        <f t="shared" si="5"/>
        <v>15</v>
      </c>
      <c r="NS116" s="1">
        <f t="shared" si="5"/>
        <v>15</v>
      </c>
      <c r="NT116" s="1">
        <f t="shared" si="5"/>
        <v>26</v>
      </c>
      <c r="NU116" s="1">
        <f t="shared" si="5"/>
        <v>26</v>
      </c>
    </row>
    <row r="117" spans="1:385" x14ac:dyDescent="0.2">
      <c r="JX117" s="20"/>
      <c r="JY117" s="20"/>
    </row>
  </sheetData>
  <mergeCells count="106">
    <mergeCell ref="GV1:GW1"/>
    <mergeCell ref="GV2:GW2"/>
    <mergeCell ref="LB2:LC2"/>
    <mergeCell ref="JF2:JU2"/>
    <mergeCell ref="JV2:JW2"/>
    <mergeCell ref="IX2:JE2"/>
    <mergeCell ref="FT2:GQ2"/>
    <mergeCell ref="GR2:GU2"/>
    <mergeCell ref="GX2:GY2"/>
    <mergeCell ref="GZ2:IC2"/>
    <mergeCell ref="ID2:IG2"/>
    <mergeCell ref="IH2:IQ2"/>
    <mergeCell ref="IR2:IS2"/>
    <mergeCell ref="IT2:IU2"/>
    <mergeCell ref="IV2:IW2"/>
    <mergeCell ref="JX2:KA2"/>
    <mergeCell ref="KB2:KC2"/>
    <mergeCell ref="KD2:KG2"/>
    <mergeCell ref="KH2:KK2"/>
    <mergeCell ref="KL2:KM2"/>
    <mergeCell ref="KN2:KO2"/>
    <mergeCell ref="KP2:KQ2"/>
    <mergeCell ref="KR2:KU2"/>
    <mergeCell ref="KV2:LA2"/>
    <mergeCell ref="AF1:BQ1"/>
    <mergeCell ref="AF2:AK2"/>
    <mergeCell ref="AP2:AQ2"/>
    <mergeCell ref="AR2:AS2"/>
    <mergeCell ref="BL2:BM2"/>
    <mergeCell ref="AX2:AY2"/>
    <mergeCell ref="AZ2:BC2"/>
    <mergeCell ref="BD2:BE2"/>
    <mergeCell ref="BF2:BK2"/>
    <mergeCell ref="AL2:AO2"/>
    <mergeCell ref="A1:A3"/>
    <mergeCell ref="E1:E3"/>
    <mergeCell ref="F1:I1"/>
    <mergeCell ref="J1:O1"/>
    <mergeCell ref="P1:AE1"/>
    <mergeCell ref="C1:C3"/>
    <mergeCell ref="B1:B3"/>
    <mergeCell ref="D1:D3"/>
    <mergeCell ref="GX1:GY1"/>
    <mergeCell ref="BR1:BY1"/>
    <mergeCell ref="BZ1:CK1"/>
    <mergeCell ref="CL1:CW1"/>
    <mergeCell ref="CX1:DG1"/>
    <mergeCell ref="DN1:DS1"/>
    <mergeCell ref="DT1:EG1"/>
    <mergeCell ref="EH1:EM1"/>
    <mergeCell ref="EN1:EQ1"/>
    <mergeCell ref="ER1:GQ1"/>
    <mergeCell ref="GR1:GU1"/>
    <mergeCell ref="DH1:DM1"/>
    <mergeCell ref="DN2:DS2"/>
    <mergeCell ref="DT2:EG2"/>
    <mergeCell ref="EN2:EQ2"/>
    <mergeCell ref="ER2:FS2"/>
    <mergeCell ref="LV1:MC1"/>
    <mergeCell ref="GZ1:IS1"/>
    <mergeCell ref="IT1:IW1"/>
    <mergeCell ref="IX1:JW1"/>
    <mergeCell ref="JX1:KA1"/>
    <mergeCell ref="KB1:KC1"/>
    <mergeCell ref="KD1:KG1"/>
    <mergeCell ref="MD1:NO1"/>
    <mergeCell ref="NP1:NQ1"/>
    <mergeCell ref="NR1:NU1"/>
    <mergeCell ref="F2:I2"/>
    <mergeCell ref="J2:O2"/>
    <mergeCell ref="P2:Q2"/>
    <mergeCell ref="R2:S2"/>
    <mergeCell ref="T2:W2"/>
    <mergeCell ref="X2:AA2"/>
    <mergeCell ref="AB2:AE2"/>
    <mergeCell ref="KH1:KK1"/>
    <mergeCell ref="KL1:KM1"/>
    <mergeCell ref="KN1:KO1"/>
    <mergeCell ref="KP1:KQ1"/>
    <mergeCell ref="KR1:LU1"/>
    <mergeCell ref="AT2:AW2"/>
    <mergeCell ref="EH2:EM2"/>
    <mergeCell ref="BN2:BQ2"/>
    <mergeCell ref="BR2:BS2"/>
    <mergeCell ref="BT2:BY2"/>
    <mergeCell ref="BZ2:CI2"/>
    <mergeCell ref="CJ2:CK2"/>
    <mergeCell ref="CL2:CW2"/>
    <mergeCell ref="CX2:DC2"/>
    <mergeCell ref="DD2:DG2"/>
    <mergeCell ref="DH2:DM2"/>
    <mergeCell ref="NP2:NQ2"/>
    <mergeCell ref="NR2:NU2"/>
    <mergeCell ref="LV2:MC2"/>
    <mergeCell ref="MD2:NA2"/>
    <mergeCell ref="NB2:NM2"/>
    <mergeCell ref="NN2:NO2"/>
    <mergeCell ref="LF2:LG2"/>
    <mergeCell ref="LD2:LE2"/>
    <mergeCell ref="LH2:LI2"/>
    <mergeCell ref="LJ2:LK2"/>
    <mergeCell ref="LL2:LM2"/>
    <mergeCell ref="LN2:LO2"/>
    <mergeCell ref="LP2:LQ2"/>
    <mergeCell ref="LR2:LS2"/>
    <mergeCell ref="LT2:LU2"/>
  </mergeCells>
  <phoneticPr fontId="4" type="noConversion"/>
  <hyperlinks>
    <hyperlink ref="F3" location="'Meteorites Info'!A5" display="Imilac metal" xr:uid="{3A894E3F-5EB5-3C4E-A4A6-25F8A9A8C16A}"/>
    <hyperlink ref="H3" location="'Meteorites Info'!A6" display="Imilac silicate" xr:uid="{2E0A882B-1FFB-344D-B3A3-207C1D42BFF7}"/>
    <hyperlink ref="J3" location="'Meteorites Info'!A3" display="Canyon Diablo" xr:uid="{C6009A20-3A61-3942-A3A1-412E28516B57}"/>
    <hyperlink ref="L3" location="'Meteorites Info'!A4" display="Cape York" xr:uid="{E25804A3-2D64-2C49-9E5F-246280B9BCDC}"/>
    <hyperlink ref="N3" location="'Meteorites Info'!A2" display="Campo del Cielo" xr:uid="{7F8130EF-2F73-7542-A428-0CCAE1E0E8DD}"/>
    <hyperlink ref="P3" location="'Meteorites Info'!A8" display="GRO 95577" xr:uid="{031EF009-AFEC-874B-83A1-AAC38D2D91EE}"/>
    <hyperlink ref="R3" location="'Meteorites Info'!A7" display="GRO 95577" xr:uid="{B3C983E1-83DA-9242-A182-0A1CD81EEF9F}"/>
    <hyperlink ref="T3" location="'Meteorites Info'!A9" display="MIL 09001" xr:uid="{831B4A99-5F2C-5946-B92F-54252CF20C3E}"/>
    <hyperlink ref="V3" location="'Meteorites Info'!A10" display="MIL 090657" xr:uid="{3E6C512D-AE00-754E-BBD0-B853D773DED7}"/>
    <hyperlink ref="X3" location="'Meteorites Info'!A11" display="GRA 95229" xr:uid="{3BCDC5A5-1A0B-F548-AF40-2D22D789FB9A}"/>
    <hyperlink ref="Z3" location="'Meteorites Info'!A12" display="EET 92042" xr:uid="{0D7E43FD-590E-794C-A72F-E341A2D9C618}"/>
    <hyperlink ref="AB3" location="'Meteorites Info'!A13" display="EET 92042" xr:uid="{AA59535B-0C4A-F846-9894-46E9628110AF}"/>
    <hyperlink ref="AD3" location="'Meteorites Info'!A14" display="QUE 99177" xr:uid="{5BD4C6A2-06BF-B344-A70A-A9061F631399}"/>
    <hyperlink ref="AF3" location="'Meteorites Info'!A15" display="MET 01070" xr:uid="{A1AA5423-1BED-8840-81A2-9237D2100676}"/>
    <hyperlink ref="AH3" location="'Meteorites Info'!A16" display="SCO 06043" xr:uid="{410D9D4E-AC8B-DE44-87AE-86115984E2EB}"/>
    <hyperlink ref="AJ3" location="'Meteorites Info'!A17" display="Murchison USNM 5453" xr:uid="{CE6EEB49-0D93-A64A-BBF0-7B6827FBE263}"/>
    <hyperlink ref="AN3" location="'Meteorites Info'!A19" display="Murchison CFM 2" xr:uid="{72C661AC-7A2C-5847-99AB-F37B7CE5DBA4}"/>
    <hyperlink ref="AP3" location="'Meteorites Info'!A20" display="Murchison 5453" xr:uid="{2F4C4117-0F13-C641-9E47-281491E88C04}"/>
    <hyperlink ref="AR3" location="'Meteorites Info'!A21" display="Murchison" xr:uid="{C979DF12-916F-3D4C-988E-684673EF7803}"/>
    <hyperlink ref="AT3" location="'Meteorites Info'!A22" display="Murchison USNM 6650" xr:uid="{B1ADC063-F7D5-C94C-937C-3F9CEF62D633}"/>
    <hyperlink ref="AV3" location="'Meteorites Info'!A23" display="LEW 90500" xr:uid="{86AF6B42-5417-2345-B09D-3C1B4C511FDA}"/>
    <hyperlink ref="AX3" location="'Meteorites Info'!A24" display="LON 94102" xr:uid="{D476AD6B-ACA5-FA4D-A9AB-2212B7656382}"/>
    <hyperlink ref="AZ3" location="'Meteorites Info'!A33" display="Asuka 12236" xr:uid="{18DC8E7D-E2E7-D24F-91F6-82485324B412}"/>
    <hyperlink ref="BB3" location="'Meteorites Info'!A27" display="EET 96029" xr:uid="{EE95604B-3BD8-C44E-971B-5F1A93AA7D78}"/>
    <hyperlink ref="BD3" location="'Meteorites Info'!A28" display="Bells" xr:uid="{86B98F8D-4025-0546-A615-7936C1C9FC11}"/>
    <hyperlink ref="BF3" location="'Meteorites Info'!A29" display="Sutter's Hill 2" xr:uid="{3E857B91-E1EC-AC40-9AF8-607BEF3354F7}"/>
    <hyperlink ref="BH3" location="'Meteorites Info'!A30" display="Sutter's Hill 12" xr:uid="{1892D724-3B51-EB44-8114-B916F8E356AA}"/>
    <hyperlink ref="BJ3" location="'Meteorites Info'!A31" display="Sutter's Hill 51" xr:uid="{E4058D68-8178-0847-91D5-4E388F050F94}"/>
    <hyperlink ref="BL3" location="'Meteorites Info'!A32" display="Paris" xr:uid="{29EC0D7E-9005-F84D-8B9D-A16D722A5581}"/>
    <hyperlink ref="BN3" location="'Meteorites Info'!A25" display="Aguas Zarcas UA 2741" xr:uid="{DE6881CE-CE7B-A54B-9215-D664DF9189E2}"/>
    <hyperlink ref="BP3" location="'Meteorites Info'!A26" display="Aguas Zarcas UA 2746" xr:uid="{CE5D4E79-6804-5249-8741-A6FBC3560974}"/>
    <hyperlink ref="AL3" location="'Meteorites Info'!A18" display="Murchison CFM 1" xr:uid="{C803276A-DFB4-AE4D-8273-67DC8D564D7B}"/>
    <hyperlink ref="BR3" location="'Meteorites Info'!A34" display="Orgueil " xr:uid="{C44E9368-055E-8B4E-A864-B7CE331D2F84}"/>
    <hyperlink ref="BT3" location="'Meteorites Info'!A35" display="Ivuna" xr:uid="{766A3AB0-2DD0-1444-A27A-274D7C6495B7}"/>
    <hyperlink ref="BV3" location="'Meteorites Info'!A36" display="Y-86029" xr:uid="{EA92DF28-5BC2-B04C-BAE3-25BF1EDA44FC}"/>
    <hyperlink ref="BX3" location="'Meteorites Info'!A37" display="Y-980115" xr:uid="{78E583CC-063B-604D-99A2-E68EE2B004C0}"/>
    <hyperlink ref="BZ3" location="'Meteorites Info'!A38" display="ALHA 77257" xr:uid="{228EE3E2-FF4C-C44D-A6C9-35C45F32E583}"/>
    <hyperlink ref="CB3" location="'Meteorites Info'!A39" display="EET 83309" xr:uid="{55CB5996-4CB3-924A-AD50-1E762B060FBE}"/>
    <hyperlink ref="CD3" location="'Meteorites Info'!A40" display="LEW 85328" xr:uid="{7E658A92-F09C-1A4D-B338-EC0D3E4791A2}"/>
    <hyperlink ref="CF3" location="'Meteorites Info'!A41" display="GRA 95205" xr:uid="{E5A5D4AA-6AF9-B54D-9F46-7223986A3F8D}"/>
    <hyperlink ref="CH3" location="'Meteorites Info'!A42" display="LAR 04315" xr:uid="{CEDE8619-408E-C84F-8A14-F99DA377AD77}"/>
    <hyperlink ref="CJ3" location="'Meteorites Info'!A43" display="Almahata Sitta" xr:uid="{F50F1827-7BE1-4448-9F21-FB03F7ED86F8}"/>
    <hyperlink ref="CL3" location="'Meteorites Info'!A44" display="ALH 84028" xr:uid="{025C98FE-C7BB-894C-8190-9298EFD0B529}"/>
    <hyperlink ref="CN3" location="'Meteorites Info'!A45" display="EET 96026" xr:uid="{B22BCE3E-8653-084E-8312-FB33DCCAB5D7}"/>
    <hyperlink ref="CP3" location="'Meteorites Info'!A46" display="LAP 02206" xr:uid="{C7E2FD26-199D-944E-803B-EE9418A7802D}"/>
    <hyperlink ref="CR3" location="'Meteorites Info'!A48" display="LAR 06317" xr:uid="{A5A1EF01-22C0-FE4D-88DD-6E2679377736}"/>
    <hyperlink ref="CT3" location="'Meteorites Info'!A47" display="GRA 06101" xr:uid="{F97EE392-2726-5F4F-9627-EBFB2D1B3812}"/>
    <hyperlink ref="CV3" location="'Meteorites Info'!A49" display="Allende" xr:uid="{E45FEB79-2A3A-4A4B-B26B-A907DBDCAF97}"/>
    <hyperlink ref="CX3" location="'Meteorites Info'!A50" display="ALHA 77307" xr:uid="{9809AB44-1847-AB4D-BC5D-A77C3B724B4C}"/>
    <hyperlink ref="CZ3" location="'Meteorites Info'!A51" display="MIL 05013" xr:uid="{DDA6897A-1913-244A-96BE-A32411117085}"/>
    <hyperlink ref="DB3" location="'Meteorites Info'!A52" display="DOM 08006" xr:uid="{B3F91483-C466-2843-B7EF-5A7112E94476}"/>
    <hyperlink ref="DD3" location="'Meteorites Info'!A53" display="Colony" xr:uid="{5463C9C3-468B-A644-B1DA-4E79AA660CAD}"/>
    <hyperlink ref="DF3" location="'Meteorites Info'!A54" display="Ornans" xr:uid="{E26ADFA0-E53B-3E48-90D0-5229EDFF817F}"/>
    <hyperlink ref="DH3" location="'Meteorites Info'!A55" display="ALH 85085" xr:uid="{2B5CFF9B-C5FD-3F4B-8426-2B3F29704E4F}"/>
    <hyperlink ref="DJ3" location="'Meteorites Info'!A56" display="PCA 91467" xr:uid="{F9A1C5D7-5229-A34A-B376-441C1B99B0BD}"/>
    <hyperlink ref="DL3" location="'Meteorites Info'!A57" display="PAT 91546" xr:uid="{AFE72FBF-551F-DE48-9EE9-2F46DFB4B6BB}"/>
    <hyperlink ref="DN3" location="'Meteorites Info'!A58" display="MAC 02675" xr:uid="{7C2698F5-7ABA-244E-A68F-55C0E70C35D2}"/>
    <hyperlink ref="DP3" location="'Meteorites Info'!A59" display="MIL 05082" xr:uid="{DB1DB307-76C4-614A-9C2F-8FEBFBD2C6C1}"/>
    <hyperlink ref="DR3" location="'Meteorites Info'!A60" display="MIL 07411" xr:uid="{0B62B68F-2744-714A-8382-1152308C29E1}"/>
    <hyperlink ref="DT3" location="'Meteorites Info'!A61" display="NWA 5956" xr:uid="{34C00C40-A45D-D546-83B1-CF14590466FE}"/>
    <hyperlink ref="DZ3" location="'Meteorites Info'!A62" display="PCA 82500" xr:uid="{3D9B8F77-360A-B644-B1CD-72644D469807}"/>
    <hyperlink ref="DV3" location="'Meteorites Info'!A63" display="LAR 04318" xr:uid="{981C4561-3FBB-7448-B5DE-330E5FAAC73B}"/>
    <hyperlink ref="DX3" location="'Meteorites Info'!A64" display="ALH 85002" xr:uid="{3F44F668-BF0F-BF47-A710-2BE982A239B3}"/>
    <hyperlink ref="EB3" location="'Meteorites Info'!A65" display="EET 92002" xr:uid="{9BA7F15E-5858-A24A-A631-10FF4A60EF16}"/>
    <hyperlink ref="ED3" location="'Meteorites Info'!A66" display="LEW 87009" xr:uid="{CEBB4BC5-CC60-0346-90C6-E1DA29A61613}"/>
    <hyperlink ref="EF3" location="'Meteorites Info'!A67" display="LAR 06872" xr:uid="{B7424031-DABA-5442-AC6F-530C3EFAAFE9}"/>
    <hyperlink ref="EH3" location="'Meteorites Info'!A68" display="DOM 14021" xr:uid="{2989DA7E-7114-454E-819B-51238A0B66AE}"/>
    <hyperlink ref="EJ3" location="'Meteorites Info'!A69" display="LAR 12001" xr:uid="{33B6EB24-DA7B-C546-BDBA-08F35E1267A1}"/>
    <hyperlink ref="EL3" location="'Meteorites Info'!A70" display="LAR 06252" xr:uid="{DD179661-96B6-DF46-AF92-6D042A8CBC07}"/>
    <hyperlink ref="EN3" location="'Meteorites Info'!A71" display="Chainpur" xr:uid="{01E2E248-7925-EB4D-BE35-71EA7B81C67D}"/>
    <hyperlink ref="EP3" location="'Meteorites Info'!A72" display="Bishunpur" xr:uid="{54067047-6728-2548-8B0F-F2BC6AE11C6D}"/>
    <hyperlink ref="ER3" location="'Meteorites Info'!A73" display="Apollo 70011" xr:uid="{3FCFD173-89D9-1944-9693-3DC66DF6B0EE}"/>
    <hyperlink ref="ET3" location="'Meteorites Info'!A74" display="Apollo 72501" xr:uid="{D4573078-D762-1E4C-8C2A-9E404D80A13D}"/>
    <hyperlink ref="EV3" location="'Meteorites Info'!A75" display="Apollo 73131" xr:uid="{8EA26EAA-BBA6-0B45-AC78-C56F27DC3625}"/>
    <hyperlink ref="EX3" location="'Meteorites Info'!A76" display="Apollo 73241" xr:uid="{359B25D6-F266-A145-8741-AA232A61B3DC}"/>
    <hyperlink ref="EZ3" location="'Meteorites Info'!A77" display="Apollo 78421" xr:uid="{71185902-302A-D141-89D9-9B05140D9F85}"/>
    <hyperlink ref="FB3" location="'Meteorites Info'!A78" display="Apollo 69961" xr:uid="{283C9B8D-3A73-4B41-9424-F0B817D8EB33}"/>
    <hyperlink ref="FD3" location="'Meteorites Info'!A79" display="Apollo 78501" xr:uid="{03DC782D-04FB-5847-9C1D-3B41D344DD0C}"/>
    <hyperlink ref="FJ3" location="'Meteorites Info'!A80" display="Apollo 61221" xr:uid="{6B7F1325-58D6-984F-AB79-744B5FB46606}"/>
    <hyperlink ref="FR3" location="'Meteorites Info'!A81" display="Apollo 78501 b" xr:uid="{FD1ED0BB-2C51-1B42-9F9C-674F30272F58}"/>
    <hyperlink ref="FN3" location="'Meteorites Info'!A82" display="Apollo 73141" xr:uid="{3A47C285-C5AA-5D4B-8C1B-DE7FEF140535}"/>
    <hyperlink ref="FP3" location="'Meteorites Info'!A83" display="Apollo 76501" xr:uid="{115A6872-93E6-E249-BB6C-B905F59DA774}"/>
    <hyperlink ref="FH3" location="'Meteorites Info'!A84" display="Apollo 15271" xr:uid="{A805E504-8F1F-2843-A802-D4E1B1F91AB8}"/>
    <hyperlink ref="FF3" location="'Meteorites Info'!A85" display="Apollo 15261" xr:uid="{0F6C86DB-12E1-F341-94B4-055937CD226D}"/>
    <hyperlink ref="FL3" location="'Meteorites Info'!A86" display="Apollo 69961" xr:uid="{8EB0A505-5F3C-9B4F-A33E-42563BF642F5}"/>
    <hyperlink ref="FT3" location="'Meteorites Info'!A87" display="Apollo 73002, 2009" xr:uid="{44A6DAEE-26A4-874B-97E2-498A54EEF77B}"/>
    <hyperlink ref="FV3" location="'Meteorites Info'!A88" display="Apollo 73002, 2027" xr:uid="{B35E286F-B0AD-6843-A4FD-55D2C56BFBB0}"/>
    <hyperlink ref="FX3" location="'Meteorites Info'!A89" display="Apollo 73002, 1" xr:uid="{2E90F7F9-FB8D-A143-A5D0-F526E651293A}"/>
    <hyperlink ref="FZ3" location="'Meteorites Info'!A90" display="Apollo 73001, 2002" xr:uid="{FBBD0D0F-6179-9447-8664-BDEBC00FA216}"/>
    <hyperlink ref="GB3" location="'Meteorites Info'!A91" display="Apollo 73001, 2033" xr:uid="{6B11A978-2EA0-8F4B-8727-715A6B605887}"/>
    <hyperlink ref="GD3" location="'Meteorites Info'!A92" display="Apollo 73001, 2070" xr:uid="{BC8DF34E-B8E7-F645-8519-E7C3DBD2D310}"/>
    <hyperlink ref="GF3" location="'Meteorites Info'!A93" display="Apollo 70180, 10" xr:uid="{E39D14E4-9ECA-0541-8F6A-36873DD77522}"/>
    <hyperlink ref="GH3" location="'Meteorites Info'!A94" display="Apollo 72320, 9" xr:uid="{4E67ECDA-A685-C643-872F-19BB05B087AF}"/>
    <hyperlink ref="GJ3" location="'Meteorites Info'!A95" display="Apollo 76240, 52" xr:uid="{8FAE7D0E-BE01-3F4B-A72F-64EC52447875}"/>
    <hyperlink ref="GL3" location="'Meteorites Info'!A96" display="Apollo 70181, 196" xr:uid="{AC7F8B9E-A0B4-4742-8EC5-553860679204}"/>
    <hyperlink ref="GN3" location="'Meteorites Info'!A97" display="Apollo 72321, 42" xr:uid="{ABEC7D5E-0793-584E-9E36-681E7162946A}"/>
    <hyperlink ref="GP3" location="'Meteorites Info'!A98" display="Apollo 76240" xr:uid="{E4A9FDA9-E551-EB4D-B469-2968B2A93B70}"/>
    <hyperlink ref="GR3" location="'Meteorites Info'!A99" display="A0106" xr:uid="{EE5623E5-4C66-8F4D-9782-CC5D4400A8B7}"/>
    <hyperlink ref="GT3" location="'Meteorites Info'!A100" display="C0107" xr:uid="{BFD64369-1230-CB46-BAEC-AD005DBE54AE}"/>
    <hyperlink ref="GX3" location="'Meteorites Info'!A101" display="RBT 04262" xr:uid="{66F43572-7DB6-8F41-9342-C601A09CA97B}"/>
    <hyperlink ref="GZ3" location="'Biotic Info'!A2" display="ATA01" xr:uid="{C248AD81-B144-2C49-8A45-8AC326405089}"/>
    <hyperlink ref="HB3" location="'Biotic Info'!A3" display="ATA02" xr:uid="{671681E0-0D0B-8243-9F07-14679F8B9D8D}"/>
    <hyperlink ref="HD3" location="'Biotic Info'!A4" display="ATA03" xr:uid="{38290FCC-67A0-4E48-9003-185B4062434F}"/>
    <hyperlink ref="HF3" location="'Biotic Info'!A5" display="ATA04" xr:uid="{9FF05221-EC30-014E-8C74-9E0BADBEBACC}"/>
    <hyperlink ref="HH3" location="'Biotic Info'!A6" display="ATA05" xr:uid="{E8F53F38-5D7B-A74C-848B-D04316F5CBDA}"/>
    <hyperlink ref="HJ3" location="'Biotic Info'!A7" display="ATA07" xr:uid="{14D87605-A4C8-5641-B1AE-F585CDEF4968}"/>
    <hyperlink ref="HL3" location="'Biotic Info'!A8" display="ATA08" xr:uid="{829A4455-ADCB-B149-8BF9-0541ADA6CBB1}"/>
    <hyperlink ref="HN3" location="'Biotic Info'!A9" display="ATA09" xr:uid="{D05DD998-F5B6-9E4B-968E-5C0CC7E81971}"/>
    <hyperlink ref="HP3" location="'Biotic Info'!A10" display="ATA10" xr:uid="{3E1E504B-2755-EE49-810E-40064476C329}"/>
    <hyperlink ref="HR3" location="'Biotic Info'!A11" display="ATA11" xr:uid="{1C5213AF-E440-464A-A016-7A5C1C7EF507}"/>
    <hyperlink ref="HT3" location="'Biotic Info'!A12" display="ATA12" xr:uid="{CE880F76-D680-884E-B7BD-0E90974F9898}"/>
    <hyperlink ref="HV3" location="'Biotic Info'!A13" display="ATA13" xr:uid="{81F455ED-C432-944C-9B7E-B7C5E06CE0BD}"/>
    <hyperlink ref="HX3" location="'Biotic Info'!A14" display="ATA14" xr:uid="{E692EF70-BC9B-9A49-9B8B-18D32A9A3EE3}"/>
    <hyperlink ref="HZ3" location="'Biotic Info'!A15" display="ATA15" xr:uid="{AF1D0FE2-5AFD-6F42-BF4B-AC4A9BB9BAF9}"/>
    <hyperlink ref="IB3" location="'Biotic Info'!A16" display="ATA16" xr:uid="{41FC4F7E-EDE3-1446-AD1E-F2E97D9398E2}"/>
    <hyperlink ref="ID3" location="'Biotic Info'!A17" display="DGA" xr:uid="{BF257C85-9A9B-5441-A7EB-BCD3A7EA15D6}"/>
    <hyperlink ref="IF3" location="'Biotic Info'!A18" display="NOA" xr:uid="{83C9D83E-A926-DD41-8338-C706DE68A403}"/>
    <hyperlink ref="IP3" location="'Biotic Info'!A19" display="ATA02-22" xr:uid="{6BEC14AF-3D5D-FB4A-B132-C91D06A6AE59}"/>
    <hyperlink ref="IH3" location="'Biotic Info'!A20" display="AT02-03" xr:uid="{84DBE001-7FDB-9C45-A084-3755214792EE}"/>
    <hyperlink ref="IJ3" location="'Biotic Info'!A21" display="ATA02-28" xr:uid="{7076BB19-D18D-F142-895C-D26D042C0570}"/>
    <hyperlink ref="IL3" location="'Biotic Info'!A22" display="ATA02-16" xr:uid="{A7CBF4CB-E3A1-BC47-ABFD-6F7FCA7BB678}"/>
    <hyperlink ref="IN3" location="'Biotic Info'!A23" display="ATA02-23" xr:uid="{E33CC32D-EC5E-5448-8341-A68DA3D2A7DD}"/>
    <hyperlink ref="IR3" location="'Biotic Info'!A24" display="AT45-A3" xr:uid="{56587F64-0B6E-F846-B1F1-A786B35685B9}"/>
    <hyperlink ref="IT3" location="'Biotic Info'!A25" display="LAP Ice" xr:uid="{AA5FF54F-203E-2048-864A-E8B62B749674}"/>
    <hyperlink ref="IV3" location="'Biotic Info'!A26" display="DV soil " xr:uid="{3C8199D8-648E-1949-9CB7-A5764E54B4F1}"/>
    <hyperlink ref="IX3" location="'Biotic Info'!A37" display="PC-1" xr:uid="{8817174B-57DB-184F-911A-446595CD9C4E}"/>
    <hyperlink ref="IZ3" location="'Biotic Info'!A38" display="PC-3" xr:uid="{13765F01-7FF2-3A46-B4EE-0DA9FB212B80}"/>
    <hyperlink ref="JB3" location="'Biotic Info'!A39" display="PC-4" xr:uid="{44B36A1A-D580-604C-82A9-8EA2FAB85314}"/>
    <hyperlink ref="JD3" location="'Biotic Info'!A40" display="PC-6" xr:uid="{C3A558D5-A107-D24F-9BB4-1826431EF351}"/>
    <hyperlink ref="JF3" location="'Biotic Info'!A41" display="B02" xr:uid="{B92B95FE-97A3-784C-8FCC-818BEEB96FE6}"/>
    <hyperlink ref="JH3" location="'Biotic Info'!A42" display="B04" xr:uid="{4BBBEE91-62FD-8841-828A-54A1F911B648}"/>
    <hyperlink ref="JJ3" location="'Biotic Info'!A43" display="B05" xr:uid="{7D9517C7-3EAA-9B49-B5E6-3E0BDEAA3D08}"/>
    <hyperlink ref="JL3" location="'Biotic Info'!A44" display="B06" xr:uid="{CFA3D16C-D581-8C40-B931-837C4893FEDC}"/>
    <hyperlink ref="JN3" location="'Biotic Info'!A45" display="B07" xr:uid="{9D06D8D4-F0B7-CD49-9DAE-80022FD0E4C6}"/>
    <hyperlink ref="JP3" location="'Biotic Info'!A46" display="B08" xr:uid="{FED58E3E-3AFA-A046-BF85-D6923B978D11}"/>
    <hyperlink ref="JR3" location="'Biotic Info'!A47" display="B09" xr:uid="{34C3C880-5BA2-1F4B-A620-126F139454D3}"/>
    <hyperlink ref="JT3" location="'Biotic Info'!A48" display="B12" xr:uid="{ACC15D56-03F3-9D42-B0A4-8154BCD77CD7}"/>
    <hyperlink ref="JV3" location="'Biotic Info'!A49" display="NC" xr:uid="{93C99ED2-B767-0B41-ADE1-92D9CB26ADBF}"/>
    <hyperlink ref="JX3" location="'Biotic Info'!A32" display="Shrub" xr:uid="{B9A2DDAE-7C90-824E-808F-77963C0097BD}"/>
    <hyperlink ref="JZ3" location="'Biotic Info'!A33" display="Moor" xr:uid="{B7169F73-3B4E-B14C-9DA6-DF6F980D4A06}"/>
    <hyperlink ref="KB3" location="'Biotic Info'!A34" display="Woodland" xr:uid="{AAE9CB0E-E1DB-C14A-AF43-487AE4FC2DB3}"/>
    <hyperlink ref="KD3" location="'Biotic Info'!A35" display="Mixed Forest" xr:uid="{DF81C37C-5BE2-BB47-9B67-D3EC1B55B77F}"/>
    <hyperlink ref="KF3" location="'Biotic Info'!A36" display="Tall Forest" xr:uid="{9069594C-1D43-F34A-8E27-4D6FD625C829}"/>
    <hyperlink ref="KH3" location="'Biotic Info'!A30" display="Mollisol-1" xr:uid="{93AA5378-EC20-7640-A1C3-1C7EFF003131}"/>
    <hyperlink ref="KJ3" location="'Biotic Info'!A31" display="Mollisol-2" xr:uid="{7832EB18-1EA7-B64C-9BE9-1D41790CCF45}"/>
    <hyperlink ref="KL3" location="'Biotic Info'!A27" display="Ultisol" xr:uid="{6BEC170F-0AC3-8E48-8E51-8BD7EEF38F41}"/>
    <hyperlink ref="KN3" location="'Biotic Info'!A28" display="Alfisol" xr:uid="{5B5C4A6D-71D6-2F4E-B543-06ABFC89BFFF}"/>
    <hyperlink ref="KP3" location="'Biotic Info'!A29" display="Inceptisol" xr:uid="{40383824-85F4-B042-9EA1-62B7AFFE9418}"/>
    <hyperlink ref="KR3" location="'Biotic Info'!A53" display="Mouse-1" xr:uid="{AD2B23F1-4339-5848-ABC7-C0AA91F96B1C}"/>
    <hyperlink ref="KT3" location="'Biotic Info'!A54" display="Mouse-2" xr:uid="{23845ADE-5812-9B41-A749-F5531C2B8958}"/>
    <hyperlink ref="KV3" location="'Biotic Info'!A50" display="Rat-1" xr:uid="{C0CF72DE-E3D5-704E-BAE0-F650FA0168CE}"/>
    <hyperlink ref="KX3" location="'Biotic Info'!A51" display="Rat-2" xr:uid="{704C483A-4BD8-D94B-ADC1-77317D3A3B6A}"/>
    <hyperlink ref="KZ3" location="'Biotic Info'!A52" display="Rat-3" xr:uid="{8B9AC5B4-A420-B04C-9B20-5BEB90890D1F}"/>
    <hyperlink ref="LB3" location="'Biotic Info'!A55" display="Fly-1" xr:uid="{4627F0D6-0242-D548-B61C-31F67F3D2624}"/>
    <hyperlink ref="LD3" location="'Biotic Info'!A56" display="Mollusk" xr:uid="{F2574901-FD88-1D4B-B369-223576E797C5}"/>
    <hyperlink ref="LF3" location="'Biotic Info'!A57" display="Amphioxus" xr:uid="{A702DE0C-A7A2-C545-A4D6-9B2E93FC4CD3}"/>
    <hyperlink ref="LH3" location="'Biotic Info'!A58" display="Human-1" xr:uid="{751B24E1-4828-8448-83D6-28826983BC0B}"/>
    <hyperlink ref="LJ3" location="'Biotic Info'!A59" display="Fish -1" xr:uid="{D50AA041-DEEE-EE4C-97FA-C59C18026244}"/>
    <hyperlink ref="LL3" location="'Biotic Info'!A60" display="Fish -2" xr:uid="{D21A81A4-DEC6-4040-9854-9A06318B968A}"/>
    <hyperlink ref="LN3" location="'Biotic Info'!A61" display="Fish -3" xr:uid="{D752DD9D-2AFA-424D-AF1E-7B6732AAEC8D}"/>
    <hyperlink ref="LP3" location="'Biotic Info'!A62" display="Fish -4" xr:uid="{2EB08868-7C49-9842-87CD-1002C5570EDD}"/>
    <hyperlink ref="LR3" location="'Biotic Info'!A63" display="Fish -5" xr:uid="{98E4E8F1-4E34-B449-A3FD-08891B421DA6}"/>
    <hyperlink ref="LT3" location="'Biotic Info'!A64" display="Fish -6" xr:uid="{3EBDE8B0-BA8A-5C4D-A4C7-1E4727B72434}"/>
    <hyperlink ref="LV3" location="'Biotic Info'!A65" display="Mushroom-1" xr:uid="{AC2DF84B-B55A-AA40-8A31-AF4A60752DD1}"/>
    <hyperlink ref="LX3" location="'Biotic Info'!A66" display="Mushroom-2" xr:uid="{685C4C8F-9393-B24F-8D28-BADF9177B656}"/>
    <hyperlink ref="LZ3" location="'Biotic Info'!A67" display="Mushroom-3" xr:uid="{1D7027C4-9E00-FC4B-86A4-3B220397241D}"/>
    <hyperlink ref="MB3" location="'Biotic Info'!A68" display="Mushroom-4" xr:uid="{CC274515-C1C6-EE4F-A087-6A171D8177DA}"/>
    <hyperlink ref="MD3" location="'Biotic Info'!A69" display="Ajwa-Al Medina" xr:uid="{6F6960AE-5F1D-ED47-83DC-20223D51B823}"/>
    <hyperlink ref="MF3" location="'Biotic Info'!A70" display="Nabtat Ali" xr:uid="{8371E8B7-DA1A-7F42-9C49-2ABAE089F393}"/>
    <hyperlink ref="MH3" location="'Biotic Info'!A71" display="Sukkari" xr:uid="{7634AA0E-1A23-4549-A391-C37DE19F4210}"/>
    <hyperlink ref="MJ3" location="'Biotic Info'!A72" display="Segae-1" xr:uid="{B0325F5A-0522-624A-ABFA-C6E1D7606A0C}"/>
    <hyperlink ref="ML3" location="'Biotic Info'!A73" display="Shaihee" xr:uid="{6228A8E1-4F7A-8E46-A381-043E29072068}"/>
    <hyperlink ref="MN3" location="'Biotic Info'!A74" display="Ruthana" xr:uid="{065DA314-58D9-3744-9FDD-E8131099C985}"/>
    <hyperlink ref="MP3" location="'Biotic Info'!A75" display="Rushodia" xr:uid="{F69B82D5-331A-3B4A-8EB5-27DE0DC974BE}"/>
    <hyperlink ref="MR3" location="'Biotic Info'!A76" display="Khalas-1" xr:uid="{8F99167F-F4DB-7141-A075-2BD65E9B9321}"/>
    <hyperlink ref="MT3" location="'Biotic Info'!A77" display="Barhi-1" xr:uid="{64D25FC5-0742-8442-8625-7E074BF497D9}"/>
    <hyperlink ref="MV3" location="'Biotic Info'!A78" display="Barhi-2" xr:uid="{0CCC7CAB-0BAD-1C42-BB73-752DA5B0ABB0}"/>
    <hyperlink ref="MX3" location="'Biotic Info'!A79" display="Segae-2" xr:uid="{8E941713-72E3-7249-B23C-95E2054A3EC9}"/>
    <hyperlink ref="MZ3" location="'Biotic Info'!A80" display="Khalas-2" xr:uid="{0855A62F-69E6-584A-B3AF-7B83E5A59A73}"/>
    <hyperlink ref="NB3" location="'Biotic Info'!A81" display="Bee-pollen-1" xr:uid="{2CB82DAC-E312-9E48-B631-60B8D02C8FFD}"/>
    <hyperlink ref="ND3" location="'Biotic Info'!A82" display="Bee-pollen-2" xr:uid="{58D0635F-DDBD-964C-9E77-1C0B23A81AF1}"/>
    <hyperlink ref="NF3" location="'Biotic Info'!A83" display="Bee-pollen-3" xr:uid="{6D2813C1-F5BE-6D44-B27E-665B6603DA61}"/>
    <hyperlink ref="NH3" location="'Biotic Info'!A84" display="Bee-pollen-4" xr:uid="{3E12BA41-58D1-CD42-8C90-5D97FBF0A34F}"/>
    <hyperlink ref="NJ3" location="'Biotic Info'!A85" display="Bee-pollen-5" xr:uid="{F80B2A73-A8C5-8049-BFC2-97BDBC07D2B8}"/>
    <hyperlink ref="NL3" location="'Biotic Info'!A86" display="Bee-pollen-6" xr:uid="{7CA2A0F6-CDA0-4544-9EC4-353ADA638A9C}"/>
    <hyperlink ref="NN3" location="'Biotic Info'!A87" display="Ackee aril" xr:uid="{6C2E336C-7594-8943-A387-1E785211104B}"/>
    <hyperlink ref="NP3" location="'Biotic Info'!A88" display="Spirulina sp" xr:uid="{54D912C9-64F1-734A-A597-D8594C6048F7}"/>
    <hyperlink ref="NR3" location="Simulations!A3" display="AA Synthesis-1" xr:uid="{2784A7B7-494B-D143-A30F-CCFDD3D4F330}"/>
    <hyperlink ref="NT3" location="Simulations!A4" display="AA Synthesis-2" xr:uid="{A27BEA78-1870-ED43-AF94-6CFD52462362}"/>
  </hyperlinks>
  <pageMargins left="0.7" right="0.7" top="0.75" bottom="0.75" header="0.3" footer="0.3"/>
  <ignoredErrors>
    <ignoredError sqref="DR62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E2268-1301-EC40-A6C3-FF0C459F5625}">
  <dimension ref="A3:R124"/>
  <sheetViews>
    <sheetView zoomScale="133" zoomScaleNormal="400" workbookViewId="0">
      <pane xSplit="1" topLeftCell="B1" activePane="topRight" state="frozen"/>
      <selection pane="topRight" activeCell="K17" sqref="K17"/>
    </sheetView>
  </sheetViews>
  <sheetFormatPr baseColWidth="10" defaultRowHeight="16" x14ac:dyDescent="0.2"/>
  <cols>
    <col min="1" max="1" width="39.83203125" bestFit="1" customWidth="1"/>
    <col min="2" max="2" width="8.33203125" bestFit="1" customWidth="1"/>
    <col min="3" max="3" width="12.6640625" style="41" bestFit="1" customWidth="1"/>
    <col min="4" max="4" width="26.1640625" style="1" customWidth="1"/>
    <col min="5" max="5" width="41.1640625" style="1" bestFit="1" customWidth="1"/>
    <col min="6" max="6" width="17.33203125" bestFit="1" customWidth="1"/>
    <col min="7" max="7" width="15.1640625" bestFit="1" customWidth="1"/>
    <col min="8" max="8" width="21.6640625" bestFit="1" customWidth="1"/>
    <col min="9" max="9" width="19.6640625" bestFit="1" customWidth="1"/>
    <col min="10" max="11" width="5.6640625" bestFit="1" customWidth="1"/>
    <col min="12" max="12" width="18.83203125" bestFit="1" customWidth="1"/>
    <col min="13" max="13" width="25.33203125" style="34" bestFit="1" customWidth="1"/>
    <col min="14" max="14" width="9" bestFit="1" customWidth="1"/>
    <col min="15" max="15" width="8.33203125" style="37" bestFit="1" customWidth="1"/>
    <col min="16" max="16" width="15.1640625" bestFit="1" customWidth="1"/>
    <col min="17" max="17" width="13" bestFit="1" customWidth="1"/>
    <col min="18" max="18" width="14" bestFit="1" customWidth="1"/>
  </cols>
  <sheetData>
    <row r="3" spans="1:18" x14ac:dyDescent="0.2">
      <c r="A3" s="78" t="s">
        <v>844</v>
      </c>
      <c r="B3" s="79" t="s">
        <v>852</v>
      </c>
      <c r="C3" s="80" t="s">
        <v>1034</v>
      </c>
      <c r="D3" s="79" t="s">
        <v>888</v>
      </c>
      <c r="E3" s="79" t="s">
        <v>997</v>
      </c>
      <c r="F3" s="79" t="s">
        <v>845</v>
      </c>
      <c r="G3" s="79" t="s">
        <v>846</v>
      </c>
      <c r="H3" s="79" t="s">
        <v>985</v>
      </c>
      <c r="I3" s="79" t="s">
        <v>986</v>
      </c>
      <c r="J3" s="79" t="s">
        <v>987</v>
      </c>
      <c r="K3" s="79" t="s">
        <v>988</v>
      </c>
      <c r="L3" s="76" t="s">
        <v>1005</v>
      </c>
      <c r="M3" s="81" t="s">
        <v>1259</v>
      </c>
      <c r="N3" s="79" t="s">
        <v>984</v>
      </c>
      <c r="O3" s="82" t="s">
        <v>1260</v>
      </c>
      <c r="P3" s="79" t="s">
        <v>1261</v>
      </c>
      <c r="Q3" s="79" t="s">
        <v>1466</v>
      </c>
      <c r="R3" s="79" t="s">
        <v>1471</v>
      </c>
    </row>
    <row r="4" spans="1:18" x14ac:dyDescent="0.2">
      <c r="A4" t="s">
        <v>1</v>
      </c>
      <c r="B4" s="1" t="s">
        <v>855</v>
      </c>
      <c r="C4" s="40" t="s">
        <v>855</v>
      </c>
      <c r="D4" s="1">
        <v>750</v>
      </c>
      <c r="E4" s="29" t="s">
        <v>719</v>
      </c>
      <c r="F4" s="1">
        <v>75.069999999999993</v>
      </c>
      <c r="G4" s="1">
        <v>2</v>
      </c>
      <c r="H4" s="9">
        <v>-401.09</v>
      </c>
      <c r="I4" s="9">
        <v>-311.5</v>
      </c>
      <c r="J4" s="9">
        <v>-3.3427699999999998</v>
      </c>
      <c r="K4" s="9">
        <v>2.25983</v>
      </c>
      <c r="L4" s="30">
        <v>11.736000000000001</v>
      </c>
      <c r="M4" s="51">
        <v>10.921458658400001</v>
      </c>
      <c r="N4" s="9">
        <v>3</v>
      </c>
      <c r="O4" s="37">
        <v>63.319999999999993</v>
      </c>
      <c r="P4" s="51">
        <v>2.4927999999999999</v>
      </c>
      <c r="Q4" s="73">
        <v>1</v>
      </c>
      <c r="R4" s="73">
        <v>1</v>
      </c>
    </row>
    <row r="5" spans="1:18" x14ac:dyDescent="0.2">
      <c r="A5" t="s">
        <v>707</v>
      </c>
      <c r="B5" s="1" t="s">
        <v>896</v>
      </c>
      <c r="D5" s="1">
        <v>1123</v>
      </c>
      <c r="E5" s="29" t="s">
        <v>720</v>
      </c>
      <c r="F5" s="1">
        <v>125.14</v>
      </c>
      <c r="G5" s="1">
        <v>2</v>
      </c>
      <c r="H5" s="9">
        <v>-203.05</v>
      </c>
      <c r="I5" s="9">
        <v>-104.41</v>
      </c>
      <c r="J5" s="9">
        <v>-1.75928</v>
      </c>
      <c r="K5" s="9">
        <v>0.47010999999999997</v>
      </c>
      <c r="L5" s="30">
        <v>9.0269999999999992</v>
      </c>
      <c r="M5" s="51">
        <v>10.0018766068</v>
      </c>
      <c r="N5" s="9">
        <v>5</v>
      </c>
      <c r="O5" s="37">
        <v>88.77</v>
      </c>
      <c r="P5" s="51">
        <v>5.899</v>
      </c>
      <c r="Q5" s="73">
        <v>1</v>
      </c>
      <c r="R5" s="73">
        <v>0</v>
      </c>
    </row>
    <row r="6" spans="1:18" x14ac:dyDescent="0.2">
      <c r="A6" t="s">
        <v>13</v>
      </c>
      <c r="B6" s="1" t="s">
        <v>899</v>
      </c>
      <c r="C6" s="40"/>
      <c r="D6" s="1">
        <v>71080</v>
      </c>
      <c r="E6" s="1" t="s">
        <v>721</v>
      </c>
      <c r="F6" s="1">
        <v>89.09</v>
      </c>
      <c r="G6" s="1">
        <v>3</v>
      </c>
      <c r="H6" s="9">
        <v>-427.01</v>
      </c>
      <c r="I6" s="9">
        <v>-305.52</v>
      </c>
      <c r="J6" s="9">
        <v>-2.8224499999999999</v>
      </c>
      <c r="K6" s="9">
        <v>1.86084</v>
      </c>
      <c r="L6" s="30">
        <v>11.747999999999999</v>
      </c>
      <c r="M6" s="51">
        <v>11.1156119974</v>
      </c>
      <c r="N6" s="9">
        <v>4</v>
      </c>
      <c r="O6" s="37">
        <v>63.319999999999993</v>
      </c>
      <c r="P6" s="51">
        <v>1.9196</v>
      </c>
      <c r="Q6" s="73">
        <v>1</v>
      </c>
      <c r="R6" s="73">
        <v>1</v>
      </c>
    </row>
    <row r="7" spans="1:18" x14ac:dyDescent="0.2">
      <c r="A7" t="s">
        <v>12</v>
      </c>
      <c r="B7" s="1" t="s">
        <v>900</v>
      </c>
      <c r="C7" s="40" t="s">
        <v>993</v>
      </c>
      <c r="D7" s="1">
        <v>5950</v>
      </c>
      <c r="E7" s="1" t="s">
        <v>722</v>
      </c>
      <c r="F7" s="1">
        <v>89.09</v>
      </c>
      <c r="G7" s="1">
        <v>3</v>
      </c>
      <c r="H7" s="9">
        <v>-427.01</v>
      </c>
      <c r="I7" s="9">
        <v>-305.52</v>
      </c>
      <c r="J7" s="9">
        <v>-2.8224499999999999</v>
      </c>
      <c r="K7" s="9">
        <v>1.86084</v>
      </c>
      <c r="L7" s="30">
        <v>11.702999999999999</v>
      </c>
      <c r="M7" s="51">
        <v>11.054304713200001</v>
      </c>
      <c r="N7" s="9">
        <v>4</v>
      </c>
      <c r="O7" s="37">
        <v>63.319999999999993</v>
      </c>
      <c r="P7" s="51">
        <v>3.6152000000000002</v>
      </c>
      <c r="Q7" s="73">
        <v>1</v>
      </c>
      <c r="R7" s="73">
        <v>1</v>
      </c>
    </row>
    <row r="8" spans="1:18" x14ac:dyDescent="0.2">
      <c r="A8" t="s">
        <v>857</v>
      </c>
      <c r="B8" s="1" t="s">
        <v>993</v>
      </c>
      <c r="C8" s="40"/>
      <c r="D8" s="1">
        <v>602</v>
      </c>
      <c r="E8" s="1" t="s">
        <v>810</v>
      </c>
      <c r="F8" s="1">
        <v>89.09</v>
      </c>
      <c r="G8" s="1">
        <v>3</v>
      </c>
      <c r="H8" s="9">
        <v>-427.01</v>
      </c>
      <c r="I8" s="9">
        <v>-305.52</v>
      </c>
      <c r="J8" s="9">
        <v>-2.8224499999999999</v>
      </c>
      <c r="K8" s="9">
        <v>1.86084</v>
      </c>
      <c r="L8" s="30">
        <v>11.704000000000001</v>
      </c>
      <c r="M8" s="51">
        <v>11.0849583553</v>
      </c>
      <c r="N8" s="9">
        <v>4</v>
      </c>
      <c r="O8" s="37">
        <v>63.319999999999993</v>
      </c>
      <c r="P8" s="51">
        <v>2.7674000000000003</v>
      </c>
      <c r="Q8" s="73">
        <v>1</v>
      </c>
      <c r="R8" s="73">
        <v>1</v>
      </c>
    </row>
    <row r="9" spans="1:18" x14ac:dyDescent="0.2">
      <c r="A9" t="s">
        <v>2</v>
      </c>
      <c r="B9" s="1" t="s">
        <v>897</v>
      </c>
      <c r="C9" s="40"/>
      <c r="D9" s="1">
        <v>239</v>
      </c>
      <c r="E9" s="29" t="s">
        <v>723</v>
      </c>
      <c r="F9" s="1">
        <v>89.09</v>
      </c>
      <c r="G9" s="1">
        <v>3</v>
      </c>
      <c r="H9" s="9">
        <v>-421.73</v>
      </c>
      <c r="I9" s="9">
        <v>-303.08</v>
      </c>
      <c r="J9" s="9">
        <v>-1.01414</v>
      </c>
      <c r="K9" s="9">
        <v>0.56594599999999995</v>
      </c>
      <c r="L9" s="30">
        <v>11.587</v>
      </c>
      <c r="M9" s="51">
        <v>10.9670377534</v>
      </c>
      <c r="N9" s="9">
        <v>4</v>
      </c>
      <c r="O9" s="37">
        <v>63.320000000000007</v>
      </c>
      <c r="P9" s="51">
        <v>1.8763000000000001</v>
      </c>
      <c r="Q9" s="73">
        <v>1</v>
      </c>
      <c r="R9" s="73">
        <v>1</v>
      </c>
    </row>
    <row r="10" spans="1:18" x14ac:dyDescent="0.2">
      <c r="A10" t="s">
        <v>619</v>
      </c>
      <c r="B10" s="1" t="s">
        <v>898</v>
      </c>
      <c r="C10" s="40"/>
      <c r="D10" s="1">
        <v>1088</v>
      </c>
      <c r="E10" s="29" t="s">
        <v>724</v>
      </c>
      <c r="F10" s="1">
        <v>89.09</v>
      </c>
      <c r="G10" s="1">
        <v>3</v>
      </c>
      <c r="H10" s="9">
        <v>-402.05</v>
      </c>
      <c r="I10" s="9">
        <v>-280.14</v>
      </c>
      <c r="J10" s="9">
        <v>-0.79416699999999996</v>
      </c>
      <c r="K10" s="9">
        <v>0.56754000000000004</v>
      </c>
      <c r="L10" s="30">
        <v>11.244</v>
      </c>
      <c r="M10" s="51">
        <v>10.465939822399999</v>
      </c>
      <c r="N10" s="9">
        <v>4</v>
      </c>
      <c r="O10" s="37">
        <v>49.33</v>
      </c>
      <c r="P10" s="51">
        <v>2.3323</v>
      </c>
      <c r="Q10" s="73">
        <v>1</v>
      </c>
      <c r="R10" s="73">
        <v>0</v>
      </c>
    </row>
    <row r="11" spans="1:18" x14ac:dyDescent="0.2">
      <c r="A11" t="s">
        <v>3</v>
      </c>
      <c r="B11" s="1" t="s">
        <v>901</v>
      </c>
      <c r="C11" s="40"/>
      <c r="D11" s="1">
        <v>71077</v>
      </c>
      <c r="E11" s="1" t="s">
        <v>725</v>
      </c>
      <c r="F11" s="1">
        <v>105.09</v>
      </c>
      <c r="G11" s="1">
        <v>3</v>
      </c>
      <c r="H11" s="9">
        <v>-579.24</v>
      </c>
      <c r="I11" s="9">
        <v>-442.34</v>
      </c>
      <c r="J11" s="9">
        <v>-3.9559899999999999</v>
      </c>
      <c r="K11" s="9">
        <v>2.5609199999999999</v>
      </c>
      <c r="L11" s="30">
        <v>11.659000000000001</v>
      </c>
      <c r="M11" s="51">
        <v>10.876668693999999</v>
      </c>
      <c r="N11" s="9">
        <v>4</v>
      </c>
      <c r="O11" s="37">
        <v>83.55</v>
      </c>
      <c r="P11" s="51">
        <v>3.4249999999999998</v>
      </c>
      <c r="Q11" s="73">
        <v>1</v>
      </c>
      <c r="R11" s="73">
        <v>1</v>
      </c>
    </row>
    <row r="12" spans="1:18" x14ac:dyDescent="0.2">
      <c r="A12" t="s">
        <v>4</v>
      </c>
      <c r="B12" s="1" t="s">
        <v>902</v>
      </c>
      <c r="C12" s="40" t="s">
        <v>1021</v>
      </c>
      <c r="D12" s="1">
        <v>5951</v>
      </c>
      <c r="E12" s="1" t="s">
        <v>726</v>
      </c>
      <c r="F12" s="1">
        <v>105.09</v>
      </c>
      <c r="G12" s="1">
        <v>3</v>
      </c>
      <c r="H12" s="9">
        <v>-579.24</v>
      </c>
      <c r="I12" s="9">
        <v>-442.34</v>
      </c>
      <c r="J12" s="9">
        <v>-3.9559899999999999</v>
      </c>
      <c r="K12" s="9">
        <v>2.5609199999999999</v>
      </c>
      <c r="L12" s="30">
        <v>11.686</v>
      </c>
      <c r="M12" s="51">
        <v>10.8949275434</v>
      </c>
      <c r="N12" s="9">
        <v>4</v>
      </c>
      <c r="O12" s="37">
        <v>83.55</v>
      </c>
      <c r="P12" s="51">
        <v>2.1589</v>
      </c>
      <c r="Q12" s="73">
        <v>1</v>
      </c>
      <c r="R12" s="73">
        <v>1</v>
      </c>
    </row>
    <row r="13" spans="1:18" x14ac:dyDescent="0.2">
      <c r="A13" t="s">
        <v>862</v>
      </c>
      <c r="B13" s="1" t="s">
        <v>1021</v>
      </c>
      <c r="C13" s="40"/>
      <c r="D13" s="1">
        <v>617</v>
      </c>
      <c r="E13" s="1" t="s">
        <v>811</v>
      </c>
      <c r="F13" s="1">
        <v>105.09</v>
      </c>
      <c r="G13" s="1">
        <v>3</v>
      </c>
      <c r="H13" s="9">
        <v>-579.24</v>
      </c>
      <c r="I13" s="9">
        <v>-442.34</v>
      </c>
      <c r="J13" s="9">
        <v>-3.9559899999999999</v>
      </c>
      <c r="K13" s="9">
        <v>2.5609199999999999</v>
      </c>
      <c r="L13" s="30">
        <v>11.672499999999999</v>
      </c>
      <c r="M13" s="51">
        <v>10.885798118699999</v>
      </c>
      <c r="N13" s="9">
        <v>4</v>
      </c>
      <c r="O13" s="37">
        <v>83.55</v>
      </c>
      <c r="P13" s="51">
        <v>2.7919499999999999</v>
      </c>
      <c r="Q13" s="73">
        <v>1</v>
      </c>
      <c r="R13" s="73">
        <v>1</v>
      </c>
    </row>
    <row r="14" spans="1:18" x14ac:dyDescent="0.2">
      <c r="A14" t="s">
        <v>5</v>
      </c>
      <c r="B14" s="1" t="s">
        <v>903</v>
      </c>
      <c r="C14" s="40"/>
      <c r="D14" s="1">
        <v>92851</v>
      </c>
      <c r="E14" s="1" t="s">
        <v>727</v>
      </c>
      <c r="F14" s="1">
        <v>121.16</v>
      </c>
      <c r="G14" s="1">
        <v>3</v>
      </c>
      <c r="H14" s="9">
        <v>-388.53</v>
      </c>
      <c r="I14" s="9">
        <v>-276.13</v>
      </c>
      <c r="J14" s="9">
        <v>-2.5734499999999998</v>
      </c>
      <c r="K14" s="9">
        <v>1.49976</v>
      </c>
      <c r="L14" s="30">
        <v>10.71</v>
      </c>
      <c r="M14" s="51">
        <v>10.483736078</v>
      </c>
      <c r="N14" s="9">
        <v>5</v>
      </c>
      <c r="O14" s="37">
        <v>102.12</v>
      </c>
      <c r="P14" s="51">
        <v>5.4283000000000001</v>
      </c>
      <c r="Q14" s="73">
        <v>1</v>
      </c>
      <c r="R14" s="73">
        <v>0</v>
      </c>
    </row>
    <row r="15" spans="1:18" x14ac:dyDescent="0.2">
      <c r="A15" t="s">
        <v>6</v>
      </c>
      <c r="B15" s="34" t="s">
        <v>904</v>
      </c>
      <c r="C15" s="42" t="s">
        <v>1022</v>
      </c>
      <c r="D15" s="1">
        <v>5862</v>
      </c>
      <c r="E15" s="1" t="s">
        <v>728</v>
      </c>
      <c r="F15" s="1">
        <v>121.16</v>
      </c>
      <c r="G15" s="1">
        <v>3</v>
      </c>
      <c r="H15" s="9">
        <v>-388.53</v>
      </c>
      <c r="I15" s="9">
        <v>-276.13</v>
      </c>
      <c r="J15" s="9">
        <v>-2.5734499999999998</v>
      </c>
      <c r="K15" s="9">
        <v>1.49976</v>
      </c>
      <c r="L15" s="30">
        <v>10.702999999999999</v>
      </c>
      <c r="M15" s="51">
        <v>10.5076548986</v>
      </c>
      <c r="N15" s="9">
        <v>5</v>
      </c>
      <c r="O15" s="37">
        <v>102.12</v>
      </c>
      <c r="P15" s="51">
        <v>2.6328</v>
      </c>
      <c r="Q15" s="73">
        <v>1</v>
      </c>
      <c r="R15" s="73">
        <v>0</v>
      </c>
    </row>
    <row r="16" spans="1:18" x14ac:dyDescent="0.2">
      <c r="A16" t="s">
        <v>863</v>
      </c>
      <c r="B16" s="34" t="s">
        <v>1022</v>
      </c>
      <c r="C16" s="42"/>
      <c r="D16" s="1">
        <v>594</v>
      </c>
      <c r="E16" s="1" t="s">
        <v>812</v>
      </c>
      <c r="F16" s="1">
        <v>121.16</v>
      </c>
      <c r="G16" s="1">
        <v>3</v>
      </c>
      <c r="H16" s="9">
        <v>-388.53</v>
      </c>
      <c r="I16" s="9">
        <v>-276.13</v>
      </c>
      <c r="J16" s="9">
        <v>-2.5734499999999998</v>
      </c>
      <c r="K16" s="9">
        <v>1.49976</v>
      </c>
      <c r="L16" s="30">
        <v>10.7065</v>
      </c>
      <c r="M16" s="51">
        <v>10.495695488300001</v>
      </c>
      <c r="N16" s="9">
        <v>5</v>
      </c>
      <c r="O16" s="37">
        <v>102.12</v>
      </c>
      <c r="P16" s="51">
        <v>4.0305499999999999</v>
      </c>
      <c r="Q16" s="73">
        <v>1</v>
      </c>
      <c r="R16" s="73">
        <v>0</v>
      </c>
    </row>
    <row r="17" spans="1:18" x14ac:dyDescent="0.2">
      <c r="A17" t="s">
        <v>7</v>
      </c>
      <c r="B17" s="1" t="s">
        <v>1140</v>
      </c>
      <c r="C17" s="40"/>
      <c r="D17" s="1">
        <v>83887</v>
      </c>
      <c r="E17" s="1" t="s">
        <v>729</v>
      </c>
      <c r="F17" s="1">
        <v>133.1</v>
      </c>
      <c r="G17" s="1">
        <v>4</v>
      </c>
      <c r="H17" s="9">
        <v>-797.92</v>
      </c>
      <c r="I17" s="9">
        <v>-641.01</v>
      </c>
      <c r="J17" s="9">
        <v>-3.7003300000000001</v>
      </c>
      <c r="K17" s="9">
        <v>2.1325699999999999</v>
      </c>
      <c r="L17" s="30">
        <v>11.755000000000001</v>
      </c>
      <c r="M17" s="51">
        <v>11.2287025758</v>
      </c>
      <c r="N17" s="9">
        <v>5</v>
      </c>
      <c r="O17" s="37">
        <v>100.62</v>
      </c>
      <c r="P17" s="51">
        <v>8.2751000000000001</v>
      </c>
      <c r="Q17" s="73">
        <v>1</v>
      </c>
      <c r="R17" s="73">
        <v>1</v>
      </c>
    </row>
    <row r="18" spans="1:18" x14ac:dyDescent="0.2">
      <c r="A18" t="s">
        <v>8</v>
      </c>
      <c r="B18" s="1" t="s">
        <v>1141</v>
      </c>
      <c r="C18" s="40" t="s">
        <v>858</v>
      </c>
      <c r="D18" s="1">
        <v>5960</v>
      </c>
      <c r="E18" s="1" t="s">
        <v>730</v>
      </c>
      <c r="F18" s="1">
        <v>133.1</v>
      </c>
      <c r="G18" s="1">
        <v>4</v>
      </c>
      <c r="H18" s="9">
        <v>-797.92</v>
      </c>
      <c r="I18" s="9">
        <v>-641.01</v>
      </c>
      <c r="J18" s="9">
        <v>-3.7003300000000001</v>
      </c>
      <c r="K18" s="9">
        <v>2.1325699999999999</v>
      </c>
      <c r="L18" s="30">
        <v>11.619</v>
      </c>
      <c r="M18" s="51">
        <v>10.7541357598</v>
      </c>
      <c r="N18" s="9">
        <v>5</v>
      </c>
      <c r="O18" s="37">
        <v>100.62</v>
      </c>
      <c r="P18" s="51">
        <v>3.0661</v>
      </c>
      <c r="Q18" s="73">
        <v>1</v>
      </c>
      <c r="R18" s="73">
        <v>1</v>
      </c>
    </row>
    <row r="19" spans="1:18" x14ac:dyDescent="0.2">
      <c r="A19" t="s">
        <v>864</v>
      </c>
      <c r="B19" s="1" t="s">
        <v>858</v>
      </c>
      <c r="C19" s="40"/>
      <c r="D19" s="1">
        <v>424</v>
      </c>
      <c r="E19" s="1" t="s">
        <v>813</v>
      </c>
      <c r="F19" s="1">
        <v>133.1</v>
      </c>
      <c r="G19" s="1">
        <v>4</v>
      </c>
      <c r="H19" s="9">
        <v>-797.92</v>
      </c>
      <c r="I19" s="9">
        <v>-641.01</v>
      </c>
      <c r="J19" s="9">
        <v>-3.7003300000000001</v>
      </c>
      <c r="K19" s="9">
        <v>2.1325699999999999</v>
      </c>
      <c r="L19" s="30">
        <v>11.687000000000001</v>
      </c>
      <c r="M19" s="51">
        <v>10.9914191678</v>
      </c>
      <c r="N19" s="9">
        <v>5</v>
      </c>
      <c r="O19" s="37">
        <v>100.62</v>
      </c>
      <c r="P19" s="51">
        <v>5.6706000000000003</v>
      </c>
      <c r="Q19" s="73">
        <v>1</v>
      </c>
      <c r="R19" s="73">
        <v>1</v>
      </c>
    </row>
    <row r="20" spans="1:18" x14ac:dyDescent="0.2">
      <c r="A20" t="s">
        <v>9</v>
      </c>
      <c r="B20" s="1" t="s">
        <v>905</v>
      </c>
      <c r="C20" s="40"/>
      <c r="D20" s="1">
        <v>69435</v>
      </c>
      <c r="E20" s="1" t="s">
        <v>731</v>
      </c>
      <c r="F20" s="1">
        <v>119.12</v>
      </c>
      <c r="G20" s="1">
        <v>4</v>
      </c>
      <c r="H20" s="9">
        <v>-605.16</v>
      </c>
      <c r="I20" s="9">
        <v>-436.36</v>
      </c>
      <c r="J20" s="9">
        <v>-3.48834</v>
      </c>
      <c r="K20" s="9">
        <v>2.1966000000000001</v>
      </c>
      <c r="L20" s="30">
        <v>11.548999999999999</v>
      </c>
      <c r="M20" s="51">
        <v>10.9712010976</v>
      </c>
      <c r="N20" s="9">
        <v>5</v>
      </c>
      <c r="O20" s="37">
        <v>83.55</v>
      </c>
      <c r="P20" s="51">
        <v>2.0122</v>
      </c>
      <c r="Q20" s="73">
        <v>1</v>
      </c>
      <c r="R20" s="73">
        <v>1</v>
      </c>
    </row>
    <row r="21" spans="1:18" x14ac:dyDescent="0.2">
      <c r="A21" t="s">
        <v>10</v>
      </c>
      <c r="B21" s="1" t="s">
        <v>906</v>
      </c>
      <c r="C21" s="42" t="s">
        <v>992</v>
      </c>
      <c r="D21" s="1">
        <v>6288</v>
      </c>
      <c r="E21" s="1" t="s">
        <v>732</v>
      </c>
      <c r="F21" s="1">
        <v>119.12</v>
      </c>
      <c r="G21" s="1">
        <v>4</v>
      </c>
      <c r="H21" s="9">
        <v>-605.16</v>
      </c>
      <c r="I21" s="9">
        <v>-436.36</v>
      </c>
      <c r="J21" s="9">
        <v>-3.48834</v>
      </c>
      <c r="K21" s="9">
        <v>2.1966000000000001</v>
      </c>
      <c r="L21" s="30">
        <v>11.651</v>
      </c>
      <c r="M21" s="51">
        <v>11.056291145399999</v>
      </c>
      <c r="N21" s="9">
        <v>5</v>
      </c>
      <c r="O21" s="37">
        <v>83.55</v>
      </c>
      <c r="P21" s="51">
        <v>2.9815999999999998</v>
      </c>
      <c r="Q21" s="73">
        <v>1</v>
      </c>
      <c r="R21" s="73">
        <v>1</v>
      </c>
    </row>
    <row r="22" spans="1:18" x14ac:dyDescent="0.2">
      <c r="A22" t="s">
        <v>865</v>
      </c>
      <c r="B22" s="1" t="s">
        <v>992</v>
      </c>
      <c r="C22" s="42"/>
      <c r="D22" s="1">
        <v>205</v>
      </c>
      <c r="E22" s="1" t="s">
        <v>809</v>
      </c>
      <c r="F22" s="1">
        <v>119.12</v>
      </c>
      <c r="G22" s="1">
        <v>4</v>
      </c>
      <c r="H22" s="9">
        <v>-605.16</v>
      </c>
      <c r="I22" s="9">
        <v>-436.36</v>
      </c>
      <c r="J22" s="9">
        <v>-3.48834</v>
      </c>
      <c r="K22" s="9">
        <v>2.1966000000000001</v>
      </c>
      <c r="L22" s="30">
        <v>11.6</v>
      </c>
      <c r="M22" s="51">
        <v>11.013746121499999</v>
      </c>
      <c r="N22" s="9">
        <v>5</v>
      </c>
      <c r="O22" s="37">
        <v>83.55</v>
      </c>
      <c r="P22" s="51">
        <v>2.4969000000000001</v>
      </c>
      <c r="Q22" s="73">
        <v>1</v>
      </c>
      <c r="R22" s="73">
        <v>1</v>
      </c>
    </row>
    <row r="23" spans="1:18" x14ac:dyDescent="0.2">
      <c r="A23" t="s">
        <v>866</v>
      </c>
      <c r="B23" s="1" t="s">
        <v>907</v>
      </c>
      <c r="C23" s="40"/>
      <c r="D23" s="1">
        <v>12647</v>
      </c>
      <c r="E23" s="29" t="s">
        <v>795</v>
      </c>
      <c r="F23" s="1">
        <v>119.12</v>
      </c>
      <c r="G23" s="1">
        <v>4</v>
      </c>
      <c r="H23" s="9">
        <v>-599.88</v>
      </c>
      <c r="I23" s="9">
        <v>-433.92</v>
      </c>
      <c r="J23" s="9">
        <v>-3.6164000000000001</v>
      </c>
      <c r="K23" s="9">
        <v>2.27481</v>
      </c>
      <c r="L23" s="30">
        <v>11.672000000000001</v>
      </c>
      <c r="M23" s="51">
        <v>10.6447731432</v>
      </c>
      <c r="N23" s="9">
        <v>5</v>
      </c>
      <c r="O23" s="37">
        <v>83.55</v>
      </c>
      <c r="P23" s="51">
        <v>4.4600999999999997</v>
      </c>
      <c r="Q23" s="73">
        <v>0</v>
      </c>
      <c r="R23" s="73">
        <v>1</v>
      </c>
    </row>
    <row r="24" spans="1:18" x14ac:dyDescent="0.2">
      <c r="A24" t="s">
        <v>623</v>
      </c>
      <c r="B24" s="1" t="s">
        <v>908</v>
      </c>
      <c r="C24" s="40"/>
      <c r="D24" s="1">
        <v>90624</v>
      </c>
      <c r="E24" s="1" t="s">
        <v>787</v>
      </c>
      <c r="F24" s="1">
        <v>119.12</v>
      </c>
      <c r="G24" s="1">
        <v>4</v>
      </c>
      <c r="H24" s="9">
        <v>-605.16</v>
      </c>
      <c r="I24" s="9">
        <v>-436.36</v>
      </c>
      <c r="J24" s="9">
        <v>-3.48834</v>
      </c>
      <c r="K24" s="9">
        <v>2.1966000000000001</v>
      </c>
      <c r="L24" s="30">
        <v>11.638999999999999</v>
      </c>
      <c r="M24" s="51">
        <v>10.7559589236</v>
      </c>
      <c r="N24" s="9">
        <v>5</v>
      </c>
      <c r="O24" s="37">
        <v>83.55</v>
      </c>
      <c r="P24" s="51">
        <v>3.9533</v>
      </c>
      <c r="Q24" s="73">
        <v>1</v>
      </c>
      <c r="R24" s="73">
        <v>1</v>
      </c>
    </row>
    <row r="25" spans="1:18" x14ac:dyDescent="0.2">
      <c r="A25" t="s">
        <v>624</v>
      </c>
      <c r="B25" s="1" t="s">
        <v>909</v>
      </c>
      <c r="C25" s="40"/>
      <c r="D25" s="1">
        <v>99289</v>
      </c>
      <c r="E25" s="1" t="s">
        <v>786</v>
      </c>
      <c r="F25" s="1">
        <v>119.12</v>
      </c>
      <c r="G25" s="1">
        <v>4</v>
      </c>
      <c r="H25" s="9">
        <v>-605.16</v>
      </c>
      <c r="I25" s="9">
        <v>-436.36</v>
      </c>
      <c r="J25" s="9">
        <v>-3.48834</v>
      </c>
      <c r="K25" s="9">
        <v>2.1966000000000001</v>
      </c>
      <c r="L25" s="30">
        <v>11.419</v>
      </c>
      <c r="M25" s="51">
        <v>10.874872741600001</v>
      </c>
      <c r="N25" s="9">
        <v>5</v>
      </c>
      <c r="O25" s="37">
        <v>83.55</v>
      </c>
      <c r="P25" s="51">
        <v>4.0202</v>
      </c>
      <c r="Q25" s="73">
        <v>1</v>
      </c>
      <c r="R25" s="73">
        <v>1</v>
      </c>
    </row>
    <row r="26" spans="1:18" x14ac:dyDescent="0.2">
      <c r="A26" t="s">
        <v>63</v>
      </c>
      <c r="B26" s="1" t="s">
        <v>910</v>
      </c>
      <c r="C26" s="40"/>
      <c r="D26" s="1">
        <v>439691</v>
      </c>
      <c r="E26" s="1" t="s">
        <v>788</v>
      </c>
      <c r="F26" s="1">
        <v>103.12</v>
      </c>
      <c r="G26" s="1">
        <v>4</v>
      </c>
      <c r="H26" s="9">
        <v>-447.65</v>
      </c>
      <c r="I26" s="9">
        <v>-297.10000000000002</v>
      </c>
      <c r="J26" s="9">
        <v>-2.4828700000000001</v>
      </c>
      <c r="K26" s="9">
        <v>1.5982700000000001</v>
      </c>
      <c r="L26" s="30">
        <v>11.651999999999999</v>
      </c>
      <c r="M26" s="51">
        <v>10.9556905996</v>
      </c>
      <c r="N26" s="9">
        <v>5</v>
      </c>
      <c r="O26" s="37">
        <v>63.319999999999993</v>
      </c>
      <c r="P26" s="51">
        <v>2.2225999999999999</v>
      </c>
      <c r="Q26" s="73">
        <v>1</v>
      </c>
      <c r="R26" s="73">
        <v>1</v>
      </c>
    </row>
    <row r="27" spans="1:18" x14ac:dyDescent="0.2">
      <c r="A27" t="s">
        <v>64</v>
      </c>
      <c r="B27" s="1" t="s">
        <v>911</v>
      </c>
      <c r="C27" s="40"/>
      <c r="D27" s="1">
        <v>80283</v>
      </c>
      <c r="E27" s="1" t="s">
        <v>733</v>
      </c>
      <c r="F27" s="1">
        <v>103.12</v>
      </c>
      <c r="G27" s="1">
        <v>4</v>
      </c>
      <c r="H27" s="9">
        <v>-447.65</v>
      </c>
      <c r="I27" s="9">
        <v>-297.10000000000002</v>
      </c>
      <c r="J27" s="9">
        <v>-2.4828700000000001</v>
      </c>
      <c r="K27" s="9">
        <v>1.5982700000000001</v>
      </c>
      <c r="L27" s="30">
        <v>11.651999999999999</v>
      </c>
      <c r="M27" s="51">
        <v>11.0178686486</v>
      </c>
      <c r="N27" s="9">
        <v>5</v>
      </c>
      <c r="O27" s="37">
        <v>63.319999999999993</v>
      </c>
      <c r="P27" s="51">
        <v>3.2942999999999998</v>
      </c>
      <c r="Q27" s="73">
        <v>1</v>
      </c>
      <c r="R27" s="73">
        <v>1</v>
      </c>
    </row>
    <row r="28" spans="1:18" x14ac:dyDescent="0.2">
      <c r="A28" t="s">
        <v>1041</v>
      </c>
      <c r="B28" s="1" t="s">
        <v>1058</v>
      </c>
      <c r="C28" s="40"/>
      <c r="D28" s="1">
        <v>6657</v>
      </c>
      <c r="E28" s="1" t="s">
        <v>815</v>
      </c>
      <c r="F28" s="1">
        <v>103.12</v>
      </c>
      <c r="G28" s="1">
        <v>4</v>
      </c>
      <c r="H28" s="9">
        <v>-447.65</v>
      </c>
      <c r="I28" s="9">
        <v>-297.10000000000002</v>
      </c>
      <c r="J28" s="9">
        <v>-2.4828700000000001</v>
      </c>
      <c r="K28" s="9">
        <v>1.5982700000000001</v>
      </c>
      <c r="L28" s="30">
        <v>11.651999999999999</v>
      </c>
      <c r="M28" s="51">
        <v>10.9867796241</v>
      </c>
      <c r="N28" s="9">
        <v>5</v>
      </c>
      <c r="O28" s="37">
        <v>63.319999999999993</v>
      </c>
      <c r="P28" s="51">
        <v>2.7584499999999998</v>
      </c>
      <c r="Q28" s="73">
        <v>1</v>
      </c>
      <c r="R28" s="73">
        <v>1</v>
      </c>
    </row>
    <row r="29" spans="1:18" x14ac:dyDescent="0.2">
      <c r="A29" t="s">
        <v>65</v>
      </c>
      <c r="B29" s="1" t="s">
        <v>912</v>
      </c>
      <c r="C29" s="40"/>
      <c r="D29" s="1">
        <v>5706670</v>
      </c>
      <c r="E29" s="1" t="s">
        <v>789</v>
      </c>
      <c r="F29" s="1">
        <v>103.12</v>
      </c>
      <c r="G29" s="1">
        <v>4</v>
      </c>
      <c r="H29" s="9">
        <v>-447.65</v>
      </c>
      <c r="I29" s="9">
        <v>-297.10000000000002</v>
      </c>
      <c r="J29" s="9">
        <v>-0.54649499999999995</v>
      </c>
      <c r="K29" s="9">
        <v>0.20898800000000001</v>
      </c>
      <c r="L29" s="30">
        <v>11.532999999999999</v>
      </c>
      <c r="M29" s="51">
        <v>11.008997732199999</v>
      </c>
      <c r="N29" s="9">
        <v>5</v>
      </c>
      <c r="O29" s="37">
        <v>63.319999999999993</v>
      </c>
      <c r="P29" s="51">
        <v>3.4329999999999998</v>
      </c>
      <c r="Q29" s="73">
        <v>1</v>
      </c>
      <c r="R29" s="73">
        <v>1</v>
      </c>
    </row>
    <row r="30" spans="1:18" x14ac:dyDescent="0.2">
      <c r="A30" t="s">
        <v>66</v>
      </c>
      <c r="B30" s="1" t="s">
        <v>913</v>
      </c>
      <c r="C30" s="40"/>
      <c r="D30" s="1">
        <v>5706671</v>
      </c>
      <c r="E30" s="1" t="s">
        <v>790</v>
      </c>
      <c r="F30" s="1">
        <v>103.12</v>
      </c>
      <c r="G30" s="1">
        <v>4</v>
      </c>
      <c r="H30" s="9">
        <v>-447.65</v>
      </c>
      <c r="I30" s="9">
        <v>-297.10000000000002</v>
      </c>
      <c r="J30" s="9">
        <v>-0.54649499999999995</v>
      </c>
      <c r="K30" s="9">
        <v>0.20898800000000001</v>
      </c>
      <c r="L30" s="30">
        <v>11.532999999999999</v>
      </c>
      <c r="M30" s="51">
        <v>10.9855959282</v>
      </c>
      <c r="N30" s="9">
        <v>5</v>
      </c>
      <c r="O30" s="37">
        <v>63.319999999999993</v>
      </c>
      <c r="P30" s="51">
        <v>3.8538999999999999</v>
      </c>
      <c r="Q30" s="73">
        <v>1</v>
      </c>
      <c r="R30" s="73">
        <v>1</v>
      </c>
    </row>
    <row r="31" spans="1:18" x14ac:dyDescent="0.2">
      <c r="A31" t="s">
        <v>1042</v>
      </c>
      <c r="B31" s="1" t="s">
        <v>1059</v>
      </c>
      <c r="C31" s="40"/>
      <c r="D31" s="1">
        <v>10932</v>
      </c>
      <c r="E31" s="1" t="s">
        <v>836</v>
      </c>
      <c r="F31" s="1">
        <v>103.12</v>
      </c>
      <c r="G31" s="1">
        <v>4</v>
      </c>
      <c r="H31" s="9">
        <v>-447.65</v>
      </c>
      <c r="I31" s="9">
        <v>-297.10000000000002</v>
      </c>
      <c r="J31" s="9">
        <v>-0.54649499999999995</v>
      </c>
      <c r="K31" s="9">
        <v>0.20898800000000001</v>
      </c>
      <c r="L31" s="30">
        <v>11.532999999999999</v>
      </c>
      <c r="M31" s="51">
        <v>10.9972968302</v>
      </c>
      <c r="N31" s="9">
        <v>5</v>
      </c>
      <c r="O31" s="37">
        <v>63.319999999999993</v>
      </c>
      <c r="P31" s="51">
        <v>3.6434499999999996</v>
      </c>
      <c r="Q31" s="73">
        <v>1</v>
      </c>
      <c r="R31" s="73">
        <v>1</v>
      </c>
    </row>
    <row r="32" spans="1:18" x14ac:dyDescent="0.2">
      <c r="A32" t="s">
        <v>11</v>
      </c>
      <c r="B32" s="1" t="s">
        <v>914</v>
      </c>
      <c r="C32" s="40"/>
      <c r="D32" s="1">
        <v>119</v>
      </c>
      <c r="E32" s="29" t="s">
        <v>814</v>
      </c>
      <c r="F32" s="1">
        <v>103.12</v>
      </c>
      <c r="G32" s="1">
        <v>4</v>
      </c>
      <c r="H32" s="9">
        <v>-442.37</v>
      </c>
      <c r="I32" s="9">
        <v>-294.66000000000003</v>
      </c>
      <c r="J32" s="9">
        <v>-0.67455600000000004</v>
      </c>
      <c r="K32" s="9">
        <v>0.29277199999999998</v>
      </c>
      <c r="L32" s="30">
        <v>11.535</v>
      </c>
      <c r="M32" s="51">
        <v>11.0288892656</v>
      </c>
      <c r="N32" s="9">
        <v>5</v>
      </c>
      <c r="O32" s="37">
        <v>63.320000000000007</v>
      </c>
      <c r="P32" s="51">
        <v>6.7701000000000002</v>
      </c>
      <c r="Q32" s="73">
        <v>1</v>
      </c>
      <c r="R32" s="73">
        <v>1</v>
      </c>
    </row>
    <row r="33" spans="1:18" x14ac:dyDescent="0.2">
      <c r="A33" t="s">
        <v>14</v>
      </c>
      <c r="B33" s="1" t="s">
        <v>916</v>
      </c>
      <c r="C33" s="37"/>
      <c r="D33" s="1">
        <v>6119</v>
      </c>
      <c r="E33" s="29" t="s">
        <v>835</v>
      </c>
      <c r="F33" s="1">
        <v>103.12</v>
      </c>
      <c r="G33" s="1">
        <v>4</v>
      </c>
      <c r="H33" s="9">
        <v>-451.12</v>
      </c>
      <c r="I33" s="9">
        <v>-291.82</v>
      </c>
      <c r="J33" s="9">
        <v>-2.69746</v>
      </c>
      <c r="K33" s="9">
        <v>1.7387900000000001</v>
      </c>
      <c r="L33" s="30">
        <v>11.686</v>
      </c>
      <c r="M33" s="51">
        <v>11.003446606600001</v>
      </c>
      <c r="N33" s="9">
        <v>5</v>
      </c>
      <c r="O33" s="37">
        <v>63.320000000000007</v>
      </c>
      <c r="P33" s="51">
        <v>2.0731000000000002</v>
      </c>
      <c r="Q33" s="73">
        <v>1</v>
      </c>
      <c r="R33" s="73">
        <v>1</v>
      </c>
    </row>
    <row r="34" spans="1:18" x14ac:dyDescent="0.2">
      <c r="A34" t="s">
        <v>509</v>
      </c>
      <c r="B34" s="1" t="s">
        <v>917</v>
      </c>
      <c r="C34" s="37"/>
      <c r="D34" s="1">
        <v>439433</v>
      </c>
      <c r="E34" s="1" t="s">
        <v>791</v>
      </c>
      <c r="F34" s="1">
        <v>103.12</v>
      </c>
      <c r="G34" s="1">
        <v>4</v>
      </c>
      <c r="H34" s="9">
        <v>-447.65</v>
      </c>
      <c r="I34" s="9">
        <v>-297.10000000000002</v>
      </c>
      <c r="J34" s="9">
        <v>-0.73009999999999997</v>
      </c>
      <c r="K34" s="9">
        <v>0.342281</v>
      </c>
      <c r="L34" s="30">
        <v>11.635</v>
      </c>
      <c r="M34" s="51">
        <v>10.9485884242</v>
      </c>
      <c r="N34" s="9">
        <v>5</v>
      </c>
      <c r="O34" s="37">
        <v>63.319999999999993</v>
      </c>
      <c r="P34" s="51">
        <v>2.0789</v>
      </c>
      <c r="Q34" s="73">
        <v>1</v>
      </c>
      <c r="R34" s="73">
        <v>1</v>
      </c>
    </row>
    <row r="35" spans="1:18" x14ac:dyDescent="0.2">
      <c r="A35" t="s">
        <v>510</v>
      </c>
      <c r="B35" s="1" t="s">
        <v>918</v>
      </c>
      <c r="C35" s="37"/>
      <c r="D35" s="1">
        <v>439434</v>
      </c>
      <c r="E35" s="1" t="s">
        <v>792</v>
      </c>
      <c r="F35" s="1">
        <v>103.12</v>
      </c>
      <c r="G35" s="1">
        <v>4</v>
      </c>
      <c r="H35" s="9">
        <v>-447.65</v>
      </c>
      <c r="I35" s="9">
        <v>-297.10000000000002</v>
      </c>
      <c r="J35" s="9">
        <v>-0.73009999999999997</v>
      </c>
      <c r="K35" s="9">
        <v>0.342281</v>
      </c>
      <c r="L35" s="30">
        <v>11.635</v>
      </c>
      <c r="M35" s="51">
        <v>10.991092631000001</v>
      </c>
      <c r="N35" s="9">
        <v>5</v>
      </c>
      <c r="O35" s="37">
        <v>63.320000000000007</v>
      </c>
      <c r="P35" s="51">
        <v>1.1606000000000001</v>
      </c>
      <c r="Q35" s="73">
        <v>1</v>
      </c>
      <c r="R35" s="73">
        <v>1</v>
      </c>
    </row>
    <row r="36" spans="1:18" x14ac:dyDescent="0.2">
      <c r="A36" t="s">
        <v>1044</v>
      </c>
      <c r="B36" s="1" t="s">
        <v>1060</v>
      </c>
      <c r="C36" s="37"/>
      <c r="D36" s="1">
        <v>64956</v>
      </c>
      <c r="E36" s="1" t="s">
        <v>837</v>
      </c>
      <c r="F36" s="1">
        <v>103.12</v>
      </c>
      <c r="G36" s="1">
        <v>4</v>
      </c>
      <c r="H36" s="9">
        <v>-447.65</v>
      </c>
      <c r="I36" s="9">
        <v>-297.10000000000002</v>
      </c>
      <c r="J36" s="9">
        <v>-0.73009999999999997</v>
      </c>
      <c r="K36" s="9">
        <v>0.342281</v>
      </c>
      <c r="L36" s="30">
        <v>11.635</v>
      </c>
      <c r="M36" s="51">
        <v>10.969840527600001</v>
      </c>
      <c r="N36" s="9">
        <v>5</v>
      </c>
      <c r="O36" s="37">
        <v>63.319999999999993</v>
      </c>
      <c r="P36" s="51">
        <v>1.61975</v>
      </c>
      <c r="Q36" s="73">
        <v>1</v>
      </c>
      <c r="R36" s="73">
        <v>1</v>
      </c>
    </row>
    <row r="37" spans="1:18" x14ac:dyDescent="0.2">
      <c r="A37" t="s">
        <v>595</v>
      </c>
      <c r="B37" s="1" t="s">
        <v>919</v>
      </c>
      <c r="C37" s="37"/>
      <c r="D37" s="1">
        <v>535</v>
      </c>
      <c r="E37" s="29" t="s">
        <v>734</v>
      </c>
      <c r="F37" s="1">
        <v>101.1</v>
      </c>
      <c r="G37" s="1">
        <v>4</v>
      </c>
      <c r="H37" s="9">
        <v>-354.33</v>
      </c>
      <c r="I37" s="9">
        <v>-239.4</v>
      </c>
      <c r="J37" s="9">
        <v>-3.0663399999999998</v>
      </c>
      <c r="K37" s="9">
        <v>1.8868799999999999</v>
      </c>
      <c r="L37" s="30">
        <v>11.381</v>
      </c>
      <c r="M37" s="51">
        <v>11.0429575594</v>
      </c>
      <c r="N37" s="9">
        <v>5</v>
      </c>
      <c r="O37" s="37">
        <v>63.319999999999993</v>
      </c>
      <c r="P37" s="51">
        <v>2.1208</v>
      </c>
      <c r="Q37" s="73">
        <v>1</v>
      </c>
      <c r="R37" s="73">
        <v>0</v>
      </c>
    </row>
    <row r="38" spans="1:18" x14ac:dyDescent="0.2">
      <c r="A38" t="s">
        <v>627</v>
      </c>
      <c r="B38" s="1" t="s">
        <v>941</v>
      </c>
      <c r="C38" s="37"/>
      <c r="D38" s="1">
        <v>26062</v>
      </c>
      <c r="E38" s="29" t="s">
        <v>735</v>
      </c>
      <c r="F38" s="1">
        <v>119.12</v>
      </c>
      <c r="G38" s="1">
        <v>4</v>
      </c>
      <c r="H38" s="9">
        <v>-599.88</v>
      </c>
      <c r="I38" s="9">
        <v>-433.92</v>
      </c>
      <c r="J38" s="9">
        <v>-1.44641</v>
      </c>
      <c r="K38" s="9">
        <v>0.73476300000000005</v>
      </c>
      <c r="L38" s="30">
        <v>11.446</v>
      </c>
      <c r="M38" s="51">
        <v>10.7228426498</v>
      </c>
      <c r="N38" s="9">
        <v>5</v>
      </c>
      <c r="O38" s="37">
        <v>83.55</v>
      </c>
      <c r="P38" s="51">
        <v>3.3498000000000001</v>
      </c>
      <c r="Q38" s="75">
        <v>0</v>
      </c>
      <c r="R38" s="75">
        <v>1</v>
      </c>
    </row>
    <row r="39" spans="1:18" x14ac:dyDescent="0.2">
      <c r="A39" t="s">
        <v>625</v>
      </c>
      <c r="B39" s="1" t="s">
        <v>940</v>
      </c>
      <c r="C39" s="37"/>
      <c r="D39" s="1">
        <v>2733883</v>
      </c>
      <c r="E39" s="1" t="s">
        <v>793</v>
      </c>
      <c r="F39" s="1">
        <v>119.12</v>
      </c>
      <c r="G39" s="1">
        <v>4</v>
      </c>
      <c r="H39" s="9">
        <v>-599.88</v>
      </c>
      <c r="I39" s="9">
        <v>-433.92</v>
      </c>
      <c r="J39" s="9">
        <v>-1.6800299999999999</v>
      </c>
      <c r="K39" s="9">
        <v>0.90402099999999996</v>
      </c>
      <c r="L39" s="30">
        <v>10.592000000000001</v>
      </c>
      <c r="M39" s="51">
        <v>10.800231871399999</v>
      </c>
      <c r="N39" s="9">
        <v>5</v>
      </c>
      <c r="O39" s="37">
        <v>83.55</v>
      </c>
      <c r="P39" s="51">
        <v>5.0083000000000002</v>
      </c>
      <c r="Q39" s="73">
        <v>0</v>
      </c>
      <c r="R39" s="73">
        <v>1</v>
      </c>
    </row>
    <row r="40" spans="1:18" x14ac:dyDescent="0.2">
      <c r="A40" t="s">
        <v>626</v>
      </c>
      <c r="B40" s="1" t="s">
        <v>939</v>
      </c>
      <c r="C40" s="37"/>
      <c r="D40" s="1">
        <v>6971281</v>
      </c>
      <c r="E40" s="1" t="s">
        <v>794</v>
      </c>
      <c r="F40" s="1">
        <v>119.12</v>
      </c>
      <c r="G40" s="1">
        <v>4</v>
      </c>
      <c r="H40" s="9">
        <v>-599.88</v>
      </c>
      <c r="I40" s="9">
        <v>-433.92</v>
      </c>
      <c r="J40" s="9">
        <v>-1.6800299999999999</v>
      </c>
      <c r="K40" s="9">
        <v>0.90402099999999996</v>
      </c>
      <c r="L40" s="30">
        <v>10.592000000000001</v>
      </c>
      <c r="M40" s="51">
        <v>10.8323957462</v>
      </c>
      <c r="N40" s="9">
        <v>5</v>
      </c>
      <c r="O40" s="37">
        <v>83.55</v>
      </c>
      <c r="P40" s="51">
        <v>3.5291000000000001</v>
      </c>
      <c r="Q40" s="73">
        <v>0</v>
      </c>
      <c r="R40" s="73">
        <v>1</v>
      </c>
    </row>
    <row r="41" spans="1:18" x14ac:dyDescent="0.2">
      <c r="A41" t="s">
        <v>893</v>
      </c>
      <c r="B41" s="1" t="s">
        <v>920</v>
      </c>
      <c r="C41" s="37"/>
      <c r="D41" s="1">
        <v>7009640</v>
      </c>
      <c r="E41" s="1" t="s">
        <v>736</v>
      </c>
      <c r="F41" s="1">
        <v>119.12</v>
      </c>
      <c r="G41" s="1">
        <v>4</v>
      </c>
      <c r="H41" s="9">
        <v>-580.20000000000005</v>
      </c>
      <c r="I41" s="9">
        <v>-410.98</v>
      </c>
      <c r="J41" s="9">
        <v>-1.4073899999999999</v>
      </c>
      <c r="K41" s="9">
        <v>0.86846599999999996</v>
      </c>
      <c r="L41" s="30">
        <v>11.151</v>
      </c>
      <c r="M41" s="51">
        <v>11.0472025378</v>
      </c>
      <c r="N41" s="9">
        <v>5</v>
      </c>
      <c r="O41" s="37">
        <v>69.56</v>
      </c>
      <c r="P41" s="51">
        <v>1.5406</v>
      </c>
      <c r="Q41" s="73">
        <v>0</v>
      </c>
      <c r="R41" s="73">
        <v>1</v>
      </c>
    </row>
    <row r="42" spans="1:18" x14ac:dyDescent="0.2">
      <c r="A42" t="s">
        <v>621</v>
      </c>
      <c r="B42" s="1" t="s">
        <v>921</v>
      </c>
      <c r="C42" s="37"/>
      <c r="D42" s="1">
        <v>2724170</v>
      </c>
      <c r="E42" s="1" t="s">
        <v>737</v>
      </c>
      <c r="F42" s="1">
        <v>119.12</v>
      </c>
      <c r="G42" s="1">
        <v>4</v>
      </c>
      <c r="H42" s="9">
        <v>-599.88</v>
      </c>
      <c r="I42" s="9">
        <v>-433.92</v>
      </c>
      <c r="J42" s="9">
        <v>-3.6164000000000001</v>
      </c>
      <c r="K42" s="9">
        <v>2.27481</v>
      </c>
      <c r="L42" s="30">
        <v>11.718999999999999</v>
      </c>
      <c r="M42" s="51">
        <v>11.188647395</v>
      </c>
      <c r="N42" s="9">
        <v>5</v>
      </c>
      <c r="O42" s="37">
        <v>83.55</v>
      </c>
      <c r="P42" s="51">
        <v>2.7010999999999998</v>
      </c>
      <c r="Q42" s="73">
        <v>1</v>
      </c>
      <c r="R42" s="73">
        <v>1</v>
      </c>
    </row>
    <row r="43" spans="1:18" x14ac:dyDescent="0.2">
      <c r="A43" t="s">
        <v>622</v>
      </c>
      <c r="B43" s="1" t="s">
        <v>922</v>
      </c>
      <c r="C43" s="37"/>
      <c r="D43" s="1">
        <v>12647</v>
      </c>
      <c r="E43" s="1" t="s">
        <v>738</v>
      </c>
      <c r="F43" s="1">
        <v>119.12</v>
      </c>
      <c r="G43" s="1">
        <v>4</v>
      </c>
      <c r="H43" s="9">
        <v>-599.88</v>
      </c>
      <c r="I43" s="9">
        <v>-433.92</v>
      </c>
      <c r="J43" s="9">
        <v>-3.6164000000000001</v>
      </c>
      <c r="K43" s="9">
        <v>2.27481</v>
      </c>
      <c r="L43" s="30">
        <v>11.67</v>
      </c>
      <c r="M43" s="51">
        <v>11.061597368399999</v>
      </c>
      <c r="N43" s="9">
        <v>5</v>
      </c>
      <c r="O43" s="37">
        <v>83.55</v>
      </c>
      <c r="P43" s="51">
        <v>3.7258</v>
      </c>
      <c r="Q43" s="73">
        <v>1</v>
      </c>
      <c r="R43" s="73">
        <v>1</v>
      </c>
    </row>
    <row r="44" spans="1:18" x14ac:dyDescent="0.2">
      <c r="A44" t="s">
        <v>1046</v>
      </c>
      <c r="B44" s="1" t="s">
        <v>923</v>
      </c>
      <c r="C44" s="37"/>
      <c r="D44" s="1">
        <v>1502076</v>
      </c>
      <c r="E44" s="29" t="s">
        <v>796</v>
      </c>
      <c r="F44" s="1">
        <v>119.12</v>
      </c>
      <c r="G44" s="1">
        <v>4</v>
      </c>
      <c r="H44" s="9">
        <v>-599.88</v>
      </c>
      <c r="I44" s="9">
        <v>-433.92</v>
      </c>
      <c r="J44" s="9">
        <v>-1.6800299999999999</v>
      </c>
      <c r="K44" s="9">
        <v>0.904891</v>
      </c>
      <c r="L44" s="30">
        <v>11.46</v>
      </c>
      <c r="M44" s="51">
        <v>10.901322222399999</v>
      </c>
      <c r="N44" s="9">
        <v>5</v>
      </c>
      <c r="O44" s="37">
        <v>83.55</v>
      </c>
      <c r="P44" s="51">
        <v>3.6295999999999999</v>
      </c>
      <c r="Q44" s="73">
        <v>0</v>
      </c>
      <c r="R44" s="73">
        <v>1</v>
      </c>
    </row>
    <row r="45" spans="1:18" x14ac:dyDescent="0.2">
      <c r="A45" t="s">
        <v>632</v>
      </c>
      <c r="B45" s="1" t="s">
        <v>938</v>
      </c>
      <c r="C45" s="37"/>
      <c r="D45" s="1">
        <v>23644509</v>
      </c>
      <c r="E45" s="29" t="s">
        <v>797</v>
      </c>
      <c r="F45" s="1">
        <v>119.12</v>
      </c>
      <c r="G45" s="1">
        <v>4</v>
      </c>
      <c r="H45" s="9">
        <v>-599.88</v>
      </c>
      <c r="I45" s="9">
        <v>-433.92</v>
      </c>
      <c r="J45" s="9">
        <v>-1.8636299999999999</v>
      </c>
      <c r="K45" s="9">
        <v>1.0382199999999999</v>
      </c>
      <c r="L45" s="30">
        <v>11.583</v>
      </c>
      <c r="M45" s="51">
        <v>10.9967253908</v>
      </c>
      <c r="N45" s="9">
        <v>5</v>
      </c>
      <c r="O45" s="37">
        <v>63.320000000000007</v>
      </c>
      <c r="P45" s="51">
        <v>5.2655000000000003</v>
      </c>
      <c r="Q45" s="73">
        <v>0</v>
      </c>
      <c r="R45" s="73">
        <v>1</v>
      </c>
    </row>
    <row r="46" spans="1:18" x14ac:dyDescent="0.2">
      <c r="A46" t="s">
        <v>567</v>
      </c>
      <c r="B46" s="1" t="s">
        <v>924</v>
      </c>
      <c r="C46" s="37"/>
      <c r="D46" s="1">
        <v>439600</v>
      </c>
      <c r="E46" s="1" t="s">
        <v>739</v>
      </c>
      <c r="F46" s="1">
        <v>132.12</v>
      </c>
      <c r="G46" s="1">
        <v>4</v>
      </c>
      <c r="H46" s="9">
        <v>-526.44000000000005</v>
      </c>
      <c r="I46" s="9">
        <v>-359.57</v>
      </c>
      <c r="J46" s="9">
        <v>-4.4406400000000001</v>
      </c>
      <c r="K46" s="9">
        <v>2.4504299999999999</v>
      </c>
      <c r="L46" s="30">
        <v>11.449</v>
      </c>
      <c r="M46" s="51">
        <v>11.020372097399999</v>
      </c>
      <c r="N46" s="9">
        <v>6</v>
      </c>
      <c r="O46" s="37">
        <v>106.41</v>
      </c>
      <c r="P46" s="51">
        <v>2.1999</v>
      </c>
      <c r="Q46" s="73">
        <v>1</v>
      </c>
      <c r="R46" s="73">
        <v>0</v>
      </c>
    </row>
    <row r="47" spans="1:18" x14ac:dyDescent="0.2">
      <c r="A47" t="s">
        <v>568</v>
      </c>
      <c r="B47" s="34" t="s">
        <v>925</v>
      </c>
      <c r="C47" s="42" t="s">
        <v>1023</v>
      </c>
      <c r="D47" s="1">
        <v>6267</v>
      </c>
      <c r="E47" s="1" t="s">
        <v>740</v>
      </c>
      <c r="F47" s="1">
        <v>132.12</v>
      </c>
      <c r="G47" s="1">
        <v>4</v>
      </c>
      <c r="H47" s="9">
        <v>-526.44000000000005</v>
      </c>
      <c r="I47" s="9">
        <v>-359.57</v>
      </c>
      <c r="J47" s="9">
        <v>-4.4406400000000001</v>
      </c>
      <c r="K47" s="9">
        <v>2.4504299999999999</v>
      </c>
      <c r="L47" s="30">
        <v>11.429</v>
      </c>
      <c r="M47" s="51">
        <v>11.020372097399999</v>
      </c>
      <c r="N47" s="9">
        <v>6</v>
      </c>
      <c r="O47" s="37">
        <v>106.41</v>
      </c>
      <c r="P47" s="51">
        <v>2.1999</v>
      </c>
      <c r="Q47" s="73">
        <v>1</v>
      </c>
      <c r="R47" s="73">
        <v>0</v>
      </c>
    </row>
    <row r="48" spans="1:18" x14ac:dyDescent="0.2">
      <c r="A48" t="s">
        <v>868</v>
      </c>
      <c r="B48" s="34" t="s">
        <v>1023</v>
      </c>
      <c r="C48" s="42"/>
      <c r="D48" s="1">
        <v>236</v>
      </c>
      <c r="E48" s="1" t="s">
        <v>816</v>
      </c>
      <c r="F48" s="1">
        <v>132.12</v>
      </c>
      <c r="G48" s="1">
        <v>4</v>
      </c>
      <c r="H48" s="9">
        <v>-526.44000000000005</v>
      </c>
      <c r="I48" s="9">
        <v>-359.57</v>
      </c>
      <c r="J48" s="9">
        <v>-4.4406400000000001</v>
      </c>
      <c r="K48" s="9">
        <v>2.4504299999999999</v>
      </c>
      <c r="L48" s="30">
        <v>11.439</v>
      </c>
      <c r="M48" s="51">
        <v>11.020372097399999</v>
      </c>
      <c r="N48" s="9">
        <v>6</v>
      </c>
      <c r="O48" s="37">
        <v>106.41</v>
      </c>
      <c r="P48" s="51">
        <v>2.1999</v>
      </c>
      <c r="Q48" s="73">
        <v>1</v>
      </c>
      <c r="R48" s="73">
        <v>0</v>
      </c>
    </row>
    <row r="49" spans="1:18" x14ac:dyDescent="0.2">
      <c r="A49" t="s">
        <v>15</v>
      </c>
      <c r="B49" s="34" t="s">
        <v>926</v>
      </c>
      <c r="C49" s="37"/>
      <c r="D49" s="1">
        <v>71563</v>
      </c>
      <c r="E49" s="1" t="s">
        <v>741</v>
      </c>
      <c r="F49" s="1">
        <v>117.15</v>
      </c>
      <c r="G49" s="1">
        <v>5</v>
      </c>
      <c r="H49" s="9">
        <v>-473.57</v>
      </c>
      <c r="I49" s="9">
        <v>-291.12</v>
      </c>
      <c r="J49" s="9">
        <v>-2.1703000000000001</v>
      </c>
      <c r="K49" s="9">
        <v>1.35209</v>
      </c>
      <c r="L49" s="30">
        <v>11.68</v>
      </c>
      <c r="M49" s="51">
        <v>10.9351187812</v>
      </c>
      <c r="N49" s="9">
        <v>5</v>
      </c>
      <c r="O49" s="37">
        <v>63.319999999999993</v>
      </c>
      <c r="P49" s="51">
        <v>6.6650999999999998</v>
      </c>
      <c r="Q49" s="73">
        <v>0</v>
      </c>
      <c r="R49" s="73">
        <v>1</v>
      </c>
    </row>
    <row r="50" spans="1:18" x14ac:dyDescent="0.2">
      <c r="A50" t="s">
        <v>16</v>
      </c>
      <c r="B50" s="1" t="s">
        <v>927</v>
      </c>
      <c r="C50" s="37" t="s">
        <v>1024</v>
      </c>
      <c r="D50" s="1">
        <v>6287</v>
      </c>
      <c r="E50" s="1" t="s">
        <v>742</v>
      </c>
      <c r="F50" s="1">
        <v>117.15</v>
      </c>
      <c r="G50" s="1">
        <v>5</v>
      </c>
      <c r="H50" s="9">
        <v>-473.57</v>
      </c>
      <c r="I50" s="9">
        <v>-291.12</v>
      </c>
      <c r="J50" s="9">
        <v>-2.1703000000000001</v>
      </c>
      <c r="K50" s="9">
        <v>1.35209</v>
      </c>
      <c r="L50" s="30">
        <v>11.66</v>
      </c>
      <c r="M50" s="51">
        <v>11.3559430822</v>
      </c>
      <c r="N50" s="9">
        <v>5</v>
      </c>
      <c r="O50" s="37">
        <v>63.319999999999993</v>
      </c>
      <c r="P50" s="51">
        <v>6.9020999999999999</v>
      </c>
      <c r="Q50" s="73">
        <v>1</v>
      </c>
      <c r="R50" s="73">
        <v>1</v>
      </c>
    </row>
    <row r="51" spans="1:18" x14ac:dyDescent="0.2">
      <c r="A51" t="s">
        <v>869</v>
      </c>
      <c r="B51" s="1" t="s">
        <v>1024</v>
      </c>
      <c r="C51" s="37"/>
      <c r="D51" s="1">
        <v>1182</v>
      </c>
      <c r="E51" s="1" t="s">
        <v>817</v>
      </c>
      <c r="F51" s="1">
        <v>117.15</v>
      </c>
      <c r="G51" s="1">
        <v>5</v>
      </c>
      <c r="H51" s="9">
        <v>-473.57</v>
      </c>
      <c r="I51" s="9">
        <v>-291.12</v>
      </c>
      <c r="J51" s="9">
        <v>-2.1703000000000001</v>
      </c>
      <c r="K51" s="9">
        <v>1.35209</v>
      </c>
      <c r="L51" s="30">
        <v>11.67</v>
      </c>
      <c r="M51" s="51">
        <v>11.1455309317</v>
      </c>
      <c r="N51" s="9">
        <v>5</v>
      </c>
      <c r="O51" s="37">
        <v>63.319999999999993</v>
      </c>
      <c r="P51" s="51">
        <v>6.7835999999999999</v>
      </c>
      <c r="Q51" s="73">
        <v>1</v>
      </c>
      <c r="R51" s="73">
        <v>1</v>
      </c>
    </row>
    <row r="52" spans="1:18" x14ac:dyDescent="0.2">
      <c r="A52" t="s">
        <v>23</v>
      </c>
      <c r="B52" s="1" t="s">
        <v>928</v>
      </c>
      <c r="C52" s="37"/>
      <c r="D52" s="1">
        <v>2724877</v>
      </c>
      <c r="E52" s="1" t="s">
        <v>798</v>
      </c>
      <c r="F52" s="1">
        <v>117.15</v>
      </c>
      <c r="G52" s="1">
        <v>5</v>
      </c>
      <c r="H52" s="9">
        <v>-471.76</v>
      </c>
      <c r="I52" s="9">
        <v>-283.39999999999998</v>
      </c>
      <c r="J52" s="9">
        <v>-2.3578800000000002</v>
      </c>
      <c r="K52" s="9">
        <v>1.4759800000000001</v>
      </c>
      <c r="L52" s="30">
        <v>11.627000000000001</v>
      </c>
      <c r="M52" s="51">
        <v>10.9658404518</v>
      </c>
      <c r="N52" s="9">
        <v>5</v>
      </c>
      <c r="O52" s="37">
        <v>63.319999999999993</v>
      </c>
      <c r="P52" s="51">
        <v>1.9842</v>
      </c>
      <c r="Q52" s="73">
        <v>0</v>
      </c>
      <c r="R52" s="73">
        <v>1</v>
      </c>
    </row>
    <row r="53" spans="1:18" x14ac:dyDescent="0.2">
      <c r="A53" t="s">
        <v>24</v>
      </c>
      <c r="B53" s="1" t="s">
        <v>929</v>
      </c>
      <c r="C53" s="37"/>
      <c r="D53" s="1">
        <v>6971276</v>
      </c>
      <c r="E53" s="1" t="s">
        <v>799</v>
      </c>
      <c r="F53" s="1">
        <v>117.15</v>
      </c>
      <c r="G53" s="1">
        <v>5</v>
      </c>
      <c r="H53" s="9">
        <v>-471.76</v>
      </c>
      <c r="I53" s="9">
        <v>-283.39999999999998</v>
      </c>
      <c r="J53" s="9">
        <v>-2.3578800000000002</v>
      </c>
      <c r="K53" s="9">
        <v>1.4759800000000001</v>
      </c>
      <c r="L53" s="30">
        <v>11.57</v>
      </c>
      <c r="M53" s="51">
        <v>11.087829158</v>
      </c>
      <c r="N53" s="9">
        <v>5</v>
      </c>
      <c r="O53" s="37">
        <v>63.319999999999993</v>
      </c>
      <c r="P53" s="51">
        <v>3.5855999999999999</v>
      </c>
      <c r="Q53" s="73">
        <v>0</v>
      </c>
      <c r="R53" s="73">
        <v>1</v>
      </c>
    </row>
    <row r="54" spans="1:18" x14ac:dyDescent="0.2">
      <c r="A54" t="s">
        <v>870</v>
      </c>
      <c r="B54" s="1" t="s">
        <v>1061</v>
      </c>
      <c r="C54" s="37"/>
      <c r="D54" s="1">
        <v>94744</v>
      </c>
      <c r="E54" s="1" t="s">
        <v>818</v>
      </c>
      <c r="F54" s="1">
        <v>117.15</v>
      </c>
      <c r="G54" s="1">
        <v>5</v>
      </c>
      <c r="H54" s="9">
        <v>-471.76</v>
      </c>
      <c r="I54" s="9">
        <v>-283.39999999999998</v>
      </c>
      <c r="J54" s="9">
        <v>-2.3578800000000002</v>
      </c>
      <c r="K54" s="9">
        <v>1.4759800000000001</v>
      </c>
      <c r="L54" s="30">
        <v>11.598500000000001</v>
      </c>
      <c r="M54" s="51">
        <v>11.0268348049</v>
      </c>
      <c r="N54" s="9">
        <v>5</v>
      </c>
      <c r="O54" s="37">
        <v>63.319999999999993</v>
      </c>
      <c r="P54" s="51">
        <v>2.7848999999999999</v>
      </c>
      <c r="Q54" s="73">
        <v>0</v>
      </c>
      <c r="R54" s="73">
        <v>1</v>
      </c>
    </row>
    <row r="55" spans="1:18" x14ac:dyDescent="0.2">
      <c r="A55" t="s">
        <v>25</v>
      </c>
      <c r="B55" s="1" t="s">
        <v>930</v>
      </c>
      <c r="C55" s="37"/>
      <c r="D55" s="1">
        <v>439575</v>
      </c>
      <c r="E55" s="1" t="s">
        <v>744</v>
      </c>
      <c r="F55" s="1">
        <v>117.15</v>
      </c>
      <c r="G55" s="1">
        <v>5</v>
      </c>
      <c r="H55" s="9">
        <v>-468.29</v>
      </c>
      <c r="I55" s="9">
        <v>-288.68</v>
      </c>
      <c r="J55" s="9">
        <v>-1.9298999999999999</v>
      </c>
      <c r="K55" s="9">
        <v>1.18424</v>
      </c>
      <c r="L55" s="30">
        <v>11.708</v>
      </c>
      <c r="M55" s="51">
        <v>11.224974614000001</v>
      </c>
      <c r="N55" s="9">
        <v>5</v>
      </c>
      <c r="O55" s="37">
        <v>63.319999999999993</v>
      </c>
      <c r="P55" s="51">
        <v>1.9144000000000001</v>
      </c>
      <c r="Q55" s="73">
        <v>0</v>
      </c>
      <c r="R55" s="73">
        <v>1</v>
      </c>
    </row>
    <row r="56" spans="1:18" x14ac:dyDescent="0.2">
      <c r="A56" t="s">
        <v>26</v>
      </c>
      <c r="B56" s="1" t="s">
        <v>1004</v>
      </c>
      <c r="C56" s="37"/>
      <c r="D56" s="1">
        <v>65098</v>
      </c>
      <c r="E56" s="1" t="s">
        <v>743</v>
      </c>
      <c r="F56" s="1">
        <v>117.15</v>
      </c>
      <c r="G56" s="1">
        <v>5</v>
      </c>
      <c r="H56" s="9">
        <v>-468.29</v>
      </c>
      <c r="I56" s="9">
        <v>-288.68</v>
      </c>
      <c r="J56" s="9">
        <v>-1.9298999999999999</v>
      </c>
      <c r="K56" s="9">
        <v>1.18424</v>
      </c>
      <c r="L56" s="30">
        <v>11.680999999999999</v>
      </c>
      <c r="M56" s="51">
        <v>10.9640989222</v>
      </c>
      <c r="N56" s="9">
        <v>5</v>
      </c>
      <c r="O56" s="37">
        <v>63.319999999999993</v>
      </c>
      <c r="P56" s="51">
        <v>2.8037000000000001</v>
      </c>
      <c r="Q56" s="73">
        <v>1</v>
      </c>
      <c r="R56" s="73">
        <v>1</v>
      </c>
    </row>
    <row r="57" spans="1:18" x14ac:dyDescent="0.2">
      <c r="A57" t="s">
        <v>871</v>
      </c>
      <c r="B57" s="1" t="s">
        <v>1062</v>
      </c>
      <c r="C57" s="37"/>
      <c r="D57" s="1">
        <v>824</v>
      </c>
      <c r="E57" s="1" t="s">
        <v>819</v>
      </c>
      <c r="F57" s="1">
        <v>117.15</v>
      </c>
      <c r="G57" s="1">
        <v>5</v>
      </c>
      <c r="H57" s="9">
        <v>-468.29</v>
      </c>
      <c r="I57" s="9">
        <v>-288.68</v>
      </c>
      <c r="J57" s="9">
        <v>-1.9298999999999999</v>
      </c>
      <c r="K57" s="9">
        <v>1.18424</v>
      </c>
      <c r="L57" s="30">
        <v>11.6945</v>
      </c>
      <c r="M57" s="51">
        <v>11.094536768099999</v>
      </c>
      <c r="N57" s="9">
        <v>5</v>
      </c>
      <c r="O57" s="37">
        <v>63.319999999999993</v>
      </c>
      <c r="P57" s="51">
        <v>2.3590499999999999</v>
      </c>
      <c r="Q57" s="73">
        <v>1</v>
      </c>
      <c r="R57" s="73">
        <v>1</v>
      </c>
    </row>
    <row r="58" spans="1:18" x14ac:dyDescent="0.2">
      <c r="A58" s="15" t="s">
        <v>841</v>
      </c>
      <c r="B58" s="1" t="s">
        <v>937</v>
      </c>
      <c r="C58" s="37"/>
      <c r="D58" s="4">
        <v>14731979</v>
      </c>
      <c r="E58" s="4" t="s">
        <v>801</v>
      </c>
      <c r="F58" s="4">
        <v>117.15</v>
      </c>
      <c r="G58" s="1">
        <v>5</v>
      </c>
      <c r="H58" s="12">
        <v>-468.29</v>
      </c>
      <c r="I58" s="12">
        <v>-288.68</v>
      </c>
      <c r="J58" s="12">
        <v>-0.20691100000000001</v>
      </c>
      <c r="K58" s="12">
        <v>-5.3371599999999998E-2</v>
      </c>
      <c r="L58" s="30">
        <v>11.507</v>
      </c>
      <c r="M58" s="51">
        <v>11.0304947382</v>
      </c>
      <c r="N58" s="12">
        <v>5</v>
      </c>
      <c r="O58" s="37">
        <v>63.320000000000007</v>
      </c>
      <c r="P58" s="51">
        <v>1.2248000000000001</v>
      </c>
      <c r="Q58" s="73">
        <v>0</v>
      </c>
      <c r="R58" s="73">
        <v>1</v>
      </c>
    </row>
    <row r="59" spans="1:18" x14ac:dyDescent="0.2">
      <c r="A59" s="15" t="s">
        <v>842</v>
      </c>
      <c r="B59" s="1" t="s">
        <v>936</v>
      </c>
      <c r="C59" s="37"/>
      <c r="D59" s="4">
        <v>11320932</v>
      </c>
      <c r="E59" s="4" t="s">
        <v>800</v>
      </c>
      <c r="F59" s="4">
        <v>117.15</v>
      </c>
      <c r="G59" s="1">
        <v>5</v>
      </c>
      <c r="H59" s="12">
        <v>-468.29</v>
      </c>
      <c r="I59" s="12">
        <v>-288.68</v>
      </c>
      <c r="J59" s="12">
        <v>-0.20691100000000001</v>
      </c>
      <c r="K59" s="12">
        <v>-5.3371599999999998E-2</v>
      </c>
      <c r="L59" s="30">
        <v>11.507</v>
      </c>
      <c r="M59" s="51">
        <v>10.7987352444</v>
      </c>
      <c r="N59" s="12">
        <v>5</v>
      </c>
      <c r="O59" s="37">
        <v>63.320000000000007</v>
      </c>
      <c r="P59" s="51">
        <v>3.0497000000000001</v>
      </c>
      <c r="Q59" s="73">
        <v>0</v>
      </c>
      <c r="R59" s="73">
        <v>1</v>
      </c>
    </row>
    <row r="60" spans="1:18" x14ac:dyDescent="0.2">
      <c r="A60" s="15" t="s">
        <v>1048</v>
      </c>
      <c r="B60" s="1" t="s">
        <v>1063</v>
      </c>
      <c r="C60" s="37"/>
      <c r="D60" s="4">
        <v>14731978</v>
      </c>
      <c r="E60" s="4" t="s">
        <v>838</v>
      </c>
      <c r="F60" s="4">
        <v>117.15</v>
      </c>
      <c r="G60" s="1">
        <v>5</v>
      </c>
      <c r="H60" s="12">
        <v>-468.29</v>
      </c>
      <c r="I60" s="12">
        <v>-288.68</v>
      </c>
      <c r="J60" s="12">
        <v>-0.20691100000000001</v>
      </c>
      <c r="K60" s="12">
        <v>-5.3371599999999998E-2</v>
      </c>
      <c r="L60" s="30">
        <v>11.507</v>
      </c>
      <c r="M60" s="51">
        <v>10.914614991299999</v>
      </c>
      <c r="N60" s="12">
        <v>5</v>
      </c>
      <c r="O60" s="37">
        <v>63.319999999999993</v>
      </c>
      <c r="P60" s="51">
        <v>2.1372499999999999</v>
      </c>
      <c r="Q60" s="74">
        <v>0</v>
      </c>
      <c r="R60" s="74">
        <v>1</v>
      </c>
    </row>
    <row r="61" spans="1:18" x14ac:dyDescent="0.2">
      <c r="A61" t="s">
        <v>68</v>
      </c>
      <c r="B61" s="1" t="s">
        <v>932</v>
      </c>
      <c r="C61" s="37"/>
      <c r="D61" s="1">
        <v>2760933</v>
      </c>
      <c r="E61" s="29" t="s">
        <v>745</v>
      </c>
      <c r="F61" s="1">
        <v>117.15</v>
      </c>
      <c r="G61" s="1">
        <v>5</v>
      </c>
      <c r="H61" s="9">
        <v>-471.76</v>
      </c>
      <c r="I61" s="9">
        <v>-283.39999999999998</v>
      </c>
      <c r="J61" s="9">
        <v>-0.132214</v>
      </c>
      <c r="K61" s="9">
        <v>-0.11305800000000001</v>
      </c>
      <c r="L61" s="30">
        <v>11.558999999999999</v>
      </c>
      <c r="M61" s="51">
        <v>11.047692343</v>
      </c>
      <c r="N61" s="9">
        <v>5</v>
      </c>
      <c r="O61" s="37">
        <v>63.319999999999993</v>
      </c>
      <c r="P61" s="51">
        <v>3.3639999999999999</v>
      </c>
      <c r="Q61" s="73">
        <v>0</v>
      </c>
      <c r="R61" s="73">
        <v>1</v>
      </c>
    </row>
    <row r="62" spans="1:18" x14ac:dyDescent="0.2">
      <c r="A62" t="s">
        <v>69</v>
      </c>
      <c r="B62" s="1" t="s">
        <v>935</v>
      </c>
      <c r="C62" s="37"/>
      <c r="D62" s="1">
        <v>95739</v>
      </c>
      <c r="E62" s="29" t="s">
        <v>746</v>
      </c>
      <c r="F62" s="1">
        <v>117.15</v>
      </c>
      <c r="G62" s="1">
        <v>5</v>
      </c>
      <c r="H62" s="9">
        <v>-471.76</v>
      </c>
      <c r="I62" s="9">
        <v>-283.39999999999998</v>
      </c>
      <c r="J62" s="9">
        <v>-0.52138200000000001</v>
      </c>
      <c r="K62" s="9">
        <v>0.169073</v>
      </c>
      <c r="L62" s="30">
        <v>11.539</v>
      </c>
      <c r="M62" s="51">
        <v>11.0942510484</v>
      </c>
      <c r="N62" s="9">
        <v>5</v>
      </c>
      <c r="O62" s="37">
        <v>63.320000000000007</v>
      </c>
      <c r="P62" s="51">
        <v>3.1730999999999998</v>
      </c>
      <c r="Q62" s="73">
        <v>0</v>
      </c>
      <c r="R62" s="73">
        <v>1</v>
      </c>
    </row>
    <row r="63" spans="1:18" x14ac:dyDescent="0.2">
      <c r="A63" s="15" t="s">
        <v>70</v>
      </c>
      <c r="B63" s="1" t="s">
        <v>942</v>
      </c>
      <c r="C63" s="37"/>
      <c r="D63" s="4">
        <v>444457</v>
      </c>
      <c r="E63" s="29" t="s">
        <v>797</v>
      </c>
      <c r="F63" s="4">
        <v>117.15</v>
      </c>
      <c r="G63" s="1">
        <v>5</v>
      </c>
      <c r="H63" s="12">
        <v>-468.29</v>
      </c>
      <c r="I63" s="12">
        <v>-288.68</v>
      </c>
      <c r="J63" s="12">
        <v>-0.17713499999999999</v>
      </c>
      <c r="K63" s="12">
        <v>-7.0672200000000004E-2</v>
      </c>
      <c r="L63" s="30">
        <v>11.629</v>
      </c>
      <c r="M63" s="51">
        <v>11.1069315608</v>
      </c>
      <c r="N63" s="12">
        <v>5</v>
      </c>
      <c r="O63" s="37">
        <v>63.319999999999993</v>
      </c>
      <c r="P63" s="51">
        <v>3.7831000000000001</v>
      </c>
      <c r="Q63" s="73">
        <v>0</v>
      </c>
      <c r="R63" s="73">
        <v>1</v>
      </c>
    </row>
    <row r="64" spans="1:18" x14ac:dyDescent="0.2">
      <c r="A64" s="15" t="s">
        <v>249</v>
      </c>
      <c r="B64" s="1" t="s">
        <v>933</v>
      </c>
      <c r="C64" s="37"/>
      <c r="D64" s="4">
        <v>444458</v>
      </c>
      <c r="E64" s="4" t="s">
        <v>802</v>
      </c>
      <c r="F64" s="4">
        <v>117.15</v>
      </c>
      <c r="G64" s="1">
        <v>5</v>
      </c>
      <c r="H64" s="12">
        <v>-468.29</v>
      </c>
      <c r="I64" s="12">
        <v>-288.68</v>
      </c>
      <c r="J64" s="12">
        <v>-0.20691100000000001</v>
      </c>
      <c r="K64" s="12">
        <v>-6.6387399999999999E-2</v>
      </c>
      <c r="L64" s="30">
        <v>11.484</v>
      </c>
      <c r="M64" s="51">
        <v>10.9619220102</v>
      </c>
      <c r="N64" s="12">
        <v>5</v>
      </c>
      <c r="O64" s="37">
        <v>63.320000000000007</v>
      </c>
      <c r="P64" s="51">
        <v>2.0064000000000002</v>
      </c>
      <c r="Q64" s="73">
        <v>0</v>
      </c>
      <c r="R64" s="73">
        <v>1</v>
      </c>
    </row>
    <row r="65" spans="1:18" x14ac:dyDescent="0.2">
      <c r="A65" s="15" t="s">
        <v>250</v>
      </c>
      <c r="B65" s="1" t="s">
        <v>934</v>
      </c>
      <c r="C65" s="37"/>
      <c r="D65" s="4">
        <v>5312968</v>
      </c>
      <c r="E65" s="4" t="s">
        <v>803</v>
      </c>
      <c r="F65" s="4">
        <v>117.15</v>
      </c>
      <c r="G65" s="1">
        <v>5</v>
      </c>
      <c r="H65" s="12">
        <v>-468.29</v>
      </c>
      <c r="I65" s="12">
        <v>-288.68</v>
      </c>
      <c r="J65" s="12">
        <v>-0.20691100000000001</v>
      </c>
      <c r="K65" s="12">
        <v>-6.6387399999999999E-2</v>
      </c>
      <c r="L65" s="30">
        <v>11.484</v>
      </c>
      <c r="M65" s="51">
        <v>10.9177306966</v>
      </c>
      <c r="N65" s="12">
        <v>5</v>
      </c>
      <c r="O65" s="37">
        <v>63.319999999999993</v>
      </c>
      <c r="P65" s="51">
        <v>3.4213</v>
      </c>
      <c r="Q65" s="73">
        <v>0</v>
      </c>
      <c r="R65" s="73">
        <v>1</v>
      </c>
    </row>
    <row r="66" spans="1:18" x14ac:dyDescent="0.2">
      <c r="A66" s="15" t="s">
        <v>1049</v>
      </c>
      <c r="B66" s="1" t="s">
        <v>1064</v>
      </c>
      <c r="C66" s="37"/>
      <c r="D66" s="4">
        <v>223130</v>
      </c>
      <c r="E66" s="4" t="s">
        <v>820</v>
      </c>
      <c r="F66" s="4">
        <v>117.15</v>
      </c>
      <c r="G66" s="1">
        <v>5</v>
      </c>
      <c r="H66" s="12">
        <v>-468.29</v>
      </c>
      <c r="I66" s="12">
        <v>-288.68</v>
      </c>
      <c r="J66" s="12">
        <v>-0.20691100000000001</v>
      </c>
      <c r="K66" s="12">
        <v>-6.6387399999999999E-2</v>
      </c>
      <c r="L66" s="30">
        <v>11.484</v>
      </c>
      <c r="M66" s="51">
        <v>10.939826353400001</v>
      </c>
      <c r="N66" s="12">
        <v>5</v>
      </c>
      <c r="O66" s="37">
        <v>63.319999999999993</v>
      </c>
      <c r="P66" s="51">
        <v>2.7138499999999999</v>
      </c>
      <c r="Q66" s="74">
        <v>0</v>
      </c>
      <c r="R66" s="74">
        <v>1</v>
      </c>
    </row>
    <row r="67" spans="1:18" x14ac:dyDescent="0.2">
      <c r="A67" t="s">
        <v>71</v>
      </c>
      <c r="B67" s="1" t="s">
        <v>931</v>
      </c>
      <c r="C67" s="37"/>
      <c r="D67" s="1">
        <v>928193</v>
      </c>
      <c r="E67" s="29" t="s">
        <v>804</v>
      </c>
      <c r="F67" s="1">
        <v>117.15</v>
      </c>
      <c r="G67" s="1">
        <v>5</v>
      </c>
      <c r="H67" s="12">
        <v>-468.29</v>
      </c>
      <c r="I67" s="12">
        <v>-288.68</v>
      </c>
      <c r="J67" s="9">
        <v>-0.39051599999999997</v>
      </c>
      <c r="K67" s="9">
        <v>6.8298499999999998E-2</v>
      </c>
      <c r="L67" s="30">
        <v>11.500999999999999</v>
      </c>
      <c r="M67" s="51">
        <v>10.9920994528</v>
      </c>
      <c r="N67" s="9">
        <v>5</v>
      </c>
      <c r="O67" s="37">
        <v>63.320000000000007</v>
      </c>
      <c r="P67" s="51">
        <v>2.0253000000000001</v>
      </c>
      <c r="Q67" s="75">
        <v>0</v>
      </c>
      <c r="R67" s="75">
        <v>1</v>
      </c>
    </row>
    <row r="68" spans="1:18" x14ac:dyDescent="0.2">
      <c r="A68" t="s">
        <v>72</v>
      </c>
      <c r="B68" s="1" t="s">
        <v>983</v>
      </c>
      <c r="C68" s="37"/>
      <c r="D68" s="1">
        <v>3539719</v>
      </c>
      <c r="E68" s="29" t="s">
        <v>805</v>
      </c>
      <c r="F68" s="1">
        <v>117.15</v>
      </c>
      <c r="G68" s="1">
        <v>5</v>
      </c>
      <c r="H68" s="12">
        <v>-468.29</v>
      </c>
      <c r="I68" s="12">
        <v>-288.68</v>
      </c>
      <c r="J68" s="9">
        <v>-0.361987</v>
      </c>
      <c r="K68" s="9">
        <v>4.6986899999999998E-2</v>
      </c>
      <c r="L68" s="30">
        <v>11.5</v>
      </c>
      <c r="M68" s="51">
        <v>10.818762834799999</v>
      </c>
      <c r="N68" s="9">
        <v>5</v>
      </c>
      <c r="O68" s="37">
        <v>63.319999999999993</v>
      </c>
      <c r="P68" s="51">
        <v>1.8640000000000001</v>
      </c>
      <c r="Q68" s="75">
        <v>0</v>
      </c>
      <c r="R68" s="75">
        <v>1</v>
      </c>
    </row>
    <row r="69" spans="1:18" x14ac:dyDescent="0.2">
      <c r="A69" t="s">
        <v>73</v>
      </c>
      <c r="B69" s="1" t="s">
        <v>943</v>
      </c>
      <c r="C69" s="37"/>
      <c r="D69" s="1">
        <v>138</v>
      </c>
      <c r="E69" s="29" t="s">
        <v>806</v>
      </c>
      <c r="F69" s="1">
        <v>117.15</v>
      </c>
      <c r="G69" s="1">
        <v>5</v>
      </c>
      <c r="H69" s="9">
        <v>-463.01</v>
      </c>
      <c r="I69" s="9">
        <v>-286.24</v>
      </c>
      <c r="J69" s="9">
        <v>-0.33497199999999999</v>
      </c>
      <c r="K69" s="9">
        <v>2.9156499999999998E-2</v>
      </c>
      <c r="L69" s="30">
        <v>11.52</v>
      </c>
      <c r="M69" s="51">
        <v>10.9736229122</v>
      </c>
      <c r="N69" s="9">
        <v>5</v>
      </c>
      <c r="O69" s="37">
        <v>63.320000000000007</v>
      </c>
      <c r="P69" s="51">
        <v>3.4788999999999999</v>
      </c>
      <c r="Q69" s="73">
        <v>1</v>
      </c>
      <c r="R69" s="73">
        <v>1</v>
      </c>
    </row>
    <row r="70" spans="1:18" x14ac:dyDescent="0.2">
      <c r="A70" t="s">
        <v>17</v>
      </c>
      <c r="B70" s="1" t="s">
        <v>944</v>
      </c>
      <c r="C70" s="37"/>
      <c r="D70" s="1">
        <v>23327</v>
      </c>
      <c r="E70" s="1" t="s">
        <v>747</v>
      </c>
      <c r="F70" s="1">
        <v>147.30000000000001</v>
      </c>
      <c r="G70" s="1">
        <v>5</v>
      </c>
      <c r="H70" s="9">
        <v>-818.56</v>
      </c>
      <c r="I70" s="9">
        <v>-632.59</v>
      </c>
      <c r="J70" s="9">
        <v>-3.3607499999999999</v>
      </c>
      <c r="K70" s="9">
        <v>1.85205</v>
      </c>
      <c r="L70" s="30">
        <v>11.67</v>
      </c>
      <c r="M70" s="51">
        <v>10.855770338799999</v>
      </c>
      <c r="N70" s="9">
        <v>5</v>
      </c>
      <c r="O70" s="37">
        <v>100.62</v>
      </c>
      <c r="P70" s="51">
        <v>3.9369999999999998</v>
      </c>
      <c r="Q70" s="73">
        <v>1</v>
      </c>
      <c r="R70" s="73">
        <v>1</v>
      </c>
    </row>
    <row r="71" spans="1:18" x14ac:dyDescent="0.2">
      <c r="A71" t="s">
        <v>18</v>
      </c>
      <c r="B71" s="1" t="s">
        <v>945</v>
      </c>
      <c r="C71" s="42" t="s">
        <v>1025</v>
      </c>
      <c r="D71" s="1">
        <v>33032</v>
      </c>
      <c r="E71" s="1" t="s">
        <v>748</v>
      </c>
      <c r="F71" s="1">
        <v>147.30000000000001</v>
      </c>
      <c r="G71" s="1">
        <v>5</v>
      </c>
      <c r="H71" s="9">
        <v>-818.56</v>
      </c>
      <c r="I71" s="9">
        <v>-632.59</v>
      </c>
      <c r="J71" s="9">
        <v>-3.3607499999999999</v>
      </c>
      <c r="K71" s="9">
        <v>1.85205</v>
      </c>
      <c r="L71" s="30">
        <v>11.673</v>
      </c>
      <c r="M71" s="51">
        <v>10.9200980884</v>
      </c>
      <c r="N71" s="9">
        <v>5</v>
      </c>
      <c r="O71" s="37">
        <v>100.62</v>
      </c>
      <c r="P71" s="51">
        <v>3.0171999999999999</v>
      </c>
      <c r="Q71" s="73">
        <v>1</v>
      </c>
      <c r="R71" s="73">
        <v>1</v>
      </c>
    </row>
    <row r="72" spans="1:18" x14ac:dyDescent="0.2">
      <c r="A72" t="s">
        <v>872</v>
      </c>
      <c r="B72" s="1" t="s">
        <v>1025</v>
      </c>
      <c r="C72" s="42"/>
      <c r="D72" s="1">
        <v>611</v>
      </c>
      <c r="E72" s="1" t="s">
        <v>821</v>
      </c>
      <c r="F72" s="1">
        <v>147.30000000000001</v>
      </c>
      <c r="G72" s="1">
        <v>5</v>
      </c>
      <c r="H72" s="9">
        <v>-818.56</v>
      </c>
      <c r="I72" s="9">
        <v>-632.59</v>
      </c>
      <c r="J72" s="9">
        <v>-3.3607499999999999</v>
      </c>
      <c r="K72" s="9">
        <v>1.85205</v>
      </c>
      <c r="L72" s="30">
        <v>11.6715</v>
      </c>
      <c r="M72" s="51">
        <v>10.887934213599999</v>
      </c>
      <c r="N72" s="9">
        <v>5</v>
      </c>
      <c r="O72" s="37">
        <v>100.62</v>
      </c>
      <c r="P72" s="51">
        <v>3.4771000000000001</v>
      </c>
      <c r="Q72" s="73">
        <v>1</v>
      </c>
      <c r="R72" s="73">
        <v>1</v>
      </c>
    </row>
    <row r="73" spans="1:18" x14ac:dyDescent="0.2">
      <c r="A73" t="s">
        <v>19</v>
      </c>
      <c r="B73" s="34" t="s">
        <v>946</v>
      </c>
      <c r="C73" s="37"/>
      <c r="D73" s="1">
        <v>8988</v>
      </c>
      <c r="E73" s="1" t="s">
        <v>750</v>
      </c>
      <c r="F73" s="1">
        <v>115.13</v>
      </c>
      <c r="G73" s="1">
        <v>5</v>
      </c>
      <c r="H73" s="9">
        <v>-398.51</v>
      </c>
      <c r="I73" s="9">
        <v>-228.43</v>
      </c>
      <c r="J73" s="9">
        <v>-0.214836</v>
      </c>
      <c r="K73" s="9">
        <v>-0.16700400000000001</v>
      </c>
      <c r="L73" s="30">
        <v>11.117000000000001</v>
      </c>
      <c r="M73" s="51">
        <v>10.6022145136</v>
      </c>
      <c r="N73" s="9">
        <v>6</v>
      </c>
      <c r="O73" s="37">
        <v>49.33</v>
      </c>
      <c r="P73" s="51">
        <v>3.4327000000000001</v>
      </c>
      <c r="Q73" s="73">
        <v>1</v>
      </c>
      <c r="R73" s="73">
        <v>0</v>
      </c>
    </row>
    <row r="74" spans="1:18" x14ac:dyDescent="0.2">
      <c r="A74" t="s">
        <v>20</v>
      </c>
      <c r="B74" s="34" t="s">
        <v>947</v>
      </c>
      <c r="C74" s="42" t="s">
        <v>995</v>
      </c>
      <c r="D74" s="1">
        <v>145742</v>
      </c>
      <c r="E74" s="1" t="s">
        <v>749</v>
      </c>
      <c r="F74" s="1">
        <v>115.13</v>
      </c>
      <c r="G74" s="1">
        <v>5</v>
      </c>
      <c r="H74" s="9">
        <v>-398.51</v>
      </c>
      <c r="I74" s="9">
        <v>-228.43</v>
      </c>
      <c r="J74" s="9">
        <v>-0.214836</v>
      </c>
      <c r="K74" s="9">
        <v>-0.16700400000000001</v>
      </c>
      <c r="L74" s="30">
        <v>11.263999999999999</v>
      </c>
      <c r="M74" s="51">
        <v>10.6022145136</v>
      </c>
      <c r="N74" s="9">
        <v>6</v>
      </c>
      <c r="O74" s="37">
        <v>49.33</v>
      </c>
      <c r="P74" s="51">
        <v>3.4327000000000001</v>
      </c>
      <c r="Q74" s="73">
        <v>1</v>
      </c>
      <c r="R74" s="73">
        <v>0</v>
      </c>
    </row>
    <row r="75" spans="1:18" x14ac:dyDescent="0.2">
      <c r="A75" t="s">
        <v>873</v>
      </c>
      <c r="B75" s="34" t="s">
        <v>995</v>
      </c>
      <c r="C75" s="42"/>
      <c r="D75" s="1">
        <v>614</v>
      </c>
      <c r="E75" s="1" t="s">
        <v>822</v>
      </c>
      <c r="F75" s="1">
        <v>115.13</v>
      </c>
      <c r="G75" s="1">
        <v>5</v>
      </c>
      <c r="H75" s="9">
        <v>-398.51</v>
      </c>
      <c r="I75" s="9">
        <v>-228.43</v>
      </c>
      <c r="J75" s="9">
        <v>-0.214836</v>
      </c>
      <c r="K75" s="9">
        <v>-0.16700400000000001</v>
      </c>
      <c r="L75" s="30">
        <v>11.1905</v>
      </c>
      <c r="M75" s="51">
        <v>10.6022145136</v>
      </c>
      <c r="N75" s="9">
        <v>6</v>
      </c>
      <c r="O75" s="37">
        <v>49.33</v>
      </c>
      <c r="P75" s="51">
        <v>3.4327000000000001</v>
      </c>
      <c r="Q75" s="73">
        <v>1</v>
      </c>
      <c r="R75" s="73">
        <v>0</v>
      </c>
    </row>
    <row r="76" spans="1:18" x14ac:dyDescent="0.2">
      <c r="A76" t="s">
        <v>591</v>
      </c>
      <c r="B76" s="1" t="s">
        <v>948</v>
      </c>
      <c r="C76" s="37"/>
      <c r="D76" s="1">
        <v>5810</v>
      </c>
      <c r="E76" s="1" t="s">
        <v>751</v>
      </c>
      <c r="F76" s="1">
        <v>131.13</v>
      </c>
      <c r="G76" s="1">
        <v>5</v>
      </c>
      <c r="H76" s="9">
        <v>-571.08000000000004</v>
      </c>
      <c r="I76" s="9">
        <v>-372.96</v>
      </c>
      <c r="J76" s="9">
        <v>-1.22031</v>
      </c>
      <c r="K76" s="9">
        <v>0.42773899999999998</v>
      </c>
      <c r="L76" s="30">
        <v>11.249000000000001</v>
      </c>
      <c r="M76" s="51">
        <v>10.3306991644</v>
      </c>
      <c r="N76" s="9">
        <v>6</v>
      </c>
      <c r="O76" s="37">
        <v>69.56</v>
      </c>
      <c r="P76" s="51">
        <v>4.1780999999999997</v>
      </c>
      <c r="Q76" s="73">
        <v>1</v>
      </c>
      <c r="R76" s="73">
        <v>0</v>
      </c>
    </row>
    <row r="77" spans="1:18" x14ac:dyDescent="0.2">
      <c r="A77" t="s">
        <v>21</v>
      </c>
      <c r="B77" s="1" t="s">
        <v>949</v>
      </c>
      <c r="C77" s="37"/>
      <c r="D77" s="1">
        <v>84815</v>
      </c>
      <c r="E77" s="1" t="s">
        <v>752</v>
      </c>
      <c r="F77" s="1">
        <v>149.21</v>
      </c>
      <c r="G77" s="1">
        <v>5</v>
      </c>
      <c r="H77" s="9">
        <v>-426.42</v>
      </c>
      <c r="I77" s="9">
        <v>-255.56</v>
      </c>
      <c r="J77" s="9">
        <v>-1.8608499999999999</v>
      </c>
      <c r="K77" s="9">
        <v>0.90231600000000001</v>
      </c>
      <c r="L77" s="30">
        <v>10.569000000000001</v>
      </c>
      <c r="M77" s="51">
        <v>10.0409249658</v>
      </c>
      <c r="N77" s="9">
        <v>7</v>
      </c>
      <c r="O77" s="37">
        <v>88.61999999999999</v>
      </c>
      <c r="P77" s="51">
        <v>1.4484999999999999</v>
      </c>
      <c r="Q77" s="73">
        <v>1</v>
      </c>
      <c r="R77" s="73">
        <v>0</v>
      </c>
    </row>
    <row r="78" spans="1:18" x14ac:dyDescent="0.2">
      <c r="A78" t="s">
        <v>22</v>
      </c>
      <c r="B78" s="1" t="s">
        <v>950</v>
      </c>
      <c r="C78" s="37" t="s">
        <v>1026</v>
      </c>
      <c r="D78" s="1">
        <v>6137</v>
      </c>
      <c r="E78" s="1" t="s">
        <v>753</v>
      </c>
      <c r="F78" s="1">
        <v>149.21</v>
      </c>
      <c r="G78" s="1">
        <v>5</v>
      </c>
      <c r="H78" s="9">
        <v>-426.42</v>
      </c>
      <c r="I78" s="9">
        <v>-255.56</v>
      </c>
      <c r="J78" s="9">
        <v>-1.8608499999999999</v>
      </c>
      <c r="K78" s="9">
        <v>0.90231600000000001</v>
      </c>
      <c r="L78" s="30">
        <v>10.486000000000001</v>
      </c>
      <c r="M78" s="51">
        <v>10.0802726502</v>
      </c>
      <c r="N78" s="9">
        <v>7</v>
      </c>
      <c r="O78" s="37">
        <v>88.61999999999999</v>
      </c>
      <c r="P78" s="51">
        <v>4.0955000000000004</v>
      </c>
      <c r="Q78" s="73">
        <v>1</v>
      </c>
      <c r="R78" s="73">
        <v>0</v>
      </c>
    </row>
    <row r="79" spans="1:18" x14ac:dyDescent="0.2">
      <c r="A79" t="s">
        <v>874</v>
      </c>
      <c r="B79" s="1" t="s">
        <v>1026</v>
      </c>
      <c r="C79" s="37"/>
      <c r="D79" s="1">
        <v>876</v>
      </c>
      <c r="E79" s="1" t="s">
        <v>823</v>
      </c>
      <c r="F79" s="1">
        <v>149.21</v>
      </c>
      <c r="G79" s="1">
        <v>5</v>
      </c>
      <c r="H79" s="9">
        <v>-426.42</v>
      </c>
      <c r="I79" s="9">
        <v>-255.56</v>
      </c>
      <c r="J79" s="9">
        <v>-1.8608499999999999</v>
      </c>
      <c r="K79" s="9">
        <v>0.90231600000000001</v>
      </c>
      <c r="L79" s="30">
        <v>10.5275</v>
      </c>
      <c r="M79" s="51">
        <v>10.060598808</v>
      </c>
      <c r="N79" s="9">
        <v>7</v>
      </c>
      <c r="O79" s="37">
        <v>88.61999999999999</v>
      </c>
      <c r="P79" s="51">
        <v>2.7720000000000002</v>
      </c>
      <c r="Q79" s="73">
        <v>1</v>
      </c>
      <c r="R79" s="73">
        <v>0</v>
      </c>
    </row>
    <row r="80" spans="1:18" x14ac:dyDescent="0.2">
      <c r="A80" t="s">
        <v>588</v>
      </c>
      <c r="B80" s="1" t="s">
        <v>951</v>
      </c>
      <c r="C80" s="37"/>
      <c r="D80" s="1">
        <v>145815</v>
      </c>
      <c r="E80" s="1" t="s">
        <v>754</v>
      </c>
      <c r="F80" s="1">
        <v>146.15</v>
      </c>
      <c r="G80" s="1">
        <v>5</v>
      </c>
      <c r="H80" s="9">
        <v>-547.08000000000004</v>
      </c>
      <c r="I80" s="9">
        <v>-351.15</v>
      </c>
      <c r="J80" s="9">
        <v>-4.1010600000000004</v>
      </c>
      <c r="K80" s="9">
        <v>2.1704599999999998</v>
      </c>
      <c r="L80" s="30">
        <v>11.489000000000001</v>
      </c>
      <c r="M80" s="51">
        <v>10.9335677314</v>
      </c>
      <c r="N80" s="9">
        <v>6</v>
      </c>
      <c r="O80" s="37">
        <v>106.41</v>
      </c>
      <c r="P80" s="51">
        <v>4.7428999999999997</v>
      </c>
      <c r="Q80" s="73">
        <v>1</v>
      </c>
      <c r="R80" s="73">
        <v>0</v>
      </c>
    </row>
    <row r="81" spans="1:18" x14ac:dyDescent="0.2">
      <c r="A81" t="s">
        <v>596</v>
      </c>
      <c r="B81" s="34" t="s">
        <v>952</v>
      </c>
      <c r="C81" s="42" t="s">
        <v>1027</v>
      </c>
      <c r="D81" s="1">
        <v>5961</v>
      </c>
      <c r="E81" s="1" t="s">
        <v>755</v>
      </c>
      <c r="F81" s="1">
        <v>146.15</v>
      </c>
      <c r="G81" s="1">
        <v>5</v>
      </c>
      <c r="H81" s="9">
        <v>-547.08000000000004</v>
      </c>
      <c r="I81" s="9">
        <v>-351.15</v>
      </c>
      <c r="J81" s="9">
        <v>-4.1010600000000004</v>
      </c>
      <c r="K81" s="9">
        <v>2.1704599999999998</v>
      </c>
      <c r="L81" s="30">
        <v>11.414999999999999</v>
      </c>
      <c r="M81" s="51">
        <v>10.9483435216</v>
      </c>
      <c r="N81" s="9">
        <v>6</v>
      </c>
      <c r="O81" s="37">
        <v>106.41</v>
      </c>
      <c r="P81" s="51">
        <v>7.2516999999999996</v>
      </c>
      <c r="Q81" s="73">
        <v>1</v>
      </c>
      <c r="R81" s="73">
        <v>0</v>
      </c>
    </row>
    <row r="82" spans="1:18" x14ac:dyDescent="0.2">
      <c r="A82" t="s">
        <v>875</v>
      </c>
      <c r="B82" s="34" t="s">
        <v>1027</v>
      </c>
      <c r="C82" s="42"/>
      <c r="D82" s="1">
        <v>738</v>
      </c>
      <c r="E82" s="1" t="s">
        <v>824</v>
      </c>
      <c r="F82" s="1">
        <v>146.15</v>
      </c>
      <c r="G82" s="1">
        <v>5</v>
      </c>
      <c r="H82" s="9">
        <v>-547.08000000000004</v>
      </c>
      <c r="I82" s="9">
        <v>-351.15</v>
      </c>
      <c r="J82" s="9">
        <v>-4.1010600000000004</v>
      </c>
      <c r="K82" s="9">
        <v>2.1704599999999998</v>
      </c>
      <c r="L82" s="30">
        <v>11.452</v>
      </c>
      <c r="M82" s="51">
        <v>10.940955626499999</v>
      </c>
      <c r="N82" s="9">
        <v>6</v>
      </c>
      <c r="O82" s="37">
        <v>106.41</v>
      </c>
      <c r="P82" s="51">
        <v>5.9972999999999992</v>
      </c>
      <c r="Q82" s="73">
        <v>1</v>
      </c>
      <c r="R82" s="73">
        <v>0</v>
      </c>
    </row>
    <row r="83" spans="1:18" x14ac:dyDescent="0.2">
      <c r="A83" t="s">
        <v>597</v>
      </c>
      <c r="B83" s="1" t="s">
        <v>953</v>
      </c>
      <c r="C83" s="37"/>
      <c r="D83" s="1">
        <v>71082</v>
      </c>
      <c r="E83" s="1" t="s">
        <v>756</v>
      </c>
      <c r="F83" s="1">
        <v>132.16</v>
      </c>
      <c r="G83" s="1">
        <v>5</v>
      </c>
      <c r="H83" s="9">
        <v>-434.5</v>
      </c>
      <c r="I83" s="9">
        <v>-222.23</v>
      </c>
      <c r="J83" s="9">
        <v>-3.3275800000000002</v>
      </c>
      <c r="K83" s="9">
        <v>1.8929199999999999</v>
      </c>
      <c r="L83" s="30">
        <v>11.504</v>
      </c>
      <c r="M83" s="51">
        <v>10.7741633502</v>
      </c>
      <c r="N83" s="9">
        <v>6</v>
      </c>
      <c r="O83" s="37">
        <v>89.339999999999989</v>
      </c>
      <c r="P83" s="51">
        <v>3.7995000000000001</v>
      </c>
      <c r="Q83" s="73">
        <v>1</v>
      </c>
      <c r="R83" s="73">
        <v>0</v>
      </c>
    </row>
    <row r="84" spans="1:18" x14ac:dyDescent="0.2">
      <c r="A84" t="s">
        <v>598</v>
      </c>
      <c r="B84" s="1" t="s">
        <v>954</v>
      </c>
      <c r="C84" s="37"/>
      <c r="D84" s="1">
        <v>6262</v>
      </c>
      <c r="E84" s="1" t="s">
        <v>757</v>
      </c>
      <c r="F84" s="1">
        <v>132.16</v>
      </c>
      <c r="G84" s="1">
        <v>5</v>
      </c>
      <c r="H84" s="9">
        <v>-434.5</v>
      </c>
      <c r="I84" s="9">
        <v>-222.23</v>
      </c>
      <c r="J84" s="9">
        <v>-3.3275800000000002</v>
      </c>
      <c r="K84" s="9">
        <v>1.8929199999999999</v>
      </c>
      <c r="L84" s="30">
        <v>11.438000000000001</v>
      </c>
      <c r="M84" s="51">
        <v>10.7741633502</v>
      </c>
      <c r="N84" s="9">
        <v>6</v>
      </c>
      <c r="O84" s="37">
        <v>89.339999999999989</v>
      </c>
      <c r="P84" s="51">
        <v>3.7995000000000001</v>
      </c>
      <c r="Q84" s="73">
        <v>1</v>
      </c>
      <c r="R84" s="73">
        <v>0</v>
      </c>
    </row>
    <row r="85" spans="1:18" x14ac:dyDescent="0.2">
      <c r="A85" t="s">
        <v>876</v>
      </c>
      <c r="B85" s="1" t="s">
        <v>1065</v>
      </c>
      <c r="C85" s="37"/>
      <c r="D85" s="1">
        <v>389</v>
      </c>
      <c r="E85" s="1" t="s">
        <v>825</v>
      </c>
      <c r="F85" s="1">
        <v>132.16</v>
      </c>
      <c r="G85" s="1">
        <v>5</v>
      </c>
      <c r="H85" s="9">
        <v>-434.5</v>
      </c>
      <c r="I85" s="9">
        <v>-222.23</v>
      </c>
      <c r="J85" s="9">
        <v>-3.3275800000000002</v>
      </c>
      <c r="K85" s="9">
        <v>1.8929199999999999</v>
      </c>
      <c r="L85" s="30">
        <v>11.471</v>
      </c>
      <c r="M85" s="51">
        <v>10.7741633502</v>
      </c>
      <c r="N85" s="9">
        <v>6</v>
      </c>
      <c r="O85" s="37">
        <v>89.339999999999989</v>
      </c>
      <c r="P85" s="51">
        <v>3.7995000000000001</v>
      </c>
      <c r="Q85" s="73">
        <v>1</v>
      </c>
      <c r="R85" s="73">
        <v>0</v>
      </c>
    </row>
    <row r="86" spans="1:18" x14ac:dyDescent="0.2">
      <c r="A86" t="s">
        <v>628</v>
      </c>
      <c r="B86" s="1" t="s">
        <v>955</v>
      </c>
      <c r="C86" s="37"/>
      <c r="D86" s="1">
        <v>2424</v>
      </c>
      <c r="E86" s="1" t="s">
        <v>807</v>
      </c>
      <c r="F86" s="1">
        <v>147.13</v>
      </c>
      <c r="G86" s="1">
        <v>5</v>
      </c>
      <c r="H86" s="9">
        <v>-818.56</v>
      </c>
      <c r="I86" s="9">
        <v>-632.59</v>
      </c>
      <c r="J86" s="9">
        <v>-1.60798</v>
      </c>
      <c r="K86" s="9">
        <v>0.60808300000000004</v>
      </c>
      <c r="L86" s="30">
        <v>10.674999999999999</v>
      </c>
      <c r="M86" s="51">
        <v>10.7888847176</v>
      </c>
      <c r="N86" s="9">
        <v>6</v>
      </c>
      <c r="O86" s="37">
        <v>100.62</v>
      </c>
      <c r="P86" s="51">
        <v>3.0607000000000002</v>
      </c>
      <c r="Q86" s="73">
        <v>0</v>
      </c>
      <c r="R86" s="73">
        <v>1</v>
      </c>
    </row>
    <row r="87" spans="1:18" x14ac:dyDescent="0.2">
      <c r="A87" t="s">
        <v>629</v>
      </c>
      <c r="B87" s="1" t="s">
        <v>956</v>
      </c>
      <c r="C87" s="37"/>
      <c r="D87" s="1">
        <v>2425</v>
      </c>
      <c r="E87" s="1" t="s">
        <v>808</v>
      </c>
      <c r="F87" s="1">
        <v>147.13</v>
      </c>
      <c r="G87" s="1">
        <v>5</v>
      </c>
      <c r="H87" s="9">
        <v>-818.56</v>
      </c>
      <c r="I87" s="9">
        <v>-632.59</v>
      </c>
      <c r="J87" s="9">
        <v>-1.60798</v>
      </c>
      <c r="K87" s="9">
        <v>0.60808300000000004</v>
      </c>
      <c r="L87" s="30">
        <v>10.674999999999999</v>
      </c>
      <c r="M87" s="51">
        <v>10.914873499600001</v>
      </c>
      <c r="N87" s="9">
        <v>6</v>
      </c>
      <c r="O87" s="37">
        <v>100.62</v>
      </c>
      <c r="P87" s="51">
        <v>4.8131000000000004</v>
      </c>
      <c r="Q87" s="73">
        <v>0</v>
      </c>
      <c r="R87" s="73">
        <v>1</v>
      </c>
    </row>
    <row r="88" spans="1:18" x14ac:dyDescent="0.2">
      <c r="A88" t="s">
        <v>630</v>
      </c>
      <c r="B88" s="1" t="s">
        <v>957</v>
      </c>
      <c r="C88" s="37"/>
      <c r="D88" s="1">
        <v>165627</v>
      </c>
      <c r="E88" s="1" t="s">
        <v>758</v>
      </c>
      <c r="F88" s="1">
        <v>161.16999999999999</v>
      </c>
      <c r="G88" s="1">
        <v>6</v>
      </c>
      <c r="H88" s="9">
        <v>-839.2</v>
      </c>
      <c r="I88" s="9">
        <v>-624.16999999999996</v>
      </c>
      <c r="J88" s="9">
        <v>-3.0211600000000001</v>
      </c>
      <c r="K88" s="9">
        <v>1.58785</v>
      </c>
      <c r="L88" s="30">
        <v>11.512</v>
      </c>
      <c r="M88" s="51">
        <v>10.8972405124</v>
      </c>
      <c r="N88" s="9">
        <v>6</v>
      </c>
      <c r="O88" s="37">
        <v>100.62</v>
      </c>
      <c r="P88" s="51">
        <v>4.3110999999999997</v>
      </c>
      <c r="Q88" s="73">
        <v>1</v>
      </c>
      <c r="R88" s="73">
        <v>0</v>
      </c>
    </row>
    <row r="89" spans="1:18" x14ac:dyDescent="0.2">
      <c r="A89" t="s">
        <v>631</v>
      </c>
      <c r="B89" s="1" t="s">
        <v>958</v>
      </c>
      <c r="C89" s="37"/>
      <c r="D89" s="1">
        <v>92136</v>
      </c>
      <c r="E89" s="1" t="s">
        <v>759</v>
      </c>
      <c r="F89" s="1">
        <v>161.16999999999999</v>
      </c>
      <c r="G89" s="1">
        <v>6</v>
      </c>
      <c r="H89" s="9">
        <v>-839.2</v>
      </c>
      <c r="I89" s="9">
        <v>-624.16999999999996</v>
      </c>
      <c r="J89" s="9">
        <v>-3.0211600000000001</v>
      </c>
      <c r="K89" s="9">
        <v>1.58785</v>
      </c>
      <c r="L89" s="30">
        <v>11.667</v>
      </c>
      <c r="M89" s="51">
        <v>11.0012424832</v>
      </c>
      <c r="N89" s="9">
        <v>6</v>
      </c>
      <c r="O89" s="37">
        <v>100.62</v>
      </c>
      <c r="P89" s="51">
        <v>0.72499999999999998</v>
      </c>
      <c r="Q89" s="73">
        <v>1</v>
      </c>
      <c r="R89" s="73">
        <v>0</v>
      </c>
    </row>
    <row r="90" spans="1:18" x14ac:dyDescent="0.2">
      <c r="A90" t="s">
        <v>783</v>
      </c>
      <c r="B90" s="1" t="s">
        <v>959</v>
      </c>
      <c r="C90" s="37"/>
      <c r="D90" s="1">
        <v>736316</v>
      </c>
      <c r="E90" s="1" t="s">
        <v>784</v>
      </c>
      <c r="F90" s="1">
        <v>129.16</v>
      </c>
      <c r="G90" s="1">
        <v>6</v>
      </c>
      <c r="H90" s="9">
        <v>-425.31</v>
      </c>
      <c r="I90" s="9">
        <v>-232.11</v>
      </c>
      <c r="J90" s="9">
        <v>0.124747</v>
      </c>
      <c r="K90" s="9">
        <v>-0.48379899999999998</v>
      </c>
      <c r="L90" s="30">
        <v>10.943</v>
      </c>
      <c r="M90" s="51">
        <v>10.472443347</v>
      </c>
      <c r="N90" s="9">
        <v>6</v>
      </c>
      <c r="O90" s="37">
        <v>49.33</v>
      </c>
      <c r="P90" s="51">
        <v>3.1989999999999998</v>
      </c>
      <c r="Q90" s="73">
        <v>1</v>
      </c>
      <c r="R90" s="73">
        <v>0</v>
      </c>
    </row>
    <row r="91" spans="1:18" x14ac:dyDescent="0.2">
      <c r="A91" t="s">
        <v>782</v>
      </c>
      <c r="B91" s="1" t="s">
        <v>960</v>
      </c>
      <c r="C91" s="37"/>
      <c r="D91" s="1">
        <v>439227</v>
      </c>
      <c r="E91" s="1" t="s">
        <v>785</v>
      </c>
      <c r="F91" s="1">
        <v>129.16</v>
      </c>
      <c r="G91" s="1">
        <v>6</v>
      </c>
      <c r="H91" s="9">
        <v>-425.31</v>
      </c>
      <c r="I91" s="9">
        <v>-232.11</v>
      </c>
      <c r="J91" s="9">
        <v>0.124747</v>
      </c>
      <c r="K91" s="9">
        <v>-0.48379899999999998</v>
      </c>
      <c r="L91" s="30">
        <v>11.186</v>
      </c>
      <c r="M91" s="51">
        <v>10.472443347</v>
      </c>
      <c r="N91" s="9">
        <v>6</v>
      </c>
      <c r="O91" s="37">
        <v>49.33</v>
      </c>
      <c r="P91" s="51">
        <v>3.1989999999999998</v>
      </c>
      <c r="Q91" s="73">
        <v>1</v>
      </c>
      <c r="R91" s="73">
        <v>0</v>
      </c>
    </row>
    <row r="92" spans="1:18" x14ac:dyDescent="0.2">
      <c r="A92" t="s">
        <v>1066</v>
      </c>
      <c r="B92" s="1" t="s">
        <v>1067</v>
      </c>
      <c r="C92" s="37"/>
      <c r="D92" s="1">
        <v>849</v>
      </c>
      <c r="E92" s="1" t="s">
        <v>826</v>
      </c>
      <c r="F92" s="1">
        <v>129.16</v>
      </c>
      <c r="G92" s="1">
        <v>6</v>
      </c>
      <c r="H92" s="9">
        <v>-425.31</v>
      </c>
      <c r="I92" s="9">
        <v>-232.11</v>
      </c>
      <c r="J92" s="9">
        <v>0.124747</v>
      </c>
      <c r="K92" s="9">
        <v>-0.48379899999999998</v>
      </c>
      <c r="L92" s="30">
        <v>11.064499999999999</v>
      </c>
      <c r="M92" s="51">
        <v>10.472443347</v>
      </c>
      <c r="N92" s="9">
        <v>6</v>
      </c>
      <c r="O92" s="37">
        <v>49.33</v>
      </c>
      <c r="P92" s="51">
        <v>3.1989999999999998</v>
      </c>
      <c r="Q92" s="73">
        <v>1</v>
      </c>
      <c r="R92" s="73">
        <v>0</v>
      </c>
    </row>
    <row r="93" spans="1:18" x14ac:dyDescent="0.2">
      <c r="A93" t="s">
        <v>592</v>
      </c>
      <c r="B93" s="1" t="s">
        <v>961</v>
      </c>
      <c r="C93" s="37"/>
      <c r="D93" s="1">
        <v>11367380</v>
      </c>
      <c r="E93" s="1" t="s">
        <v>760</v>
      </c>
      <c r="F93" s="1">
        <v>145.16</v>
      </c>
      <c r="G93" s="1">
        <v>6</v>
      </c>
      <c r="H93" s="9">
        <v>-597.88</v>
      </c>
      <c r="I93" s="9">
        <v>-376.64</v>
      </c>
      <c r="J93" s="9">
        <v>-0.88072700000000004</v>
      </c>
      <c r="K93" s="9">
        <v>0.108999</v>
      </c>
      <c r="L93" s="30">
        <v>10.999000000000001</v>
      </c>
      <c r="M93" s="51">
        <v>10.717999020600001</v>
      </c>
      <c r="N93" s="9">
        <v>7</v>
      </c>
      <c r="O93" s="37">
        <v>69.56</v>
      </c>
      <c r="P93" s="51">
        <v>3.4375</v>
      </c>
      <c r="Q93" s="73">
        <v>1</v>
      </c>
      <c r="R93" s="73">
        <v>0</v>
      </c>
    </row>
    <row r="94" spans="1:18" x14ac:dyDescent="0.2">
      <c r="A94" t="s">
        <v>27</v>
      </c>
      <c r="B94" s="1" t="s">
        <v>962</v>
      </c>
      <c r="C94" s="37"/>
      <c r="D94" s="1">
        <v>564</v>
      </c>
      <c r="E94" s="29" t="s">
        <v>781</v>
      </c>
      <c r="F94" s="1">
        <v>131.16999999999999</v>
      </c>
      <c r="G94" s="1">
        <v>6</v>
      </c>
      <c r="H94" s="9">
        <v>-483.65</v>
      </c>
      <c r="I94" s="9">
        <v>-277.82</v>
      </c>
      <c r="J94" s="9">
        <v>4.6112200000000001E-3</v>
      </c>
      <c r="K94" s="9">
        <v>-0.233934</v>
      </c>
      <c r="L94" s="30">
        <v>11.513999999999999</v>
      </c>
      <c r="M94" s="51">
        <v>10.885240285</v>
      </c>
      <c r="N94" s="9">
        <v>6</v>
      </c>
      <c r="O94" s="37">
        <v>63.319999999999993</v>
      </c>
      <c r="P94" s="51">
        <v>2.2048000000000001</v>
      </c>
      <c r="Q94" s="73">
        <v>0</v>
      </c>
      <c r="R94" s="73">
        <v>1</v>
      </c>
    </row>
    <row r="95" spans="1:18" x14ac:dyDescent="0.2">
      <c r="A95" t="s">
        <v>28</v>
      </c>
      <c r="B95" s="1" t="s">
        <v>963</v>
      </c>
      <c r="C95" s="37"/>
      <c r="D95" s="1">
        <v>439524</v>
      </c>
      <c r="E95" s="1" t="s">
        <v>761</v>
      </c>
      <c r="F95" s="1">
        <v>131.16999999999999</v>
      </c>
      <c r="G95" s="1">
        <v>6</v>
      </c>
      <c r="H95" s="9">
        <v>-494.21</v>
      </c>
      <c r="I95" s="9">
        <v>-282.7</v>
      </c>
      <c r="J95" s="9">
        <v>-1.40395</v>
      </c>
      <c r="K95" s="9">
        <v>0.78658899999999998</v>
      </c>
      <c r="L95" s="30">
        <v>11.709</v>
      </c>
      <c r="M95" s="51">
        <v>10.7012367982</v>
      </c>
      <c r="N95" s="9">
        <v>6</v>
      </c>
      <c r="O95" s="37">
        <v>63.319999999999993</v>
      </c>
      <c r="P95" s="51">
        <v>2.8782000000000001</v>
      </c>
      <c r="Q95" s="73">
        <v>1</v>
      </c>
      <c r="R95" s="73">
        <v>1</v>
      </c>
    </row>
    <row r="96" spans="1:18" x14ac:dyDescent="0.2">
      <c r="A96" t="s">
        <v>29</v>
      </c>
      <c r="B96" s="34" t="s">
        <v>964</v>
      </c>
      <c r="C96" s="42" t="s">
        <v>859</v>
      </c>
      <c r="D96" s="1">
        <v>6106</v>
      </c>
      <c r="E96" s="1" t="s">
        <v>762</v>
      </c>
      <c r="F96" s="1">
        <v>131.16999999999999</v>
      </c>
      <c r="G96" s="1">
        <v>6</v>
      </c>
      <c r="H96" s="9">
        <v>-494.21</v>
      </c>
      <c r="I96" s="9">
        <v>-282.7</v>
      </c>
      <c r="J96" s="9">
        <v>-1.40395</v>
      </c>
      <c r="K96" s="9">
        <v>0.78658899999999998</v>
      </c>
      <c r="L96" s="30">
        <v>11.683999999999999</v>
      </c>
      <c r="M96" s="51">
        <v>11.068046470200001</v>
      </c>
      <c r="N96" s="9">
        <v>6</v>
      </c>
      <c r="O96" s="37">
        <v>63.319999999999993</v>
      </c>
      <c r="P96" s="51">
        <v>1.9979</v>
      </c>
      <c r="Q96" s="73">
        <v>1</v>
      </c>
      <c r="R96" s="73">
        <v>1</v>
      </c>
    </row>
    <row r="97" spans="1:18" x14ac:dyDescent="0.2">
      <c r="A97" t="s">
        <v>879</v>
      </c>
      <c r="B97" s="34" t="s">
        <v>859</v>
      </c>
      <c r="C97" s="42"/>
      <c r="D97" s="1">
        <v>857</v>
      </c>
      <c r="E97" s="1" t="s">
        <v>827</v>
      </c>
      <c r="F97" s="1">
        <v>131.16999999999999</v>
      </c>
      <c r="G97" s="1">
        <v>6</v>
      </c>
      <c r="H97" s="9">
        <v>-494.21</v>
      </c>
      <c r="I97" s="9">
        <v>-282.7</v>
      </c>
      <c r="J97" s="9">
        <v>-1.40395</v>
      </c>
      <c r="K97" s="9">
        <v>0.78658899999999998</v>
      </c>
      <c r="L97" s="30">
        <v>11.6965</v>
      </c>
      <c r="M97" s="51">
        <v>10.884641634200001</v>
      </c>
      <c r="N97" s="9">
        <v>6</v>
      </c>
      <c r="O97" s="37">
        <v>63.319999999999993</v>
      </c>
      <c r="P97" s="51">
        <v>2.4380500000000001</v>
      </c>
      <c r="Q97" s="73">
        <v>1</v>
      </c>
      <c r="R97" s="73">
        <v>1</v>
      </c>
    </row>
    <row r="98" spans="1:18" x14ac:dyDescent="0.2">
      <c r="A98" t="s">
        <v>30</v>
      </c>
      <c r="B98" s="1" t="s">
        <v>965</v>
      </c>
      <c r="C98" s="37"/>
      <c r="D98" s="1">
        <v>76551</v>
      </c>
      <c r="E98" s="1" t="s">
        <v>763</v>
      </c>
      <c r="F98" s="1">
        <v>131.16999999999999</v>
      </c>
      <c r="G98" s="1">
        <v>6</v>
      </c>
      <c r="H98" s="9">
        <v>-494.21</v>
      </c>
      <c r="I98" s="9">
        <v>-282.7</v>
      </c>
      <c r="J98" s="9">
        <v>-1.61734</v>
      </c>
      <c r="K98" s="9">
        <v>0.93783000000000005</v>
      </c>
      <c r="L98" s="30">
        <v>11.673</v>
      </c>
      <c r="M98" s="51">
        <v>10.9571055924</v>
      </c>
      <c r="N98" s="9">
        <v>6</v>
      </c>
      <c r="O98" s="37">
        <v>63.319999999999993</v>
      </c>
      <c r="P98" s="51">
        <v>2.7311000000000001</v>
      </c>
      <c r="Q98" s="73">
        <v>1</v>
      </c>
      <c r="R98" s="73">
        <v>1</v>
      </c>
    </row>
    <row r="99" spans="1:18" x14ac:dyDescent="0.2">
      <c r="A99" t="s">
        <v>31</v>
      </c>
      <c r="B99" s="1" t="s">
        <v>966</v>
      </c>
      <c r="C99" s="42" t="s">
        <v>1028</v>
      </c>
      <c r="D99" s="1">
        <v>6306</v>
      </c>
      <c r="E99" s="1" t="s">
        <v>764</v>
      </c>
      <c r="F99" s="1">
        <v>131.16999999999999</v>
      </c>
      <c r="G99" s="1">
        <v>6</v>
      </c>
      <c r="H99" s="9">
        <v>-494.21</v>
      </c>
      <c r="I99" s="9">
        <v>-282.7</v>
      </c>
      <c r="J99" s="9">
        <v>-1.61734</v>
      </c>
      <c r="K99" s="9">
        <v>0.93783000000000005</v>
      </c>
      <c r="L99" s="30">
        <v>11.662000000000001</v>
      </c>
      <c r="M99" s="51">
        <v>10.989732061</v>
      </c>
      <c r="N99" s="9">
        <v>6</v>
      </c>
      <c r="O99" s="37">
        <v>63.319999999999993</v>
      </c>
      <c r="P99" s="51">
        <v>3.5488</v>
      </c>
      <c r="Q99" s="73">
        <v>1</v>
      </c>
      <c r="R99" s="73">
        <v>1</v>
      </c>
    </row>
    <row r="100" spans="1:18" x14ac:dyDescent="0.2">
      <c r="A100" t="s">
        <v>880</v>
      </c>
      <c r="B100" s="1" t="s">
        <v>1028</v>
      </c>
      <c r="C100" s="42"/>
      <c r="D100" s="1">
        <v>791</v>
      </c>
      <c r="E100" s="1" t="s">
        <v>828</v>
      </c>
      <c r="F100" s="1">
        <v>131.16999999999999</v>
      </c>
      <c r="G100" s="1">
        <v>6</v>
      </c>
      <c r="H100" s="9">
        <v>-494.21</v>
      </c>
      <c r="I100" s="9">
        <v>-282.7</v>
      </c>
      <c r="J100" s="9">
        <v>-1.61734</v>
      </c>
      <c r="K100" s="9">
        <v>0.93783000000000005</v>
      </c>
      <c r="L100" s="30">
        <v>11.6675</v>
      </c>
      <c r="M100" s="51">
        <v>10.9734188267</v>
      </c>
      <c r="N100" s="9">
        <v>6</v>
      </c>
      <c r="O100" s="37">
        <v>63.319999999999993</v>
      </c>
      <c r="P100" s="51">
        <v>3.1399499999999998</v>
      </c>
      <c r="Q100" s="73">
        <v>1</v>
      </c>
      <c r="R100" s="73">
        <v>1</v>
      </c>
    </row>
    <row r="101" spans="1:18" x14ac:dyDescent="0.2">
      <c r="A101" t="s">
        <v>593</v>
      </c>
      <c r="B101" s="1" t="s">
        <v>967</v>
      </c>
      <c r="C101" s="37"/>
      <c r="D101" s="1">
        <v>94206</v>
      </c>
      <c r="E101" s="1" t="s">
        <v>765</v>
      </c>
      <c r="F101" s="1">
        <v>131.16999999999999</v>
      </c>
      <c r="G101" s="1">
        <v>6</v>
      </c>
      <c r="H101" s="9">
        <v>-494.21</v>
      </c>
      <c r="I101" s="9">
        <v>-282.7</v>
      </c>
      <c r="J101" s="9">
        <v>-1.61734</v>
      </c>
      <c r="K101" s="9">
        <v>0.93783000000000005</v>
      </c>
      <c r="L101" s="30">
        <v>11.653</v>
      </c>
      <c r="M101" s="51">
        <v>10.9319622588</v>
      </c>
      <c r="N101" s="9">
        <v>6</v>
      </c>
      <c r="O101" s="37">
        <v>63.319999999999993</v>
      </c>
      <c r="P101" s="51">
        <v>2.7648000000000001</v>
      </c>
      <c r="Q101" s="73">
        <v>0</v>
      </c>
      <c r="R101" s="73">
        <v>1</v>
      </c>
    </row>
    <row r="102" spans="1:18" x14ac:dyDescent="0.2">
      <c r="A102" t="s">
        <v>594</v>
      </c>
      <c r="B102" s="1" t="s">
        <v>968</v>
      </c>
      <c r="C102" s="37"/>
      <c r="D102" s="1">
        <v>99288</v>
      </c>
      <c r="E102" s="1" t="s">
        <v>766</v>
      </c>
      <c r="F102" s="1">
        <v>131.16999999999999</v>
      </c>
      <c r="G102" s="1">
        <v>6</v>
      </c>
      <c r="H102" s="9">
        <v>-494.21</v>
      </c>
      <c r="I102" s="9">
        <v>-282.7</v>
      </c>
      <c r="J102" s="9">
        <v>-1.61734</v>
      </c>
      <c r="K102" s="9">
        <v>0.93783000000000005</v>
      </c>
      <c r="L102" s="30">
        <v>11.659000000000001</v>
      </c>
      <c r="M102" s="51">
        <v>10.9319622588</v>
      </c>
      <c r="N102" s="9">
        <v>6</v>
      </c>
      <c r="O102" s="37">
        <v>63.319999999999993</v>
      </c>
      <c r="P102" s="51">
        <v>2.7648000000000001</v>
      </c>
      <c r="Q102" s="73">
        <v>1</v>
      </c>
      <c r="R102" s="73">
        <v>0</v>
      </c>
    </row>
    <row r="103" spans="1:18" x14ac:dyDescent="0.2">
      <c r="A103" t="s">
        <v>881</v>
      </c>
      <c r="B103" s="1" t="s">
        <v>1068</v>
      </c>
      <c r="C103" s="37"/>
      <c r="D103" s="1">
        <v>791</v>
      </c>
      <c r="E103" s="1" t="s">
        <v>827</v>
      </c>
      <c r="F103" s="1">
        <v>131.16999999999999</v>
      </c>
      <c r="G103" s="1">
        <v>6</v>
      </c>
      <c r="H103" s="9">
        <v>-494.21</v>
      </c>
      <c r="I103" s="9">
        <v>-282.7</v>
      </c>
      <c r="J103" s="9">
        <v>-1.61734</v>
      </c>
      <c r="K103" s="9">
        <v>0.93783000000000005</v>
      </c>
      <c r="L103" s="30">
        <v>11.656000000000001</v>
      </c>
      <c r="M103" s="51">
        <v>10.9319622588</v>
      </c>
      <c r="N103" s="9">
        <v>6</v>
      </c>
      <c r="O103" s="37">
        <v>63.319999999999993</v>
      </c>
      <c r="P103" s="51">
        <v>2.7648000000000001</v>
      </c>
      <c r="Q103" s="73">
        <v>1</v>
      </c>
      <c r="R103" s="73">
        <v>1</v>
      </c>
    </row>
    <row r="104" spans="1:18" x14ac:dyDescent="0.2">
      <c r="A104" t="s">
        <v>373</v>
      </c>
      <c r="B104" s="1" t="s">
        <v>969</v>
      </c>
      <c r="C104" s="37"/>
      <c r="D104" s="1">
        <v>57449</v>
      </c>
      <c r="E104" s="1" t="s">
        <v>767</v>
      </c>
      <c r="F104" s="1">
        <v>146.19</v>
      </c>
      <c r="G104" s="1">
        <v>6</v>
      </c>
      <c r="H104" s="9">
        <v>-455.14</v>
      </c>
      <c r="I104" s="9">
        <v>-213.81</v>
      </c>
      <c r="J104" s="9">
        <v>-2.988</v>
      </c>
      <c r="K104" s="9">
        <v>1.6298299999999999</v>
      </c>
      <c r="L104" s="30">
        <v>11.496</v>
      </c>
      <c r="M104" s="51">
        <v>10.818055338400001</v>
      </c>
      <c r="N104" s="9">
        <v>6</v>
      </c>
      <c r="O104" s="37">
        <v>89.34</v>
      </c>
      <c r="P104" s="51">
        <v>4.1976000000000004</v>
      </c>
      <c r="Q104" s="73">
        <v>1</v>
      </c>
      <c r="R104" s="73">
        <v>0</v>
      </c>
    </row>
    <row r="105" spans="1:18" x14ac:dyDescent="0.2">
      <c r="A105" t="s">
        <v>321</v>
      </c>
      <c r="B105" s="34" t="s">
        <v>970</v>
      </c>
      <c r="C105" s="42" t="s">
        <v>1029</v>
      </c>
      <c r="D105" s="1">
        <v>5962</v>
      </c>
      <c r="E105" s="1" t="s">
        <v>768</v>
      </c>
      <c r="F105" s="1">
        <v>146.19</v>
      </c>
      <c r="G105" s="1">
        <v>6</v>
      </c>
      <c r="H105" s="9">
        <v>-455.14</v>
      </c>
      <c r="I105" s="9">
        <v>-213.81</v>
      </c>
      <c r="J105" s="9">
        <v>-2.988</v>
      </c>
      <c r="K105" s="9">
        <v>1.6298299999999999</v>
      </c>
      <c r="L105" s="30">
        <v>11.428000000000001</v>
      </c>
      <c r="M105" s="51">
        <v>10.7253188872</v>
      </c>
      <c r="N105" s="9">
        <v>6</v>
      </c>
      <c r="O105" s="37">
        <v>89.34</v>
      </c>
      <c r="P105" s="51">
        <v>3.1394000000000002</v>
      </c>
      <c r="Q105" s="73">
        <v>1</v>
      </c>
      <c r="R105" s="73">
        <v>0</v>
      </c>
    </row>
    <row r="106" spans="1:18" x14ac:dyDescent="0.2">
      <c r="A106" t="s">
        <v>882</v>
      </c>
      <c r="B106" s="34" t="s">
        <v>1029</v>
      </c>
      <c r="C106" s="42"/>
      <c r="D106" s="1">
        <v>866</v>
      </c>
      <c r="E106" s="1" t="s">
        <v>829</v>
      </c>
      <c r="F106" s="1">
        <v>146.19</v>
      </c>
      <c r="G106" s="1">
        <v>6</v>
      </c>
      <c r="H106" s="9">
        <v>-455.14</v>
      </c>
      <c r="I106" s="9">
        <v>-213.81</v>
      </c>
      <c r="J106" s="9">
        <v>-2.988</v>
      </c>
      <c r="K106" s="9">
        <v>1.6298299999999999</v>
      </c>
      <c r="L106" s="30">
        <v>11.462</v>
      </c>
      <c r="M106" s="51">
        <v>10.7716871128</v>
      </c>
      <c r="N106" s="9">
        <v>6</v>
      </c>
      <c r="O106" s="37">
        <v>89.34</v>
      </c>
      <c r="P106" s="51">
        <v>3.6685000000000003</v>
      </c>
      <c r="Q106" s="73">
        <v>1</v>
      </c>
      <c r="R106" s="73">
        <v>0</v>
      </c>
    </row>
    <row r="107" spans="1:18" x14ac:dyDescent="0.2">
      <c r="A107" t="s">
        <v>1258</v>
      </c>
      <c r="B107" s="1" t="s">
        <v>971</v>
      </c>
      <c r="C107" s="37"/>
      <c r="D107" s="1">
        <v>3032849</v>
      </c>
      <c r="E107" s="1" t="s">
        <v>780</v>
      </c>
      <c r="F107" s="1">
        <v>162.19</v>
      </c>
      <c r="G107" s="1">
        <v>6</v>
      </c>
      <c r="H107" s="9">
        <v>-612.65</v>
      </c>
      <c r="I107" s="9">
        <v>-353.07</v>
      </c>
      <c r="J107" s="9">
        <v>-3.9934699999999999</v>
      </c>
      <c r="K107" s="9">
        <v>2.22132</v>
      </c>
      <c r="L107" s="30">
        <v>11.401</v>
      </c>
      <c r="M107" s="51">
        <v>10.568526800400001</v>
      </c>
      <c r="N107" s="9">
        <v>7</v>
      </c>
      <c r="O107" s="37">
        <v>109.57</v>
      </c>
      <c r="P107" s="51">
        <v>4.6600999999999999</v>
      </c>
      <c r="Q107" s="73">
        <v>1</v>
      </c>
      <c r="R107" s="73">
        <v>0</v>
      </c>
    </row>
    <row r="108" spans="1:18" x14ac:dyDescent="0.2">
      <c r="A108" t="s">
        <v>1257</v>
      </c>
      <c r="B108" s="1" t="s">
        <v>972</v>
      </c>
      <c r="C108" s="37"/>
      <c r="D108" s="1">
        <v>3032850</v>
      </c>
      <c r="E108" s="1" t="s">
        <v>769</v>
      </c>
      <c r="F108" s="1">
        <v>162.19</v>
      </c>
      <c r="G108" s="1">
        <v>6</v>
      </c>
      <c r="H108" s="9">
        <v>-612.65</v>
      </c>
      <c r="I108" s="9">
        <v>-353.07</v>
      </c>
      <c r="J108" s="9">
        <v>-3.9934699999999999</v>
      </c>
      <c r="K108" s="9">
        <v>2.22132</v>
      </c>
      <c r="L108" s="30">
        <v>11.318</v>
      </c>
      <c r="M108" s="52">
        <v>10.569000000000001</v>
      </c>
      <c r="N108" s="9">
        <v>7</v>
      </c>
      <c r="O108" s="37">
        <v>109.57</v>
      </c>
      <c r="P108" s="52">
        <v>4.66</v>
      </c>
      <c r="Q108" s="73">
        <v>1</v>
      </c>
      <c r="R108" s="73">
        <v>0</v>
      </c>
    </row>
    <row r="109" spans="1:18" x14ac:dyDescent="0.2">
      <c r="A109" t="s">
        <v>1256</v>
      </c>
      <c r="B109" s="1" t="s">
        <v>1069</v>
      </c>
      <c r="C109" s="37"/>
      <c r="D109" s="1" t="s">
        <v>1070</v>
      </c>
      <c r="E109" s="1" t="s">
        <v>839</v>
      </c>
      <c r="F109" s="1">
        <v>162.19</v>
      </c>
      <c r="G109" s="1">
        <v>6</v>
      </c>
      <c r="H109" s="9">
        <v>-612.65</v>
      </c>
      <c r="I109" s="9">
        <v>-353.07</v>
      </c>
      <c r="J109" s="9">
        <v>-3.9934699999999999</v>
      </c>
      <c r="K109" s="9">
        <v>2.22132</v>
      </c>
      <c r="L109" s="30">
        <v>11.359500000000001</v>
      </c>
      <c r="M109" s="51">
        <v>10.568526800400001</v>
      </c>
      <c r="N109" s="9">
        <v>7</v>
      </c>
      <c r="O109" s="37">
        <v>109.57</v>
      </c>
      <c r="P109" s="51">
        <v>4.6600999999999999</v>
      </c>
      <c r="Q109" s="73">
        <v>1</v>
      </c>
      <c r="R109" s="73">
        <v>0</v>
      </c>
    </row>
    <row r="110" spans="1:18" x14ac:dyDescent="0.2">
      <c r="A110" t="s">
        <v>32</v>
      </c>
      <c r="B110" s="1" t="s">
        <v>973</v>
      </c>
      <c r="C110" s="40"/>
      <c r="D110" s="1">
        <v>71083</v>
      </c>
      <c r="E110" s="1" t="s">
        <v>770</v>
      </c>
      <c r="F110" s="1">
        <v>155.15</v>
      </c>
      <c r="G110" s="1">
        <v>6</v>
      </c>
      <c r="H110" s="9">
        <v>-198.55134855792775</v>
      </c>
      <c r="I110" s="9">
        <v>-310.80487951031625</v>
      </c>
      <c r="J110" s="9">
        <v>-3.09043</v>
      </c>
      <c r="K110" s="9">
        <v>1.26068</v>
      </c>
      <c r="L110" s="30">
        <v>9.859</v>
      </c>
      <c r="M110" s="51">
        <v>10.0232375558</v>
      </c>
      <c r="N110" s="9">
        <v>9</v>
      </c>
      <c r="O110" s="37">
        <v>92</v>
      </c>
      <c r="P110" s="51">
        <v>6.8597999999999999</v>
      </c>
      <c r="Q110" s="73">
        <v>1</v>
      </c>
      <c r="R110" s="73">
        <v>0</v>
      </c>
    </row>
    <row r="111" spans="1:18" x14ac:dyDescent="0.2">
      <c r="A111" t="s">
        <v>33</v>
      </c>
      <c r="B111" s="34" t="s">
        <v>974</v>
      </c>
      <c r="C111" s="37" t="s">
        <v>1030</v>
      </c>
      <c r="D111" s="1">
        <v>6274</v>
      </c>
      <c r="E111" s="1" t="s">
        <v>771</v>
      </c>
      <c r="F111" s="1">
        <v>155.15</v>
      </c>
      <c r="G111" s="1">
        <v>6</v>
      </c>
      <c r="H111" s="9">
        <v>-198.55134855792775</v>
      </c>
      <c r="I111" s="9">
        <v>-310.80487951031625</v>
      </c>
      <c r="J111" s="9">
        <v>-3.09043</v>
      </c>
      <c r="K111" s="9">
        <v>1.26068</v>
      </c>
      <c r="L111" s="30">
        <v>9.9039999999999999</v>
      </c>
      <c r="M111" s="51">
        <v>10.0232375558</v>
      </c>
      <c r="N111" s="9">
        <v>9</v>
      </c>
      <c r="O111" s="37">
        <v>92</v>
      </c>
      <c r="P111" s="51">
        <v>6.8597999999999999</v>
      </c>
      <c r="Q111" s="73">
        <v>1</v>
      </c>
      <c r="R111" s="73">
        <v>0</v>
      </c>
    </row>
    <row r="112" spans="1:18" x14ac:dyDescent="0.2">
      <c r="A112" t="s">
        <v>884</v>
      </c>
      <c r="B112" s="34" t="s">
        <v>1030</v>
      </c>
      <c r="C112" s="37"/>
      <c r="D112" s="1">
        <v>773</v>
      </c>
      <c r="E112" s="1" t="s">
        <v>830</v>
      </c>
      <c r="F112" s="1">
        <v>155.15</v>
      </c>
      <c r="G112" s="1">
        <v>6</v>
      </c>
      <c r="H112" s="9">
        <v>-198.55134855792775</v>
      </c>
      <c r="I112" s="9">
        <v>-310.80487951031625</v>
      </c>
      <c r="J112" s="9">
        <v>-3.09043</v>
      </c>
      <c r="K112" s="9">
        <v>1.26068</v>
      </c>
      <c r="L112" s="30">
        <v>9.8814999999999991</v>
      </c>
      <c r="M112" s="51">
        <v>10.0232375558</v>
      </c>
      <c r="N112" s="9">
        <v>9</v>
      </c>
      <c r="O112" s="37">
        <v>92</v>
      </c>
      <c r="P112" s="51">
        <v>6.8597999999999999</v>
      </c>
      <c r="Q112" s="73">
        <v>1</v>
      </c>
      <c r="R112" s="73">
        <v>0</v>
      </c>
    </row>
    <row r="113" spans="1:18" x14ac:dyDescent="0.2">
      <c r="A113" t="s">
        <v>34</v>
      </c>
      <c r="B113" s="1" t="s">
        <v>975</v>
      </c>
      <c r="C113" s="37"/>
      <c r="D113" s="1">
        <v>71070</v>
      </c>
      <c r="E113" s="1" t="s">
        <v>772</v>
      </c>
      <c r="F113" s="1">
        <v>174.2</v>
      </c>
      <c r="G113" s="1">
        <v>6</v>
      </c>
      <c r="H113" s="9">
        <v>-203.34</v>
      </c>
      <c r="I113" s="9">
        <v>79.180000000000007</v>
      </c>
      <c r="J113" s="9">
        <v>-2.9324599999999998</v>
      </c>
      <c r="K113" s="9">
        <v>0.95522499999999999</v>
      </c>
      <c r="L113" s="30">
        <v>10.993</v>
      </c>
      <c r="M113" s="51">
        <v>10.2495275582</v>
      </c>
      <c r="N113" s="9">
        <v>9</v>
      </c>
      <c r="O113" s="37">
        <v>127.72</v>
      </c>
      <c r="P113" s="51">
        <v>4.7327000000000004</v>
      </c>
      <c r="Q113" s="73">
        <v>1</v>
      </c>
      <c r="R113" s="73">
        <v>0</v>
      </c>
    </row>
    <row r="114" spans="1:18" x14ac:dyDescent="0.2">
      <c r="A114" t="s">
        <v>35</v>
      </c>
      <c r="B114" s="1" t="s">
        <v>976</v>
      </c>
      <c r="C114" s="42" t="s">
        <v>1031</v>
      </c>
      <c r="D114" s="1">
        <v>6322</v>
      </c>
      <c r="E114" s="1" t="s">
        <v>773</v>
      </c>
      <c r="F114" s="1">
        <v>174.2</v>
      </c>
      <c r="G114" s="1">
        <v>6</v>
      </c>
      <c r="H114" s="9">
        <v>-203.34</v>
      </c>
      <c r="I114" s="9">
        <v>79.180000000000007</v>
      </c>
      <c r="J114" s="9">
        <v>-2.9324599999999998</v>
      </c>
      <c r="K114" s="9">
        <v>0.95522499999999999</v>
      </c>
      <c r="L114" s="30">
        <v>10.984</v>
      </c>
      <c r="M114" s="51">
        <v>10.1613354108</v>
      </c>
      <c r="N114" s="9">
        <v>9</v>
      </c>
      <c r="O114" s="37">
        <v>127.72</v>
      </c>
      <c r="P114" s="51">
        <v>4.2262000000000004</v>
      </c>
      <c r="Q114" s="73">
        <v>1</v>
      </c>
      <c r="R114" s="73">
        <v>0</v>
      </c>
    </row>
    <row r="115" spans="1:18" x14ac:dyDescent="0.2">
      <c r="A115" t="s">
        <v>885</v>
      </c>
      <c r="B115" s="1" t="s">
        <v>1031</v>
      </c>
      <c r="C115" s="42"/>
      <c r="D115" s="1">
        <v>232</v>
      </c>
      <c r="E115" s="1" t="s">
        <v>831</v>
      </c>
      <c r="F115" s="1">
        <v>174.2</v>
      </c>
      <c r="G115" s="1">
        <v>6</v>
      </c>
      <c r="H115" s="9">
        <v>-203.34</v>
      </c>
      <c r="I115" s="9">
        <v>79.180000000000007</v>
      </c>
      <c r="J115" s="9">
        <v>-2.9324599999999998</v>
      </c>
      <c r="K115" s="9">
        <v>0.95522499999999999</v>
      </c>
      <c r="L115" s="30">
        <v>10.9885</v>
      </c>
      <c r="M115" s="51">
        <v>10.2054314845</v>
      </c>
      <c r="N115" s="9">
        <v>9</v>
      </c>
      <c r="O115" s="37">
        <v>127.72</v>
      </c>
      <c r="P115" s="51">
        <v>4.4794499999999999</v>
      </c>
      <c r="Q115" s="73">
        <v>1</v>
      </c>
      <c r="R115" s="73">
        <v>0</v>
      </c>
    </row>
    <row r="116" spans="1:18" x14ac:dyDescent="0.2">
      <c r="A116" t="s">
        <v>36</v>
      </c>
      <c r="B116" s="1" t="s">
        <v>977</v>
      </c>
      <c r="C116" s="37"/>
      <c r="D116" s="1">
        <v>71567</v>
      </c>
      <c r="E116" s="1" t="s">
        <v>774</v>
      </c>
      <c r="F116" s="1">
        <v>165.19</v>
      </c>
      <c r="G116" s="1">
        <v>9</v>
      </c>
      <c r="H116" s="9">
        <v>-314.32</v>
      </c>
      <c r="I116" s="9">
        <v>-142.59</v>
      </c>
      <c r="J116" s="9">
        <v>-1.3710800000000001</v>
      </c>
      <c r="K116" s="9">
        <v>0.31634899999999999</v>
      </c>
      <c r="L116" s="30">
        <v>9.5069999999999997</v>
      </c>
      <c r="M116" s="51">
        <v>10.0977695804</v>
      </c>
      <c r="N116" s="9">
        <v>9</v>
      </c>
      <c r="O116" s="37">
        <v>63.319999999999993</v>
      </c>
      <c r="P116" s="51">
        <v>2.1242000000000001</v>
      </c>
      <c r="Q116" s="73">
        <v>1</v>
      </c>
      <c r="R116" s="73">
        <v>0</v>
      </c>
    </row>
    <row r="117" spans="1:18" x14ac:dyDescent="0.2">
      <c r="A117" t="s">
        <v>37</v>
      </c>
      <c r="B117" s="1" t="s">
        <v>978</v>
      </c>
      <c r="C117" s="42" t="s">
        <v>994</v>
      </c>
      <c r="D117" s="1">
        <v>6140</v>
      </c>
      <c r="E117" s="1" t="s">
        <v>775</v>
      </c>
      <c r="F117" s="1">
        <v>165.19</v>
      </c>
      <c r="G117" s="1">
        <v>9</v>
      </c>
      <c r="H117" s="9">
        <v>-314.32</v>
      </c>
      <c r="I117" s="9">
        <v>-142.59</v>
      </c>
      <c r="J117" s="9">
        <v>-1.3710800000000001</v>
      </c>
      <c r="K117" s="9">
        <v>0.31634899999999999</v>
      </c>
      <c r="L117" s="30">
        <v>9.5329999999999995</v>
      </c>
      <c r="M117" s="51">
        <v>10.2566841564</v>
      </c>
      <c r="N117" s="9">
        <v>9</v>
      </c>
      <c r="O117" s="37">
        <v>63.319999999999993</v>
      </c>
      <c r="P117" s="51">
        <v>2.2149000000000001</v>
      </c>
      <c r="Q117" s="73">
        <v>1</v>
      </c>
      <c r="R117" s="73">
        <v>0</v>
      </c>
    </row>
    <row r="118" spans="1:18" x14ac:dyDescent="0.2">
      <c r="A118" t="s">
        <v>1055</v>
      </c>
      <c r="B118" s="1" t="s">
        <v>994</v>
      </c>
      <c r="C118" s="42"/>
      <c r="D118" s="1">
        <v>994</v>
      </c>
      <c r="E118" s="1" t="s">
        <v>832</v>
      </c>
      <c r="F118" s="1">
        <v>165.19</v>
      </c>
      <c r="G118" s="1">
        <v>9</v>
      </c>
      <c r="H118" s="9">
        <v>-314.32</v>
      </c>
      <c r="I118" s="9">
        <v>-142.59</v>
      </c>
      <c r="J118" s="9">
        <v>-1.3710800000000001</v>
      </c>
      <c r="K118" s="9">
        <v>0.31634899999999999</v>
      </c>
      <c r="L118" s="30">
        <v>9.52</v>
      </c>
      <c r="M118" s="51">
        <v>10.1772268684</v>
      </c>
      <c r="N118" s="9">
        <v>9</v>
      </c>
      <c r="O118" s="37">
        <v>63.319999999999993</v>
      </c>
      <c r="P118" s="51">
        <v>2.1695500000000001</v>
      </c>
      <c r="Q118" s="73">
        <v>1</v>
      </c>
      <c r="R118" s="73">
        <v>0</v>
      </c>
    </row>
    <row r="119" spans="1:18" x14ac:dyDescent="0.2">
      <c r="A119" t="s">
        <v>38</v>
      </c>
      <c r="B119" s="1" t="s">
        <v>979</v>
      </c>
      <c r="C119" s="37"/>
      <c r="D119" s="1">
        <v>71098</v>
      </c>
      <c r="E119" s="1" t="s">
        <v>776</v>
      </c>
      <c r="F119" s="1">
        <v>181.19</v>
      </c>
      <c r="G119" s="1">
        <v>9</v>
      </c>
      <c r="H119" s="9">
        <v>-491.63</v>
      </c>
      <c r="I119" s="9">
        <v>-297.20999999999998</v>
      </c>
      <c r="J119" s="9">
        <v>-1.78006</v>
      </c>
      <c r="K119" s="9">
        <v>0.36513699999999999</v>
      </c>
      <c r="L119" s="30">
        <v>8.9969999999999999</v>
      </c>
      <c r="M119" s="51">
        <v>9.4638255945999994</v>
      </c>
      <c r="N119" s="9">
        <v>9</v>
      </c>
      <c r="O119" s="37">
        <v>83.55</v>
      </c>
      <c r="P119" s="51">
        <v>4.1154000000000002</v>
      </c>
      <c r="Q119" s="73">
        <v>1</v>
      </c>
      <c r="R119" s="73">
        <v>0</v>
      </c>
    </row>
    <row r="120" spans="1:18" x14ac:dyDescent="0.2">
      <c r="A120" t="s">
        <v>39</v>
      </c>
      <c r="B120" s="1" t="s">
        <v>980</v>
      </c>
      <c r="C120" s="37" t="s">
        <v>1032</v>
      </c>
      <c r="D120" s="1">
        <v>6057</v>
      </c>
      <c r="E120" s="1" t="s">
        <v>777</v>
      </c>
      <c r="F120" s="1">
        <v>181.19</v>
      </c>
      <c r="G120" s="1">
        <v>9</v>
      </c>
      <c r="H120" s="9">
        <v>-491.63</v>
      </c>
      <c r="I120" s="9">
        <v>-297.20999999999998</v>
      </c>
      <c r="J120" s="9">
        <v>-1.78006</v>
      </c>
      <c r="K120" s="9">
        <v>0.36513699999999999</v>
      </c>
      <c r="L120" s="30">
        <v>8.4609999999999985</v>
      </c>
      <c r="M120" s="51">
        <v>9.5451604692000007</v>
      </c>
      <c r="N120" s="9">
        <v>9</v>
      </c>
      <c r="O120" s="37">
        <v>83.55</v>
      </c>
      <c r="P120" s="51">
        <v>2.7524999999999999</v>
      </c>
      <c r="Q120" s="73">
        <v>1</v>
      </c>
      <c r="R120" s="73">
        <v>0</v>
      </c>
    </row>
    <row r="121" spans="1:18" x14ac:dyDescent="0.2">
      <c r="A121" t="s">
        <v>886</v>
      </c>
      <c r="B121" s="1" t="s">
        <v>1032</v>
      </c>
      <c r="C121" s="37"/>
      <c r="D121" s="1">
        <v>1153</v>
      </c>
      <c r="E121" s="1" t="s">
        <v>833</v>
      </c>
      <c r="F121" s="1">
        <v>181.19</v>
      </c>
      <c r="G121" s="1">
        <v>9</v>
      </c>
      <c r="H121" s="9">
        <v>-491.63</v>
      </c>
      <c r="I121" s="9">
        <v>-297.20999999999998</v>
      </c>
      <c r="J121" s="9">
        <v>-1.78006</v>
      </c>
      <c r="K121" s="9">
        <v>0.36513699999999999</v>
      </c>
      <c r="L121" s="30">
        <v>8.7289999999999992</v>
      </c>
      <c r="M121" s="51">
        <v>9.5044930319000009</v>
      </c>
      <c r="N121" s="9">
        <v>9</v>
      </c>
      <c r="O121" s="37">
        <v>83.55</v>
      </c>
      <c r="P121" s="51">
        <v>3.4339500000000003</v>
      </c>
      <c r="Q121" s="73">
        <v>1</v>
      </c>
      <c r="R121" s="73">
        <v>0</v>
      </c>
    </row>
    <row r="122" spans="1:18" x14ac:dyDescent="0.2">
      <c r="A122" t="s">
        <v>40</v>
      </c>
      <c r="B122" s="1" t="s">
        <v>981</v>
      </c>
      <c r="C122" s="37"/>
      <c r="D122" s="1">
        <v>9060</v>
      </c>
      <c r="E122" s="1" t="s">
        <v>778</v>
      </c>
      <c r="F122" s="1">
        <v>204.23</v>
      </c>
      <c r="G122" s="1">
        <v>11</v>
      </c>
      <c r="H122" s="9">
        <v>-179.91476722878934</v>
      </c>
      <c r="I122" s="9">
        <v>-281.63186982513071</v>
      </c>
      <c r="J122" s="9">
        <v>-1.2509699999999999</v>
      </c>
      <c r="K122" s="9">
        <v>-0.43960300000000002</v>
      </c>
      <c r="L122" s="30">
        <v>8.4530000000000012</v>
      </c>
      <c r="M122" s="51">
        <v>8.7159474770000003</v>
      </c>
      <c r="N122" s="9">
        <v>11</v>
      </c>
      <c r="O122" s="37">
        <v>79.11</v>
      </c>
      <c r="P122" s="51">
        <v>3.9967000000000001</v>
      </c>
      <c r="Q122" s="73">
        <v>1</v>
      </c>
      <c r="R122" s="73">
        <v>0</v>
      </c>
    </row>
    <row r="123" spans="1:18" x14ac:dyDescent="0.2">
      <c r="A123" t="s">
        <v>41</v>
      </c>
      <c r="B123" s="1" t="s">
        <v>982</v>
      </c>
      <c r="C123" s="42" t="s">
        <v>1033</v>
      </c>
      <c r="D123" s="1">
        <v>6305</v>
      </c>
      <c r="E123" s="1" t="s">
        <v>779</v>
      </c>
      <c r="F123" s="1">
        <v>204.23</v>
      </c>
      <c r="G123" s="1">
        <v>11</v>
      </c>
      <c r="H123" s="9">
        <v>-179.91476722878934</v>
      </c>
      <c r="I123" s="9">
        <v>-281.63186982513071</v>
      </c>
      <c r="J123" s="9">
        <v>-1.2509699999999999</v>
      </c>
      <c r="K123" s="9">
        <v>-0.43960300000000002</v>
      </c>
      <c r="L123" s="30">
        <v>9.0109999999999992</v>
      </c>
      <c r="M123" s="51">
        <v>8.7529277695999994</v>
      </c>
      <c r="N123" s="9">
        <v>11</v>
      </c>
      <c r="O123" s="37">
        <v>79.11</v>
      </c>
      <c r="P123" s="51">
        <v>1.7370000000000001</v>
      </c>
      <c r="Q123" s="73">
        <v>1</v>
      </c>
      <c r="R123" s="73">
        <v>0</v>
      </c>
    </row>
    <row r="124" spans="1:18" x14ac:dyDescent="0.2">
      <c r="A124" t="s">
        <v>887</v>
      </c>
      <c r="B124" s="1" t="s">
        <v>1033</v>
      </c>
      <c r="D124" s="1">
        <v>1148</v>
      </c>
      <c r="E124" s="1" t="s">
        <v>834</v>
      </c>
      <c r="F124" s="1">
        <v>204.23</v>
      </c>
      <c r="G124" s="1">
        <v>11</v>
      </c>
      <c r="H124" s="9">
        <v>-179.91476722878934</v>
      </c>
      <c r="I124" s="9">
        <v>-281.63186982513071</v>
      </c>
      <c r="J124" s="9">
        <v>-1.2509699999999999</v>
      </c>
      <c r="K124" s="9">
        <v>-0.43960300000000002</v>
      </c>
      <c r="L124" s="30">
        <v>8.7319999999999993</v>
      </c>
      <c r="M124" s="51">
        <v>8.7344376232999998</v>
      </c>
      <c r="N124" s="9">
        <v>11</v>
      </c>
      <c r="O124" s="37">
        <v>79.11</v>
      </c>
      <c r="P124" s="51">
        <v>2.8668500000000003</v>
      </c>
      <c r="Q124" s="73">
        <v>1</v>
      </c>
      <c r="R124" s="73">
        <v>0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9B534-1EFD-0240-8C17-C0D3119A937A}">
  <dimension ref="A1:DR18"/>
  <sheetViews>
    <sheetView zoomScale="176" zoomScaleNormal="216" workbookViewId="0">
      <pane xSplit="1" topLeftCell="B1" activePane="topRight" state="frozen"/>
      <selection pane="topRight" activeCell="C17" sqref="C17"/>
    </sheetView>
  </sheetViews>
  <sheetFormatPr baseColWidth="10" defaultRowHeight="16" x14ac:dyDescent="0.2"/>
  <cols>
    <col min="1" max="1" width="20.6640625" bestFit="1" customWidth="1"/>
    <col min="3" max="3" width="11.6640625" bestFit="1" customWidth="1"/>
    <col min="9" max="9" width="12" bestFit="1" customWidth="1"/>
    <col min="16" max="16" width="13.6640625" bestFit="1" customWidth="1"/>
    <col min="17" max="17" width="13.1640625" bestFit="1" customWidth="1"/>
    <col min="18" max="18" width="11.6640625" bestFit="1" customWidth="1"/>
    <col min="19" max="19" width="10.33203125" customWidth="1"/>
    <col min="20" max="20" width="11" bestFit="1" customWidth="1"/>
    <col min="21" max="21" width="10.5" bestFit="1" customWidth="1"/>
    <col min="22" max="22" width="10.83203125" customWidth="1"/>
    <col min="24" max="24" width="14.6640625" bestFit="1" customWidth="1"/>
    <col min="25" max="26" width="14.1640625" bestFit="1" customWidth="1"/>
    <col min="33" max="33" width="11.83203125" bestFit="1" customWidth="1"/>
    <col min="36" max="36" width="11" bestFit="1" customWidth="1"/>
    <col min="37" max="37" width="10.33203125" customWidth="1"/>
    <col min="43" max="43" width="12.6640625" bestFit="1" customWidth="1"/>
    <col min="44" max="44" width="12.1640625" bestFit="1" customWidth="1"/>
    <col min="46" max="46" width="12.33203125" bestFit="1" customWidth="1"/>
    <col min="48" max="48" width="11.5" bestFit="1" customWidth="1"/>
    <col min="51" max="51" width="15.33203125" bestFit="1" customWidth="1"/>
    <col min="55" max="55" width="10.33203125" bestFit="1" customWidth="1"/>
    <col min="73" max="73" width="14" bestFit="1" customWidth="1"/>
    <col min="74" max="74" width="13.5" bestFit="1" customWidth="1"/>
    <col min="75" max="75" width="12" bestFit="1" customWidth="1"/>
    <col min="79" max="79" width="12.33203125" bestFit="1" customWidth="1"/>
    <col min="80" max="80" width="11.83203125" bestFit="1" customWidth="1"/>
    <col min="82" max="82" width="11.83203125" bestFit="1" customWidth="1"/>
    <col min="103" max="103" width="13.1640625" bestFit="1" customWidth="1"/>
    <col min="107" max="107" width="13.83203125" bestFit="1" customWidth="1"/>
    <col min="114" max="114" width="14.5" bestFit="1" customWidth="1"/>
    <col min="115" max="115" width="14.1640625" bestFit="1" customWidth="1"/>
    <col min="116" max="116" width="12.5" bestFit="1" customWidth="1"/>
    <col min="120" max="120" width="12" bestFit="1" customWidth="1"/>
    <col min="121" max="121" width="11.5" bestFit="1" customWidth="1"/>
  </cols>
  <sheetData>
    <row r="1" spans="1:122" s="85" customFormat="1" x14ac:dyDescent="0.2">
      <c r="A1" s="84" t="s">
        <v>1263</v>
      </c>
      <c r="B1" s="83" t="s">
        <v>854</v>
      </c>
      <c r="C1" s="83" t="s">
        <v>856</v>
      </c>
      <c r="D1" s="83" t="s">
        <v>1038</v>
      </c>
      <c r="E1" s="83" t="s">
        <v>1039</v>
      </c>
      <c r="F1" s="83" t="s">
        <v>857</v>
      </c>
      <c r="G1" s="83" t="s">
        <v>2</v>
      </c>
      <c r="H1" s="83" t="s">
        <v>861</v>
      </c>
      <c r="I1" s="83" t="s">
        <v>3</v>
      </c>
      <c r="J1" s="83" t="s">
        <v>4</v>
      </c>
      <c r="K1" s="83" t="s">
        <v>862</v>
      </c>
      <c r="L1" s="83" t="s">
        <v>1264</v>
      </c>
      <c r="M1" s="83" t="s">
        <v>5</v>
      </c>
      <c r="N1" s="83" t="s">
        <v>6</v>
      </c>
      <c r="O1" s="83" t="s">
        <v>863</v>
      </c>
      <c r="P1" s="83" t="s">
        <v>7</v>
      </c>
      <c r="Q1" s="83" t="s">
        <v>8</v>
      </c>
      <c r="R1" s="83" t="s">
        <v>864</v>
      </c>
      <c r="S1" s="83" t="s">
        <v>1265</v>
      </c>
      <c r="T1" s="83" t="s">
        <v>9</v>
      </c>
      <c r="U1" s="83" t="s">
        <v>10</v>
      </c>
      <c r="V1" s="83" t="s">
        <v>865</v>
      </c>
      <c r="W1" s="83" t="s">
        <v>866</v>
      </c>
      <c r="X1" s="83" t="s">
        <v>623</v>
      </c>
      <c r="Y1" s="83" t="s">
        <v>624</v>
      </c>
      <c r="Z1" s="83" t="s">
        <v>867</v>
      </c>
      <c r="AA1" s="83" t="s">
        <v>1266</v>
      </c>
      <c r="AB1" s="83" t="s">
        <v>1267</v>
      </c>
      <c r="AC1" s="83" t="s">
        <v>1268</v>
      </c>
      <c r="AD1" s="83" t="s">
        <v>1269</v>
      </c>
      <c r="AE1" s="83" t="s">
        <v>1270</v>
      </c>
      <c r="AF1" s="83" t="s">
        <v>1271</v>
      </c>
      <c r="AG1" s="83" t="s">
        <v>914</v>
      </c>
      <c r="AH1" s="83" t="s">
        <v>1272</v>
      </c>
      <c r="AI1" s="83" t="s">
        <v>1273</v>
      </c>
      <c r="AJ1" s="83" t="s">
        <v>1274</v>
      </c>
      <c r="AK1" s="83" t="s">
        <v>1275</v>
      </c>
      <c r="AL1" s="83" t="s">
        <v>1276</v>
      </c>
      <c r="AM1" s="83" t="s">
        <v>1015</v>
      </c>
      <c r="AN1" s="83" t="s">
        <v>1277</v>
      </c>
      <c r="AO1" s="83" t="s">
        <v>1278</v>
      </c>
      <c r="AP1" s="83" t="s">
        <v>1279</v>
      </c>
      <c r="AQ1" s="83" t="s">
        <v>621</v>
      </c>
      <c r="AR1" s="83" t="s">
        <v>622</v>
      </c>
      <c r="AS1" s="83" t="s">
        <v>894</v>
      </c>
      <c r="AT1" s="83" t="s">
        <v>1046</v>
      </c>
      <c r="AU1" s="83" t="s">
        <v>1017</v>
      </c>
      <c r="AV1" s="83" t="s">
        <v>568</v>
      </c>
      <c r="AW1" s="83" t="s">
        <v>868</v>
      </c>
      <c r="AX1" s="83" t="s">
        <v>1280</v>
      </c>
      <c r="AY1" s="83" t="s">
        <v>1281</v>
      </c>
      <c r="AZ1" s="83" t="s">
        <v>15</v>
      </c>
      <c r="BA1" s="83" t="s">
        <v>16</v>
      </c>
      <c r="BB1" s="83" t="s">
        <v>869</v>
      </c>
      <c r="BC1" s="83" t="s">
        <v>23</v>
      </c>
      <c r="BD1" s="83" t="s">
        <v>24</v>
      </c>
      <c r="BE1" s="83" t="s">
        <v>870</v>
      </c>
      <c r="BF1" s="83" t="s">
        <v>25</v>
      </c>
      <c r="BG1" s="83" t="s">
        <v>26</v>
      </c>
      <c r="BH1" s="83" t="s">
        <v>871</v>
      </c>
      <c r="BI1" s="83" t="s">
        <v>1282</v>
      </c>
      <c r="BJ1" s="83" t="s">
        <v>1283</v>
      </c>
      <c r="BK1" s="83" t="s">
        <v>1007</v>
      </c>
      <c r="BL1" s="83" t="s">
        <v>1109</v>
      </c>
      <c r="BM1" s="83" t="s">
        <v>1284</v>
      </c>
      <c r="BN1" s="83" t="s">
        <v>1285</v>
      </c>
      <c r="BO1" s="83" t="s">
        <v>1286</v>
      </c>
      <c r="BP1" s="83" t="s">
        <v>1287</v>
      </c>
      <c r="BQ1" s="83" t="s">
        <v>1010</v>
      </c>
      <c r="BR1" s="83" t="s">
        <v>1012</v>
      </c>
      <c r="BS1" s="83" t="s">
        <v>1013</v>
      </c>
      <c r="BT1" s="83" t="s">
        <v>1011</v>
      </c>
      <c r="BU1" s="83" t="s">
        <v>17</v>
      </c>
      <c r="BV1" s="83" t="s">
        <v>18</v>
      </c>
      <c r="BW1" s="83" t="s">
        <v>872</v>
      </c>
      <c r="BX1" s="83" t="s">
        <v>20</v>
      </c>
      <c r="BY1" s="83" t="s">
        <v>873</v>
      </c>
      <c r="BZ1" s="83" t="s">
        <v>1018</v>
      </c>
      <c r="CA1" s="83" t="s">
        <v>21</v>
      </c>
      <c r="CB1" s="83" t="s">
        <v>22</v>
      </c>
      <c r="CC1" s="83" t="s">
        <v>874</v>
      </c>
      <c r="CD1" s="83" t="s">
        <v>1288</v>
      </c>
      <c r="CE1" s="83" t="s">
        <v>1289</v>
      </c>
      <c r="CF1" s="83" t="s">
        <v>588</v>
      </c>
      <c r="CG1" s="83" t="s">
        <v>596</v>
      </c>
      <c r="CH1" s="83" t="s">
        <v>875</v>
      </c>
      <c r="CI1" s="83" t="s">
        <v>876</v>
      </c>
      <c r="CJ1" s="83" t="s">
        <v>1290</v>
      </c>
      <c r="CK1" s="83" t="s">
        <v>1291</v>
      </c>
      <c r="CL1" s="83" t="s">
        <v>1469</v>
      </c>
      <c r="CM1" s="83" t="s">
        <v>1292</v>
      </c>
      <c r="CN1" s="83" t="s">
        <v>1293</v>
      </c>
      <c r="CO1" s="83" t="s">
        <v>1294</v>
      </c>
      <c r="CP1" s="83" t="s">
        <v>878</v>
      </c>
      <c r="CQ1" s="83" t="s">
        <v>1020</v>
      </c>
      <c r="CR1" s="83" t="s">
        <v>1295</v>
      </c>
      <c r="CS1" s="83" t="s">
        <v>28</v>
      </c>
      <c r="CT1" s="83" t="s">
        <v>29</v>
      </c>
      <c r="CU1" s="83" t="s">
        <v>879</v>
      </c>
      <c r="CV1" s="83" t="s">
        <v>30</v>
      </c>
      <c r="CW1" s="83" t="s">
        <v>31</v>
      </c>
      <c r="CX1" s="83" t="s">
        <v>880</v>
      </c>
      <c r="CY1" s="83" t="s">
        <v>1296</v>
      </c>
      <c r="CZ1" s="83" t="s">
        <v>373</v>
      </c>
      <c r="DA1" s="83" t="s">
        <v>321</v>
      </c>
      <c r="DB1" s="83" t="s">
        <v>882</v>
      </c>
      <c r="DC1" s="83" t="s">
        <v>883</v>
      </c>
      <c r="DD1" s="83" t="s">
        <v>1297</v>
      </c>
      <c r="DE1" s="83" t="s">
        <v>33</v>
      </c>
      <c r="DF1" s="83" t="s">
        <v>884</v>
      </c>
      <c r="DG1" s="83" t="s">
        <v>34</v>
      </c>
      <c r="DH1" s="83" t="s">
        <v>35</v>
      </c>
      <c r="DI1" s="83" t="s">
        <v>885</v>
      </c>
      <c r="DJ1" s="83" t="s">
        <v>36</v>
      </c>
      <c r="DK1" s="83" t="s">
        <v>37</v>
      </c>
      <c r="DL1" s="83" t="s">
        <v>1055</v>
      </c>
      <c r="DM1" s="83" t="s">
        <v>38</v>
      </c>
      <c r="DN1" s="83" t="s">
        <v>39</v>
      </c>
      <c r="DO1" s="83" t="s">
        <v>886</v>
      </c>
      <c r="DP1" s="83" t="s">
        <v>40</v>
      </c>
      <c r="DQ1" s="83" t="s">
        <v>41</v>
      </c>
      <c r="DR1" s="83" t="s">
        <v>887</v>
      </c>
    </row>
    <row r="2" spans="1:122" s="1" customFormat="1" x14ac:dyDescent="0.2">
      <c r="A2" s="50" t="s">
        <v>1298</v>
      </c>
      <c r="B2" s="51">
        <v>-9.1947864827999997</v>
      </c>
      <c r="C2" s="51">
        <v>-9.3162037495999996</v>
      </c>
      <c r="D2" s="51">
        <v>-9.2506786983999998</v>
      </c>
      <c r="E2" s="51">
        <v>-9.1533979433999999</v>
      </c>
      <c r="F2" s="51">
        <v>-9.2020383208999998</v>
      </c>
      <c r="G2" s="51">
        <v>-8.9961976856000003</v>
      </c>
      <c r="H2" s="51">
        <v>-8.6407895902000007</v>
      </c>
      <c r="I2" s="51">
        <v>-9.2433044090000003</v>
      </c>
      <c r="J2" s="51">
        <v>-9.2939720357999995</v>
      </c>
      <c r="K2" s="51">
        <v>-9.2686382223999999</v>
      </c>
      <c r="L2" s="30">
        <v>-9.0027012101999997</v>
      </c>
      <c r="M2" s="51">
        <v>-9.0243614846</v>
      </c>
      <c r="N2" s="51">
        <v>-8.9588364334000001</v>
      </c>
      <c r="O2" s="51">
        <v>-8.9915989590000009</v>
      </c>
      <c r="P2" s="51">
        <v>-9.7897637438</v>
      </c>
      <c r="Q2" s="51">
        <v>-9.2297259203999999</v>
      </c>
      <c r="R2" s="51">
        <v>-9.5097448321000009</v>
      </c>
      <c r="S2" s="30">
        <v>-9.6166176056000001</v>
      </c>
      <c r="T2" s="51">
        <v>-9.2384607798000005</v>
      </c>
      <c r="U2" s="51">
        <v>-9.4232806086000007</v>
      </c>
      <c r="V2" s="51">
        <v>-9.3308706942000015</v>
      </c>
      <c r="W2" s="51">
        <v>-9.1592483944000005</v>
      </c>
      <c r="X2" s="51">
        <v>-9.2032764396000015</v>
      </c>
      <c r="Y2" s="51">
        <v>-9.3468709973999999</v>
      </c>
      <c r="Z2" s="51">
        <v>-9.2750737184999998</v>
      </c>
      <c r="AA2" s="51">
        <v>-9.099764274</v>
      </c>
      <c r="AB2" s="51">
        <v>-9.2880127392000009</v>
      </c>
      <c r="AC2" s="51">
        <v>-9.1938885066000005</v>
      </c>
      <c r="AD2" s="51">
        <v>-9.1141046818000007</v>
      </c>
      <c r="AE2" s="51">
        <v>-9.1266491371999994</v>
      </c>
      <c r="AF2" s="51">
        <v>-9.1203769094999991</v>
      </c>
      <c r="AG2" s="51">
        <v>-9.0522803809999992</v>
      </c>
      <c r="AH2" s="51">
        <v>-9.1206626291999999</v>
      </c>
      <c r="AI2" s="51">
        <v>-9.0587022713999996</v>
      </c>
      <c r="AJ2" s="51">
        <v>-9.1086351903999994</v>
      </c>
      <c r="AK2" s="51">
        <v>-9.0836687308999995</v>
      </c>
      <c r="AL2" s="51">
        <v>-9.2337532076000013</v>
      </c>
      <c r="AM2" s="51">
        <v>-9.0639268602000005</v>
      </c>
      <c r="AN2" s="51">
        <v>-9.0403073650000003</v>
      </c>
      <c r="AO2" s="51">
        <v>-9.0896416332000012</v>
      </c>
      <c r="AP2" s="51">
        <v>-9.2622435434000003</v>
      </c>
      <c r="AQ2" s="51">
        <v>-9.3490751208000002</v>
      </c>
      <c r="AR2" s="51">
        <v>-9.2491276486</v>
      </c>
      <c r="AS2" s="51">
        <v>-9.2991013847000001</v>
      </c>
      <c r="AT2" s="51">
        <v>-9.0884171202000008</v>
      </c>
      <c r="AU2" s="51">
        <v>-9.2068139216000002</v>
      </c>
      <c r="AV2" s="51">
        <v>-9.3131016500000001</v>
      </c>
      <c r="AW2" s="51">
        <v>-9.3131016500000001</v>
      </c>
      <c r="AX2" s="30">
        <v>-8.410227398</v>
      </c>
      <c r="AY2" s="30">
        <v>-9.252039268399999</v>
      </c>
      <c r="AZ2" s="51">
        <v>-9.3248569747999994</v>
      </c>
      <c r="BA2" s="51">
        <v>-9.4321515250000001</v>
      </c>
      <c r="BB2" s="51">
        <v>-9.3785042499000006</v>
      </c>
      <c r="BC2" s="51">
        <v>-9.1126352661999999</v>
      </c>
      <c r="BD2" s="51">
        <v>-9.2581618334000009</v>
      </c>
      <c r="BE2" s="51">
        <v>-9.1853985498000004</v>
      </c>
      <c r="BF2" s="51">
        <v>-9.3460818668000005</v>
      </c>
      <c r="BG2" s="51">
        <v>-9.1611259809999996</v>
      </c>
      <c r="BH2" s="51">
        <v>-9.2536039239000001</v>
      </c>
      <c r="BI2" s="51">
        <v>-9.1103495086000006</v>
      </c>
      <c r="BJ2" s="51">
        <v>-8.9842518810000005</v>
      </c>
      <c r="BK2" s="51">
        <v>-9.0473006948000005</v>
      </c>
      <c r="BL2" s="51">
        <v>-9.1510849743999998</v>
      </c>
      <c r="BM2" s="51">
        <v>-9.1302138306000007</v>
      </c>
      <c r="BN2" s="51">
        <v>-9.1068936608000008</v>
      </c>
      <c r="BO2" s="51">
        <v>-9.066484731800001</v>
      </c>
      <c r="BP2" s="51">
        <v>-8.9877349402000011</v>
      </c>
      <c r="BQ2" s="51">
        <v>-9.0271098360000011</v>
      </c>
      <c r="BR2" s="51">
        <v>-9.0654506985999994</v>
      </c>
      <c r="BS2" s="51">
        <v>-8.9740748174</v>
      </c>
      <c r="BT2" s="51">
        <v>-9.0044427398</v>
      </c>
      <c r="BU2" s="51">
        <v>-9.2199298164000005</v>
      </c>
      <c r="BV2" s="51">
        <v>-9.3185439300000006</v>
      </c>
      <c r="BW2" s="51">
        <v>-9.2692368732000006</v>
      </c>
      <c r="BX2" s="51">
        <v>-8.7826426184000006</v>
      </c>
      <c r="BY2" s="51">
        <v>-8.7826426184000006</v>
      </c>
      <c r="BZ2" s="51">
        <v>-8.5314269736000004</v>
      </c>
      <c r="CA2" s="51">
        <v>-8.3570018996000002</v>
      </c>
      <c r="CB2" s="51">
        <v>-8.3753423832000014</v>
      </c>
      <c r="CC2" s="51">
        <v>-8.3661721413999999</v>
      </c>
      <c r="CD2" s="52">
        <v>-8.8000000000000007</v>
      </c>
      <c r="CE2" s="30">
        <v>-9.2579441421999995</v>
      </c>
      <c r="CF2" s="51">
        <v>-9.2322565805999997</v>
      </c>
      <c r="CG2" s="51">
        <v>-9.244828247400001</v>
      </c>
      <c r="CH2" s="51">
        <v>-9.2385424140000012</v>
      </c>
      <c r="CI2" s="51">
        <v>-9.0045243740000007</v>
      </c>
      <c r="CJ2" s="51">
        <v>-9.1621055913999996</v>
      </c>
      <c r="CK2" s="51">
        <v>-9.1042269436000005</v>
      </c>
      <c r="CL2" s="51">
        <v>-9.1331662675</v>
      </c>
      <c r="CM2" s="51">
        <v>-9.1398738776000013</v>
      </c>
      <c r="CN2" s="51">
        <v>-9.3332652974000005</v>
      </c>
      <c r="CO2" s="51">
        <v>-9.2365695875</v>
      </c>
      <c r="CP2" s="51">
        <v>-8.7260156949999992</v>
      </c>
      <c r="CQ2" s="51">
        <v>-9.0114632809999993</v>
      </c>
      <c r="CR2" s="51">
        <v>-8.9853403370000002</v>
      </c>
      <c r="CS2" s="51">
        <v>-8.9170397230000003</v>
      </c>
      <c r="CT2" s="51">
        <v>-9.3607760227999997</v>
      </c>
      <c r="CU2" s="51">
        <v>-9.1389078728999991</v>
      </c>
      <c r="CV2" s="51">
        <v>-9.1447447182000001</v>
      </c>
      <c r="CW2" s="51">
        <v>-9.3161765381999988</v>
      </c>
      <c r="CX2" s="51">
        <v>-9.2304606281999995</v>
      </c>
      <c r="CY2" s="51">
        <v>-9.0781039996000015</v>
      </c>
      <c r="CZ2" s="51">
        <v>-8.9820477576000002</v>
      </c>
      <c r="DA2" s="51">
        <v>-8.9809865129999995</v>
      </c>
      <c r="DB2" s="51">
        <v>-8.981517135299999</v>
      </c>
      <c r="DC2" s="51">
        <v>-8.8218542458000009</v>
      </c>
      <c r="DD2" s="30">
        <v>-9.4760707246000013</v>
      </c>
      <c r="DE2" s="51">
        <v>-8.3732743167999999</v>
      </c>
      <c r="DF2" s="51">
        <v>-8.3732743167999999</v>
      </c>
      <c r="DG2" s="51">
        <v>-8.4378197576000016</v>
      </c>
      <c r="DH2" s="51">
        <v>-8.4900928570000005</v>
      </c>
      <c r="DI2" s="51">
        <v>-8.4639563073000019</v>
      </c>
      <c r="DJ2" s="51">
        <v>-8.8413103967999991</v>
      </c>
      <c r="DK2" s="51">
        <v>-8.8650387376000008</v>
      </c>
      <c r="DL2" s="51">
        <v>-8.8531745672</v>
      </c>
      <c r="DM2" s="51">
        <v>-8.2195299068000001</v>
      </c>
      <c r="DN2" s="51">
        <v>-8.1995567392000002</v>
      </c>
      <c r="DO2" s="51">
        <v>-8.2095433230000001</v>
      </c>
      <c r="DP2" s="51">
        <v>-7.6612880358000002</v>
      </c>
      <c r="DQ2" s="51">
        <v>-7.6544035515999997</v>
      </c>
      <c r="DR2" s="51">
        <v>-7.6578457937</v>
      </c>
    </row>
    <row r="3" spans="1:122" s="1" customFormat="1" x14ac:dyDescent="0.2">
      <c r="A3" s="50" t="s">
        <v>1465</v>
      </c>
      <c r="B3" s="51">
        <v>1.7266721756000001</v>
      </c>
      <c r="C3" s="51">
        <v>0.68567285720000004</v>
      </c>
      <c r="D3" s="51">
        <v>1.864933299</v>
      </c>
      <c r="E3" s="51">
        <v>1.9009067698</v>
      </c>
      <c r="F3" s="51">
        <v>1.8829200344000001</v>
      </c>
      <c r="G3" s="51">
        <v>1.9708400678</v>
      </c>
      <c r="H3" s="51">
        <v>1.8251502321999999</v>
      </c>
      <c r="I3" s="51">
        <v>1.6333642850000001</v>
      </c>
      <c r="J3" s="51">
        <v>1.6009555075999999</v>
      </c>
      <c r="K3" s="51">
        <v>1.6171598963</v>
      </c>
      <c r="L3" s="30">
        <v>1.6923858116000001</v>
      </c>
      <c r="M3" s="51">
        <v>1.4593745934</v>
      </c>
      <c r="N3" s="51">
        <v>1.5488184652000001</v>
      </c>
      <c r="O3" s="51">
        <v>1.5040965292999999</v>
      </c>
      <c r="P3" s="51">
        <v>1.4389388320000001</v>
      </c>
      <c r="Q3" s="51">
        <v>1.5244098394000001</v>
      </c>
      <c r="R3" s="51">
        <v>1.4816743357000002</v>
      </c>
      <c r="S3" s="30">
        <v>1.3949652096</v>
      </c>
      <c r="T3" s="51">
        <v>1.7327403178</v>
      </c>
      <c r="U3" s="51">
        <v>1.6330105368000001</v>
      </c>
      <c r="V3" s="51">
        <v>1.6828754272999999</v>
      </c>
      <c r="W3" s="51">
        <v>1.4855247488000001</v>
      </c>
      <c r="X3" s="51">
        <v>1.552682484</v>
      </c>
      <c r="Y3" s="51">
        <v>1.5280017442</v>
      </c>
      <c r="Z3" s="51">
        <v>1.5403421141</v>
      </c>
      <c r="AA3" s="51">
        <v>1.8559263256</v>
      </c>
      <c r="AB3" s="51">
        <v>1.7298559093999999</v>
      </c>
      <c r="AC3" s="51">
        <v>1.7928911175</v>
      </c>
      <c r="AD3" s="51">
        <v>1.8948930503999999</v>
      </c>
      <c r="AE3" s="51">
        <v>1.8589467909999999</v>
      </c>
      <c r="AF3" s="51">
        <v>1.8769199206999998</v>
      </c>
      <c r="AG3" s="51">
        <v>1.9766088846000001</v>
      </c>
      <c r="AH3" s="51">
        <v>1.8827839773999999</v>
      </c>
      <c r="AI3" s="51">
        <v>1.8898861527999999</v>
      </c>
      <c r="AJ3" s="51">
        <v>1.8824574406000001</v>
      </c>
      <c r="AK3" s="51">
        <v>1.8861717967</v>
      </c>
      <c r="AL3" s="51">
        <v>1.8092043518000001</v>
      </c>
      <c r="AM3" s="51">
        <v>1.6589157896</v>
      </c>
      <c r="AN3" s="51">
        <v>1.7599245064</v>
      </c>
      <c r="AO3" s="51">
        <v>1.7427541129999999</v>
      </c>
      <c r="AP3" s="51">
        <v>1.7849589943999999</v>
      </c>
      <c r="AQ3" s="51">
        <v>1.8395722742</v>
      </c>
      <c r="AR3" s="51">
        <v>1.8124697197999999</v>
      </c>
      <c r="AS3" s="51">
        <v>1.8260209970000001</v>
      </c>
      <c r="AT3" s="51">
        <v>1.8129051022</v>
      </c>
      <c r="AU3" s="51">
        <v>1.7899114692</v>
      </c>
      <c r="AV3" s="51">
        <v>1.7072704474</v>
      </c>
      <c r="AW3" s="51">
        <v>1.7072704474</v>
      </c>
      <c r="AX3" s="30">
        <v>1.6847394082000002</v>
      </c>
      <c r="AY3" s="30">
        <v>1.6596232860000002</v>
      </c>
      <c r="AZ3" s="51">
        <v>1.6102618064000001</v>
      </c>
      <c r="BA3" s="51">
        <v>1.9237915571999999</v>
      </c>
      <c r="BB3" s="51">
        <v>1.7670266818</v>
      </c>
      <c r="BC3" s="51">
        <v>1.8532051856</v>
      </c>
      <c r="BD3" s="51">
        <v>1.8296673245999999</v>
      </c>
      <c r="BE3" s="51">
        <v>1.8414362551000001</v>
      </c>
      <c r="BF3" s="51">
        <v>1.8788927472000001</v>
      </c>
      <c r="BG3" s="51">
        <v>1.8029729412</v>
      </c>
      <c r="BH3" s="51">
        <v>1.8409328442000001</v>
      </c>
      <c r="BI3" s="51">
        <v>1.9201452295999999</v>
      </c>
      <c r="BJ3" s="51">
        <v>1.8144833633999999</v>
      </c>
      <c r="BK3" s="51">
        <v>1.8673142965</v>
      </c>
      <c r="BL3" s="51">
        <v>1.8966073686</v>
      </c>
      <c r="BM3" s="51">
        <v>1.9640372178000001</v>
      </c>
      <c r="BN3" s="51">
        <v>2.0000379000000001</v>
      </c>
      <c r="BO3" s="51">
        <v>1.8954372784</v>
      </c>
      <c r="BP3" s="51">
        <v>1.9299957564000001</v>
      </c>
      <c r="BQ3" s="51">
        <v>1.9127165174</v>
      </c>
      <c r="BR3" s="51">
        <v>1.9266487541999999</v>
      </c>
      <c r="BS3" s="51">
        <v>1.8446880174</v>
      </c>
      <c r="BT3" s="51">
        <v>1.9691801724</v>
      </c>
      <c r="BU3" s="51">
        <v>1.6358405224000001</v>
      </c>
      <c r="BV3" s="51">
        <v>1.6015541583999999</v>
      </c>
      <c r="BW3" s="51">
        <v>1.6186973404</v>
      </c>
      <c r="BX3" s="51">
        <v>1.8195718952</v>
      </c>
      <c r="BY3" s="51">
        <v>1.8195718952</v>
      </c>
      <c r="BZ3" s="51">
        <v>1.7992721908</v>
      </c>
      <c r="CA3" s="51">
        <v>1.6839230662</v>
      </c>
      <c r="CB3" s="51">
        <v>1.7049302669999999</v>
      </c>
      <c r="CC3" s="51">
        <v>1.6944266666000001</v>
      </c>
      <c r="CD3" s="52">
        <v>1.7370000000000001</v>
      </c>
      <c r="CE3" s="30">
        <v>1.6754875322000002</v>
      </c>
      <c r="CF3" s="51">
        <v>1.7013111508000001</v>
      </c>
      <c r="CG3" s="51">
        <v>1.7035152741999999</v>
      </c>
      <c r="CH3" s="51">
        <v>1.7024132125</v>
      </c>
      <c r="CI3" s="51">
        <v>1.7696389762</v>
      </c>
      <c r="CJ3" s="51">
        <v>1.6267791262</v>
      </c>
      <c r="CK3" s="51">
        <v>1.810646556</v>
      </c>
      <c r="CL3" s="51">
        <v>1.7187128410999999</v>
      </c>
      <c r="CM3" s="51">
        <v>1.7573666348000001</v>
      </c>
      <c r="CN3" s="51">
        <v>1.6679771858000001</v>
      </c>
      <c r="CO3" s="51">
        <v>1.7126719103000001</v>
      </c>
      <c r="CP3" s="51">
        <v>1.7464276519999999</v>
      </c>
      <c r="CQ3" s="51">
        <v>1.7065357396</v>
      </c>
      <c r="CR3" s="51">
        <v>1.8998999480000001</v>
      </c>
      <c r="CS3" s="51">
        <v>1.7841970752</v>
      </c>
      <c r="CT3" s="51">
        <v>1.7072704474</v>
      </c>
      <c r="CU3" s="51">
        <v>1.7457337612999999</v>
      </c>
      <c r="CV3" s="51">
        <v>1.8123608741999999</v>
      </c>
      <c r="CW3" s="51">
        <v>1.6735555228000001</v>
      </c>
      <c r="CX3" s="51">
        <v>1.7429581985</v>
      </c>
      <c r="CY3" s="51">
        <v>1.8538582591999999</v>
      </c>
      <c r="CZ3" s="51">
        <v>1.8360075808</v>
      </c>
      <c r="DA3" s="51">
        <v>1.7443323742000001</v>
      </c>
      <c r="DB3" s="51">
        <v>1.7901699775000002</v>
      </c>
      <c r="DC3" s="51">
        <v>1.7466725545999999</v>
      </c>
      <c r="DD3" s="30">
        <v>1.5645738658000001</v>
      </c>
      <c r="DE3" s="51">
        <v>1.6499632390000001</v>
      </c>
      <c r="DF3" s="51">
        <v>1.6499632390000001</v>
      </c>
      <c r="DG3" s="51">
        <v>1.8117078006</v>
      </c>
      <c r="DH3" s="51">
        <v>1.6712425538</v>
      </c>
      <c r="DI3" s="51">
        <v>1.7414751771999999</v>
      </c>
      <c r="DJ3" s="51">
        <v>1.2564591836000001</v>
      </c>
      <c r="DK3" s="51">
        <v>1.3916454188</v>
      </c>
      <c r="DL3" s="51">
        <v>1.3240523012000001</v>
      </c>
      <c r="DM3" s="51">
        <v>1.2442956878</v>
      </c>
      <c r="DN3" s="51">
        <v>1.3456037300000001</v>
      </c>
      <c r="DO3" s="51">
        <v>1.2949497088999999</v>
      </c>
      <c r="DP3" s="51">
        <v>1.0546594412000001</v>
      </c>
      <c r="DQ3" s="51">
        <v>1.0985242180000001</v>
      </c>
      <c r="DR3" s="51">
        <v>1.0765918296000001</v>
      </c>
    </row>
    <row r="4" spans="1:122" s="1" customFormat="1" x14ac:dyDescent="0.2">
      <c r="A4" s="50" t="s">
        <v>1464</v>
      </c>
      <c r="B4" s="51">
        <v>10.921458658400001</v>
      </c>
      <c r="C4" s="51">
        <v>10.0018766068</v>
      </c>
      <c r="D4" s="51">
        <v>11.1156119974</v>
      </c>
      <c r="E4" s="51">
        <v>11.054304713200001</v>
      </c>
      <c r="F4" s="51">
        <v>11.0849583553</v>
      </c>
      <c r="G4" s="51">
        <v>10.9670377534</v>
      </c>
      <c r="H4" s="51">
        <v>10.465939822399999</v>
      </c>
      <c r="I4" s="51">
        <v>10.876668693999999</v>
      </c>
      <c r="J4" s="51">
        <v>10.8949275434</v>
      </c>
      <c r="K4" s="51">
        <v>10.885798118699999</v>
      </c>
      <c r="L4" s="30">
        <v>10.695087021799999</v>
      </c>
      <c r="M4" s="51">
        <v>10.483736078</v>
      </c>
      <c r="N4" s="51">
        <v>10.5076548986</v>
      </c>
      <c r="O4" s="51">
        <v>10.495695488300001</v>
      </c>
      <c r="P4" s="51">
        <v>11.2287025758</v>
      </c>
      <c r="Q4" s="51">
        <v>10.7541357598</v>
      </c>
      <c r="R4" s="51">
        <v>10.9914191678</v>
      </c>
      <c r="S4" s="30">
        <v>11.011582815200001</v>
      </c>
      <c r="T4" s="51">
        <v>10.9712010976</v>
      </c>
      <c r="U4" s="51">
        <v>11.056291145399999</v>
      </c>
      <c r="V4" s="51">
        <v>11.013746121499999</v>
      </c>
      <c r="W4" s="51">
        <v>10.6447731432</v>
      </c>
      <c r="X4" s="51">
        <v>10.7559589236</v>
      </c>
      <c r="Y4" s="51">
        <v>10.874872741600001</v>
      </c>
      <c r="Z4" s="51">
        <v>10.815415832599999</v>
      </c>
      <c r="AA4" s="51">
        <v>10.9556905996</v>
      </c>
      <c r="AB4" s="51">
        <v>11.0178686486</v>
      </c>
      <c r="AC4" s="51">
        <v>10.9867796241</v>
      </c>
      <c r="AD4" s="51">
        <v>11.008997732199999</v>
      </c>
      <c r="AE4" s="51">
        <v>10.9855959282</v>
      </c>
      <c r="AF4" s="51">
        <v>10.9972968302</v>
      </c>
      <c r="AG4" s="51">
        <v>11.0288892656</v>
      </c>
      <c r="AH4" s="51">
        <v>11.003446606600001</v>
      </c>
      <c r="AI4" s="51">
        <v>10.9485884242</v>
      </c>
      <c r="AJ4" s="51">
        <v>10.991092631000001</v>
      </c>
      <c r="AK4" s="51">
        <v>10.969840527600001</v>
      </c>
      <c r="AL4" s="51">
        <v>11.0429575594</v>
      </c>
      <c r="AM4" s="51">
        <v>10.7228426498</v>
      </c>
      <c r="AN4" s="51">
        <v>10.800231871399999</v>
      </c>
      <c r="AO4" s="51">
        <v>10.8323957462</v>
      </c>
      <c r="AP4" s="51">
        <v>11.0472025378</v>
      </c>
      <c r="AQ4" s="51">
        <v>11.188647395</v>
      </c>
      <c r="AR4" s="51">
        <v>11.061597368399999</v>
      </c>
      <c r="AS4" s="51">
        <v>11.125122381699999</v>
      </c>
      <c r="AT4" s="51">
        <v>10.901322222399999</v>
      </c>
      <c r="AU4" s="51">
        <v>10.9967253908</v>
      </c>
      <c r="AV4" s="51">
        <v>11.020372097399999</v>
      </c>
      <c r="AW4" s="51">
        <v>11.020372097399999</v>
      </c>
      <c r="AX4" s="30">
        <v>10.0949668062</v>
      </c>
      <c r="AY4" s="30">
        <v>10.911662554399999</v>
      </c>
      <c r="AZ4" s="51">
        <v>10.9351187812</v>
      </c>
      <c r="BA4" s="51">
        <v>11.3559430822</v>
      </c>
      <c r="BB4" s="51">
        <v>11.1455309317</v>
      </c>
      <c r="BC4" s="51">
        <v>10.9658404518</v>
      </c>
      <c r="BD4" s="51">
        <v>11.087829158</v>
      </c>
      <c r="BE4" s="51">
        <v>11.0268348049</v>
      </c>
      <c r="BF4" s="51">
        <v>11.224974614000001</v>
      </c>
      <c r="BG4" s="51">
        <v>10.9640989222</v>
      </c>
      <c r="BH4" s="51">
        <v>11.094536768099999</v>
      </c>
      <c r="BI4" s="51">
        <v>11.0304947382</v>
      </c>
      <c r="BJ4" s="51">
        <v>10.7987352444</v>
      </c>
      <c r="BK4" s="51">
        <v>10.914614991299999</v>
      </c>
      <c r="BL4" s="51">
        <v>11.047692343</v>
      </c>
      <c r="BM4" s="51">
        <v>11.0942510484</v>
      </c>
      <c r="BN4" s="51">
        <v>11.1069315608</v>
      </c>
      <c r="BO4" s="51">
        <v>10.9619220102</v>
      </c>
      <c r="BP4" s="51">
        <v>10.9177306966</v>
      </c>
      <c r="BQ4" s="51">
        <v>10.939826353400001</v>
      </c>
      <c r="BR4" s="51">
        <v>10.9920994528</v>
      </c>
      <c r="BS4" s="51">
        <v>10.818762834799999</v>
      </c>
      <c r="BT4" s="51">
        <v>10.9736229122</v>
      </c>
      <c r="BU4" s="51">
        <v>10.855770338799999</v>
      </c>
      <c r="BV4" s="51">
        <v>10.9200980884</v>
      </c>
      <c r="BW4" s="51">
        <v>10.887934213599999</v>
      </c>
      <c r="BX4" s="51">
        <v>10.6022145136</v>
      </c>
      <c r="BY4" s="51">
        <v>10.6022145136</v>
      </c>
      <c r="BZ4" s="51">
        <v>10.3306991644</v>
      </c>
      <c r="CA4" s="51">
        <v>10.0409249658</v>
      </c>
      <c r="CB4" s="51">
        <v>10.0802726502</v>
      </c>
      <c r="CC4" s="51">
        <v>10.060598808</v>
      </c>
      <c r="CD4" s="52">
        <v>10.538</v>
      </c>
      <c r="CE4" s="30">
        <v>10.9334316744</v>
      </c>
      <c r="CF4" s="51">
        <v>10.9335677314</v>
      </c>
      <c r="CG4" s="51">
        <v>10.9483435216</v>
      </c>
      <c r="CH4" s="51">
        <v>10.940955626499999</v>
      </c>
      <c r="CI4" s="51">
        <v>10.7741633502</v>
      </c>
      <c r="CJ4" s="51">
        <v>10.7888847176</v>
      </c>
      <c r="CK4" s="51">
        <v>10.914873499600001</v>
      </c>
      <c r="CL4" s="51">
        <v>10.8518791086</v>
      </c>
      <c r="CM4" s="51">
        <v>10.8972405124</v>
      </c>
      <c r="CN4" s="51">
        <v>11.0012424832</v>
      </c>
      <c r="CO4" s="51">
        <v>10.949241497799999</v>
      </c>
      <c r="CP4" s="51">
        <v>10.472443347</v>
      </c>
      <c r="CQ4" s="51">
        <v>10.717999020600001</v>
      </c>
      <c r="CR4" s="51">
        <v>10.885240285</v>
      </c>
      <c r="CS4" s="51">
        <v>10.7012367982</v>
      </c>
      <c r="CT4" s="51">
        <v>11.068046470200001</v>
      </c>
      <c r="CU4" s="51">
        <v>10.884641634200001</v>
      </c>
      <c r="CV4" s="51">
        <v>10.9571055924</v>
      </c>
      <c r="CW4" s="51">
        <v>10.989732061</v>
      </c>
      <c r="CX4" s="51">
        <v>10.9734188267</v>
      </c>
      <c r="CY4" s="51">
        <v>10.9319622588</v>
      </c>
      <c r="CZ4" s="51">
        <v>10.818055338400001</v>
      </c>
      <c r="DA4" s="51">
        <v>10.7253188872</v>
      </c>
      <c r="DB4" s="51">
        <v>10.7716871128</v>
      </c>
      <c r="DC4" s="51">
        <v>10.568526800400001</v>
      </c>
      <c r="DD4" s="30">
        <v>11.040644590400001</v>
      </c>
      <c r="DE4" s="51">
        <v>10.0232375558</v>
      </c>
      <c r="DF4" s="51">
        <v>10.0232375558</v>
      </c>
      <c r="DG4" s="51">
        <v>10.2495275582</v>
      </c>
      <c r="DH4" s="51">
        <v>10.1613354108</v>
      </c>
      <c r="DI4" s="51">
        <v>10.2054314845</v>
      </c>
      <c r="DJ4" s="51">
        <v>10.0977695804</v>
      </c>
      <c r="DK4" s="51">
        <v>10.2566841564</v>
      </c>
      <c r="DL4" s="51">
        <v>10.1772268684</v>
      </c>
      <c r="DM4" s="51">
        <v>9.4638255945999994</v>
      </c>
      <c r="DN4" s="51">
        <v>9.5451604692000007</v>
      </c>
      <c r="DO4" s="51">
        <v>9.5044930319000009</v>
      </c>
      <c r="DP4" s="51">
        <v>8.7159474770000003</v>
      </c>
      <c r="DQ4" s="51">
        <v>8.7529277695999994</v>
      </c>
      <c r="DR4" s="51">
        <v>8.7344376232999998</v>
      </c>
    </row>
    <row r="5" spans="1:122" s="1" customFormat="1" x14ac:dyDescent="0.2">
      <c r="A5" s="50" t="s">
        <v>846</v>
      </c>
      <c r="B5" s="1">
        <v>2</v>
      </c>
      <c r="C5" s="1">
        <v>2</v>
      </c>
      <c r="D5" s="1">
        <v>3</v>
      </c>
      <c r="E5" s="1">
        <v>3</v>
      </c>
      <c r="F5" s="1">
        <v>3</v>
      </c>
      <c r="G5" s="1">
        <v>3</v>
      </c>
      <c r="H5" s="1">
        <v>3</v>
      </c>
      <c r="I5" s="1">
        <v>3</v>
      </c>
      <c r="J5" s="1">
        <v>3</v>
      </c>
      <c r="K5" s="1">
        <v>3</v>
      </c>
      <c r="L5" s="1">
        <v>3</v>
      </c>
      <c r="M5" s="1">
        <v>3</v>
      </c>
      <c r="N5" s="1">
        <v>3</v>
      </c>
      <c r="O5" s="1">
        <v>3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70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5</v>
      </c>
      <c r="BA5" s="1">
        <v>5</v>
      </c>
      <c r="BB5" s="1">
        <v>5</v>
      </c>
      <c r="BC5" s="1">
        <v>5</v>
      </c>
      <c r="BD5" s="1">
        <v>5</v>
      </c>
      <c r="BE5" s="1">
        <v>5</v>
      </c>
      <c r="BF5" s="1">
        <v>5</v>
      </c>
      <c r="BG5" s="1">
        <v>5</v>
      </c>
      <c r="BH5" s="1">
        <v>5</v>
      </c>
      <c r="BI5" s="1">
        <v>5</v>
      </c>
      <c r="BJ5" s="1">
        <v>5</v>
      </c>
      <c r="BK5" s="1">
        <v>5</v>
      </c>
      <c r="BL5" s="1">
        <v>5</v>
      </c>
      <c r="BM5" s="1">
        <v>5</v>
      </c>
      <c r="BN5" s="1">
        <v>5</v>
      </c>
      <c r="BO5" s="1">
        <v>5</v>
      </c>
      <c r="BP5" s="1">
        <v>5</v>
      </c>
      <c r="BQ5" s="1">
        <v>5</v>
      </c>
      <c r="BR5" s="1">
        <v>5</v>
      </c>
      <c r="BS5" s="1">
        <v>5</v>
      </c>
      <c r="BT5" s="1">
        <v>5</v>
      </c>
      <c r="BU5" s="1">
        <v>5</v>
      </c>
      <c r="BV5" s="1">
        <v>5</v>
      </c>
      <c r="BW5" s="1">
        <v>5</v>
      </c>
      <c r="BX5" s="1">
        <v>5</v>
      </c>
      <c r="BY5" s="1">
        <v>5</v>
      </c>
      <c r="BZ5" s="1">
        <v>5</v>
      </c>
      <c r="CA5" s="1">
        <v>5</v>
      </c>
      <c r="CB5" s="1">
        <v>5</v>
      </c>
      <c r="CC5" s="1">
        <v>5</v>
      </c>
      <c r="CD5" s="1">
        <v>5</v>
      </c>
      <c r="CE5" s="1">
        <v>5</v>
      </c>
      <c r="CF5" s="1">
        <v>5</v>
      </c>
      <c r="CG5" s="1">
        <v>5</v>
      </c>
      <c r="CH5" s="1">
        <v>5</v>
      </c>
      <c r="CI5" s="1">
        <v>5</v>
      </c>
      <c r="CJ5" s="1">
        <v>5</v>
      </c>
      <c r="CK5" s="1">
        <v>5</v>
      </c>
      <c r="CL5" s="1">
        <v>5</v>
      </c>
      <c r="CM5" s="1">
        <v>6</v>
      </c>
      <c r="CN5" s="1">
        <v>6</v>
      </c>
      <c r="CO5" s="1">
        <v>6</v>
      </c>
      <c r="CP5" s="1">
        <v>6</v>
      </c>
      <c r="CQ5" s="1">
        <v>6</v>
      </c>
      <c r="CR5" s="1">
        <v>6</v>
      </c>
      <c r="CS5" s="1">
        <v>6</v>
      </c>
      <c r="CT5" s="1">
        <v>6</v>
      </c>
      <c r="CU5" s="1">
        <v>6</v>
      </c>
      <c r="CV5" s="1">
        <v>6</v>
      </c>
      <c r="CW5" s="1">
        <v>6</v>
      </c>
      <c r="CX5" s="1">
        <v>6</v>
      </c>
      <c r="CY5" s="1">
        <v>6</v>
      </c>
      <c r="CZ5" s="1">
        <v>6</v>
      </c>
      <c r="DA5" s="1">
        <v>6</v>
      </c>
      <c r="DB5" s="1">
        <v>6</v>
      </c>
      <c r="DC5" s="1">
        <v>6</v>
      </c>
      <c r="DD5" s="1">
        <v>6</v>
      </c>
      <c r="DE5" s="1">
        <v>6</v>
      </c>
      <c r="DF5" s="1">
        <v>6</v>
      </c>
      <c r="DG5" s="1">
        <v>6</v>
      </c>
      <c r="DH5" s="1">
        <v>6</v>
      </c>
      <c r="DI5" s="1">
        <v>6</v>
      </c>
      <c r="DJ5" s="1">
        <v>9</v>
      </c>
      <c r="DK5" s="1">
        <v>9</v>
      </c>
      <c r="DL5" s="1">
        <v>9</v>
      </c>
      <c r="DM5" s="1">
        <v>9</v>
      </c>
      <c r="DN5" s="1">
        <v>9</v>
      </c>
      <c r="DO5" s="1">
        <v>9</v>
      </c>
      <c r="DP5" s="1">
        <v>11</v>
      </c>
      <c r="DQ5" s="1">
        <v>11</v>
      </c>
      <c r="DR5" s="1">
        <v>11</v>
      </c>
    </row>
    <row r="6" spans="1:122" s="1" customFormat="1" x14ac:dyDescent="0.2">
      <c r="A6" s="50" t="s">
        <v>1461</v>
      </c>
      <c r="B6" s="1">
        <v>75.069999999999993</v>
      </c>
      <c r="C6" s="1">
        <v>125.14</v>
      </c>
      <c r="D6" s="1">
        <v>89.09</v>
      </c>
      <c r="E6" s="1">
        <v>89.09</v>
      </c>
      <c r="F6" s="1">
        <v>89.09</v>
      </c>
      <c r="G6" s="1">
        <v>89.09</v>
      </c>
      <c r="H6" s="1">
        <v>89.09</v>
      </c>
      <c r="I6" s="1">
        <v>105.09</v>
      </c>
      <c r="J6" s="1">
        <v>105.09</v>
      </c>
      <c r="K6" s="1">
        <v>105.09</v>
      </c>
      <c r="L6" s="1">
        <v>105.09</v>
      </c>
      <c r="M6" s="1">
        <v>121.16</v>
      </c>
      <c r="N6" s="1">
        <v>121.16</v>
      </c>
      <c r="O6" s="1">
        <v>121.16</v>
      </c>
      <c r="P6" s="1">
        <v>133.1</v>
      </c>
      <c r="Q6" s="1">
        <v>133.1</v>
      </c>
      <c r="R6" s="1">
        <v>133.1</v>
      </c>
      <c r="S6" s="1">
        <v>149.1</v>
      </c>
      <c r="T6" s="1">
        <v>119.2</v>
      </c>
      <c r="U6" s="1">
        <v>119.2</v>
      </c>
      <c r="V6" s="1">
        <v>119.2</v>
      </c>
      <c r="W6" s="1">
        <v>119.2</v>
      </c>
      <c r="X6" s="1">
        <v>119.2</v>
      </c>
      <c r="Y6" s="1">
        <v>119.2</v>
      </c>
      <c r="Z6" s="69">
        <v>119.2</v>
      </c>
      <c r="AA6" s="1">
        <v>103.12</v>
      </c>
      <c r="AB6" s="1">
        <v>103.12</v>
      </c>
      <c r="AC6" s="1">
        <v>103.12</v>
      </c>
      <c r="AD6" s="1">
        <v>103.12</v>
      </c>
      <c r="AE6" s="1">
        <v>103.12</v>
      </c>
      <c r="AF6" s="1">
        <v>103.12</v>
      </c>
      <c r="AG6" s="1">
        <v>103.12</v>
      </c>
      <c r="AH6" s="1">
        <v>103.12</v>
      </c>
      <c r="AI6" s="1">
        <v>103.12</v>
      </c>
      <c r="AJ6" s="1">
        <v>103.12</v>
      </c>
      <c r="AK6" s="1">
        <v>103.12</v>
      </c>
      <c r="AL6" s="1">
        <v>101.1</v>
      </c>
      <c r="AM6" s="1">
        <v>119.12</v>
      </c>
      <c r="AN6" s="1">
        <v>119.12</v>
      </c>
      <c r="AO6" s="1">
        <v>119.12</v>
      </c>
      <c r="AP6" s="1">
        <v>119.12</v>
      </c>
      <c r="AQ6" s="1">
        <v>119.12</v>
      </c>
      <c r="AR6" s="1">
        <v>119.12</v>
      </c>
      <c r="AS6" s="1">
        <v>119.12</v>
      </c>
      <c r="AT6" s="1">
        <v>119.12</v>
      </c>
      <c r="AU6" s="1">
        <v>119.12</v>
      </c>
      <c r="AV6" s="1">
        <v>132.12</v>
      </c>
      <c r="AW6" s="1">
        <v>132.12</v>
      </c>
      <c r="AX6" s="1">
        <v>135.18</v>
      </c>
      <c r="AY6" s="1">
        <v>183.18</v>
      </c>
      <c r="AZ6" s="1">
        <v>117.15</v>
      </c>
      <c r="BA6" s="1">
        <v>117.15</v>
      </c>
      <c r="BB6" s="1">
        <v>117.15</v>
      </c>
      <c r="BC6" s="1">
        <v>117.15</v>
      </c>
      <c r="BD6" s="1">
        <v>117.15</v>
      </c>
      <c r="BE6" s="1">
        <v>117.15</v>
      </c>
      <c r="BF6" s="1">
        <v>117.15</v>
      </c>
      <c r="BG6" s="1">
        <v>117.15</v>
      </c>
      <c r="BH6" s="1">
        <v>117.15</v>
      </c>
      <c r="BI6" s="1">
        <v>117.15</v>
      </c>
      <c r="BJ6" s="1">
        <v>117.15</v>
      </c>
      <c r="BK6" s="1">
        <v>117.15</v>
      </c>
      <c r="BL6" s="1">
        <v>117.15</v>
      </c>
      <c r="BM6" s="1">
        <v>117.15</v>
      </c>
      <c r="BN6" s="1">
        <v>117.15</v>
      </c>
      <c r="BO6" s="1">
        <v>117.15</v>
      </c>
      <c r="BP6" s="1">
        <v>117.15</v>
      </c>
      <c r="BQ6" s="1">
        <v>117.15</v>
      </c>
      <c r="BR6" s="1">
        <v>117.15</v>
      </c>
      <c r="BS6" s="1">
        <v>117.15</v>
      </c>
      <c r="BT6" s="1">
        <v>117.15</v>
      </c>
      <c r="BU6" s="1">
        <v>147.30000000000001</v>
      </c>
      <c r="BV6" s="1">
        <v>147.30000000000001</v>
      </c>
      <c r="BW6" s="1">
        <v>147.30000000000001</v>
      </c>
      <c r="BX6" s="1">
        <v>115.13</v>
      </c>
      <c r="BY6" s="1">
        <v>115.13</v>
      </c>
      <c r="BZ6" s="1">
        <v>131.13</v>
      </c>
      <c r="CA6" s="1">
        <v>149.21</v>
      </c>
      <c r="CB6" s="1">
        <v>149.21</v>
      </c>
      <c r="CC6" s="1">
        <v>149.21</v>
      </c>
      <c r="CD6" s="1">
        <v>165.21</v>
      </c>
      <c r="CE6" s="1">
        <v>181.21</v>
      </c>
      <c r="CF6" s="1">
        <v>146.15</v>
      </c>
      <c r="CG6" s="1">
        <v>146.15</v>
      </c>
      <c r="CH6" s="1">
        <v>146.15</v>
      </c>
      <c r="CI6" s="1">
        <v>132.16</v>
      </c>
      <c r="CJ6" s="1">
        <v>147.13</v>
      </c>
      <c r="CK6" s="1">
        <v>147.13</v>
      </c>
      <c r="CL6" s="1">
        <v>147.13</v>
      </c>
      <c r="CM6" s="1">
        <v>161.16</v>
      </c>
      <c r="CN6" s="1">
        <v>161.16</v>
      </c>
      <c r="CO6" s="1">
        <v>161.16</v>
      </c>
      <c r="CP6" s="1">
        <v>129.16</v>
      </c>
      <c r="CQ6" s="1">
        <v>145.16</v>
      </c>
      <c r="CR6" s="1">
        <v>131.16999999999999</v>
      </c>
      <c r="CS6" s="1">
        <v>131.16999999999999</v>
      </c>
      <c r="CT6" s="1">
        <v>131.16999999999999</v>
      </c>
      <c r="CU6" s="1">
        <v>131.16999999999999</v>
      </c>
      <c r="CV6" s="1">
        <v>131.16999999999999</v>
      </c>
      <c r="CW6" s="1">
        <v>131.16999999999999</v>
      </c>
      <c r="CX6" s="1">
        <v>131.16999999999999</v>
      </c>
      <c r="CY6" s="1">
        <v>131.16999999999999</v>
      </c>
      <c r="CZ6" s="1">
        <v>146.19</v>
      </c>
      <c r="DA6" s="1">
        <v>146.19</v>
      </c>
      <c r="DB6" s="1">
        <v>146.19</v>
      </c>
      <c r="DC6" s="1">
        <v>162.19</v>
      </c>
      <c r="DD6" s="1">
        <v>161.16</v>
      </c>
      <c r="DE6" s="1">
        <v>155.15</v>
      </c>
      <c r="DF6" s="1">
        <v>155.15</v>
      </c>
      <c r="DG6" s="1">
        <v>174.2</v>
      </c>
      <c r="DH6" s="1">
        <v>174.2</v>
      </c>
      <c r="DI6" s="1">
        <v>174.2</v>
      </c>
      <c r="DJ6" s="1">
        <v>165.19</v>
      </c>
      <c r="DK6" s="1">
        <v>165.19</v>
      </c>
      <c r="DL6" s="1">
        <v>165.19</v>
      </c>
      <c r="DM6" s="1">
        <v>181.19</v>
      </c>
      <c r="DN6" s="1">
        <v>181.19</v>
      </c>
      <c r="DO6" s="1">
        <v>181.19</v>
      </c>
      <c r="DP6" s="1">
        <v>204.23</v>
      </c>
      <c r="DQ6" s="1">
        <v>204.23</v>
      </c>
      <c r="DR6" s="1">
        <v>204.23</v>
      </c>
    </row>
    <row r="7" spans="1:122" s="1" customFormat="1" x14ac:dyDescent="0.2">
      <c r="A7" s="50" t="s">
        <v>984</v>
      </c>
      <c r="B7" s="1">
        <v>3</v>
      </c>
      <c r="C7" s="1">
        <v>5</v>
      </c>
      <c r="D7" s="1">
        <v>4</v>
      </c>
      <c r="E7" s="1">
        <v>4</v>
      </c>
      <c r="F7" s="1">
        <v>4</v>
      </c>
      <c r="G7" s="1">
        <v>4</v>
      </c>
      <c r="H7" s="1">
        <v>4</v>
      </c>
      <c r="I7" s="1">
        <v>4</v>
      </c>
      <c r="J7" s="1">
        <v>4</v>
      </c>
      <c r="K7" s="1">
        <v>4</v>
      </c>
      <c r="L7" s="1">
        <v>4</v>
      </c>
      <c r="M7" s="1">
        <v>5</v>
      </c>
      <c r="N7" s="1">
        <v>5</v>
      </c>
      <c r="O7" s="1">
        <v>5</v>
      </c>
      <c r="P7" s="1">
        <v>5</v>
      </c>
      <c r="Q7" s="1">
        <v>5</v>
      </c>
      <c r="R7" s="1">
        <v>5</v>
      </c>
      <c r="S7" s="1">
        <v>5</v>
      </c>
      <c r="T7" s="1">
        <v>5</v>
      </c>
      <c r="U7" s="1">
        <v>5</v>
      </c>
      <c r="V7" s="1">
        <v>5</v>
      </c>
      <c r="W7" s="1">
        <v>5</v>
      </c>
      <c r="X7" s="1">
        <v>5</v>
      </c>
      <c r="Y7" s="1">
        <v>5</v>
      </c>
      <c r="Z7" s="70">
        <v>5</v>
      </c>
      <c r="AA7" s="1">
        <v>5</v>
      </c>
      <c r="AB7" s="1">
        <v>5</v>
      </c>
      <c r="AC7" s="1">
        <v>5</v>
      </c>
      <c r="AD7" s="1">
        <v>5</v>
      </c>
      <c r="AE7" s="1">
        <v>5</v>
      </c>
      <c r="AF7" s="1">
        <v>5</v>
      </c>
      <c r="AG7" s="1">
        <v>5</v>
      </c>
      <c r="AH7" s="1">
        <v>5</v>
      </c>
      <c r="AI7" s="1">
        <v>5</v>
      </c>
      <c r="AJ7" s="1">
        <v>5</v>
      </c>
      <c r="AK7" s="1">
        <v>5</v>
      </c>
      <c r="AL7" s="1">
        <v>5</v>
      </c>
      <c r="AM7" s="1">
        <v>5</v>
      </c>
      <c r="AN7" s="1">
        <v>5</v>
      </c>
      <c r="AO7" s="1">
        <v>5</v>
      </c>
      <c r="AP7" s="1">
        <v>5</v>
      </c>
      <c r="AQ7" s="1">
        <v>5</v>
      </c>
      <c r="AR7" s="1">
        <v>5</v>
      </c>
      <c r="AS7" s="1">
        <v>5</v>
      </c>
      <c r="AT7" s="1">
        <v>5</v>
      </c>
      <c r="AU7" s="1">
        <v>5</v>
      </c>
      <c r="AV7" s="1">
        <v>6</v>
      </c>
      <c r="AW7" s="1">
        <v>6</v>
      </c>
      <c r="AX7" s="1">
        <v>6</v>
      </c>
      <c r="AY7" s="1">
        <v>9</v>
      </c>
      <c r="AZ7" s="1">
        <v>5</v>
      </c>
      <c r="BA7" s="1">
        <v>5</v>
      </c>
      <c r="BB7" s="1">
        <v>5</v>
      </c>
      <c r="BC7" s="1">
        <v>5</v>
      </c>
      <c r="BD7" s="1">
        <v>5</v>
      </c>
      <c r="BE7" s="1">
        <v>5</v>
      </c>
      <c r="BF7" s="1">
        <v>5</v>
      </c>
      <c r="BG7" s="1">
        <v>5</v>
      </c>
      <c r="BH7" s="1">
        <v>5</v>
      </c>
      <c r="BI7" s="1">
        <v>5</v>
      </c>
      <c r="BJ7" s="1">
        <v>5</v>
      </c>
      <c r="BK7" s="1">
        <v>5</v>
      </c>
      <c r="BL7" s="1">
        <v>5</v>
      </c>
      <c r="BM7" s="1">
        <v>5</v>
      </c>
      <c r="BN7" s="1">
        <v>5</v>
      </c>
      <c r="BO7" s="1">
        <v>5</v>
      </c>
      <c r="BP7" s="1">
        <v>5</v>
      </c>
      <c r="BQ7" s="1">
        <v>5</v>
      </c>
      <c r="BR7" s="1">
        <v>5</v>
      </c>
      <c r="BS7" s="1">
        <v>5</v>
      </c>
      <c r="BT7" s="1">
        <v>5</v>
      </c>
      <c r="BU7" s="1">
        <v>5</v>
      </c>
      <c r="BV7" s="1">
        <v>5</v>
      </c>
      <c r="BW7" s="1">
        <v>5</v>
      </c>
      <c r="BX7" s="1">
        <v>6</v>
      </c>
      <c r="BY7" s="1">
        <v>6</v>
      </c>
      <c r="BZ7" s="1">
        <v>6</v>
      </c>
      <c r="CA7" s="1">
        <v>7</v>
      </c>
      <c r="CB7" s="1">
        <v>7</v>
      </c>
      <c r="CC7" s="1">
        <v>7</v>
      </c>
      <c r="CD7" s="1">
        <v>8</v>
      </c>
      <c r="CE7" s="1">
        <v>8</v>
      </c>
      <c r="CF7" s="1">
        <v>6</v>
      </c>
      <c r="CG7" s="1">
        <v>6</v>
      </c>
      <c r="CH7" s="1">
        <v>6</v>
      </c>
      <c r="CI7" s="1">
        <v>6</v>
      </c>
      <c r="CJ7" s="1">
        <v>6</v>
      </c>
      <c r="CK7" s="1">
        <v>6</v>
      </c>
      <c r="CL7" s="1">
        <v>6</v>
      </c>
      <c r="CM7" s="1">
        <v>6</v>
      </c>
      <c r="CN7" s="1">
        <v>6</v>
      </c>
      <c r="CO7" s="1">
        <v>6</v>
      </c>
      <c r="CP7" s="1">
        <v>6</v>
      </c>
      <c r="CQ7" s="1">
        <v>7</v>
      </c>
      <c r="CR7" s="1">
        <v>6</v>
      </c>
      <c r="CS7" s="1">
        <v>6</v>
      </c>
      <c r="CT7" s="1">
        <v>6</v>
      </c>
      <c r="CU7" s="1">
        <v>6</v>
      </c>
      <c r="CV7" s="1">
        <v>6</v>
      </c>
      <c r="CW7" s="1">
        <v>6</v>
      </c>
      <c r="CX7" s="1">
        <v>6</v>
      </c>
      <c r="CY7" s="1">
        <v>6</v>
      </c>
      <c r="CZ7" s="1">
        <v>6</v>
      </c>
      <c r="DA7" s="1">
        <v>6</v>
      </c>
      <c r="DB7" s="1">
        <v>6</v>
      </c>
      <c r="DC7" s="1">
        <v>7</v>
      </c>
      <c r="DD7" s="1">
        <v>6</v>
      </c>
      <c r="DE7" s="1">
        <v>9</v>
      </c>
      <c r="DF7" s="1">
        <v>9</v>
      </c>
      <c r="DG7" s="1">
        <v>9</v>
      </c>
      <c r="DH7" s="1">
        <v>9</v>
      </c>
      <c r="DI7" s="1">
        <v>9</v>
      </c>
      <c r="DJ7" s="1">
        <v>9</v>
      </c>
      <c r="DK7" s="1">
        <v>9</v>
      </c>
      <c r="DL7" s="1">
        <v>9</v>
      </c>
      <c r="DM7" s="1">
        <v>9</v>
      </c>
      <c r="DN7" s="1">
        <v>9</v>
      </c>
      <c r="DO7" s="1">
        <v>9</v>
      </c>
      <c r="DP7" s="1">
        <v>11</v>
      </c>
      <c r="DQ7" s="1">
        <v>11</v>
      </c>
      <c r="DR7" s="1">
        <v>11</v>
      </c>
    </row>
    <row r="8" spans="1:122" s="1" customFormat="1" x14ac:dyDescent="0.2">
      <c r="A8" s="50" t="s">
        <v>1462</v>
      </c>
      <c r="B8" s="30">
        <v>5.4607293291999994</v>
      </c>
      <c r="C8" s="30">
        <v>5.0009383033999999</v>
      </c>
      <c r="D8" s="30">
        <v>5.5578059987000001</v>
      </c>
      <c r="E8" s="30">
        <v>5.5271523566000003</v>
      </c>
      <c r="F8" s="30">
        <v>5.5424791776499998</v>
      </c>
      <c r="G8" s="30">
        <v>5.4835188766999998</v>
      </c>
      <c r="H8" s="30">
        <v>5.2329699112000005</v>
      </c>
      <c r="I8" s="30">
        <v>5.4383343470000005</v>
      </c>
      <c r="J8" s="30">
        <v>5.4474637716999998</v>
      </c>
      <c r="K8" s="30">
        <v>5.4428990593500002</v>
      </c>
      <c r="L8" s="30">
        <v>5.3475435108999996</v>
      </c>
      <c r="M8" s="30">
        <v>5.2418680389999999</v>
      </c>
      <c r="N8" s="30">
        <v>5.2538274493000001</v>
      </c>
      <c r="O8" s="30">
        <v>5.2478477441500004</v>
      </c>
      <c r="P8" s="30">
        <v>5.6143512878999999</v>
      </c>
      <c r="Q8" s="30">
        <v>5.3770678799000002</v>
      </c>
      <c r="R8" s="30">
        <v>5.4957095839000001</v>
      </c>
      <c r="S8" s="30">
        <v>5.5057914076000003</v>
      </c>
      <c r="T8" s="30">
        <v>5.4856005487999999</v>
      </c>
      <c r="U8" s="30">
        <v>5.5281455727000006</v>
      </c>
      <c r="V8" s="30">
        <v>5.5068730607500012</v>
      </c>
      <c r="W8" s="30">
        <v>5.3223865716000001</v>
      </c>
      <c r="X8" s="30">
        <v>5.3779794618000007</v>
      </c>
      <c r="Y8" s="30">
        <v>5.4374363708000004</v>
      </c>
      <c r="Z8" s="51">
        <v>5.4077079163000006</v>
      </c>
      <c r="AA8" s="30">
        <v>5.4778452998000002</v>
      </c>
      <c r="AB8" s="30">
        <v>5.5089343243000002</v>
      </c>
      <c r="AC8" s="30">
        <v>5.4933898120500002</v>
      </c>
      <c r="AD8" s="30">
        <v>5.5044988661000005</v>
      </c>
      <c r="AE8" s="30">
        <v>5.4927979640999993</v>
      </c>
      <c r="AF8" s="30">
        <v>5.4986484150999999</v>
      </c>
      <c r="AG8" s="30">
        <v>5.5144446328000001</v>
      </c>
      <c r="AH8" s="30">
        <v>5.5017233033000004</v>
      </c>
      <c r="AI8" s="30">
        <v>5.4742942121000002</v>
      </c>
      <c r="AJ8" s="30">
        <v>5.4955463154999995</v>
      </c>
      <c r="AK8" s="30">
        <v>5.4849202637999994</v>
      </c>
      <c r="AL8" s="30">
        <v>5.5214787797000007</v>
      </c>
      <c r="AM8" s="30">
        <v>5.3614213249000002</v>
      </c>
      <c r="AN8" s="30">
        <v>5.4001159357000006</v>
      </c>
      <c r="AO8" s="30">
        <v>5.4161978731000007</v>
      </c>
      <c r="AP8" s="30">
        <v>5.5236012689000002</v>
      </c>
      <c r="AQ8" s="30">
        <v>5.5943236975000001</v>
      </c>
      <c r="AR8" s="30">
        <v>5.5307986841999996</v>
      </c>
      <c r="AS8" s="30">
        <v>5.5625611908500003</v>
      </c>
      <c r="AT8" s="30">
        <v>5.4506611112000005</v>
      </c>
      <c r="AU8" s="30">
        <v>5.4983626954</v>
      </c>
      <c r="AV8" s="30">
        <v>5.5101860486999996</v>
      </c>
      <c r="AW8" s="30">
        <v>5.5101860486999996</v>
      </c>
      <c r="AX8" s="30">
        <v>5.0474834031000002</v>
      </c>
      <c r="AY8" s="30">
        <v>5.4558312771999997</v>
      </c>
      <c r="AZ8" s="30">
        <v>5.4675593906</v>
      </c>
      <c r="BA8" s="30">
        <v>5.6779715410999998</v>
      </c>
      <c r="BB8" s="30">
        <v>5.5727654658500008</v>
      </c>
      <c r="BC8" s="30">
        <v>5.4829202259000001</v>
      </c>
      <c r="BD8" s="30">
        <v>5.5439145790000008</v>
      </c>
      <c r="BE8" s="30">
        <v>5.51341740245</v>
      </c>
      <c r="BF8" s="30">
        <v>5.6124873070000003</v>
      </c>
      <c r="BG8" s="30">
        <v>5.4820494610999999</v>
      </c>
      <c r="BH8" s="30">
        <v>5.5472683840499997</v>
      </c>
      <c r="BI8" s="30">
        <v>5.5152473690999999</v>
      </c>
      <c r="BJ8" s="30">
        <v>5.3993676221999998</v>
      </c>
      <c r="BK8" s="30">
        <v>5.4573074956500003</v>
      </c>
      <c r="BL8" s="30">
        <v>5.5238461714999998</v>
      </c>
      <c r="BM8" s="30">
        <v>5.5471255242000002</v>
      </c>
      <c r="BN8" s="30">
        <v>5.5534657804000007</v>
      </c>
      <c r="BO8" s="30">
        <v>5.4809610051000002</v>
      </c>
      <c r="BP8" s="30">
        <v>5.4588653483000007</v>
      </c>
      <c r="BQ8" s="30">
        <v>5.4699131767000004</v>
      </c>
      <c r="BR8" s="30">
        <v>5.4960497263999999</v>
      </c>
      <c r="BS8" s="30">
        <v>5.4093814173999997</v>
      </c>
      <c r="BT8" s="30">
        <v>5.4868114560999999</v>
      </c>
      <c r="BU8" s="30">
        <v>5.4278851694000005</v>
      </c>
      <c r="BV8" s="30">
        <v>5.4600490441999998</v>
      </c>
      <c r="BW8" s="30">
        <v>5.4439671068000006</v>
      </c>
      <c r="BX8" s="30">
        <v>5.3011072567999999</v>
      </c>
      <c r="BY8" s="30">
        <v>5.3011072567999999</v>
      </c>
      <c r="BZ8" s="30">
        <v>5.1653495822000002</v>
      </c>
      <c r="CA8" s="30">
        <v>5.0204624829000002</v>
      </c>
      <c r="CB8" s="30">
        <v>5.0401363251000006</v>
      </c>
      <c r="CC8" s="30">
        <v>5.030299404</v>
      </c>
      <c r="CD8" s="30">
        <v>5.2685000000000004</v>
      </c>
      <c r="CE8" s="30">
        <v>5.4667158371999998</v>
      </c>
      <c r="CF8" s="30">
        <v>5.4667838657000001</v>
      </c>
      <c r="CG8" s="30">
        <v>5.4741717608000009</v>
      </c>
      <c r="CH8" s="30">
        <v>5.4704778132500005</v>
      </c>
      <c r="CI8" s="30">
        <v>5.3870816751000001</v>
      </c>
      <c r="CJ8" s="30">
        <v>5.3944423588000001</v>
      </c>
      <c r="CK8" s="30">
        <v>5.4574367498000003</v>
      </c>
      <c r="CL8" s="30">
        <v>5.4259395543000002</v>
      </c>
      <c r="CM8" s="30">
        <v>5.4486202562000008</v>
      </c>
      <c r="CN8" s="30">
        <v>5.5006212416000002</v>
      </c>
      <c r="CO8" s="30">
        <v>5.4746207488999996</v>
      </c>
      <c r="CP8" s="30">
        <v>5.2362216734999993</v>
      </c>
      <c r="CQ8" s="30">
        <v>5.3589995102999994</v>
      </c>
      <c r="CR8" s="30">
        <v>5.4426201425</v>
      </c>
      <c r="CS8" s="30">
        <v>5.3506183991</v>
      </c>
      <c r="CT8" s="30">
        <v>5.5340232350999994</v>
      </c>
      <c r="CU8" s="30">
        <v>5.4423208170999997</v>
      </c>
      <c r="CV8" s="30">
        <v>5.4785527961999998</v>
      </c>
      <c r="CW8" s="30">
        <v>5.494866030499999</v>
      </c>
      <c r="CX8" s="30">
        <v>5.4867094133499998</v>
      </c>
      <c r="CY8" s="30">
        <v>5.4659811294000011</v>
      </c>
      <c r="CZ8" s="30">
        <v>5.4090276692000003</v>
      </c>
      <c r="DA8" s="30">
        <v>5.3626594436000001</v>
      </c>
      <c r="DB8" s="30">
        <v>5.3858435563999993</v>
      </c>
      <c r="DC8" s="30">
        <v>5.2842634002000004</v>
      </c>
      <c r="DD8" s="30">
        <v>5.5203222952000006</v>
      </c>
      <c r="DE8" s="30">
        <v>5.0116187778999999</v>
      </c>
      <c r="DF8" s="30">
        <v>5.0116187778999999</v>
      </c>
      <c r="DG8" s="30">
        <v>5.1247637791000011</v>
      </c>
      <c r="DH8" s="30">
        <v>5.0806677053999998</v>
      </c>
      <c r="DI8" s="30">
        <v>5.1027157422500009</v>
      </c>
      <c r="DJ8" s="30">
        <v>5.0488847901999998</v>
      </c>
      <c r="DK8" s="30">
        <v>5.1283420782000002</v>
      </c>
      <c r="DL8" s="30">
        <v>5.0886134342</v>
      </c>
      <c r="DM8" s="30">
        <v>4.7319127972999997</v>
      </c>
      <c r="DN8" s="30">
        <v>4.7725802346000004</v>
      </c>
      <c r="DO8" s="30">
        <v>4.7522465159500005</v>
      </c>
      <c r="DP8" s="30">
        <v>4.3579737385000001</v>
      </c>
      <c r="DQ8" s="30">
        <v>4.3764638847999997</v>
      </c>
      <c r="DR8" s="30">
        <v>4.3672188116499999</v>
      </c>
    </row>
    <row r="9" spans="1:122" s="1" customFormat="1" x14ac:dyDescent="0.2">
      <c r="A9" s="50" t="s">
        <v>1463</v>
      </c>
      <c r="B9" s="30">
        <v>0.18312572180655962</v>
      </c>
      <c r="C9" s="30">
        <v>0.19996247490598468</v>
      </c>
      <c r="D9" s="30">
        <v>0.17992711516629137</v>
      </c>
      <c r="E9" s="30">
        <v>0.18092499274167737</v>
      </c>
      <c r="F9" s="30">
        <v>0.18042467422024633</v>
      </c>
      <c r="G9" s="30">
        <v>0.18236464986910073</v>
      </c>
      <c r="H9" s="30">
        <v>0.19109607296990641</v>
      </c>
      <c r="I9" s="30">
        <v>0.18387983088087245</v>
      </c>
      <c r="J9" s="30">
        <v>0.1835716659916268</v>
      </c>
      <c r="K9" s="30">
        <v>0.1837256192142982</v>
      </c>
      <c r="L9" s="30">
        <v>0.18700175098373317</v>
      </c>
      <c r="M9" s="30">
        <v>0.19077168531521668</v>
      </c>
      <c r="N9" s="30">
        <v>0.19033742726614217</v>
      </c>
      <c r="O9" s="30">
        <v>0.19055430888114896</v>
      </c>
      <c r="P9" s="30">
        <v>0.17811496800265975</v>
      </c>
      <c r="Q9" s="30">
        <v>0.18597496299760261</v>
      </c>
      <c r="R9" s="30">
        <v>0.18196012448138782</v>
      </c>
      <c r="S9" s="30">
        <v>0.18162693171042318</v>
      </c>
      <c r="T9" s="30">
        <v>0.1822954462513233</v>
      </c>
      <c r="U9" s="30">
        <v>0.1808924867931056</v>
      </c>
      <c r="V9" s="30">
        <v>0.1815912567746398</v>
      </c>
      <c r="W9" s="30">
        <v>0.18788563862233384</v>
      </c>
      <c r="X9" s="30">
        <v>0.18594343974405989</v>
      </c>
      <c r="Y9" s="30">
        <v>0.18391019807977482</v>
      </c>
      <c r="Z9" s="51">
        <v>0.18492681891191737</v>
      </c>
      <c r="AA9" s="30">
        <v>0.18255353068048685</v>
      </c>
      <c r="AB9" s="30">
        <v>0.18152331124896218</v>
      </c>
      <c r="AC9" s="30">
        <v>0.18203696337122383</v>
      </c>
      <c r="AD9" s="30">
        <v>0.18166958052414156</v>
      </c>
      <c r="AE9" s="30">
        <v>0.18205657781987092</v>
      </c>
      <c r="AF9" s="30">
        <v>0.18186287329334799</v>
      </c>
      <c r="AG9" s="30">
        <v>0.18134192409004976</v>
      </c>
      <c r="AH9" s="30">
        <v>0.18176123095834135</v>
      </c>
      <c r="AI9" s="30">
        <v>0.18267195025610231</v>
      </c>
      <c r="AJ9" s="30">
        <v>0.18196553037493912</v>
      </c>
      <c r="AK9" s="30">
        <v>0.18231805603445392</v>
      </c>
      <c r="AL9" s="30">
        <v>0.18111090160783577</v>
      </c>
      <c r="AM9" s="30">
        <v>0.18651770480258828</v>
      </c>
      <c r="AN9" s="30">
        <v>0.18518120942349231</v>
      </c>
      <c r="AO9" s="30">
        <v>0.1846313638145651</v>
      </c>
      <c r="AP9" s="30">
        <v>0.18104130825488521</v>
      </c>
      <c r="AQ9" s="30">
        <v>0.17875261677240478</v>
      </c>
      <c r="AR9" s="30">
        <v>0.18080571308023385</v>
      </c>
      <c r="AS9" s="30">
        <v>0.1797733032842723</v>
      </c>
      <c r="AT9" s="30">
        <v>0.18346398346894163</v>
      </c>
      <c r="AU9" s="30">
        <v>0.18187232370767623</v>
      </c>
      <c r="AV9" s="30">
        <v>0.18148207540758571</v>
      </c>
      <c r="AW9" s="30">
        <v>0.18148207540758571</v>
      </c>
      <c r="AX9" s="30">
        <v>0.19811853158067494</v>
      </c>
      <c r="AY9" s="30">
        <v>0.18329012559076285</v>
      </c>
      <c r="AZ9" s="30">
        <v>0.18289696161677393</v>
      </c>
      <c r="BA9" s="30">
        <v>0.17611923426552942</v>
      </c>
      <c r="BB9" s="30">
        <v>0.17944412089976092</v>
      </c>
      <c r="BC9" s="30">
        <v>0.18238456129203556</v>
      </c>
      <c r="BD9" s="30">
        <v>0.180377959607808</v>
      </c>
      <c r="BE9" s="30">
        <v>0.18137571074441589</v>
      </c>
      <c r="BF9" s="30">
        <v>0.17817412232768545</v>
      </c>
      <c r="BG9" s="30">
        <v>0.18241353112478945</v>
      </c>
      <c r="BH9" s="30">
        <v>0.18026890548063063</v>
      </c>
      <c r="BI9" s="30">
        <v>0.18131553003454567</v>
      </c>
      <c r="BJ9" s="30">
        <v>0.1852068742066029</v>
      </c>
      <c r="BK9" s="30">
        <v>0.18324054504846873</v>
      </c>
      <c r="BL9" s="30">
        <v>0.18103328169409361</v>
      </c>
      <c r="BM9" s="30">
        <v>0.18027354809934987</v>
      </c>
      <c r="BN9" s="30">
        <v>0.18006773419390237</v>
      </c>
      <c r="BO9" s="30">
        <v>0.18244975636015404</v>
      </c>
      <c r="BP9" s="30">
        <v>0.18318825180610471</v>
      </c>
      <c r="BQ9" s="30">
        <v>0.1828182582969809</v>
      </c>
      <c r="BR9" s="30">
        <v>0.18194886323472476</v>
      </c>
      <c r="BS9" s="30">
        <v>0.18486402101049226</v>
      </c>
      <c r="BT9" s="30">
        <v>0.18225521470912642</v>
      </c>
      <c r="BU9" s="30">
        <v>0.18423381644798875</v>
      </c>
      <c r="BV9" s="30">
        <v>0.18314853802682626</v>
      </c>
      <c r="BW9" s="30">
        <v>0.1836895742354708</v>
      </c>
      <c r="BX9" s="30">
        <v>0.1886398353319958</v>
      </c>
      <c r="BY9" s="30">
        <v>0.1886398353319958</v>
      </c>
      <c r="BZ9" s="30">
        <v>0.19359773894995214</v>
      </c>
      <c r="CA9" s="30">
        <v>0.19918483673686652</v>
      </c>
      <c r="CB9" s="30">
        <v>0.1984073317660032</v>
      </c>
      <c r="CC9" s="30">
        <v>0.19879532403276406</v>
      </c>
      <c r="CD9" s="30">
        <v>0.18980734554427256</v>
      </c>
      <c r="CE9" s="30">
        <v>0.1829251839276487</v>
      </c>
      <c r="CF9" s="30">
        <v>0.18292290761196098</v>
      </c>
      <c r="CG9" s="30">
        <v>0.18267603643000399</v>
      </c>
      <c r="CH9" s="30">
        <v>0.18279938867093254</v>
      </c>
      <c r="CI9" s="30">
        <v>0.18562926280144751</v>
      </c>
      <c r="CJ9" s="30">
        <v>0.18537597280443482</v>
      </c>
      <c r="CK9" s="30">
        <v>0.18323620517207959</v>
      </c>
      <c r="CL9" s="30">
        <v>0.18430608898825721</v>
      </c>
      <c r="CM9" s="30">
        <v>0.18353270240518177</v>
      </c>
      <c r="CN9" s="30">
        <v>0.18179764722522937</v>
      </c>
      <c r="CO9" s="30">
        <v>0.18266105468601221</v>
      </c>
      <c r="CP9" s="30">
        <v>0.19097739980354561</v>
      </c>
      <c r="CQ9" s="30">
        <v>0.18660199503246819</v>
      </c>
      <c r="CR9" s="30">
        <v>0.18373503456382359</v>
      </c>
      <c r="CS9" s="30">
        <v>0.18689428499857227</v>
      </c>
      <c r="CT9" s="30">
        <v>0.18070036165685344</v>
      </c>
      <c r="CU9" s="30">
        <v>0.18374513991493449</v>
      </c>
      <c r="CV9" s="30">
        <v>0.18252995584775852</v>
      </c>
      <c r="CW9" s="30">
        <v>0.18198805838929727</v>
      </c>
      <c r="CX9" s="30">
        <v>0.18225860432244648</v>
      </c>
      <c r="CY9" s="30">
        <v>0.18294977174752333</v>
      </c>
      <c r="CZ9" s="30">
        <v>0.18487611104195015</v>
      </c>
      <c r="DA9" s="30">
        <v>0.18647464201618055</v>
      </c>
      <c r="DB9" s="30">
        <v>0.18567193597959222</v>
      </c>
      <c r="DC9" s="30">
        <v>0.18924113433901718</v>
      </c>
      <c r="DD9" s="30">
        <v>0.18114884358645406</v>
      </c>
      <c r="DE9" s="30">
        <v>0.19953632634823559</v>
      </c>
      <c r="DF9" s="30">
        <v>0.19953632634823559</v>
      </c>
      <c r="DG9" s="30">
        <v>0.19513094517219243</v>
      </c>
      <c r="DH9" s="30">
        <v>0.196824523465124</v>
      </c>
      <c r="DI9" s="30">
        <v>0.19597407547516221</v>
      </c>
      <c r="DJ9" s="30">
        <v>0.19806354106970767</v>
      </c>
      <c r="DK9" s="30">
        <v>0.1949947926155095</v>
      </c>
      <c r="DL9" s="30">
        <v>0.19651718742852664</v>
      </c>
      <c r="DM9" s="30">
        <v>0.21133102887496022</v>
      </c>
      <c r="DN9" s="30">
        <v>0.20953026472981068</v>
      </c>
      <c r="DO9" s="30">
        <v>0.2104267942842806</v>
      </c>
      <c r="DP9" s="30">
        <v>0.22946443921073206</v>
      </c>
      <c r="DQ9" s="30">
        <v>0.22849497364141944</v>
      </c>
      <c r="DR9" s="30">
        <v>0.22897868028329571</v>
      </c>
    </row>
    <row r="10" spans="1:122" x14ac:dyDescent="0.2">
      <c r="A10" s="50" t="s">
        <v>1466</v>
      </c>
      <c r="B10" s="1">
        <v>1</v>
      </c>
      <c r="C10" s="1">
        <v>1</v>
      </c>
      <c r="D10" s="1">
        <v>0</v>
      </c>
      <c r="E10" s="1">
        <v>0</v>
      </c>
      <c r="F10" s="1">
        <v>1</v>
      </c>
      <c r="G10" s="1">
        <v>1</v>
      </c>
      <c r="H10" s="1">
        <v>0</v>
      </c>
      <c r="I10" s="1">
        <v>0</v>
      </c>
      <c r="J10" s="1">
        <v>0</v>
      </c>
      <c r="K10" s="1">
        <v>1</v>
      </c>
      <c r="L10" s="1">
        <v>0</v>
      </c>
      <c r="M10" s="1">
        <v>0</v>
      </c>
      <c r="N10" s="1">
        <v>0</v>
      </c>
      <c r="O10" s="1">
        <v>1</v>
      </c>
      <c r="P10" s="1">
        <v>0</v>
      </c>
      <c r="Q10" s="1">
        <v>0</v>
      </c>
      <c r="R10" s="1">
        <v>1</v>
      </c>
      <c r="S10" s="1">
        <v>0</v>
      </c>
      <c r="T10" s="1">
        <v>0</v>
      </c>
      <c r="U10" s="1">
        <v>0</v>
      </c>
      <c r="V10" s="1">
        <v>1</v>
      </c>
      <c r="W10" s="1">
        <v>0</v>
      </c>
      <c r="X10" s="1">
        <v>0</v>
      </c>
      <c r="Y10" s="1">
        <v>0</v>
      </c>
      <c r="Z10" s="70">
        <v>0</v>
      </c>
      <c r="AA10" s="1">
        <v>0</v>
      </c>
      <c r="AB10" s="1">
        <v>0</v>
      </c>
      <c r="AC10" s="1">
        <v>1</v>
      </c>
      <c r="AD10" s="1">
        <v>0</v>
      </c>
      <c r="AE10" s="1">
        <v>0</v>
      </c>
      <c r="AF10" s="1">
        <v>1</v>
      </c>
      <c r="AG10" s="1">
        <v>1</v>
      </c>
      <c r="AH10" s="1">
        <v>1</v>
      </c>
      <c r="AI10" s="1">
        <v>0</v>
      </c>
      <c r="AJ10" s="1">
        <v>0</v>
      </c>
      <c r="AK10" s="1">
        <v>1</v>
      </c>
      <c r="AL10" s="1">
        <v>1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1</v>
      </c>
      <c r="AX10" s="1">
        <v>0</v>
      </c>
      <c r="AY10" s="1">
        <v>0</v>
      </c>
      <c r="AZ10" s="1">
        <v>0</v>
      </c>
      <c r="BA10" s="1">
        <v>0</v>
      </c>
      <c r="BB10" s="1">
        <v>1</v>
      </c>
      <c r="BC10" s="1">
        <v>0</v>
      </c>
      <c r="BD10" s="1">
        <v>0</v>
      </c>
      <c r="BE10" s="1">
        <v>1</v>
      </c>
      <c r="BF10" s="1">
        <v>0</v>
      </c>
      <c r="BG10" s="1">
        <v>0</v>
      </c>
      <c r="BH10" s="1">
        <v>1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1</v>
      </c>
      <c r="BX10" s="1">
        <v>0</v>
      </c>
      <c r="BY10" s="1">
        <v>1</v>
      </c>
      <c r="BZ10" s="1">
        <v>1</v>
      </c>
      <c r="CA10" s="1">
        <v>0</v>
      </c>
      <c r="CB10" s="1">
        <v>0</v>
      </c>
      <c r="CC10" s="1">
        <v>1</v>
      </c>
      <c r="CD10" s="1">
        <v>0</v>
      </c>
      <c r="CE10" s="1">
        <v>0</v>
      </c>
      <c r="CF10" s="1">
        <v>0</v>
      </c>
      <c r="CG10" s="1">
        <v>0</v>
      </c>
      <c r="CH10" s="1">
        <v>1</v>
      </c>
      <c r="CI10" s="1">
        <v>1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1</v>
      </c>
      <c r="CQ10" s="1">
        <v>1</v>
      </c>
      <c r="CR10" s="1">
        <v>1</v>
      </c>
      <c r="CS10" s="1">
        <v>0</v>
      </c>
      <c r="CT10" s="1">
        <v>0</v>
      </c>
      <c r="CU10" s="1">
        <v>1</v>
      </c>
      <c r="CV10" s="1">
        <v>0</v>
      </c>
      <c r="CW10" s="1">
        <v>0</v>
      </c>
      <c r="CX10" s="1">
        <v>1</v>
      </c>
      <c r="CY10" s="1">
        <v>1</v>
      </c>
      <c r="CZ10" s="1">
        <v>0</v>
      </c>
      <c r="DA10" s="1">
        <v>0</v>
      </c>
      <c r="DB10" s="1">
        <v>1</v>
      </c>
      <c r="DC10" s="1">
        <v>1</v>
      </c>
      <c r="DD10" s="1">
        <v>0</v>
      </c>
      <c r="DE10" s="1">
        <v>0</v>
      </c>
      <c r="DF10" s="1">
        <v>1</v>
      </c>
      <c r="DG10" s="1">
        <v>0</v>
      </c>
      <c r="DH10" s="1">
        <v>0</v>
      </c>
      <c r="DI10" s="1">
        <v>1</v>
      </c>
      <c r="DJ10" s="1">
        <v>0</v>
      </c>
      <c r="DK10" s="1">
        <v>0</v>
      </c>
      <c r="DL10" s="1">
        <v>1</v>
      </c>
      <c r="DM10" s="1">
        <v>0</v>
      </c>
      <c r="DN10" s="1">
        <v>0</v>
      </c>
      <c r="DO10" s="1">
        <v>1</v>
      </c>
      <c r="DP10" s="1">
        <v>0</v>
      </c>
      <c r="DQ10" s="1">
        <v>0</v>
      </c>
      <c r="DR10" s="1">
        <v>1</v>
      </c>
    </row>
    <row r="11" spans="1:122" x14ac:dyDescent="0.2">
      <c r="A11" s="50" t="s">
        <v>1467</v>
      </c>
      <c r="B11" s="1">
        <v>1</v>
      </c>
      <c r="C11" s="1">
        <v>0</v>
      </c>
      <c r="D11" s="1">
        <v>0</v>
      </c>
      <c r="E11" s="1">
        <v>0</v>
      </c>
      <c r="F11" s="1">
        <v>1</v>
      </c>
      <c r="G11" s="1">
        <v>1</v>
      </c>
      <c r="H11" s="1">
        <v>1</v>
      </c>
      <c r="I11" s="1">
        <v>0</v>
      </c>
      <c r="J11" s="1">
        <v>0</v>
      </c>
      <c r="K11" s="1">
        <v>1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1</v>
      </c>
      <c r="S11" s="1">
        <v>0</v>
      </c>
      <c r="T11" s="1">
        <v>0</v>
      </c>
      <c r="U11" s="1">
        <v>0</v>
      </c>
      <c r="V11" s="1">
        <v>0</v>
      </c>
      <c r="W11" s="1">
        <v>1</v>
      </c>
      <c r="X11" s="1">
        <v>1</v>
      </c>
      <c r="Y11" s="1">
        <v>0</v>
      </c>
      <c r="Z11" s="70">
        <v>1</v>
      </c>
      <c r="AA11" s="1">
        <v>0</v>
      </c>
      <c r="AB11" s="1">
        <v>0</v>
      </c>
      <c r="AC11" s="1">
        <v>1</v>
      </c>
      <c r="AD11" s="1">
        <v>0</v>
      </c>
      <c r="AE11" s="1">
        <v>0</v>
      </c>
      <c r="AF11" s="1">
        <v>1</v>
      </c>
      <c r="AG11" s="1">
        <v>1</v>
      </c>
      <c r="AH11" s="1">
        <v>1</v>
      </c>
      <c r="AI11" s="1">
        <v>0</v>
      </c>
      <c r="AJ11" s="1">
        <v>0</v>
      </c>
      <c r="AK11" s="1">
        <v>1</v>
      </c>
      <c r="AL11" s="1">
        <v>0</v>
      </c>
      <c r="AM11" s="1">
        <v>1</v>
      </c>
      <c r="AN11" s="1">
        <v>1</v>
      </c>
      <c r="AO11" s="1">
        <v>0</v>
      </c>
      <c r="AP11" s="1">
        <v>1</v>
      </c>
      <c r="AQ11" s="1">
        <v>0</v>
      </c>
      <c r="AR11" s="1">
        <v>0</v>
      </c>
      <c r="AS11" s="1">
        <v>1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1</v>
      </c>
      <c r="BC11" s="1">
        <v>0</v>
      </c>
      <c r="BD11" s="1">
        <v>0</v>
      </c>
      <c r="BE11" s="1">
        <v>1</v>
      </c>
      <c r="BF11" s="1">
        <v>0</v>
      </c>
      <c r="BG11" s="1">
        <v>0</v>
      </c>
      <c r="BH11" s="1">
        <v>1</v>
      </c>
      <c r="BI11" s="1">
        <v>0</v>
      </c>
      <c r="BJ11" s="1">
        <v>0</v>
      </c>
      <c r="BK11" s="1">
        <v>1</v>
      </c>
      <c r="BL11" s="1">
        <v>1</v>
      </c>
      <c r="BM11" s="1">
        <v>1</v>
      </c>
      <c r="BN11" s="1">
        <v>1</v>
      </c>
      <c r="BO11" s="1">
        <v>0</v>
      </c>
      <c r="BP11" s="1">
        <v>0</v>
      </c>
      <c r="BQ11" s="1">
        <v>1</v>
      </c>
      <c r="BR11" s="1">
        <v>1</v>
      </c>
      <c r="BS11" s="1">
        <v>1</v>
      </c>
      <c r="BT11" s="1">
        <v>1</v>
      </c>
      <c r="BU11" s="1">
        <v>0</v>
      </c>
      <c r="BV11" s="1">
        <v>0</v>
      </c>
      <c r="BW11" s="1">
        <v>1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1</v>
      </c>
      <c r="CM11" s="1">
        <v>0</v>
      </c>
      <c r="CN11" s="1">
        <v>0</v>
      </c>
      <c r="CO11" s="1">
        <v>1</v>
      </c>
      <c r="CP11" s="1">
        <v>0</v>
      </c>
      <c r="CQ11" s="1">
        <v>0</v>
      </c>
      <c r="CR11" s="1">
        <v>1</v>
      </c>
      <c r="CS11" s="1">
        <v>0</v>
      </c>
      <c r="CT11" s="1">
        <v>0</v>
      </c>
      <c r="CU11" s="1">
        <v>1</v>
      </c>
      <c r="CV11" s="1">
        <v>0</v>
      </c>
      <c r="CW11" s="1">
        <v>0</v>
      </c>
      <c r="CX11" s="1">
        <v>1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</row>
    <row r="12" spans="1:122" x14ac:dyDescent="0.2">
      <c r="A12" s="50" t="s">
        <v>1468</v>
      </c>
      <c r="B12" s="1">
        <v>1</v>
      </c>
      <c r="C12" s="1">
        <v>0</v>
      </c>
      <c r="D12" s="1">
        <v>0</v>
      </c>
      <c r="E12" s="1">
        <v>0</v>
      </c>
      <c r="F12" s="1">
        <v>1</v>
      </c>
      <c r="G12" s="1">
        <v>1</v>
      </c>
      <c r="H12" s="1">
        <v>1</v>
      </c>
      <c r="I12" s="1">
        <v>0</v>
      </c>
      <c r="J12" s="1">
        <v>0</v>
      </c>
      <c r="K12" s="1">
        <v>1</v>
      </c>
      <c r="L12" s="1">
        <v>1</v>
      </c>
      <c r="M12" s="1">
        <v>0</v>
      </c>
      <c r="N12" s="1">
        <v>0</v>
      </c>
      <c r="O12" s="1">
        <v>1</v>
      </c>
      <c r="P12" s="1">
        <v>0</v>
      </c>
      <c r="Q12" s="1">
        <v>0</v>
      </c>
      <c r="R12" s="1">
        <v>1</v>
      </c>
      <c r="S12" s="1">
        <v>1</v>
      </c>
      <c r="T12" s="1">
        <v>0</v>
      </c>
      <c r="U12" s="1">
        <v>0</v>
      </c>
      <c r="V12" s="1">
        <v>1</v>
      </c>
      <c r="W12" s="1">
        <v>1</v>
      </c>
      <c r="X12" s="1">
        <v>1</v>
      </c>
      <c r="Y12" s="1">
        <v>1</v>
      </c>
      <c r="Z12" s="70">
        <v>1</v>
      </c>
      <c r="AA12" s="1">
        <v>0</v>
      </c>
      <c r="AB12" s="1">
        <v>0</v>
      </c>
      <c r="AC12" s="1">
        <v>1</v>
      </c>
      <c r="AD12" s="1">
        <v>0</v>
      </c>
      <c r="AE12" s="1">
        <v>0</v>
      </c>
      <c r="AF12" s="1">
        <v>1</v>
      </c>
      <c r="AG12" s="1">
        <v>1</v>
      </c>
      <c r="AH12" s="1">
        <v>1</v>
      </c>
      <c r="AI12" s="1">
        <v>0</v>
      </c>
      <c r="AJ12" s="1">
        <v>0</v>
      </c>
      <c r="AK12" s="1">
        <v>1</v>
      </c>
      <c r="AL12" s="1">
        <v>0</v>
      </c>
      <c r="AM12" s="1">
        <v>1</v>
      </c>
      <c r="AN12" s="1">
        <v>0</v>
      </c>
      <c r="AO12" s="1">
        <v>0</v>
      </c>
      <c r="AP12" s="1">
        <v>1</v>
      </c>
      <c r="AQ12" s="1">
        <v>0</v>
      </c>
      <c r="AR12" s="1">
        <v>0</v>
      </c>
      <c r="AS12" s="1">
        <v>1</v>
      </c>
      <c r="AT12" s="1">
        <v>1</v>
      </c>
      <c r="AU12" s="1">
        <v>1</v>
      </c>
      <c r="AV12" s="1">
        <v>0</v>
      </c>
      <c r="AW12" s="1">
        <v>1</v>
      </c>
      <c r="AX12" s="1">
        <v>1</v>
      </c>
      <c r="AY12" s="1">
        <v>1</v>
      </c>
      <c r="AZ12" s="1">
        <v>0</v>
      </c>
      <c r="BA12" s="1">
        <v>0</v>
      </c>
      <c r="BB12" s="1">
        <v>1</v>
      </c>
      <c r="BC12" s="1">
        <v>0</v>
      </c>
      <c r="BD12" s="1">
        <v>0</v>
      </c>
      <c r="BE12" s="1">
        <v>1</v>
      </c>
      <c r="BF12" s="1">
        <v>0</v>
      </c>
      <c r="BG12" s="1">
        <v>0</v>
      </c>
      <c r="BH12" s="1">
        <v>1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1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1</v>
      </c>
      <c r="CD12" s="1">
        <v>1</v>
      </c>
      <c r="CE12" s="1">
        <v>1</v>
      </c>
      <c r="CF12" s="1">
        <v>0</v>
      </c>
      <c r="CG12" s="1">
        <v>0</v>
      </c>
      <c r="CH12" s="1">
        <v>1</v>
      </c>
      <c r="CI12" s="1">
        <v>1</v>
      </c>
      <c r="CJ12" s="1">
        <v>0</v>
      </c>
      <c r="CK12" s="1">
        <v>0</v>
      </c>
      <c r="CL12" s="1">
        <v>1</v>
      </c>
      <c r="CM12" s="1">
        <v>0</v>
      </c>
      <c r="CN12" s="1">
        <v>0</v>
      </c>
      <c r="CO12" s="1">
        <v>1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1</v>
      </c>
      <c r="CV12" s="1">
        <v>0</v>
      </c>
      <c r="CW12" s="1">
        <v>0</v>
      </c>
      <c r="CX12" s="1">
        <v>1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1</v>
      </c>
      <c r="DE12" s="1">
        <v>0</v>
      </c>
      <c r="DF12" s="1">
        <v>1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1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</row>
    <row r="13" spans="1:122" x14ac:dyDescent="0.2">
      <c r="A13" s="71" t="s">
        <v>985</v>
      </c>
      <c r="B13" s="1">
        <v>-401.09</v>
      </c>
      <c r="C13" s="1">
        <v>-203.05</v>
      </c>
      <c r="D13" s="1">
        <v>-427.01</v>
      </c>
      <c r="E13" s="1">
        <v>-427.01</v>
      </c>
      <c r="F13" s="1">
        <v>-427.01</v>
      </c>
      <c r="G13" s="1">
        <v>-421.73</v>
      </c>
      <c r="H13" s="1">
        <v>-402.05</v>
      </c>
      <c r="I13" s="1">
        <v>-579.24</v>
      </c>
      <c r="J13" s="1">
        <v>-579.24</v>
      </c>
      <c r="K13" s="1">
        <v>-579.24</v>
      </c>
      <c r="L13" s="1">
        <v>-579.24</v>
      </c>
      <c r="M13" s="1">
        <v>-388.53</v>
      </c>
      <c r="N13" s="1">
        <v>-388.53</v>
      </c>
      <c r="O13" s="1">
        <v>-388.53</v>
      </c>
      <c r="P13" s="1">
        <v>-797.92</v>
      </c>
      <c r="Q13" s="1">
        <v>-797.92</v>
      </c>
      <c r="R13" s="1">
        <v>-797.92</v>
      </c>
      <c r="S13" s="1">
        <v>-955.43</v>
      </c>
      <c r="T13" s="1">
        <v>-605.16</v>
      </c>
      <c r="U13" s="1">
        <v>-605.16</v>
      </c>
      <c r="V13" s="1">
        <v>-605.16</v>
      </c>
      <c r="W13" s="1">
        <v>-599.88</v>
      </c>
      <c r="X13" s="1">
        <v>-605.16</v>
      </c>
      <c r="Y13" s="1">
        <v>-605.16</v>
      </c>
      <c r="Z13" s="1">
        <v>-605.16</v>
      </c>
      <c r="AA13" s="1">
        <v>-447.65</v>
      </c>
      <c r="AB13" s="1">
        <v>-447.65</v>
      </c>
      <c r="AC13" s="1">
        <v>-447.65</v>
      </c>
      <c r="AD13" s="1">
        <v>-447.65</v>
      </c>
      <c r="AE13" s="1">
        <v>-447.65</v>
      </c>
      <c r="AF13" s="1">
        <v>-447.65</v>
      </c>
      <c r="AG13" s="1">
        <v>-442.37</v>
      </c>
      <c r="AH13" s="1">
        <v>-451.12</v>
      </c>
      <c r="AI13" s="1">
        <v>-447.65</v>
      </c>
      <c r="AJ13" s="1">
        <v>-447.65</v>
      </c>
      <c r="AK13" s="1">
        <v>-447.65</v>
      </c>
      <c r="AL13" s="1">
        <v>-354.33</v>
      </c>
      <c r="AM13" s="1">
        <v>-599.88</v>
      </c>
      <c r="AN13" s="1">
        <v>-599.88</v>
      </c>
      <c r="AO13" s="1">
        <v>-599.88</v>
      </c>
      <c r="AP13" s="1">
        <v>-580.20000000000005</v>
      </c>
      <c r="AQ13" s="1">
        <v>-599.88</v>
      </c>
      <c r="AR13" s="1">
        <v>-599.88</v>
      </c>
      <c r="AS13" s="1">
        <v>-599.88</v>
      </c>
      <c r="AT13" s="1">
        <v>-599.88</v>
      </c>
      <c r="AU13" s="1">
        <v>-599.88</v>
      </c>
      <c r="AV13" s="1">
        <v>-526.44000000000005</v>
      </c>
      <c r="AW13" s="1">
        <v>-526.44000000000005</v>
      </c>
      <c r="AX13" s="1">
        <v>-405.78</v>
      </c>
      <c r="AY13" s="1">
        <v>-599.88</v>
      </c>
      <c r="AZ13" s="1">
        <v>-473.57</v>
      </c>
      <c r="BA13" s="1">
        <v>-473.57</v>
      </c>
      <c r="BB13" s="1">
        <v>-473.57</v>
      </c>
      <c r="BC13" s="1">
        <v>-471.76</v>
      </c>
      <c r="BD13" s="1">
        <v>-471.76</v>
      </c>
      <c r="BE13" s="1">
        <v>-471.76</v>
      </c>
      <c r="BF13" s="1">
        <v>-468.29</v>
      </c>
      <c r="BG13" s="1">
        <v>-468.29</v>
      </c>
      <c r="BH13" s="1">
        <v>-468.29</v>
      </c>
      <c r="BI13" s="1">
        <v>-468.29</v>
      </c>
      <c r="BJ13" s="1">
        <v>-468.29</v>
      </c>
      <c r="BK13" s="1">
        <v>-468.29</v>
      </c>
      <c r="BL13" s="1">
        <v>-471.76</v>
      </c>
      <c r="BM13" s="1">
        <v>-471.76</v>
      </c>
      <c r="BN13" s="1">
        <v>-468.29</v>
      </c>
      <c r="BO13" s="1">
        <v>-468.29</v>
      </c>
      <c r="BP13" s="1">
        <v>-468.29</v>
      </c>
      <c r="BQ13" s="1">
        <v>-468.29</v>
      </c>
      <c r="BR13" s="1">
        <v>-468.29</v>
      </c>
      <c r="BS13" s="1">
        <v>-468.29</v>
      </c>
      <c r="BT13" s="1">
        <v>-463.01</v>
      </c>
      <c r="BU13" s="1">
        <v>-818.56</v>
      </c>
      <c r="BV13" s="1">
        <v>-818.56</v>
      </c>
      <c r="BW13" s="1">
        <v>-818.56</v>
      </c>
      <c r="BX13" s="1">
        <v>-398.51</v>
      </c>
      <c r="BY13" s="1">
        <v>-398.51</v>
      </c>
      <c r="BZ13" s="1">
        <v>-571.08000000000004</v>
      </c>
      <c r="CA13" s="1">
        <v>-426.42</v>
      </c>
      <c r="CB13" s="1">
        <v>-426.42</v>
      </c>
      <c r="CC13" s="1">
        <v>-426.42</v>
      </c>
      <c r="CD13" s="9">
        <v>-536.40545231999999</v>
      </c>
      <c r="CE13" s="1">
        <v>-468.29</v>
      </c>
      <c r="CF13" s="1">
        <v>-547.08000000000004</v>
      </c>
      <c r="CG13" s="1">
        <v>-547.08000000000004</v>
      </c>
      <c r="CH13" s="1">
        <v>-547.08000000000004</v>
      </c>
      <c r="CI13" s="1">
        <v>-434.5</v>
      </c>
      <c r="CJ13" s="1">
        <v>-818.56</v>
      </c>
      <c r="CK13" s="1">
        <v>-818.56</v>
      </c>
      <c r="CL13" s="1">
        <v>-818.56</v>
      </c>
      <c r="CM13" s="1">
        <v>-839.2</v>
      </c>
      <c r="CN13" s="1">
        <v>-839.2</v>
      </c>
      <c r="CO13" s="1">
        <v>-839.2</v>
      </c>
      <c r="CP13" s="1">
        <v>-425.31</v>
      </c>
      <c r="CQ13" s="1">
        <v>-597.88</v>
      </c>
      <c r="CR13" s="1">
        <v>-483.65</v>
      </c>
      <c r="CS13" s="1">
        <v>-494.21</v>
      </c>
      <c r="CT13" s="1">
        <v>-494.21</v>
      </c>
      <c r="CU13" s="1">
        <v>-494.21</v>
      </c>
      <c r="CV13" s="1">
        <v>-494.21</v>
      </c>
      <c r="CW13" s="1">
        <v>-494.21</v>
      </c>
      <c r="CX13" s="1">
        <v>-494.21</v>
      </c>
      <c r="CY13" s="1">
        <v>-494.21</v>
      </c>
      <c r="CZ13" s="1">
        <v>-455.14</v>
      </c>
      <c r="DA13" s="1">
        <v>-455.14</v>
      </c>
      <c r="DB13" s="1">
        <v>-455.14</v>
      </c>
      <c r="DC13" s="1">
        <v>-612.65</v>
      </c>
      <c r="DD13" s="1">
        <v>-842.67</v>
      </c>
      <c r="DE13" s="9">
        <v>-198.55134855792775</v>
      </c>
      <c r="DF13" s="9">
        <v>-198.55134855792775</v>
      </c>
      <c r="DG13" s="1">
        <v>-203.34</v>
      </c>
      <c r="DH13" s="1">
        <v>-203.34</v>
      </c>
      <c r="DI13" s="1">
        <v>-203.34</v>
      </c>
      <c r="DJ13" s="1">
        <v>-314.32</v>
      </c>
      <c r="DK13" s="1">
        <v>-314.32</v>
      </c>
      <c r="DL13" s="1">
        <v>-314.32</v>
      </c>
      <c r="DM13" s="1">
        <v>-491.63</v>
      </c>
      <c r="DN13" s="1">
        <v>-491.63</v>
      </c>
      <c r="DO13" s="1">
        <v>-491.63</v>
      </c>
      <c r="DP13" s="1">
        <v>-179.91476722878934</v>
      </c>
      <c r="DQ13" s="1">
        <v>-179.91476722878934</v>
      </c>
      <c r="DR13" s="1">
        <v>-179.91476722878934</v>
      </c>
    </row>
    <row r="14" spans="1:122" x14ac:dyDescent="0.2">
      <c r="A14" s="71" t="s">
        <v>986</v>
      </c>
      <c r="B14" s="9">
        <v>-311.5</v>
      </c>
      <c r="C14" s="9">
        <v>-104.41</v>
      </c>
      <c r="D14" s="9">
        <v>-305.52</v>
      </c>
      <c r="E14" s="9">
        <v>-305.52</v>
      </c>
      <c r="F14" s="9">
        <v>-305.52</v>
      </c>
      <c r="G14" s="9">
        <v>-303.08</v>
      </c>
      <c r="H14" s="9">
        <v>-280.14</v>
      </c>
      <c r="I14" s="9">
        <v>-442.34</v>
      </c>
      <c r="J14" s="9">
        <v>-442.34</v>
      </c>
      <c r="K14" s="9">
        <v>-442.34</v>
      </c>
      <c r="L14" s="9">
        <v>-442.34</v>
      </c>
      <c r="M14" s="9">
        <v>-276.13</v>
      </c>
      <c r="N14" s="9">
        <v>-276.13</v>
      </c>
      <c r="O14" s="9">
        <v>-276.13</v>
      </c>
      <c r="P14" s="9">
        <v>-641.01</v>
      </c>
      <c r="Q14" s="9">
        <v>-641.01</v>
      </c>
      <c r="R14" s="9">
        <v>-641.01</v>
      </c>
      <c r="S14" s="9">
        <v>-780.27</v>
      </c>
      <c r="T14" s="9">
        <v>-436.36</v>
      </c>
      <c r="U14" s="9">
        <v>-436.36</v>
      </c>
      <c r="V14" s="9">
        <v>-436.36</v>
      </c>
      <c r="W14" s="9">
        <v>-433.92</v>
      </c>
      <c r="X14" s="9">
        <v>-436.36</v>
      </c>
      <c r="Y14" s="9">
        <v>-436.36</v>
      </c>
      <c r="Z14" s="1">
        <v>-436.36</v>
      </c>
      <c r="AA14" s="9">
        <v>-297.10000000000002</v>
      </c>
      <c r="AB14" s="9">
        <v>-297.10000000000002</v>
      </c>
      <c r="AC14" s="9">
        <v>-297.10000000000002</v>
      </c>
      <c r="AD14" s="9">
        <v>-297.10000000000002</v>
      </c>
      <c r="AE14" s="9">
        <v>-297.10000000000002</v>
      </c>
      <c r="AF14" s="9">
        <v>-297.10000000000002</v>
      </c>
      <c r="AG14" s="9">
        <v>-294.66000000000003</v>
      </c>
      <c r="AH14" s="9">
        <v>-291.82</v>
      </c>
      <c r="AI14" s="9">
        <v>-297.10000000000002</v>
      </c>
      <c r="AJ14" s="9">
        <v>-297.10000000000002</v>
      </c>
      <c r="AK14" s="9">
        <v>-297.10000000000002</v>
      </c>
      <c r="AL14" s="9">
        <v>-239.4</v>
      </c>
      <c r="AM14" s="9">
        <v>-433.92</v>
      </c>
      <c r="AN14" s="9">
        <v>-433.92</v>
      </c>
      <c r="AO14" s="9">
        <v>-433.92</v>
      </c>
      <c r="AP14" s="9">
        <v>-410.98</v>
      </c>
      <c r="AQ14" s="9">
        <v>-433.92</v>
      </c>
      <c r="AR14" s="9">
        <v>-433.92</v>
      </c>
      <c r="AS14" s="1">
        <v>-433.92</v>
      </c>
      <c r="AT14" s="9">
        <v>-433.92</v>
      </c>
      <c r="AU14" s="9">
        <v>-433.92</v>
      </c>
      <c r="AV14" s="9">
        <v>-359.57</v>
      </c>
      <c r="AW14" s="9">
        <v>-359.57</v>
      </c>
      <c r="AX14" s="9">
        <v>-263.98</v>
      </c>
      <c r="AY14" s="9">
        <v>-433.92</v>
      </c>
      <c r="AZ14" s="9">
        <v>-291.12</v>
      </c>
      <c r="BA14" s="9">
        <v>-291.12</v>
      </c>
      <c r="BB14" s="9">
        <v>-291.12</v>
      </c>
      <c r="BC14" s="9">
        <v>-283.39999999999998</v>
      </c>
      <c r="BD14" s="9">
        <v>-283.39999999999998</v>
      </c>
      <c r="BE14" s="9">
        <v>-283.39999999999998</v>
      </c>
      <c r="BF14" s="9">
        <v>-288.68</v>
      </c>
      <c r="BG14" s="9">
        <v>-288.68</v>
      </c>
      <c r="BH14" s="9">
        <v>-288.68</v>
      </c>
      <c r="BI14" s="12">
        <v>-288.68</v>
      </c>
      <c r="BJ14" s="12">
        <v>-288.68</v>
      </c>
      <c r="BK14" s="12">
        <v>-288.68</v>
      </c>
      <c r="BL14" s="9">
        <v>-283.39999999999998</v>
      </c>
      <c r="BM14" s="9">
        <v>-283.39999999999998</v>
      </c>
      <c r="BN14" s="12">
        <v>-288.68</v>
      </c>
      <c r="BO14" s="12">
        <v>-288.68</v>
      </c>
      <c r="BP14" s="12">
        <v>-288.68</v>
      </c>
      <c r="BQ14" s="12">
        <v>-288.68</v>
      </c>
      <c r="BR14" s="12">
        <v>-288.68</v>
      </c>
      <c r="BS14" s="12">
        <v>-288.68</v>
      </c>
      <c r="BT14" s="9">
        <v>-286.24</v>
      </c>
      <c r="BU14" s="9">
        <v>-632.59</v>
      </c>
      <c r="BV14" s="9">
        <v>-632.59</v>
      </c>
      <c r="BW14" s="9">
        <v>-632.59</v>
      </c>
      <c r="BX14" s="9">
        <v>-228.43</v>
      </c>
      <c r="BY14" s="9">
        <v>-228.43</v>
      </c>
      <c r="BZ14" s="9">
        <v>-372.96</v>
      </c>
      <c r="CA14" s="9">
        <v>-255.56</v>
      </c>
      <c r="CB14" s="9">
        <v>-255.56</v>
      </c>
      <c r="CC14" s="9">
        <v>-255.56</v>
      </c>
      <c r="CD14" s="9">
        <v>-384.982392</v>
      </c>
      <c r="CE14" s="9">
        <v>-288.68</v>
      </c>
      <c r="CF14" s="9">
        <v>-351.15</v>
      </c>
      <c r="CG14" s="9">
        <v>-351.15</v>
      </c>
      <c r="CH14" s="9">
        <v>-351.15</v>
      </c>
      <c r="CI14" s="9">
        <v>-222.23</v>
      </c>
      <c r="CJ14" s="9">
        <v>-632.59</v>
      </c>
      <c r="CK14" s="9">
        <v>-632.59</v>
      </c>
      <c r="CL14" s="1">
        <v>-632.59</v>
      </c>
      <c r="CM14" s="9">
        <v>-624.16999999999996</v>
      </c>
      <c r="CN14" s="9">
        <v>-624.16999999999996</v>
      </c>
      <c r="CO14" s="1">
        <v>-624.16999999999996</v>
      </c>
      <c r="CP14" s="9">
        <v>-232.11</v>
      </c>
      <c r="CQ14" s="9">
        <v>-376.64</v>
      </c>
      <c r="CR14" s="9">
        <v>-277.82</v>
      </c>
      <c r="CS14" s="9">
        <v>-282.7</v>
      </c>
      <c r="CT14" s="9">
        <v>-282.7</v>
      </c>
      <c r="CU14" s="9">
        <v>-282.7</v>
      </c>
      <c r="CV14" s="9">
        <v>-282.7</v>
      </c>
      <c r="CW14" s="9">
        <v>-282.7</v>
      </c>
      <c r="CX14" s="9">
        <v>-282.7</v>
      </c>
      <c r="CY14" s="9">
        <v>-282.7</v>
      </c>
      <c r="CZ14" s="9">
        <v>-213.81</v>
      </c>
      <c r="DA14" s="9">
        <v>-213.81</v>
      </c>
      <c r="DB14" s="9">
        <v>-213.81</v>
      </c>
      <c r="DC14" s="9">
        <v>-353.07</v>
      </c>
      <c r="DD14" s="9">
        <v>-618.89</v>
      </c>
      <c r="DE14" s="9">
        <v>-310.80487951031625</v>
      </c>
      <c r="DF14" s="9">
        <v>-310.80487951031625</v>
      </c>
      <c r="DG14" s="9">
        <v>79.180000000000007</v>
      </c>
      <c r="DH14" s="9">
        <v>79.180000000000007</v>
      </c>
      <c r="DI14" s="9">
        <v>79.180000000000007</v>
      </c>
      <c r="DJ14" s="9">
        <v>-142.59</v>
      </c>
      <c r="DK14" s="9">
        <v>-142.59</v>
      </c>
      <c r="DL14" s="9">
        <v>-142.59</v>
      </c>
      <c r="DM14" s="9">
        <v>-297.20999999999998</v>
      </c>
      <c r="DN14" s="9">
        <v>-297.20999999999998</v>
      </c>
      <c r="DO14" s="9">
        <v>-297.20999999999998</v>
      </c>
      <c r="DP14" s="9">
        <v>-281.63186982513071</v>
      </c>
      <c r="DQ14" s="9">
        <v>-281.63186982513071</v>
      </c>
      <c r="DR14" s="9">
        <v>-281.63186982513071</v>
      </c>
    </row>
    <row r="15" spans="1:122" x14ac:dyDescent="0.2">
      <c r="A15" s="71" t="s">
        <v>987</v>
      </c>
      <c r="B15" s="9">
        <v>-3.3427699999999998</v>
      </c>
      <c r="C15" s="9">
        <v>-1.75928</v>
      </c>
      <c r="D15" s="9">
        <v>-2.8224499999999999</v>
      </c>
      <c r="E15" s="9">
        <v>-2.8224499999999999</v>
      </c>
      <c r="F15" s="9">
        <v>-2.8224499999999999</v>
      </c>
      <c r="G15" s="9">
        <v>-1.01414</v>
      </c>
      <c r="H15" s="9">
        <v>-0.79416699999999996</v>
      </c>
      <c r="I15" s="9">
        <v>-3.9559899999999999</v>
      </c>
      <c r="J15" s="9">
        <v>-3.9559899999999999</v>
      </c>
      <c r="K15" s="9">
        <v>-3.9559899999999999</v>
      </c>
      <c r="L15" s="9">
        <v>-1.78599</v>
      </c>
      <c r="M15" s="9">
        <v>-2.5734499999999998</v>
      </c>
      <c r="N15" s="9">
        <v>-2.5734499999999998</v>
      </c>
      <c r="O15" s="9">
        <v>-2.5734499999999998</v>
      </c>
      <c r="P15" s="9">
        <v>-3.7003300000000001</v>
      </c>
      <c r="Q15" s="9">
        <v>-3.7003300000000001</v>
      </c>
      <c r="R15" s="9">
        <v>-3.7003300000000001</v>
      </c>
      <c r="S15" s="9">
        <v>-4.4721799999999998</v>
      </c>
      <c r="T15" s="9">
        <v>-3.48834</v>
      </c>
      <c r="U15" s="9">
        <v>-3.48834</v>
      </c>
      <c r="V15" s="9">
        <v>-3.48834</v>
      </c>
      <c r="W15" s="9">
        <v>-3.6164000000000001</v>
      </c>
      <c r="X15" s="9">
        <v>-3.48834</v>
      </c>
      <c r="Y15" s="9">
        <v>-3.48834</v>
      </c>
      <c r="Z15" s="1">
        <v>-3.48834</v>
      </c>
      <c r="AA15" s="9">
        <v>-2.4828700000000001</v>
      </c>
      <c r="AB15" s="9">
        <v>-2.4828700000000001</v>
      </c>
      <c r="AC15" s="9">
        <v>-2.4828700000000001</v>
      </c>
      <c r="AD15" s="9">
        <v>-0.54649499999999995</v>
      </c>
      <c r="AE15" s="9">
        <v>-0.54649499999999995</v>
      </c>
      <c r="AF15" s="9">
        <v>-0.54649499999999995</v>
      </c>
      <c r="AG15" s="9">
        <v>-0.67455600000000004</v>
      </c>
      <c r="AH15" s="9">
        <v>-2.69746</v>
      </c>
      <c r="AI15" s="9">
        <v>-0.73009999999999997</v>
      </c>
      <c r="AJ15" s="9">
        <v>-0.73009999999999997</v>
      </c>
      <c r="AK15" s="9">
        <v>-0.73009999999999997</v>
      </c>
      <c r="AL15" s="9">
        <v>-3.0663399999999998</v>
      </c>
      <c r="AM15" s="9">
        <v>-1.44641</v>
      </c>
      <c r="AN15" s="9">
        <v>-1.6800299999999999</v>
      </c>
      <c r="AO15" s="9">
        <v>-1.6800299999999999</v>
      </c>
      <c r="AP15" s="9">
        <v>-1.4073899999999999</v>
      </c>
      <c r="AQ15" s="9">
        <v>-3.6164000000000001</v>
      </c>
      <c r="AR15" s="9">
        <v>-3.6164000000000001</v>
      </c>
      <c r="AS15" s="1">
        <v>-3.6164000000000001</v>
      </c>
      <c r="AT15" s="9">
        <v>-1.6800299999999999</v>
      </c>
      <c r="AU15" s="9">
        <v>-1.8636299999999999</v>
      </c>
      <c r="AV15" s="9">
        <v>-4.4406400000000001</v>
      </c>
      <c r="AW15" s="9">
        <v>-4.4406400000000001</v>
      </c>
      <c r="AX15" s="9">
        <v>-2.20044</v>
      </c>
      <c r="AY15" s="9">
        <v>-4.1058899999999996</v>
      </c>
      <c r="AZ15" s="9">
        <v>-2.1703000000000001</v>
      </c>
      <c r="BA15" s="9">
        <v>-2.1703000000000001</v>
      </c>
      <c r="BB15" s="9">
        <v>-2.1703000000000001</v>
      </c>
      <c r="BC15" s="9">
        <v>-2.3578800000000002</v>
      </c>
      <c r="BD15" s="9">
        <v>-2.3578800000000002</v>
      </c>
      <c r="BE15" s="9">
        <v>-2.3578800000000002</v>
      </c>
      <c r="BF15" s="9">
        <v>-1.9298999999999999</v>
      </c>
      <c r="BG15" s="9">
        <v>-1.9298999999999999</v>
      </c>
      <c r="BH15" s="9">
        <v>-1.9298999999999999</v>
      </c>
      <c r="BI15" s="12">
        <v>-0.20691100000000001</v>
      </c>
      <c r="BJ15" s="12">
        <v>-0.20691100000000001</v>
      </c>
      <c r="BK15" s="12">
        <v>-0.20691100000000001</v>
      </c>
      <c r="BL15" s="9">
        <v>-0.132214</v>
      </c>
      <c r="BM15" s="9">
        <v>-0.52138200000000001</v>
      </c>
      <c r="BN15" s="12">
        <v>-0.17713499999999999</v>
      </c>
      <c r="BO15" s="12">
        <v>-0.20691100000000001</v>
      </c>
      <c r="BP15" s="12">
        <v>-0.20691100000000001</v>
      </c>
      <c r="BQ15" s="12">
        <v>-0.20691100000000001</v>
      </c>
      <c r="BR15" s="9">
        <v>-0.39051599999999997</v>
      </c>
      <c r="BS15" s="9">
        <v>-0.361987</v>
      </c>
      <c r="BT15" s="9">
        <v>-0.33497199999999999</v>
      </c>
      <c r="BU15" s="9">
        <v>-3.3607499999999999</v>
      </c>
      <c r="BV15" s="9">
        <v>-3.3607499999999999</v>
      </c>
      <c r="BW15" s="9">
        <v>-3.3607499999999999</v>
      </c>
      <c r="BX15" s="9">
        <v>-0.214836</v>
      </c>
      <c r="BY15" s="9">
        <v>-0.214836</v>
      </c>
      <c r="BZ15" s="9">
        <v>-1.22031</v>
      </c>
      <c r="CA15" s="9">
        <v>-1.8608499999999999</v>
      </c>
      <c r="CB15" s="9">
        <v>-1.8608499999999999</v>
      </c>
      <c r="CC15" s="9">
        <v>-1.8608499999999999</v>
      </c>
      <c r="CD15" s="9">
        <v>-3.90604</v>
      </c>
      <c r="CE15" s="9">
        <v>-3.1107100000000001</v>
      </c>
      <c r="CF15" s="9">
        <v>-4.1010600000000004</v>
      </c>
      <c r="CG15" s="9">
        <v>-4.1010600000000004</v>
      </c>
      <c r="CH15" s="9">
        <v>-4.1010600000000004</v>
      </c>
      <c r="CI15" s="9">
        <v>-3.3275800000000002</v>
      </c>
      <c r="CJ15" s="9">
        <v>-1.60798</v>
      </c>
      <c r="CK15" s="9">
        <v>-1.60798</v>
      </c>
      <c r="CL15" s="1">
        <v>-1.60798</v>
      </c>
      <c r="CM15" s="9">
        <v>-3.0211600000000001</v>
      </c>
      <c r="CN15" s="9">
        <v>-3.0211600000000001</v>
      </c>
      <c r="CO15" s="1">
        <v>3.0211600000000001</v>
      </c>
      <c r="CP15" s="9">
        <v>0.124747</v>
      </c>
      <c r="CQ15" s="9">
        <v>-0.88072700000000004</v>
      </c>
      <c r="CR15" s="9">
        <v>4.6112200000000001E-3</v>
      </c>
      <c r="CS15" s="9">
        <v>-1.40395</v>
      </c>
      <c r="CT15" s="9">
        <v>-1.40395</v>
      </c>
      <c r="CU15" s="9">
        <v>-1.40395</v>
      </c>
      <c r="CV15" s="9">
        <v>-1.61734</v>
      </c>
      <c r="CW15" s="9">
        <v>-1.61734</v>
      </c>
      <c r="CX15" s="9">
        <v>-1.61734</v>
      </c>
      <c r="CY15" s="9">
        <v>-1.61734</v>
      </c>
      <c r="CZ15" s="9">
        <v>-2.988</v>
      </c>
      <c r="DA15" s="9">
        <v>-2.988</v>
      </c>
      <c r="DB15" s="9">
        <v>-2.988</v>
      </c>
      <c r="DC15" s="9">
        <v>-3.9934699999999999</v>
      </c>
      <c r="DD15" s="9">
        <v>-3.23576</v>
      </c>
      <c r="DE15" s="9">
        <v>-3.09043</v>
      </c>
      <c r="DF15" s="9">
        <v>-3.09043</v>
      </c>
      <c r="DG15" s="9">
        <v>-2.9324599999999998</v>
      </c>
      <c r="DH15" s="9">
        <v>-2.9324599999999998</v>
      </c>
      <c r="DI15" s="9">
        <v>-2.9324599999999998</v>
      </c>
      <c r="DJ15" s="9">
        <v>-1.3710800000000001</v>
      </c>
      <c r="DK15" s="9">
        <v>-1.3710800000000001</v>
      </c>
      <c r="DL15" s="9">
        <v>-1.3710800000000001</v>
      </c>
      <c r="DM15" s="9">
        <v>-1.78006</v>
      </c>
      <c r="DN15" s="9">
        <v>-1.78006</v>
      </c>
      <c r="DO15" s="9">
        <v>-1.78006</v>
      </c>
      <c r="DP15" s="9">
        <v>-1.2509699999999999</v>
      </c>
      <c r="DQ15" s="9">
        <v>-1.2509699999999999</v>
      </c>
      <c r="DR15" s="9">
        <v>-1.2509699999999999</v>
      </c>
    </row>
    <row r="16" spans="1:122" x14ac:dyDescent="0.2">
      <c r="A16" s="71" t="s">
        <v>988</v>
      </c>
      <c r="B16" s="9">
        <v>2.25983</v>
      </c>
      <c r="C16" s="9">
        <v>0.47010999999999997</v>
      </c>
      <c r="D16" s="9">
        <v>1.86084</v>
      </c>
      <c r="E16" s="9">
        <v>1.86084</v>
      </c>
      <c r="F16" s="9">
        <v>1.86084</v>
      </c>
      <c r="G16" s="9">
        <v>0.56594599999999995</v>
      </c>
      <c r="H16" s="9">
        <v>0.56754000000000004</v>
      </c>
      <c r="I16" s="9">
        <v>2.5609199999999999</v>
      </c>
      <c r="J16" s="9">
        <v>2.5609199999999999</v>
      </c>
      <c r="K16" s="9">
        <v>2.5609199999999999</v>
      </c>
      <c r="L16" s="9">
        <v>1.02081</v>
      </c>
      <c r="M16" s="9">
        <v>1.49976</v>
      </c>
      <c r="N16" s="9">
        <v>1.49976</v>
      </c>
      <c r="O16" s="9">
        <v>1.49976</v>
      </c>
      <c r="P16" s="9">
        <v>2.1325699999999999</v>
      </c>
      <c r="Q16" s="9">
        <v>2.1325699999999999</v>
      </c>
      <c r="R16" s="9">
        <v>2.1325699999999999</v>
      </c>
      <c r="S16" s="9">
        <v>2.5861100000000001</v>
      </c>
      <c r="T16" s="9">
        <v>2.1966000000000001</v>
      </c>
      <c r="U16" s="9">
        <v>2.1966000000000001</v>
      </c>
      <c r="V16" s="9">
        <v>2.1966000000000001</v>
      </c>
      <c r="W16" s="9">
        <v>2.27481</v>
      </c>
      <c r="X16" s="9">
        <v>2.1966000000000001</v>
      </c>
      <c r="Y16" s="9">
        <v>2.1966000000000001</v>
      </c>
      <c r="Z16" s="1">
        <v>2.1966000000000001</v>
      </c>
      <c r="AA16" s="9">
        <v>1.5982700000000001</v>
      </c>
      <c r="AB16" s="9">
        <v>1.5982700000000001</v>
      </c>
      <c r="AC16" s="9">
        <v>1.5982700000000001</v>
      </c>
      <c r="AD16" s="9">
        <v>0.20898800000000001</v>
      </c>
      <c r="AE16" s="9">
        <v>0.20898800000000001</v>
      </c>
      <c r="AF16" s="9">
        <v>0.20898800000000001</v>
      </c>
      <c r="AG16" s="9">
        <v>0.29277199999999998</v>
      </c>
      <c r="AH16" s="9">
        <v>1.7387900000000001</v>
      </c>
      <c r="AI16" s="9">
        <v>0.342281</v>
      </c>
      <c r="AJ16" s="9">
        <v>0.342281</v>
      </c>
      <c r="AK16" s="9">
        <v>0.342281</v>
      </c>
      <c r="AL16" s="9">
        <v>1.8868799999999999</v>
      </c>
      <c r="AM16" s="9">
        <v>0.73476300000000005</v>
      </c>
      <c r="AN16" s="9">
        <v>0.90402099999999996</v>
      </c>
      <c r="AO16" s="9">
        <v>0.90402099999999996</v>
      </c>
      <c r="AP16" s="9">
        <v>0.86846599999999996</v>
      </c>
      <c r="AQ16" s="9">
        <v>2.27481</v>
      </c>
      <c r="AR16" s="9">
        <v>2.27481</v>
      </c>
      <c r="AS16" s="1">
        <v>2.27481</v>
      </c>
      <c r="AT16" s="9">
        <v>0.904891</v>
      </c>
      <c r="AU16" s="9">
        <v>1.0382199999999999</v>
      </c>
      <c r="AV16" s="9">
        <v>2.4504299999999999</v>
      </c>
      <c r="AW16" s="9">
        <v>2.4504299999999999</v>
      </c>
      <c r="AX16" s="9">
        <v>1.17987</v>
      </c>
      <c r="AY16" s="9">
        <v>1.7546600000000001</v>
      </c>
      <c r="AZ16" s="9">
        <v>1.35209</v>
      </c>
      <c r="BA16" s="9">
        <v>1.35209</v>
      </c>
      <c r="BB16" s="9">
        <v>1.35209</v>
      </c>
      <c r="BC16" s="9">
        <v>1.4759800000000001</v>
      </c>
      <c r="BD16" s="9">
        <v>1.4759800000000001</v>
      </c>
      <c r="BE16" s="9">
        <v>1.4759800000000001</v>
      </c>
      <c r="BF16" s="9">
        <v>1.18424</v>
      </c>
      <c r="BG16" s="9">
        <v>1.18424</v>
      </c>
      <c r="BH16" s="9">
        <v>1.18424</v>
      </c>
      <c r="BI16" s="12">
        <v>-5.3371599999999998E-2</v>
      </c>
      <c r="BJ16" s="12">
        <v>-5.3371599999999998E-2</v>
      </c>
      <c r="BK16" s="12">
        <v>-5.3371599999999998E-2</v>
      </c>
      <c r="BL16" s="9">
        <v>-0.11305800000000001</v>
      </c>
      <c r="BM16" s="9">
        <v>0.169073</v>
      </c>
      <c r="BN16" s="12">
        <v>-7.0672200000000004E-2</v>
      </c>
      <c r="BO16" s="12">
        <v>-6.6387399999999999E-2</v>
      </c>
      <c r="BP16" s="12">
        <v>-6.6387399999999999E-2</v>
      </c>
      <c r="BQ16" s="12">
        <v>-6.6387399999999999E-2</v>
      </c>
      <c r="BR16" s="9">
        <v>6.8298499999999998E-2</v>
      </c>
      <c r="BS16" s="9">
        <v>4.6986899999999998E-2</v>
      </c>
      <c r="BT16" s="9">
        <v>2.9156499999999998E-2</v>
      </c>
      <c r="BU16" s="9">
        <v>1.85205</v>
      </c>
      <c r="BV16" s="9">
        <v>1.85205</v>
      </c>
      <c r="BW16" s="9">
        <v>1.85205</v>
      </c>
      <c r="BX16" s="9">
        <v>-0.16700400000000001</v>
      </c>
      <c r="BY16" s="9">
        <v>-0.16700400000000001</v>
      </c>
      <c r="BZ16" s="9">
        <v>0.42773899999999998</v>
      </c>
      <c r="CA16" s="9">
        <v>0.90231600000000001</v>
      </c>
      <c r="CB16" s="9">
        <v>0.90231600000000001</v>
      </c>
      <c r="CC16" s="9">
        <v>0.90231600000000001</v>
      </c>
      <c r="CD16" s="9">
        <v>2.2258200000000001</v>
      </c>
      <c r="CE16" s="9">
        <v>1.24366</v>
      </c>
      <c r="CF16" s="9">
        <v>2.1704599999999998</v>
      </c>
      <c r="CG16" s="9">
        <v>2.1704599999999998</v>
      </c>
      <c r="CH16" s="9">
        <v>2.1704599999999998</v>
      </c>
      <c r="CI16" s="9">
        <v>1.8929199999999999</v>
      </c>
      <c r="CJ16" s="9">
        <v>0.60808300000000004</v>
      </c>
      <c r="CK16" s="9">
        <v>0.60808300000000004</v>
      </c>
      <c r="CL16" s="1">
        <v>0.60808300000000004</v>
      </c>
      <c r="CM16" s="9">
        <v>1.58785</v>
      </c>
      <c r="CN16" s="9">
        <v>1.58785</v>
      </c>
      <c r="CO16" s="1">
        <v>1.58785</v>
      </c>
      <c r="CP16" s="9">
        <v>-0.48379899999999998</v>
      </c>
      <c r="CQ16" s="9">
        <v>0.108999</v>
      </c>
      <c r="CR16" s="9">
        <v>-0.233934</v>
      </c>
      <c r="CS16" s="9">
        <v>0.78658899999999998</v>
      </c>
      <c r="CT16" s="9">
        <v>0.78658899999999998</v>
      </c>
      <c r="CU16" s="9">
        <v>0.78658899999999998</v>
      </c>
      <c r="CV16" s="9">
        <v>0.93783000000000005</v>
      </c>
      <c r="CW16" s="9">
        <v>0.93783000000000005</v>
      </c>
      <c r="CX16" s="9">
        <v>0.93783000000000005</v>
      </c>
      <c r="CY16" s="9">
        <v>0.93783000000000005</v>
      </c>
      <c r="CZ16" s="9">
        <v>1.6298299999999999</v>
      </c>
      <c r="DA16" s="9">
        <v>1.6298299999999999</v>
      </c>
      <c r="DB16" s="9">
        <v>1.6298299999999999</v>
      </c>
      <c r="DC16" s="9">
        <v>2.22132</v>
      </c>
      <c r="DD16" s="9">
        <v>1.72987</v>
      </c>
      <c r="DE16" s="9">
        <v>1.26068</v>
      </c>
      <c r="DF16" s="9">
        <v>1.26068</v>
      </c>
      <c r="DG16" s="9">
        <v>0.95522499999999999</v>
      </c>
      <c r="DH16" s="9">
        <v>0.95522499999999999</v>
      </c>
      <c r="DI16" s="9">
        <v>0.95522499999999999</v>
      </c>
      <c r="DJ16" s="9">
        <v>0.31634899999999999</v>
      </c>
      <c r="DK16" s="9">
        <v>0.31634899999999999</v>
      </c>
      <c r="DL16" s="9">
        <v>0.31634899999999999</v>
      </c>
      <c r="DM16" s="9">
        <v>0.36513699999999999</v>
      </c>
      <c r="DN16" s="9">
        <v>0.36513699999999999</v>
      </c>
      <c r="DO16" s="9">
        <v>0.36513699999999999</v>
      </c>
      <c r="DP16" s="9">
        <v>-0.43960300000000002</v>
      </c>
      <c r="DQ16" s="9">
        <v>-0.43960300000000002</v>
      </c>
      <c r="DR16" s="9">
        <v>-0.43960300000000002</v>
      </c>
    </row>
    <row r="17" spans="1:122" x14ac:dyDescent="0.2">
      <c r="A17" s="72" t="s">
        <v>1260</v>
      </c>
      <c r="B17" s="37">
        <v>63.319999999999993</v>
      </c>
      <c r="C17" s="37">
        <v>88.77</v>
      </c>
      <c r="D17" s="37">
        <v>63.319999999999993</v>
      </c>
      <c r="E17" s="37">
        <v>63.319999999999993</v>
      </c>
      <c r="F17" s="37">
        <v>63.319999999999993</v>
      </c>
      <c r="G17" s="37">
        <v>63.320000000000007</v>
      </c>
      <c r="H17" s="37">
        <v>49.33</v>
      </c>
      <c r="I17" s="37">
        <v>83.55</v>
      </c>
      <c r="J17" s="37">
        <v>83.55</v>
      </c>
      <c r="K17" s="37">
        <v>83.55</v>
      </c>
      <c r="L17" s="37">
        <v>83.55</v>
      </c>
      <c r="M17" s="37">
        <v>102.12</v>
      </c>
      <c r="N17" s="37">
        <v>102.12</v>
      </c>
      <c r="O17" s="37">
        <v>102.12</v>
      </c>
      <c r="P17" s="37">
        <v>100.62</v>
      </c>
      <c r="Q17" s="37">
        <v>100.62</v>
      </c>
      <c r="R17" s="37">
        <v>100.62</v>
      </c>
      <c r="S17" s="37">
        <v>120.85</v>
      </c>
      <c r="T17" s="37">
        <v>83.55</v>
      </c>
      <c r="U17" s="37">
        <v>83.55</v>
      </c>
      <c r="V17" s="37">
        <v>83.55</v>
      </c>
      <c r="W17" s="37">
        <v>83.55</v>
      </c>
      <c r="X17" s="37">
        <v>83.55</v>
      </c>
      <c r="Y17" s="37">
        <v>83.55</v>
      </c>
      <c r="Z17" s="1">
        <v>83.55</v>
      </c>
      <c r="AA17" s="37">
        <v>63.319999999999993</v>
      </c>
      <c r="AB17" s="37">
        <v>63.319999999999993</v>
      </c>
      <c r="AC17" s="37">
        <v>63.319999999999993</v>
      </c>
      <c r="AD17" s="37">
        <v>63.319999999999993</v>
      </c>
      <c r="AE17" s="37">
        <v>63.319999999999993</v>
      </c>
      <c r="AF17" s="37">
        <v>63.319999999999993</v>
      </c>
      <c r="AG17" s="37">
        <v>63.320000000000007</v>
      </c>
      <c r="AH17" s="37">
        <v>63.320000000000007</v>
      </c>
      <c r="AI17" s="37">
        <v>63.319999999999993</v>
      </c>
      <c r="AJ17" s="37">
        <v>63.320000000000007</v>
      </c>
      <c r="AK17" s="37">
        <v>63.319999999999993</v>
      </c>
      <c r="AL17" s="37">
        <v>63.319999999999993</v>
      </c>
      <c r="AM17" s="37">
        <v>83.55</v>
      </c>
      <c r="AN17" s="37">
        <v>83.55</v>
      </c>
      <c r="AO17" s="37">
        <v>83.55</v>
      </c>
      <c r="AP17" s="37">
        <v>69.56</v>
      </c>
      <c r="AQ17" s="37">
        <v>83.55</v>
      </c>
      <c r="AR17" s="37">
        <v>83.55</v>
      </c>
      <c r="AS17" s="1">
        <v>83.55</v>
      </c>
      <c r="AT17" s="37">
        <v>83.55</v>
      </c>
      <c r="AU17" s="37">
        <v>63.320000000000007</v>
      </c>
      <c r="AV17" s="37">
        <v>106.41</v>
      </c>
      <c r="AW17" s="37">
        <v>106.41</v>
      </c>
      <c r="AX17" s="37">
        <v>63.32</v>
      </c>
      <c r="AY17" s="37">
        <v>117.69</v>
      </c>
      <c r="AZ17" s="37">
        <v>63.319999999999993</v>
      </c>
      <c r="BA17" s="37">
        <v>63.319999999999993</v>
      </c>
      <c r="BB17" s="37">
        <v>63.319999999999993</v>
      </c>
      <c r="BC17" s="37">
        <v>63.319999999999993</v>
      </c>
      <c r="BD17" s="37">
        <v>63.319999999999993</v>
      </c>
      <c r="BE17" s="37">
        <v>63.319999999999993</v>
      </c>
      <c r="BF17" s="37">
        <v>63.319999999999993</v>
      </c>
      <c r="BG17" s="37">
        <v>63.319999999999993</v>
      </c>
      <c r="BH17" s="37">
        <v>63.319999999999993</v>
      </c>
      <c r="BI17" s="37">
        <v>63.320000000000007</v>
      </c>
      <c r="BJ17" s="37">
        <v>63.320000000000007</v>
      </c>
      <c r="BK17" s="37">
        <v>63.319999999999993</v>
      </c>
      <c r="BL17" s="37">
        <v>63.319999999999993</v>
      </c>
      <c r="BM17" s="37">
        <v>63.320000000000007</v>
      </c>
      <c r="BN17" s="37">
        <v>63.319999999999993</v>
      </c>
      <c r="BO17" s="37">
        <v>63.320000000000007</v>
      </c>
      <c r="BP17" s="37">
        <v>63.319999999999993</v>
      </c>
      <c r="BQ17" s="37">
        <v>63.319999999999993</v>
      </c>
      <c r="BR17" s="37">
        <v>63.320000000000007</v>
      </c>
      <c r="BS17" s="37">
        <v>63.319999999999993</v>
      </c>
      <c r="BT17" s="37">
        <v>63.320000000000007</v>
      </c>
      <c r="BU17" s="37">
        <v>100.62</v>
      </c>
      <c r="BV17" s="37">
        <v>100.62</v>
      </c>
      <c r="BW17" s="37">
        <v>100.62</v>
      </c>
      <c r="BX17" s="37">
        <v>49.33</v>
      </c>
      <c r="BY17" s="37">
        <v>49.33</v>
      </c>
      <c r="BZ17" s="37">
        <v>69.56</v>
      </c>
      <c r="CA17" s="37">
        <v>88.61999999999999</v>
      </c>
      <c r="CB17" s="37">
        <v>88.61999999999999</v>
      </c>
      <c r="CC17" s="37">
        <v>88.61999999999999</v>
      </c>
      <c r="CD17" s="37">
        <v>80.39</v>
      </c>
      <c r="CE17" s="37">
        <v>97.46</v>
      </c>
      <c r="CF17" s="37">
        <v>106.41</v>
      </c>
      <c r="CG17" s="37">
        <v>106.41</v>
      </c>
      <c r="CH17" s="37">
        <v>106.41</v>
      </c>
      <c r="CI17" s="37">
        <v>89.339999999999989</v>
      </c>
      <c r="CJ17" s="37">
        <v>100.62</v>
      </c>
      <c r="CK17" s="37">
        <v>100.62</v>
      </c>
      <c r="CL17" s="1">
        <v>100.62</v>
      </c>
      <c r="CM17" s="37">
        <v>100.62</v>
      </c>
      <c r="CN17" s="37">
        <v>100.62</v>
      </c>
      <c r="CO17" s="1">
        <v>100.62</v>
      </c>
      <c r="CP17" s="37">
        <v>49.33</v>
      </c>
      <c r="CQ17" s="37">
        <v>69.56</v>
      </c>
      <c r="CR17" s="37">
        <v>63.319999999999993</v>
      </c>
      <c r="CS17" s="37">
        <v>63.319999999999993</v>
      </c>
      <c r="CT17" s="37">
        <v>63.319999999999993</v>
      </c>
      <c r="CU17" s="37">
        <v>63.319999999999993</v>
      </c>
      <c r="CV17" s="37">
        <v>63.319999999999993</v>
      </c>
      <c r="CW17" s="37">
        <v>63.319999999999993</v>
      </c>
      <c r="CX17" s="37">
        <v>63.319999999999993</v>
      </c>
      <c r="CY17" s="37">
        <v>63.319999999999993</v>
      </c>
      <c r="CZ17" s="37">
        <v>89.34</v>
      </c>
      <c r="DA17" s="37">
        <v>89.34</v>
      </c>
      <c r="DB17" s="37">
        <v>89.34</v>
      </c>
      <c r="DC17" s="37">
        <v>109.57</v>
      </c>
      <c r="DD17" s="37">
        <v>100.62</v>
      </c>
      <c r="DE17" s="37">
        <v>92</v>
      </c>
      <c r="DF17" s="37">
        <v>92</v>
      </c>
      <c r="DG17" s="37">
        <v>127.72</v>
      </c>
      <c r="DH17" s="37">
        <v>127.72</v>
      </c>
      <c r="DI17" s="37">
        <v>127.72</v>
      </c>
      <c r="DJ17" s="37">
        <v>63.319999999999993</v>
      </c>
      <c r="DK17" s="37">
        <v>63.319999999999993</v>
      </c>
      <c r="DL17" s="37">
        <v>63.319999999999993</v>
      </c>
      <c r="DM17" s="37">
        <v>83.55</v>
      </c>
      <c r="DN17" s="37">
        <v>83.55</v>
      </c>
      <c r="DO17" s="37">
        <v>83.55</v>
      </c>
      <c r="DP17" s="37">
        <v>79.11</v>
      </c>
      <c r="DQ17" s="37">
        <v>79.11</v>
      </c>
      <c r="DR17" s="37">
        <v>79.11</v>
      </c>
    </row>
    <row r="18" spans="1:122" x14ac:dyDescent="0.2">
      <c r="A18" s="71" t="s">
        <v>1261</v>
      </c>
      <c r="B18" s="51">
        <v>2.4927999999999999</v>
      </c>
      <c r="C18" s="51">
        <v>5.899</v>
      </c>
      <c r="D18" s="51">
        <v>1.9196</v>
      </c>
      <c r="E18" s="51">
        <v>3.6152000000000002</v>
      </c>
      <c r="F18" s="51">
        <v>2.7674000000000003</v>
      </c>
      <c r="G18" s="51">
        <v>1.8763000000000001</v>
      </c>
      <c r="H18" s="51">
        <v>2.3323</v>
      </c>
      <c r="I18" s="51">
        <v>3.4249999999999998</v>
      </c>
      <c r="J18" s="51">
        <v>2.1589</v>
      </c>
      <c r="K18" s="51">
        <v>2.7919499999999999</v>
      </c>
      <c r="L18" s="51">
        <v>2.25</v>
      </c>
      <c r="M18" s="51">
        <v>5.4283000000000001</v>
      </c>
      <c r="N18" s="51">
        <v>2.6328</v>
      </c>
      <c r="O18" s="51">
        <v>4.0305499999999999</v>
      </c>
      <c r="P18" s="51">
        <v>8.2751000000000001</v>
      </c>
      <c r="Q18" s="51">
        <v>3.0661</v>
      </c>
      <c r="R18" s="51">
        <v>5.6706000000000003</v>
      </c>
      <c r="S18" s="51">
        <v>1.6934</v>
      </c>
      <c r="T18" s="51">
        <v>2.0122</v>
      </c>
      <c r="U18" s="51">
        <v>2.9815999999999998</v>
      </c>
      <c r="V18" s="51">
        <v>2.4969000000000001</v>
      </c>
      <c r="W18" s="51">
        <v>4.4600999999999997</v>
      </c>
      <c r="X18" s="51">
        <v>3.9533</v>
      </c>
      <c r="Y18" s="51">
        <v>4.0202</v>
      </c>
      <c r="Z18" s="30">
        <v>3.9867499999999998</v>
      </c>
      <c r="AA18" s="51">
        <v>2.2225999999999999</v>
      </c>
      <c r="AB18" s="51">
        <v>3.2942999999999998</v>
      </c>
      <c r="AC18" s="51">
        <v>2.7584499999999998</v>
      </c>
      <c r="AD18" s="51">
        <v>3.4329999999999998</v>
      </c>
      <c r="AE18" s="51">
        <v>3.8538999999999999</v>
      </c>
      <c r="AF18" s="51">
        <v>3.6434499999999996</v>
      </c>
      <c r="AG18" s="51">
        <v>6.7701000000000002</v>
      </c>
      <c r="AH18" s="51">
        <v>2.0731000000000002</v>
      </c>
      <c r="AI18" s="51">
        <v>2.0789</v>
      </c>
      <c r="AJ18" s="51">
        <v>1.1606000000000001</v>
      </c>
      <c r="AK18" s="51">
        <v>1.61975</v>
      </c>
      <c r="AL18" s="51">
        <v>2.1208</v>
      </c>
      <c r="AM18" s="51">
        <v>3.3498000000000001</v>
      </c>
      <c r="AN18" s="51">
        <v>5.0083000000000002</v>
      </c>
      <c r="AO18" s="51">
        <v>3.5291000000000001</v>
      </c>
      <c r="AP18" s="51">
        <v>1.5406</v>
      </c>
      <c r="AQ18" s="51">
        <v>2.7010999999999998</v>
      </c>
      <c r="AR18" s="51">
        <v>3.7258</v>
      </c>
      <c r="AS18" s="30">
        <v>3.2134499999999999</v>
      </c>
      <c r="AT18" s="51">
        <v>3.6295999999999999</v>
      </c>
      <c r="AU18" s="51">
        <v>5.2655000000000003</v>
      </c>
      <c r="AV18" s="51">
        <v>2.1999</v>
      </c>
      <c r="AW18" s="51">
        <v>2.1999</v>
      </c>
      <c r="AX18" s="51">
        <v>3.7147999999999999</v>
      </c>
      <c r="AY18" s="51">
        <v>6.7969999999999997</v>
      </c>
      <c r="AZ18" s="51">
        <v>6.6650999999999998</v>
      </c>
      <c r="BA18" s="51">
        <v>6.9020999999999999</v>
      </c>
      <c r="BB18" s="51">
        <v>6.7835999999999999</v>
      </c>
      <c r="BC18" s="51">
        <v>1.9842</v>
      </c>
      <c r="BD18" s="51">
        <v>3.5855999999999999</v>
      </c>
      <c r="BE18" s="51">
        <v>2.7848999999999999</v>
      </c>
      <c r="BF18" s="51">
        <v>1.9144000000000001</v>
      </c>
      <c r="BG18" s="51">
        <v>2.8037000000000001</v>
      </c>
      <c r="BH18" s="51">
        <v>2.3590499999999999</v>
      </c>
      <c r="BI18" s="51">
        <v>1.2248000000000001</v>
      </c>
      <c r="BJ18" s="51">
        <v>3.0497000000000001</v>
      </c>
      <c r="BK18" s="51">
        <v>2.1372499999999999</v>
      </c>
      <c r="BL18" s="51">
        <v>3.3639999999999999</v>
      </c>
      <c r="BM18" s="51">
        <v>3.1730999999999998</v>
      </c>
      <c r="BN18" s="51">
        <v>3.7831000000000001</v>
      </c>
      <c r="BO18" s="51">
        <v>2.0064000000000002</v>
      </c>
      <c r="BP18" s="51">
        <v>3.4213</v>
      </c>
      <c r="BQ18" s="51">
        <v>2.7138499999999999</v>
      </c>
      <c r="BR18" s="51">
        <v>2.0253000000000001</v>
      </c>
      <c r="BS18" s="51">
        <v>1.8640000000000001</v>
      </c>
      <c r="BT18" s="51">
        <v>3.4788999999999999</v>
      </c>
      <c r="BU18" s="51">
        <v>3.9369999999999998</v>
      </c>
      <c r="BV18" s="51">
        <v>3.0171999999999999</v>
      </c>
      <c r="BW18" s="51">
        <v>3.4771000000000001</v>
      </c>
      <c r="BX18" s="51">
        <v>3.4327000000000001</v>
      </c>
      <c r="BY18" s="51">
        <v>3.4327000000000001</v>
      </c>
      <c r="BZ18" s="51">
        <v>4.1780999999999997</v>
      </c>
      <c r="CA18" s="51">
        <v>1.4484999999999999</v>
      </c>
      <c r="CB18" s="51">
        <v>4.0955000000000004</v>
      </c>
      <c r="CC18" s="51">
        <v>2.7720000000000002</v>
      </c>
      <c r="CD18" s="51">
        <v>6.0814000000000004</v>
      </c>
      <c r="CE18" s="51">
        <v>6.5488999999999997</v>
      </c>
      <c r="CF18" s="51">
        <v>4.7428999999999997</v>
      </c>
      <c r="CG18" s="51">
        <v>7.2516999999999996</v>
      </c>
      <c r="CH18" s="51">
        <v>5.9972999999999992</v>
      </c>
      <c r="CI18" s="51">
        <v>3.7995000000000001</v>
      </c>
      <c r="CJ18" s="51">
        <v>3.0607000000000002</v>
      </c>
      <c r="CK18" s="51">
        <v>4.8131000000000004</v>
      </c>
      <c r="CL18" s="1">
        <v>3.9369000000000005</v>
      </c>
      <c r="CM18" s="51">
        <v>4.3110999999999997</v>
      </c>
      <c r="CN18" s="51">
        <v>0.72499999999999998</v>
      </c>
      <c r="CO18" s="1">
        <v>2.5180500000000001</v>
      </c>
      <c r="CP18" s="51">
        <v>3.1989999999999998</v>
      </c>
      <c r="CQ18" s="51">
        <v>3.4375</v>
      </c>
      <c r="CR18" s="51">
        <v>2.2048000000000001</v>
      </c>
      <c r="CS18" s="51">
        <v>2.8782000000000001</v>
      </c>
      <c r="CT18" s="51">
        <v>1.9979</v>
      </c>
      <c r="CU18" s="51">
        <v>2.4380500000000001</v>
      </c>
      <c r="CV18" s="51">
        <v>2.7311000000000001</v>
      </c>
      <c r="CW18" s="51">
        <v>3.5488</v>
      </c>
      <c r="CX18" s="51">
        <v>3.1399499999999998</v>
      </c>
      <c r="CY18" s="51">
        <v>2.7648000000000001</v>
      </c>
      <c r="CZ18" s="51">
        <v>4.1976000000000004</v>
      </c>
      <c r="DA18" s="51">
        <v>3.1394000000000002</v>
      </c>
      <c r="DB18" s="51">
        <v>3.6685000000000003</v>
      </c>
      <c r="DC18" s="51">
        <v>4.6600999999999999</v>
      </c>
      <c r="DD18" s="52">
        <v>1.8222</v>
      </c>
      <c r="DE18" s="51">
        <v>6.8597999999999999</v>
      </c>
      <c r="DF18" s="51">
        <v>6.8597999999999999</v>
      </c>
      <c r="DG18" s="51">
        <v>4.7327000000000004</v>
      </c>
      <c r="DH18" s="51">
        <v>4.2262000000000004</v>
      </c>
      <c r="DI18" s="51">
        <v>4.4794499999999999</v>
      </c>
      <c r="DJ18" s="51">
        <v>2.1242000000000001</v>
      </c>
      <c r="DK18" s="51">
        <v>2.2149000000000001</v>
      </c>
      <c r="DL18" s="51">
        <v>2.1695500000000001</v>
      </c>
      <c r="DM18" s="51">
        <v>4.1154000000000002</v>
      </c>
      <c r="DN18" s="51">
        <v>2.7524999999999999</v>
      </c>
      <c r="DO18" s="51">
        <v>3.4339500000000003</v>
      </c>
      <c r="DP18" s="51">
        <v>3.9967000000000001</v>
      </c>
      <c r="DQ18" s="51">
        <v>1.7370000000000001</v>
      </c>
      <c r="DR18" s="51">
        <v>2.8668500000000003</v>
      </c>
    </row>
  </sheetData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2F39B-1F28-354C-9130-EE578B7F97B4}">
  <sheetPr codeName="Sheet6"/>
  <dimension ref="A1:I101"/>
  <sheetViews>
    <sheetView tabSelected="1" zoomScale="150" workbookViewId="0">
      <selection activeCell="C3" sqref="C3"/>
    </sheetView>
  </sheetViews>
  <sheetFormatPr baseColWidth="10" defaultRowHeight="16" x14ac:dyDescent="0.2"/>
  <cols>
    <col min="1" max="1" width="18.1640625" style="23" bestFit="1" customWidth="1"/>
    <col min="2" max="2" width="21.1640625" style="1" bestFit="1" customWidth="1"/>
    <col min="3" max="3" width="18.83203125" bestFit="1" customWidth="1"/>
    <col min="4" max="4" width="12.83203125" customWidth="1"/>
    <col min="5" max="5" width="20.1640625" style="1" customWidth="1"/>
    <col min="6" max="6" width="37.5" style="1" customWidth="1"/>
    <col min="7" max="7" width="12" customWidth="1"/>
    <col min="8" max="8" width="17.5" style="1" bestFit="1" customWidth="1"/>
    <col min="9" max="9" width="18.6640625" bestFit="1" customWidth="1"/>
  </cols>
  <sheetData>
    <row r="1" spans="1:9" s="86" customFormat="1" x14ac:dyDescent="0.2">
      <c r="A1" s="76" t="s">
        <v>1472</v>
      </c>
      <c r="B1" s="79" t="s">
        <v>322</v>
      </c>
      <c r="C1" s="79" t="s">
        <v>115</v>
      </c>
      <c r="D1" s="79" t="s">
        <v>113</v>
      </c>
      <c r="E1" s="79" t="s">
        <v>128</v>
      </c>
      <c r="F1" s="76" t="s">
        <v>1142</v>
      </c>
      <c r="G1" s="76" t="s">
        <v>1078</v>
      </c>
      <c r="H1" s="76" t="s">
        <v>1079</v>
      </c>
      <c r="I1" s="79" t="s">
        <v>114</v>
      </c>
    </row>
    <row r="2" spans="1:9" x14ac:dyDescent="0.2">
      <c r="A2" s="23" t="s">
        <v>53</v>
      </c>
      <c r="B2" s="4" t="s">
        <v>117</v>
      </c>
      <c r="C2" s="1" t="s">
        <v>116</v>
      </c>
      <c r="D2" s="1" t="s">
        <v>121</v>
      </c>
      <c r="E2" s="1">
        <v>0.33800000000000002</v>
      </c>
      <c r="F2" s="1" t="s">
        <v>1082</v>
      </c>
      <c r="G2" s="1" t="s">
        <v>1080</v>
      </c>
      <c r="H2" s="1" t="s">
        <v>1100</v>
      </c>
      <c r="I2" s="1" t="s">
        <v>77</v>
      </c>
    </row>
    <row r="3" spans="1:9" x14ac:dyDescent="0.2">
      <c r="A3" s="23" t="s">
        <v>49</v>
      </c>
      <c r="B3" s="4" t="s">
        <v>118</v>
      </c>
      <c r="C3" s="1" t="s">
        <v>116</v>
      </c>
      <c r="D3" s="1" t="s">
        <v>121</v>
      </c>
      <c r="E3" s="1">
        <v>0.77390000000000003</v>
      </c>
      <c r="F3" s="1" t="s">
        <v>1082</v>
      </c>
      <c r="G3" s="1" t="s">
        <v>1080</v>
      </c>
      <c r="H3" s="1" t="s">
        <v>1100</v>
      </c>
      <c r="I3" s="1" t="s">
        <v>77</v>
      </c>
    </row>
    <row r="4" spans="1:9" x14ac:dyDescent="0.2">
      <c r="A4" s="23" t="s">
        <v>50</v>
      </c>
      <c r="B4" s="4" t="s">
        <v>119</v>
      </c>
      <c r="C4" s="1" t="s">
        <v>116</v>
      </c>
      <c r="D4" s="1" t="s">
        <v>122</v>
      </c>
      <c r="E4" s="1">
        <v>0.98450000000000004</v>
      </c>
      <c r="F4" s="1" t="s">
        <v>1082</v>
      </c>
      <c r="G4" s="1" t="s">
        <v>1080</v>
      </c>
      <c r="H4" s="1" t="s">
        <v>1100</v>
      </c>
      <c r="I4" s="1" t="s">
        <v>77</v>
      </c>
    </row>
    <row r="5" spans="1:9" x14ac:dyDescent="0.2">
      <c r="A5" s="23" t="s">
        <v>47</v>
      </c>
      <c r="B5" s="4" t="s">
        <v>120</v>
      </c>
      <c r="C5" s="1" t="s">
        <v>51</v>
      </c>
      <c r="D5" s="1" t="s">
        <v>55</v>
      </c>
      <c r="E5" s="1">
        <v>0.65190000000000003</v>
      </c>
      <c r="F5" s="1" t="s">
        <v>1082</v>
      </c>
      <c r="G5" s="1" t="s">
        <v>1080</v>
      </c>
      <c r="H5" s="1" t="s">
        <v>1100</v>
      </c>
      <c r="I5" s="1" t="s">
        <v>77</v>
      </c>
    </row>
    <row r="6" spans="1:9" x14ac:dyDescent="0.2">
      <c r="A6" s="23" t="s">
        <v>48</v>
      </c>
      <c r="B6" s="4" t="s">
        <v>120</v>
      </c>
      <c r="C6" s="1" t="s">
        <v>51</v>
      </c>
      <c r="D6" s="1" t="s">
        <v>55</v>
      </c>
      <c r="E6" s="1">
        <v>0.44219999999999998</v>
      </c>
      <c r="F6" s="1" t="s">
        <v>1082</v>
      </c>
      <c r="G6" s="1" t="s">
        <v>1080</v>
      </c>
      <c r="H6" s="1" t="s">
        <v>1100</v>
      </c>
      <c r="I6" s="1" t="s">
        <v>77</v>
      </c>
    </row>
    <row r="7" spans="1:9" x14ac:dyDescent="0.2">
      <c r="A7" s="23" t="s">
        <v>78</v>
      </c>
      <c r="B7" s="4" t="s">
        <v>131</v>
      </c>
      <c r="C7" s="1" t="s">
        <v>137</v>
      </c>
      <c r="D7" s="1" t="s">
        <v>124</v>
      </c>
      <c r="E7" s="1">
        <v>0.5</v>
      </c>
      <c r="F7" s="1" t="s">
        <v>1086</v>
      </c>
      <c r="G7" s="1" t="s">
        <v>1080</v>
      </c>
      <c r="H7" s="1" t="s">
        <v>1083</v>
      </c>
      <c r="I7" s="18" t="s">
        <v>451</v>
      </c>
    </row>
    <row r="8" spans="1:9" x14ac:dyDescent="0.2">
      <c r="A8" s="23" t="s">
        <v>78</v>
      </c>
      <c r="B8" s="4" t="s">
        <v>1088</v>
      </c>
      <c r="C8" s="1" t="s">
        <v>137</v>
      </c>
      <c r="D8" s="1" t="s">
        <v>124</v>
      </c>
      <c r="E8" s="1">
        <v>0.1</v>
      </c>
      <c r="F8" s="1" t="s">
        <v>1086</v>
      </c>
      <c r="G8" s="1" t="s">
        <v>1080</v>
      </c>
      <c r="H8" s="1" t="s">
        <v>1087</v>
      </c>
      <c r="I8" s="1" t="s">
        <v>86</v>
      </c>
    </row>
    <row r="9" spans="1:9" x14ac:dyDescent="0.2">
      <c r="A9" s="23" t="s">
        <v>84</v>
      </c>
      <c r="B9" s="4" t="s">
        <v>133</v>
      </c>
      <c r="C9" s="1" t="s">
        <v>137</v>
      </c>
      <c r="D9" s="1" t="s">
        <v>125</v>
      </c>
      <c r="E9" s="1">
        <v>0.317</v>
      </c>
      <c r="F9" s="1" t="s">
        <v>1086</v>
      </c>
      <c r="G9" s="1" t="s">
        <v>1080</v>
      </c>
      <c r="H9" s="1" t="s">
        <v>1083</v>
      </c>
      <c r="I9" s="1" t="s">
        <v>85</v>
      </c>
    </row>
    <row r="10" spans="1:9" x14ac:dyDescent="0.2">
      <c r="A10" s="23" t="s">
        <v>126</v>
      </c>
      <c r="B10" s="4" t="s">
        <v>134</v>
      </c>
      <c r="C10" s="1" t="s">
        <v>137</v>
      </c>
      <c r="D10" s="1" t="s">
        <v>125</v>
      </c>
      <c r="E10" s="1">
        <v>0.153</v>
      </c>
      <c r="F10" s="1" t="s">
        <v>1086</v>
      </c>
      <c r="G10" s="1" t="s">
        <v>1080</v>
      </c>
      <c r="H10" s="1" t="s">
        <v>1083</v>
      </c>
      <c r="I10" s="1" t="s">
        <v>85</v>
      </c>
    </row>
    <row r="11" spans="1:9" x14ac:dyDescent="0.2">
      <c r="A11" s="23" t="s">
        <v>80</v>
      </c>
      <c r="B11" s="4" t="s">
        <v>1088</v>
      </c>
      <c r="C11" s="1" t="s">
        <v>137</v>
      </c>
      <c r="D11" s="1" t="s">
        <v>127</v>
      </c>
      <c r="E11" s="1">
        <v>0.1</v>
      </c>
      <c r="F11" s="1" t="s">
        <v>1086</v>
      </c>
      <c r="G11" s="1" t="s">
        <v>1080</v>
      </c>
      <c r="H11" s="1" t="s">
        <v>1087</v>
      </c>
      <c r="I11" s="1" t="s">
        <v>86</v>
      </c>
    </row>
    <row r="12" spans="1:9" x14ac:dyDescent="0.2">
      <c r="A12" s="23" t="s">
        <v>81</v>
      </c>
      <c r="B12" s="4" t="s">
        <v>1088</v>
      </c>
      <c r="C12" s="1" t="s">
        <v>137</v>
      </c>
      <c r="D12" s="1" t="s">
        <v>127</v>
      </c>
      <c r="E12" s="1">
        <v>0.1</v>
      </c>
      <c r="F12" s="1" t="s">
        <v>1086</v>
      </c>
      <c r="G12" s="1" t="s">
        <v>1080</v>
      </c>
      <c r="H12" s="1" t="s">
        <v>1087</v>
      </c>
      <c r="I12" s="1" t="s">
        <v>86</v>
      </c>
    </row>
    <row r="13" spans="1:9" x14ac:dyDescent="0.2">
      <c r="A13" s="23" t="s">
        <v>81</v>
      </c>
      <c r="B13" s="4" t="s">
        <v>129</v>
      </c>
      <c r="C13" s="1" t="s">
        <v>137</v>
      </c>
      <c r="D13" s="1" t="s">
        <v>127</v>
      </c>
      <c r="E13" s="1">
        <v>0.6</v>
      </c>
      <c r="F13" s="1" t="s">
        <v>1086</v>
      </c>
      <c r="G13" s="1" t="s">
        <v>1080</v>
      </c>
      <c r="H13" s="1" t="s">
        <v>1083</v>
      </c>
      <c r="I13" s="1" t="s">
        <v>451</v>
      </c>
    </row>
    <row r="14" spans="1:9" x14ac:dyDescent="0.2">
      <c r="A14" s="23" t="s">
        <v>82</v>
      </c>
      <c r="B14" s="4" t="s">
        <v>130</v>
      </c>
      <c r="C14" s="1" t="s">
        <v>137</v>
      </c>
      <c r="D14" s="1" t="s">
        <v>127</v>
      </c>
      <c r="E14" s="1">
        <v>0.5</v>
      </c>
      <c r="F14" s="1" t="s">
        <v>1086</v>
      </c>
      <c r="G14" s="1" t="s">
        <v>1080</v>
      </c>
      <c r="H14" s="1" t="s">
        <v>1083</v>
      </c>
      <c r="I14" s="1" t="s">
        <v>451</v>
      </c>
    </row>
    <row r="15" spans="1:9" x14ac:dyDescent="0.2">
      <c r="A15" s="23" t="s">
        <v>96</v>
      </c>
      <c r="B15" s="1" t="s">
        <v>1092</v>
      </c>
      <c r="C15" s="1" t="s">
        <v>123</v>
      </c>
      <c r="D15" s="1" t="s">
        <v>143</v>
      </c>
      <c r="E15" s="1">
        <v>0.2</v>
      </c>
      <c r="F15" s="1" t="s">
        <v>1086</v>
      </c>
      <c r="G15" s="1" t="s">
        <v>1080</v>
      </c>
      <c r="H15" s="1" t="s">
        <v>1083</v>
      </c>
      <c r="I15" s="1" t="s">
        <v>451</v>
      </c>
    </row>
    <row r="16" spans="1:9" x14ac:dyDescent="0.2">
      <c r="A16" s="23" t="s">
        <v>97</v>
      </c>
      <c r="B16" s="1" t="s">
        <v>407</v>
      </c>
      <c r="C16" s="1" t="s">
        <v>123</v>
      </c>
      <c r="D16" s="1" t="s">
        <v>143</v>
      </c>
      <c r="E16" s="1">
        <v>0.2</v>
      </c>
      <c r="F16" s="1" t="s">
        <v>1086</v>
      </c>
      <c r="G16" s="1" t="s">
        <v>1080</v>
      </c>
      <c r="H16" s="1" t="s">
        <v>1083</v>
      </c>
      <c r="I16" s="1" t="s">
        <v>451</v>
      </c>
    </row>
    <row r="17" spans="1:9" x14ac:dyDescent="0.2">
      <c r="A17" s="23" t="s">
        <v>98</v>
      </c>
      <c r="B17" s="1" t="s">
        <v>138</v>
      </c>
      <c r="C17" s="1" t="s">
        <v>123</v>
      </c>
      <c r="D17" s="1" t="s">
        <v>144</v>
      </c>
      <c r="E17" s="1">
        <v>0.2</v>
      </c>
      <c r="F17" s="1" t="s">
        <v>1086</v>
      </c>
      <c r="G17" s="1" t="s">
        <v>1080</v>
      </c>
      <c r="H17" s="1" t="s">
        <v>1083</v>
      </c>
      <c r="I17" s="18" t="s">
        <v>451</v>
      </c>
    </row>
    <row r="18" spans="1:9" x14ac:dyDescent="0.2">
      <c r="A18" s="23" t="s">
        <v>98</v>
      </c>
      <c r="B18" s="1" t="s">
        <v>1075</v>
      </c>
      <c r="C18" s="1" t="s">
        <v>123</v>
      </c>
      <c r="D18" s="1" t="s">
        <v>144</v>
      </c>
      <c r="E18" s="1">
        <v>0.8</v>
      </c>
      <c r="F18" s="1" t="s">
        <v>1086</v>
      </c>
      <c r="G18" s="1" t="s">
        <v>1080</v>
      </c>
      <c r="H18" s="1" t="s">
        <v>1100</v>
      </c>
      <c r="I18" s="1" t="s">
        <v>111</v>
      </c>
    </row>
    <row r="19" spans="1:9" x14ac:dyDescent="0.2">
      <c r="A19" s="23" t="s">
        <v>98</v>
      </c>
      <c r="B19" s="1" t="s">
        <v>1074</v>
      </c>
      <c r="C19" s="1" t="s">
        <v>123</v>
      </c>
      <c r="D19" s="1" t="s">
        <v>144</v>
      </c>
      <c r="E19" s="1">
        <v>1</v>
      </c>
      <c r="F19" s="1" t="s">
        <v>1086</v>
      </c>
      <c r="G19" s="1" t="s">
        <v>1080</v>
      </c>
      <c r="H19" s="1" t="s">
        <v>1100</v>
      </c>
      <c r="I19" s="1" t="s">
        <v>111</v>
      </c>
    </row>
    <row r="20" spans="1:9" x14ac:dyDescent="0.2">
      <c r="A20" s="23" t="s">
        <v>98</v>
      </c>
      <c r="B20" s="1" t="s">
        <v>138</v>
      </c>
      <c r="C20" s="1" t="s">
        <v>123</v>
      </c>
      <c r="D20" s="1" t="s">
        <v>144</v>
      </c>
      <c r="E20" s="1">
        <v>0.1268</v>
      </c>
      <c r="F20" s="1" t="s">
        <v>1086</v>
      </c>
      <c r="G20" s="1" t="s">
        <v>1080</v>
      </c>
      <c r="H20" s="1" t="s">
        <v>1090</v>
      </c>
      <c r="I20" s="1" t="s">
        <v>542</v>
      </c>
    </row>
    <row r="21" spans="1:9" x14ac:dyDescent="0.2">
      <c r="A21" s="23" t="s">
        <v>98</v>
      </c>
      <c r="B21" s="1" t="s">
        <v>139</v>
      </c>
      <c r="C21" s="1" t="s">
        <v>123</v>
      </c>
      <c r="D21" s="1" t="s">
        <v>144</v>
      </c>
      <c r="E21" s="1">
        <v>0.42499999999999999</v>
      </c>
      <c r="F21" s="1" t="s">
        <v>1086</v>
      </c>
      <c r="G21" s="1" t="s">
        <v>1084</v>
      </c>
      <c r="H21" s="1" t="s">
        <v>1085</v>
      </c>
      <c r="I21" s="1" t="s">
        <v>618</v>
      </c>
    </row>
    <row r="22" spans="1:9" x14ac:dyDescent="0.2">
      <c r="A22" s="23" t="s">
        <v>148</v>
      </c>
      <c r="B22" s="1" t="s">
        <v>147</v>
      </c>
      <c r="C22" s="1" t="s">
        <v>123</v>
      </c>
      <c r="D22" s="1" t="s">
        <v>144</v>
      </c>
      <c r="E22" s="1">
        <v>0.14000000000000001</v>
      </c>
      <c r="F22" s="1" t="s">
        <v>1086</v>
      </c>
      <c r="G22" s="1" t="s">
        <v>1080</v>
      </c>
      <c r="H22" s="1" t="s">
        <v>1093</v>
      </c>
      <c r="I22" s="1" t="s">
        <v>103</v>
      </c>
    </row>
    <row r="23" spans="1:9" x14ac:dyDescent="0.2">
      <c r="A23" s="23" t="s">
        <v>101</v>
      </c>
      <c r="B23" s="1" t="s">
        <v>1096</v>
      </c>
      <c r="C23" s="1" t="s">
        <v>123</v>
      </c>
      <c r="D23" s="1" t="s">
        <v>144</v>
      </c>
      <c r="E23" s="1">
        <v>0.126</v>
      </c>
      <c r="F23" s="1" t="s">
        <v>1086</v>
      </c>
      <c r="G23" s="1" t="s">
        <v>1080</v>
      </c>
      <c r="H23" s="1" t="s">
        <v>1093</v>
      </c>
      <c r="I23" s="1" t="s">
        <v>103</v>
      </c>
    </row>
    <row r="24" spans="1:9" x14ac:dyDescent="0.2">
      <c r="A24" s="23" t="s">
        <v>102</v>
      </c>
      <c r="B24" s="1" t="s">
        <v>1091</v>
      </c>
      <c r="C24" s="1" t="s">
        <v>123</v>
      </c>
      <c r="D24" s="1" t="s">
        <v>144</v>
      </c>
      <c r="E24" s="1">
        <v>0.2</v>
      </c>
      <c r="F24" s="1" t="s">
        <v>1086</v>
      </c>
      <c r="G24" s="1" t="s">
        <v>1080</v>
      </c>
      <c r="H24" s="1" t="s">
        <v>1083</v>
      </c>
      <c r="I24" s="1" t="s">
        <v>451</v>
      </c>
    </row>
    <row r="25" spans="1:9" x14ac:dyDescent="0.2">
      <c r="A25" s="23" t="s">
        <v>140</v>
      </c>
      <c r="B25" s="1" t="s">
        <v>141</v>
      </c>
      <c r="C25" s="1" t="s">
        <v>123</v>
      </c>
      <c r="D25" s="1" t="s">
        <v>144</v>
      </c>
      <c r="E25" s="1">
        <v>0.51</v>
      </c>
      <c r="F25" s="1" t="s">
        <v>1086</v>
      </c>
      <c r="G25" s="1" t="s">
        <v>1080</v>
      </c>
      <c r="H25" s="1" t="s">
        <v>1100</v>
      </c>
      <c r="I25" s="1" t="s">
        <v>111</v>
      </c>
    </row>
    <row r="26" spans="1:9" x14ac:dyDescent="0.2">
      <c r="A26" s="23" t="s">
        <v>140</v>
      </c>
      <c r="B26" s="1" t="s">
        <v>156</v>
      </c>
      <c r="C26" s="1" t="s">
        <v>123</v>
      </c>
      <c r="D26" s="1" t="s">
        <v>144</v>
      </c>
      <c r="E26" s="1">
        <v>0.53</v>
      </c>
      <c r="F26" s="1" t="s">
        <v>1086</v>
      </c>
      <c r="G26" s="1" t="s">
        <v>1080</v>
      </c>
      <c r="H26" s="1" t="s">
        <v>1100</v>
      </c>
      <c r="I26" s="1" t="s">
        <v>111</v>
      </c>
    </row>
    <row r="27" spans="1:9" s="3" customFormat="1" x14ac:dyDescent="0.2">
      <c r="A27" s="14" t="s">
        <v>105</v>
      </c>
      <c r="B27" s="5" t="s">
        <v>1001</v>
      </c>
      <c r="C27" s="1" t="s">
        <v>123</v>
      </c>
      <c r="D27" s="1" t="s">
        <v>144</v>
      </c>
      <c r="E27" s="5">
        <v>1.2999999999999999E-2</v>
      </c>
      <c r="F27" s="1" t="s">
        <v>1086</v>
      </c>
      <c r="G27" s="1" t="s">
        <v>1080</v>
      </c>
      <c r="H27" s="1" t="s">
        <v>1090</v>
      </c>
      <c r="I27" s="1" t="s">
        <v>106</v>
      </c>
    </row>
    <row r="28" spans="1:9" s="3" customFormat="1" x14ac:dyDescent="0.2">
      <c r="A28" s="14" t="s">
        <v>463</v>
      </c>
      <c r="B28" s="5" t="s">
        <v>1106</v>
      </c>
      <c r="C28" s="1" t="s">
        <v>123</v>
      </c>
      <c r="D28" s="1" t="s">
        <v>144</v>
      </c>
      <c r="E28" s="5">
        <v>0.25</v>
      </c>
      <c r="F28" s="1" t="s">
        <v>1086</v>
      </c>
      <c r="G28" s="1" t="s">
        <v>1084</v>
      </c>
      <c r="H28" s="1" t="s">
        <v>1085</v>
      </c>
      <c r="I28" s="1" t="s">
        <v>464</v>
      </c>
    </row>
    <row r="29" spans="1:9" s="3" customFormat="1" x14ac:dyDescent="0.2">
      <c r="A29" s="14" t="s">
        <v>543</v>
      </c>
      <c r="B29" s="5" t="s">
        <v>1088</v>
      </c>
      <c r="C29" s="1" t="s">
        <v>123</v>
      </c>
      <c r="D29" s="1" t="s">
        <v>144</v>
      </c>
      <c r="E29" s="5">
        <v>0.14610000000000001</v>
      </c>
      <c r="F29" s="1" t="s">
        <v>1086</v>
      </c>
      <c r="G29" s="5" t="s">
        <v>1080</v>
      </c>
      <c r="H29" s="1" t="s">
        <v>1090</v>
      </c>
      <c r="I29" s="1" t="s">
        <v>542</v>
      </c>
    </row>
    <row r="30" spans="1:9" s="3" customFormat="1" x14ac:dyDescent="0.2">
      <c r="A30" s="14" t="s">
        <v>544</v>
      </c>
      <c r="B30" s="5" t="s">
        <v>1088</v>
      </c>
      <c r="C30" s="1" t="s">
        <v>123</v>
      </c>
      <c r="D30" s="1" t="s">
        <v>144</v>
      </c>
      <c r="E30" s="5">
        <v>0.1671</v>
      </c>
      <c r="F30" s="1" t="s">
        <v>1086</v>
      </c>
      <c r="G30" s="5" t="s">
        <v>1080</v>
      </c>
      <c r="H30" s="1" t="s">
        <v>1090</v>
      </c>
      <c r="I30" s="1" t="s">
        <v>542</v>
      </c>
    </row>
    <row r="31" spans="1:9" s="3" customFormat="1" x14ac:dyDescent="0.2">
      <c r="A31" s="14" t="s">
        <v>545</v>
      </c>
      <c r="B31" s="5" t="s">
        <v>1088</v>
      </c>
      <c r="C31" s="1" t="s">
        <v>123</v>
      </c>
      <c r="D31" s="1" t="s">
        <v>144</v>
      </c>
      <c r="E31" s="5">
        <v>0.1067</v>
      </c>
      <c r="F31" s="1" t="s">
        <v>1086</v>
      </c>
      <c r="G31" s="5" t="s">
        <v>1080</v>
      </c>
      <c r="H31" s="1" t="s">
        <v>1090</v>
      </c>
      <c r="I31" s="1" t="s">
        <v>542</v>
      </c>
    </row>
    <row r="32" spans="1:9" x14ac:dyDescent="0.2">
      <c r="A32" s="23" t="s">
        <v>109</v>
      </c>
      <c r="B32" s="1" t="s">
        <v>1105</v>
      </c>
      <c r="C32" s="1" t="s">
        <v>123</v>
      </c>
      <c r="D32" s="1" t="s">
        <v>142</v>
      </c>
      <c r="E32" s="1">
        <v>0.19980000000000001</v>
      </c>
      <c r="F32" s="1" t="s">
        <v>1086</v>
      </c>
      <c r="G32" s="1" t="s">
        <v>1084</v>
      </c>
      <c r="H32" s="1" t="s">
        <v>1085</v>
      </c>
      <c r="I32" s="1" t="s">
        <v>110</v>
      </c>
    </row>
    <row r="33" spans="1:9" x14ac:dyDescent="0.2">
      <c r="A33" s="23" t="s">
        <v>104</v>
      </c>
      <c r="B33" s="1" t="s">
        <v>1000</v>
      </c>
      <c r="C33" s="1" t="s">
        <v>123</v>
      </c>
      <c r="D33" s="1" t="s">
        <v>145</v>
      </c>
      <c r="E33" s="1">
        <v>4.9299999999999997E-2</v>
      </c>
      <c r="F33" s="1" t="s">
        <v>1086</v>
      </c>
      <c r="G33" s="1" t="s">
        <v>1080</v>
      </c>
      <c r="H33" s="1" t="s">
        <v>1090</v>
      </c>
      <c r="I33" s="1" t="s">
        <v>106</v>
      </c>
    </row>
    <row r="34" spans="1:9" x14ac:dyDescent="0.2">
      <c r="A34" s="23" t="s">
        <v>159</v>
      </c>
      <c r="B34" s="1" t="s">
        <v>998</v>
      </c>
      <c r="C34" s="1" t="s">
        <v>158</v>
      </c>
      <c r="D34" s="1" t="s">
        <v>160</v>
      </c>
      <c r="E34" s="1">
        <v>0.26500000000000001</v>
      </c>
      <c r="F34" s="1" t="s">
        <v>1086</v>
      </c>
      <c r="G34" s="1" t="s">
        <v>1080</v>
      </c>
      <c r="H34" s="1" t="s">
        <v>1081</v>
      </c>
      <c r="I34" s="1" t="s">
        <v>451</v>
      </c>
    </row>
    <row r="35" spans="1:9" x14ac:dyDescent="0.2">
      <c r="A35" s="23" t="s">
        <v>164</v>
      </c>
      <c r="B35" s="1" t="s">
        <v>1003</v>
      </c>
      <c r="C35" s="1" t="s">
        <v>158</v>
      </c>
      <c r="D35" s="1" t="s">
        <v>160</v>
      </c>
      <c r="E35" s="1">
        <v>9.1999999999999998E-2</v>
      </c>
      <c r="F35" s="1" t="s">
        <v>1086</v>
      </c>
      <c r="G35" s="1" t="s">
        <v>1080</v>
      </c>
      <c r="H35" s="1" t="s">
        <v>1083</v>
      </c>
      <c r="I35" s="1" t="s">
        <v>541</v>
      </c>
    </row>
    <row r="36" spans="1:9" x14ac:dyDescent="0.2">
      <c r="A36" s="23" t="s">
        <v>165</v>
      </c>
      <c r="B36" s="1" t="s">
        <v>1002</v>
      </c>
      <c r="C36" s="1" t="s">
        <v>158</v>
      </c>
      <c r="D36" s="1" t="s">
        <v>160</v>
      </c>
      <c r="E36" s="1">
        <v>0.11</v>
      </c>
      <c r="F36" s="1" t="s">
        <v>1086</v>
      </c>
      <c r="G36" s="1" t="s">
        <v>1080</v>
      </c>
      <c r="H36" s="1" t="s">
        <v>1083</v>
      </c>
      <c r="I36" s="1" t="s">
        <v>541</v>
      </c>
    </row>
    <row r="37" spans="1:9" x14ac:dyDescent="0.2">
      <c r="A37" s="23" t="s">
        <v>166</v>
      </c>
      <c r="B37" s="1" t="s">
        <v>1002</v>
      </c>
      <c r="C37" s="1" t="s">
        <v>158</v>
      </c>
      <c r="D37" s="1" t="s">
        <v>160</v>
      </c>
      <c r="E37" s="1">
        <v>0.21099999999999999</v>
      </c>
      <c r="F37" s="1" t="s">
        <v>1086</v>
      </c>
      <c r="G37" s="1" t="s">
        <v>1080</v>
      </c>
      <c r="H37" s="1" t="s">
        <v>1083</v>
      </c>
      <c r="I37" s="1" t="s">
        <v>541</v>
      </c>
    </row>
    <row r="38" spans="1:9" x14ac:dyDescent="0.2">
      <c r="A38" s="23" t="s">
        <v>169</v>
      </c>
      <c r="B38" s="1" t="s">
        <v>170</v>
      </c>
      <c r="C38" s="1" t="s">
        <v>1227</v>
      </c>
      <c r="D38" s="1" t="s">
        <v>55</v>
      </c>
      <c r="E38" s="1">
        <v>0.96299999999999997</v>
      </c>
      <c r="F38" s="1" t="s">
        <v>1086</v>
      </c>
      <c r="G38" s="1" t="s">
        <v>1080</v>
      </c>
      <c r="H38" s="1" t="s">
        <v>1081</v>
      </c>
      <c r="I38" s="1" t="s">
        <v>1228</v>
      </c>
    </row>
    <row r="39" spans="1:9" x14ac:dyDescent="0.2">
      <c r="A39" s="23" t="s">
        <v>171</v>
      </c>
      <c r="B39" s="1" t="s">
        <v>172</v>
      </c>
      <c r="C39" s="1" t="s">
        <v>1227</v>
      </c>
      <c r="D39" s="1" t="s">
        <v>55</v>
      </c>
      <c r="E39" s="1">
        <v>0.433</v>
      </c>
      <c r="F39" s="1" t="s">
        <v>1086</v>
      </c>
      <c r="G39" s="1" t="s">
        <v>1080</v>
      </c>
      <c r="H39" s="1" t="s">
        <v>1081</v>
      </c>
      <c r="I39" s="1" t="s">
        <v>1228</v>
      </c>
    </row>
    <row r="40" spans="1:9" x14ac:dyDescent="0.2">
      <c r="A40" s="23" t="s">
        <v>173</v>
      </c>
      <c r="B40" s="1" t="s">
        <v>174</v>
      </c>
      <c r="C40" s="1" t="s">
        <v>1227</v>
      </c>
      <c r="D40" s="1" t="s">
        <v>55</v>
      </c>
      <c r="E40" s="1">
        <v>0.41599999999999998</v>
      </c>
      <c r="F40" s="1" t="s">
        <v>1086</v>
      </c>
      <c r="G40" s="1" t="s">
        <v>1080</v>
      </c>
      <c r="H40" s="1" t="s">
        <v>1081</v>
      </c>
      <c r="I40" s="1" t="s">
        <v>1228</v>
      </c>
    </row>
    <row r="41" spans="1:9" x14ac:dyDescent="0.2">
      <c r="A41" s="23" t="s">
        <v>175</v>
      </c>
      <c r="B41" s="1" t="s">
        <v>176</v>
      </c>
      <c r="C41" s="1" t="s">
        <v>1227</v>
      </c>
      <c r="D41" s="1" t="s">
        <v>55</v>
      </c>
      <c r="E41" s="1">
        <v>0.40300000000000002</v>
      </c>
      <c r="F41" s="1" t="s">
        <v>1086</v>
      </c>
      <c r="G41" s="1" t="s">
        <v>1080</v>
      </c>
      <c r="H41" s="1" t="s">
        <v>1081</v>
      </c>
      <c r="I41" s="1" t="s">
        <v>1228</v>
      </c>
    </row>
    <row r="42" spans="1:9" x14ac:dyDescent="0.2">
      <c r="A42" s="23" t="s">
        <v>177</v>
      </c>
      <c r="B42" s="1" t="s">
        <v>178</v>
      </c>
      <c r="C42" s="1" t="s">
        <v>1227</v>
      </c>
      <c r="D42" s="1" t="s">
        <v>55</v>
      </c>
      <c r="E42" s="1">
        <v>0.39800000000000002</v>
      </c>
      <c r="F42" s="1" t="s">
        <v>1086</v>
      </c>
      <c r="G42" s="1" t="s">
        <v>1080</v>
      </c>
      <c r="H42" s="1" t="s">
        <v>1081</v>
      </c>
      <c r="I42" s="1" t="s">
        <v>1228</v>
      </c>
    </row>
    <row r="43" spans="1:9" x14ac:dyDescent="0.2">
      <c r="A43" s="23" t="s">
        <v>449</v>
      </c>
      <c r="B43" s="1" t="s">
        <v>999</v>
      </c>
      <c r="C43" s="1" t="s">
        <v>1227</v>
      </c>
      <c r="D43" s="1" t="s">
        <v>55</v>
      </c>
      <c r="E43" s="1">
        <v>0.40400000000000003</v>
      </c>
      <c r="F43" s="1" t="s">
        <v>1086</v>
      </c>
      <c r="G43" s="1" t="s">
        <v>1080</v>
      </c>
      <c r="H43" s="1" t="s">
        <v>1093</v>
      </c>
      <c r="I43" s="1" t="s">
        <v>450</v>
      </c>
    </row>
    <row r="44" spans="1:9" x14ac:dyDescent="0.2">
      <c r="A44" s="23" t="s">
        <v>179</v>
      </c>
      <c r="B44" s="1" t="s">
        <v>180</v>
      </c>
      <c r="C44" s="1" t="s">
        <v>181</v>
      </c>
      <c r="D44" s="1" t="s">
        <v>182</v>
      </c>
      <c r="E44" s="1">
        <v>0.4</v>
      </c>
      <c r="F44" s="1" t="s">
        <v>1086</v>
      </c>
      <c r="G44" s="1" t="s">
        <v>1080</v>
      </c>
      <c r="H44" s="1" t="s">
        <v>1081</v>
      </c>
      <c r="I44" s="1" t="s">
        <v>1228</v>
      </c>
    </row>
    <row r="45" spans="1:9" x14ac:dyDescent="0.2">
      <c r="A45" s="23" t="s">
        <v>183</v>
      </c>
      <c r="B45" s="1" t="s">
        <v>184</v>
      </c>
      <c r="C45" s="1" t="s">
        <v>181</v>
      </c>
      <c r="D45" s="1" t="s">
        <v>182</v>
      </c>
      <c r="E45" s="1">
        <v>0.434</v>
      </c>
      <c r="F45" s="1" t="s">
        <v>1086</v>
      </c>
      <c r="G45" s="1" t="s">
        <v>1080</v>
      </c>
      <c r="H45" s="1" t="s">
        <v>1081</v>
      </c>
      <c r="I45" s="1" t="s">
        <v>1228</v>
      </c>
    </row>
    <row r="46" spans="1:9" x14ac:dyDescent="0.2">
      <c r="A46" s="23" t="s">
        <v>185</v>
      </c>
      <c r="B46" s="1" t="s">
        <v>186</v>
      </c>
      <c r="C46" s="1" t="s">
        <v>181</v>
      </c>
      <c r="D46" s="1" t="s">
        <v>182</v>
      </c>
      <c r="E46" s="1">
        <v>0.435</v>
      </c>
      <c r="F46" s="1" t="s">
        <v>1086</v>
      </c>
      <c r="G46" s="1" t="s">
        <v>1080</v>
      </c>
      <c r="H46" s="1" t="s">
        <v>1081</v>
      </c>
      <c r="I46" s="1" t="s">
        <v>1228</v>
      </c>
    </row>
    <row r="47" spans="1:9" x14ac:dyDescent="0.2">
      <c r="A47" s="23" t="s">
        <v>187</v>
      </c>
      <c r="B47" s="1" t="s">
        <v>1088</v>
      </c>
      <c r="C47" s="1" t="s">
        <v>181</v>
      </c>
      <c r="D47" s="1" t="s">
        <v>182</v>
      </c>
      <c r="E47" s="1">
        <v>0.18440000000000001</v>
      </c>
      <c r="F47" s="1" t="s">
        <v>1086</v>
      </c>
      <c r="G47" s="1" t="s">
        <v>1080</v>
      </c>
      <c r="H47" s="1" t="s">
        <v>1081</v>
      </c>
      <c r="I47" s="1" t="s">
        <v>1228</v>
      </c>
    </row>
    <row r="48" spans="1:9" x14ac:dyDescent="0.2">
      <c r="A48" s="23" t="s">
        <v>188</v>
      </c>
      <c r="B48" s="1" t="s">
        <v>189</v>
      </c>
      <c r="C48" s="1" t="s">
        <v>181</v>
      </c>
      <c r="D48" s="1" t="s">
        <v>182</v>
      </c>
      <c r="E48" s="1">
        <v>0.44400000000000001</v>
      </c>
      <c r="F48" s="1" t="s">
        <v>1086</v>
      </c>
      <c r="G48" s="1" t="s">
        <v>1080</v>
      </c>
      <c r="H48" s="1" t="s">
        <v>1081</v>
      </c>
      <c r="I48" s="1" t="s">
        <v>1228</v>
      </c>
    </row>
    <row r="49" spans="1:9" x14ac:dyDescent="0.2">
      <c r="A49" s="23" t="s">
        <v>206</v>
      </c>
      <c r="B49" s="1" t="s">
        <v>1088</v>
      </c>
      <c r="C49" s="1" t="s">
        <v>181</v>
      </c>
      <c r="D49" s="1" t="s">
        <v>182</v>
      </c>
      <c r="E49" s="1" t="s">
        <v>1088</v>
      </c>
      <c r="F49" s="1" t="s">
        <v>1086</v>
      </c>
      <c r="G49" s="1" t="s">
        <v>1080</v>
      </c>
      <c r="H49" s="1" t="s">
        <v>1081</v>
      </c>
      <c r="I49" s="1" t="s">
        <v>1228</v>
      </c>
    </row>
    <row r="50" spans="1:9" x14ac:dyDescent="0.2">
      <c r="A50" s="23" t="s">
        <v>193</v>
      </c>
      <c r="B50" s="1" t="s">
        <v>190</v>
      </c>
      <c r="C50" s="1" t="s">
        <v>191</v>
      </c>
      <c r="D50" s="1" t="s">
        <v>192</v>
      </c>
      <c r="E50" s="1">
        <v>0.38900000000000001</v>
      </c>
      <c r="F50" s="1" t="s">
        <v>1086</v>
      </c>
      <c r="G50" s="1" t="s">
        <v>1080</v>
      </c>
      <c r="H50" s="1" t="s">
        <v>1081</v>
      </c>
      <c r="I50" s="1" t="s">
        <v>1228</v>
      </c>
    </row>
    <row r="51" spans="1:9" x14ac:dyDescent="0.2">
      <c r="A51" s="23" t="s">
        <v>194</v>
      </c>
      <c r="B51" s="1" t="s">
        <v>195</v>
      </c>
      <c r="C51" s="1" t="s">
        <v>191</v>
      </c>
      <c r="D51" s="1" t="s">
        <v>192</v>
      </c>
      <c r="E51" s="1">
        <v>0.57679999999999998</v>
      </c>
      <c r="F51" s="1" t="s">
        <v>1086</v>
      </c>
      <c r="G51" s="1" t="s">
        <v>1080</v>
      </c>
      <c r="H51" s="1" t="s">
        <v>1081</v>
      </c>
      <c r="I51" s="1" t="s">
        <v>1228</v>
      </c>
    </row>
    <row r="52" spans="1:9" x14ac:dyDescent="0.2">
      <c r="A52" s="23" t="s">
        <v>196</v>
      </c>
      <c r="B52" s="1" t="s">
        <v>197</v>
      </c>
      <c r="C52" s="1" t="s">
        <v>191</v>
      </c>
      <c r="D52" s="1" t="s">
        <v>192</v>
      </c>
      <c r="E52" s="1">
        <v>0.42499999999999999</v>
      </c>
      <c r="F52" s="1" t="s">
        <v>1086</v>
      </c>
      <c r="G52" s="1" t="s">
        <v>1080</v>
      </c>
      <c r="H52" s="1" t="s">
        <v>1081</v>
      </c>
      <c r="I52" s="1" t="s">
        <v>1228</v>
      </c>
    </row>
    <row r="53" spans="1:9" x14ac:dyDescent="0.2">
      <c r="A53" s="23" t="s">
        <v>291</v>
      </c>
      <c r="B53" s="1" t="s">
        <v>1003</v>
      </c>
      <c r="C53" s="1" t="s">
        <v>191</v>
      </c>
      <c r="D53" s="1" t="s">
        <v>192</v>
      </c>
      <c r="E53" s="1">
        <v>2.0036</v>
      </c>
      <c r="F53" s="1" t="s">
        <v>1086</v>
      </c>
      <c r="G53" s="1" t="s">
        <v>1098</v>
      </c>
      <c r="H53" s="1" t="s">
        <v>1097</v>
      </c>
      <c r="I53" s="1" t="s">
        <v>529</v>
      </c>
    </row>
    <row r="54" spans="1:9" x14ac:dyDescent="0.2">
      <c r="A54" s="23" t="s">
        <v>292</v>
      </c>
      <c r="B54" s="1" t="s">
        <v>1003</v>
      </c>
      <c r="C54" s="1" t="s">
        <v>191</v>
      </c>
      <c r="D54" s="1" t="s">
        <v>294</v>
      </c>
      <c r="E54" s="1">
        <v>1.5036</v>
      </c>
      <c r="F54" s="1" t="s">
        <v>1086</v>
      </c>
      <c r="G54" s="1" t="s">
        <v>1098</v>
      </c>
      <c r="H54" s="1" t="s">
        <v>1097</v>
      </c>
      <c r="I54" s="1" t="s">
        <v>529</v>
      </c>
    </row>
    <row r="55" spans="1:9" x14ac:dyDescent="0.2">
      <c r="A55" s="23" t="s">
        <v>212</v>
      </c>
      <c r="B55" s="1" t="s">
        <v>221</v>
      </c>
      <c r="C55" s="1" t="s">
        <v>213</v>
      </c>
      <c r="D55" s="1" t="s">
        <v>214</v>
      </c>
      <c r="E55" s="1">
        <v>0.1205</v>
      </c>
      <c r="F55" s="1" t="s">
        <v>1086</v>
      </c>
      <c r="G55" s="1" t="s">
        <v>1098</v>
      </c>
      <c r="H55" s="1" t="s">
        <v>1097</v>
      </c>
      <c r="I55" s="1" t="s">
        <v>1229</v>
      </c>
    </row>
    <row r="56" spans="1:9" x14ac:dyDescent="0.2">
      <c r="A56" s="23" t="s">
        <v>215</v>
      </c>
      <c r="B56" s="1" t="s">
        <v>222</v>
      </c>
      <c r="C56" s="1" t="s">
        <v>213</v>
      </c>
      <c r="D56" s="1" t="s">
        <v>214</v>
      </c>
      <c r="E56" s="1">
        <v>0.47710000000000002</v>
      </c>
      <c r="F56" s="1" t="s">
        <v>1086</v>
      </c>
      <c r="G56" s="1" t="s">
        <v>1098</v>
      </c>
      <c r="H56" s="1" t="s">
        <v>1097</v>
      </c>
      <c r="I56" s="1" t="s">
        <v>1229</v>
      </c>
    </row>
    <row r="57" spans="1:9" x14ac:dyDescent="0.2">
      <c r="A57" s="23" t="s">
        <v>216</v>
      </c>
      <c r="B57" s="1" t="s">
        <v>223</v>
      </c>
      <c r="C57" s="1" t="s">
        <v>213</v>
      </c>
      <c r="D57" s="1" t="s">
        <v>214</v>
      </c>
      <c r="E57" s="1">
        <v>0.3402</v>
      </c>
      <c r="F57" s="1" t="s">
        <v>1086</v>
      </c>
      <c r="G57" s="1" t="s">
        <v>1098</v>
      </c>
      <c r="H57" s="1" t="s">
        <v>1097</v>
      </c>
      <c r="I57" s="1" t="s">
        <v>1229</v>
      </c>
    </row>
    <row r="58" spans="1:9" x14ac:dyDescent="0.2">
      <c r="A58" s="23" t="s">
        <v>217</v>
      </c>
      <c r="B58" s="1" t="s">
        <v>224</v>
      </c>
      <c r="C58" s="1" t="s">
        <v>220</v>
      </c>
      <c r="D58" s="1" t="s">
        <v>227</v>
      </c>
      <c r="E58" s="1">
        <v>0.52839999999999998</v>
      </c>
      <c r="F58" s="1" t="s">
        <v>1086</v>
      </c>
      <c r="G58" s="1" t="s">
        <v>1098</v>
      </c>
      <c r="H58" s="1" t="s">
        <v>1097</v>
      </c>
      <c r="I58" s="1" t="s">
        <v>1229</v>
      </c>
    </row>
    <row r="59" spans="1:9" x14ac:dyDescent="0.2">
      <c r="A59" s="23" t="s">
        <v>218</v>
      </c>
      <c r="B59" s="1" t="s">
        <v>225</v>
      </c>
      <c r="C59" s="1" t="s">
        <v>220</v>
      </c>
      <c r="D59" s="1" t="s">
        <v>55</v>
      </c>
      <c r="E59" s="1">
        <v>0.32550000000000001</v>
      </c>
      <c r="F59" s="1" t="s">
        <v>1086</v>
      </c>
      <c r="G59" s="1" t="s">
        <v>1098</v>
      </c>
      <c r="H59" s="1" t="s">
        <v>1097</v>
      </c>
      <c r="I59" s="1" t="s">
        <v>1229</v>
      </c>
    </row>
    <row r="60" spans="1:9" x14ac:dyDescent="0.2">
      <c r="A60" s="23" t="s">
        <v>219</v>
      </c>
      <c r="B60" s="1" t="s">
        <v>226</v>
      </c>
      <c r="C60" s="1" t="s">
        <v>220</v>
      </c>
      <c r="D60" s="1" t="s">
        <v>55</v>
      </c>
      <c r="E60" s="1">
        <v>0.63109999999999999</v>
      </c>
      <c r="F60" s="1" t="s">
        <v>1086</v>
      </c>
      <c r="G60" s="1" t="s">
        <v>1098</v>
      </c>
      <c r="H60" s="1" t="s">
        <v>1097</v>
      </c>
      <c r="I60" s="1" t="s">
        <v>1229</v>
      </c>
    </row>
    <row r="61" spans="1:9" x14ac:dyDescent="0.2">
      <c r="A61" s="23" t="s">
        <v>252</v>
      </c>
      <c r="B61" s="1" t="s">
        <v>1088</v>
      </c>
      <c r="C61" s="1" t="s">
        <v>253</v>
      </c>
      <c r="D61" s="1" t="s">
        <v>254</v>
      </c>
      <c r="E61" s="1">
        <v>0.26800000000000002</v>
      </c>
      <c r="F61" s="1" t="s">
        <v>1086</v>
      </c>
      <c r="G61" s="1" t="s">
        <v>1080</v>
      </c>
      <c r="H61" s="1" t="s">
        <v>1083</v>
      </c>
      <c r="I61" s="1" t="s">
        <v>207</v>
      </c>
    </row>
    <row r="62" spans="1:9" x14ac:dyDescent="0.2">
      <c r="A62" s="23" t="s">
        <v>260</v>
      </c>
      <c r="B62" s="1" t="s">
        <v>261</v>
      </c>
      <c r="C62" s="1" t="s">
        <v>253</v>
      </c>
      <c r="D62" s="1" t="s">
        <v>254</v>
      </c>
      <c r="E62" s="1">
        <v>0.45600000000000002</v>
      </c>
      <c r="F62" s="1" t="s">
        <v>1086</v>
      </c>
      <c r="G62" s="1" t="s">
        <v>1080</v>
      </c>
      <c r="H62" s="1" t="s">
        <v>1083</v>
      </c>
      <c r="I62" s="1" t="s">
        <v>207</v>
      </c>
    </row>
    <row r="63" spans="1:9" x14ac:dyDescent="0.2">
      <c r="A63" s="23" t="s">
        <v>255</v>
      </c>
      <c r="B63" s="1" t="s">
        <v>256</v>
      </c>
      <c r="C63" s="1" t="s">
        <v>253</v>
      </c>
      <c r="D63" s="1" t="s">
        <v>257</v>
      </c>
      <c r="E63" s="1">
        <v>0.42699999999999999</v>
      </c>
      <c r="F63" s="1" t="s">
        <v>1086</v>
      </c>
      <c r="G63" s="1" t="s">
        <v>1080</v>
      </c>
      <c r="H63" s="1" t="s">
        <v>1083</v>
      </c>
      <c r="I63" s="1" t="s">
        <v>207</v>
      </c>
    </row>
    <row r="64" spans="1:9" x14ac:dyDescent="0.2">
      <c r="A64" s="23" t="s">
        <v>258</v>
      </c>
      <c r="B64" s="1" t="s">
        <v>259</v>
      </c>
      <c r="C64" s="1" t="s">
        <v>253</v>
      </c>
      <c r="D64" s="1" t="s">
        <v>257</v>
      </c>
      <c r="E64" s="1">
        <v>0.42599999999999999</v>
      </c>
      <c r="F64" s="1" t="s">
        <v>1086</v>
      </c>
      <c r="G64" s="1" t="s">
        <v>1080</v>
      </c>
      <c r="H64" s="1" t="s">
        <v>1083</v>
      </c>
      <c r="I64" s="1" t="s">
        <v>207</v>
      </c>
    </row>
    <row r="65" spans="1:9" x14ac:dyDescent="0.2">
      <c r="A65" s="23" t="s">
        <v>262</v>
      </c>
      <c r="B65" s="1" t="s">
        <v>263</v>
      </c>
      <c r="C65" s="1" t="s">
        <v>253</v>
      </c>
      <c r="D65" s="1" t="s">
        <v>264</v>
      </c>
      <c r="E65" s="1">
        <v>0.42</v>
      </c>
      <c r="F65" s="1" t="s">
        <v>1086</v>
      </c>
      <c r="G65" s="1" t="s">
        <v>1080</v>
      </c>
      <c r="H65" s="1" t="s">
        <v>1083</v>
      </c>
      <c r="I65" s="1" t="s">
        <v>207</v>
      </c>
    </row>
    <row r="66" spans="1:9" x14ac:dyDescent="0.2">
      <c r="A66" s="23" t="s">
        <v>265</v>
      </c>
      <c r="B66" s="1" t="s">
        <v>266</v>
      </c>
      <c r="C66" s="1" t="s">
        <v>253</v>
      </c>
      <c r="D66" s="1" t="s">
        <v>267</v>
      </c>
      <c r="E66" s="1">
        <v>0.46600000000000003</v>
      </c>
      <c r="F66" s="1" t="s">
        <v>1086</v>
      </c>
      <c r="G66" s="1" t="s">
        <v>1080</v>
      </c>
      <c r="H66" s="1" t="s">
        <v>1083</v>
      </c>
      <c r="I66" s="1" t="s">
        <v>207</v>
      </c>
    </row>
    <row r="67" spans="1:9" x14ac:dyDescent="0.2">
      <c r="A67" s="23" t="s">
        <v>268</v>
      </c>
      <c r="B67" s="1" t="s">
        <v>269</v>
      </c>
      <c r="C67" s="1" t="s">
        <v>253</v>
      </c>
      <c r="D67" s="1" t="s">
        <v>267</v>
      </c>
      <c r="E67" s="1">
        <v>0.46500000000000002</v>
      </c>
      <c r="F67" s="1" t="s">
        <v>1086</v>
      </c>
      <c r="G67" s="1" t="s">
        <v>1080</v>
      </c>
      <c r="H67" s="1" t="s">
        <v>1083</v>
      </c>
      <c r="I67" s="1" t="s">
        <v>207</v>
      </c>
    </row>
    <row r="68" spans="1:9" x14ac:dyDescent="0.2">
      <c r="A68" s="23" t="s">
        <v>284</v>
      </c>
      <c r="B68" s="1" t="s">
        <v>1088</v>
      </c>
      <c r="C68" s="1" t="s">
        <v>288</v>
      </c>
      <c r="D68" s="1" t="s">
        <v>289</v>
      </c>
      <c r="E68" s="1">
        <v>2</v>
      </c>
      <c r="F68" s="1" t="s">
        <v>1086</v>
      </c>
      <c r="G68" s="1" t="s">
        <v>1080</v>
      </c>
      <c r="H68" s="1" t="s">
        <v>1083</v>
      </c>
      <c r="I68" s="1" t="s">
        <v>287</v>
      </c>
    </row>
    <row r="69" spans="1:9" x14ac:dyDescent="0.2">
      <c r="A69" s="23" t="s">
        <v>285</v>
      </c>
      <c r="B69" s="1" t="s">
        <v>1088</v>
      </c>
      <c r="C69" s="1" t="s">
        <v>288</v>
      </c>
      <c r="D69" s="1" t="s">
        <v>289</v>
      </c>
      <c r="E69" s="1">
        <v>2.2000000000000002</v>
      </c>
      <c r="F69" s="1" t="s">
        <v>1086</v>
      </c>
      <c r="G69" s="1" t="s">
        <v>1080</v>
      </c>
      <c r="H69" s="1" t="s">
        <v>1083</v>
      </c>
      <c r="I69" s="1" t="s">
        <v>287</v>
      </c>
    </row>
    <row r="70" spans="1:9" x14ac:dyDescent="0.2">
      <c r="A70" s="23" t="s">
        <v>286</v>
      </c>
      <c r="B70" s="1" t="s">
        <v>1088</v>
      </c>
      <c r="C70" s="1" t="s">
        <v>288</v>
      </c>
      <c r="D70" s="1" t="s">
        <v>289</v>
      </c>
      <c r="E70" s="1">
        <v>2.5</v>
      </c>
      <c r="F70" s="1" t="s">
        <v>1086</v>
      </c>
      <c r="G70" s="1" t="s">
        <v>1080</v>
      </c>
      <c r="H70" s="1" t="s">
        <v>1083</v>
      </c>
      <c r="I70" s="1" t="s">
        <v>287</v>
      </c>
    </row>
    <row r="71" spans="1:9" x14ac:dyDescent="0.2">
      <c r="A71" s="23" t="s">
        <v>296</v>
      </c>
      <c r="B71" s="1" t="s">
        <v>1003</v>
      </c>
      <c r="C71" s="1" t="s">
        <v>298</v>
      </c>
      <c r="D71" s="1" t="s">
        <v>300</v>
      </c>
      <c r="E71" s="1">
        <v>1.002</v>
      </c>
      <c r="F71" s="1" t="s">
        <v>1086</v>
      </c>
      <c r="G71" s="1" t="s">
        <v>1098</v>
      </c>
      <c r="H71" s="1" t="s">
        <v>1097</v>
      </c>
      <c r="I71" s="1" t="s">
        <v>529</v>
      </c>
    </row>
    <row r="72" spans="1:9" x14ac:dyDescent="0.2">
      <c r="A72" s="23" t="s">
        <v>297</v>
      </c>
      <c r="B72" s="1" t="s">
        <v>1003</v>
      </c>
      <c r="C72" s="1" t="s">
        <v>298</v>
      </c>
      <c r="D72" s="1" t="s">
        <v>299</v>
      </c>
      <c r="E72" s="1">
        <v>0.50049999999999994</v>
      </c>
      <c r="F72" s="1" t="s">
        <v>1086</v>
      </c>
      <c r="G72" s="1" t="s">
        <v>1098</v>
      </c>
      <c r="H72" s="1" t="s">
        <v>1097</v>
      </c>
      <c r="I72" s="1" t="s">
        <v>529</v>
      </c>
    </row>
    <row r="73" spans="1:9" x14ac:dyDescent="0.2">
      <c r="A73" s="23" t="s">
        <v>398</v>
      </c>
      <c r="B73" s="1" t="s">
        <v>405</v>
      </c>
      <c r="C73" s="1" t="s">
        <v>404</v>
      </c>
      <c r="D73" s="1" t="s">
        <v>55</v>
      </c>
      <c r="E73" s="1">
        <v>0.27</v>
      </c>
      <c r="F73" s="1" t="s">
        <v>1086</v>
      </c>
      <c r="G73" s="1" t="s">
        <v>1080</v>
      </c>
      <c r="H73" s="1" t="s">
        <v>1090</v>
      </c>
      <c r="I73" s="1" t="s">
        <v>411</v>
      </c>
    </row>
    <row r="74" spans="1:9" x14ac:dyDescent="0.2">
      <c r="A74" s="23" t="s">
        <v>399</v>
      </c>
      <c r="B74" s="1" t="s">
        <v>406</v>
      </c>
      <c r="C74" s="1" t="s">
        <v>404</v>
      </c>
      <c r="D74" s="1" t="s">
        <v>55</v>
      </c>
      <c r="E74" s="1">
        <v>0.28999999999999998</v>
      </c>
      <c r="F74" s="1" t="s">
        <v>1086</v>
      </c>
      <c r="G74" s="1" t="s">
        <v>1080</v>
      </c>
      <c r="H74" s="1" t="s">
        <v>1090</v>
      </c>
      <c r="I74" s="1" t="s">
        <v>411</v>
      </c>
    </row>
    <row r="75" spans="1:9" x14ac:dyDescent="0.2">
      <c r="A75" s="23" t="s">
        <v>400</v>
      </c>
      <c r="B75" s="1" t="s">
        <v>226</v>
      </c>
      <c r="C75" s="1" t="s">
        <v>404</v>
      </c>
      <c r="D75" s="1" t="s">
        <v>55</v>
      </c>
      <c r="E75" s="1">
        <v>0.33</v>
      </c>
      <c r="F75" s="1" t="s">
        <v>1086</v>
      </c>
      <c r="G75" s="1" t="s">
        <v>1080</v>
      </c>
      <c r="H75" s="1" t="s">
        <v>1090</v>
      </c>
      <c r="I75" s="1" t="s">
        <v>411</v>
      </c>
    </row>
    <row r="76" spans="1:9" x14ac:dyDescent="0.2">
      <c r="A76" s="23" t="s">
        <v>401</v>
      </c>
      <c r="B76" s="1" t="s">
        <v>407</v>
      </c>
      <c r="C76" s="1" t="s">
        <v>404</v>
      </c>
      <c r="D76" s="1" t="s">
        <v>55</v>
      </c>
      <c r="E76" s="1">
        <v>0.27</v>
      </c>
      <c r="F76" s="1" t="s">
        <v>1086</v>
      </c>
      <c r="G76" s="1" t="s">
        <v>1080</v>
      </c>
      <c r="H76" s="1" t="s">
        <v>1090</v>
      </c>
      <c r="I76" s="1" t="s">
        <v>411</v>
      </c>
    </row>
    <row r="77" spans="1:9" x14ac:dyDescent="0.2">
      <c r="A77" s="23" t="s">
        <v>402</v>
      </c>
      <c r="B77" s="1" t="s">
        <v>408</v>
      </c>
      <c r="C77" s="1" t="s">
        <v>404</v>
      </c>
      <c r="D77" s="1" t="s">
        <v>55</v>
      </c>
      <c r="E77" s="1">
        <v>0.25</v>
      </c>
      <c r="F77" s="1" t="s">
        <v>1086</v>
      </c>
      <c r="G77" s="1" t="s">
        <v>1080</v>
      </c>
      <c r="H77" s="1" t="s">
        <v>1090</v>
      </c>
      <c r="I77" s="1" t="s">
        <v>411</v>
      </c>
    </row>
    <row r="78" spans="1:9" x14ac:dyDescent="0.2">
      <c r="A78" s="23" t="s">
        <v>403</v>
      </c>
      <c r="B78" s="1" t="s">
        <v>409</v>
      </c>
      <c r="C78" s="1" t="s">
        <v>404</v>
      </c>
      <c r="D78" s="1" t="s">
        <v>55</v>
      </c>
      <c r="E78" s="1">
        <v>11.82</v>
      </c>
      <c r="F78" s="1" t="s">
        <v>1086</v>
      </c>
      <c r="G78" s="1" t="s">
        <v>1080</v>
      </c>
      <c r="H78" s="1" t="s">
        <v>1090</v>
      </c>
      <c r="I78" s="1" t="s">
        <v>411</v>
      </c>
    </row>
    <row r="79" spans="1:9" x14ac:dyDescent="0.2">
      <c r="A79" s="23" t="s">
        <v>1076</v>
      </c>
      <c r="B79" s="1" t="s">
        <v>410</v>
      </c>
      <c r="C79" s="1" t="s">
        <v>404</v>
      </c>
      <c r="D79" s="1" t="s">
        <v>55</v>
      </c>
      <c r="E79" s="1">
        <v>0.46</v>
      </c>
      <c r="F79" s="1" t="s">
        <v>1086</v>
      </c>
      <c r="G79" s="1" t="s">
        <v>1080</v>
      </c>
      <c r="H79" s="1" t="s">
        <v>1090</v>
      </c>
      <c r="I79" s="1" t="s">
        <v>411</v>
      </c>
    </row>
    <row r="80" spans="1:9" x14ac:dyDescent="0.2">
      <c r="A80" s="23" t="s">
        <v>412</v>
      </c>
      <c r="B80" s="1" t="s">
        <v>417</v>
      </c>
      <c r="C80" s="1" t="s">
        <v>404</v>
      </c>
      <c r="D80" s="1" t="s">
        <v>55</v>
      </c>
      <c r="E80" s="1">
        <v>0.41</v>
      </c>
      <c r="F80" s="1" t="s">
        <v>1086</v>
      </c>
      <c r="G80" s="1" t="s">
        <v>1080</v>
      </c>
      <c r="H80" s="1" t="s">
        <v>1090</v>
      </c>
      <c r="I80" s="1" t="s">
        <v>411</v>
      </c>
    </row>
    <row r="81" spans="1:9" x14ac:dyDescent="0.2">
      <c r="A81" s="23" t="s">
        <v>1077</v>
      </c>
      <c r="B81" s="1" t="s">
        <v>418</v>
      </c>
      <c r="C81" s="1" t="s">
        <v>404</v>
      </c>
      <c r="D81" s="1" t="s">
        <v>55</v>
      </c>
      <c r="E81" s="1">
        <v>0.56000000000000005</v>
      </c>
      <c r="F81" s="1" t="s">
        <v>1086</v>
      </c>
      <c r="G81" s="1" t="s">
        <v>1080</v>
      </c>
      <c r="H81" s="1" t="s">
        <v>1090</v>
      </c>
      <c r="I81" s="1" t="s">
        <v>411</v>
      </c>
    </row>
    <row r="82" spans="1:9" x14ac:dyDescent="0.2">
      <c r="A82" s="23" t="s">
        <v>413</v>
      </c>
      <c r="B82" s="1" t="s">
        <v>407</v>
      </c>
      <c r="C82" s="1" t="s">
        <v>404</v>
      </c>
      <c r="D82" s="1" t="s">
        <v>55</v>
      </c>
      <c r="E82" s="1">
        <v>0.33</v>
      </c>
      <c r="F82" s="1" t="s">
        <v>1086</v>
      </c>
      <c r="G82" s="1" t="s">
        <v>1080</v>
      </c>
      <c r="H82" s="1" t="s">
        <v>1090</v>
      </c>
      <c r="I82" s="1" t="s">
        <v>411</v>
      </c>
    </row>
    <row r="83" spans="1:9" x14ac:dyDescent="0.2">
      <c r="A83" s="23" t="s">
        <v>414</v>
      </c>
      <c r="B83" s="1" t="s">
        <v>224</v>
      </c>
      <c r="C83" s="1" t="s">
        <v>404</v>
      </c>
      <c r="D83" s="1" t="s">
        <v>55</v>
      </c>
      <c r="E83" s="1">
        <v>0.81</v>
      </c>
      <c r="F83" s="1" t="s">
        <v>1086</v>
      </c>
      <c r="G83" s="1" t="s">
        <v>1080</v>
      </c>
      <c r="H83" s="1" t="s">
        <v>1090</v>
      </c>
      <c r="I83" s="1" t="s">
        <v>411</v>
      </c>
    </row>
    <row r="84" spans="1:9" x14ac:dyDescent="0.2">
      <c r="A84" s="23" t="s">
        <v>415</v>
      </c>
      <c r="B84" s="1" t="s">
        <v>419</v>
      </c>
      <c r="C84" s="1" t="s">
        <v>404</v>
      </c>
      <c r="D84" s="1" t="s">
        <v>55</v>
      </c>
      <c r="E84" s="1">
        <v>0.46</v>
      </c>
      <c r="F84" s="1" t="s">
        <v>1086</v>
      </c>
      <c r="G84" s="1" t="s">
        <v>1080</v>
      </c>
      <c r="H84" s="1" t="s">
        <v>1090</v>
      </c>
      <c r="I84" s="1" t="s">
        <v>411</v>
      </c>
    </row>
    <row r="85" spans="1:9" x14ac:dyDescent="0.2">
      <c r="A85" s="23" t="s">
        <v>416</v>
      </c>
      <c r="B85" s="1" t="s">
        <v>420</v>
      </c>
      <c r="C85" s="1" t="s">
        <v>404</v>
      </c>
      <c r="D85" s="1" t="s">
        <v>55</v>
      </c>
      <c r="E85" s="1">
        <v>0.5</v>
      </c>
      <c r="F85" s="1" t="s">
        <v>1086</v>
      </c>
      <c r="G85" s="1" t="s">
        <v>1080</v>
      </c>
      <c r="H85" s="1" t="s">
        <v>1090</v>
      </c>
      <c r="I85" s="1" t="s">
        <v>411</v>
      </c>
    </row>
    <row r="86" spans="1:9" x14ac:dyDescent="0.2">
      <c r="A86" s="23" t="s">
        <v>403</v>
      </c>
      <c r="B86" s="1" t="s">
        <v>421</v>
      </c>
      <c r="C86" s="1" t="s">
        <v>404</v>
      </c>
      <c r="D86" s="1" t="s">
        <v>55</v>
      </c>
      <c r="E86" s="1">
        <v>0.39</v>
      </c>
      <c r="F86" s="1" t="s">
        <v>1086</v>
      </c>
      <c r="G86" s="1" t="s">
        <v>1080</v>
      </c>
      <c r="H86" s="1" t="s">
        <v>1090</v>
      </c>
      <c r="I86" s="1" t="s">
        <v>411</v>
      </c>
    </row>
    <row r="87" spans="1:9" x14ac:dyDescent="0.2">
      <c r="A87" s="23" t="s">
        <v>429</v>
      </c>
      <c r="B87" s="1" t="s">
        <v>55</v>
      </c>
      <c r="C87" s="1" t="s">
        <v>404</v>
      </c>
      <c r="D87" s="1" t="s">
        <v>55</v>
      </c>
      <c r="E87" s="1">
        <v>2.0230000000000001</v>
      </c>
      <c r="F87" s="1" t="s">
        <v>1086</v>
      </c>
      <c r="G87" s="1" t="s">
        <v>1080</v>
      </c>
      <c r="H87" s="1" t="s">
        <v>1099</v>
      </c>
      <c r="I87" s="1" t="s">
        <v>132</v>
      </c>
    </row>
    <row r="88" spans="1:9" x14ac:dyDescent="0.2">
      <c r="A88" s="23" t="s">
        <v>430</v>
      </c>
      <c r="B88" s="1" t="s">
        <v>55</v>
      </c>
      <c r="C88" s="1" t="s">
        <v>404</v>
      </c>
      <c r="D88" s="1" t="s">
        <v>55</v>
      </c>
      <c r="E88" s="1">
        <v>1.927</v>
      </c>
      <c r="F88" s="1" t="s">
        <v>1086</v>
      </c>
      <c r="G88" s="1" t="s">
        <v>1080</v>
      </c>
      <c r="H88" s="1" t="s">
        <v>1099</v>
      </c>
      <c r="I88" s="1" t="s">
        <v>132</v>
      </c>
    </row>
    <row r="89" spans="1:9" x14ac:dyDescent="0.2">
      <c r="A89" s="23" t="s">
        <v>431</v>
      </c>
      <c r="B89" s="1" t="s">
        <v>55</v>
      </c>
      <c r="C89" s="1" t="s">
        <v>404</v>
      </c>
      <c r="D89" s="1" t="s">
        <v>55</v>
      </c>
      <c r="E89" s="1">
        <v>2.0129999999999999</v>
      </c>
      <c r="F89" s="1" t="s">
        <v>1086</v>
      </c>
      <c r="G89" s="1" t="s">
        <v>1080</v>
      </c>
      <c r="H89" s="1" t="s">
        <v>1099</v>
      </c>
      <c r="I89" s="1" t="s">
        <v>132</v>
      </c>
    </row>
    <row r="90" spans="1:9" x14ac:dyDescent="0.2">
      <c r="A90" s="23" t="s">
        <v>432</v>
      </c>
      <c r="B90" s="1" t="s">
        <v>55</v>
      </c>
      <c r="C90" s="1" t="s">
        <v>404</v>
      </c>
      <c r="D90" s="1" t="s">
        <v>55</v>
      </c>
      <c r="E90" s="1">
        <v>1.9690000000000001</v>
      </c>
      <c r="F90" s="1" t="s">
        <v>1086</v>
      </c>
      <c r="G90" s="1" t="s">
        <v>1080</v>
      </c>
      <c r="H90" s="1" t="s">
        <v>1099</v>
      </c>
      <c r="I90" s="1" t="s">
        <v>132</v>
      </c>
    </row>
    <row r="91" spans="1:9" x14ac:dyDescent="0.2">
      <c r="A91" s="23" t="s">
        <v>433</v>
      </c>
      <c r="B91" s="1" t="s">
        <v>55</v>
      </c>
      <c r="C91" s="1" t="s">
        <v>404</v>
      </c>
      <c r="D91" s="1" t="s">
        <v>55</v>
      </c>
      <c r="E91" s="1">
        <v>1.98</v>
      </c>
      <c r="F91" s="1" t="s">
        <v>1086</v>
      </c>
      <c r="G91" s="1" t="s">
        <v>1080</v>
      </c>
      <c r="H91" s="1" t="s">
        <v>1099</v>
      </c>
      <c r="I91" s="1" t="s">
        <v>132</v>
      </c>
    </row>
    <row r="92" spans="1:9" x14ac:dyDescent="0.2">
      <c r="A92" s="23" t="s">
        <v>434</v>
      </c>
      <c r="B92" s="1" t="s">
        <v>55</v>
      </c>
      <c r="C92" s="1" t="s">
        <v>404</v>
      </c>
      <c r="D92" s="1" t="s">
        <v>55</v>
      </c>
      <c r="E92" s="1">
        <v>1.99</v>
      </c>
      <c r="F92" s="1" t="s">
        <v>1086</v>
      </c>
      <c r="G92" s="1" t="s">
        <v>1080</v>
      </c>
      <c r="H92" s="1" t="s">
        <v>1099</v>
      </c>
      <c r="I92" s="1" t="s">
        <v>132</v>
      </c>
    </row>
    <row r="93" spans="1:9" x14ac:dyDescent="0.2">
      <c r="A93" s="23" t="s">
        <v>435</v>
      </c>
      <c r="B93" s="1" t="s">
        <v>55</v>
      </c>
      <c r="C93" s="1" t="s">
        <v>404</v>
      </c>
      <c r="D93" s="1" t="s">
        <v>55</v>
      </c>
      <c r="E93" s="1">
        <v>1.9830000000000001</v>
      </c>
      <c r="F93" s="1" t="s">
        <v>1086</v>
      </c>
      <c r="G93" s="1" t="s">
        <v>1080</v>
      </c>
      <c r="H93" s="1" t="s">
        <v>1099</v>
      </c>
      <c r="I93" s="1" t="s">
        <v>132</v>
      </c>
    </row>
    <row r="94" spans="1:9" x14ac:dyDescent="0.2">
      <c r="A94" s="23" t="s">
        <v>436</v>
      </c>
      <c r="B94" s="1" t="s">
        <v>55</v>
      </c>
      <c r="C94" s="1" t="s">
        <v>404</v>
      </c>
      <c r="D94" s="1" t="s">
        <v>55</v>
      </c>
      <c r="E94" s="1">
        <v>2</v>
      </c>
      <c r="F94" s="1" t="s">
        <v>1086</v>
      </c>
      <c r="G94" s="1" t="s">
        <v>1080</v>
      </c>
      <c r="H94" s="1" t="s">
        <v>1099</v>
      </c>
      <c r="I94" s="1" t="s">
        <v>132</v>
      </c>
    </row>
    <row r="95" spans="1:9" x14ac:dyDescent="0.2">
      <c r="A95" s="23" t="s">
        <v>437</v>
      </c>
      <c r="B95" s="1" t="s">
        <v>55</v>
      </c>
      <c r="C95" s="1" t="s">
        <v>404</v>
      </c>
      <c r="D95" s="1" t="s">
        <v>55</v>
      </c>
      <c r="E95" s="1">
        <v>1.99</v>
      </c>
      <c r="F95" s="1" t="s">
        <v>1086</v>
      </c>
      <c r="G95" s="1" t="s">
        <v>1080</v>
      </c>
      <c r="H95" s="1" t="s">
        <v>1099</v>
      </c>
      <c r="I95" s="1" t="s">
        <v>132</v>
      </c>
    </row>
    <row r="96" spans="1:9" x14ac:dyDescent="0.2">
      <c r="A96" s="23" t="s">
        <v>438</v>
      </c>
      <c r="B96" s="1" t="s">
        <v>55</v>
      </c>
      <c r="C96" s="1" t="s">
        <v>404</v>
      </c>
      <c r="D96" s="1" t="s">
        <v>55</v>
      </c>
      <c r="E96" s="1">
        <v>1.9990000000000001</v>
      </c>
      <c r="F96" s="1" t="s">
        <v>1086</v>
      </c>
      <c r="G96" s="1" t="s">
        <v>1080</v>
      </c>
      <c r="H96" s="1" t="s">
        <v>1099</v>
      </c>
      <c r="I96" s="1" t="s">
        <v>132</v>
      </c>
    </row>
    <row r="97" spans="1:9" x14ac:dyDescent="0.2">
      <c r="A97" s="23" t="s">
        <v>439</v>
      </c>
      <c r="B97" s="1" t="s">
        <v>55</v>
      </c>
      <c r="C97" s="1" t="s">
        <v>404</v>
      </c>
      <c r="D97" s="1" t="s">
        <v>55</v>
      </c>
      <c r="E97" s="1">
        <v>1.9990000000000001</v>
      </c>
      <c r="F97" s="1" t="s">
        <v>1086</v>
      </c>
      <c r="G97" s="1" t="s">
        <v>1080</v>
      </c>
      <c r="H97" s="1" t="s">
        <v>1099</v>
      </c>
      <c r="I97" s="1" t="s">
        <v>132</v>
      </c>
    </row>
    <row r="98" spans="1:9" x14ac:dyDescent="0.2">
      <c r="A98" s="23" t="s">
        <v>440</v>
      </c>
      <c r="B98" s="1" t="s">
        <v>55</v>
      </c>
      <c r="C98" s="1" t="s">
        <v>404</v>
      </c>
      <c r="D98" s="1" t="s">
        <v>55</v>
      </c>
      <c r="E98" s="1">
        <v>1.883</v>
      </c>
      <c r="F98" s="1" t="s">
        <v>1086</v>
      </c>
      <c r="G98" s="1" t="s">
        <v>1080</v>
      </c>
      <c r="H98" s="1" t="s">
        <v>1099</v>
      </c>
      <c r="I98" s="1" t="s">
        <v>132</v>
      </c>
    </row>
    <row r="99" spans="1:9" x14ac:dyDescent="0.2">
      <c r="A99" s="23" t="s">
        <v>425</v>
      </c>
      <c r="B99" s="1" t="s">
        <v>1102</v>
      </c>
      <c r="C99" s="1" t="s">
        <v>427</v>
      </c>
      <c r="D99" s="1" t="s">
        <v>55</v>
      </c>
      <c r="E99" s="1">
        <v>1.308E-2</v>
      </c>
      <c r="F99" s="1" t="s">
        <v>1104</v>
      </c>
      <c r="G99" s="1" t="s">
        <v>1080</v>
      </c>
      <c r="H99" s="1" t="s">
        <v>1103</v>
      </c>
      <c r="I99" s="1" t="s">
        <v>428</v>
      </c>
    </row>
    <row r="100" spans="1:9" x14ac:dyDescent="0.2">
      <c r="A100" s="23" t="s">
        <v>426</v>
      </c>
      <c r="B100" s="1" t="s">
        <v>1101</v>
      </c>
      <c r="C100" s="1" t="s">
        <v>427</v>
      </c>
      <c r="D100" s="1" t="s">
        <v>55</v>
      </c>
      <c r="E100" s="1">
        <v>1.073E-2</v>
      </c>
      <c r="F100" s="1" t="s">
        <v>1104</v>
      </c>
      <c r="G100" s="1" t="s">
        <v>1080</v>
      </c>
      <c r="H100" s="1" t="s">
        <v>1103</v>
      </c>
      <c r="I100" s="1" t="s">
        <v>428</v>
      </c>
    </row>
    <row r="101" spans="1:9" x14ac:dyDescent="0.2">
      <c r="A101" s="23" t="s">
        <v>609</v>
      </c>
      <c r="B101" s="1" t="s">
        <v>406</v>
      </c>
      <c r="C101" s="1" t="s">
        <v>610</v>
      </c>
      <c r="D101" s="1" t="s">
        <v>55</v>
      </c>
      <c r="E101" s="1">
        <v>0.21</v>
      </c>
      <c r="F101" s="1" t="s">
        <v>1104</v>
      </c>
      <c r="G101" s="1" t="s">
        <v>1080</v>
      </c>
      <c r="H101" s="1" t="s">
        <v>1090</v>
      </c>
      <c r="I101" s="1" t="s">
        <v>611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687D6-A17A-0A48-8D7F-B3BFDC3F8BF8}">
  <sheetPr codeName="Sheet7"/>
  <dimension ref="A1:I89"/>
  <sheetViews>
    <sheetView zoomScale="167" workbookViewId="0">
      <selection activeCell="E17" sqref="E17"/>
    </sheetView>
  </sheetViews>
  <sheetFormatPr baseColWidth="10" defaultRowHeight="16" x14ac:dyDescent="0.2"/>
  <cols>
    <col min="1" max="1" width="15" bestFit="1" customWidth="1"/>
    <col min="2" max="2" width="14.83203125" bestFit="1" customWidth="1"/>
    <col min="3" max="3" width="38.33203125" bestFit="1" customWidth="1"/>
    <col min="4" max="4" width="27.6640625" customWidth="1"/>
    <col min="5" max="5" width="18.6640625" bestFit="1" customWidth="1"/>
    <col min="6" max="6" width="38" bestFit="1" customWidth="1"/>
    <col min="7" max="7" width="18.5" bestFit="1" customWidth="1"/>
    <col min="8" max="8" width="17.6640625" customWidth="1"/>
    <col min="9" max="9" width="24.6640625" bestFit="1" customWidth="1"/>
  </cols>
  <sheetData>
    <row r="1" spans="1:9" s="76" customFormat="1" x14ac:dyDescent="0.2">
      <c r="A1" s="76" t="s">
        <v>322</v>
      </c>
      <c r="B1" s="76" t="s">
        <v>115</v>
      </c>
      <c r="C1" s="76" t="s">
        <v>323</v>
      </c>
      <c r="D1" s="76" t="s">
        <v>324</v>
      </c>
      <c r="E1" s="76" t="s">
        <v>128</v>
      </c>
      <c r="F1" s="76" t="s">
        <v>1142</v>
      </c>
      <c r="G1" s="76" t="s">
        <v>1078</v>
      </c>
      <c r="H1" s="76" t="s">
        <v>1079</v>
      </c>
      <c r="I1" s="76" t="s">
        <v>114</v>
      </c>
    </row>
    <row r="2" spans="1:9" x14ac:dyDescent="0.2">
      <c r="A2" s="5" t="s">
        <v>302</v>
      </c>
      <c r="B2" s="1" t="s">
        <v>585</v>
      </c>
      <c r="C2" s="1" t="s">
        <v>328</v>
      </c>
      <c r="D2" s="24" t="s">
        <v>333</v>
      </c>
      <c r="E2" s="13">
        <v>0.2</v>
      </c>
      <c r="F2" s="1" t="s">
        <v>1086</v>
      </c>
      <c r="G2" s="13" t="s">
        <v>1080</v>
      </c>
      <c r="H2" s="13" t="s">
        <v>1143</v>
      </c>
      <c r="I2" s="1" t="s">
        <v>301</v>
      </c>
    </row>
    <row r="3" spans="1:9" x14ac:dyDescent="0.2">
      <c r="A3" s="5" t="s">
        <v>303</v>
      </c>
      <c r="B3" s="1" t="s">
        <v>585</v>
      </c>
      <c r="C3" s="1" t="s">
        <v>328</v>
      </c>
      <c r="D3" s="24" t="s">
        <v>333</v>
      </c>
      <c r="E3" s="13">
        <v>0.2</v>
      </c>
      <c r="F3" s="1" t="s">
        <v>1086</v>
      </c>
      <c r="G3" s="13" t="s">
        <v>1080</v>
      </c>
      <c r="H3" s="13" t="s">
        <v>1143</v>
      </c>
      <c r="I3" s="1" t="s">
        <v>301</v>
      </c>
    </row>
    <row r="4" spans="1:9" x14ac:dyDescent="0.2">
      <c r="A4" s="5" t="s">
        <v>304</v>
      </c>
      <c r="B4" s="1" t="s">
        <v>585</v>
      </c>
      <c r="C4" s="1" t="s">
        <v>327</v>
      </c>
      <c r="D4" s="24" t="s">
        <v>334</v>
      </c>
      <c r="E4" s="13">
        <v>0.2</v>
      </c>
      <c r="F4" s="1" t="s">
        <v>1086</v>
      </c>
      <c r="G4" s="13" t="s">
        <v>1080</v>
      </c>
      <c r="H4" s="13" t="s">
        <v>1143</v>
      </c>
      <c r="I4" s="1" t="s">
        <v>301</v>
      </c>
    </row>
    <row r="5" spans="1:9" x14ac:dyDescent="0.2">
      <c r="A5" s="5" t="s">
        <v>305</v>
      </c>
      <c r="B5" s="1" t="s">
        <v>585</v>
      </c>
      <c r="C5" s="1" t="s">
        <v>327</v>
      </c>
      <c r="D5" s="24" t="s">
        <v>334</v>
      </c>
      <c r="E5" s="13">
        <v>0.2</v>
      </c>
      <c r="F5" s="1" t="s">
        <v>1086</v>
      </c>
      <c r="G5" s="13" t="s">
        <v>1080</v>
      </c>
      <c r="H5" s="13" t="s">
        <v>1143</v>
      </c>
      <c r="I5" s="1" t="s">
        <v>301</v>
      </c>
    </row>
    <row r="6" spans="1:9" x14ac:dyDescent="0.2">
      <c r="A6" s="5" t="s">
        <v>306</v>
      </c>
      <c r="B6" s="1" t="s">
        <v>585</v>
      </c>
      <c r="C6" s="1" t="s">
        <v>325</v>
      </c>
      <c r="D6" s="24" t="s">
        <v>335</v>
      </c>
      <c r="E6" s="13">
        <v>0.2</v>
      </c>
      <c r="F6" s="1" t="s">
        <v>1086</v>
      </c>
      <c r="G6" s="13" t="s">
        <v>1080</v>
      </c>
      <c r="H6" s="13" t="s">
        <v>1143</v>
      </c>
      <c r="I6" s="1" t="s">
        <v>301</v>
      </c>
    </row>
    <row r="7" spans="1:9" x14ac:dyDescent="0.2">
      <c r="A7" s="5" t="s">
        <v>307</v>
      </c>
      <c r="B7" s="1" t="s">
        <v>585</v>
      </c>
      <c r="C7" s="1" t="s">
        <v>326</v>
      </c>
      <c r="D7" s="24" t="s">
        <v>336</v>
      </c>
      <c r="E7" s="13">
        <v>0.2</v>
      </c>
      <c r="F7" s="1" t="s">
        <v>1086</v>
      </c>
      <c r="G7" s="13" t="s">
        <v>1080</v>
      </c>
      <c r="H7" s="13" t="s">
        <v>1143</v>
      </c>
      <c r="I7" s="1" t="s">
        <v>301</v>
      </c>
    </row>
    <row r="8" spans="1:9" x14ac:dyDescent="0.2">
      <c r="A8" s="5" t="s">
        <v>308</v>
      </c>
      <c r="B8" s="1" t="s">
        <v>585</v>
      </c>
      <c r="C8" s="1" t="s">
        <v>326</v>
      </c>
      <c r="D8" s="24" t="s">
        <v>336</v>
      </c>
      <c r="E8" s="13">
        <v>0.2</v>
      </c>
      <c r="F8" s="1" t="s">
        <v>1086</v>
      </c>
      <c r="G8" s="13" t="s">
        <v>1080</v>
      </c>
      <c r="H8" s="13" t="s">
        <v>1143</v>
      </c>
      <c r="I8" s="1" t="s">
        <v>301</v>
      </c>
    </row>
    <row r="9" spans="1:9" x14ac:dyDescent="0.2">
      <c r="A9" s="5" t="s">
        <v>309</v>
      </c>
      <c r="B9" s="1" t="s">
        <v>585</v>
      </c>
      <c r="C9" s="1" t="s">
        <v>329</v>
      </c>
      <c r="D9" s="24" t="s">
        <v>337</v>
      </c>
      <c r="E9" s="13">
        <v>0.2</v>
      </c>
      <c r="F9" s="1" t="s">
        <v>1086</v>
      </c>
      <c r="G9" s="13" t="s">
        <v>1080</v>
      </c>
      <c r="H9" s="13" t="s">
        <v>1143</v>
      </c>
      <c r="I9" s="1" t="s">
        <v>301</v>
      </c>
    </row>
    <row r="10" spans="1:9" x14ac:dyDescent="0.2">
      <c r="A10" s="5" t="s">
        <v>310</v>
      </c>
      <c r="B10" s="1" t="s">
        <v>585</v>
      </c>
      <c r="C10" s="1" t="s">
        <v>330</v>
      </c>
      <c r="D10" s="24" t="s">
        <v>338</v>
      </c>
      <c r="E10" s="13">
        <v>0.2</v>
      </c>
      <c r="F10" s="1" t="s">
        <v>1086</v>
      </c>
      <c r="G10" s="13" t="s">
        <v>1145</v>
      </c>
      <c r="H10" s="13" t="s">
        <v>1144</v>
      </c>
      <c r="I10" s="1" t="s">
        <v>301</v>
      </c>
    </row>
    <row r="11" spans="1:9" x14ac:dyDescent="0.2">
      <c r="A11" s="5" t="s">
        <v>311</v>
      </c>
      <c r="B11" s="1" t="s">
        <v>585</v>
      </c>
      <c r="C11" s="1" t="s">
        <v>330</v>
      </c>
      <c r="D11" s="24" t="s">
        <v>338</v>
      </c>
      <c r="E11" s="13">
        <v>0.2</v>
      </c>
      <c r="F11" s="1" t="s">
        <v>1086</v>
      </c>
      <c r="G11" s="13" t="s">
        <v>1145</v>
      </c>
      <c r="H11" s="13" t="s">
        <v>1144</v>
      </c>
      <c r="I11" s="1" t="s">
        <v>301</v>
      </c>
    </row>
    <row r="12" spans="1:9" x14ac:dyDescent="0.2">
      <c r="A12" s="5" t="s">
        <v>312</v>
      </c>
      <c r="B12" s="1" t="s">
        <v>585</v>
      </c>
      <c r="C12" s="1" t="s">
        <v>331</v>
      </c>
      <c r="D12" s="24" t="s">
        <v>339</v>
      </c>
      <c r="E12" s="13">
        <v>0.2</v>
      </c>
      <c r="F12" s="1" t="s">
        <v>1086</v>
      </c>
      <c r="G12" s="13" t="s">
        <v>1145</v>
      </c>
      <c r="H12" s="13" t="s">
        <v>1144</v>
      </c>
      <c r="I12" s="1" t="s">
        <v>301</v>
      </c>
    </row>
    <row r="13" spans="1:9" x14ac:dyDescent="0.2">
      <c r="A13" s="5" t="s">
        <v>313</v>
      </c>
      <c r="B13" s="1" t="s">
        <v>585</v>
      </c>
      <c r="C13" s="1" t="s">
        <v>331</v>
      </c>
      <c r="D13" s="24" t="s">
        <v>339</v>
      </c>
      <c r="E13" s="13">
        <v>0.2</v>
      </c>
      <c r="F13" s="1" t="s">
        <v>1086</v>
      </c>
      <c r="G13" s="13" t="s">
        <v>1145</v>
      </c>
      <c r="H13" s="13" t="s">
        <v>1144</v>
      </c>
      <c r="I13" s="1" t="s">
        <v>301</v>
      </c>
    </row>
    <row r="14" spans="1:9" x14ac:dyDescent="0.2">
      <c r="A14" s="5" t="s">
        <v>314</v>
      </c>
      <c r="B14" s="1" t="s">
        <v>585</v>
      </c>
      <c r="C14" s="1" t="s">
        <v>332</v>
      </c>
      <c r="D14" s="24" t="s">
        <v>340</v>
      </c>
      <c r="E14" s="13">
        <v>0.2</v>
      </c>
      <c r="F14" s="1" t="s">
        <v>1086</v>
      </c>
      <c r="G14" s="13" t="s">
        <v>1145</v>
      </c>
      <c r="H14" s="13" t="s">
        <v>1144</v>
      </c>
      <c r="I14" s="1" t="s">
        <v>301</v>
      </c>
    </row>
    <row r="15" spans="1:9" x14ac:dyDescent="0.2">
      <c r="A15" s="5" t="s">
        <v>315</v>
      </c>
      <c r="B15" s="1" t="s">
        <v>585</v>
      </c>
      <c r="C15" s="1" t="s">
        <v>332</v>
      </c>
      <c r="D15" s="24" t="s">
        <v>341</v>
      </c>
      <c r="E15" s="13">
        <v>0.2</v>
      </c>
      <c r="F15" s="1" t="s">
        <v>1086</v>
      </c>
      <c r="G15" s="13" t="s">
        <v>1145</v>
      </c>
      <c r="H15" s="13" t="s">
        <v>1144</v>
      </c>
      <c r="I15" s="1" t="s">
        <v>301</v>
      </c>
    </row>
    <row r="16" spans="1:9" x14ac:dyDescent="0.2">
      <c r="A16" s="5" t="s">
        <v>316</v>
      </c>
      <c r="B16" s="1" t="s">
        <v>585</v>
      </c>
      <c r="C16" s="1" t="s">
        <v>332</v>
      </c>
      <c r="D16" s="24" t="s">
        <v>341</v>
      </c>
      <c r="E16" s="13">
        <v>0.2</v>
      </c>
      <c r="F16" s="1" t="s">
        <v>1086</v>
      </c>
      <c r="G16" s="13" t="s">
        <v>1145</v>
      </c>
      <c r="H16" s="13" t="s">
        <v>1144</v>
      </c>
      <c r="I16" s="1" t="s">
        <v>301</v>
      </c>
    </row>
    <row r="17" spans="1:9" x14ac:dyDescent="0.2">
      <c r="A17" s="5" t="s">
        <v>342</v>
      </c>
      <c r="B17" s="1" t="s">
        <v>585</v>
      </c>
      <c r="C17" s="1" t="s">
        <v>362</v>
      </c>
      <c r="D17" s="1" t="s">
        <v>363</v>
      </c>
      <c r="E17" s="13">
        <v>1.2</v>
      </c>
      <c r="F17" s="1" t="s">
        <v>1086</v>
      </c>
      <c r="G17" s="13" t="s">
        <v>1080</v>
      </c>
      <c r="H17" s="1" t="s">
        <v>1083</v>
      </c>
      <c r="I17" s="1" t="s">
        <v>345</v>
      </c>
    </row>
    <row r="18" spans="1:9" x14ac:dyDescent="0.2">
      <c r="A18" s="5" t="s">
        <v>343</v>
      </c>
      <c r="B18" s="1" t="s">
        <v>585</v>
      </c>
      <c r="C18" s="1" t="s">
        <v>344</v>
      </c>
      <c r="D18" s="1" t="s">
        <v>364</v>
      </c>
      <c r="E18" s="13">
        <v>1.2</v>
      </c>
      <c r="F18" s="1" t="s">
        <v>1086</v>
      </c>
      <c r="G18" s="13" t="s">
        <v>1080</v>
      </c>
      <c r="H18" s="1" t="s">
        <v>1083</v>
      </c>
      <c r="I18" s="1" t="s">
        <v>345</v>
      </c>
    </row>
    <row r="19" spans="1:9" x14ac:dyDescent="0.2">
      <c r="A19" s="5" t="s">
        <v>346</v>
      </c>
      <c r="B19" s="1" t="s">
        <v>585</v>
      </c>
      <c r="C19" s="1" t="s">
        <v>351</v>
      </c>
      <c r="D19" s="1" t="s">
        <v>352</v>
      </c>
      <c r="E19" s="1">
        <v>0.1</v>
      </c>
      <c r="F19" s="1" t="s">
        <v>1086</v>
      </c>
      <c r="G19" s="1" t="s">
        <v>1146</v>
      </c>
      <c r="H19" s="1" t="s">
        <v>1087</v>
      </c>
      <c r="I19" s="1" t="s">
        <v>353</v>
      </c>
    </row>
    <row r="20" spans="1:9" x14ac:dyDescent="0.2">
      <c r="A20" s="5" t="s">
        <v>347</v>
      </c>
      <c r="B20" s="1" t="s">
        <v>585</v>
      </c>
      <c r="C20" s="4" t="s">
        <v>360</v>
      </c>
      <c r="D20" s="1" t="s">
        <v>361</v>
      </c>
      <c r="E20" s="1">
        <v>0.1</v>
      </c>
      <c r="F20" s="1" t="s">
        <v>1086</v>
      </c>
      <c r="G20" s="1" t="s">
        <v>1146</v>
      </c>
      <c r="H20" s="1" t="s">
        <v>1087</v>
      </c>
      <c r="I20" s="1" t="s">
        <v>353</v>
      </c>
    </row>
    <row r="21" spans="1:9" x14ac:dyDescent="0.2">
      <c r="A21" s="5" t="s">
        <v>348</v>
      </c>
      <c r="B21" s="1" t="s">
        <v>585</v>
      </c>
      <c r="C21" s="4" t="s">
        <v>358</v>
      </c>
      <c r="D21" s="1" t="s">
        <v>359</v>
      </c>
      <c r="E21" s="1">
        <v>0.1</v>
      </c>
      <c r="F21" s="1" t="s">
        <v>1086</v>
      </c>
      <c r="G21" s="1" t="s">
        <v>1146</v>
      </c>
      <c r="H21" s="1" t="s">
        <v>1087</v>
      </c>
      <c r="I21" s="1" t="s">
        <v>353</v>
      </c>
    </row>
    <row r="22" spans="1:9" x14ac:dyDescent="0.2">
      <c r="A22" s="5" t="s">
        <v>349</v>
      </c>
      <c r="B22" s="1" t="s">
        <v>585</v>
      </c>
      <c r="C22" s="4" t="s">
        <v>356</v>
      </c>
      <c r="D22" s="1" t="s">
        <v>357</v>
      </c>
      <c r="E22" s="1">
        <v>0.1</v>
      </c>
      <c r="F22" s="1" t="s">
        <v>1086</v>
      </c>
      <c r="G22" s="1" t="s">
        <v>1146</v>
      </c>
      <c r="H22" s="1" t="s">
        <v>1087</v>
      </c>
      <c r="I22" s="1" t="s">
        <v>353</v>
      </c>
    </row>
    <row r="23" spans="1:9" x14ac:dyDescent="0.2">
      <c r="A23" s="5" t="s">
        <v>350</v>
      </c>
      <c r="B23" s="1" t="s">
        <v>585</v>
      </c>
      <c r="C23" s="4" t="s">
        <v>354</v>
      </c>
      <c r="D23" s="1" t="s">
        <v>355</v>
      </c>
      <c r="E23" s="1">
        <v>0.1</v>
      </c>
      <c r="F23" s="1" t="s">
        <v>1086</v>
      </c>
      <c r="G23" s="1" t="s">
        <v>1146</v>
      </c>
      <c r="H23" s="1" t="s">
        <v>1087</v>
      </c>
      <c r="I23" s="1" t="s">
        <v>353</v>
      </c>
    </row>
    <row r="24" spans="1:9" x14ac:dyDescent="0.2">
      <c r="A24" s="5" t="s">
        <v>369</v>
      </c>
      <c r="B24" s="1" t="s">
        <v>585</v>
      </c>
      <c r="C24" s="4" t="s">
        <v>370</v>
      </c>
      <c r="D24" s="1" t="s">
        <v>374</v>
      </c>
      <c r="E24" s="1">
        <v>0.4</v>
      </c>
      <c r="F24" s="1" t="s">
        <v>1086</v>
      </c>
      <c r="G24" s="1" t="s">
        <v>1147</v>
      </c>
      <c r="H24" s="1" t="s">
        <v>1148</v>
      </c>
      <c r="I24" s="1" t="s">
        <v>371</v>
      </c>
    </row>
    <row r="25" spans="1:9" x14ac:dyDescent="0.2">
      <c r="A25" s="5" t="s">
        <v>376</v>
      </c>
      <c r="B25" s="1" t="s">
        <v>584</v>
      </c>
      <c r="C25" s="4" t="s">
        <v>377</v>
      </c>
      <c r="D25" s="1" t="s">
        <v>1088</v>
      </c>
      <c r="E25" s="35">
        <v>1000</v>
      </c>
      <c r="F25" s="1" t="s">
        <v>1226</v>
      </c>
      <c r="G25" s="1" t="s">
        <v>1080</v>
      </c>
      <c r="H25" s="1" t="s">
        <v>1090</v>
      </c>
      <c r="I25" s="1" t="s">
        <v>375</v>
      </c>
    </row>
    <row r="26" spans="1:9" x14ac:dyDescent="0.2">
      <c r="A26" s="5" t="s">
        <v>380</v>
      </c>
      <c r="B26" s="1" t="s">
        <v>584</v>
      </c>
      <c r="C26" s="4" t="s">
        <v>378</v>
      </c>
      <c r="D26" s="1" t="s">
        <v>379</v>
      </c>
      <c r="E26" s="1">
        <v>0.4</v>
      </c>
      <c r="F26" s="1" t="s">
        <v>1086</v>
      </c>
      <c r="G26" s="1" t="s">
        <v>1147</v>
      </c>
      <c r="H26" s="1" t="s">
        <v>1148</v>
      </c>
      <c r="I26" s="1" t="s">
        <v>371</v>
      </c>
    </row>
    <row r="27" spans="1:9" x14ac:dyDescent="0.2">
      <c r="A27" s="5" t="s">
        <v>570</v>
      </c>
      <c r="B27" s="1" t="s">
        <v>574</v>
      </c>
      <c r="C27" s="4" t="s">
        <v>577</v>
      </c>
      <c r="D27" s="1" t="s">
        <v>580</v>
      </c>
      <c r="E27" s="1">
        <v>0.2</v>
      </c>
      <c r="F27" s="1" t="s">
        <v>1150</v>
      </c>
      <c r="G27" s="1" t="s">
        <v>1147</v>
      </c>
      <c r="H27" s="1" t="s">
        <v>1149</v>
      </c>
      <c r="I27" s="1" t="s">
        <v>384</v>
      </c>
    </row>
    <row r="28" spans="1:9" x14ac:dyDescent="0.2">
      <c r="A28" s="5" t="s">
        <v>571</v>
      </c>
      <c r="B28" s="1" t="s">
        <v>575</v>
      </c>
      <c r="C28" s="4" t="s">
        <v>578</v>
      </c>
      <c r="D28" s="1" t="s">
        <v>581</v>
      </c>
      <c r="E28" s="1">
        <v>0.2</v>
      </c>
      <c r="F28" s="1" t="s">
        <v>1150</v>
      </c>
      <c r="G28" s="1" t="s">
        <v>1147</v>
      </c>
      <c r="H28" s="1" t="s">
        <v>1149</v>
      </c>
      <c r="I28" s="1" t="s">
        <v>384</v>
      </c>
    </row>
    <row r="29" spans="1:9" x14ac:dyDescent="0.2">
      <c r="A29" s="5" t="s">
        <v>572</v>
      </c>
      <c r="B29" s="1" t="s">
        <v>576</v>
      </c>
      <c r="C29" s="4" t="s">
        <v>579</v>
      </c>
      <c r="D29" s="1" t="s">
        <v>582</v>
      </c>
      <c r="E29" s="1">
        <v>0.2</v>
      </c>
      <c r="F29" s="1" t="s">
        <v>1150</v>
      </c>
      <c r="G29" s="1" t="s">
        <v>1147</v>
      </c>
      <c r="H29" s="1" t="s">
        <v>1149</v>
      </c>
      <c r="I29" s="1" t="s">
        <v>384</v>
      </c>
    </row>
    <row r="30" spans="1:9" x14ac:dyDescent="0.2">
      <c r="A30" s="5" t="s">
        <v>381</v>
      </c>
      <c r="B30" s="1" t="s">
        <v>382</v>
      </c>
      <c r="C30" s="4" t="s">
        <v>383</v>
      </c>
      <c r="D30" s="1" t="s">
        <v>583</v>
      </c>
      <c r="E30" s="1">
        <v>0.2</v>
      </c>
      <c r="F30" s="1" t="s">
        <v>1150</v>
      </c>
      <c r="G30" s="1" t="s">
        <v>1147</v>
      </c>
      <c r="H30" s="1" t="s">
        <v>1149</v>
      </c>
      <c r="I30" s="1" t="s">
        <v>384</v>
      </c>
    </row>
    <row r="31" spans="1:9" x14ac:dyDescent="0.2">
      <c r="A31" s="5" t="s">
        <v>573</v>
      </c>
      <c r="B31" s="1" t="s">
        <v>382</v>
      </c>
      <c r="C31" s="4" t="s">
        <v>383</v>
      </c>
      <c r="D31" s="1" t="s">
        <v>583</v>
      </c>
      <c r="E31" s="1">
        <v>0.2</v>
      </c>
      <c r="F31" s="1" t="s">
        <v>1150</v>
      </c>
      <c r="G31" s="1" t="s">
        <v>1147</v>
      </c>
      <c r="H31" s="1" t="s">
        <v>1149</v>
      </c>
      <c r="I31" s="1" t="s">
        <v>384</v>
      </c>
    </row>
    <row r="32" spans="1:9" x14ac:dyDescent="0.2">
      <c r="A32" s="5" t="s">
        <v>390</v>
      </c>
      <c r="B32" s="1" t="s">
        <v>423</v>
      </c>
      <c r="C32" s="4" t="s">
        <v>395</v>
      </c>
      <c r="D32" s="1" t="s">
        <v>396</v>
      </c>
      <c r="E32" s="1" t="s">
        <v>1088</v>
      </c>
      <c r="F32" s="1" t="s">
        <v>1086</v>
      </c>
      <c r="G32" s="1" t="s">
        <v>1146</v>
      </c>
      <c r="H32" s="1" t="s">
        <v>1149</v>
      </c>
      <c r="I32" s="1" t="s">
        <v>422</v>
      </c>
    </row>
    <row r="33" spans="1:9" x14ac:dyDescent="0.2">
      <c r="A33" s="5" t="s">
        <v>391</v>
      </c>
      <c r="B33" s="1" t="s">
        <v>423</v>
      </c>
      <c r="C33" s="4" t="s">
        <v>395</v>
      </c>
      <c r="D33" s="1" t="s">
        <v>1088</v>
      </c>
      <c r="E33" s="1" t="s">
        <v>1088</v>
      </c>
      <c r="F33" s="1" t="s">
        <v>1086</v>
      </c>
      <c r="G33" s="1" t="s">
        <v>1146</v>
      </c>
      <c r="H33" s="1" t="s">
        <v>1149</v>
      </c>
      <c r="I33" s="1" t="s">
        <v>422</v>
      </c>
    </row>
    <row r="34" spans="1:9" x14ac:dyDescent="0.2">
      <c r="A34" s="5" t="s">
        <v>392</v>
      </c>
      <c r="B34" s="1" t="s">
        <v>392</v>
      </c>
      <c r="C34" s="4" t="s">
        <v>395</v>
      </c>
      <c r="D34" s="1" t="s">
        <v>1088</v>
      </c>
      <c r="E34" s="1" t="s">
        <v>1088</v>
      </c>
      <c r="F34" s="1" t="s">
        <v>1086</v>
      </c>
      <c r="G34" s="1" t="s">
        <v>1146</v>
      </c>
      <c r="H34" s="1" t="s">
        <v>1149</v>
      </c>
      <c r="I34" s="1" t="s">
        <v>422</v>
      </c>
    </row>
    <row r="35" spans="1:9" x14ac:dyDescent="0.2">
      <c r="A35" s="5" t="s">
        <v>393</v>
      </c>
      <c r="B35" s="1" t="s">
        <v>424</v>
      </c>
      <c r="C35" s="4" t="s">
        <v>395</v>
      </c>
      <c r="D35" s="1" t="s">
        <v>1088</v>
      </c>
      <c r="E35" s="1" t="s">
        <v>1088</v>
      </c>
      <c r="F35" s="1" t="s">
        <v>1086</v>
      </c>
      <c r="G35" s="1" t="s">
        <v>1146</v>
      </c>
      <c r="H35" s="1" t="s">
        <v>1149</v>
      </c>
      <c r="I35" s="1" t="s">
        <v>422</v>
      </c>
    </row>
    <row r="36" spans="1:9" x14ac:dyDescent="0.2">
      <c r="A36" s="5" t="s">
        <v>394</v>
      </c>
      <c r="B36" s="1" t="s">
        <v>424</v>
      </c>
      <c r="C36" s="4" t="s">
        <v>395</v>
      </c>
      <c r="D36" s="1" t="s">
        <v>397</v>
      </c>
      <c r="E36" s="1" t="s">
        <v>1088</v>
      </c>
      <c r="F36" s="1" t="s">
        <v>1086</v>
      </c>
      <c r="G36" s="1" t="s">
        <v>1146</v>
      </c>
      <c r="H36" s="1" t="s">
        <v>1149</v>
      </c>
      <c r="I36" s="1" t="s">
        <v>422</v>
      </c>
    </row>
    <row r="37" spans="1:9" x14ac:dyDescent="0.2">
      <c r="A37" s="5" t="s">
        <v>385</v>
      </c>
      <c r="B37" s="1" t="s">
        <v>387</v>
      </c>
      <c r="C37" s="4" t="s">
        <v>560</v>
      </c>
      <c r="D37" s="1" t="s">
        <v>562</v>
      </c>
      <c r="E37" s="1">
        <v>0.2</v>
      </c>
      <c r="F37" s="1" t="s">
        <v>1151</v>
      </c>
      <c r="G37" s="1" t="s">
        <v>1080</v>
      </c>
      <c r="H37" s="1" t="s">
        <v>1087</v>
      </c>
      <c r="I37" s="1" t="s">
        <v>388</v>
      </c>
    </row>
    <row r="38" spans="1:9" x14ac:dyDescent="0.2">
      <c r="A38" s="5" t="s">
        <v>386</v>
      </c>
      <c r="B38" s="1" t="s">
        <v>387</v>
      </c>
      <c r="C38" s="4" t="s">
        <v>560</v>
      </c>
      <c r="D38" s="1" t="s">
        <v>563</v>
      </c>
      <c r="E38" s="1">
        <v>0.2</v>
      </c>
      <c r="F38" s="1" t="s">
        <v>1151</v>
      </c>
      <c r="G38" s="1" t="s">
        <v>1080</v>
      </c>
      <c r="H38" s="1" t="s">
        <v>1087</v>
      </c>
      <c r="I38" s="1" t="s">
        <v>388</v>
      </c>
    </row>
    <row r="39" spans="1:9" x14ac:dyDescent="0.2">
      <c r="A39" s="5" t="s">
        <v>558</v>
      </c>
      <c r="B39" s="1" t="s">
        <v>387</v>
      </c>
      <c r="C39" s="4" t="s">
        <v>560</v>
      </c>
      <c r="D39" s="1" t="s">
        <v>564</v>
      </c>
      <c r="E39" s="1">
        <v>0.2</v>
      </c>
      <c r="F39" s="1" t="s">
        <v>1151</v>
      </c>
      <c r="G39" s="1" t="s">
        <v>1080</v>
      </c>
      <c r="H39" s="1" t="s">
        <v>1087</v>
      </c>
      <c r="I39" s="1" t="s">
        <v>388</v>
      </c>
    </row>
    <row r="40" spans="1:9" x14ac:dyDescent="0.2">
      <c r="A40" s="5" t="s">
        <v>559</v>
      </c>
      <c r="B40" s="1" t="s">
        <v>387</v>
      </c>
      <c r="C40" s="4" t="s">
        <v>561</v>
      </c>
      <c r="D40" s="1" t="s">
        <v>565</v>
      </c>
      <c r="E40" s="1">
        <v>0.2</v>
      </c>
      <c r="F40" s="1" t="s">
        <v>1151</v>
      </c>
      <c r="G40" s="1" t="s">
        <v>1080</v>
      </c>
      <c r="H40" s="1" t="s">
        <v>1087</v>
      </c>
      <c r="I40" s="1" t="s">
        <v>388</v>
      </c>
    </row>
    <row r="41" spans="1:9" x14ac:dyDescent="0.2">
      <c r="A41" s="5" t="s">
        <v>470</v>
      </c>
      <c r="B41" s="1" t="s">
        <v>387</v>
      </c>
      <c r="C41" s="4" t="s">
        <v>478</v>
      </c>
      <c r="D41" s="1" t="s">
        <v>1088</v>
      </c>
      <c r="E41" s="1">
        <v>0.03</v>
      </c>
      <c r="F41" s="1" t="s">
        <v>1150</v>
      </c>
      <c r="G41" s="1" t="s">
        <v>1147</v>
      </c>
      <c r="H41" s="1" t="s">
        <v>1087</v>
      </c>
      <c r="I41" s="1" t="s">
        <v>479</v>
      </c>
    </row>
    <row r="42" spans="1:9" x14ac:dyDescent="0.2">
      <c r="A42" s="5" t="s">
        <v>471</v>
      </c>
      <c r="B42" s="1" t="s">
        <v>387</v>
      </c>
      <c r="C42" s="4" t="s">
        <v>478</v>
      </c>
      <c r="D42" s="1" t="s">
        <v>1088</v>
      </c>
      <c r="E42" s="1">
        <v>0.03</v>
      </c>
      <c r="F42" s="1" t="s">
        <v>1150</v>
      </c>
      <c r="G42" s="1" t="s">
        <v>1147</v>
      </c>
      <c r="H42" s="1" t="s">
        <v>1087</v>
      </c>
      <c r="I42" s="1" t="s">
        <v>479</v>
      </c>
    </row>
    <row r="43" spans="1:9" x14ac:dyDescent="0.2">
      <c r="A43" s="5" t="s">
        <v>472</v>
      </c>
      <c r="B43" s="1" t="s">
        <v>387</v>
      </c>
      <c r="C43" s="4" t="s">
        <v>478</v>
      </c>
      <c r="D43" s="1" t="s">
        <v>1088</v>
      </c>
      <c r="E43" s="1">
        <v>0.03</v>
      </c>
      <c r="F43" s="1" t="s">
        <v>1150</v>
      </c>
      <c r="G43" s="1" t="s">
        <v>1147</v>
      </c>
      <c r="H43" s="1" t="s">
        <v>1087</v>
      </c>
      <c r="I43" s="1" t="s">
        <v>479</v>
      </c>
    </row>
    <row r="44" spans="1:9" x14ac:dyDescent="0.2">
      <c r="A44" s="5" t="s">
        <v>473</v>
      </c>
      <c r="B44" s="1" t="s">
        <v>387</v>
      </c>
      <c r="C44" s="4" t="s">
        <v>478</v>
      </c>
      <c r="D44" s="1" t="s">
        <v>1088</v>
      </c>
      <c r="E44" s="1">
        <v>0.03</v>
      </c>
      <c r="F44" s="1" t="s">
        <v>1150</v>
      </c>
      <c r="G44" s="1" t="s">
        <v>1147</v>
      </c>
      <c r="H44" s="1" t="s">
        <v>1087</v>
      </c>
      <c r="I44" s="1" t="s">
        <v>479</v>
      </c>
    </row>
    <row r="45" spans="1:9" x14ac:dyDescent="0.2">
      <c r="A45" s="5" t="s">
        <v>474</v>
      </c>
      <c r="B45" s="1" t="s">
        <v>387</v>
      </c>
      <c r="C45" s="4" t="s">
        <v>478</v>
      </c>
      <c r="D45" s="1" t="s">
        <v>1088</v>
      </c>
      <c r="E45" s="1">
        <v>0.03</v>
      </c>
      <c r="F45" s="1" t="s">
        <v>1150</v>
      </c>
      <c r="G45" s="1" t="s">
        <v>1147</v>
      </c>
      <c r="H45" s="1" t="s">
        <v>1087</v>
      </c>
      <c r="I45" s="1" t="s">
        <v>479</v>
      </c>
    </row>
    <row r="46" spans="1:9" x14ac:dyDescent="0.2">
      <c r="A46" s="5" t="s">
        <v>475</v>
      </c>
      <c r="B46" s="1" t="s">
        <v>387</v>
      </c>
      <c r="C46" s="4" t="s">
        <v>478</v>
      </c>
      <c r="D46" s="1" t="s">
        <v>1088</v>
      </c>
      <c r="E46" s="1">
        <v>0.03</v>
      </c>
      <c r="F46" s="1" t="s">
        <v>1150</v>
      </c>
      <c r="G46" s="1" t="s">
        <v>1147</v>
      </c>
      <c r="H46" s="1" t="s">
        <v>1087</v>
      </c>
      <c r="I46" s="1" t="s">
        <v>479</v>
      </c>
    </row>
    <row r="47" spans="1:9" x14ac:dyDescent="0.2">
      <c r="A47" s="5" t="s">
        <v>476</v>
      </c>
      <c r="B47" s="1" t="s">
        <v>387</v>
      </c>
      <c r="C47" s="4" t="s">
        <v>478</v>
      </c>
      <c r="D47" s="1" t="s">
        <v>1088</v>
      </c>
      <c r="E47" s="1">
        <v>0.03</v>
      </c>
      <c r="F47" s="1" t="s">
        <v>1150</v>
      </c>
      <c r="G47" s="1" t="s">
        <v>1147</v>
      </c>
      <c r="H47" s="1" t="s">
        <v>1087</v>
      </c>
      <c r="I47" s="1" t="s">
        <v>479</v>
      </c>
    </row>
    <row r="48" spans="1:9" x14ac:dyDescent="0.2">
      <c r="A48" s="5" t="s">
        <v>477</v>
      </c>
      <c r="B48" s="1" t="s">
        <v>387</v>
      </c>
      <c r="C48" s="4" t="s">
        <v>478</v>
      </c>
      <c r="D48" s="1" t="s">
        <v>1088</v>
      </c>
      <c r="E48" s="1">
        <v>0.03</v>
      </c>
      <c r="F48" s="1" t="s">
        <v>1150</v>
      </c>
      <c r="G48" s="1" t="s">
        <v>1147</v>
      </c>
      <c r="H48" s="1" t="s">
        <v>1087</v>
      </c>
      <c r="I48" s="1" t="s">
        <v>479</v>
      </c>
    </row>
    <row r="49" spans="1:9" x14ac:dyDescent="0.2">
      <c r="A49" s="5" t="s">
        <v>604</v>
      </c>
      <c r="B49" s="1" t="s">
        <v>387</v>
      </c>
      <c r="C49" s="4" t="s">
        <v>605</v>
      </c>
      <c r="D49" s="1" t="s">
        <v>1153</v>
      </c>
      <c r="E49" s="1">
        <v>1</v>
      </c>
      <c r="F49" s="1" t="s">
        <v>1154</v>
      </c>
      <c r="G49" s="1" t="s">
        <v>1080</v>
      </c>
      <c r="H49" s="1" t="s">
        <v>1087</v>
      </c>
      <c r="I49" s="1" t="s">
        <v>606</v>
      </c>
    </row>
    <row r="50" spans="1:9" x14ac:dyDescent="0.2">
      <c r="A50" s="5" t="s">
        <v>444</v>
      </c>
      <c r="B50" s="1" t="s">
        <v>643</v>
      </c>
      <c r="C50" s="4" t="s">
        <v>441</v>
      </c>
      <c r="D50" s="1" t="s">
        <v>447</v>
      </c>
      <c r="E50" s="1">
        <v>6.3E-2</v>
      </c>
      <c r="F50" s="1" t="s">
        <v>1156</v>
      </c>
      <c r="G50" s="1" t="s">
        <v>1157</v>
      </c>
      <c r="H50" s="1" t="s">
        <v>1155</v>
      </c>
      <c r="I50" s="1" t="s">
        <v>448</v>
      </c>
    </row>
    <row r="51" spans="1:9" x14ac:dyDescent="0.2">
      <c r="A51" s="5" t="s">
        <v>445</v>
      </c>
      <c r="B51" s="1" t="s">
        <v>643</v>
      </c>
      <c r="C51" s="4" t="s">
        <v>442</v>
      </c>
      <c r="D51" s="1" t="s">
        <v>447</v>
      </c>
      <c r="E51" s="1">
        <v>6.3E-2</v>
      </c>
      <c r="F51" s="1" t="s">
        <v>1156</v>
      </c>
      <c r="G51" s="1" t="s">
        <v>1157</v>
      </c>
      <c r="H51" s="1" t="s">
        <v>1155</v>
      </c>
      <c r="I51" s="1" t="s">
        <v>448</v>
      </c>
    </row>
    <row r="52" spans="1:9" x14ac:dyDescent="0.2">
      <c r="A52" s="5" t="s">
        <v>446</v>
      </c>
      <c r="B52" s="1" t="s">
        <v>643</v>
      </c>
      <c r="C52" s="4" t="s">
        <v>443</v>
      </c>
      <c r="D52" s="1" t="s">
        <v>447</v>
      </c>
      <c r="E52" s="1">
        <v>6.3E-2</v>
      </c>
      <c r="F52" s="1" t="s">
        <v>1156</v>
      </c>
      <c r="G52" s="1" t="s">
        <v>1157</v>
      </c>
      <c r="H52" s="1" t="s">
        <v>1155</v>
      </c>
      <c r="I52" s="1" t="s">
        <v>448</v>
      </c>
    </row>
    <row r="53" spans="1:9" x14ac:dyDescent="0.2">
      <c r="A53" s="5" t="s">
        <v>467</v>
      </c>
      <c r="B53" s="1" t="s">
        <v>643</v>
      </c>
      <c r="C53" s="4" t="s">
        <v>466</v>
      </c>
      <c r="D53" s="1" t="s">
        <v>447</v>
      </c>
      <c r="E53" s="1">
        <v>1E-4</v>
      </c>
      <c r="F53" s="1" t="s">
        <v>1158</v>
      </c>
      <c r="G53" s="1" t="s">
        <v>1080</v>
      </c>
      <c r="H53" s="1" t="s">
        <v>1087</v>
      </c>
      <c r="I53" s="1" t="s">
        <v>469</v>
      </c>
    </row>
    <row r="54" spans="1:9" x14ac:dyDescent="0.2">
      <c r="A54" s="5" t="s">
        <v>468</v>
      </c>
      <c r="B54" s="1" t="s">
        <v>643</v>
      </c>
      <c r="C54" s="4" t="s">
        <v>465</v>
      </c>
      <c r="D54" s="1" t="s">
        <v>447</v>
      </c>
      <c r="E54" s="1">
        <v>1E-4</v>
      </c>
      <c r="F54" s="1" t="s">
        <v>1158</v>
      </c>
      <c r="G54" s="1" t="s">
        <v>1080</v>
      </c>
      <c r="H54" s="1" t="s">
        <v>1087</v>
      </c>
      <c r="I54" s="1" t="s">
        <v>469</v>
      </c>
    </row>
    <row r="55" spans="1:9" x14ac:dyDescent="0.2">
      <c r="A55" s="5" t="s">
        <v>668</v>
      </c>
      <c r="B55" s="1" t="s">
        <v>643</v>
      </c>
      <c r="C55" s="4" t="s">
        <v>669</v>
      </c>
      <c r="D55" s="1" t="s">
        <v>447</v>
      </c>
      <c r="E55" s="1">
        <v>0.5</v>
      </c>
      <c r="F55" s="1" t="s">
        <v>1150</v>
      </c>
      <c r="G55" s="1" t="s">
        <v>1147</v>
      </c>
      <c r="H55" s="1" t="s">
        <v>1087</v>
      </c>
      <c r="I55" s="1" t="s">
        <v>670</v>
      </c>
    </row>
    <row r="56" spans="1:9" x14ac:dyDescent="0.2">
      <c r="A56" s="5" t="s">
        <v>672</v>
      </c>
      <c r="B56" s="1" t="s">
        <v>643</v>
      </c>
      <c r="C56" s="4" t="s">
        <v>673</v>
      </c>
      <c r="D56" s="1" t="s">
        <v>447</v>
      </c>
      <c r="E56" s="1" t="s">
        <v>1088</v>
      </c>
      <c r="F56" s="1" t="s">
        <v>1158</v>
      </c>
      <c r="G56" s="1" t="s">
        <v>1080</v>
      </c>
      <c r="H56" s="1" t="s">
        <v>1087</v>
      </c>
      <c r="I56" s="5" t="s">
        <v>1161</v>
      </c>
    </row>
    <row r="57" spans="1:9" x14ac:dyDescent="0.2">
      <c r="A57" s="5" t="s">
        <v>674</v>
      </c>
      <c r="B57" s="1" t="s">
        <v>643</v>
      </c>
      <c r="C57" s="4" t="s">
        <v>675</v>
      </c>
      <c r="D57" s="1" t="s">
        <v>447</v>
      </c>
      <c r="E57" s="1">
        <v>3.0000000000000001E-3</v>
      </c>
      <c r="F57" s="1" t="s">
        <v>1158</v>
      </c>
      <c r="G57" s="1" t="s">
        <v>1080</v>
      </c>
      <c r="H57" s="1" t="s">
        <v>1087</v>
      </c>
      <c r="I57" s="1" t="s">
        <v>678</v>
      </c>
    </row>
    <row r="58" spans="1:9" x14ac:dyDescent="0.2">
      <c r="A58" s="5" t="s">
        <v>676</v>
      </c>
      <c r="B58" s="1" t="s">
        <v>643</v>
      </c>
      <c r="C58" s="4" t="s">
        <v>677</v>
      </c>
      <c r="D58" s="1" t="s">
        <v>447</v>
      </c>
      <c r="E58" s="1" t="s">
        <v>1088</v>
      </c>
      <c r="F58" s="1" t="s">
        <v>1159</v>
      </c>
      <c r="G58" s="1" t="s">
        <v>1146</v>
      </c>
      <c r="H58" s="1" t="s">
        <v>1087</v>
      </c>
      <c r="I58" s="1" t="s">
        <v>1165</v>
      </c>
    </row>
    <row r="59" spans="1:9" x14ac:dyDescent="0.2">
      <c r="A59" s="5" t="s">
        <v>679</v>
      </c>
      <c r="B59" s="1" t="s">
        <v>643</v>
      </c>
      <c r="C59" s="4" t="s">
        <v>685</v>
      </c>
      <c r="D59" s="1" t="s">
        <v>447</v>
      </c>
      <c r="E59" s="1">
        <v>500</v>
      </c>
      <c r="F59" s="1" t="s">
        <v>1173</v>
      </c>
      <c r="G59" s="1" t="s">
        <v>1088</v>
      </c>
      <c r="H59" s="1" t="s">
        <v>1172</v>
      </c>
      <c r="I59" s="1" t="s">
        <v>686</v>
      </c>
    </row>
    <row r="60" spans="1:9" x14ac:dyDescent="0.2">
      <c r="A60" s="5" t="s">
        <v>680</v>
      </c>
      <c r="B60" s="1" t="s">
        <v>643</v>
      </c>
      <c r="C60" s="4" t="s">
        <v>687</v>
      </c>
      <c r="D60" s="1" t="s">
        <v>447</v>
      </c>
      <c r="E60" s="1">
        <v>813.3</v>
      </c>
      <c r="F60" s="1" t="s">
        <v>1180</v>
      </c>
      <c r="G60" s="1" t="s">
        <v>1181</v>
      </c>
      <c r="H60" s="1" t="s">
        <v>1087</v>
      </c>
      <c r="I60" s="1" t="s">
        <v>688</v>
      </c>
    </row>
    <row r="61" spans="1:9" x14ac:dyDescent="0.2">
      <c r="A61" s="5" t="s">
        <v>681</v>
      </c>
      <c r="B61" s="1" t="s">
        <v>643</v>
      </c>
      <c r="C61" s="4" t="s">
        <v>689</v>
      </c>
      <c r="D61" s="1" t="s">
        <v>447</v>
      </c>
      <c r="E61" s="1" t="s">
        <v>1088</v>
      </c>
      <c r="F61" s="1" t="s">
        <v>1180</v>
      </c>
      <c r="G61" s="1" t="s">
        <v>1147</v>
      </c>
      <c r="H61" s="1" t="s">
        <v>1087</v>
      </c>
      <c r="I61" s="1" t="s">
        <v>690</v>
      </c>
    </row>
    <row r="62" spans="1:9" x14ac:dyDescent="0.2">
      <c r="A62" s="5" t="s">
        <v>682</v>
      </c>
      <c r="B62" s="1" t="s">
        <v>643</v>
      </c>
      <c r="C62" s="4" t="s">
        <v>691</v>
      </c>
      <c r="D62" s="1" t="s">
        <v>447</v>
      </c>
      <c r="E62" s="1" t="s">
        <v>1088</v>
      </c>
      <c r="F62" s="1" t="s">
        <v>1221</v>
      </c>
      <c r="G62" s="1" t="s">
        <v>1152</v>
      </c>
      <c r="H62" s="1" t="s">
        <v>1222</v>
      </c>
      <c r="I62" s="1" t="s">
        <v>692</v>
      </c>
    </row>
    <row r="63" spans="1:9" x14ac:dyDescent="0.2">
      <c r="A63" s="5" t="s">
        <v>683</v>
      </c>
      <c r="B63" s="1" t="s">
        <v>643</v>
      </c>
      <c r="C63" s="4" t="s">
        <v>693</v>
      </c>
      <c r="D63" s="1" t="s">
        <v>447</v>
      </c>
      <c r="E63" s="1">
        <v>180</v>
      </c>
      <c r="F63" s="1" t="s">
        <v>1180</v>
      </c>
      <c r="G63" s="1" t="s">
        <v>1088</v>
      </c>
      <c r="H63" s="1" t="s">
        <v>1087</v>
      </c>
      <c r="I63" s="1" t="s">
        <v>695</v>
      </c>
    </row>
    <row r="64" spans="1:9" x14ac:dyDescent="0.2">
      <c r="A64" s="5" t="s">
        <v>684</v>
      </c>
      <c r="B64" s="1" t="s">
        <v>643</v>
      </c>
      <c r="C64" s="4" t="s">
        <v>694</v>
      </c>
      <c r="D64" s="1" t="s">
        <v>447</v>
      </c>
      <c r="E64" s="1" t="s">
        <v>1088</v>
      </c>
      <c r="F64" s="1" t="s">
        <v>1180</v>
      </c>
      <c r="G64" s="1" t="s">
        <v>1088</v>
      </c>
      <c r="H64" s="1" t="s">
        <v>1087</v>
      </c>
      <c r="I64" s="1" t="s">
        <v>696</v>
      </c>
    </row>
    <row r="65" spans="1:9" x14ac:dyDescent="0.2">
      <c r="A65" s="5" t="s">
        <v>698</v>
      </c>
      <c r="B65" s="1" t="s">
        <v>697</v>
      </c>
      <c r="C65" s="4" t="s">
        <v>702</v>
      </c>
      <c r="D65" s="1" t="s">
        <v>447</v>
      </c>
      <c r="E65" s="1">
        <v>50</v>
      </c>
      <c r="F65" s="1" t="s">
        <v>1150</v>
      </c>
      <c r="G65" s="1" t="s">
        <v>1166</v>
      </c>
      <c r="H65" s="1" t="s">
        <v>1167</v>
      </c>
      <c r="I65" s="1" t="s">
        <v>706</v>
      </c>
    </row>
    <row r="66" spans="1:9" x14ac:dyDescent="0.2">
      <c r="A66" s="5" t="s">
        <v>699</v>
      </c>
      <c r="B66" s="1" t="s">
        <v>697</v>
      </c>
      <c r="C66" s="4" t="s">
        <v>703</v>
      </c>
      <c r="D66" s="1" t="s">
        <v>447</v>
      </c>
      <c r="E66" s="1">
        <v>50</v>
      </c>
      <c r="F66" s="1" t="s">
        <v>1150</v>
      </c>
      <c r="G66" s="1" t="s">
        <v>1166</v>
      </c>
      <c r="H66" s="1" t="s">
        <v>1167</v>
      </c>
      <c r="I66" s="1" t="s">
        <v>706</v>
      </c>
    </row>
    <row r="67" spans="1:9" x14ac:dyDescent="0.2">
      <c r="A67" s="5" t="s">
        <v>700</v>
      </c>
      <c r="B67" s="1" t="s">
        <v>697</v>
      </c>
      <c r="C67" s="4" t="s">
        <v>704</v>
      </c>
      <c r="D67" s="1" t="s">
        <v>447</v>
      </c>
      <c r="E67" s="1">
        <v>50</v>
      </c>
      <c r="F67" s="1" t="s">
        <v>1150</v>
      </c>
      <c r="G67" s="1" t="s">
        <v>1166</v>
      </c>
      <c r="H67" s="1" t="s">
        <v>1167</v>
      </c>
      <c r="I67" s="1" t="s">
        <v>706</v>
      </c>
    </row>
    <row r="68" spans="1:9" x14ac:dyDescent="0.2">
      <c r="A68" s="5" t="s">
        <v>701</v>
      </c>
      <c r="B68" s="1" t="s">
        <v>697</v>
      </c>
      <c r="C68" s="4" t="s">
        <v>705</v>
      </c>
      <c r="D68" s="1" t="s">
        <v>447</v>
      </c>
      <c r="E68" s="1">
        <v>50</v>
      </c>
      <c r="F68" s="1" t="s">
        <v>1150</v>
      </c>
      <c r="G68" s="1" t="s">
        <v>1166</v>
      </c>
      <c r="H68" s="1" t="s">
        <v>1167</v>
      </c>
      <c r="I68" s="1" t="s">
        <v>706</v>
      </c>
    </row>
    <row r="69" spans="1:9" x14ac:dyDescent="0.2">
      <c r="A69" s="5" t="s">
        <v>452</v>
      </c>
      <c r="B69" s="1" t="s">
        <v>644</v>
      </c>
      <c r="C69" s="4" t="s">
        <v>453</v>
      </c>
      <c r="D69" s="1" t="s">
        <v>447</v>
      </c>
      <c r="E69" s="1">
        <v>6.3E-2</v>
      </c>
      <c r="F69" s="1" t="s">
        <v>1150</v>
      </c>
      <c r="G69" s="1" t="s">
        <v>1166</v>
      </c>
      <c r="H69" s="1" t="s">
        <v>1167</v>
      </c>
      <c r="I69" s="1" t="s">
        <v>1231</v>
      </c>
    </row>
    <row r="70" spans="1:9" x14ac:dyDescent="0.2">
      <c r="A70" s="5" t="s">
        <v>454</v>
      </c>
      <c r="B70" s="1" t="s">
        <v>644</v>
      </c>
      <c r="C70" s="4" t="s">
        <v>453</v>
      </c>
      <c r="D70" s="1" t="s">
        <v>447</v>
      </c>
      <c r="E70" s="1">
        <v>6.3E-2</v>
      </c>
      <c r="F70" s="1" t="s">
        <v>1150</v>
      </c>
      <c r="G70" s="1" t="s">
        <v>1166</v>
      </c>
      <c r="H70" s="1" t="s">
        <v>1167</v>
      </c>
      <c r="I70" s="1" t="s">
        <v>1231</v>
      </c>
    </row>
    <row r="71" spans="1:9" x14ac:dyDescent="0.2">
      <c r="A71" s="5" t="s">
        <v>455</v>
      </c>
      <c r="B71" s="1" t="s">
        <v>644</v>
      </c>
      <c r="C71" s="4" t="s">
        <v>453</v>
      </c>
      <c r="D71" s="1" t="s">
        <v>447</v>
      </c>
      <c r="E71" s="1">
        <v>6.3E-2</v>
      </c>
      <c r="F71" s="1" t="s">
        <v>1150</v>
      </c>
      <c r="G71" s="1" t="s">
        <v>1166</v>
      </c>
      <c r="H71" s="1" t="s">
        <v>1167</v>
      </c>
      <c r="I71" s="1" t="s">
        <v>1231</v>
      </c>
    </row>
    <row r="72" spans="1:9" x14ac:dyDescent="0.2">
      <c r="A72" s="5" t="s">
        <v>462</v>
      </c>
      <c r="B72" s="1" t="s">
        <v>644</v>
      </c>
      <c r="C72" s="4" t="s">
        <v>453</v>
      </c>
      <c r="D72" s="1" t="s">
        <v>447</v>
      </c>
      <c r="E72" s="1">
        <v>6.3E-2</v>
      </c>
      <c r="F72" s="1" t="s">
        <v>1150</v>
      </c>
      <c r="G72" s="1" t="s">
        <v>1166</v>
      </c>
      <c r="H72" s="1" t="s">
        <v>1167</v>
      </c>
      <c r="I72" s="1" t="s">
        <v>1231</v>
      </c>
    </row>
    <row r="73" spans="1:9" x14ac:dyDescent="0.2">
      <c r="A73" s="5" t="s">
        <v>456</v>
      </c>
      <c r="B73" s="1" t="s">
        <v>644</v>
      </c>
      <c r="C73" s="4" t="s">
        <v>453</v>
      </c>
      <c r="D73" s="1" t="s">
        <v>447</v>
      </c>
      <c r="E73" s="1">
        <v>6.3E-2</v>
      </c>
      <c r="F73" s="1" t="s">
        <v>1150</v>
      </c>
      <c r="G73" s="1" t="s">
        <v>1166</v>
      </c>
      <c r="H73" s="1" t="s">
        <v>1167</v>
      </c>
      <c r="I73" s="1" t="s">
        <v>1231</v>
      </c>
    </row>
    <row r="74" spans="1:9" x14ac:dyDescent="0.2">
      <c r="A74" s="5" t="s">
        <v>457</v>
      </c>
      <c r="B74" s="1" t="s">
        <v>644</v>
      </c>
      <c r="C74" s="4" t="s">
        <v>453</v>
      </c>
      <c r="D74" s="1" t="s">
        <v>447</v>
      </c>
      <c r="E74" s="1">
        <v>6.3E-2</v>
      </c>
      <c r="F74" s="1" t="s">
        <v>1150</v>
      </c>
      <c r="G74" s="1" t="s">
        <v>1166</v>
      </c>
      <c r="H74" s="1" t="s">
        <v>1167</v>
      </c>
      <c r="I74" s="1" t="s">
        <v>1231</v>
      </c>
    </row>
    <row r="75" spans="1:9" x14ac:dyDescent="0.2">
      <c r="A75" s="5" t="s">
        <v>458</v>
      </c>
      <c r="B75" s="1" t="s">
        <v>644</v>
      </c>
      <c r="C75" s="4" t="s">
        <v>453</v>
      </c>
      <c r="D75" s="1" t="s">
        <v>447</v>
      </c>
      <c r="E75" s="1">
        <v>6.3E-2</v>
      </c>
      <c r="F75" s="1" t="s">
        <v>1150</v>
      </c>
      <c r="G75" s="1" t="s">
        <v>1166</v>
      </c>
      <c r="H75" s="1" t="s">
        <v>1167</v>
      </c>
      <c r="I75" s="1" t="s">
        <v>1231</v>
      </c>
    </row>
    <row r="76" spans="1:9" x14ac:dyDescent="0.2">
      <c r="A76" s="5" t="s">
        <v>599</v>
      </c>
      <c r="B76" s="1" t="s">
        <v>644</v>
      </c>
      <c r="C76" s="4" t="s">
        <v>453</v>
      </c>
      <c r="D76" s="1" t="s">
        <v>447</v>
      </c>
      <c r="E76" s="1">
        <v>6.3E-2</v>
      </c>
      <c r="F76" s="1" t="s">
        <v>1150</v>
      </c>
      <c r="G76" s="1" t="s">
        <v>1166</v>
      </c>
      <c r="H76" s="1" t="s">
        <v>1167</v>
      </c>
      <c r="I76" s="1" t="s">
        <v>1231</v>
      </c>
    </row>
    <row r="77" spans="1:9" x14ac:dyDescent="0.2">
      <c r="A77" s="5" t="s">
        <v>461</v>
      </c>
      <c r="B77" s="1" t="s">
        <v>644</v>
      </c>
      <c r="C77" s="4" t="s">
        <v>453</v>
      </c>
      <c r="D77" s="1" t="s">
        <v>447</v>
      </c>
      <c r="E77" s="1">
        <v>6.3E-2</v>
      </c>
      <c r="F77" s="1" t="s">
        <v>1150</v>
      </c>
      <c r="G77" s="1" t="s">
        <v>1166</v>
      </c>
      <c r="H77" s="1" t="s">
        <v>1167</v>
      </c>
      <c r="I77" s="1" t="s">
        <v>1231</v>
      </c>
    </row>
    <row r="78" spans="1:9" x14ac:dyDescent="0.2">
      <c r="A78" s="5" t="s">
        <v>460</v>
      </c>
      <c r="B78" s="1" t="s">
        <v>644</v>
      </c>
      <c r="C78" s="4" t="s">
        <v>453</v>
      </c>
      <c r="D78" s="1" t="s">
        <v>447</v>
      </c>
      <c r="E78" s="1">
        <v>6.3E-2</v>
      </c>
      <c r="F78" s="1" t="s">
        <v>1150</v>
      </c>
      <c r="G78" s="1" t="s">
        <v>1166</v>
      </c>
      <c r="H78" s="1" t="s">
        <v>1167</v>
      </c>
      <c r="I78" s="1" t="s">
        <v>1231</v>
      </c>
    </row>
    <row r="79" spans="1:9" x14ac:dyDescent="0.2">
      <c r="A79" s="5" t="s">
        <v>459</v>
      </c>
      <c r="B79" s="1" t="s">
        <v>644</v>
      </c>
      <c r="C79" s="4" t="s">
        <v>453</v>
      </c>
      <c r="D79" s="1" t="s">
        <v>447</v>
      </c>
      <c r="E79" s="1">
        <v>6.3E-2</v>
      </c>
      <c r="F79" s="1" t="s">
        <v>1150</v>
      </c>
      <c r="G79" s="1" t="s">
        <v>1166</v>
      </c>
      <c r="H79" s="1" t="s">
        <v>1167</v>
      </c>
      <c r="I79" s="1" t="s">
        <v>1231</v>
      </c>
    </row>
    <row r="80" spans="1:9" x14ac:dyDescent="0.2">
      <c r="A80" s="5" t="s">
        <v>600</v>
      </c>
      <c r="B80" s="1" t="s">
        <v>644</v>
      </c>
      <c r="C80" s="4" t="s">
        <v>453</v>
      </c>
      <c r="D80" s="1" t="s">
        <v>447</v>
      </c>
      <c r="E80" s="1">
        <v>6.3E-2</v>
      </c>
      <c r="F80" s="1" t="s">
        <v>1150</v>
      </c>
      <c r="G80" s="1" t="s">
        <v>1166</v>
      </c>
      <c r="H80" s="1" t="s">
        <v>1167</v>
      </c>
      <c r="I80" s="1" t="s">
        <v>1231</v>
      </c>
    </row>
    <row r="81" spans="1:9" x14ac:dyDescent="0.2">
      <c r="A81" s="5" t="s">
        <v>645</v>
      </c>
      <c r="B81" s="1" t="s">
        <v>644</v>
      </c>
      <c r="C81" s="4" t="s">
        <v>651</v>
      </c>
      <c r="D81" s="1" t="s">
        <v>447</v>
      </c>
      <c r="E81" s="1">
        <v>0.5</v>
      </c>
      <c r="F81" s="1" t="s">
        <v>1168</v>
      </c>
      <c r="G81" s="1" t="s">
        <v>1170</v>
      </c>
      <c r="H81" s="1" t="s">
        <v>1169</v>
      </c>
      <c r="I81" s="1" t="s">
        <v>657</v>
      </c>
    </row>
    <row r="82" spans="1:9" x14ac:dyDescent="0.2">
      <c r="A82" s="5" t="s">
        <v>646</v>
      </c>
      <c r="B82" s="1" t="s">
        <v>644</v>
      </c>
      <c r="C82" s="4" t="s">
        <v>652</v>
      </c>
      <c r="D82" s="1" t="s">
        <v>447</v>
      </c>
      <c r="E82" s="1">
        <v>0.5</v>
      </c>
      <c r="F82" s="1" t="s">
        <v>1168</v>
      </c>
      <c r="G82" s="1" t="s">
        <v>1170</v>
      </c>
      <c r="H82" s="1" t="s">
        <v>1169</v>
      </c>
      <c r="I82" s="1" t="s">
        <v>657</v>
      </c>
    </row>
    <row r="83" spans="1:9" x14ac:dyDescent="0.2">
      <c r="A83" s="5" t="s">
        <v>647</v>
      </c>
      <c r="B83" s="1" t="s">
        <v>644</v>
      </c>
      <c r="C83" s="4" t="s">
        <v>653</v>
      </c>
      <c r="D83" s="1" t="s">
        <v>447</v>
      </c>
      <c r="E83" s="1">
        <v>0.5</v>
      </c>
      <c r="F83" s="1" t="s">
        <v>1168</v>
      </c>
      <c r="G83" s="1" t="s">
        <v>1170</v>
      </c>
      <c r="H83" s="1" t="s">
        <v>1169</v>
      </c>
      <c r="I83" s="1" t="s">
        <v>657</v>
      </c>
    </row>
    <row r="84" spans="1:9" x14ac:dyDescent="0.2">
      <c r="A84" s="5" t="s">
        <v>648</v>
      </c>
      <c r="B84" s="1" t="s">
        <v>644</v>
      </c>
      <c r="C84" s="4" t="s">
        <v>654</v>
      </c>
      <c r="D84" s="1" t="s">
        <v>447</v>
      </c>
      <c r="E84" s="1">
        <v>0.5</v>
      </c>
      <c r="F84" s="1" t="s">
        <v>1168</v>
      </c>
      <c r="G84" s="1" t="s">
        <v>1170</v>
      </c>
      <c r="H84" s="1" t="s">
        <v>1169</v>
      </c>
      <c r="I84" s="1" t="s">
        <v>657</v>
      </c>
    </row>
    <row r="85" spans="1:9" x14ac:dyDescent="0.2">
      <c r="A85" s="5" t="s">
        <v>649</v>
      </c>
      <c r="B85" s="1" t="s">
        <v>644</v>
      </c>
      <c r="C85" s="4" t="s">
        <v>655</v>
      </c>
      <c r="D85" s="1" t="s">
        <v>447</v>
      </c>
      <c r="E85" s="1">
        <v>0.5</v>
      </c>
      <c r="F85" s="1" t="s">
        <v>1168</v>
      </c>
      <c r="G85" s="1" t="s">
        <v>1170</v>
      </c>
      <c r="H85" s="1" t="s">
        <v>1169</v>
      </c>
      <c r="I85" s="1" t="s">
        <v>657</v>
      </c>
    </row>
    <row r="86" spans="1:9" x14ac:dyDescent="0.2">
      <c r="A86" s="5" t="s">
        <v>650</v>
      </c>
      <c r="B86" s="1" t="s">
        <v>644</v>
      </c>
      <c r="C86" s="4" t="s">
        <v>656</v>
      </c>
      <c r="D86" s="1" t="s">
        <v>447</v>
      </c>
      <c r="E86" s="1">
        <v>0.5</v>
      </c>
      <c r="F86" s="1" t="s">
        <v>1168</v>
      </c>
      <c r="G86" s="1" t="s">
        <v>1170</v>
      </c>
      <c r="H86" s="1" t="s">
        <v>1169</v>
      </c>
      <c r="I86" s="1" t="s">
        <v>657</v>
      </c>
    </row>
    <row r="87" spans="1:9" x14ac:dyDescent="0.2">
      <c r="A87" s="1" t="s">
        <v>664</v>
      </c>
      <c r="B87" s="1" t="s">
        <v>644</v>
      </c>
      <c r="C87" s="4" t="s">
        <v>665</v>
      </c>
      <c r="D87" s="1" t="s">
        <v>447</v>
      </c>
      <c r="E87" s="1">
        <v>2</v>
      </c>
      <c r="F87" s="1" t="s">
        <v>1150</v>
      </c>
      <c r="G87" s="1" t="s">
        <v>1146</v>
      </c>
      <c r="H87" s="1" t="s">
        <v>1167</v>
      </c>
      <c r="I87" s="1" t="s">
        <v>666</v>
      </c>
    </row>
    <row r="88" spans="1:9" x14ac:dyDescent="0.2">
      <c r="A88" s="1" t="s">
        <v>660</v>
      </c>
      <c r="B88" s="1" t="s">
        <v>661</v>
      </c>
      <c r="C88" s="4" t="s">
        <v>662</v>
      </c>
      <c r="D88" s="1" t="s">
        <v>447</v>
      </c>
      <c r="E88" s="1">
        <v>0.1</v>
      </c>
      <c r="F88" s="1" t="s">
        <v>1150</v>
      </c>
      <c r="G88" s="1" t="s">
        <v>1171</v>
      </c>
      <c r="H88" s="1" t="s">
        <v>1085</v>
      </c>
      <c r="I88" s="1" t="s">
        <v>1233</v>
      </c>
    </row>
    <row r="89" spans="1:9" x14ac:dyDescent="0.2">
      <c r="B89" s="1"/>
      <c r="D89" s="1" t="s">
        <v>447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F28C1-D078-6045-AA07-45B480BD0A2C}">
  <sheetPr codeName="Sheet9"/>
  <dimension ref="A2:G4"/>
  <sheetViews>
    <sheetView zoomScale="133" workbookViewId="0">
      <selection activeCell="B10" sqref="B10"/>
    </sheetView>
  </sheetViews>
  <sheetFormatPr baseColWidth="10" defaultRowHeight="16" x14ac:dyDescent="0.2"/>
  <cols>
    <col min="1" max="1" width="13.6640625" bestFit="1" customWidth="1"/>
    <col min="2" max="2" width="67" bestFit="1" customWidth="1"/>
    <col min="3" max="3" width="11" bestFit="1" customWidth="1"/>
    <col min="5" max="5" width="15.33203125" bestFit="1" customWidth="1"/>
    <col min="7" max="7" width="13.6640625" bestFit="1" customWidth="1"/>
  </cols>
  <sheetData>
    <row r="2" spans="1:7" x14ac:dyDescent="0.2">
      <c r="A2" s="77" t="s">
        <v>519</v>
      </c>
      <c r="B2" s="77" t="s">
        <v>1071</v>
      </c>
      <c r="C2" s="77" t="s">
        <v>638</v>
      </c>
      <c r="D2" s="77" t="s">
        <v>633</v>
      </c>
      <c r="E2" s="77" t="s">
        <v>636</v>
      </c>
      <c r="F2" s="77" t="s">
        <v>637</v>
      </c>
      <c r="G2" s="77" t="s">
        <v>516</v>
      </c>
    </row>
    <row r="3" spans="1:7" x14ac:dyDescent="0.2">
      <c r="A3" s="1" t="s">
        <v>634</v>
      </c>
      <c r="B3" s="1" t="s">
        <v>639</v>
      </c>
      <c r="C3" s="1">
        <v>300</v>
      </c>
      <c r="D3" s="1">
        <v>11.5</v>
      </c>
      <c r="E3" s="1">
        <v>60</v>
      </c>
      <c r="F3" s="1">
        <v>6</v>
      </c>
      <c r="G3" s="1" t="s">
        <v>618</v>
      </c>
    </row>
    <row r="4" spans="1:7" x14ac:dyDescent="0.2">
      <c r="A4" s="1" t="s">
        <v>635</v>
      </c>
      <c r="B4" s="1" t="s">
        <v>640</v>
      </c>
      <c r="C4" s="1">
        <v>300</v>
      </c>
      <c r="D4" s="1">
        <v>11.5</v>
      </c>
      <c r="E4" s="1">
        <v>60</v>
      </c>
      <c r="F4" s="1">
        <v>6</v>
      </c>
      <c r="G4" s="1" t="s">
        <v>618</v>
      </c>
    </row>
  </sheetData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FC419-2BEB-A148-86A0-AF287EF638B2}">
  <sheetPr codeName="Sheet10"/>
  <dimension ref="A2:B23"/>
  <sheetViews>
    <sheetView workbookViewId="0">
      <selection activeCell="M14" sqref="M14"/>
    </sheetView>
  </sheetViews>
  <sheetFormatPr baseColWidth="10" defaultRowHeight="16" x14ac:dyDescent="0.2"/>
  <sheetData>
    <row r="2" spans="1:2" x14ac:dyDescent="0.2">
      <c r="A2" s="2" t="s">
        <v>1460</v>
      </c>
    </row>
    <row r="3" spans="1:2" x14ac:dyDescent="0.2">
      <c r="A3" s="2" t="s">
        <v>42</v>
      </c>
      <c r="B3" s="2" t="s">
        <v>76</v>
      </c>
    </row>
    <row r="4" spans="1:2" x14ac:dyDescent="0.2">
      <c r="A4" t="s">
        <v>45</v>
      </c>
      <c r="B4" t="s">
        <v>46</v>
      </c>
    </row>
    <row r="5" spans="1:2" x14ac:dyDescent="0.2">
      <c r="A5" t="s">
        <v>58</v>
      </c>
      <c r="B5" t="s">
        <v>43</v>
      </c>
    </row>
    <row r="6" spans="1:2" x14ac:dyDescent="0.2">
      <c r="A6" t="s">
        <v>55</v>
      </c>
      <c r="B6" t="s">
        <v>44</v>
      </c>
    </row>
    <row r="7" spans="1:2" x14ac:dyDescent="0.2">
      <c r="A7" t="s">
        <v>54</v>
      </c>
      <c r="B7" t="s">
        <v>60</v>
      </c>
    </row>
    <row r="8" spans="1:2" x14ac:dyDescent="0.2">
      <c r="A8" t="s">
        <v>56</v>
      </c>
      <c r="B8" t="s">
        <v>62</v>
      </c>
    </row>
    <row r="9" spans="1:2" x14ac:dyDescent="0.2">
      <c r="A9" t="s">
        <v>61</v>
      </c>
      <c r="B9" t="s">
        <v>67</v>
      </c>
    </row>
    <row r="10" spans="1:2" x14ac:dyDescent="0.2">
      <c r="A10" t="s">
        <v>75</v>
      </c>
      <c r="B10" t="s">
        <v>74</v>
      </c>
    </row>
    <row r="11" spans="1:2" x14ac:dyDescent="0.2">
      <c r="A11" t="s">
        <v>319</v>
      </c>
      <c r="B11" t="s">
        <v>566</v>
      </c>
    </row>
    <row r="12" spans="1:2" x14ac:dyDescent="0.2">
      <c r="A12" t="s">
        <v>57</v>
      </c>
      <c r="B12" t="s">
        <v>136</v>
      </c>
    </row>
    <row r="13" spans="1:2" x14ac:dyDescent="0.2">
      <c r="A13" t="s">
        <v>372</v>
      </c>
      <c r="B13" t="s">
        <v>840</v>
      </c>
    </row>
    <row r="14" spans="1:2" x14ac:dyDescent="0.2">
      <c r="A14" t="s">
        <v>205</v>
      </c>
      <c r="B14" t="s">
        <v>552</v>
      </c>
    </row>
    <row r="15" spans="1:2" x14ac:dyDescent="0.2">
      <c r="A15" t="s">
        <v>135</v>
      </c>
      <c r="B15" t="s">
        <v>1255</v>
      </c>
    </row>
    <row r="17" spans="1:2" x14ac:dyDescent="0.2">
      <c r="A17" s="2" t="s">
        <v>1470</v>
      </c>
    </row>
    <row r="18" spans="1:2" x14ac:dyDescent="0.2">
      <c r="A18" s="2" t="s">
        <v>1459</v>
      </c>
      <c r="B18" s="2" t="s">
        <v>76</v>
      </c>
    </row>
    <row r="19" spans="1:2" x14ac:dyDescent="0.2">
      <c r="A19" s="64"/>
      <c r="B19" t="s">
        <v>1455</v>
      </c>
    </row>
    <row r="20" spans="1:2" x14ac:dyDescent="0.2">
      <c r="A20" s="65"/>
      <c r="B20" t="s">
        <v>62</v>
      </c>
    </row>
    <row r="21" spans="1:2" x14ac:dyDescent="0.2">
      <c r="A21" s="66"/>
      <c r="B21" t="s">
        <v>1456</v>
      </c>
    </row>
    <row r="22" spans="1:2" x14ac:dyDescent="0.2">
      <c r="A22" s="67"/>
      <c r="B22" t="s">
        <v>1457</v>
      </c>
    </row>
    <row r="23" spans="1:2" x14ac:dyDescent="0.2">
      <c r="A23" s="68"/>
      <c r="B23" t="s">
        <v>1458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F7835-B287-634D-AD9B-D25F5069A9A5}">
  <sheetPr codeName="Sheet11"/>
  <dimension ref="A1:C58"/>
  <sheetViews>
    <sheetView zoomScale="125" zoomScaleNormal="125" workbookViewId="0">
      <selection activeCell="A7" sqref="A7"/>
    </sheetView>
  </sheetViews>
  <sheetFormatPr baseColWidth="10" defaultRowHeight="16" x14ac:dyDescent="0.2"/>
  <cols>
    <col min="1" max="1" width="24.6640625" style="23" bestFit="1" customWidth="1"/>
    <col min="2" max="2" width="157.6640625" bestFit="1" customWidth="1"/>
    <col min="3" max="3" width="59.5" bestFit="1" customWidth="1"/>
  </cols>
  <sheetData>
    <row r="1" spans="1:3" x14ac:dyDescent="0.2">
      <c r="A1" s="3" t="s">
        <v>516</v>
      </c>
      <c r="B1" s="3" t="s">
        <v>535</v>
      </c>
      <c r="C1" s="3" t="s">
        <v>515</v>
      </c>
    </row>
    <row r="2" spans="1:3" x14ac:dyDescent="0.2">
      <c r="A2" s="50" t="s">
        <v>688</v>
      </c>
      <c r="B2" s="14" t="s">
        <v>1178</v>
      </c>
      <c r="C2" s="14" t="s">
        <v>1179</v>
      </c>
    </row>
    <row r="3" spans="1:3" s="23" customFormat="1" x14ac:dyDescent="0.2">
      <c r="A3" s="14" t="s">
        <v>301</v>
      </c>
      <c r="B3" s="25" t="s">
        <v>1214</v>
      </c>
      <c r="C3" s="14" t="s">
        <v>539</v>
      </c>
    </row>
    <row r="4" spans="1:3" x14ac:dyDescent="0.2">
      <c r="A4" s="23" t="s">
        <v>1231</v>
      </c>
      <c r="B4" t="s">
        <v>1192</v>
      </c>
      <c r="C4" t="s">
        <v>601</v>
      </c>
    </row>
    <row r="5" spans="1:3" x14ac:dyDescent="0.2">
      <c r="A5" s="14" t="s">
        <v>85</v>
      </c>
      <c r="B5" t="s">
        <v>1089</v>
      </c>
      <c r="C5" s="14" t="s">
        <v>518</v>
      </c>
    </row>
    <row r="6" spans="1:3" x14ac:dyDescent="0.2">
      <c r="A6" s="14" t="s">
        <v>657</v>
      </c>
      <c r="B6" t="s">
        <v>1215</v>
      </c>
      <c r="C6" s="14" t="s">
        <v>659</v>
      </c>
    </row>
    <row r="7" spans="1:3" x14ac:dyDescent="0.2">
      <c r="A7" s="14" t="s">
        <v>375</v>
      </c>
      <c r="B7" t="s">
        <v>1216</v>
      </c>
      <c r="C7" s="14" t="s">
        <v>554</v>
      </c>
    </row>
    <row r="8" spans="1:3" x14ac:dyDescent="0.2">
      <c r="A8" s="14" t="s">
        <v>1228</v>
      </c>
      <c r="B8" t="s">
        <v>1217</v>
      </c>
      <c r="C8" s="14" t="s">
        <v>525</v>
      </c>
    </row>
    <row r="9" spans="1:3" x14ac:dyDescent="0.2">
      <c r="A9" s="14" t="s">
        <v>1229</v>
      </c>
      <c r="B9" t="s">
        <v>1213</v>
      </c>
      <c r="C9" s="14" t="s">
        <v>526</v>
      </c>
    </row>
    <row r="10" spans="1:3" x14ac:dyDescent="0.2">
      <c r="A10" s="14" t="s">
        <v>541</v>
      </c>
      <c r="B10" t="s">
        <v>1212</v>
      </c>
      <c r="C10" t="s">
        <v>527</v>
      </c>
    </row>
    <row r="11" spans="1:3" x14ac:dyDescent="0.2">
      <c r="A11" s="14" t="s">
        <v>542</v>
      </c>
      <c r="B11" t="s">
        <v>1211</v>
      </c>
      <c r="C11" t="s">
        <v>555</v>
      </c>
    </row>
    <row r="12" spans="1:3" x14ac:dyDescent="0.2">
      <c r="A12" s="14" t="s">
        <v>207</v>
      </c>
      <c r="B12" t="s">
        <v>1210</v>
      </c>
      <c r="C12" t="s">
        <v>528</v>
      </c>
    </row>
    <row r="13" spans="1:3" x14ac:dyDescent="0.2">
      <c r="A13" s="14" t="s">
        <v>670</v>
      </c>
      <c r="B13" t="s">
        <v>1209</v>
      </c>
      <c r="C13" t="s">
        <v>671</v>
      </c>
    </row>
    <row r="14" spans="1:3" x14ac:dyDescent="0.2">
      <c r="A14" s="14" t="s">
        <v>611</v>
      </c>
      <c r="B14" t="s">
        <v>1208</v>
      </c>
      <c r="C14" t="s">
        <v>617</v>
      </c>
    </row>
    <row r="15" spans="1:3" x14ac:dyDescent="0.2">
      <c r="A15" s="14" t="s">
        <v>529</v>
      </c>
      <c r="B15" t="s">
        <v>1207</v>
      </c>
      <c r="C15" t="s">
        <v>530</v>
      </c>
    </row>
    <row r="16" spans="1:3" x14ac:dyDescent="0.2">
      <c r="A16" s="14" t="s">
        <v>1161</v>
      </c>
      <c r="B16" t="s">
        <v>1160</v>
      </c>
      <c r="C16" t="s">
        <v>1162</v>
      </c>
    </row>
    <row r="17" spans="1:3" x14ac:dyDescent="0.2">
      <c r="A17" s="14" t="s">
        <v>411</v>
      </c>
      <c r="B17" t="s">
        <v>1206</v>
      </c>
      <c r="C17" t="s">
        <v>538</v>
      </c>
    </row>
    <row r="18" spans="1:3" x14ac:dyDescent="0.2">
      <c r="A18" s="14" t="s">
        <v>77</v>
      </c>
      <c r="B18" t="s">
        <v>1205</v>
      </c>
      <c r="C18" s="14" t="s">
        <v>520</v>
      </c>
    </row>
    <row r="19" spans="1:3" x14ac:dyDescent="0.2">
      <c r="A19" s="14" t="s">
        <v>132</v>
      </c>
      <c r="B19" t="s">
        <v>1204</v>
      </c>
      <c r="C19" s="14" t="s">
        <v>537</v>
      </c>
    </row>
    <row r="20" spans="1:3" x14ac:dyDescent="0.2">
      <c r="A20" s="14" t="s">
        <v>389</v>
      </c>
      <c r="B20" t="s">
        <v>1183</v>
      </c>
      <c r="C20" t="s">
        <v>1445</v>
      </c>
    </row>
    <row r="21" spans="1:3" x14ac:dyDescent="0.2">
      <c r="A21" s="23" t="s">
        <v>1232</v>
      </c>
      <c r="B21" t="s">
        <v>1193</v>
      </c>
      <c r="C21" t="s">
        <v>663</v>
      </c>
    </row>
    <row r="22" spans="1:3" x14ac:dyDescent="0.2">
      <c r="A22" s="14" t="s">
        <v>103</v>
      </c>
      <c r="B22" t="s">
        <v>1094</v>
      </c>
      <c r="C22" s="14" t="s">
        <v>1095</v>
      </c>
    </row>
    <row r="23" spans="1:3" x14ac:dyDescent="0.2">
      <c r="A23" s="23" t="s">
        <v>451</v>
      </c>
      <c r="B23" t="s">
        <v>1203</v>
      </c>
      <c r="C23" t="s">
        <v>517</v>
      </c>
    </row>
    <row r="24" spans="1:3" x14ac:dyDescent="0.2">
      <c r="A24" s="23" t="s">
        <v>450</v>
      </c>
      <c r="B24" t="s">
        <v>1202</v>
      </c>
      <c r="C24" t="s">
        <v>534</v>
      </c>
    </row>
    <row r="25" spans="1:3" x14ac:dyDescent="0.2">
      <c r="A25" s="23" t="s">
        <v>106</v>
      </c>
      <c r="B25" t="s">
        <v>1201</v>
      </c>
      <c r="C25" t="s">
        <v>522</v>
      </c>
    </row>
    <row r="26" spans="1:3" x14ac:dyDescent="0.2">
      <c r="A26" s="23" t="s">
        <v>111</v>
      </c>
      <c r="B26" t="s">
        <v>1200</v>
      </c>
      <c r="C26" t="s">
        <v>523</v>
      </c>
    </row>
    <row r="27" spans="1:3" x14ac:dyDescent="0.2">
      <c r="A27" s="23" t="s">
        <v>384</v>
      </c>
      <c r="B27" t="s">
        <v>1199</v>
      </c>
      <c r="C27" t="s">
        <v>586</v>
      </c>
    </row>
    <row r="28" spans="1:3" x14ac:dyDescent="0.2">
      <c r="A28" s="23" t="s">
        <v>695</v>
      </c>
      <c r="B28" t="s">
        <v>1223</v>
      </c>
      <c r="C28" t="s">
        <v>1224</v>
      </c>
    </row>
    <row r="29" spans="1:3" x14ac:dyDescent="0.2">
      <c r="A29" s="23" t="s">
        <v>696</v>
      </c>
      <c r="B29" t="s">
        <v>1225</v>
      </c>
      <c r="C29" t="s">
        <v>1446</v>
      </c>
    </row>
    <row r="30" spans="1:3" x14ac:dyDescent="0.2">
      <c r="A30" t="s">
        <v>1392</v>
      </c>
      <c r="B30" t="s">
        <v>1436</v>
      </c>
      <c r="C30" t="s">
        <v>1447</v>
      </c>
    </row>
    <row r="31" spans="1:3" x14ac:dyDescent="0.2">
      <c r="A31" t="s">
        <v>1402</v>
      </c>
      <c r="B31" t="s">
        <v>1437</v>
      </c>
      <c r="C31" t="s">
        <v>1448</v>
      </c>
    </row>
    <row r="32" spans="1:3" x14ac:dyDescent="0.2">
      <c r="A32" t="s">
        <v>1306</v>
      </c>
      <c r="B32" s="63" t="s">
        <v>1438</v>
      </c>
      <c r="C32" t="s">
        <v>1449</v>
      </c>
    </row>
    <row r="33" spans="1:3" x14ac:dyDescent="0.2">
      <c r="A33" s="23" t="s">
        <v>469</v>
      </c>
      <c r="B33" t="s">
        <v>1198</v>
      </c>
      <c r="C33" t="s">
        <v>589</v>
      </c>
    </row>
    <row r="34" spans="1:3" x14ac:dyDescent="0.2">
      <c r="A34" s="23" t="s">
        <v>353</v>
      </c>
      <c r="B34" s="25" t="s">
        <v>1197</v>
      </c>
      <c r="C34" t="s">
        <v>1444</v>
      </c>
    </row>
    <row r="35" spans="1:3" x14ac:dyDescent="0.2">
      <c r="A35" t="s">
        <v>1324</v>
      </c>
      <c r="B35" t="s">
        <v>1439</v>
      </c>
      <c r="C35" t="s">
        <v>1444</v>
      </c>
    </row>
    <row r="36" spans="1:3" x14ac:dyDescent="0.2">
      <c r="A36" s="23" t="s">
        <v>618</v>
      </c>
      <c r="B36" s="25" t="s">
        <v>1196</v>
      </c>
      <c r="C36" t="s">
        <v>642</v>
      </c>
    </row>
    <row r="37" spans="1:3" x14ac:dyDescent="0.2">
      <c r="A37" t="s">
        <v>1368</v>
      </c>
      <c r="B37" t="s">
        <v>1435</v>
      </c>
      <c r="C37" t="s">
        <v>1450</v>
      </c>
    </row>
    <row r="38" spans="1:3" x14ac:dyDescent="0.2">
      <c r="A38" s="23" t="s">
        <v>1175</v>
      </c>
      <c r="B38" s="25" t="s">
        <v>1176</v>
      </c>
      <c r="C38" t="s">
        <v>1177</v>
      </c>
    </row>
    <row r="39" spans="1:3" x14ac:dyDescent="0.2">
      <c r="A39" s="23" t="s">
        <v>86</v>
      </c>
      <c r="B39" t="s">
        <v>1195</v>
      </c>
      <c r="C39" t="s">
        <v>521</v>
      </c>
    </row>
    <row r="40" spans="1:3" x14ac:dyDescent="0.2">
      <c r="A40" s="23" t="s">
        <v>110</v>
      </c>
      <c r="B40" t="s">
        <v>1194</v>
      </c>
      <c r="C40" t="s">
        <v>524</v>
      </c>
    </row>
    <row r="41" spans="1:3" x14ac:dyDescent="0.2">
      <c r="A41" s="23" t="s">
        <v>710</v>
      </c>
      <c r="B41" t="s">
        <v>712</v>
      </c>
      <c r="C41" t="s">
        <v>711</v>
      </c>
    </row>
    <row r="42" spans="1:3" x14ac:dyDescent="0.2">
      <c r="A42" s="23" t="s">
        <v>464</v>
      </c>
      <c r="B42" t="s">
        <v>532</v>
      </c>
      <c r="C42" t="s">
        <v>533</v>
      </c>
    </row>
    <row r="43" spans="1:3" x14ac:dyDescent="0.2">
      <c r="A43" t="s">
        <v>1406</v>
      </c>
      <c r="B43" t="s">
        <v>1440</v>
      </c>
      <c r="C43" t="s">
        <v>1451</v>
      </c>
    </row>
    <row r="44" spans="1:3" x14ac:dyDescent="0.2">
      <c r="A44" s="23" t="s">
        <v>690</v>
      </c>
      <c r="B44" t="s">
        <v>1182</v>
      </c>
      <c r="C44" t="s">
        <v>1218</v>
      </c>
    </row>
    <row r="45" spans="1:3" x14ac:dyDescent="0.2">
      <c r="A45" s="23" t="s">
        <v>371</v>
      </c>
      <c r="B45" t="s">
        <v>1191</v>
      </c>
      <c r="C45" t="s">
        <v>540</v>
      </c>
    </row>
    <row r="46" spans="1:3" x14ac:dyDescent="0.2">
      <c r="A46" s="23" t="s">
        <v>666</v>
      </c>
      <c r="B46" t="s">
        <v>1190</v>
      </c>
      <c r="C46" t="s">
        <v>667</v>
      </c>
    </row>
    <row r="47" spans="1:3" x14ac:dyDescent="0.2">
      <c r="A47" t="s">
        <v>1316</v>
      </c>
      <c r="B47" t="s">
        <v>1441</v>
      </c>
      <c r="C47" t="s">
        <v>1452</v>
      </c>
    </row>
    <row r="48" spans="1:3" x14ac:dyDescent="0.2">
      <c r="A48" s="50" t="s">
        <v>1320</v>
      </c>
      <c r="B48" t="s">
        <v>1442</v>
      </c>
      <c r="C48" t="s">
        <v>1453</v>
      </c>
    </row>
    <row r="49" spans="1:3" x14ac:dyDescent="0.2">
      <c r="A49" s="23" t="s">
        <v>428</v>
      </c>
      <c r="B49" t="s">
        <v>1189</v>
      </c>
      <c r="C49" t="s">
        <v>536</v>
      </c>
    </row>
    <row r="50" spans="1:3" x14ac:dyDescent="0.2">
      <c r="A50" s="23" t="s">
        <v>678</v>
      </c>
      <c r="B50" t="s">
        <v>708</v>
      </c>
      <c r="C50" t="s">
        <v>709</v>
      </c>
    </row>
    <row r="51" spans="1:3" x14ac:dyDescent="0.2">
      <c r="A51" s="23" t="s">
        <v>479</v>
      </c>
      <c r="B51" t="s">
        <v>1188</v>
      </c>
      <c r="C51" t="s">
        <v>557</v>
      </c>
    </row>
    <row r="52" spans="1:3" x14ac:dyDescent="0.2">
      <c r="A52" s="23" t="s">
        <v>287</v>
      </c>
      <c r="B52" s="25" t="s">
        <v>1187</v>
      </c>
      <c r="C52" t="s">
        <v>531</v>
      </c>
    </row>
    <row r="53" spans="1:3" x14ac:dyDescent="0.2">
      <c r="A53" s="23" t="s">
        <v>607</v>
      </c>
      <c r="B53" s="25" t="s">
        <v>1186</v>
      </c>
      <c r="C53" t="s">
        <v>608</v>
      </c>
    </row>
    <row r="54" spans="1:3" x14ac:dyDescent="0.2">
      <c r="A54" t="s">
        <v>1378</v>
      </c>
      <c r="B54" t="s">
        <v>1443</v>
      </c>
      <c r="C54" t="s">
        <v>1454</v>
      </c>
    </row>
    <row r="55" spans="1:3" x14ac:dyDescent="0.2">
      <c r="A55" s="23" t="s">
        <v>1165</v>
      </c>
      <c r="B55" t="s">
        <v>1163</v>
      </c>
      <c r="C55" t="s">
        <v>1164</v>
      </c>
    </row>
    <row r="56" spans="1:3" x14ac:dyDescent="0.2">
      <c r="A56" s="23" t="s">
        <v>422</v>
      </c>
      <c r="B56" t="s">
        <v>1184</v>
      </c>
      <c r="C56" t="s">
        <v>569</v>
      </c>
    </row>
    <row r="57" spans="1:3" x14ac:dyDescent="0.2">
      <c r="A57" s="23" t="s">
        <v>692</v>
      </c>
      <c r="B57" t="s">
        <v>1219</v>
      </c>
      <c r="C57" t="s">
        <v>1220</v>
      </c>
    </row>
    <row r="58" spans="1:3" x14ac:dyDescent="0.2">
      <c r="A58" s="23" t="s">
        <v>602</v>
      </c>
      <c r="B58" t="s">
        <v>1185</v>
      </c>
      <c r="C58" s="25" t="s">
        <v>603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MATLAB</vt:lpstr>
      <vt:lpstr>MATLAB_Distributions</vt:lpstr>
      <vt:lpstr>Database</vt:lpstr>
      <vt:lpstr>Properties</vt:lpstr>
      <vt:lpstr>Properties_Distributions</vt:lpstr>
      <vt:lpstr>Extraterrestrial_Samples_Info</vt:lpstr>
      <vt:lpstr>Terrestrial_Samples_Info</vt:lpstr>
      <vt:lpstr>Abiotic_Simulations</vt:lpstr>
      <vt:lpstr>Legends</vt:lpstr>
      <vt:lpstr>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Ramirez Colon, Jose Luis</dc:creator>
  <cp:lastModifiedBy>Ramirez Colon, Jose Luis</cp:lastModifiedBy>
  <dcterms:created xsi:type="dcterms:W3CDTF">2024-05-21T14:29:08Z</dcterms:created>
  <dcterms:modified xsi:type="dcterms:W3CDTF">2025-12-03T20:55:19Z</dcterms:modified>
</cp:coreProperties>
</file>